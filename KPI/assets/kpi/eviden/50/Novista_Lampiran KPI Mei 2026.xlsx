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 activeTab="7"/>
  </bookViews>
  <sheets>
    <sheet name="PO non komersil" sheetId="1" r:id="rId1"/>
    <sheet name="Barang tidak sesuai" sheetId="7" r:id="rId2"/>
    <sheet name="Stok opname" sheetId="4" r:id="rId3"/>
    <sheet name="Inisiatif" sheetId="5" r:id="rId4"/>
    <sheet name="SOP" sheetId="6" r:id="rId5"/>
    <sheet name="All Dept" sheetId="8" r:id="rId6"/>
    <sheet name="GA" sheetId="10" r:id="rId7"/>
    <sheet name="IT" sheetId="11" r:id="rId8"/>
    <sheet name="KEU" sheetId="12" r:id="rId9"/>
    <sheet name="LOG" sheetId="13" r:id="rId10"/>
    <sheet name="SALES" sheetId="14" r:id="rId11"/>
    <sheet name="Promosi " sheetId="16" r:id="rId12"/>
  </sheets>
  <externalReferences>
    <externalReference r:id="rId13"/>
  </externalReferences>
  <definedNames>
    <definedName name="_xlnm._FilterDatabase" localSheetId="5" hidden="1">'All Dept'!$A$4:$H$3172</definedName>
    <definedName name="_xlnm._FilterDatabase" localSheetId="1" hidden="1">'Barang tidak sesuai'!$A$4:$P$4</definedName>
    <definedName name="_xlnm._FilterDatabase" localSheetId="6" hidden="1">GA!$A$5:$G$2246</definedName>
    <definedName name="_xlnm._FilterDatabase" localSheetId="7" hidden="1">IT!$A$5:$G$219</definedName>
    <definedName name="_xlnm._FilterDatabase" localSheetId="8" hidden="1">KEU!$A$5:$G$341</definedName>
    <definedName name="_xlnm._FilterDatabase" localSheetId="9" hidden="1">LOG!$A$5:$G$254</definedName>
    <definedName name="_xlnm._FilterDatabase" localSheetId="11" hidden="1">'Promosi '!$A$3:$G$151</definedName>
    <definedName name="_xlnm._FilterDatabase" localSheetId="10" hidden="1">SALES!$A$5:$G$42</definedName>
    <definedName name="_xlnm._FilterDatabase" localSheetId="2" hidden="1">'Stok opname'!$A$4:$I$199</definedName>
  </definedNames>
  <calcPr calcId="145621"/>
</workbook>
</file>

<file path=xl/calcChain.xml><?xml version="1.0" encoding="utf-8"?>
<calcChain xmlns="http://schemas.openxmlformats.org/spreadsheetml/2006/main">
  <c r="M12" i="8" l="1"/>
  <c r="L12" i="8"/>
  <c r="K12" i="8"/>
  <c r="N11" i="8"/>
  <c r="N10" i="8"/>
  <c r="N9" i="8"/>
  <c r="N8" i="8"/>
  <c r="N7" i="8"/>
  <c r="N6" i="8"/>
  <c r="N12" i="8" s="1"/>
  <c r="O8" i="7" l="1"/>
  <c r="F5" i="5" l="1"/>
  <c r="E200" i="4"/>
  <c r="E203" i="4" s="1"/>
  <c r="D200" i="4"/>
  <c r="E204" i="4" l="1"/>
  <c r="W142" i="1" l="1"/>
  <c r="U142" i="1"/>
  <c r="V142" i="1"/>
  <c r="T142" i="1"/>
  <c r="T60" i="1"/>
  <c r="U60" i="1"/>
  <c r="V60" i="1"/>
  <c r="W60" i="1"/>
  <c r="W141" i="1"/>
  <c r="V141" i="1"/>
  <c r="U141" i="1"/>
  <c r="T141" i="1"/>
  <c r="W140" i="1"/>
  <c r="V140" i="1"/>
  <c r="U140" i="1"/>
  <c r="T140" i="1"/>
  <c r="W139" i="1"/>
  <c r="V139" i="1"/>
  <c r="U139" i="1"/>
  <c r="T139" i="1"/>
  <c r="W138" i="1"/>
  <c r="V138" i="1"/>
  <c r="U138" i="1"/>
  <c r="T138" i="1"/>
  <c r="W137" i="1"/>
  <c r="V137" i="1"/>
  <c r="U137" i="1"/>
  <c r="T137" i="1"/>
  <c r="W136" i="1"/>
  <c r="V136" i="1"/>
  <c r="U136" i="1"/>
  <c r="T136" i="1"/>
  <c r="W135" i="1"/>
  <c r="V135" i="1"/>
  <c r="U135" i="1"/>
  <c r="T135" i="1"/>
  <c r="W134" i="1"/>
  <c r="V134" i="1"/>
  <c r="U134" i="1"/>
  <c r="T134" i="1"/>
  <c r="W133" i="1"/>
  <c r="V133" i="1"/>
  <c r="U133" i="1"/>
  <c r="T133" i="1"/>
  <c r="W132" i="1"/>
  <c r="V132" i="1"/>
  <c r="U132" i="1"/>
  <c r="T132" i="1"/>
  <c r="W131" i="1"/>
  <c r="V131" i="1"/>
  <c r="U131" i="1"/>
  <c r="T131" i="1"/>
  <c r="W130" i="1"/>
  <c r="V130" i="1"/>
  <c r="U130" i="1"/>
  <c r="T130" i="1"/>
  <c r="W129" i="1"/>
  <c r="V129" i="1"/>
  <c r="U129" i="1"/>
  <c r="T129" i="1"/>
  <c r="W128" i="1"/>
  <c r="V128" i="1"/>
  <c r="U128" i="1"/>
  <c r="T128" i="1"/>
  <c r="W127" i="1"/>
  <c r="V127" i="1"/>
  <c r="U127" i="1"/>
  <c r="T127" i="1"/>
  <c r="W126" i="1"/>
  <c r="V126" i="1"/>
  <c r="U126" i="1"/>
  <c r="T126" i="1"/>
  <c r="W125" i="1"/>
  <c r="V125" i="1"/>
  <c r="U125" i="1"/>
  <c r="T125" i="1"/>
  <c r="W124" i="1"/>
  <c r="V124" i="1"/>
  <c r="U124" i="1"/>
  <c r="T124" i="1"/>
  <c r="W123" i="1"/>
  <c r="V123" i="1"/>
  <c r="U123" i="1"/>
  <c r="T123" i="1"/>
  <c r="W122" i="1"/>
  <c r="V122" i="1"/>
  <c r="U122" i="1"/>
  <c r="T122" i="1"/>
  <c r="W121" i="1"/>
  <c r="V121" i="1"/>
  <c r="U121" i="1"/>
  <c r="T121" i="1"/>
  <c r="W120" i="1"/>
  <c r="V120" i="1"/>
  <c r="U120" i="1"/>
  <c r="T120" i="1"/>
  <c r="W119" i="1"/>
  <c r="V119" i="1"/>
  <c r="U119" i="1"/>
  <c r="T119" i="1"/>
  <c r="W118" i="1"/>
  <c r="V118" i="1"/>
  <c r="U118" i="1"/>
  <c r="T118" i="1"/>
  <c r="W117" i="1"/>
  <c r="V117" i="1"/>
  <c r="U117" i="1"/>
  <c r="T117" i="1"/>
  <c r="W116" i="1"/>
  <c r="V116" i="1"/>
  <c r="U116" i="1"/>
  <c r="T116" i="1"/>
  <c r="W115" i="1"/>
  <c r="V115" i="1"/>
  <c r="U115" i="1"/>
  <c r="T115" i="1"/>
  <c r="W114" i="1"/>
  <c r="V114" i="1"/>
  <c r="U114" i="1"/>
  <c r="T114" i="1"/>
  <c r="W113" i="1"/>
  <c r="V113" i="1"/>
  <c r="U113" i="1"/>
  <c r="T113" i="1"/>
  <c r="W112" i="1"/>
  <c r="V112" i="1"/>
  <c r="U112" i="1"/>
  <c r="T112" i="1"/>
  <c r="W111" i="1"/>
  <c r="V111" i="1"/>
  <c r="U111" i="1"/>
  <c r="T111" i="1"/>
  <c r="W110" i="1"/>
  <c r="V110" i="1"/>
  <c r="U110" i="1"/>
  <c r="T110" i="1"/>
  <c r="W109" i="1"/>
  <c r="V109" i="1"/>
  <c r="U109" i="1"/>
  <c r="T109" i="1"/>
  <c r="W108" i="1"/>
  <c r="V108" i="1"/>
  <c r="U108" i="1"/>
  <c r="T108" i="1"/>
  <c r="W107" i="1"/>
  <c r="V107" i="1"/>
  <c r="U107" i="1"/>
  <c r="T107" i="1"/>
  <c r="W106" i="1"/>
  <c r="V106" i="1"/>
  <c r="U106" i="1"/>
  <c r="T106" i="1"/>
  <c r="W105" i="1"/>
  <c r="V105" i="1"/>
  <c r="U105" i="1"/>
  <c r="T105" i="1"/>
  <c r="W104" i="1"/>
  <c r="V104" i="1"/>
  <c r="U104" i="1"/>
  <c r="T104" i="1"/>
  <c r="W103" i="1"/>
  <c r="V103" i="1"/>
  <c r="U103" i="1"/>
  <c r="T103" i="1"/>
  <c r="W102" i="1"/>
  <c r="V102" i="1"/>
  <c r="U102" i="1"/>
  <c r="T102" i="1"/>
  <c r="W101" i="1"/>
  <c r="V101" i="1"/>
  <c r="U101" i="1"/>
  <c r="T101" i="1"/>
  <c r="W100" i="1"/>
  <c r="V100" i="1"/>
  <c r="U100" i="1"/>
  <c r="T100" i="1"/>
  <c r="W99" i="1"/>
  <c r="V99" i="1"/>
  <c r="U99" i="1"/>
  <c r="T99" i="1"/>
  <c r="W98" i="1"/>
  <c r="V98" i="1"/>
  <c r="U98" i="1"/>
  <c r="T98" i="1"/>
  <c r="W97" i="1"/>
  <c r="V97" i="1"/>
  <c r="U97" i="1"/>
  <c r="T97" i="1"/>
  <c r="W96" i="1"/>
  <c r="V96" i="1"/>
  <c r="U96" i="1"/>
  <c r="T96" i="1"/>
  <c r="W95" i="1"/>
  <c r="V95" i="1"/>
  <c r="U95" i="1"/>
  <c r="T95" i="1"/>
  <c r="W94" i="1"/>
  <c r="V94" i="1"/>
  <c r="U94" i="1"/>
  <c r="T94" i="1"/>
  <c r="W93" i="1"/>
  <c r="V93" i="1"/>
  <c r="U93" i="1"/>
  <c r="T93" i="1"/>
  <c r="W92" i="1"/>
  <c r="V92" i="1"/>
  <c r="U92" i="1"/>
  <c r="T92" i="1"/>
  <c r="W91" i="1"/>
  <c r="V91" i="1"/>
  <c r="U91" i="1"/>
  <c r="T91" i="1"/>
  <c r="W90" i="1"/>
  <c r="V90" i="1"/>
  <c r="U90" i="1"/>
  <c r="T90" i="1"/>
  <c r="W89" i="1"/>
  <c r="V89" i="1"/>
  <c r="U89" i="1"/>
  <c r="T89" i="1"/>
  <c r="W88" i="1"/>
  <c r="V88" i="1"/>
  <c r="U88" i="1"/>
  <c r="T88" i="1"/>
  <c r="W87" i="1"/>
  <c r="V87" i="1"/>
  <c r="U87" i="1"/>
  <c r="T87" i="1"/>
  <c r="W86" i="1"/>
  <c r="V86" i="1"/>
  <c r="U86" i="1"/>
  <c r="T86" i="1"/>
  <c r="W85" i="1"/>
  <c r="V85" i="1"/>
  <c r="U85" i="1"/>
  <c r="T85" i="1"/>
  <c r="W84" i="1"/>
  <c r="V84" i="1"/>
  <c r="U84" i="1"/>
  <c r="T84" i="1"/>
  <c r="W83" i="1"/>
  <c r="V83" i="1"/>
  <c r="U83" i="1"/>
  <c r="T83" i="1"/>
  <c r="W82" i="1"/>
  <c r="V82" i="1"/>
  <c r="U82" i="1"/>
  <c r="T82" i="1"/>
  <c r="W81" i="1"/>
  <c r="V81" i="1"/>
  <c r="U81" i="1"/>
  <c r="T81" i="1"/>
  <c r="W80" i="1"/>
  <c r="V80" i="1"/>
  <c r="U80" i="1"/>
  <c r="T80" i="1"/>
  <c r="W79" i="1"/>
  <c r="V79" i="1"/>
  <c r="U79" i="1"/>
  <c r="T79" i="1"/>
  <c r="W78" i="1"/>
  <c r="V78" i="1"/>
  <c r="U78" i="1"/>
  <c r="T78" i="1"/>
  <c r="W77" i="1"/>
  <c r="V77" i="1"/>
  <c r="U77" i="1"/>
  <c r="T77" i="1"/>
  <c r="W76" i="1"/>
  <c r="V76" i="1"/>
  <c r="U76" i="1"/>
  <c r="T76" i="1"/>
  <c r="W75" i="1"/>
  <c r="V75" i="1"/>
  <c r="U75" i="1"/>
  <c r="T75" i="1"/>
  <c r="W74" i="1"/>
  <c r="V74" i="1"/>
  <c r="U74" i="1"/>
  <c r="T74" i="1"/>
  <c r="W73" i="1"/>
  <c r="V73" i="1"/>
  <c r="U73" i="1"/>
  <c r="T73" i="1"/>
  <c r="W72" i="1"/>
  <c r="V72" i="1"/>
  <c r="U72" i="1"/>
  <c r="T72" i="1"/>
  <c r="W71" i="1"/>
  <c r="V71" i="1"/>
  <c r="U71" i="1"/>
  <c r="T71" i="1"/>
  <c r="W70" i="1"/>
  <c r="V70" i="1"/>
  <c r="U70" i="1"/>
  <c r="T70" i="1"/>
  <c r="W69" i="1"/>
  <c r="V69" i="1"/>
  <c r="U69" i="1"/>
  <c r="T69" i="1"/>
  <c r="W68" i="1"/>
  <c r="V68" i="1"/>
  <c r="U68" i="1"/>
  <c r="T68" i="1"/>
  <c r="W67" i="1"/>
  <c r="V67" i="1"/>
  <c r="U67" i="1"/>
  <c r="T67" i="1"/>
  <c r="W66" i="1"/>
  <c r="V66" i="1"/>
  <c r="U66" i="1"/>
  <c r="T66" i="1"/>
  <c r="W65" i="1"/>
  <c r="V65" i="1"/>
  <c r="U65" i="1"/>
  <c r="T65" i="1"/>
  <c r="W64" i="1"/>
  <c r="V64" i="1"/>
  <c r="U64" i="1"/>
  <c r="T64" i="1"/>
  <c r="W63" i="1"/>
  <c r="V63" i="1"/>
  <c r="U63" i="1"/>
  <c r="T63" i="1"/>
  <c r="W62" i="1"/>
  <c r="V62" i="1"/>
  <c r="U62" i="1"/>
  <c r="T62" i="1"/>
  <c r="W61" i="1"/>
  <c r="V61" i="1"/>
  <c r="U61" i="1"/>
  <c r="T61" i="1"/>
  <c r="W59" i="1"/>
  <c r="V59" i="1"/>
  <c r="U59" i="1"/>
  <c r="T59" i="1"/>
  <c r="W58" i="1"/>
  <c r="V58" i="1"/>
  <c r="U58" i="1"/>
  <c r="T58" i="1"/>
  <c r="W57" i="1"/>
  <c r="V57" i="1"/>
  <c r="U57" i="1"/>
  <c r="T57" i="1"/>
  <c r="W56" i="1"/>
  <c r="V56" i="1"/>
  <c r="U56" i="1"/>
  <c r="T56" i="1"/>
  <c r="W55" i="1"/>
  <c r="V55" i="1"/>
  <c r="U55" i="1"/>
  <c r="T55" i="1"/>
  <c r="W54" i="1"/>
  <c r="V54" i="1"/>
  <c r="U54" i="1"/>
  <c r="T54" i="1"/>
  <c r="W53" i="1"/>
  <c r="V53" i="1"/>
  <c r="U53" i="1"/>
  <c r="T53" i="1"/>
  <c r="W52" i="1"/>
  <c r="V52" i="1"/>
  <c r="U52" i="1"/>
  <c r="T52" i="1"/>
  <c r="W51" i="1"/>
  <c r="V51" i="1"/>
  <c r="U51" i="1"/>
  <c r="T51" i="1"/>
  <c r="W50" i="1"/>
  <c r="V50" i="1"/>
  <c r="U50" i="1"/>
  <c r="T50" i="1"/>
  <c r="W49" i="1"/>
  <c r="V49" i="1"/>
  <c r="U49" i="1"/>
  <c r="T49" i="1"/>
  <c r="W48" i="1"/>
  <c r="V48" i="1"/>
  <c r="U48" i="1"/>
  <c r="T48" i="1"/>
  <c r="W47" i="1"/>
  <c r="V47" i="1"/>
  <c r="U47" i="1"/>
  <c r="T47" i="1"/>
  <c r="W46" i="1"/>
  <c r="V46" i="1"/>
  <c r="U46" i="1"/>
  <c r="T46" i="1"/>
  <c r="W45" i="1"/>
  <c r="V45" i="1"/>
  <c r="U45" i="1"/>
  <c r="T45" i="1"/>
  <c r="W44" i="1"/>
  <c r="V44" i="1"/>
  <c r="U44" i="1"/>
  <c r="T44" i="1"/>
  <c r="W43" i="1"/>
  <c r="V43" i="1"/>
  <c r="U43" i="1"/>
  <c r="T43" i="1"/>
  <c r="W42" i="1"/>
  <c r="V42" i="1"/>
  <c r="U42" i="1"/>
  <c r="T42" i="1"/>
  <c r="W41" i="1"/>
  <c r="V41" i="1"/>
  <c r="U41" i="1"/>
  <c r="T41" i="1"/>
  <c r="W40" i="1"/>
  <c r="V40" i="1"/>
  <c r="U40" i="1"/>
  <c r="T40" i="1"/>
  <c r="W39" i="1"/>
  <c r="V39" i="1"/>
  <c r="U39" i="1"/>
  <c r="T39" i="1"/>
  <c r="W38" i="1"/>
  <c r="V38" i="1"/>
  <c r="U38" i="1"/>
  <c r="T38" i="1"/>
  <c r="W37" i="1"/>
  <c r="V37" i="1"/>
  <c r="U37" i="1"/>
  <c r="T37" i="1"/>
  <c r="W36" i="1"/>
  <c r="V36" i="1"/>
  <c r="U36" i="1"/>
  <c r="T36" i="1"/>
  <c r="W35" i="1"/>
  <c r="V35" i="1"/>
  <c r="U35" i="1"/>
  <c r="T35" i="1"/>
  <c r="W34" i="1"/>
  <c r="V34" i="1"/>
  <c r="U34" i="1"/>
  <c r="T34" i="1"/>
  <c r="W33" i="1"/>
  <c r="V33" i="1"/>
  <c r="U33" i="1"/>
  <c r="T33" i="1"/>
  <c r="W32" i="1"/>
  <c r="V32" i="1"/>
  <c r="U32" i="1"/>
  <c r="T32" i="1"/>
  <c r="W31" i="1"/>
  <c r="V31" i="1"/>
  <c r="U31" i="1"/>
  <c r="T31" i="1"/>
  <c r="W30" i="1"/>
  <c r="V30" i="1"/>
  <c r="U30" i="1"/>
  <c r="T30" i="1"/>
  <c r="W29" i="1"/>
  <c r="V29" i="1"/>
  <c r="U29" i="1"/>
  <c r="T29" i="1"/>
  <c r="W28" i="1"/>
  <c r="V28" i="1"/>
  <c r="U28" i="1"/>
  <c r="T28" i="1"/>
  <c r="W27" i="1"/>
  <c r="V27" i="1"/>
  <c r="U27" i="1"/>
  <c r="T27" i="1"/>
  <c r="W26" i="1"/>
  <c r="V26" i="1"/>
  <c r="U26" i="1"/>
  <c r="T26" i="1"/>
  <c r="W25" i="1"/>
  <c r="V25" i="1"/>
  <c r="U25" i="1"/>
  <c r="T25" i="1"/>
  <c r="W24" i="1"/>
  <c r="V24" i="1"/>
  <c r="U24" i="1"/>
  <c r="T24" i="1"/>
  <c r="W23" i="1"/>
  <c r="V23" i="1"/>
  <c r="U23" i="1"/>
  <c r="T23" i="1"/>
  <c r="W22" i="1"/>
  <c r="V22" i="1"/>
  <c r="U22" i="1"/>
  <c r="T22" i="1"/>
  <c r="W21" i="1"/>
  <c r="V21" i="1"/>
  <c r="U21" i="1"/>
  <c r="T21" i="1"/>
  <c r="W20" i="1"/>
  <c r="V20" i="1"/>
  <c r="U20" i="1"/>
  <c r="T20" i="1"/>
  <c r="W19" i="1"/>
  <c r="V19" i="1"/>
  <c r="U19" i="1"/>
  <c r="T19" i="1"/>
  <c r="W18" i="1"/>
  <c r="V18" i="1"/>
  <c r="U18" i="1"/>
  <c r="T18" i="1"/>
  <c r="W17" i="1"/>
  <c r="V17" i="1"/>
  <c r="U17" i="1"/>
  <c r="T17" i="1"/>
  <c r="W16" i="1"/>
  <c r="V16" i="1"/>
  <c r="U16" i="1"/>
  <c r="T16" i="1"/>
  <c r="W15" i="1"/>
  <c r="V15" i="1"/>
  <c r="U15" i="1"/>
  <c r="T15" i="1"/>
  <c r="W14" i="1"/>
  <c r="V14" i="1"/>
  <c r="U14" i="1"/>
  <c r="T14" i="1"/>
  <c r="W13" i="1"/>
  <c r="V13" i="1"/>
  <c r="U13" i="1"/>
  <c r="T13" i="1"/>
  <c r="W12" i="1"/>
  <c r="V12" i="1"/>
  <c r="U12" i="1"/>
  <c r="T12" i="1"/>
  <c r="W11" i="1"/>
  <c r="V11" i="1"/>
  <c r="U11" i="1"/>
  <c r="T11" i="1"/>
  <c r="W10" i="1"/>
  <c r="V10" i="1"/>
  <c r="U10" i="1"/>
  <c r="T10" i="1"/>
  <c r="W9" i="1"/>
  <c r="V9" i="1"/>
  <c r="U9" i="1"/>
  <c r="T9" i="1"/>
  <c r="W8" i="1"/>
  <c r="V8" i="1"/>
  <c r="U8" i="1"/>
  <c r="T8" i="1"/>
  <c r="W7" i="1"/>
  <c r="V7" i="1"/>
  <c r="U7" i="1"/>
  <c r="T7" i="1"/>
  <c r="W6" i="1"/>
  <c r="V6" i="1"/>
  <c r="U6" i="1"/>
  <c r="T6" i="1"/>
  <c r="W5" i="1"/>
  <c r="V5" i="1"/>
  <c r="U5" i="1"/>
  <c r="T5" i="1"/>
  <c r="W4" i="1"/>
  <c r="V4" i="1"/>
  <c r="U4" i="1"/>
  <c r="T4" i="1"/>
  <c r="W3" i="1"/>
  <c r="V3" i="1"/>
  <c r="U3" i="1"/>
  <c r="T3" i="1"/>
  <c r="W2" i="1"/>
  <c r="V2" i="1"/>
  <c r="U2" i="1"/>
  <c r="T2" i="1"/>
</calcChain>
</file>

<file path=xl/sharedStrings.xml><?xml version="1.0" encoding="utf-8"?>
<sst xmlns="http://schemas.openxmlformats.org/spreadsheetml/2006/main" count="18234" uniqueCount="1755">
  <si>
    <t>NO</t>
  </si>
  <si>
    <t>NO PO</t>
  </si>
  <si>
    <t>Tanggal Transaksi</t>
  </si>
  <si>
    <t>PIC</t>
  </si>
  <si>
    <t>Departemen</t>
  </si>
  <si>
    <t>Nama Barang</t>
  </si>
  <si>
    <t>Deskripsi</t>
  </si>
  <si>
    <t>Qty</t>
  </si>
  <si>
    <t>Harga Satuan (Rp)</t>
  </si>
  <si>
    <t>Total Harga (Rp)</t>
  </si>
  <si>
    <t>Harga CO (Rp)</t>
  </si>
  <si>
    <t>Pembelian</t>
  </si>
  <si>
    <t>Toko</t>
  </si>
  <si>
    <t>Kategori</t>
  </si>
  <si>
    <t xml:space="preserve">Request </t>
  </si>
  <si>
    <t>Arrived</t>
  </si>
  <si>
    <t>Review</t>
  </si>
  <si>
    <t>Tgl Diorderkan</t>
  </si>
  <si>
    <t>3 Vendor (Kadep)</t>
  </si>
  <si>
    <t>DIR</t>
  </si>
  <si>
    <t>Buy</t>
  </si>
  <si>
    <t>PO Full</t>
  </si>
  <si>
    <t>Kadep</t>
  </si>
  <si>
    <t>Keterangan</t>
  </si>
  <si>
    <t>Perbandingan Vendor</t>
  </si>
  <si>
    <t>002/02/05/2026</t>
  </si>
  <si>
    <t xml:space="preserve">Nanda </t>
  </si>
  <si>
    <t>Sales</t>
  </si>
  <si>
    <t>Karangan Bunga</t>
  </si>
  <si>
    <t>untuk pernikahan putri Ediy Kia</t>
  </si>
  <si>
    <t>Offline</t>
  </si>
  <si>
    <t>Endang Florist Jember</t>
  </si>
  <si>
    <t xml:space="preserve">Langsung dikirim ke venue sari utama </t>
  </si>
  <si>
    <t>003/04/05/2026</t>
  </si>
  <si>
    <t>Nita</t>
  </si>
  <si>
    <t>GA</t>
  </si>
  <si>
    <t>Isolasi Listrik PVC</t>
  </si>
  <si>
    <t>untuk pasang GPS (isolasi listrik)</t>
  </si>
  <si>
    <t xml:space="preserve">Offline </t>
  </si>
  <si>
    <t>Wijaya Motor Jember</t>
  </si>
  <si>
    <t>Mekanik</t>
  </si>
  <si>
    <t>Dihandle GA</t>
  </si>
  <si>
    <t>002/04/05/2026</t>
  </si>
  <si>
    <t>karet slebor</t>
  </si>
  <si>
    <t>untuk kendaraan K59/P-8060-UG</t>
  </si>
  <si>
    <t>001/04/05/2026</t>
  </si>
  <si>
    <t>Sekring Canter 15 Ampere</t>
  </si>
  <si>
    <t>untuk GPS kendaraan baru</t>
  </si>
  <si>
    <t>Hasil Motor Jember</t>
  </si>
  <si>
    <t>Rumah Sekring</t>
  </si>
  <si>
    <t>004/05/05/2026</t>
  </si>
  <si>
    <t>Saklar lampu</t>
  </si>
  <si>
    <t>Untuk saklar toilet luar kantin</t>
  </si>
  <si>
    <t>Serba Jaya Jember</t>
  </si>
  <si>
    <t>005/05/05/2026</t>
  </si>
  <si>
    <t>Lady</t>
  </si>
  <si>
    <t>Purchasing</t>
  </si>
  <si>
    <t>Paket Data</t>
  </si>
  <si>
    <t>Untuk HP Purchasing Komersil (0851 9887 5161)</t>
  </si>
  <si>
    <t>Online</t>
  </si>
  <si>
    <t>Aplikasi By.U</t>
  </si>
  <si>
    <t>Ok. Paketan data 7 GB</t>
  </si>
  <si>
    <t>001/05/05/2026</t>
  </si>
  <si>
    <t>Rantai Biji Lada</t>
  </si>
  <si>
    <t>Untuk Siwi HRD</t>
  </si>
  <si>
    <t xml:space="preserve">Online </t>
  </si>
  <si>
    <t>Omahtassouvenir, Shopee</t>
  </si>
  <si>
    <t>Ok. 30 pcs</t>
  </si>
  <si>
    <t>003/05/05/2026</t>
  </si>
  <si>
    <t>Karet Stoper</t>
  </si>
  <si>
    <t>untuk kendaraan K89/P-8694-UG</t>
  </si>
  <si>
    <t>Pitingan Lampu Doble</t>
  </si>
  <si>
    <t>Klem Accu</t>
  </si>
  <si>
    <t>Ban Original Gajah Tunggal</t>
  </si>
  <si>
    <t>untuk kendaraan K22/P-8925-GC</t>
  </si>
  <si>
    <t>Sumber Kilat Jember</t>
  </si>
  <si>
    <t>Ban depan K-22 tidak jadi diganti, diganti untuk Q16</t>
  </si>
  <si>
    <t>Ban Original Aeolus</t>
  </si>
  <si>
    <t>002/05/05/2026</t>
  </si>
  <si>
    <t>Lampu Hannochs</t>
  </si>
  <si>
    <t>15 Watt Sonic</t>
  </si>
  <si>
    <t>van elektrik, Shopee</t>
  </si>
  <si>
    <t>Restock</t>
  </si>
  <si>
    <t>Ok. 10 pcs lampu hannocs</t>
  </si>
  <si>
    <t>Tali Rafia Besar</t>
  </si>
  <si>
    <t>Toserbe Aileen Official Shop, Shopee</t>
  </si>
  <si>
    <t>Ok. 2 pcs</t>
  </si>
  <si>
    <t>Bulpen</t>
  </si>
  <si>
    <t>Merah</t>
  </si>
  <si>
    <t>Jaya Abadin.PNG, Shopee</t>
  </si>
  <si>
    <t>Ok. 5 pcs</t>
  </si>
  <si>
    <t>Isi Cutter</t>
  </si>
  <si>
    <t>Besar</t>
  </si>
  <si>
    <t>Hot Store Official, Shopee</t>
  </si>
  <si>
    <t>3/4</t>
  </si>
  <si>
    <t>3</t>
  </si>
  <si>
    <t>Toko KDE, Shopee</t>
  </si>
  <si>
    <t>Ok. 3 pcs</t>
  </si>
  <si>
    <t>Toilet Cleaner</t>
  </si>
  <si>
    <t>qianashop6, Shopee</t>
  </si>
  <si>
    <t>Ok. 4 pcs</t>
  </si>
  <si>
    <t>Lem G</t>
  </si>
  <si>
    <t>nagasaki shop, Shopee</t>
  </si>
  <si>
    <t>Isi Bulpen</t>
  </si>
  <si>
    <t>Biru</t>
  </si>
  <si>
    <t>ATK123.Surabaya, Shopee</t>
  </si>
  <si>
    <t>Ok. 24 pcs</t>
  </si>
  <si>
    <t>Sabun Cuci Mobil</t>
  </si>
  <si>
    <t>Premium Power Clean, Shopee</t>
  </si>
  <si>
    <t>Ok. 5 liter</t>
  </si>
  <si>
    <t>Kabel ties 3.6x250</t>
  </si>
  <si>
    <t>Kabel ties untuk perapian</t>
  </si>
  <si>
    <t>GTE_shop, Shopee</t>
  </si>
  <si>
    <t>Ok. 2 pack kabel ties 3.6x250</t>
  </si>
  <si>
    <t>003/07/05/2026</t>
  </si>
  <si>
    <t>Minyak Rem</t>
  </si>
  <si>
    <t>Prestone</t>
  </si>
  <si>
    <t>002/07/05/2026</t>
  </si>
  <si>
    <t>Filter Solar Atas Untuk Euro 2</t>
  </si>
  <si>
    <t>ME035829</t>
  </si>
  <si>
    <t>Filter Solar Bawah Untuk Euro 2</t>
  </si>
  <si>
    <t>ME971553</t>
  </si>
  <si>
    <t>Filter Udara</t>
  </si>
  <si>
    <t>A/F ME017246 Fuso FE</t>
  </si>
  <si>
    <t>Oli Mesin</t>
  </si>
  <si>
    <t>Mesran Mediteran SX</t>
  </si>
  <si>
    <t>PT Harlindo Sejahtera Jember</t>
  </si>
  <si>
    <t>004/07/05/2026</t>
  </si>
  <si>
    <t>Flasher Sein</t>
  </si>
  <si>
    <t>005/07/05/2026</t>
  </si>
  <si>
    <t>Tie Rod</t>
  </si>
  <si>
    <t>untuk kendaraan Q7/P-8178-UG</t>
  </si>
  <si>
    <t>001/09/05/2026</t>
  </si>
  <si>
    <t>Filter Solar (30KVA)</t>
  </si>
  <si>
    <t>Perkins 4461492</t>
  </si>
  <si>
    <t>Shine Diesel, Shopee</t>
  </si>
  <si>
    <t>Ok. Merk sesuai</t>
  </si>
  <si>
    <t>Filter Oli (150 KVA) &amp; (30 KVA)</t>
  </si>
  <si>
    <t>Perkins 2654403</t>
  </si>
  <si>
    <t>Filter Oli (60 KVA)</t>
  </si>
  <si>
    <t>JX1008L</t>
  </si>
  <si>
    <t>AKJtrading, Shopee</t>
  </si>
  <si>
    <t>Filter Solar (60KVA)</t>
  </si>
  <si>
    <t>Filter Solar 23303-87304</t>
  </si>
  <si>
    <t>Central Diesel Parts</t>
  </si>
  <si>
    <t>Filter Solar (150 KVA)</t>
  </si>
  <si>
    <t>Perkins 26560143</t>
  </si>
  <si>
    <t>Perkins 26560145</t>
  </si>
  <si>
    <t>Filter Udara Genset</t>
  </si>
  <si>
    <t>Perkins 26510353</t>
  </si>
  <si>
    <t>Perkins 26510362</t>
  </si>
  <si>
    <t>COMMIN, Shopee</t>
  </si>
  <si>
    <t>002/09/05/2026</t>
  </si>
  <si>
    <t>Stempel BAN / Tagging BAN</t>
  </si>
  <si>
    <t>Kebutuhan kantor, Shopee</t>
  </si>
  <si>
    <t>Ok. Sesuai dengan desain</t>
  </si>
  <si>
    <t>002/08/05/2026</t>
  </si>
  <si>
    <t>Alif</t>
  </si>
  <si>
    <t>Logistik</t>
  </si>
  <si>
    <t xml:space="preserve">Lakban </t>
  </si>
  <si>
    <t>Bening</t>
  </si>
  <si>
    <t>IJO02, Shopee</t>
  </si>
  <si>
    <t>Ok. 54 roll lakban bening</t>
  </si>
  <si>
    <t>Coklat</t>
  </si>
  <si>
    <t>Ok. 54 roll lakban coklat</t>
  </si>
  <si>
    <t>Shampo</t>
  </si>
  <si>
    <t>untuk mandikan anjing</t>
  </si>
  <si>
    <t>001/08/05/2026</t>
  </si>
  <si>
    <t>Royco</t>
  </si>
  <si>
    <t>Sembako BM, Shopee</t>
  </si>
  <si>
    <t>Ok. 23 pcs aman, 1 pcs ada lubang kecil</t>
  </si>
  <si>
    <t>Refil Spidol Permanent Marker</t>
  </si>
  <si>
    <t>Hitam</t>
  </si>
  <si>
    <t>Agung Wardana Jember</t>
  </si>
  <si>
    <t xml:space="preserve">Ok. 5 Pcs </t>
  </si>
  <si>
    <t>Amplop</t>
  </si>
  <si>
    <t>Kecil Non Perekat</t>
  </si>
  <si>
    <t>Ok. 50 pcs</t>
  </si>
  <si>
    <t>005/12/05/2026</t>
  </si>
  <si>
    <t>hitam</t>
  </si>
  <si>
    <t>Lampu Dop Engkel 24 volt</t>
  </si>
  <si>
    <t>Hikari88, Shopee</t>
  </si>
  <si>
    <t>Ok. 20 pcs</t>
  </si>
  <si>
    <t>001/11/05/2026</t>
  </si>
  <si>
    <t>Karet Kower</t>
  </si>
  <si>
    <t>Untuk Kendaraan Q3/P-8190-UG</t>
  </si>
  <si>
    <t>Seal Nap Roda</t>
  </si>
  <si>
    <t>002/11/05/2026</t>
  </si>
  <si>
    <t>Oli Mesin Voxy</t>
  </si>
  <si>
    <t>untuk ganti oli mesin kendaraan Voxy/P 1851 KO</t>
  </si>
  <si>
    <t>Dua Jaya Oli Jember</t>
  </si>
  <si>
    <t>005/09/05/2026</t>
  </si>
  <si>
    <t>Batrai</t>
  </si>
  <si>
    <t>Kecil kalkulator</t>
  </si>
  <si>
    <t>Gottemall Store, Shopee</t>
  </si>
  <si>
    <t>004/09/05/2026</t>
  </si>
  <si>
    <t>Palu Besi / Palu kambing</t>
  </si>
  <si>
    <t>untuk perbaikan palet</t>
  </si>
  <si>
    <t>Deli Tools Official Shop</t>
  </si>
  <si>
    <t>003/11/05/2026</t>
  </si>
  <si>
    <t>Paket Google One</t>
  </si>
  <si>
    <t>Penyimpanan Gmail 30 GB</t>
  </si>
  <si>
    <t>Google</t>
  </si>
  <si>
    <t>Ok. 30 GB 1 tahun</t>
  </si>
  <si>
    <t>004/11/05/2026</t>
  </si>
  <si>
    <t>lampu Box</t>
  </si>
  <si>
    <t>001/12/05/2026</t>
  </si>
  <si>
    <t>Gantungan Kunci</t>
  </si>
  <si>
    <t>untuk Gembok GA</t>
  </si>
  <si>
    <t>wahana serba ada, Shopee</t>
  </si>
  <si>
    <t>004/12/05/2026</t>
  </si>
  <si>
    <t>Air Mineral</t>
  </si>
  <si>
    <t>Cleo Gelas</t>
  </si>
  <si>
    <t>Depo Air Minum</t>
  </si>
  <si>
    <t>Ok. 10 box</t>
  </si>
  <si>
    <t>Cleo Botol</t>
  </si>
  <si>
    <t>Ok. 10 slop</t>
  </si>
  <si>
    <t>Cleo Galon Refil</t>
  </si>
  <si>
    <t>Ok. 2 galon</t>
  </si>
  <si>
    <t>002/12/05/2026</t>
  </si>
  <si>
    <t>Keset</t>
  </si>
  <si>
    <t>Keriting 40x60 cm</t>
  </si>
  <si>
    <t>riissa_shop, Shopee</t>
  </si>
  <si>
    <t>003/12/05/2026</t>
  </si>
  <si>
    <t>Kran Wastafel</t>
  </si>
  <si>
    <t>Untuk stop Kran wastafel pantry lantai 1</t>
  </si>
  <si>
    <t>Ok. Sesuai</t>
  </si>
  <si>
    <t>ONDA Official Shop, Shopee</t>
  </si>
  <si>
    <t xml:space="preserve">Ok. Sesuai merk onda </t>
  </si>
  <si>
    <t>001/13/05/2026</t>
  </si>
  <si>
    <t>Air Accu</t>
  </si>
  <si>
    <t>untuk All Kendaraan</t>
  </si>
  <si>
    <t>Kampas Rem Depan</t>
  </si>
  <si>
    <t>untuk kendaraan K99/P-8622-UG</t>
  </si>
  <si>
    <t>001/15/05/2026</t>
  </si>
  <si>
    <t>Jas Hujan</t>
  </si>
  <si>
    <t>untuk security pos 1</t>
  </si>
  <si>
    <t>NEWTOKO LINTANG41, Shopee</t>
  </si>
  <si>
    <t>Ok. 1 pcs</t>
  </si>
  <si>
    <t>003/15/05/2026</t>
  </si>
  <si>
    <t>Stop Kontak</t>
  </si>
  <si>
    <t>Stop Kontak yang 2 lubang</t>
  </si>
  <si>
    <t>ListrikGrosir, Shopee</t>
  </si>
  <si>
    <t>Handle switch</t>
  </si>
  <si>
    <t>yang ukuran 15 Ampere</t>
  </si>
  <si>
    <t>Kingwon Official Store, Shopee</t>
  </si>
  <si>
    <t>002/15/05/2026</t>
  </si>
  <si>
    <t>White Board</t>
  </si>
  <si>
    <t>60 x 80 cm</t>
  </si>
  <si>
    <t>Green Net, Shopee</t>
  </si>
  <si>
    <t>Ok. Sedikit penyok</t>
  </si>
  <si>
    <t>003/18/05/2026</t>
  </si>
  <si>
    <t>Accu</t>
  </si>
  <si>
    <t>untuk Accu genset pos 1</t>
  </si>
  <si>
    <t>002/18/05/2026</t>
  </si>
  <si>
    <t>untuk kendaraan Q19/P-8063-UG</t>
  </si>
  <si>
    <t>Baut Roda</t>
  </si>
  <si>
    <t>002/16/05/2026</t>
  </si>
  <si>
    <t>Dhanny</t>
  </si>
  <si>
    <t>IT</t>
  </si>
  <si>
    <t>Kabel LAN Cat 6</t>
  </si>
  <si>
    <t>Support CCTV , WiFi Gigabit highspeed</t>
  </si>
  <si>
    <t>universalcomp, shopee</t>
  </si>
  <si>
    <t xml:space="preserve">Ok. Barang sesuai </t>
  </si>
  <si>
    <t>001/18/05/2026</t>
  </si>
  <si>
    <t>Nota Bukti Perincian / Pengiriman</t>
  </si>
  <si>
    <t>Rincian Biaya Driver</t>
  </si>
  <si>
    <t>DNY Printing Jember</t>
  </si>
  <si>
    <t>007/18/05/2026</t>
  </si>
  <si>
    <t>untuk kendaraan Q2/P-8199-UG</t>
  </si>
  <si>
    <t>005/18/05/2026</t>
  </si>
  <si>
    <t>Pet Kingdom Official Shop, Shopee</t>
  </si>
  <si>
    <t>Ok. Merk kingdom 2 pcs</t>
  </si>
  <si>
    <t>008/18/05/2026</t>
  </si>
  <si>
    <t>Papan Akrilik</t>
  </si>
  <si>
    <t>untuk CCTV Gerbang 2</t>
  </si>
  <si>
    <t>Dewz Kreasi, Shopee</t>
  </si>
  <si>
    <t>Papan Dilarang Merokok</t>
  </si>
  <si>
    <t>Untuk Gerbang 2, Mushola FKA dan Dinding FKA</t>
  </si>
  <si>
    <t>004/18/05/2026</t>
  </si>
  <si>
    <t>Ika</t>
  </si>
  <si>
    <t>Keuangan</t>
  </si>
  <si>
    <t>Double Tape Sedang</t>
  </si>
  <si>
    <t>1"</t>
  </si>
  <si>
    <t>TOT SHOP, Shopee</t>
  </si>
  <si>
    <t>Ok. 2 pcs, I inci</t>
  </si>
  <si>
    <t>006/18/05/2026</t>
  </si>
  <si>
    <t>Per Depan</t>
  </si>
  <si>
    <t>Untuk kendaraan Q18/P-8058-UG</t>
  </si>
  <si>
    <t>004/19/05/2026</t>
  </si>
  <si>
    <t>Kresek</t>
  </si>
  <si>
    <t>35 cm</t>
  </si>
  <si>
    <t>LidahMarket23, Shopee</t>
  </si>
  <si>
    <t>Ok. 10 pcs merk lobak</t>
  </si>
  <si>
    <t>003/19/05/2026</t>
  </si>
  <si>
    <t>Lampu Ulir</t>
  </si>
  <si>
    <t>Untuk Lampu depan A1</t>
  </si>
  <si>
    <t>Toko Listrik Masabenk Jember</t>
  </si>
  <si>
    <t>002/19/05/2026</t>
  </si>
  <si>
    <t>Lakban</t>
  </si>
  <si>
    <t>Kuning hitam</t>
  </si>
  <si>
    <t>Fajar Mitra Indotama, Shopee</t>
  </si>
  <si>
    <t>001/19/05/2026</t>
  </si>
  <si>
    <t>untuk kendaraan Q9/P-8271-UG</t>
  </si>
  <si>
    <t>Toko Aki Jember</t>
  </si>
  <si>
    <t>006/19/05/2026</t>
  </si>
  <si>
    <t>Sticky Note</t>
  </si>
  <si>
    <t>Sedang (3851)</t>
  </si>
  <si>
    <t>Penstore.id Office, Shopee</t>
  </si>
  <si>
    <t>005/19/05/2026</t>
  </si>
  <si>
    <t>Besar (7651)</t>
  </si>
  <si>
    <t>007/23/05/2026</t>
  </si>
  <si>
    <t>Mesin Gerinda</t>
  </si>
  <si>
    <t>Untuk Alat ganti kampas rem</t>
  </si>
  <si>
    <t>ISKU Tangerang, Shopee</t>
  </si>
  <si>
    <t>Ok. Alat dihandle GA</t>
  </si>
  <si>
    <t>003/20/05/2026</t>
  </si>
  <si>
    <t>Pipa Wastafel</t>
  </si>
  <si>
    <t>untuk depan gudang A1 dan A2</t>
  </si>
  <si>
    <t xml:space="preserve">Toko Bangunan Wijaya Makmur </t>
  </si>
  <si>
    <t>untuk lampu depan gudang A4</t>
  </si>
  <si>
    <t>Tali Ban</t>
  </si>
  <si>
    <t>untuk tali kran wastafel depan gudang A3</t>
  </si>
  <si>
    <t>004/20/05/2026</t>
  </si>
  <si>
    <t>untuk kendaraan K78/P-8092-UG</t>
  </si>
  <si>
    <t>Kampas Kopling</t>
  </si>
  <si>
    <t>Sunduk Per Depan</t>
  </si>
  <si>
    <t>Sunduk Per Belakang</t>
  </si>
  <si>
    <t>Per Belakang Babon</t>
  </si>
  <si>
    <t>Matahari Kopling</t>
  </si>
  <si>
    <t>001/21/05/2026</t>
  </si>
  <si>
    <t>Baterai Aki UPS</t>
  </si>
  <si>
    <t>1270 [12V - 7A]</t>
  </si>
  <si>
    <t>Dipayana Makmur, Shopee</t>
  </si>
  <si>
    <t>Ok. Dihandle IT</t>
  </si>
  <si>
    <t>PSU - PC Pos</t>
  </si>
  <si>
    <t>Powermax 500 W PSU</t>
  </si>
  <si>
    <t>Fit computer, Shopee</t>
  </si>
  <si>
    <t>UPS PC</t>
  </si>
  <si>
    <t>UPS 600 VA</t>
  </si>
  <si>
    <t>Bitcom Jember</t>
  </si>
  <si>
    <t>Printer Epson</t>
  </si>
  <si>
    <t>L3210 (BITCOM)</t>
  </si>
  <si>
    <t>SSD Server</t>
  </si>
  <si>
    <t>Penyimpanan SSD 1TB untuk Server KIU</t>
  </si>
  <si>
    <t>RAJA RAM NUSANTARA, Shopee</t>
  </si>
  <si>
    <t>Connector SSD</t>
  </si>
  <si>
    <t>Pin SSD to Mainboard</t>
  </si>
  <si>
    <t>Taurus Komputer</t>
  </si>
  <si>
    <t>002/20/05/2026</t>
  </si>
  <si>
    <t>Stella Aerosol / Semprot</t>
  </si>
  <si>
    <t>Kemasan 350 ml</t>
  </si>
  <si>
    <t>Toko Mbakyuu, Shopee</t>
  </si>
  <si>
    <t>Ok. 3 pcs berfungsi dengan baik</t>
  </si>
  <si>
    <t>001/20/05/2026</t>
  </si>
  <si>
    <t>Nanda</t>
  </si>
  <si>
    <t>Banner</t>
  </si>
  <si>
    <t>200 x 100 cm</t>
  </si>
  <si>
    <t>Putra Jaya Mangli Jember</t>
  </si>
  <si>
    <t>Masuk gudang promosi (LPB X)</t>
  </si>
  <si>
    <t>002/21/05/2026</t>
  </si>
  <si>
    <t>Gantungan Dinding</t>
  </si>
  <si>
    <t>untuk gantungan stela aerosol</t>
  </si>
  <si>
    <t>Ok. 6 pcs</t>
  </si>
  <si>
    <t>004/21/05/2026</t>
  </si>
  <si>
    <t>Packing AS Roda</t>
  </si>
  <si>
    <t>Untuk Kendaraan K27/P-9904-UG</t>
  </si>
  <si>
    <t>Karet Rem Belakang</t>
  </si>
  <si>
    <t>untuk All kendaraan ( 1 kotak )</t>
  </si>
  <si>
    <t>Seal roda belakang luar</t>
  </si>
  <si>
    <t>Seal roda belakang dalam</t>
  </si>
  <si>
    <t>003/21/05/2026</t>
  </si>
  <si>
    <t>Lem Sealer Bening</t>
  </si>
  <si>
    <t>Diphijaya Teknik, Shopee</t>
  </si>
  <si>
    <t>001/22/05/2026</t>
  </si>
  <si>
    <t>Corong Oli</t>
  </si>
  <si>
    <t>Grosir Oren, Shopee</t>
  </si>
  <si>
    <t>Ok.</t>
  </si>
  <si>
    <t>Paku Rivet</t>
  </si>
  <si>
    <t>Ukuran 8 mm</t>
  </si>
  <si>
    <t>JC ACCESSORIES OFFICIAL STORE, Shopee</t>
  </si>
  <si>
    <t>002/23/05/2026</t>
  </si>
  <si>
    <t>Paku</t>
  </si>
  <si>
    <t>RR,Riorachel, Shopee</t>
  </si>
  <si>
    <t xml:space="preserve">Ok. 1 kg </t>
  </si>
  <si>
    <t>003/23/05/2026</t>
  </si>
  <si>
    <t>Aceton</t>
  </si>
  <si>
    <t>1 Liter</t>
  </si>
  <si>
    <t>atarashieji, Shopee</t>
  </si>
  <si>
    <t>Ok. 1 liter</t>
  </si>
  <si>
    <t>004/23/05/2026</t>
  </si>
  <si>
    <t>Van Belt Mitshubisi</t>
  </si>
  <si>
    <t>005/23/05/2026</t>
  </si>
  <si>
    <t>Super Pell</t>
  </si>
  <si>
    <t>770 ml Lemon</t>
  </si>
  <si>
    <t>Unilever Indonesia Official Shop, Shopee</t>
  </si>
  <si>
    <t>Ok. 15 pcs varian lemon tidak ada yang bocor</t>
  </si>
  <si>
    <t>006/23/05/2026</t>
  </si>
  <si>
    <t>Isolasi</t>
  </si>
  <si>
    <t>Sedang Lubang Besar</t>
  </si>
  <si>
    <t>Bc_lakban.store, Shopee</t>
  </si>
  <si>
    <t xml:space="preserve">Ok. 12 pcs </t>
  </si>
  <si>
    <t>002/25/05/2026</t>
  </si>
  <si>
    <t>Filter Solar Atas Untuk Euro 4</t>
  </si>
  <si>
    <t>KM006101A1</t>
  </si>
  <si>
    <t>Filter Solar Bawah Untuk Euro 4</t>
  </si>
  <si>
    <t>KM006102A1</t>
  </si>
  <si>
    <t>Filter Oli Kendaraan</t>
  </si>
  <si>
    <t>ME013307</t>
  </si>
  <si>
    <t>001/23/05/2026</t>
  </si>
  <si>
    <t>Untuk pernikahan putra Bapak Sujarwo dari Tunas Abadi (Banyuwangi)</t>
  </si>
  <si>
    <t>Pak Mardi Florist Banyuwangi</t>
  </si>
  <si>
    <t>Langsung dikirim ke venue</t>
  </si>
  <si>
    <t>001/25/05/2026</t>
  </si>
  <si>
    <t>Dog Food</t>
  </si>
  <si>
    <t>Untuk Pakan Anjing</t>
  </si>
  <si>
    <t>Blessing Pet Shope Jember</t>
  </si>
  <si>
    <t>Langsung masuk FKA</t>
  </si>
  <si>
    <t>002/26/05/2026</t>
  </si>
  <si>
    <t>Lampu H4</t>
  </si>
  <si>
    <t>24 Volt 70W</t>
  </si>
  <si>
    <t>Indo Utama Otoparts, Shopee</t>
  </si>
  <si>
    <t>001/28/05/2026</t>
  </si>
  <si>
    <t>Sekring Botol</t>
  </si>
  <si>
    <t>003/26/05/2026</t>
  </si>
  <si>
    <t>Tinta EPSON 003</t>
  </si>
  <si>
    <t>Black</t>
  </si>
  <si>
    <t>Digital Print Store</t>
  </si>
  <si>
    <t>Ok. 12 pcs tinta epson</t>
  </si>
  <si>
    <t>003/28/05/2026</t>
  </si>
  <si>
    <t>004/28/05/2026</t>
  </si>
  <si>
    <t>Untuk opening Wilis Van Java (Madiun)</t>
  </si>
  <si>
    <t>King Florist Malang</t>
  </si>
  <si>
    <t>Langsung dikirim ke lokasi</t>
  </si>
  <si>
    <t>002/30/05/2026</t>
  </si>
  <si>
    <t>Ucapan Duka Cita Ibunda Bapak H. Sholekun (CV Unggul Jaya Agrobisnis Tuban)</t>
  </si>
  <si>
    <t>003/30/05/2026</t>
  </si>
  <si>
    <t>Amplas</t>
  </si>
  <si>
    <t>No. 400</t>
  </si>
  <si>
    <t>Minyak Tancho</t>
  </si>
  <si>
    <t>004/30/05/2026</t>
  </si>
  <si>
    <t>Tali Rami</t>
  </si>
  <si>
    <t>Ukuran 3mm</t>
  </si>
  <si>
    <t>CV BUMI ANUGERAH JAYA, Shopee</t>
  </si>
  <si>
    <t>Ok. ukuran 3 mm</t>
  </si>
  <si>
    <t>001/02/06/2026</t>
  </si>
  <si>
    <t>Layanan Hosting</t>
  </si>
  <si>
    <t>Hosting Paket Cloud Startup</t>
  </si>
  <si>
    <t>Web Hostinger.com</t>
  </si>
  <si>
    <t>Dihandle IT</t>
  </si>
  <si>
    <t>Domain</t>
  </si>
  <si>
    <t>Domain Baru - KARISMAERP.COM</t>
  </si>
  <si>
    <t>Rata-Rata</t>
  </si>
  <si>
    <t>FORM STOCK COUNT BARANG NON KOMERSIL</t>
  </si>
  <si>
    <t xml:space="preserve">Bulan </t>
  </si>
  <si>
    <t>: April 2026</t>
  </si>
  <si>
    <t xml:space="preserve">Pelaksana </t>
  </si>
  <si>
    <t>: Admin PO Non Komersil</t>
  </si>
  <si>
    <t>Tanggal : 30 April 2026</t>
  </si>
  <si>
    <t>Stock</t>
  </si>
  <si>
    <t>Stock Fisik</t>
  </si>
  <si>
    <t>Selisih</t>
  </si>
  <si>
    <t>Satuan</t>
  </si>
  <si>
    <t>Lokasi</t>
  </si>
  <si>
    <t>Jam Dinding</t>
  </si>
  <si>
    <t>30 cm</t>
  </si>
  <si>
    <t>Pcs</t>
  </si>
  <si>
    <t>-</t>
  </si>
  <si>
    <t>Notebook Hardcover</t>
  </si>
  <si>
    <t>A5</t>
  </si>
  <si>
    <t>AA1 (Baterai jam dinding)</t>
  </si>
  <si>
    <t>Buku Barcode BASF</t>
  </si>
  <si>
    <t>bendel</t>
  </si>
  <si>
    <t xml:space="preserve">Ekonomi </t>
  </si>
  <si>
    <t>1500 ml Jeruk Nipis</t>
  </si>
  <si>
    <t>Pack</t>
  </si>
  <si>
    <t>Gembok</t>
  </si>
  <si>
    <t>Kecil Lubang Besar</t>
  </si>
  <si>
    <t xml:space="preserve">Kertas </t>
  </si>
  <si>
    <t>Flipcart</t>
  </si>
  <si>
    <t>lembar</t>
  </si>
  <si>
    <t xml:space="preserve">Kresek </t>
  </si>
  <si>
    <t>Kecil</t>
  </si>
  <si>
    <t>24 cm</t>
  </si>
  <si>
    <t>55 cm</t>
  </si>
  <si>
    <t>Kwitansi</t>
  </si>
  <si>
    <t xml:space="preserve">Lampu Hannochs </t>
  </si>
  <si>
    <t>9 Watt Sonic</t>
  </si>
  <si>
    <t>Btl</t>
  </si>
  <si>
    <t>Lem</t>
  </si>
  <si>
    <t>Lem Stick</t>
  </si>
  <si>
    <t xml:space="preserve">Paper Fastener </t>
  </si>
  <si>
    <t>Paper Fastener V-Tec (50 Sets)</t>
  </si>
  <si>
    <t>Pita Printer</t>
  </si>
  <si>
    <t xml:space="preserve">Sticky Note </t>
  </si>
  <si>
    <t>Tinta Epson 664</t>
  </si>
  <si>
    <t>Yellow</t>
  </si>
  <si>
    <t>Cyan</t>
  </si>
  <si>
    <t>Magenta</t>
  </si>
  <si>
    <t>Paper Bag</t>
  </si>
  <si>
    <t>26 x 36 x 8 cm</t>
  </si>
  <si>
    <t>ARSIP</t>
  </si>
  <si>
    <t>Nota Kasbon Driver</t>
  </si>
  <si>
    <t xml:space="preserve">Nota Tanda Terima </t>
  </si>
  <si>
    <t xml:space="preserve">Tanda Terima </t>
  </si>
  <si>
    <t xml:space="preserve">Nota Kasbon </t>
  </si>
  <si>
    <t>Umum</t>
  </si>
  <si>
    <t>Nota PH</t>
  </si>
  <si>
    <t>Bukti Potongan Harga</t>
  </si>
  <si>
    <t>Isi Bulpen Cetekan</t>
  </si>
  <si>
    <t>ATK 1</t>
  </si>
  <si>
    <t>Buku Hardcover</t>
  </si>
  <si>
    <t>1/2 Folio</t>
  </si>
  <si>
    <t>Pensil</t>
  </si>
  <si>
    <t>Kayu Faber Castel</t>
  </si>
  <si>
    <t>Rautan</t>
  </si>
  <si>
    <t>Putar / Mekanik</t>
  </si>
  <si>
    <t>Paperclip</t>
  </si>
  <si>
    <t>Trigonal No. 3 (25mm)</t>
  </si>
  <si>
    <t>kotak</t>
  </si>
  <si>
    <t>Lampu UV</t>
  </si>
  <si>
    <t>untuk uang</t>
  </si>
  <si>
    <t>Kecil kalkulaor</t>
  </si>
  <si>
    <t>Refil Spidol Boardmarker</t>
  </si>
  <si>
    <t>Pipih 15 watt</t>
  </si>
  <si>
    <t>Charger AAA</t>
  </si>
  <si>
    <t>AAA</t>
  </si>
  <si>
    <t xml:space="preserve">Benang Jahit Putih </t>
  </si>
  <si>
    <t>Roll</t>
  </si>
  <si>
    <t>Buku Tulis</t>
  </si>
  <si>
    <t xml:space="preserve">Ukuran Folio </t>
  </si>
  <si>
    <t>Bulpen Cetekan</t>
  </si>
  <si>
    <t>Bulpen Hitam Cetekan</t>
  </si>
  <si>
    <t>CDR</t>
  </si>
  <si>
    <t>Disket</t>
  </si>
  <si>
    <t>Isi Staples</t>
  </si>
  <si>
    <t>No. 3</t>
  </si>
  <si>
    <t>No. 10</t>
  </si>
  <si>
    <t>No. 1215</t>
  </si>
  <si>
    <t>Isi Pensil</t>
  </si>
  <si>
    <t>Lead 0.5</t>
  </si>
  <si>
    <t>Jarum Karung</t>
  </si>
  <si>
    <t>Kalkulator</t>
  </si>
  <si>
    <t>Citizen</t>
  </si>
  <si>
    <t>Kartu Stok</t>
  </si>
  <si>
    <t>Kuning</t>
  </si>
  <si>
    <t>Stiker</t>
  </si>
  <si>
    <t>lbr</t>
  </si>
  <si>
    <t>Loose Leaf B5</t>
  </si>
  <si>
    <t>Loose Leaf A5</t>
  </si>
  <si>
    <t>Kertas Label</t>
  </si>
  <si>
    <t>No. 121 (38x76mm)</t>
  </si>
  <si>
    <t>Karbon</t>
  </si>
  <si>
    <t>Kuas</t>
  </si>
  <si>
    <t>4 dim</t>
  </si>
  <si>
    <t>Pipih 12 Watt</t>
  </si>
  <si>
    <t>25 Watt Sonic</t>
  </si>
  <si>
    <t>Lampu Sorot</t>
  </si>
  <si>
    <t>Lampu Sorot 50 Watt, Cahaya Putih.</t>
  </si>
  <si>
    <t>Masker</t>
  </si>
  <si>
    <t>Trigonal No.1 (28mm)</t>
  </si>
  <si>
    <t>Penghapus</t>
  </si>
  <si>
    <t>Faber Castel</t>
  </si>
  <si>
    <t xml:space="preserve">Pensil Mekanik </t>
  </si>
  <si>
    <t>Faber Castell</t>
  </si>
  <si>
    <t>Plong</t>
  </si>
  <si>
    <t>Target Durable Punch</t>
  </si>
  <si>
    <t>Sarung Tangan</t>
  </si>
  <si>
    <t>Latex Hitam</t>
  </si>
  <si>
    <t>Spidol Board Marker</t>
  </si>
  <si>
    <t>Spidol Permanent Marker</t>
  </si>
  <si>
    <t>spidol maker Jumbo</t>
  </si>
  <si>
    <t xml:space="preserve">Spidol Board Maker </t>
  </si>
  <si>
    <t>Spidol maker Jumbo</t>
  </si>
  <si>
    <t>Stater</t>
  </si>
  <si>
    <t>Kecil (37651)</t>
  </si>
  <si>
    <t>Tinta Printer HP</t>
  </si>
  <si>
    <t>Magenta - GT52</t>
  </si>
  <si>
    <t>Yellow - GT52</t>
  </si>
  <si>
    <t>Cyan - GT52</t>
  </si>
  <si>
    <t xml:space="preserve">Tinta EPSON 003 </t>
  </si>
  <si>
    <t>CYAN</t>
  </si>
  <si>
    <t>MAGENTA</t>
  </si>
  <si>
    <t>YELLOW</t>
  </si>
  <si>
    <t>BLACK</t>
  </si>
  <si>
    <t>Hitam - GT53</t>
  </si>
  <si>
    <t>Tinta Stampel</t>
  </si>
  <si>
    <t>Trodat 7011 - 25 ml - Biru</t>
  </si>
  <si>
    <t>TipeX</t>
  </si>
  <si>
    <t>Kertas</t>
  </si>
  <si>
    <t>Cair</t>
  </si>
  <si>
    <t>Coklat polos ukuran folio</t>
  </si>
  <si>
    <t>ATK 2</t>
  </si>
  <si>
    <t>Kertas Bufalo</t>
  </si>
  <si>
    <t>Batrai ABC</t>
  </si>
  <si>
    <t>Jumbo</t>
  </si>
  <si>
    <t>Sedang</t>
  </si>
  <si>
    <t>Hitam 35 cm x 60 cm</t>
  </si>
  <si>
    <t>Notepad Kecil</t>
  </si>
  <si>
    <t>Ukuran A6</t>
  </si>
  <si>
    <t xml:space="preserve">Binder Clips </t>
  </si>
  <si>
    <t>No. 107 (1,9cm)</t>
  </si>
  <si>
    <t>Bulpen Gel</t>
  </si>
  <si>
    <t xml:space="preserve">Amplop Coklat </t>
  </si>
  <si>
    <t>1/2 Folio Ukuran 19 x 25</t>
  </si>
  <si>
    <t>Autan Lotion</t>
  </si>
  <si>
    <t>Untuk membersihkan tulisan pada barang retur</t>
  </si>
  <si>
    <t xml:space="preserve">Binder Clips  </t>
  </si>
  <si>
    <t>No. 111  (2,5cm)</t>
  </si>
  <si>
    <t>No.155 (3,2cm)</t>
  </si>
  <si>
    <t>Cable Tie</t>
  </si>
  <si>
    <t>Kabel Tis/Tali Krek. 4.8 x 400mm. Isi 100 pcs.</t>
  </si>
  <si>
    <t xml:space="preserve">Demacolin </t>
  </si>
  <si>
    <t>Obat Batuk dan Flu</t>
  </si>
  <si>
    <t>HeadPhone Logiteck</t>
  </si>
  <si>
    <t>untuk telfon SC</t>
  </si>
  <si>
    <t xml:space="preserve">Isi Bulpen </t>
  </si>
  <si>
    <t>Pak Agoes</t>
  </si>
  <si>
    <t>3/4" x 20 Yard</t>
  </si>
  <si>
    <t>Kecil Lubang Kecil</t>
  </si>
  <si>
    <t>Karet</t>
  </si>
  <si>
    <t>Hitam Sampah</t>
  </si>
  <si>
    <t>28 cm</t>
  </si>
  <si>
    <t>40 cm</t>
  </si>
  <si>
    <t>Hitam 15 cm</t>
  </si>
  <si>
    <t>Kg</t>
  </si>
  <si>
    <t>Hitam 24 cm</t>
  </si>
  <si>
    <t>Fragile</t>
  </si>
  <si>
    <t xml:space="preserve">Lampu H4 </t>
  </si>
  <si>
    <t xml:space="preserve">Lem Sealer Bening </t>
  </si>
  <si>
    <t xml:space="preserve">Map </t>
  </si>
  <si>
    <t>L bening</t>
  </si>
  <si>
    <t>Map</t>
  </si>
  <si>
    <t>L (Hijau)</t>
  </si>
  <si>
    <t>L Merah</t>
  </si>
  <si>
    <t>Map Business File</t>
  </si>
  <si>
    <t>Map Plong Plastik</t>
  </si>
  <si>
    <t>Minyak Ikan</t>
  </si>
  <si>
    <t>Jumbo No. 5 (50mm)</t>
  </si>
  <si>
    <t>Pasta</t>
  </si>
  <si>
    <t>Thermal Paste</t>
  </si>
  <si>
    <t>Pita Kawat File</t>
  </si>
  <si>
    <t xml:space="preserve">Pita Kawat Metalik </t>
  </si>
  <si>
    <t>Seal Tip</t>
  </si>
  <si>
    <t>Vitamin C 250mg</t>
  </si>
  <si>
    <t>Double Tape Kecil</t>
  </si>
  <si>
    <t>1/2"</t>
  </si>
  <si>
    <t>ATK 3</t>
  </si>
  <si>
    <t>Panjang Perekat</t>
  </si>
  <si>
    <t>Sedang Perekat</t>
  </si>
  <si>
    <t>Kecil Perekat</t>
  </si>
  <si>
    <t>Panjang Non Perekat</t>
  </si>
  <si>
    <t>Benang Bol</t>
  </si>
  <si>
    <t>Putih</t>
  </si>
  <si>
    <t>Double tape spon</t>
  </si>
  <si>
    <t>24MM X 5 Meter</t>
  </si>
  <si>
    <t>Flyer Thank You</t>
  </si>
  <si>
    <t>Online Shop Karisma</t>
  </si>
  <si>
    <t>Label Thermal</t>
  </si>
  <si>
    <t>100 x 150</t>
  </si>
  <si>
    <t>Hitam Besar (48MM)</t>
  </si>
  <si>
    <t>Sumpit</t>
  </si>
  <si>
    <t>Merk Panda</t>
  </si>
  <si>
    <t>Kapur Ajaib</t>
  </si>
  <si>
    <t>Bagus</t>
  </si>
  <si>
    <t>CLEANING</t>
  </si>
  <si>
    <t xml:space="preserve">Aceton </t>
  </si>
  <si>
    <t>200 ml</t>
  </si>
  <si>
    <t>Baygon Semprotan Anti Nyamuk</t>
  </si>
  <si>
    <t>kemasan 750 ml</t>
  </si>
  <si>
    <t>CITRIC ACID/GARAM ASAM</t>
  </si>
  <si>
    <t>Cling</t>
  </si>
  <si>
    <t>425 ml Apple Fresh</t>
  </si>
  <si>
    <t>Dettol</t>
  </si>
  <si>
    <t>750 ml</t>
  </si>
  <si>
    <t>Harpic</t>
  </si>
  <si>
    <t>450 ml Original</t>
  </si>
  <si>
    <t>Pengharum Ruangan</t>
  </si>
  <si>
    <t>Stela Pocket</t>
  </si>
  <si>
    <t>Refil Stella Otomatis</t>
  </si>
  <si>
    <t xml:space="preserve">Rinso Detergen </t>
  </si>
  <si>
    <t>Ltr</t>
  </si>
  <si>
    <t>Proyek</t>
  </si>
  <si>
    <t>770 ml Apple</t>
  </si>
  <si>
    <t>Swallow Toilet Colour Ball</t>
  </si>
  <si>
    <t xml:space="preserve">Vanish </t>
  </si>
  <si>
    <t>150 ml</t>
  </si>
  <si>
    <t>Vixal</t>
  </si>
  <si>
    <t>750 ml Lemon</t>
  </si>
  <si>
    <t>Box File</t>
  </si>
  <si>
    <t>Lipat</t>
  </si>
  <si>
    <t>R BELAKANG</t>
  </si>
  <si>
    <t>Kertas Continuous TTB</t>
  </si>
  <si>
    <t>9,5 x 11 : 2 - 4 ply NCR</t>
  </si>
  <si>
    <t>Box</t>
  </si>
  <si>
    <t>F4</t>
  </si>
  <si>
    <t>A4</t>
  </si>
  <si>
    <t>4 Ply NCR PRS</t>
  </si>
  <si>
    <t>3 Ply NCR</t>
  </si>
  <si>
    <t>Kertas Kuning</t>
  </si>
  <si>
    <t>Lampu Philips</t>
  </si>
  <si>
    <t>TL 36 Watt</t>
  </si>
  <si>
    <t>Map Plastik</t>
  </si>
  <si>
    <t>Display Book/Clear Holder</t>
  </si>
  <si>
    <t>Mika Harga</t>
  </si>
  <si>
    <t>Warna Biru Ukuran P. 89 x L. 4.2 cm</t>
  </si>
  <si>
    <t>Karung Zak Sedang</t>
  </si>
  <si>
    <t>Ukuran 115 x 75 cm</t>
  </si>
  <si>
    <t>Tissue</t>
  </si>
  <si>
    <t>Paseo 540 ply</t>
  </si>
  <si>
    <t>Total Barang Non Komersil</t>
  </si>
  <si>
    <t>Total QTY Barang Tidak Klop Belum PO/Adj</t>
  </si>
  <si>
    <t>Total Jenis Barang Tidak Klop Belum PO/Adj</t>
  </si>
  <si>
    <t>% Barang Klop Berdasarkan Qty</t>
  </si>
  <si>
    <t>% Barang Klop Berdasarkan Jenis Barang</t>
  </si>
  <si>
    <t>Daftar List Inisiatif</t>
  </si>
  <si>
    <t>No</t>
  </si>
  <si>
    <t xml:space="preserve">Tanggal Inisiatif </t>
  </si>
  <si>
    <t>Inisiatif</t>
  </si>
  <si>
    <t>Planning</t>
  </si>
  <si>
    <t>Tanggal Dilakukan</t>
  </si>
  <si>
    <t>Terealisasi</t>
  </si>
  <si>
    <t>Bulan MEI</t>
  </si>
  <si>
    <t>Pembuatan buffer stok barang non komersil</t>
  </si>
  <si>
    <t xml:space="preserve">Membuat list daftar nama barang non komersil beserta minimal stok </t>
  </si>
  <si>
    <t>REVIEW SOP NON KOMERSIL</t>
  </si>
  <si>
    <t>Tanggal Review</t>
  </si>
  <si>
    <t>Judul SOP</t>
  </si>
  <si>
    <t xml:space="preserve">Hasil </t>
  </si>
  <si>
    <t>SOP Pengajuan Barang Non Komersil</t>
  </si>
  <si>
    <t xml:space="preserve">SOP Pemilihan Vendor PO Non Komersil </t>
  </si>
  <si>
    <t>Sudah relevan</t>
  </si>
  <si>
    <t>PO Pengadaan Barang Promosi</t>
  </si>
  <si>
    <t>Surat Perintah Pengambilan Barang</t>
  </si>
  <si>
    <t>Revisi SOP dengan menambah target pengadaan barang PO Non komersil</t>
  </si>
  <si>
    <r>
      <t xml:space="preserve">d. Admin PO Non Komersil meminta persetujuan PO Digital kepada kepala departemen melalui wa/ outlook messenger dengan ketentuan approval maksimal </t>
    </r>
    <r>
      <rPr>
        <sz val="11"/>
        <color rgb="FFFF0000"/>
        <rFont val="Times New Roman"/>
        <family val="1"/>
      </rPr>
      <t xml:space="preserve">H+0 untuk barang umum/custom yang biasa dibeli dan maksimal H+1 untuk barang yang tidak biasa dibeli
</t>
    </r>
    <r>
      <rPr>
        <sz val="11"/>
        <rFont val="Times New Roman"/>
        <family val="1"/>
      </rPr>
      <t xml:space="preserve">f. Apabila Direksi sudah menyetujui, form PO barang non komersil dapat direalisasikan maksimal </t>
    </r>
    <r>
      <rPr>
        <sz val="11"/>
        <color rgb="FFFF0000"/>
        <rFont val="Times New Roman"/>
        <family val="1"/>
      </rPr>
      <t xml:space="preserve">H+0 </t>
    </r>
    <r>
      <rPr>
        <sz val="11"/>
        <rFont val="Times New Roman"/>
        <family val="1"/>
      </rPr>
      <t xml:space="preserve">sejak persetujuan Direksi (dengan pengecualian untuk pembelian barang tertentu, seperti pembelian dalam jumlah besar atau barang yang membutuhkan pre-order).
g. </t>
    </r>
    <r>
      <rPr>
        <sz val="11"/>
        <color rgb="FFFF0000"/>
        <rFont val="Times New Roman"/>
        <family val="1"/>
      </rPr>
      <t>Pembelanjaan barang umum non komersil dilakukan mulai dari pengajuan hingga kedatangan barang dengan ketentuan:
1) Vendor offline biasa dibeli maksimal H+1 
2) Vendor online biasa dibeli maksimal H+3 
3) Vendor offline/online tidak biasa dibeli maksimal H+14 
h. Pembelanjaan barang custom yang kedatangan barang diluar kontrol Admin PO Non Komersil, maka pengukuran dihitung mulai dari pengajuan hingga order dengan ketentuan:
1) Vendor offline/online biasa dibeli maksimal 1x24 jam
2) Vendor offline/online tidak biasa dibeli maksimal H+1</t>
    </r>
    <r>
      <rPr>
        <sz val="11"/>
        <rFont val="Times New Roman"/>
        <family val="1"/>
      </rPr>
      <t xml:space="preserve">
</t>
    </r>
  </si>
  <si>
    <t>KARISMA</t>
  </si>
  <si>
    <t>Rekap Laporan Cancel dan Retur PO Non Komersil</t>
  </si>
  <si>
    <t>Periode April 2026</t>
  </si>
  <si>
    <t>Beras Jagung</t>
  </si>
  <si>
    <t>Ciline Official Shop, Shopee</t>
  </si>
  <si>
    <t>Release Bearing</t>
  </si>
  <si>
    <t>003/08/05/2026</t>
  </si>
  <si>
    <t>Offline dan Online</t>
  </si>
  <si>
    <t>Zahra Pet shop (offline) &amp; Kinkatze, Shopee</t>
  </si>
  <si>
    <t>Dibatalkan</t>
  </si>
  <si>
    <t>Dibatalkan karena bahan yang dipakai tidak sesuai</t>
  </si>
  <si>
    <t>ADMINISTRASI PEMBELIAN NON KOMERSIL</t>
  </si>
  <si>
    <t>TOTAL VALUE PEMBELIAN NON KOMERSIL PER DEPARTEMEN</t>
  </si>
  <si>
    <t>VALUE TERTINGGI PEMBELIAN NON KOMERSIL PER DEPARTEMEN</t>
  </si>
  <si>
    <t xml:space="preserve">Periode Januari 2024 - April 2026 </t>
  </si>
  <si>
    <t>Tahun</t>
  </si>
  <si>
    <t>QTY</t>
  </si>
  <si>
    <t>Jenis Transaksi</t>
  </si>
  <si>
    <t>Harga</t>
  </si>
  <si>
    <t>Total Value (Rp)</t>
  </si>
  <si>
    <t>Total per Departemen</t>
  </si>
  <si>
    <t>Value Tertinggi</t>
  </si>
  <si>
    <t>Adaptor 2A</t>
  </si>
  <si>
    <t>Penambahan Barang</t>
  </si>
  <si>
    <t>HDD</t>
  </si>
  <si>
    <t>Ban</t>
  </si>
  <si>
    <t>Laptop</t>
  </si>
  <si>
    <t>Electric Pallet Truck</t>
  </si>
  <si>
    <t>Keling Kampas Rem</t>
  </si>
  <si>
    <t>Tabung Klakson</t>
  </si>
  <si>
    <t>Promosi</t>
  </si>
  <si>
    <t>Timbangan</t>
  </si>
  <si>
    <t>Total Per Tahun</t>
  </si>
  <si>
    <t>Parcel</t>
  </si>
  <si>
    <t>Spare Part</t>
  </si>
  <si>
    <t>Klakson Angin</t>
  </si>
  <si>
    <t>Selang</t>
  </si>
  <si>
    <t>Skale</t>
  </si>
  <si>
    <t>Dop Utama H424V 10 Buah</t>
  </si>
  <si>
    <t>Lampu Besar</t>
  </si>
  <si>
    <t>Lampu LED Box 2 Buah</t>
  </si>
  <si>
    <t>Lampu LED MI 2 Buah</t>
  </si>
  <si>
    <t>Wiper Kaca</t>
  </si>
  <si>
    <t>Kabel 0.85</t>
  </si>
  <si>
    <t>Stang Spion</t>
  </si>
  <si>
    <t>Karet Hati Hati Atas Ban</t>
  </si>
  <si>
    <t>Filter Center Solar Bawah</t>
  </si>
  <si>
    <t>Shock Beker 1 Set</t>
  </si>
  <si>
    <t>Klakson Kecil Denso</t>
  </si>
  <si>
    <t>Oli</t>
  </si>
  <si>
    <t>Cat Emco</t>
  </si>
  <si>
    <t>Kuas Eternal</t>
  </si>
  <si>
    <t>Thinner</t>
  </si>
  <si>
    <t>Talang Air</t>
  </si>
  <si>
    <t>Kaca Film</t>
  </si>
  <si>
    <t>Gardan</t>
  </si>
  <si>
    <t>Center As Hes Roda</t>
  </si>
  <si>
    <t>Pengaman Rem</t>
  </si>
  <si>
    <t>GPS</t>
  </si>
  <si>
    <t>Sepatu Kampas Rem</t>
  </si>
  <si>
    <t>Kampas Resm</t>
  </si>
  <si>
    <t>Pedal</t>
  </si>
  <si>
    <t>Karet Ja</t>
  </si>
  <si>
    <t>Kampas Rem</t>
  </si>
  <si>
    <t>Sil Roda</t>
  </si>
  <si>
    <t>Klakson</t>
  </si>
  <si>
    <t>Dudukan Aki</t>
  </si>
  <si>
    <t>Siler Plafon Cabin</t>
  </si>
  <si>
    <t>Tapel Pir</t>
  </si>
  <si>
    <t>Busy Pen Depan</t>
  </si>
  <si>
    <t>Kampas Rem Belakang</t>
  </si>
  <si>
    <t>Lampu Sain</t>
  </si>
  <si>
    <t>Stel Rem</t>
  </si>
  <si>
    <t>Sil Power</t>
  </si>
  <si>
    <t>Head Filter Solar</t>
  </si>
  <si>
    <t>Lampu Box</t>
  </si>
  <si>
    <t>Busy Pen</t>
  </si>
  <si>
    <t>Klaher Luar</t>
  </si>
  <si>
    <t>Klaher Dalam</t>
  </si>
  <si>
    <t>Kancingan Klaher</t>
  </si>
  <si>
    <t>Persneling gigi 2</t>
  </si>
  <si>
    <t>Klakson &amp; Knalpot</t>
  </si>
  <si>
    <t>Boshing Verb</t>
  </si>
  <si>
    <t>Baut</t>
  </si>
  <si>
    <t>GT 750/16 GT Ban vulkanisir 4 Buah</t>
  </si>
  <si>
    <t>Talang Kabin</t>
  </si>
  <si>
    <t>Pipa Dogkrak</t>
  </si>
  <si>
    <t>Marset</t>
  </si>
  <si>
    <t>GT 750/16 GT Ban vulkanisir 2 Buah</t>
  </si>
  <si>
    <t>GT 750/16 GT Ban vulkanisir 1 Buah</t>
  </si>
  <si>
    <t>GT 750/16 GT Ban vulkanisir 3 Buah</t>
  </si>
  <si>
    <t>Ban Dalam</t>
  </si>
  <si>
    <t>HDMI</t>
  </si>
  <si>
    <t>Kebersihan</t>
  </si>
  <si>
    <t>Leaf Spring</t>
  </si>
  <si>
    <t>Spion</t>
  </si>
  <si>
    <t>Antivirus</t>
  </si>
  <si>
    <t>KEUANGAN</t>
  </si>
  <si>
    <t>Stabilo Highlighter</t>
  </si>
  <si>
    <t>Castrol Magnatec</t>
  </si>
  <si>
    <t>Filter</t>
  </si>
  <si>
    <t>Mesran</t>
  </si>
  <si>
    <t>Grease Vet</t>
  </si>
  <si>
    <t>Filter Solar</t>
  </si>
  <si>
    <t>Mesran R</t>
  </si>
  <si>
    <t>Mesran Meditran</t>
  </si>
  <si>
    <t>Oli Transmisi</t>
  </si>
  <si>
    <t>Kawel</t>
  </si>
  <si>
    <t>Lampu Bos</t>
  </si>
  <si>
    <t>Paper Wrap</t>
  </si>
  <si>
    <t xml:space="preserve">Amplop  </t>
  </si>
  <si>
    <t>Amplop Coklat</t>
  </si>
  <si>
    <t xml:space="preserve">Isolasi </t>
  </si>
  <si>
    <t xml:space="preserve">Kain Lap Fiber </t>
  </si>
  <si>
    <t xml:space="preserve">Keset </t>
  </si>
  <si>
    <t>LOGISTIK</t>
  </si>
  <si>
    <t>sikat lantai</t>
  </si>
  <si>
    <t>Sikat Toilet / WC</t>
  </si>
  <si>
    <t xml:space="preserve">Spidol Board Marker </t>
  </si>
  <si>
    <t>Staples</t>
  </si>
  <si>
    <t>Kunci</t>
  </si>
  <si>
    <t>Ban Bridge Stone E</t>
  </si>
  <si>
    <t>Lem RTV</t>
  </si>
  <si>
    <t>Mrst 16TR</t>
  </si>
  <si>
    <t>Tbl</t>
  </si>
  <si>
    <t>Selang Klak</t>
  </si>
  <si>
    <t>Kabel</t>
  </si>
  <si>
    <t>Klem Selang</t>
  </si>
  <si>
    <t>Busi Fandel</t>
  </si>
  <si>
    <t>Ban 750</t>
  </si>
  <si>
    <t>Kc Spion Cnter</t>
  </si>
  <si>
    <t>Rmh Dop</t>
  </si>
  <si>
    <t>Lamp LED mata</t>
  </si>
  <si>
    <t>ShockBkrBlk</t>
  </si>
  <si>
    <t>Dop AllGlass</t>
  </si>
  <si>
    <t>Marset 12-16TR</t>
  </si>
  <si>
    <t>Lampu LED</t>
  </si>
  <si>
    <t>Filter Solar Bawah</t>
  </si>
  <si>
    <t>Pack As Roda</t>
  </si>
  <si>
    <t>Baut Nepel</t>
  </si>
  <si>
    <t>Karet Rem</t>
  </si>
  <si>
    <t>Mst 16 TR</t>
  </si>
  <si>
    <t>Vulkanisir 1A</t>
  </si>
  <si>
    <t>Vulkanisir 2A</t>
  </si>
  <si>
    <t>Laher</t>
  </si>
  <si>
    <t>Sil Kwr</t>
  </si>
  <si>
    <t>Ring Les</t>
  </si>
  <si>
    <t>Stempet Kyoda</t>
  </si>
  <si>
    <t>Pedal Ban</t>
  </si>
  <si>
    <t>Vulkanisir</t>
  </si>
  <si>
    <t>Ring Has</t>
  </si>
  <si>
    <t>Dop Tio</t>
  </si>
  <si>
    <t>PackAsRd</t>
  </si>
  <si>
    <t>Dop</t>
  </si>
  <si>
    <t>R12TR</t>
  </si>
  <si>
    <t>Putran Kaca</t>
  </si>
  <si>
    <t>Mika Akrilic</t>
  </si>
  <si>
    <t>Grandel Pintu</t>
  </si>
  <si>
    <t>Pelindung Lampu</t>
  </si>
  <si>
    <t>Lampu Sein Konsleting</t>
  </si>
  <si>
    <t>Kayu Oven/Bantalan Jok</t>
  </si>
  <si>
    <t>Karet Gantungan</t>
  </si>
  <si>
    <t>BsngAngher</t>
  </si>
  <si>
    <t>CrbnBrush</t>
  </si>
  <si>
    <t>AngkrStater</t>
  </si>
  <si>
    <t>Teriod Kiri</t>
  </si>
  <si>
    <t>Trek BanSerep</t>
  </si>
  <si>
    <t>Seal Power Stering</t>
  </si>
  <si>
    <t>Long Teri</t>
  </si>
  <si>
    <t>Tampel Pir</t>
  </si>
  <si>
    <t>Karet Sok Beker</t>
  </si>
  <si>
    <t>Busi Pen Kanan</t>
  </si>
  <si>
    <t>Busi Pen Kiri</t>
  </si>
  <si>
    <t>Rep Tiroed</t>
  </si>
  <si>
    <t>Klaher</t>
  </si>
  <si>
    <t>Lampu</t>
  </si>
  <si>
    <t>Klaher Pintu</t>
  </si>
  <si>
    <t>Bantalan Stempel</t>
  </si>
  <si>
    <t>Dus Parcel Besar</t>
  </si>
  <si>
    <t>Dus Parcel Kecil</t>
  </si>
  <si>
    <t>Pertukangan</t>
  </si>
  <si>
    <t>Oli Garden</t>
  </si>
  <si>
    <t>Filter Oli</t>
  </si>
  <si>
    <t>Meditran</t>
  </si>
  <si>
    <t>Filter Audara</t>
  </si>
  <si>
    <t>Nota SPK</t>
  </si>
  <si>
    <t>Cat Semprot</t>
  </si>
  <si>
    <t>Kaca Film Bawah</t>
  </si>
  <si>
    <t xml:space="preserve">Batrai </t>
  </si>
  <si>
    <t xml:space="preserve">Gunting </t>
  </si>
  <si>
    <t>Paper Fastener</t>
  </si>
  <si>
    <t>Stampel</t>
  </si>
  <si>
    <t>Spidol</t>
  </si>
  <si>
    <t>Master Kopling Bawah</t>
  </si>
  <si>
    <t>Slangan Aingin 3 Meter</t>
  </si>
  <si>
    <t>Klem Accu 2 Buah</t>
  </si>
  <si>
    <t>Shock Beker Depan</t>
  </si>
  <si>
    <t>Lampu Kota</t>
  </si>
  <si>
    <t>Sensor Spido</t>
  </si>
  <si>
    <t>Baut Srop</t>
  </si>
  <si>
    <t>Baut 4</t>
  </si>
  <si>
    <t>Karet Kopling Atas</t>
  </si>
  <si>
    <t>Kontrol Ban serep</t>
  </si>
  <si>
    <t>Vant Belt</t>
  </si>
  <si>
    <t>Kabel VR</t>
  </si>
  <si>
    <t>Kipas Kaca</t>
  </si>
  <si>
    <t>Filter Udara Center</t>
  </si>
  <si>
    <t>Baut Roda Belakang</t>
  </si>
  <si>
    <t>WD-401</t>
  </si>
  <si>
    <t>Oli Power Stering</t>
  </si>
  <si>
    <t>Gagang Viper, Baut</t>
  </si>
  <si>
    <t>Parkir</t>
  </si>
  <si>
    <t>Kabel gas&amp;jasa Kabel gas&amp;Tune up</t>
  </si>
  <si>
    <t>Master Rem Atas</t>
  </si>
  <si>
    <t>Kayu Kalimantan</t>
  </si>
  <si>
    <t>Kabel Spedo</t>
  </si>
  <si>
    <t>Mesran Mediteran 2</t>
  </si>
  <si>
    <t>Mesran Mediteran</t>
  </si>
  <si>
    <t>Oli Mitsubishi</t>
  </si>
  <si>
    <t>Oli Gardan</t>
  </si>
  <si>
    <t>Filter Bwah</t>
  </si>
  <si>
    <t>Filter Atas</t>
  </si>
  <si>
    <t>Filter Oli Mesin</t>
  </si>
  <si>
    <t>Mesran Mediteran, Filter Oli</t>
  </si>
  <si>
    <t>Filter Solar, Grase Vit</t>
  </si>
  <si>
    <t>Filter Oli atas</t>
  </si>
  <si>
    <t>Filter oli Mesin</t>
  </si>
  <si>
    <t>Tempat Sampah</t>
  </si>
  <si>
    <t>Lem Kaca Botol</t>
  </si>
  <si>
    <t>Main Filter</t>
  </si>
  <si>
    <t>Pre Filter</t>
  </si>
  <si>
    <t>Materai</t>
  </si>
  <si>
    <t>OR</t>
  </si>
  <si>
    <t>Lampu Kabut</t>
  </si>
  <si>
    <t>Minyak Poer Strering Jumbo</t>
  </si>
  <si>
    <t>GT F0123 Vulk</t>
  </si>
  <si>
    <t>VanBealt</t>
  </si>
  <si>
    <t>Otomatis Klakson</t>
  </si>
  <si>
    <t>GT F3422 Vulk</t>
  </si>
  <si>
    <t>Filter Solar Atas</t>
  </si>
  <si>
    <t>Selang Angin</t>
  </si>
  <si>
    <t>Seal Tape</t>
  </si>
  <si>
    <t>Lem Fox</t>
  </si>
  <si>
    <t>Lampu Bamper Center</t>
  </si>
  <si>
    <t>Klakson Kecil</t>
  </si>
  <si>
    <t>Shock Bkr</t>
  </si>
  <si>
    <t>Skakel</t>
  </si>
  <si>
    <t>Dop Single Engkel</t>
  </si>
  <si>
    <t>GT F3422</t>
  </si>
  <si>
    <t>GT F0122 Vulk</t>
  </si>
  <si>
    <t>Ban Dalam, Marset</t>
  </si>
  <si>
    <t>Marset &amp; Ban Dalam</t>
  </si>
  <si>
    <t>Ban Aeolus</t>
  </si>
  <si>
    <t>RAM PC DDR4</t>
  </si>
  <si>
    <t>SSD M2</t>
  </si>
  <si>
    <t>Talang Air &amp; Penutup Kabin</t>
  </si>
  <si>
    <t>Pir Depan</t>
  </si>
  <si>
    <t>Sduk Pir</t>
  </si>
  <si>
    <t>Kawat Pir</t>
  </si>
  <si>
    <t>Stoper Kre</t>
  </si>
  <si>
    <t>Rem Dpn Long Teriod</t>
  </si>
  <si>
    <t>King Pen</t>
  </si>
  <si>
    <t>Sakelar Seint Center</t>
  </si>
  <si>
    <t>Baut Grendel</t>
  </si>
  <si>
    <t>JS</t>
  </si>
  <si>
    <t>Grendel</t>
  </si>
  <si>
    <t>Long Teriod</t>
  </si>
  <si>
    <t>Spooring</t>
  </si>
  <si>
    <t>Laher Belakang Luar</t>
  </si>
  <si>
    <t>Laher Belakang Dalam</t>
  </si>
  <si>
    <t>Sil Roda Dalam</t>
  </si>
  <si>
    <t>Seler Box Tas</t>
  </si>
  <si>
    <t>Pir Belakang</t>
  </si>
  <si>
    <t>Sunduk Pen</t>
  </si>
  <si>
    <t>Reparasi Long Teriod</t>
  </si>
  <si>
    <t>Pir Kiri Belakang</t>
  </si>
  <si>
    <t>Bpump atas bawah</t>
  </si>
  <si>
    <t>Start Spring</t>
  </si>
  <si>
    <t>Kret ga</t>
  </si>
  <si>
    <t>Kret Kower Belakang</t>
  </si>
  <si>
    <t>Vacumm Pum Bocor</t>
  </si>
  <si>
    <t>Matahari</t>
  </si>
  <si>
    <t>Kipas Kopling</t>
  </si>
  <si>
    <t>Klaher Pintu Box</t>
  </si>
  <si>
    <t>Pangkon Lampu</t>
  </si>
  <si>
    <t>Landasan Pangko</t>
  </si>
  <si>
    <t>Kop Bawah</t>
  </si>
  <si>
    <t>Wiper</t>
  </si>
  <si>
    <t>Apl, Thiner, Kuas, Cat</t>
  </si>
  <si>
    <t>Pensil Mekanik</t>
  </si>
  <si>
    <t>Tatakan Galon</t>
  </si>
  <si>
    <t>Buble Wrap</t>
  </si>
  <si>
    <t>Aganol</t>
  </si>
  <si>
    <t>Ekonomi</t>
  </si>
  <si>
    <t>Sapu Lidi</t>
  </si>
  <si>
    <t>Vanish</t>
  </si>
  <si>
    <t>Kuas Tiner</t>
  </si>
  <si>
    <t>Gula</t>
  </si>
  <si>
    <t>Kopi</t>
  </si>
  <si>
    <t>Lampu Box 4</t>
  </si>
  <si>
    <t>Lampu Box 2</t>
  </si>
  <si>
    <t>Baut Mur</t>
  </si>
  <si>
    <t>Laktun</t>
  </si>
  <si>
    <t>Sunduk Pir</t>
  </si>
  <si>
    <t>Bantalan Center</t>
  </si>
  <si>
    <t>Lampu LED Merah</t>
  </si>
  <si>
    <t>KpsKc</t>
  </si>
  <si>
    <t>Kalher Roda Depan</t>
  </si>
  <si>
    <t>Karet Kowes</t>
  </si>
  <si>
    <t>Fiting Lampu</t>
  </si>
  <si>
    <t>Seal Brake</t>
  </si>
  <si>
    <t>Pen Socket</t>
  </si>
  <si>
    <t>Minyak Tanco</t>
  </si>
  <si>
    <t>Vbelt</t>
  </si>
  <si>
    <t>Klakson Kecil, Kabel 1 roll</t>
  </si>
  <si>
    <t>Klakson, Kaber Roll, Isolasi</t>
  </si>
  <si>
    <t>Wiper Depan</t>
  </si>
  <si>
    <t>Radiator</t>
  </si>
  <si>
    <t>Seal Roda</t>
  </si>
  <si>
    <t>Selebor Belakang</t>
  </si>
  <si>
    <t>Cikrak</t>
  </si>
  <si>
    <t>Sapu Lantai</t>
  </si>
  <si>
    <t>Balancing Ban</t>
  </si>
  <si>
    <t xml:space="preserve">Pot Bunga </t>
  </si>
  <si>
    <t>Rantai Plastik</t>
  </si>
  <si>
    <t>Filter Mitsubishi</t>
  </si>
  <si>
    <t>Mesran Rored</t>
  </si>
  <si>
    <t>Mesran Gardan</t>
  </si>
  <si>
    <t>Filter Oli Mediteran</t>
  </si>
  <si>
    <t xml:space="preserve">Amplop </t>
  </si>
  <si>
    <t>Gunting</t>
  </si>
  <si>
    <t>Refil SpidolPermanent Marker</t>
  </si>
  <si>
    <t>Alat Pel</t>
  </si>
  <si>
    <t>Lem PVC</t>
  </si>
  <si>
    <t>Rain Drain Pl</t>
  </si>
  <si>
    <t>Spidol Permanent Board Marker</t>
  </si>
  <si>
    <t>Ban Depan</t>
  </si>
  <si>
    <t>Ruji</t>
  </si>
  <si>
    <t>Velg</t>
  </si>
  <si>
    <t>Ban Depan Dalam</t>
  </si>
  <si>
    <t>Ban Depan Ori</t>
  </si>
  <si>
    <t>Kenteng &amp; Cat</t>
  </si>
  <si>
    <t>Polki</t>
  </si>
  <si>
    <t>Trimmer Line</t>
  </si>
  <si>
    <t>Klawer Box</t>
  </si>
  <si>
    <t>Bubut</t>
  </si>
  <si>
    <t>Kalher</t>
  </si>
  <si>
    <t>Kampas</t>
  </si>
  <si>
    <t>Teriod</t>
  </si>
  <si>
    <t>Minyak</t>
  </si>
  <si>
    <t>Kower Depan</t>
  </si>
  <si>
    <t>Pangkon</t>
  </si>
  <si>
    <t>Kower Belakang</t>
  </si>
  <si>
    <t>Sekop</t>
  </si>
  <si>
    <t>Wireless Microphone</t>
  </si>
  <si>
    <t>Karpet Hati Hati</t>
  </si>
  <si>
    <t>Wiper Kaca Center</t>
  </si>
  <si>
    <t>Relley 5 Kali</t>
  </si>
  <si>
    <t>Fuse 10</t>
  </si>
  <si>
    <t>Tabung Serep Radiator</t>
  </si>
  <si>
    <t>Tukar Tambah ACC</t>
  </si>
  <si>
    <t>Lampu Corner</t>
  </si>
  <si>
    <t>Shock Breker</t>
  </si>
  <si>
    <t>Lampu Kota LED</t>
  </si>
  <si>
    <t>Kuningan Accu</t>
  </si>
  <si>
    <t>Switch Klakson</t>
  </si>
  <si>
    <t>Kabel Dinamo</t>
  </si>
  <si>
    <t>Pitingan Dob</t>
  </si>
  <si>
    <t>Engkle dan Doble</t>
  </si>
  <si>
    <t>Karet Per Extra</t>
  </si>
  <si>
    <t>Skakel Step Center</t>
  </si>
  <si>
    <t>Oli Bored</t>
  </si>
  <si>
    <t>Oli Bored Gardan</t>
  </si>
  <si>
    <t>Filter Solar atas bawah</t>
  </si>
  <si>
    <t>Vet</t>
  </si>
  <si>
    <t>Oli Bored Transmisi</t>
  </si>
  <si>
    <t>Binder Clips</t>
  </si>
  <si>
    <t>Paper Clips</t>
  </si>
  <si>
    <t>Refil Spidol Board Marker</t>
  </si>
  <si>
    <t>alat kikir geraji</t>
  </si>
  <si>
    <t>Kap Lampu TL</t>
  </si>
  <si>
    <t xml:space="preserve">Selang Air </t>
  </si>
  <si>
    <t>SALES</t>
  </si>
  <si>
    <t>Magic Com</t>
  </si>
  <si>
    <t>Handphone</t>
  </si>
  <si>
    <t>Spion Kanan/Center</t>
  </si>
  <si>
    <t>Sunduk Pir Baja</t>
  </si>
  <si>
    <t>kabel Aki</t>
  </si>
  <si>
    <t>Busi Pen Depan Kiri</t>
  </si>
  <si>
    <t>Kabel Accu</t>
  </si>
  <si>
    <t>set Kabel Lampu Box</t>
  </si>
  <si>
    <t>Kitkop Atas</t>
  </si>
  <si>
    <t>Kopling Bawah</t>
  </si>
  <si>
    <t>KrtFr</t>
  </si>
  <si>
    <t>Otomatis Klaher</t>
  </si>
  <si>
    <t>Saklar Skip</t>
  </si>
  <si>
    <t>Arit</t>
  </si>
  <si>
    <t>asahan celurit</t>
  </si>
  <si>
    <t>Pisau</t>
  </si>
  <si>
    <t>Velg Aspira</t>
  </si>
  <si>
    <t>Cutter</t>
  </si>
  <si>
    <t>Gunting rumput</t>
  </si>
  <si>
    <t>Tune Up</t>
  </si>
  <si>
    <t>Cat Besi Emco</t>
  </si>
  <si>
    <t>Thiner</t>
  </si>
  <si>
    <t>USB OTG</t>
  </si>
  <si>
    <t>Kayu Bantalan</t>
  </si>
  <si>
    <t>Baut Bantalan</t>
  </si>
  <si>
    <t>Sel Roda Luar</t>
  </si>
  <si>
    <t>Sel Roda Dalam</t>
  </si>
  <si>
    <t>Karet Join</t>
  </si>
  <si>
    <t>Gantungan Joint</t>
  </si>
  <si>
    <t>Sapu Sawang Panjang</t>
  </si>
  <si>
    <t>Tang Crimping</t>
  </si>
  <si>
    <t>Ganti Accu &amp; Nepel Accu</t>
  </si>
  <si>
    <t>Ban Depan 2</t>
  </si>
  <si>
    <t>Ban Vulkanisir GT 750-16=2</t>
  </si>
  <si>
    <t>Ban Vulkanisir GT 750-16</t>
  </si>
  <si>
    <t>Mesran Red</t>
  </si>
  <si>
    <t>Mediteran</t>
  </si>
  <si>
    <t>Switch Rem</t>
  </si>
  <si>
    <t>State</t>
  </si>
  <si>
    <t>Selang Power Stering</t>
  </si>
  <si>
    <t>Baut Panjang</t>
  </si>
  <si>
    <t>Karet Stopper Depan</t>
  </si>
  <si>
    <t>Flaser Lighting</t>
  </si>
  <si>
    <t>Air Coolant</t>
  </si>
  <si>
    <t>Baut Roda Kanan</t>
  </si>
  <si>
    <t>Kipas Bocor, Wiper</t>
  </si>
  <si>
    <t>Kabel 1 Rol</t>
  </si>
  <si>
    <t>Fiter Solar Bawah</t>
  </si>
  <si>
    <t>Sensor Spedometer</t>
  </si>
  <si>
    <t>Lampu FoglampRH</t>
  </si>
  <si>
    <t>Lampu FoglampLH</t>
  </si>
  <si>
    <t>Lampu Box Led 2</t>
  </si>
  <si>
    <t>WD40</t>
  </si>
  <si>
    <t>Stella Matic</t>
  </si>
  <si>
    <t>Sulak</t>
  </si>
  <si>
    <t>Pot Gantung</t>
  </si>
  <si>
    <t>Diff Gear Oil</t>
  </si>
  <si>
    <t>Flasher Lampu Sein</t>
  </si>
  <si>
    <t>Tongkat Security</t>
  </si>
  <si>
    <t>Ban Belakang Luar</t>
  </si>
  <si>
    <t>Mesran Mediteran, Grease Vet</t>
  </si>
  <si>
    <t>Foglamp R11</t>
  </si>
  <si>
    <t>HD SSD 128GB</t>
  </si>
  <si>
    <t>Prossesor Ci3</t>
  </si>
  <si>
    <t>Baut, Karet Rem, Reng</t>
  </si>
  <si>
    <t>Karpet Hati - Hati</t>
  </si>
  <si>
    <t>Baut Spakbord Belakang</t>
  </si>
  <si>
    <t>Rem, Turn Up</t>
  </si>
  <si>
    <t>Klaher Roda, Sil Roda</t>
  </si>
  <si>
    <t>Klaher Roda</t>
  </si>
  <si>
    <t>Papan Clipboard</t>
  </si>
  <si>
    <t>Jasa Service</t>
  </si>
  <si>
    <t>Pot Bunga</t>
  </si>
  <si>
    <t>Mesran Mediteran, Mesran Red, Grease Vet</t>
  </si>
  <si>
    <t>Mesran Mediteran, Mesran Red, Filter Solar, Vet</t>
  </si>
  <si>
    <t>Mesran Mediteran, Filter Solar, Vet</t>
  </si>
  <si>
    <t>Mesran Mediteran, Filter Oli, Vet</t>
  </si>
  <si>
    <t>Mesran Mediteran, Filter Solar, Filter Oli</t>
  </si>
  <si>
    <t>Mesran Mediteran, Filter Solar</t>
  </si>
  <si>
    <t xml:space="preserve">Segel Locis </t>
  </si>
  <si>
    <t>Impraboard</t>
  </si>
  <si>
    <t>Kertas SO</t>
  </si>
  <si>
    <t>Media Tanam</t>
  </si>
  <si>
    <t>Pencil Mekanik Faber Castell</t>
  </si>
  <si>
    <t>Spliter HDMI</t>
  </si>
  <si>
    <t>Balancing Roda</t>
  </si>
  <si>
    <t>Brosur Uk.A4 (1 lembar A4 bisa dibuat jadi 2 Brosur)</t>
  </si>
  <si>
    <t>Cover Stir</t>
  </si>
  <si>
    <t>Paket X Banner 160x60 cm + Rangka Tiang</t>
  </si>
  <si>
    <t>Pakis Media Tanam Anggrek</t>
  </si>
  <si>
    <t>Refil Spidol Marker</t>
  </si>
  <si>
    <t>Tinta Epson</t>
  </si>
  <si>
    <t>Tinta EPSON L3210 CYAN</t>
  </si>
  <si>
    <t>Tinta EPSON L3210 Hitam</t>
  </si>
  <si>
    <t>Tinta EPSON L3210 MAGENTA</t>
  </si>
  <si>
    <t>Tinta EPSON L3210 YELLOW</t>
  </si>
  <si>
    <t>Molto</t>
  </si>
  <si>
    <t>Keni</t>
  </si>
  <si>
    <t>Kran Air</t>
  </si>
  <si>
    <t>Sock Drat</t>
  </si>
  <si>
    <t>Kulkas 1 Pintu</t>
  </si>
  <si>
    <t>Proteksi Kabel</t>
  </si>
  <si>
    <t>Akun RajaongkirAPI</t>
  </si>
  <si>
    <t>Segel Locis Security Seal</t>
  </si>
  <si>
    <t>Sticker Postur Lowongan Kerja</t>
  </si>
  <si>
    <t>Lampu Belakang</t>
  </si>
  <si>
    <t>Pack Roda</t>
  </si>
  <si>
    <t>Karet Stpr</t>
  </si>
  <si>
    <t>Saklar</t>
  </si>
  <si>
    <t>Triplek</t>
  </si>
  <si>
    <t>Triplek, Cek Roda, Karet Stpr</t>
  </si>
  <si>
    <t>Rem</t>
  </si>
  <si>
    <t>Kopling, Rem</t>
  </si>
  <si>
    <t>Grendel, Lampu Depan</t>
  </si>
  <si>
    <t>Pir</t>
  </si>
  <si>
    <t>Stpr Pir</t>
  </si>
  <si>
    <t>Karet Sock Bkr</t>
  </si>
  <si>
    <t>E-print Glossy Sticker Paper</t>
  </si>
  <si>
    <t>Karpet Hati2</t>
  </si>
  <si>
    <t>Sekring</t>
  </si>
  <si>
    <t>Klem</t>
  </si>
  <si>
    <t>Soket Seal Beam</t>
  </si>
  <si>
    <t>Air Conditioner (AC)</t>
  </si>
  <si>
    <t xml:space="preserve">Akun Canva </t>
  </si>
  <si>
    <t>Amplas No. 400</t>
  </si>
  <si>
    <t>Cat Pylox</t>
  </si>
  <si>
    <t>Cat Semprot Epoxy</t>
  </si>
  <si>
    <t>Minyak Power Steering</t>
  </si>
  <si>
    <t>HDMI 3M</t>
  </si>
  <si>
    <t>Keyboard Komputer</t>
  </si>
  <si>
    <t>Mouse Komputer</t>
  </si>
  <si>
    <t>Ban Ori</t>
  </si>
  <si>
    <t>Ban Vulkanisir GT 750-16 &amp; 11</t>
  </si>
  <si>
    <t>Ban dalam</t>
  </si>
  <si>
    <t>Mesran Med</t>
  </si>
  <si>
    <t>Mesran Med, Filter Udara</t>
  </si>
  <si>
    <t>Castrol</t>
  </si>
  <si>
    <t>Mesran Med, Filter Oli</t>
  </si>
  <si>
    <t>Kaca Film Atas Bawah</t>
  </si>
  <si>
    <t>Properti - Content Creator</t>
  </si>
  <si>
    <t>Sabun Cuci Tangan</t>
  </si>
  <si>
    <t xml:space="preserve">Buku Folio </t>
  </si>
  <si>
    <t>Ban Dalam Motor</t>
  </si>
  <si>
    <t>Ban Luar Motor</t>
  </si>
  <si>
    <t>Kulkas 2 Pintu</t>
  </si>
  <si>
    <t xml:space="preserve">Kopi </t>
  </si>
  <si>
    <t>Parcel Natal Paket A</t>
  </si>
  <si>
    <t>Parcel Natal Paket B</t>
  </si>
  <si>
    <t>Parcel Natal Paket C</t>
  </si>
  <si>
    <t>Parcel Natal Paket D</t>
  </si>
  <si>
    <t>Parcel Natal Paket E</t>
  </si>
  <si>
    <t>Mockup</t>
  </si>
  <si>
    <t>Sapu Lidi Gagang Kayu</t>
  </si>
  <si>
    <t>Dreak Laser</t>
  </si>
  <si>
    <t>Foto dan Frame ukuran 30x40 cm / 12R</t>
  </si>
  <si>
    <t xml:space="preserve">Gunting rumput </t>
  </si>
  <si>
    <t>Tiang Peyangga Bonsai Atau Anggrek</t>
  </si>
  <si>
    <t>Lighting INBEX IP80 80 W + Tripod</t>
  </si>
  <si>
    <t>Sepatu Boots</t>
  </si>
  <si>
    <t>Tripod kamera HP</t>
  </si>
  <si>
    <t>Adaptor Microphone</t>
  </si>
  <si>
    <t>Kabel Coaxial RG6 + Adaptor</t>
  </si>
  <si>
    <t>MicroSD</t>
  </si>
  <si>
    <t xml:space="preserve">Tiang Peyangga Bonsai Atau Anggrek </t>
  </si>
  <si>
    <t>Master Kopling</t>
  </si>
  <si>
    <t>Baut Kancing</t>
  </si>
  <si>
    <t>Matahari Center</t>
  </si>
  <si>
    <t>Sil Roda Luar</t>
  </si>
  <si>
    <t>Karpet Hati-Hati</t>
  </si>
  <si>
    <t>Baut &amp; Ring</t>
  </si>
  <si>
    <t>Filt Solar Bawah</t>
  </si>
  <si>
    <t>Kabel Aki 30 cm</t>
  </si>
  <si>
    <t>Beras Menir</t>
  </si>
  <si>
    <t>Microphone Wireless Iphone</t>
  </si>
  <si>
    <t>lampu Osram</t>
  </si>
  <si>
    <t>Spidol Permanent Marker Jumbo</t>
  </si>
  <si>
    <t>Ban Aeolus Ori</t>
  </si>
  <si>
    <t>Marset, Tambal Ban</t>
  </si>
  <si>
    <t>Ban Vulk GT 750-16</t>
  </si>
  <si>
    <t>Cantolan</t>
  </si>
  <si>
    <t>Monitor Komputer LG</t>
  </si>
  <si>
    <t>Kotak makan burung</t>
  </si>
  <si>
    <t>Sikat Lantai Gagang Panjang</t>
  </si>
  <si>
    <t>Stella Aerosol / Stella Semprot</t>
  </si>
  <si>
    <t>Fil Udara, Vet</t>
  </si>
  <si>
    <t>Filt Oli</t>
  </si>
  <si>
    <t>Filt Solar</t>
  </si>
  <si>
    <t>Filt Solar, Vet</t>
  </si>
  <si>
    <t>Steker Listrik Gepeng</t>
  </si>
  <si>
    <t xml:space="preserve">Sulak </t>
  </si>
  <si>
    <t>Air Chuck 2 in 1 Pengisi Angin Tire Chuck</t>
  </si>
  <si>
    <t>Air Chuck Tekiro 6 Inch</t>
  </si>
  <si>
    <t>Kran Angin Kompresor Kuningan 1/4Inch</t>
  </si>
  <si>
    <t xml:space="preserve">lampu Osram </t>
  </si>
  <si>
    <t>Alas meja</t>
  </si>
  <si>
    <t>Call Bell</t>
  </si>
  <si>
    <t>Kartu Telkomsel</t>
  </si>
  <si>
    <t>Sambungan ACCU +/-</t>
  </si>
  <si>
    <t>Media Tanam Trubus</t>
  </si>
  <si>
    <t>Pupuk Kompos Trubus</t>
  </si>
  <si>
    <t xml:space="preserve">Scotlet Warna Merah </t>
  </si>
  <si>
    <t>Scotlet Warna Putih</t>
  </si>
  <si>
    <t>Tinta Printer</t>
  </si>
  <si>
    <t>Ban Dalam Truck</t>
  </si>
  <si>
    <t>Cetok  Semen</t>
  </si>
  <si>
    <t>Gayung</t>
  </si>
  <si>
    <t>kanebo</t>
  </si>
  <si>
    <t>Lampu Dop Engkel 12 volt</t>
  </si>
  <si>
    <t>Roskam Kayu</t>
  </si>
  <si>
    <t>Tali Rami Goni</t>
  </si>
  <si>
    <t>Timba Air</t>
  </si>
  <si>
    <t>Dettol Hand Sanitizer</t>
  </si>
  <si>
    <t>lem Uhu</t>
  </si>
  <si>
    <t>Paket PC MIA</t>
  </si>
  <si>
    <t>CPU - PC Pos</t>
  </si>
  <si>
    <t>Kabel LAN CCTV</t>
  </si>
  <si>
    <t>Motherboard - PC Pos</t>
  </si>
  <si>
    <t>RAM - PC Pos</t>
  </si>
  <si>
    <t>SSD - PC Pos</t>
  </si>
  <si>
    <t>VGA - PC Pos</t>
  </si>
  <si>
    <t>Monitor Komputer SPC</t>
  </si>
  <si>
    <t>Ban Luar</t>
  </si>
  <si>
    <t xml:space="preserve">Geraji Dahan </t>
  </si>
  <si>
    <t>Kursi</t>
  </si>
  <si>
    <t>lem Sillicone Rubber Sealent</t>
  </si>
  <si>
    <t>photo paper</t>
  </si>
  <si>
    <t xml:space="preserve">Traffic Cone </t>
  </si>
  <si>
    <t>Cop Pompa Ban</t>
  </si>
  <si>
    <t>Selang Pompa Angin</t>
  </si>
  <si>
    <t>Pisau Buah Ukuran 19 cm</t>
  </si>
  <si>
    <t>Cat Marka Jalan</t>
  </si>
  <si>
    <t xml:space="preserve">Nampan Baki </t>
  </si>
  <si>
    <t>Cover CCTV Outdoor</t>
  </si>
  <si>
    <t>Microphone Wireless Meeting</t>
  </si>
  <si>
    <t>OTG Microphone HRD</t>
  </si>
  <si>
    <t>Printer LX310</t>
  </si>
  <si>
    <t>Banner No Smoking Area</t>
  </si>
  <si>
    <t>Stiky Note</t>
  </si>
  <si>
    <t>Baterai Laptop ICS</t>
  </si>
  <si>
    <t>CPU PC</t>
  </si>
  <si>
    <t>Motherboard PC</t>
  </si>
  <si>
    <t>RAM PC 8 Gb</t>
  </si>
  <si>
    <t>SSD 128 Gb</t>
  </si>
  <si>
    <t>Sticker Poster Lowongan Kerja</t>
  </si>
  <si>
    <t>Kapstok</t>
  </si>
  <si>
    <t>Sepatu PDH</t>
  </si>
  <si>
    <t>Kabel Roll</t>
  </si>
  <si>
    <t>Pin Nama Dada/Pin Name Tag</t>
  </si>
  <si>
    <t>Polish Pledge</t>
  </si>
  <si>
    <t>Baliho</t>
  </si>
  <si>
    <t>Brosur</t>
  </si>
  <si>
    <t>Flagging / Nava</t>
  </si>
  <si>
    <t>Meja Display</t>
  </si>
  <si>
    <t>Tenda</t>
  </si>
  <si>
    <t>Umbul - Umbul</t>
  </si>
  <si>
    <t>Hd ssd 128gb</t>
  </si>
  <si>
    <t>Map Warna</t>
  </si>
  <si>
    <t>Access Point Network Router WIFI</t>
  </si>
  <si>
    <t xml:space="preserve">HUB Network Switch </t>
  </si>
  <si>
    <t>Lampu Dop Warna Merah 4 Watt</t>
  </si>
  <si>
    <t>Mata kunci sock 36 mm</t>
  </si>
  <si>
    <t xml:space="preserve">Bed Security </t>
  </si>
  <si>
    <t>Kain Atasan Krem/Kuning</t>
  </si>
  <si>
    <t>Kain Bawahan Coklat</t>
  </si>
  <si>
    <t>Kain Safari Atasan dan Bawahan</t>
  </si>
  <si>
    <t>Kantong Plastik yang ada sealnya</t>
  </si>
  <si>
    <t>Kaos Dalam Security</t>
  </si>
  <si>
    <t>Sepatu PDL</t>
  </si>
  <si>
    <t>Basmut Pembasmi Lumut</t>
  </si>
  <si>
    <t>kaporit</t>
  </si>
  <si>
    <t>Sikat Besi</t>
  </si>
  <si>
    <t>Papan Presentasi (Flipchart)</t>
  </si>
  <si>
    <t>Konektor Kabel LAN (Internet)</t>
  </si>
  <si>
    <t>Water Coolant</t>
  </si>
  <si>
    <t>MESRAN MEDITERAN SX 1 LITER</t>
  </si>
  <si>
    <t>MESRAN MEDITERAN SX 10 Liter</t>
  </si>
  <si>
    <t>MESRAN MEDITERAN SX 4 LITER</t>
  </si>
  <si>
    <t xml:space="preserve">Kabel Telepon Spiral </t>
  </si>
  <si>
    <t xml:space="preserve">Pigura </t>
  </si>
  <si>
    <t>Piala</t>
  </si>
  <si>
    <t>Refill Kain Pel Lantai Warna Biru</t>
  </si>
  <si>
    <t>Lampu sorot track LED 10W 3000K</t>
  </si>
  <si>
    <t>Steker T Listrik Cabang 3</t>
  </si>
  <si>
    <t>Remover</t>
  </si>
  <si>
    <t>Ribbon Cartridge Printer Dot Matrix</t>
  </si>
  <si>
    <t>Pahat Beton Rata</t>
  </si>
  <si>
    <t>Pesawat Telpon</t>
  </si>
  <si>
    <t>Busa</t>
  </si>
  <si>
    <t>Tiang Antrian Stainless</t>
  </si>
  <si>
    <t>Tusuk Sate</t>
  </si>
  <si>
    <t>Sepeda Listrik</t>
  </si>
  <si>
    <t>Sikat Putar</t>
  </si>
  <si>
    <t>Kunci Pas Nepel ukuran 8 ~ 17 mm</t>
  </si>
  <si>
    <t>Charger Type C</t>
  </si>
  <si>
    <t>Charger USB HP</t>
  </si>
  <si>
    <t>HDD CCTV 4TB</t>
  </si>
  <si>
    <t>Kabel Listrik CCTV</t>
  </si>
  <si>
    <t>Kabel Power LG</t>
  </si>
  <si>
    <t>kertas Continous</t>
  </si>
  <si>
    <t>Stang roda</t>
  </si>
  <si>
    <t>Spidol Marker</t>
  </si>
  <si>
    <t>Palu Batu Beton</t>
  </si>
  <si>
    <t>CPU i3 Gen 12</t>
  </si>
  <si>
    <t>Motherboard - PC</t>
  </si>
  <si>
    <t>Motherboard L1700</t>
  </si>
  <si>
    <t>VGA PC</t>
  </si>
  <si>
    <t>Cartridge HP 310</t>
  </si>
  <si>
    <t xml:space="preserve">Baterai Laptop </t>
  </si>
  <si>
    <t>Karung Zak Kecil</t>
  </si>
  <si>
    <t>Media Tanam Anggrek</t>
  </si>
  <si>
    <t>Plastik ID / Mika Name tag</t>
  </si>
  <si>
    <t>Tissue Roll</t>
  </si>
  <si>
    <t>Tape Dispenser/Cutter</t>
  </si>
  <si>
    <t>Mesin cuci</t>
  </si>
  <si>
    <t>Promag Tablet</t>
  </si>
  <si>
    <t>Banner Kios</t>
  </si>
  <si>
    <t>Jemuran Handuk</t>
  </si>
  <si>
    <t xml:space="preserve">Kipas Angin </t>
  </si>
  <si>
    <t>Sepatu Kampas Type 136HDX</t>
  </si>
  <si>
    <t>Paket Mukena</t>
  </si>
  <si>
    <t>Paket Sembako</t>
  </si>
  <si>
    <t>Parcel Idul Fitri Paket A</t>
  </si>
  <si>
    <t>Parcel Idul Fitri Paket B</t>
  </si>
  <si>
    <t>Parcel Idul Fitri Paket C</t>
  </si>
  <si>
    <t>Parcel Idul Fitri Paket D</t>
  </si>
  <si>
    <t>Parcel Idul Fitri Paket E</t>
  </si>
  <si>
    <t>Parcel Nyepi Paket A</t>
  </si>
  <si>
    <t>Parcel Nyepi Paket B</t>
  </si>
  <si>
    <t>Parcel Nyepi Paket C</t>
  </si>
  <si>
    <t>Parcel Nyepi Paket D</t>
  </si>
  <si>
    <t>Parcel Nyepi Paket E</t>
  </si>
  <si>
    <t>Kabel Paralel Accu</t>
  </si>
  <si>
    <t>Karet Gantungan Joint Canter</t>
  </si>
  <si>
    <t>Capcut Pro</t>
  </si>
  <si>
    <t>Earphone Editting CC</t>
  </si>
  <si>
    <t>Lighting INBEX Softnox Kit</t>
  </si>
  <si>
    <t>Microphone 4 Wireless</t>
  </si>
  <si>
    <t>Vinyl Backlite</t>
  </si>
  <si>
    <t>Bracket TV LED 50 inch</t>
  </si>
  <si>
    <t>Fingerprint Revo WF-206BNC</t>
  </si>
  <si>
    <t>Van Belt  Mitshubisi</t>
  </si>
  <si>
    <t>Stabilo Boss Original</t>
  </si>
  <si>
    <t>klem Selang</t>
  </si>
  <si>
    <t>Selang Klakson</t>
  </si>
  <si>
    <t>Van Belt</t>
  </si>
  <si>
    <t>Selotip Kran Air</t>
  </si>
  <si>
    <t>Flyer thx Online Shop</t>
  </si>
  <si>
    <t>Tutup Roda Depan</t>
  </si>
  <si>
    <t>USB WIFI</t>
  </si>
  <si>
    <t>Adaptor Mikrotik 24V</t>
  </si>
  <si>
    <t>Mouse &amp; Keyboard 1 set Bluetooth</t>
  </si>
  <si>
    <t>Otomatis Klakson Angin</t>
  </si>
  <si>
    <t>Kaos</t>
  </si>
  <si>
    <t xml:space="preserve">Kaos </t>
  </si>
  <si>
    <t>Relay Lampu Canter</t>
  </si>
  <si>
    <t>Ban Luar Belakang - Futura</t>
  </si>
  <si>
    <t>Plot Sign / Nava</t>
  </si>
  <si>
    <t>Poster Evergreen</t>
  </si>
  <si>
    <t xml:space="preserve">Bulpen </t>
  </si>
  <si>
    <t>Master Kopling Atas</t>
  </si>
  <si>
    <t>CPU i5 Gen 10</t>
  </si>
  <si>
    <t>GPU 4GB</t>
  </si>
  <si>
    <t>Motherboard L1200</t>
  </si>
  <si>
    <t>RAM DDR4</t>
  </si>
  <si>
    <t>Bambu Umbul Umbul</t>
  </si>
  <si>
    <t>Klakson Merk Denso</t>
  </si>
  <si>
    <t>Saklar 3 Fase</t>
  </si>
  <si>
    <t>Wiper Kaca Depan</t>
  </si>
  <si>
    <t>Circle Cutter</t>
  </si>
  <si>
    <t>Ban Depan City Car</t>
  </si>
  <si>
    <t>Spidol Paint Maker Putih</t>
  </si>
  <si>
    <t>Sticker Transparan</t>
  </si>
  <si>
    <t>Kupon Undian</t>
  </si>
  <si>
    <t>Obeng Plus (+) Magnet</t>
  </si>
  <si>
    <t>TestPen Listrik</t>
  </si>
  <si>
    <t>Wiper Link Canter</t>
  </si>
  <si>
    <t>Bantal</t>
  </si>
  <si>
    <t>Guling</t>
  </si>
  <si>
    <t>Jilid Arsip</t>
  </si>
  <si>
    <t xml:space="preserve">Kasur dan Divan </t>
  </si>
  <si>
    <t>Kertas Sticker Glosy</t>
  </si>
  <si>
    <t>Pompa Air Shimizu 135E</t>
  </si>
  <si>
    <t xml:space="preserve">Sprei </t>
  </si>
  <si>
    <t xml:space="preserve">Faktur </t>
  </si>
  <si>
    <t>Gas Cair</t>
  </si>
  <si>
    <t>Gas Powder</t>
  </si>
  <si>
    <t>Kartu Nama</t>
  </si>
  <si>
    <t>Penggaris</t>
  </si>
  <si>
    <t>Lampu Tongkat Lalin Security</t>
  </si>
  <si>
    <t>Kardus Sheet</t>
  </si>
  <si>
    <t>Minyak Kayu Putih</t>
  </si>
  <si>
    <t>Lemari</t>
  </si>
  <si>
    <t xml:space="preserve">Meja Makan dan Kursi </t>
  </si>
  <si>
    <t>Gergaji Besi</t>
  </si>
  <si>
    <t>Racun Tikus Spray</t>
  </si>
  <si>
    <t>stampel</t>
  </si>
  <si>
    <t>Lem Fox (Kaleng)</t>
  </si>
  <si>
    <t>Alat Cuci Kendaraan Jet Wash</t>
  </si>
  <si>
    <t>Kabel Power Printer</t>
  </si>
  <si>
    <t>Plastik PE</t>
  </si>
  <si>
    <t>Karet Rem Depan</t>
  </si>
  <si>
    <t>Pensil Bostel</t>
  </si>
  <si>
    <t>Solasi Kertas Besar</t>
  </si>
  <si>
    <t>Stop Kontak + Steker</t>
  </si>
  <si>
    <t>Trompet Klakson</t>
  </si>
  <si>
    <t>Tang Jepit Buaya</t>
  </si>
  <si>
    <t>Panasonic KX-TS505</t>
  </si>
  <si>
    <t>Roset Kabel Telefon</t>
  </si>
  <si>
    <t>Saklar Skep Canter</t>
  </si>
  <si>
    <t>Flashdisk</t>
  </si>
  <si>
    <t>Celurit</t>
  </si>
  <si>
    <t>Tangga Besi Lipat</t>
  </si>
  <si>
    <t>Wedung</t>
  </si>
  <si>
    <t>Ibuprofen</t>
  </si>
  <si>
    <t>Lopamid</t>
  </si>
  <si>
    <t>Paracetamol</t>
  </si>
  <si>
    <t>Mesin Hitung Uang</t>
  </si>
  <si>
    <t>Push Kran Urinal</t>
  </si>
  <si>
    <t>Cross Joint</t>
  </si>
  <si>
    <t>Kikir Setengah Lingkaran</t>
  </si>
  <si>
    <t>WD Anti karat</t>
  </si>
  <si>
    <t>Dongle Zahir</t>
  </si>
  <si>
    <t>Sikat Tandon Air</t>
  </si>
  <si>
    <t>Kain Lap Fiber</t>
  </si>
  <si>
    <t>Pledge Spray</t>
  </si>
  <si>
    <t>Lampu Dop Double</t>
  </si>
  <si>
    <t>Kalender</t>
  </si>
  <si>
    <t>Karet Stopper Filter Udara</t>
  </si>
  <si>
    <t>Swich Oli</t>
  </si>
  <si>
    <t>Cat Dinding</t>
  </si>
  <si>
    <t>Tang Rivet</t>
  </si>
  <si>
    <t xml:space="preserve">Baut </t>
  </si>
  <si>
    <t>DVR CCTV 16 Channel</t>
  </si>
  <si>
    <t>HDD CCTV 6TB</t>
  </si>
  <si>
    <t>LAN To USB</t>
  </si>
  <si>
    <t>Alat Pompa Gardan</t>
  </si>
  <si>
    <t>Alat Pompa Oli</t>
  </si>
  <si>
    <t>Alat VET (Hand Grease Pump)</t>
  </si>
  <si>
    <t>Bak Oli</t>
  </si>
  <si>
    <t>Banner Lokasi Parkir</t>
  </si>
  <si>
    <t>Drum Kosong</t>
  </si>
  <si>
    <t>Ethernet Media Converter</t>
  </si>
  <si>
    <t>Fingerprint Revo W-230N</t>
  </si>
  <si>
    <t>Nota Catatan Bahan Bakar dan Bensin</t>
  </si>
  <si>
    <t>Sekring Canter 10 Ampere</t>
  </si>
  <si>
    <t>Jagrak Tengah</t>
  </si>
  <si>
    <t>Stampad</t>
  </si>
  <si>
    <t>Kartu Label Ganti Oli</t>
  </si>
  <si>
    <t>Bor Listrik</t>
  </si>
  <si>
    <t>Mata Bor</t>
  </si>
  <si>
    <t>Baterai 18650 Rechargeable</t>
  </si>
  <si>
    <t>Inner Box Paket Ulat</t>
  </si>
  <si>
    <t>Outer Box Paket Ulat</t>
  </si>
  <si>
    <t>Hansaplast</t>
  </si>
  <si>
    <t>Line Encoder HP 310</t>
  </si>
  <si>
    <t>iCloud+ 50GB perbulan</t>
  </si>
  <si>
    <t>Per Standart</t>
  </si>
  <si>
    <t>Alat Stel Rem</t>
  </si>
  <si>
    <t>Baterai Laptop Acer Aspire E14</t>
  </si>
  <si>
    <t>Alat Ukur Tekanan Angin</t>
  </si>
  <si>
    <t>Grease / Gemuk</t>
  </si>
  <si>
    <t>Konektor selang kompresor</t>
  </si>
  <si>
    <t>Fog Lamp</t>
  </si>
  <si>
    <t>Tutup Septic Tank</t>
  </si>
  <si>
    <t>Kran Galon Air</t>
  </si>
  <si>
    <t>Sikat Kawat</t>
  </si>
  <si>
    <t>Fan Cooler PC</t>
  </si>
  <si>
    <t>Jet Shower Toilet</t>
  </si>
  <si>
    <t>Monitor SPC HDMI</t>
  </si>
  <si>
    <t>Motherboard H510M-B</t>
  </si>
  <si>
    <t>Paket Mouse &amp; Keyboard Logitech</t>
  </si>
  <si>
    <t>USB Type A to Mini</t>
  </si>
  <si>
    <t>VGA RX550</t>
  </si>
  <si>
    <t>Lampu Sein</t>
  </si>
  <si>
    <t>Combantrin</t>
  </si>
  <si>
    <t>Entrostop</t>
  </si>
  <si>
    <t>Lem Red</t>
  </si>
  <si>
    <t>Neurobion Forte</t>
  </si>
  <si>
    <t>Pot Bunga Cor</t>
  </si>
  <si>
    <t>Roda Kursi</t>
  </si>
  <si>
    <t>Surat Pengantar Service</t>
  </si>
  <si>
    <t>Plastik 1 KG</t>
  </si>
  <si>
    <t>Kawel Box</t>
  </si>
  <si>
    <t>Kunci Jendela</t>
  </si>
  <si>
    <t>Kancingan Kampas Rem</t>
  </si>
  <si>
    <t>Per Kampas Rem</t>
  </si>
  <si>
    <t>Conveyor</t>
  </si>
  <si>
    <t>Tolak Angin Cair</t>
  </si>
  <si>
    <t>GlowHome</t>
  </si>
  <si>
    <t>Paket Resin</t>
  </si>
  <si>
    <t>Kepala VET</t>
  </si>
  <si>
    <t>Susu Beruang</t>
  </si>
  <si>
    <t>Hidrolik Kursi</t>
  </si>
  <si>
    <t>Proyektor</t>
  </si>
  <si>
    <t>Hoverboard</t>
  </si>
  <si>
    <t xml:space="preserve">Inner Box Thrips Tuntas </t>
  </si>
  <si>
    <t>Outer Box Thrips Tuntas</t>
  </si>
  <si>
    <t>Kower Rem Belakang</t>
  </si>
  <si>
    <t>Lampu LED TL 18 Watt</t>
  </si>
  <si>
    <t>PSU Deepcool</t>
  </si>
  <si>
    <t>Tampel Per</t>
  </si>
  <si>
    <t>Kaca Cembung Jalan</t>
  </si>
  <si>
    <t xml:space="preserve">Pompa Air </t>
  </si>
  <si>
    <t>Grendel Pintu</t>
  </si>
  <si>
    <t xml:space="preserve">Kran Wastafel + Selang </t>
  </si>
  <si>
    <t>Kunci Filter Solar</t>
  </si>
  <si>
    <t>Multimeter Digital</t>
  </si>
  <si>
    <t>Ink Pad Maintenance Box</t>
  </si>
  <si>
    <t>Kabel Konektor Telepon</t>
  </si>
  <si>
    <t>Kabel Telepon 2C</t>
  </si>
  <si>
    <t>Kabel Telepon 4C</t>
  </si>
  <si>
    <t>RJ11</t>
  </si>
  <si>
    <t>Stop Kran</t>
  </si>
  <si>
    <t>TONER HP 85A LASERJET (CE285A) BLACK</t>
  </si>
  <si>
    <t>Selang Cuci High Pressure Unihose</t>
  </si>
  <si>
    <t>Alat Pengharum ruangan Stella + Refil</t>
  </si>
  <si>
    <t>Engsel Pintu</t>
  </si>
  <si>
    <t>charger hoverboard 42 volt</t>
  </si>
  <si>
    <t>Telor</t>
  </si>
  <si>
    <t>Kertas 80gr</t>
  </si>
  <si>
    <t>Refill Toner Laserjet</t>
  </si>
  <si>
    <t>Roll Up Banner</t>
  </si>
  <si>
    <t>Dispenser</t>
  </si>
  <si>
    <t>Tutup Paralon</t>
  </si>
  <si>
    <t xml:space="preserve">Branding Box Truck </t>
  </si>
  <si>
    <t>gergaji kayu</t>
  </si>
  <si>
    <t>Lampu 22 Watt</t>
  </si>
  <si>
    <t>Rompi Security</t>
  </si>
  <si>
    <t>Topi</t>
  </si>
  <si>
    <t>meteran</t>
  </si>
  <si>
    <t>Banner Backdrop 4m x  6m</t>
  </si>
  <si>
    <t>Paket X Banner</t>
  </si>
  <si>
    <t>Jerigen 20 liter</t>
  </si>
  <si>
    <t>Adaptor 12V - 2A</t>
  </si>
  <si>
    <t>CCTV 2MP IP Cam</t>
  </si>
  <si>
    <t>Ekstraktor Pipa</t>
  </si>
  <si>
    <t>karet kopling Bawah</t>
  </si>
  <si>
    <t>Scotlet</t>
  </si>
  <si>
    <t>Casing HP</t>
  </si>
  <si>
    <t>Solder Set</t>
  </si>
  <si>
    <t>Pentil Ban</t>
  </si>
  <si>
    <t xml:space="preserve">Paket Data </t>
  </si>
  <si>
    <t>Stiker APAR</t>
  </si>
  <si>
    <t>Monitor PC HDMI</t>
  </si>
  <si>
    <t>TP Link TL-SG1016D</t>
  </si>
  <si>
    <t>TP Link TL-SG1024D</t>
  </si>
  <si>
    <t>Stempel Trodat</t>
  </si>
  <si>
    <t>Boring</t>
  </si>
  <si>
    <t>Lem Gasket</t>
  </si>
  <si>
    <t>Metal Duduk</t>
  </si>
  <si>
    <t>Metal Jalan</t>
  </si>
  <si>
    <t>Pack Silinder Kop, Pak Dek Klep, Pack Kalter, Oring, Mur, Baut</t>
  </si>
  <si>
    <t>Piston</t>
  </si>
  <si>
    <t>Ring Piston</t>
  </si>
  <si>
    <t>Trafo Listrik</t>
  </si>
  <si>
    <t>Kunci Pas Wastafel</t>
  </si>
  <si>
    <t>Lem Rajawali</t>
  </si>
  <si>
    <t>Serok Ikan</t>
  </si>
  <si>
    <t>Flayer</t>
  </si>
  <si>
    <t>CCTV Indoor</t>
  </si>
  <si>
    <t>CCTV Outdoor</t>
  </si>
  <si>
    <t>Cutter Crimping</t>
  </si>
  <si>
    <t>Durabus 3/4</t>
  </si>
  <si>
    <t>Duradus Jumbo</t>
  </si>
  <si>
    <t>Handle Kursi</t>
  </si>
  <si>
    <t>Metal Bulan</t>
  </si>
  <si>
    <t>Mur Baut</t>
  </si>
  <si>
    <t>Obeng Elektrik Toolkit</t>
  </si>
  <si>
    <t>ADMINISTRASI PEMBELIAN NON KOMERSIL DEPARTEMEN GA</t>
  </si>
  <si>
    <t>Periode 2024-2026</t>
  </si>
  <si>
    <t>Total Value</t>
  </si>
  <si>
    <t xml:space="preserve">Nama Barang </t>
  </si>
  <si>
    <t>QTY Tertinggi</t>
  </si>
  <si>
    <t>150 pcs</t>
  </si>
  <si>
    <t>900 kg</t>
  </si>
  <si>
    <t>300 kg</t>
  </si>
  <si>
    <t xml:space="preserve">Accu  </t>
  </si>
  <si>
    <t>ADMINISTRASI PEMBELIAN NON KOMERSIL DEPARTEMEN IT</t>
  </si>
  <si>
    <t>Proteksi kabel</t>
  </si>
  <si>
    <t>16 pcs</t>
  </si>
  <si>
    <t>Flyer online shop</t>
  </si>
  <si>
    <t>2000 pcs</t>
  </si>
  <si>
    <t>Konektor kabel LAN</t>
  </si>
  <si>
    <t>100 pcs</t>
  </si>
  <si>
    <t>ADMINISTRASI PEMBELIAN NON KOMERSIL DEPARTEMEN KEUANGAN</t>
  </si>
  <si>
    <t>405 pcs</t>
  </si>
  <si>
    <t>248 Pack</t>
  </si>
  <si>
    <t>135 kotak</t>
  </si>
  <si>
    <t>ADMINISTRASI PEMBELIAN NON KOMERSIL DEPARTEMEN LOGISTIK</t>
  </si>
  <si>
    <t>881 roll</t>
  </si>
  <si>
    <t>Tusuk sate</t>
  </si>
  <si>
    <t>610 pcs</t>
  </si>
  <si>
    <t>174 roll</t>
  </si>
  <si>
    <t>ADMINISTRASI PEMBELIAN NON KOMERSIL DEPARTEMEN SALES</t>
  </si>
  <si>
    <t>208 pack</t>
  </si>
  <si>
    <t>Isi Stapkes</t>
  </si>
  <si>
    <t>60 kotak</t>
  </si>
  <si>
    <t>10 box</t>
  </si>
  <si>
    <t>ADMINISTRASI PEMBELIAN NON KOMERSIL PROMOSI</t>
  </si>
  <si>
    <t>PROMOSI</t>
  </si>
  <si>
    <t>Parcel Paket A</t>
  </si>
  <si>
    <t>Parcel Paket B</t>
  </si>
  <si>
    <t>Parcel Paket C</t>
  </si>
  <si>
    <t>Parcel Paket D</t>
  </si>
  <si>
    <t>Parcel Paket E</t>
  </si>
  <si>
    <t>Minyak goreng 400 ml</t>
  </si>
  <si>
    <t>24000 pcs</t>
  </si>
  <si>
    <t>17000 pcs</t>
  </si>
  <si>
    <t>5375 pcs</t>
  </si>
  <si>
    <t>Parcel Paket Sembako</t>
  </si>
  <si>
    <t>Kulkas Polytron 1 Pintu</t>
  </si>
  <si>
    <t>HP Oppo A58 8/128 Hijau</t>
  </si>
  <si>
    <t>Notebook Acer N100</t>
  </si>
  <si>
    <t>Navara Cling 33 X 50</t>
  </si>
  <si>
    <t>Minyak Goreng Fitri 400 ml (Bisi)</t>
  </si>
  <si>
    <t>Spanduk Nama Toko 3 X 1.5 (Cling)</t>
  </si>
  <si>
    <t>Spanduk Tanpa Nama 3 X 1.2 (Cling)</t>
  </si>
  <si>
    <t>Brosur (Cling)</t>
  </si>
  <si>
    <t>X-Banner (Cling)</t>
  </si>
  <si>
    <t>Meja Display (Cling)</t>
  </si>
  <si>
    <t>Umbul-umbul 4M (Cling)</t>
  </si>
  <si>
    <t>Honda Brio Satya</t>
  </si>
  <si>
    <t>Detergen Boom 36 X 260 gr</t>
  </si>
  <si>
    <t>Minyak Goreng Rakyat 24 X 400 ml</t>
  </si>
  <si>
    <t>Mesin Cuci Arashi</t>
  </si>
  <si>
    <t>Sepeda Listrik Goda (Hitam)</t>
  </si>
  <si>
    <t>Paket Souvenir Kue Advansia</t>
  </si>
  <si>
    <t>Minyak Goreng Dua Udang 400 ml (Bisi)</t>
  </si>
  <si>
    <t>Minyak Goreng Rakyat 24 X 400 ml (Bisi)</t>
  </si>
  <si>
    <t>Poster ODP</t>
  </si>
  <si>
    <t>Detergen Sayang 36 X 220 gr</t>
  </si>
  <si>
    <t>Minyak Goreng Dua Udang 24 X 400 ml</t>
  </si>
  <si>
    <t>Kulkas Chang Hong 1 Pintu</t>
  </si>
  <si>
    <t>Kulkas 2 pintu Sharp</t>
  </si>
  <si>
    <t>Kalender Bali</t>
  </si>
  <si>
    <t>Kalender Harian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</si>
</sst>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m/d/yy\ h:mm;@"/>
    <numFmt numFmtId="167" formatCode="0.0"/>
    <numFmt numFmtId="168" formatCode="0.0%"/>
    <numFmt numFmtId="169" formatCode="[$-409]d\-mmm\-yy;@"/>
    <numFmt numFmtId="182" formatCode="_-* #,##0_-;\-* #,##0_-;_-* &quot;-&quot;_-;_-@_-"/>
    <numFmt numFmtId="183" formatCode="_-* #,##0.00_-;\-* #,##0.00_-;_-* &quot;-&quot;??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5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4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indexed="8"/>
      <name val="Calibri"/>
      <family val="2"/>
      <charset val="1"/>
    </font>
    <font>
      <sz val="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8"/>
      <color rgb="FF000000"/>
      <name val="Arial"/>
      <family val="2"/>
    </font>
    <font>
      <b/>
      <sz val="16"/>
      <color rgb="FF1079AE"/>
      <name val="Segoe UI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8"/>
      <color rgb="FF000000"/>
      <name val="Segoe U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 applyFill="0" applyProtection="0"/>
    <xf numFmtId="0" fontId="4" fillId="0" borderId="0"/>
    <xf numFmtId="0" fontId="23" fillId="0" borderId="0"/>
    <xf numFmtId="0" fontId="22" fillId="13" borderId="0">
      <alignment horizontal="left" vertical="top"/>
    </xf>
    <xf numFmtId="0" fontId="25" fillId="13" borderId="0">
      <alignment horizontal="left" vertical="top"/>
    </xf>
    <xf numFmtId="0" fontId="25" fillId="13" borderId="0">
      <alignment horizontal="left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25" fillId="0" borderId="0">
      <alignment horizontal="right" vertical="top"/>
    </xf>
    <xf numFmtId="0" fontId="26" fillId="0" borderId="0">
      <alignment horizontal="center" vertical="top"/>
    </xf>
    <xf numFmtId="0" fontId="27" fillId="0" borderId="0">
      <alignment horizontal="center" vertical="top"/>
    </xf>
    <xf numFmtId="0" fontId="28" fillId="0" borderId="0">
      <alignment horizontal="center" vertical="top"/>
    </xf>
    <xf numFmtId="0" fontId="29" fillId="0" borderId="0">
      <alignment horizontal="left" vertical="center"/>
    </xf>
    <xf numFmtId="0" fontId="29" fillId="0" borderId="0">
      <alignment horizontal="right" vertical="center"/>
    </xf>
    <xf numFmtId="0" fontId="25" fillId="0" borderId="0">
      <alignment horizontal="left" vertical="top"/>
    </xf>
    <xf numFmtId="0" fontId="25" fillId="0" borderId="0">
      <alignment horizontal="left" vertical="top"/>
    </xf>
  </cellStyleXfs>
  <cellXfs count="23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/>
    </xf>
    <xf numFmtId="0" fontId="0" fillId="0" borderId="2" xfId="0" applyBorder="1"/>
    <xf numFmtId="14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center" vertical="center"/>
    </xf>
    <xf numFmtId="3" fontId="0" fillId="0" borderId="2" xfId="0" applyNumberFormat="1" applyBorder="1"/>
    <xf numFmtId="1" fontId="0" fillId="0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3" fontId="0" fillId="0" borderId="0" xfId="0" applyNumberFormat="1"/>
    <xf numFmtId="16" fontId="0" fillId="0" borderId="2" xfId="0" quotePrefix="1" applyNumberFormat="1" applyBorder="1" applyAlignment="1">
      <alignment vertical="center" wrapText="1"/>
    </xf>
    <xf numFmtId="16" fontId="0" fillId="0" borderId="2" xfId="0" quotePrefix="1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3" fontId="0" fillId="0" borderId="1" xfId="0" applyNumberFormat="1" applyBorder="1"/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/>
    <xf numFmtId="164" fontId="0" fillId="0" borderId="2" xfId="1" applyNumberFormat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3" fontId="0" fillId="0" borderId="6" xfId="0" applyNumberFormat="1" applyBorder="1"/>
    <xf numFmtId="164" fontId="0" fillId="0" borderId="6" xfId="1" applyNumberFormat="1" applyFont="1" applyBorder="1" applyAlignment="1">
      <alignment horizontal="center" vertical="center"/>
    </xf>
    <xf numFmtId="1" fontId="0" fillId="0" borderId="6" xfId="1" applyNumberFormat="1" applyFont="1" applyFill="1" applyBorder="1" applyAlignment="1">
      <alignment horizontal="center" vertical="center"/>
    </xf>
    <xf numFmtId="164" fontId="0" fillId="0" borderId="2" xfId="1" applyNumberFormat="1" applyFont="1" applyBorder="1"/>
    <xf numFmtId="164" fontId="0" fillId="0" borderId="4" xfId="1" applyNumberFormat="1" applyFont="1" applyBorder="1" applyAlignment="1">
      <alignment horizontal="center" vertical="center"/>
    </xf>
    <xf numFmtId="3" fontId="0" fillId="0" borderId="4" xfId="0" applyNumberFormat="1" applyBorder="1"/>
    <xf numFmtId="164" fontId="0" fillId="0" borderId="4" xfId="1" applyNumberFormat="1" applyFont="1" applyBorder="1"/>
    <xf numFmtId="1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0" borderId="0" xfId="0" applyNumberFormat="1" applyAlignment="1">
      <alignment horizontal="left"/>
    </xf>
    <xf numFmtId="3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left" vertical="center" wrapText="1"/>
    </xf>
    <xf numFmtId="166" fontId="0" fillId="0" borderId="2" xfId="0" applyNumberForma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167" fontId="2" fillId="3" borderId="0" xfId="0" applyNumberFormat="1" applyFont="1" applyFill="1" applyAlignment="1">
      <alignment horizontal="center"/>
    </xf>
    <xf numFmtId="0" fontId="5" fillId="0" borderId="0" xfId="2" applyFont="1" applyAlignment="1"/>
    <xf numFmtId="0" fontId="6" fillId="0" borderId="0" xfId="2" applyFont="1"/>
    <xf numFmtId="0" fontId="4" fillId="0" borderId="0" xfId="2" applyAlignment="1"/>
    <xf numFmtId="0" fontId="4" fillId="0" borderId="0" xfId="2"/>
    <xf numFmtId="0" fontId="7" fillId="0" borderId="0" xfId="2" applyFont="1"/>
    <xf numFmtId="0" fontId="6" fillId="0" borderId="8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/>
    </xf>
    <xf numFmtId="0" fontId="7" fillId="0" borderId="8" xfId="2" applyFont="1" applyBorder="1" applyAlignment="1">
      <alignment vertical="center"/>
    </xf>
    <xf numFmtId="0" fontId="7" fillId="0" borderId="10" xfId="2" applyFont="1" applyBorder="1" applyAlignment="1">
      <alignment vertical="center"/>
    </xf>
    <xf numFmtId="0" fontId="7" fillId="0" borderId="2" xfId="2" applyFont="1" applyBorder="1"/>
    <xf numFmtId="0" fontId="7" fillId="0" borderId="11" xfId="2" applyFont="1" applyBorder="1" applyAlignment="1">
      <alignment vertical="center"/>
    </xf>
    <xf numFmtId="0" fontId="7" fillId="0" borderId="2" xfId="2" applyFont="1" applyBorder="1" applyAlignment="1">
      <alignment horizontal="center" vertical="center"/>
    </xf>
    <xf numFmtId="0" fontId="7" fillId="0" borderId="0" xfId="2" applyFont="1" applyBorder="1" applyAlignment="1">
      <alignment horizontal="center" vertical="center"/>
    </xf>
    <xf numFmtId="168" fontId="7" fillId="0" borderId="0" xfId="3" applyNumberFormat="1" applyFont="1" applyBorder="1" applyAlignment="1">
      <alignment horizontal="center" vertical="center"/>
    </xf>
    <xf numFmtId="0" fontId="7" fillId="0" borderId="9" xfId="2" applyFont="1" applyBorder="1" applyAlignment="1">
      <alignment vertical="center"/>
    </xf>
    <xf numFmtId="0" fontId="8" fillId="0" borderId="2" xfId="2" applyFont="1" applyBorder="1" applyAlignment="1">
      <alignment horizontal="right"/>
    </xf>
    <xf numFmtId="168" fontId="7" fillId="0" borderId="2" xfId="3" applyNumberFormat="1" applyFont="1" applyBorder="1" applyAlignment="1">
      <alignment horizontal="center" vertical="center"/>
    </xf>
    <xf numFmtId="0" fontId="9" fillId="0" borderId="0" xfId="0" applyFont="1"/>
    <xf numFmtId="169" fontId="0" fillId="0" borderId="0" xfId="0" applyNumberFormat="1"/>
    <xf numFmtId="0" fontId="2" fillId="4" borderId="2" xfId="0" applyFont="1" applyFill="1" applyBorder="1" applyAlignment="1">
      <alignment horizontal="center" vertical="center" wrapText="1"/>
    </xf>
    <xf numFmtId="169" fontId="2" fillId="4" borderId="2" xfId="0" applyNumberFormat="1" applyFont="1" applyFill="1" applyBorder="1" applyAlignment="1">
      <alignment horizontal="center" vertical="center" wrapText="1"/>
    </xf>
    <xf numFmtId="16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9" fontId="0" fillId="5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169" fontId="0" fillId="0" borderId="2" xfId="0" applyNumberFormat="1" applyBorder="1" applyAlignment="1">
      <alignment horizontal="center"/>
    </xf>
    <xf numFmtId="0" fontId="0" fillId="0" borderId="2" xfId="0" applyFill="1" applyBorder="1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0" borderId="2" xfId="0" applyFont="1" applyBorder="1" applyAlignment="1">
      <alignment horizontal="justify" vertical="center" wrapText="1"/>
    </xf>
    <xf numFmtId="0" fontId="0" fillId="0" borderId="2" xfId="0" applyFill="1" applyBorder="1" applyAlignment="1">
      <alignment horizontal="center" vertical="center"/>
    </xf>
    <xf numFmtId="0" fontId="13" fillId="0" borderId="0" xfId="0" applyFont="1"/>
    <xf numFmtId="164" fontId="0" fillId="0" borderId="0" xfId="1" applyNumberFormat="1" applyFont="1" applyBorder="1" applyAlignment="1">
      <alignment horizontal="center" vertical="center"/>
    </xf>
    <xf numFmtId="0" fontId="14" fillId="0" borderId="0" xfId="0" applyFont="1"/>
    <xf numFmtId="0" fontId="15" fillId="2" borderId="1" xfId="0" applyFont="1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left"/>
    </xf>
    <xf numFmtId="0" fontId="0" fillId="0" borderId="2" xfId="0" applyFill="1" applyBorder="1" applyAlignment="1">
      <alignment vertical="center" wrapText="1"/>
    </xf>
    <xf numFmtId="3" fontId="0" fillId="0" borderId="2" xfId="0" applyNumberFormat="1" applyFill="1" applyBorder="1"/>
    <xf numFmtId="0" fontId="0" fillId="0" borderId="0" xfId="0" applyFill="1"/>
    <xf numFmtId="9" fontId="0" fillId="3" borderId="2" xfId="4" applyFont="1" applyFill="1" applyBorder="1"/>
    <xf numFmtId="0" fontId="5" fillId="0" borderId="0" xfId="5" applyFont="1"/>
    <xf numFmtId="0" fontId="16" fillId="0" borderId="0" xfId="5" applyFont="1" applyAlignment="1">
      <alignment horizontal="center"/>
    </xf>
    <xf numFmtId="0" fontId="1" fillId="0" borderId="0" xfId="5"/>
    <xf numFmtId="0" fontId="16" fillId="0" borderId="0" xfId="5" applyFont="1" applyAlignment="1">
      <alignment horizontal="center"/>
    </xf>
    <xf numFmtId="0" fontId="16" fillId="0" borderId="0" xfId="5" applyFont="1"/>
    <xf numFmtId="169" fontId="17" fillId="0" borderId="0" xfId="5" applyNumberFormat="1" applyFont="1" applyAlignment="1">
      <alignment horizontal="center"/>
    </xf>
    <xf numFmtId="169" fontId="17" fillId="0" borderId="0" xfId="5" applyNumberFormat="1" applyFont="1" applyAlignment="1">
      <alignment horizontal="center"/>
    </xf>
    <xf numFmtId="169" fontId="17" fillId="0" borderId="0" xfId="5" applyNumberFormat="1" applyFont="1"/>
    <xf numFmtId="169" fontId="1" fillId="0" borderId="0" xfId="5" applyNumberFormat="1" applyAlignment="1">
      <alignment horizontal="left"/>
    </xf>
    <xf numFmtId="0" fontId="1" fillId="0" borderId="0" xfId="5" applyAlignment="1">
      <alignment horizontal="center"/>
    </xf>
    <xf numFmtId="164" fontId="0" fillId="0" borderId="0" xfId="6" applyNumberFormat="1" applyFont="1"/>
    <xf numFmtId="182" fontId="0" fillId="0" borderId="0" xfId="7" applyFont="1"/>
    <xf numFmtId="182" fontId="1" fillId="0" borderId="0" xfId="7"/>
    <xf numFmtId="0" fontId="18" fillId="0" borderId="2" xfId="5" applyFont="1" applyBorder="1" applyAlignment="1">
      <alignment horizontal="center" vertical="center"/>
    </xf>
    <xf numFmtId="169" fontId="18" fillId="0" borderId="2" xfId="5" applyNumberFormat="1" applyFont="1" applyBorder="1" applyAlignment="1">
      <alignment horizontal="left" vertical="center" wrapText="1"/>
    </xf>
    <xf numFmtId="0" fontId="18" fillId="0" borderId="2" xfId="5" applyFont="1" applyBorder="1" applyAlignment="1">
      <alignment horizontal="center" vertical="center" wrapText="1"/>
    </xf>
    <xf numFmtId="164" fontId="18" fillId="0" borderId="2" xfId="6" applyNumberFormat="1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" fillId="0" borderId="2" xfId="5" applyBorder="1" applyAlignment="1">
      <alignment horizontal="left"/>
    </xf>
    <xf numFmtId="15" fontId="19" fillId="0" borderId="2" xfId="5" applyNumberFormat="1" applyFont="1" applyBorder="1" applyAlignment="1">
      <alignment horizontal="left" vertical="center"/>
    </xf>
    <xf numFmtId="1" fontId="19" fillId="0" borderId="2" xfId="5" applyNumberFormat="1" applyFont="1" applyBorder="1" applyAlignment="1">
      <alignment horizontal="left" vertical="center"/>
    </xf>
    <xf numFmtId="0" fontId="19" fillId="0" borderId="2" xfId="5" applyFont="1" applyBorder="1"/>
    <xf numFmtId="0" fontId="19" fillId="0" borderId="2" xfId="5" applyFont="1" applyBorder="1" applyAlignment="1">
      <alignment vertical="center"/>
    </xf>
    <xf numFmtId="0" fontId="19" fillId="0" borderId="2" xfId="5" applyFont="1" applyBorder="1" applyAlignment="1">
      <alignment horizontal="center" vertical="center"/>
    </xf>
    <xf numFmtId="182" fontId="20" fillId="0" borderId="2" xfId="7" applyFont="1" applyBorder="1"/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/>
    </xf>
    <xf numFmtId="0" fontId="16" fillId="8" borderId="1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/>
    </xf>
    <xf numFmtId="182" fontId="0" fillId="0" borderId="2" xfId="7" applyFont="1" applyBorder="1"/>
    <xf numFmtId="182" fontId="2" fillId="7" borderId="2" xfId="0" applyNumberFormat="1" applyFont="1" applyFill="1" applyBorder="1"/>
    <xf numFmtId="0" fontId="0" fillId="9" borderId="2" xfId="0" applyFill="1" applyBorder="1" applyAlignment="1">
      <alignment horizontal="left" vertical="center"/>
    </xf>
    <xf numFmtId="0" fontId="0" fillId="9" borderId="2" xfId="0" applyFill="1" applyBorder="1"/>
    <xf numFmtId="182" fontId="0" fillId="9" borderId="2" xfId="7" applyFont="1" applyFill="1" applyBorder="1"/>
    <xf numFmtId="0" fontId="0" fillId="0" borderId="6" xfId="0" applyBorder="1" applyAlignment="1">
      <alignment vertical="center"/>
    </xf>
    <xf numFmtId="182" fontId="0" fillId="0" borderId="2" xfId="0" applyNumberFormat="1" applyBorder="1"/>
    <xf numFmtId="0" fontId="0" fillId="5" borderId="6" xfId="0" applyFill="1" applyBorder="1" applyAlignment="1">
      <alignment vertical="center"/>
    </xf>
    <xf numFmtId="0" fontId="0" fillId="5" borderId="2" xfId="0" applyFill="1" applyBorder="1" applyAlignment="1">
      <alignment horizontal="left"/>
    </xf>
    <xf numFmtId="182" fontId="0" fillId="5" borderId="2" xfId="0" applyNumberFormat="1" applyFill="1" applyBorder="1"/>
    <xf numFmtId="182" fontId="0" fillId="5" borderId="2" xfId="7" applyFont="1" applyFill="1" applyBorder="1"/>
    <xf numFmtId="0" fontId="0" fillId="10" borderId="6" xfId="0" applyFill="1" applyBorder="1" applyAlignment="1">
      <alignment vertical="center"/>
    </xf>
    <xf numFmtId="0" fontId="0" fillId="10" borderId="2" xfId="0" applyFill="1" applyBorder="1" applyAlignment="1">
      <alignment horizontal="left"/>
    </xf>
    <xf numFmtId="182" fontId="0" fillId="10" borderId="2" xfId="7" applyFont="1" applyFill="1" applyBorder="1"/>
    <xf numFmtId="164" fontId="0" fillId="10" borderId="2" xfId="1" applyNumberFormat="1" applyFont="1" applyFill="1" applyBorder="1"/>
    <xf numFmtId="0" fontId="0" fillId="11" borderId="2" xfId="0" applyFill="1" applyBorder="1" applyAlignment="1">
      <alignment horizontal="left"/>
    </xf>
    <xf numFmtId="182" fontId="0" fillId="11" borderId="2" xfId="7" applyFont="1" applyFill="1" applyBorder="1"/>
    <xf numFmtId="169" fontId="19" fillId="0" borderId="2" xfId="0" applyNumberFormat="1" applyFont="1" applyBorder="1" applyAlignment="1">
      <alignment horizontal="left"/>
    </xf>
    <xf numFmtId="0" fontId="19" fillId="0" borderId="2" xfId="5" applyFont="1" applyBorder="1" applyAlignment="1">
      <alignment horizontal="left"/>
    </xf>
    <xf numFmtId="0" fontId="19" fillId="0" borderId="2" xfId="5" applyFont="1" applyBorder="1" applyAlignment="1">
      <alignment horizontal="center"/>
    </xf>
    <xf numFmtId="164" fontId="19" fillId="0" borderId="2" xfId="1" applyNumberFormat="1" applyFont="1" applyBorder="1"/>
    <xf numFmtId="0" fontId="0" fillId="12" borderId="6" xfId="0" applyFill="1" applyBorder="1" applyAlignment="1">
      <alignment horizontal="left" vertical="center"/>
    </xf>
    <xf numFmtId="0" fontId="0" fillId="12" borderId="2" xfId="0" applyFill="1" applyBorder="1" applyAlignment="1">
      <alignment horizontal="left"/>
    </xf>
    <xf numFmtId="182" fontId="0" fillId="12" borderId="2" xfId="0" applyNumberFormat="1" applyFill="1" applyBorder="1"/>
    <xf numFmtId="182" fontId="0" fillId="12" borderId="2" xfId="7" applyFont="1" applyFill="1" applyBorder="1" applyAlignment="1"/>
    <xf numFmtId="0" fontId="0" fillId="12" borderId="1" xfId="0" applyFill="1" applyBorder="1" applyAlignment="1">
      <alignment horizontal="left" vertical="center"/>
    </xf>
    <xf numFmtId="0" fontId="1" fillId="0" borderId="2" xfId="5" applyBorder="1" applyAlignment="1">
      <alignment horizontal="left" vertical="center"/>
    </xf>
    <xf numFmtId="169" fontId="19" fillId="0" borderId="2" xfId="0" applyNumberFormat="1" applyFont="1" applyBorder="1" applyAlignment="1">
      <alignment horizontal="left" vertical="center"/>
    </xf>
    <xf numFmtId="0" fontId="19" fillId="0" borderId="2" xfId="5" applyFont="1" applyBorder="1" applyAlignment="1">
      <alignment horizontal="left" vertical="center"/>
    </xf>
    <xf numFmtId="164" fontId="19" fillId="0" borderId="2" xfId="1" applyNumberFormat="1" applyFont="1" applyBorder="1" applyAlignment="1">
      <alignment vertical="center"/>
    </xf>
    <xf numFmtId="0" fontId="16" fillId="3" borderId="2" xfId="0" applyFont="1" applyFill="1" applyBorder="1" applyAlignment="1">
      <alignment horizontal="center" wrapText="1"/>
    </xf>
    <xf numFmtId="182" fontId="16" fillId="3" borderId="2" xfId="0" applyNumberFormat="1" applyFont="1" applyFill="1" applyBorder="1" applyAlignment="1">
      <alignment vertical="center"/>
    </xf>
    <xf numFmtId="0" fontId="0" fillId="3" borderId="2" xfId="0" applyFill="1" applyBorder="1" applyAlignment="1">
      <alignment horizontal="left" vertical="center"/>
    </xf>
    <xf numFmtId="164" fontId="0" fillId="3" borderId="2" xfId="1" applyNumberFormat="1" applyFont="1" applyFill="1" applyBorder="1" applyAlignment="1">
      <alignment horizontal="left" vertical="center"/>
    </xf>
    <xf numFmtId="164" fontId="0" fillId="3" borderId="2" xfId="1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1" applyNumberFormat="1" applyFont="1"/>
    <xf numFmtId="169" fontId="20" fillId="0" borderId="2" xfId="0" applyNumberFormat="1" applyFont="1" applyBorder="1" applyAlignment="1">
      <alignment horizontal="left"/>
    </xf>
    <xf numFmtId="169" fontId="19" fillId="0" borderId="2" xfId="5" applyNumberFormat="1" applyFont="1" applyBorder="1" applyAlignment="1">
      <alignment horizontal="left" vertical="center"/>
    </xf>
    <xf numFmtId="182" fontId="20" fillId="0" borderId="2" xfId="7" applyFont="1" applyBorder="1" applyAlignment="1">
      <alignment vertical="center"/>
    </xf>
    <xf numFmtId="164" fontId="20" fillId="0" borderId="2" xfId="6" applyNumberFormat="1" applyFont="1" applyBorder="1" applyAlignment="1">
      <alignment vertical="center"/>
    </xf>
    <xf numFmtId="0" fontId="1" fillId="0" borderId="0" xfId="5" applyAlignment="1">
      <alignment horizontal="left"/>
    </xf>
    <xf numFmtId="0" fontId="16" fillId="0" borderId="0" xfId="5" applyFont="1" applyAlignment="1">
      <alignment horizontal="left"/>
    </xf>
    <xf numFmtId="169" fontId="17" fillId="0" borderId="0" xfId="5" applyNumberFormat="1" applyFont="1" applyAlignment="1">
      <alignment horizontal="left"/>
    </xf>
    <xf numFmtId="0" fontId="30" fillId="0" borderId="2" xfId="5" applyFont="1" applyBorder="1" applyAlignment="1">
      <alignment horizontal="center" vertical="center"/>
    </xf>
    <xf numFmtId="169" fontId="30" fillId="0" borderId="2" xfId="5" applyNumberFormat="1" applyFont="1" applyBorder="1" applyAlignment="1">
      <alignment horizontal="left" vertical="center" wrapText="1"/>
    </xf>
    <xf numFmtId="164" fontId="30" fillId="0" borderId="2" xfId="1" applyNumberFormat="1" applyFont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0" fillId="8" borderId="0" xfId="0" applyFill="1" applyBorder="1"/>
    <xf numFmtId="164" fontId="20" fillId="0" borderId="2" xfId="1" applyNumberFormat="1" applyFont="1" applyBorder="1"/>
    <xf numFmtId="0" fontId="2" fillId="14" borderId="5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82" fontId="0" fillId="0" borderId="0" xfId="7" applyFont="1" applyFill="1" applyBorder="1"/>
    <xf numFmtId="164" fontId="20" fillId="0" borderId="2" xfId="1" applyNumberFormat="1" applyFont="1" applyBorder="1" applyAlignment="1">
      <alignment vertical="center"/>
    </xf>
    <xf numFmtId="164" fontId="19" fillId="0" borderId="2" xfId="1" applyNumberFormat="1" applyFont="1" applyFill="1" applyBorder="1" applyAlignment="1">
      <alignment horizontal="center" vertical="center"/>
    </xf>
    <xf numFmtId="164" fontId="19" fillId="0" borderId="2" xfId="1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left"/>
    </xf>
    <xf numFmtId="0" fontId="19" fillId="0" borderId="2" xfId="0" applyFont="1" applyBorder="1"/>
    <xf numFmtId="0" fontId="19" fillId="0" borderId="2" xfId="0" applyFont="1" applyBorder="1" applyAlignment="1">
      <alignment horizontal="center"/>
    </xf>
    <xf numFmtId="182" fontId="19" fillId="0" borderId="2" xfId="7" applyFont="1" applyBorder="1" applyAlignment="1">
      <alignment horizontal="center" vertical="center"/>
    </xf>
    <xf numFmtId="164" fontId="19" fillId="0" borderId="2" xfId="1" applyNumberFormat="1" applyFont="1" applyFill="1" applyBorder="1"/>
    <xf numFmtId="0" fontId="19" fillId="0" borderId="0" xfId="5" applyFont="1" applyAlignment="1">
      <alignment horizontal="center"/>
    </xf>
    <xf numFmtId="0" fontId="1" fillId="0" borderId="2" xfId="5" applyBorder="1" applyAlignment="1">
      <alignment horizontal="center"/>
    </xf>
    <xf numFmtId="182" fontId="0" fillId="0" borderId="0" xfId="0" applyNumberFormat="1"/>
    <xf numFmtId="164" fontId="0" fillId="0" borderId="0" xfId="1" applyNumberFormat="1" applyFont="1" applyBorder="1"/>
    <xf numFmtId="169" fontId="19" fillId="0" borderId="0" xfId="5" applyNumberFormat="1" applyFont="1" applyAlignment="1">
      <alignment horizontal="left" vertical="center"/>
    </xf>
    <xf numFmtId="1" fontId="19" fillId="0" borderId="0" xfId="5" applyNumberFormat="1" applyFont="1" applyAlignment="1">
      <alignment horizontal="left" vertical="center"/>
    </xf>
    <xf numFmtId="0" fontId="19" fillId="0" borderId="0" xfId="5" applyFont="1" applyAlignment="1">
      <alignment vertical="center"/>
    </xf>
    <xf numFmtId="0" fontId="19" fillId="0" borderId="0" xfId="5" applyFont="1" applyAlignment="1">
      <alignment horizontal="center" vertical="center"/>
    </xf>
    <xf numFmtId="164" fontId="20" fillId="0" borderId="0" xfId="6" applyNumberFormat="1" applyFont="1" applyBorder="1" applyAlignment="1">
      <alignment vertical="center"/>
    </xf>
    <xf numFmtId="0" fontId="2" fillId="14" borderId="2" xfId="0" applyFont="1" applyFill="1" applyBorder="1" applyAlignment="1">
      <alignment horizontal="center" vertical="center"/>
    </xf>
    <xf numFmtId="182" fontId="19" fillId="0" borderId="2" xfId="7" applyFont="1" applyFill="1" applyBorder="1" applyAlignment="1">
      <alignment horizontal="center" vertical="center"/>
    </xf>
    <xf numFmtId="182" fontId="0" fillId="0" borderId="0" xfId="7" applyFont="1" applyBorder="1"/>
    <xf numFmtId="182" fontId="0" fillId="8" borderId="2" xfId="0" applyNumberFormat="1" applyFill="1" applyBorder="1"/>
    <xf numFmtId="182" fontId="0" fillId="0" borderId="2" xfId="7" applyFont="1" applyBorder="1" applyAlignment="1"/>
    <xf numFmtId="1" fontId="0" fillId="0" borderId="0" xfId="0" applyNumberFormat="1"/>
    <xf numFmtId="15" fontId="19" fillId="0" borderId="0" xfId="5" applyNumberFormat="1" applyFont="1" applyAlignment="1">
      <alignment horizontal="left" vertical="center"/>
    </xf>
    <xf numFmtId="0" fontId="19" fillId="0" borderId="0" xfId="5" applyFont="1"/>
    <xf numFmtId="182" fontId="20" fillId="0" borderId="0" xfId="7" applyFont="1" applyBorder="1"/>
    <xf numFmtId="182" fontId="20" fillId="0" borderId="0" xfId="7" applyFont="1" applyBorder="1" applyAlignment="1">
      <alignment vertical="center"/>
    </xf>
    <xf numFmtId="182" fontId="19" fillId="0" borderId="0" xfId="7" applyFont="1" applyFill="1" applyBorder="1" applyAlignment="1">
      <alignment horizontal="center" vertical="center"/>
    </xf>
    <xf numFmtId="182" fontId="19" fillId="0" borderId="0" xfId="7" applyFont="1" applyBorder="1" applyAlignment="1">
      <alignment horizontal="center" vertical="center"/>
    </xf>
    <xf numFmtId="169" fontId="30" fillId="0" borderId="12" xfId="5" applyNumberFormat="1" applyFont="1" applyBorder="1" applyAlignment="1">
      <alignment horizontal="center" vertical="center" wrapText="1"/>
    </xf>
    <xf numFmtId="169" fontId="30" fillId="0" borderId="2" xfId="5" applyNumberFormat="1" applyFont="1" applyBorder="1" applyAlignment="1">
      <alignment horizontal="center" vertical="center" wrapText="1"/>
    </xf>
    <xf numFmtId="169" fontId="30" fillId="0" borderId="4" xfId="5" applyNumberFormat="1" applyFont="1" applyBorder="1" applyAlignment="1">
      <alignment horizontal="center" vertical="center" wrapText="1"/>
    </xf>
    <xf numFmtId="169" fontId="17" fillId="0" borderId="13" xfId="5" applyNumberFormat="1" applyFont="1" applyBorder="1"/>
    <xf numFmtId="1" fontId="19" fillId="0" borderId="4" xfId="5" applyNumberFormat="1" applyFont="1" applyBorder="1" applyAlignment="1">
      <alignment horizontal="left" vertical="center"/>
    </xf>
    <xf numFmtId="164" fontId="31" fillId="0" borderId="2" xfId="1" applyNumberFormat="1" applyFont="1" applyFill="1" applyBorder="1" applyAlignment="1">
      <alignment vertical="top"/>
    </xf>
    <xf numFmtId="0" fontId="2" fillId="14" borderId="6" xfId="0" applyFont="1" applyFill="1" applyBorder="1" applyAlignment="1">
      <alignment horizontal="center"/>
    </xf>
    <xf numFmtId="164" fontId="0" fillId="0" borderId="2" xfId="1" applyNumberFormat="1" applyFont="1" applyBorder="1" applyAlignment="1">
      <alignment horizontal="left"/>
    </xf>
    <xf numFmtId="164" fontId="0" fillId="8" borderId="2" xfId="1" applyNumberFormat="1" applyFont="1" applyFill="1" applyBorder="1"/>
    <xf numFmtId="164" fontId="0" fillId="0" borderId="0" xfId="1" applyNumberFormat="1" applyFont="1" applyBorder="1" applyAlignment="1">
      <alignment horizontal="left"/>
    </xf>
    <xf numFmtId="164" fontId="0" fillId="0" borderId="2" xfId="1" applyNumberFormat="1" applyFont="1" applyBorder="1" applyAlignment="1">
      <alignment vertical="top"/>
    </xf>
    <xf numFmtId="164" fontId="0" fillId="0" borderId="2" xfId="1" applyNumberFormat="1" applyFont="1" applyFill="1" applyBorder="1" applyAlignment="1">
      <alignment vertical="top"/>
    </xf>
    <xf numFmtId="0" fontId="19" fillId="0" borderId="2" xfId="5" applyFont="1" applyBorder="1" applyAlignment="1">
      <alignment vertical="top"/>
    </xf>
    <xf numFmtId="0" fontId="19" fillId="0" borderId="2" xfId="0" applyFont="1" applyBorder="1" applyAlignment="1">
      <alignment vertical="top"/>
    </xf>
    <xf numFmtId="0" fontId="0" fillId="0" borderId="0" xfId="0" applyAlignment="1">
      <alignment horizontal="right"/>
    </xf>
  </cellXfs>
  <cellStyles count="33">
    <cellStyle name="Comma" xfId="1" builtinId="3"/>
    <cellStyle name="Comma [0] 2" xfId="7"/>
    <cellStyle name="Comma 10" xfId="8"/>
    <cellStyle name="Comma 110" xfId="9"/>
    <cellStyle name="Comma 110 2" xfId="10"/>
    <cellStyle name="Comma 2" xfId="11"/>
    <cellStyle name="Comma 2 2" xfId="6"/>
    <cellStyle name="Comma 2 7 2" xfId="12"/>
    <cellStyle name="Comma 2 8" xfId="13"/>
    <cellStyle name="Comma 24" xfId="14"/>
    <cellStyle name="Comma 24 2" xfId="15"/>
    <cellStyle name="Comma 5" xfId="16"/>
    <cellStyle name="Normal" xfId="0" builtinId="0"/>
    <cellStyle name="Normal 2" xfId="2"/>
    <cellStyle name="Normal 2 2" xfId="17"/>
    <cellStyle name="Normal 2 6" xfId="5"/>
    <cellStyle name="Normal 3" xfId="18"/>
    <cellStyle name="Normal 4 3 2" xfId="19"/>
    <cellStyle name="Percent" xfId="4" builtinId="5"/>
    <cellStyle name="Percent 2" xfId="3"/>
    <cellStyle name="S0 2" xfId="20"/>
    <cellStyle name="S0 2 3" xfId="21"/>
    <cellStyle name="S0 4 2" xfId="22"/>
    <cellStyle name="S10 5 2" xfId="23"/>
    <cellStyle name="S10 5 8" xfId="24"/>
    <cellStyle name="S11 14" xfId="25"/>
    <cellStyle name="S3" xfId="26"/>
    <cellStyle name="S4" xfId="27"/>
    <cellStyle name="S5" xfId="28"/>
    <cellStyle name="S6" xfId="29"/>
    <cellStyle name="S7" xfId="30"/>
    <cellStyle name="S9 4 2" xfId="31"/>
    <cellStyle name="S9 4 8" xfId="3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ysClr val="windowText" lastClr="000000"/>
                </a:solidFill>
                <a:latin typeface="+mn-lt"/>
              </a:rPr>
              <a:t>Total value departemen HRD &amp; ga</a:t>
            </a:r>
          </a:p>
        </c:rich>
      </c:tx>
      <c:layout>
        <c:manualLayout>
          <c:xMode val="edge"/>
          <c:yMode val="edge"/>
          <c:x val="0.13212279966239274"/>
          <c:y val="3.590797848667971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5891600636719339E-2"/>
          <c:y val="0.24026158497769559"/>
          <c:w val="0.87735588595616265"/>
          <c:h val="0.62242994705415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GA!$I$5</c:f>
              <c:strCache>
                <c:ptCount val="1"/>
                <c:pt idx="0">
                  <c:v>Total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02C3-4DED-A13A-E23F62A7C4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GA!$J$6:$L$6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GA!$J$7:$L$7</c:f>
              <c:numCache>
                <c:formatCode>_-* #,##0_-;\-* #,##0_-;_-* "-"_-;_-@_-</c:formatCode>
                <c:ptCount val="3"/>
                <c:pt idx="0">
                  <c:v>488889959</c:v>
                </c:pt>
                <c:pt idx="1">
                  <c:v>318345396</c:v>
                </c:pt>
                <c:pt idx="2">
                  <c:v>241749090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766-44CB-973D-BC04C13265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4"/>
        <c:overlap val="-42"/>
        <c:axId val="132303360"/>
        <c:axId val="307645824"/>
      </c:barChart>
      <c:catAx>
        <c:axId val="13230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 b="1"/>
                  <a:t>TOTAL :</a:t>
                </a:r>
                <a:r>
                  <a:rPr lang="en-US" sz="1100" b="1" baseline="0"/>
                  <a:t> </a:t>
                </a:r>
                <a:r>
                  <a:rPr lang="en-ID" sz="1100" b="1" i="0" u="none" strike="noStrike" baseline="0">
                    <a:effectLst/>
                  </a:rPr>
                  <a:t>1.048.984.445 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0.35287347802953284"/>
              <c:y val="0.1455255561215826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645824"/>
        <c:crosses val="autoZero"/>
        <c:auto val="1"/>
        <c:lblAlgn val="ctr"/>
        <c:lblOffset val="100"/>
        <c:noMultiLvlLbl val="0"/>
      </c:catAx>
      <c:valAx>
        <c:axId val="30764582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100" b="1">
                    <a:solidFill>
                      <a:sysClr val="windowText" lastClr="000000"/>
                    </a:solidFill>
                  </a:rPr>
                  <a:t>Value (Rp)</a:t>
                </a:r>
              </a:p>
            </c:rich>
          </c:tx>
          <c:layout>
            <c:manualLayout>
              <c:xMode val="edge"/>
              <c:yMode val="edge"/>
              <c:x val="1.6360714314629845E-2"/>
              <c:y val="0.389496716917960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none"/>
        <c:minorTickMark val="none"/>
        <c:tickLblPos val="nextTo"/>
        <c:crossAx val="13230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+mn-lt"/>
              </a:defRPr>
            </a:pPr>
            <a:r>
              <a:rPr lang="en-US">
                <a:latin typeface="+mn-lt"/>
              </a:rPr>
              <a:t>TOTAL</a:t>
            </a:r>
            <a:r>
              <a:rPr lang="en-US" baseline="0">
                <a:latin typeface="+mn-lt"/>
              </a:rPr>
              <a:t> VALUE DEPARTEMEN IT</a:t>
            </a:r>
          </a:p>
        </c:rich>
      </c:tx>
      <c:layout>
        <c:manualLayout>
          <c:xMode val="edge"/>
          <c:yMode val="edge"/>
          <c:x val="0.15187590315255536"/>
          <c:y val="2.094343565196601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791766197764604E-2"/>
          <c:y val="0.27441060860100674"/>
          <c:w val="0.89387489063867021"/>
          <c:h val="0.5785801254009915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IT!$I$7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639D-4248-A336-2D40693356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1100"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IT!$J$6:$L$6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IT!$J$7:$L$7</c:f>
              <c:numCache>
                <c:formatCode>_-* #,##0_-;\-* #,##0_-;_-* "-"_-;_-@_-</c:formatCode>
                <c:ptCount val="3"/>
                <c:pt idx="0">
                  <c:v>29044670</c:v>
                </c:pt>
                <c:pt idx="1">
                  <c:v>85203517</c:v>
                </c:pt>
                <c:pt idx="2">
                  <c:v>28845461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CE-4E3A-BAA6-2C0072E9F0ED}"/>
            </c:ext>
          </c:extLst>
        </c:ser>
        <c:ser>
          <c:idx val="1"/>
          <c:order val="1"/>
          <c:tx>
            <c:strRef>
              <c:f>IT!#REF!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IT!$J$6:$L$6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IT!#REF!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CCE-4E3A-BAA6-2C0072E9F0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31190272"/>
        <c:axId val="331400320"/>
      </c:barChart>
      <c:catAx>
        <c:axId val="33119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 b="1"/>
                  <a:t>TOTAL:</a:t>
                </a:r>
                <a:r>
                  <a:rPr lang="en-ID" sz="1100" b="1" i="0" u="none" strike="noStrike" baseline="0">
                    <a:effectLst/>
                  </a:rPr>
                  <a:t> 143.093.648 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0.37593889527853958"/>
              <c:y val="0.1454827970981074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vert="horz"/>
          <a:lstStyle/>
          <a:p>
            <a:pPr>
              <a:defRPr sz="1200" b="1"/>
            </a:pPr>
            <a:endParaRPr lang="en-US"/>
          </a:p>
        </c:txPr>
        <c:crossAx val="331400320"/>
        <c:crosses val="autoZero"/>
        <c:auto val="1"/>
        <c:lblAlgn val="ctr"/>
        <c:lblOffset val="100"/>
        <c:noMultiLvlLbl val="0"/>
      </c:catAx>
      <c:valAx>
        <c:axId val="331400320"/>
        <c:scaling>
          <c:orientation val="minMax"/>
        </c:scaling>
        <c:delete val="1"/>
        <c:axPos val="l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ID" sz="1200"/>
                  <a:t>VALUE</a:t>
                </a:r>
                <a:r>
                  <a:rPr lang="en-ID" sz="1200" baseline="0"/>
                  <a:t> (RP</a:t>
                </a:r>
                <a:r>
                  <a:rPr lang="en-ID" sz="1200"/>
                  <a:t>)</a:t>
                </a:r>
              </a:p>
            </c:rich>
          </c:tx>
          <c:layout>
            <c:manualLayout>
              <c:xMode val="edge"/>
              <c:yMode val="edge"/>
              <c:x val="1.3452003892771829E-2"/>
              <c:y val="0.411770794830110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none"/>
        <c:minorTickMark val="none"/>
        <c:tickLblPos val="nextTo"/>
        <c:crossAx val="33119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3175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400">
                <a:solidFill>
                  <a:sysClr val="windowText" lastClr="000000"/>
                </a:solidFill>
              </a:rPr>
              <a:t>total value Departemen Keuangan</a:t>
            </a:r>
          </a:p>
        </c:rich>
      </c:tx>
      <c:layout>
        <c:manualLayout>
          <c:xMode val="edge"/>
          <c:yMode val="edge"/>
          <c:x val="0.11554576983921849"/>
          <c:y val="3.240740740740740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95238514233131E-2"/>
          <c:y val="0.28268518518518521"/>
          <c:w val="0.89643653888103703"/>
          <c:h val="0.553695683872849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KEU!$I$7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C583-4D0C-9898-AF1AE346D9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KEU!$J$6:$L$6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KEU!$J$7:$L$7</c:f>
              <c:numCache>
                <c:formatCode>_-* #,##0_-;\-* #,##0_-;_-* "-"_-;_-@_-</c:formatCode>
                <c:ptCount val="3"/>
                <c:pt idx="0">
                  <c:v>35341039</c:v>
                </c:pt>
                <c:pt idx="1">
                  <c:v>24539074</c:v>
                </c:pt>
                <c:pt idx="2" formatCode="_(* #,##0_);_(* \(#,##0\);_(* &quot;-&quot;??_);_(@_)">
                  <c:v>10434037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CA-44B6-BF04-6575628B022D}"/>
            </c:ext>
          </c:extLst>
        </c:ser>
        <c:ser>
          <c:idx val="1"/>
          <c:order val="1"/>
          <c:tx>
            <c:strRef>
              <c:f>KEU!#REF!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KEU!$J$6:$L$6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KEU!#REF!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CA-44B6-BF04-6575628B02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2"/>
        <c:overlap val="100"/>
        <c:axId val="264822784"/>
        <c:axId val="331406080"/>
      </c:barChart>
      <c:catAx>
        <c:axId val="26482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/>
                  <a:t>TOTAL:</a:t>
                </a:r>
                <a:r>
                  <a:rPr lang="en-ID" sz="1050" b="1" i="0" u="none" strike="noStrike" baseline="0">
                    <a:effectLst/>
                  </a:rPr>
                  <a:t> 70.314.150 </a:t>
                </a:r>
                <a:r>
                  <a:rPr lang="en-US" sz="1050" b="1"/>
                  <a:t> </a:t>
                </a:r>
              </a:p>
            </c:rich>
          </c:tx>
          <c:layout>
            <c:manualLayout>
              <c:xMode val="edge"/>
              <c:yMode val="edge"/>
              <c:x val="0.40243261970622685"/>
              <c:y val="0.1471988918051910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406080"/>
        <c:crosses val="autoZero"/>
        <c:auto val="1"/>
        <c:lblAlgn val="ctr"/>
        <c:lblOffset val="100"/>
        <c:noMultiLvlLbl val="0"/>
      </c:catAx>
      <c:valAx>
        <c:axId val="33140608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200" b="1">
                    <a:solidFill>
                      <a:sysClr val="windowText" lastClr="000000"/>
                    </a:solidFill>
                  </a:rPr>
                  <a:t>VALUE (Rp)</a:t>
                </a:r>
              </a:p>
            </c:rich>
          </c:tx>
          <c:layout>
            <c:manualLayout>
              <c:xMode val="edge"/>
              <c:yMode val="edge"/>
              <c:x val="1.3884840785814713E-2"/>
              <c:y val="0.408271361913094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none"/>
        <c:minorTickMark val="none"/>
        <c:tickLblPos val="nextTo"/>
        <c:crossAx val="26482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ysClr val="windowText" lastClr="000000"/>
                </a:solidFill>
              </a:rPr>
              <a:t>total value departemen Logistik</a:t>
            </a:r>
          </a:p>
        </c:rich>
      </c:tx>
      <c:layout>
        <c:manualLayout>
          <c:xMode val="edge"/>
          <c:yMode val="edge"/>
          <c:x val="0.11826164880874677"/>
          <c:y val="2.396526129813803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236332546573477E-2"/>
          <c:y val="0.26491548300637818"/>
          <c:w val="0.90561398433301232"/>
          <c:h val="0.613572040942843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LOG!$I$7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C699-4177-BF62-F27CBFE4AD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LOG!$J$6:$L$6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LOG!$J$7:$L$7</c:f>
              <c:numCache>
                <c:formatCode>_-* #,##0_-;\-* #,##0_-;_-* "-"_-;_-@_-</c:formatCode>
                <c:ptCount val="3"/>
                <c:pt idx="0">
                  <c:v>122949938</c:v>
                </c:pt>
                <c:pt idx="1">
                  <c:v>243269649</c:v>
                </c:pt>
                <c:pt idx="2">
                  <c:v>133018684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214-409D-8A54-A543DC1444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2"/>
        <c:overlap val="-42"/>
        <c:axId val="266011136"/>
        <c:axId val="264436480"/>
      </c:barChart>
      <c:catAx>
        <c:axId val="26601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 b="1"/>
                  <a:t>TAHUN:</a:t>
                </a:r>
                <a:r>
                  <a:rPr lang="en-ID" sz="1100" b="1" i="0" u="none" strike="noStrike" baseline="0">
                    <a:effectLst/>
                  </a:rPr>
                  <a:t> 499.238.271 </a:t>
                </a:r>
                <a:r>
                  <a:rPr lang="en-US" sz="1100" b="1"/>
                  <a:t> </a:t>
                </a:r>
              </a:p>
            </c:rich>
          </c:tx>
          <c:layout>
            <c:manualLayout>
              <c:xMode val="edge"/>
              <c:yMode val="edge"/>
              <c:x val="0.36623753561881778"/>
              <c:y val="0.1316166616810047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36480"/>
        <c:crosses val="autoZero"/>
        <c:auto val="1"/>
        <c:lblAlgn val="ctr"/>
        <c:lblOffset val="100"/>
        <c:noMultiLvlLbl val="0"/>
      </c:catAx>
      <c:valAx>
        <c:axId val="26443648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1">
                    <a:solidFill>
                      <a:sysClr val="windowText" lastClr="000000"/>
                    </a:solidFill>
                  </a:rPr>
                  <a:t>Value (Rp)</a:t>
                </a:r>
              </a:p>
            </c:rich>
          </c:tx>
          <c:layout>
            <c:manualLayout>
              <c:xMode val="edge"/>
              <c:yMode val="edge"/>
              <c:x val="1.482747960349365E-2"/>
              <c:y val="0.431293014462446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none"/>
        <c:minorTickMark val="none"/>
        <c:tickLblPos val="nextTo"/>
        <c:crossAx val="26601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VALUE DEPARTEMEN SALES</a:t>
            </a:r>
          </a:p>
        </c:rich>
      </c:tx>
      <c:layout>
        <c:manualLayout>
          <c:xMode val="edge"/>
          <c:yMode val="edge"/>
          <c:x val="0.13605555555555557"/>
          <c:y val="4.166666666666666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8888888888888892E-2"/>
          <c:y val="0.31944444444444442"/>
          <c:w val="0.83888888888888891"/>
          <c:h val="0.56457567804024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SALES!$I$7</c:f>
              <c:strCache>
                <c:ptCount val="1"/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51A-406B-BC06-2D39E74D34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SALES!$J$6:$L$6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SALES!$J$7:$L$7</c:f>
              <c:numCache>
                <c:formatCode>_-* #,##0_-;\-* #,##0_-;_-* "-"_-;_-@_-</c:formatCode>
                <c:ptCount val="3"/>
                <c:pt idx="0">
                  <c:v>35130632</c:v>
                </c:pt>
                <c:pt idx="1">
                  <c:v>3602810</c:v>
                </c:pt>
                <c:pt idx="2">
                  <c:v>7670000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51A-406B-BC06-2D39E74D3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1"/>
        <c:overlap val="100"/>
        <c:axId val="293012992"/>
        <c:axId val="267719744"/>
      </c:barChart>
      <c:catAx>
        <c:axId val="293012992"/>
        <c:scaling>
          <c:orientation val="minMax"/>
        </c:scaling>
        <c:delete val="0"/>
        <c:axPos val="b"/>
        <c:majorGridlines>
          <c:spPr>
            <a:ln>
              <a:solidFill>
                <a:sysClr val="windowText" lastClr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 b="1"/>
                  <a:t>TOTAL:</a:t>
                </a:r>
                <a:r>
                  <a:rPr lang="en-US" sz="1100" b="1" baseline="0"/>
                  <a:t> </a:t>
                </a:r>
                <a:r>
                  <a:rPr lang="en-ID" sz="1100" b="1" i="0" u="none" strike="noStrike" baseline="0">
                    <a:effectLst/>
                  </a:rPr>
                  <a:t>46.403.442 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0.39939566929133857"/>
              <c:y val="0.16108778069407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67719744"/>
        <c:crosses val="autoZero"/>
        <c:auto val="1"/>
        <c:lblAlgn val="ctr"/>
        <c:lblOffset val="100"/>
        <c:noMultiLvlLbl val="0"/>
      </c:catAx>
      <c:valAx>
        <c:axId val="267719744"/>
        <c:scaling>
          <c:orientation val="minMax"/>
        </c:scaling>
        <c:delete val="1"/>
        <c:axPos val="l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VALUE</a:t>
                </a:r>
                <a:r>
                  <a:rPr lang="en-US" sz="1200" baseline="0"/>
                  <a:t> (RP)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2.1652668416447945E-2"/>
              <c:y val="0.41410469524642751"/>
            </c:manualLayout>
          </c:layout>
          <c:overlay val="0"/>
        </c:title>
        <c:numFmt formatCode="_-* #,##0_-;\-* #,##0_-;_-* &quot;-&quot;_-;_-@_-" sourceLinked="1"/>
        <c:majorTickMark val="out"/>
        <c:minorTickMark val="none"/>
        <c:tickLblPos val="nextTo"/>
        <c:crossAx val="293012992"/>
        <c:crosses val="autoZero"/>
        <c:crossBetween val="between"/>
      </c:valAx>
    </c:plotArea>
    <c:plotVisOnly val="1"/>
    <c:dispBlanksAs val="gap"/>
    <c:showDLblsOverMax val="0"/>
  </c:chart>
  <c:spPr>
    <a:ln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800" b="1">
                <a:solidFill>
                  <a:sysClr val="windowText" lastClr="000000"/>
                </a:solidFill>
              </a:rPr>
              <a:t>Total value </a:t>
            </a:r>
            <a:r>
              <a:rPr lang="en-ID" sz="1800" b="1" baseline="0">
                <a:solidFill>
                  <a:sysClr val="windowText" lastClr="000000"/>
                </a:solidFill>
              </a:rPr>
              <a:t>barang promosi</a:t>
            </a:r>
            <a:endParaRPr lang="en-ID" sz="18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5597169030913938"/>
          <c:y val="2.003924627069742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5066127434459803E-2"/>
          <c:y val="0.25181093705528801"/>
          <c:w val="0.90238037157874185"/>
          <c:h val="0.612468424970445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'Promosi '!$I$5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9DE-4487-A075-5BB21EA391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'Promosi '!$J$4:$L$4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'Promosi '!$J$5:$L$5</c:f>
              <c:numCache>
                <c:formatCode>_(* #,##0_);_(* \(#,##0\);_(* "-"??_);_(@_)</c:formatCode>
                <c:ptCount val="3"/>
                <c:pt idx="0">
                  <c:v>1165953250</c:v>
                </c:pt>
                <c:pt idx="1">
                  <c:v>696720631</c:v>
                </c:pt>
                <c:pt idx="2">
                  <c:v>392487847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AA7-4927-A4E9-89D0690686D6}"/>
            </c:ext>
          </c:extLst>
        </c:ser>
        <c:ser>
          <c:idx val="1"/>
          <c:order val="1"/>
          <c:tx>
            <c:strRef>
              <c:f>'Promosi '!$I$6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'Promosi '!$J$4:$L$4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'Promosi '!$J$6:$L$6</c:f>
              <c:numCache>
                <c:formatCode>_(* #,##0_);_(* \(#,##0\);_(* "-"??_);_(@_)</c:formatCode>
                <c:ptCount val="3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AA7-4927-A4E9-89D0690686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2"/>
        <c:overlap val="100"/>
        <c:axId val="293011968"/>
        <c:axId val="304700736"/>
      </c:barChart>
      <c:catAx>
        <c:axId val="29301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50"/>
                </a:pPr>
                <a:r>
                  <a:rPr lang="en-US" sz="1050" b="1"/>
                  <a:t>TOTAL:</a:t>
                </a:r>
                <a:r>
                  <a:rPr lang="en-US" sz="1050" b="1" baseline="0"/>
                  <a:t> </a:t>
                </a:r>
                <a:r>
                  <a:rPr lang="en-ID" sz="1050" b="1" i="0" u="none" strike="noStrike" baseline="0">
                    <a:effectLst/>
                  </a:rPr>
                  <a:t>2.255.161.728 </a:t>
                </a:r>
                <a:endParaRPr lang="en-US" sz="1050" b="1"/>
              </a:p>
            </c:rich>
          </c:tx>
          <c:layout>
            <c:manualLayout>
              <c:xMode val="edge"/>
              <c:yMode val="edge"/>
              <c:x val="0.3830235811963193"/>
              <c:y val="0.1529540736317519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700736"/>
        <c:crosses val="autoZero"/>
        <c:auto val="1"/>
        <c:lblAlgn val="ctr"/>
        <c:lblOffset val="100"/>
        <c:noMultiLvlLbl val="0"/>
      </c:catAx>
      <c:valAx>
        <c:axId val="30470073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200" b="1">
                    <a:solidFill>
                      <a:sysClr val="windowText" lastClr="000000"/>
                    </a:solidFill>
                  </a:rPr>
                  <a:t>VALUE (Rp)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crossAx val="29301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7</xdr:row>
      <xdr:rowOff>129889</xdr:rowOff>
    </xdr:from>
    <xdr:to>
      <xdr:col>12</xdr:col>
      <xdr:colOff>17319</xdr:colOff>
      <xdr:row>20</xdr:row>
      <xdr:rowOff>138547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1FBFA28-2953-817C-360D-7780F680A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593147</xdr:colOff>
      <xdr:row>7</xdr:row>
      <xdr:rowOff>103908</xdr:rowOff>
    </xdr:from>
    <xdr:to>
      <xdr:col>12</xdr:col>
      <xdr:colOff>17318</xdr:colOff>
      <xdr:row>21</xdr:row>
      <xdr:rowOff>25977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E0A82B0-700E-C0BB-AFA4-A1CA9F120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562839</xdr:colOff>
      <xdr:row>7</xdr:row>
      <xdr:rowOff>143742</xdr:rowOff>
    </xdr:from>
    <xdr:to>
      <xdr:col>12</xdr:col>
      <xdr:colOff>121228</xdr:colOff>
      <xdr:row>22</xdr:row>
      <xdr:rowOff>29442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56AD450-476D-610F-A65A-9985D6F2D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597476</xdr:colOff>
      <xdr:row>7</xdr:row>
      <xdr:rowOff>112568</xdr:rowOff>
    </xdr:from>
    <xdr:to>
      <xdr:col>12</xdr:col>
      <xdr:colOff>25978</xdr:colOff>
      <xdr:row>20</xdr:row>
      <xdr:rowOff>129886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7134CBA-D20C-4430-8F9D-729B73DFA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60613</xdr:colOff>
      <xdr:row>7</xdr:row>
      <xdr:rowOff>126424</xdr:rowOff>
    </xdr:from>
    <xdr:to>
      <xdr:col>11</xdr:col>
      <xdr:colOff>1177636</xdr:colOff>
      <xdr:row>22</xdr:row>
      <xdr:rowOff>12124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38101</xdr:rowOff>
    </xdr:from>
    <xdr:to>
      <xdr:col>12</xdr:col>
      <xdr:colOff>0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9EE5A3F-2C27-B1BB-8AC9-2F4715F07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nda\Downloads\ATK%20&amp;%20RTK%202024-April%202026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Dept"/>
      <sheetName val="GA"/>
      <sheetName val="IT"/>
      <sheetName val="KEU"/>
      <sheetName val="LOG"/>
      <sheetName val="SALES"/>
      <sheetName val="Promosi"/>
    </sheetNames>
    <sheetDataSet>
      <sheetData sheetId="0"/>
      <sheetData sheetId="1">
        <row r="5">
          <cell r="I5" t="str">
            <v>Total Value</v>
          </cell>
        </row>
        <row r="6">
          <cell r="J6">
            <v>2024</v>
          </cell>
          <cell r="K6">
            <v>2025</v>
          </cell>
          <cell r="L6">
            <v>2026</v>
          </cell>
        </row>
        <row r="7">
          <cell r="J7">
            <v>488889959</v>
          </cell>
          <cell r="K7">
            <v>318345396</v>
          </cell>
          <cell r="L7">
            <v>241749090</v>
          </cell>
        </row>
      </sheetData>
      <sheetData sheetId="2">
        <row r="6">
          <cell r="J6">
            <v>2024</v>
          </cell>
          <cell r="K6">
            <v>2025</v>
          </cell>
          <cell r="L6">
            <v>2026</v>
          </cell>
        </row>
        <row r="7">
          <cell r="J7">
            <v>29044670</v>
          </cell>
          <cell r="K7">
            <v>85203517</v>
          </cell>
          <cell r="L7">
            <v>28845461</v>
          </cell>
        </row>
      </sheetData>
      <sheetData sheetId="3">
        <row r="6">
          <cell r="J6">
            <v>2024</v>
          </cell>
          <cell r="K6">
            <v>2025</v>
          </cell>
          <cell r="L6">
            <v>2026</v>
          </cell>
        </row>
        <row r="7">
          <cell r="J7">
            <v>35341039</v>
          </cell>
          <cell r="K7">
            <v>24539074</v>
          </cell>
          <cell r="L7">
            <v>10434037</v>
          </cell>
        </row>
      </sheetData>
      <sheetData sheetId="4">
        <row r="6">
          <cell r="J6">
            <v>2024</v>
          </cell>
          <cell r="K6">
            <v>2025</v>
          </cell>
          <cell r="L6">
            <v>2026</v>
          </cell>
        </row>
        <row r="7">
          <cell r="J7">
            <v>122949938</v>
          </cell>
          <cell r="K7">
            <v>243269649</v>
          </cell>
          <cell r="L7">
            <v>133018684</v>
          </cell>
        </row>
      </sheetData>
      <sheetData sheetId="5">
        <row r="6">
          <cell r="J6">
            <v>2024</v>
          </cell>
          <cell r="K6">
            <v>2025</v>
          </cell>
          <cell r="L6">
            <v>2026</v>
          </cell>
        </row>
        <row r="7">
          <cell r="J7">
            <v>35130632</v>
          </cell>
          <cell r="K7">
            <v>3602810</v>
          </cell>
          <cell r="L7">
            <v>7670000</v>
          </cell>
        </row>
      </sheetData>
      <sheetData sheetId="6">
        <row r="4">
          <cell r="J4">
            <v>2024</v>
          </cell>
          <cell r="K4">
            <v>2025</v>
          </cell>
          <cell r="L4">
            <v>2026</v>
          </cell>
        </row>
        <row r="5">
          <cell r="J5">
            <v>1165953250</v>
          </cell>
          <cell r="K5">
            <v>696720631</v>
          </cell>
          <cell r="L5">
            <v>392487847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2"/>
  <sheetViews>
    <sheetView topLeftCell="L1" workbookViewId="0">
      <pane ySplit="1" topLeftCell="A2" activePane="bottomLeft" state="frozen"/>
      <selection activeCell="E205" sqref="E205"/>
      <selection pane="bottomLeft" activeCell="Q144" sqref="Q144"/>
    </sheetView>
  </sheetViews>
  <sheetFormatPr defaultRowHeight="15" x14ac:dyDescent="0.25"/>
  <cols>
    <col min="1" max="1" width="3.85546875" bestFit="1" customWidth="1"/>
    <col min="2" max="2" width="14.7109375" customWidth="1"/>
    <col min="3" max="3" width="12.7109375" bestFit="1" customWidth="1"/>
    <col min="4" max="4" width="7.7109375" bestFit="1" customWidth="1"/>
    <col min="5" max="5" width="13.7109375" customWidth="1"/>
    <col min="6" max="6" width="22" customWidth="1"/>
    <col min="7" max="7" width="24.5703125" customWidth="1"/>
    <col min="8" max="8" width="6.5703125" customWidth="1"/>
    <col min="9" max="9" width="11.42578125" customWidth="1"/>
    <col min="10" max="10" width="10.85546875" customWidth="1"/>
    <col min="11" max="11" width="11.140625" customWidth="1"/>
    <col min="12" max="12" width="10.42578125" customWidth="1"/>
    <col min="13" max="13" width="29" customWidth="1"/>
    <col min="14" max="14" width="10.5703125" bestFit="1" customWidth="1"/>
    <col min="15" max="15" width="10.42578125" customWidth="1"/>
    <col min="16" max="16" width="11.7109375" bestFit="1" customWidth="1"/>
    <col min="17" max="17" width="32.7109375" customWidth="1"/>
    <col min="18" max="18" width="13.85546875" customWidth="1"/>
    <col min="19" max="19" width="13.7109375" customWidth="1"/>
    <col min="20" max="20" width="5.85546875" customWidth="1"/>
    <col min="21" max="21" width="6.42578125" customWidth="1"/>
    <col min="22" max="22" width="7" customWidth="1"/>
    <col min="23" max="23" width="7.28515625" customWidth="1"/>
    <col min="24" max="24" width="11.140625" bestFit="1" customWidth="1"/>
    <col min="25" max="25" width="20.5703125" bestFit="1" customWidth="1"/>
  </cols>
  <sheetData>
    <row r="1" spans="1:25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2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" t="s">
        <v>23</v>
      </c>
      <c r="Y1" s="1" t="s">
        <v>24</v>
      </c>
    </row>
    <row r="2" spans="1:25" x14ac:dyDescent="0.25">
      <c r="A2" s="5">
        <v>1</v>
      </c>
      <c r="B2" s="43" t="s">
        <v>25</v>
      </c>
      <c r="C2" s="6">
        <v>46144</v>
      </c>
      <c r="D2" s="5" t="s">
        <v>26</v>
      </c>
      <c r="E2" s="5" t="s">
        <v>27</v>
      </c>
      <c r="F2" s="5" t="s">
        <v>28</v>
      </c>
      <c r="G2" s="5" t="s">
        <v>29</v>
      </c>
      <c r="H2" s="7">
        <v>1</v>
      </c>
      <c r="I2" s="8">
        <v>500000</v>
      </c>
      <c r="J2" s="8">
        <v>500000</v>
      </c>
      <c r="K2" s="8">
        <v>500000</v>
      </c>
      <c r="L2" s="5" t="s">
        <v>30</v>
      </c>
      <c r="M2" s="5" t="s">
        <v>31</v>
      </c>
      <c r="N2" s="5" t="s">
        <v>27</v>
      </c>
      <c r="O2" s="6">
        <v>46144</v>
      </c>
      <c r="P2" s="6">
        <v>46152</v>
      </c>
      <c r="Q2" s="5" t="s">
        <v>32</v>
      </c>
      <c r="R2" s="6">
        <v>46144</v>
      </c>
      <c r="S2" s="6">
        <v>46144</v>
      </c>
      <c r="T2" s="9">
        <f t="shared" ref="T2:T33" si="0">O2-C2</f>
        <v>0</v>
      </c>
      <c r="U2" s="9">
        <f t="shared" ref="U2:U33" si="1">R2-C2</f>
        <v>0</v>
      </c>
      <c r="V2" s="9">
        <f t="shared" ref="V2:V33" si="2">P2-C2</f>
        <v>8</v>
      </c>
      <c r="W2" s="9">
        <f t="shared" ref="W2:W33" si="3">S2-C2</f>
        <v>0</v>
      </c>
      <c r="X2" s="5"/>
      <c r="Y2" s="5"/>
    </row>
    <row r="3" spans="1:25" x14ac:dyDescent="0.25">
      <c r="A3" s="5">
        <v>2</v>
      </c>
      <c r="B3" s="43" t="s">
        <v>33</v>
      </c>
      <c r="C3" s="6">
        <v>46146</v>
      </c>
      <c r="D3" s="10" t="s">
        <v>34</v>
      </c>
      <c r="E3" s="10" t="s">
        <v>35</v>
      </c>
      <c r="F3" s="5" t="s">
        <v>36</v>
      </c>
      <c r="G3" s="5" t="s">
        <v>37</v>
      </c>
      <c r="H3" s="7">
        <v>2</v>
      </c>
      <c r="I3" s="8">
        <v>7500</v>
      </c>
      <c r="J3" s="8">
        <v>15000</v>
      </c>
      <c r="K3" s="11">
        <v>15000</v>
      </c>
      <c r="L3" s="5" t="s">
        <v>38</v>
      </c>
      <c r="M3" s="5" t="s">
        <v>39</v>
      </c>
      <c r="N3" s="5" t="s">
        <v>40</v>
      </c>
      <c r="O3" s="6">
        <v>46146</v>
      </c>
      <c r="P3" s="6">
        <v>46146</v>
      </c>
      <c r="Q3" s="5" t="s">
        <v>41</v>
      </c>
      <c r="R3" s="6">
        <v>46146</v>
      </c>
      <c r="S3" s="6">
        <v>46146</v>
      </c>
      <c r="T3" s="9">
        <f t="shared" si="0"/>
        <v>0</v>
      </c>
      <c r="U3" s="9">
        <f t="shared" si="1"/>
        <v>0</v>
      </c>
      <c r="V3" s="9">
        <f t="shared" si="2"/>
        <v>0</v>
      </c>
      <c r="W3" s="9">
        <f t="shared" si="3"/>
        <v>0</v>
      </c>
      <c r="X3" s="5"/>
      <c r="Y3" s="5"/>
    </row>
    <row r="4" spans="1:25" x14ac:dyDescent="0.25">
      <c r="A4" s="5">
        <v>3</v>
      </c>
      <c r="B4" s="43" t="s">
        <v>42</v>
      </c>
      <c r="C4" s="6">
        <v>46146</v>
      </c>
      <c r="D4" s="10" t="s">
        <v>34</v>
      </c>
      <c r="E4" s="10" t="s">
        <v>35</v>
      </c>
      <c r="F4" s="5" t="s">
        <v>43</v>
      </c>
      <c r="G4" s="10" t="s">
        <v>44</v>
      </c>
      <c r="H4" s="12">
        <v>2</v>
      </c>
      <c r="I4" s="8">
        <v>32500</v>
      </c>
      <c r="J4" s="11">
        <v>65000</v>
      </c>
      <c r="K4" s="11">
        <v>65000</v>
      </c>
      <c r="L4" s="5" t="s">
        <v>38</v>
      </c>
      <c r="M4" s="5" t="s">
        <v>39</v>
      </c>
      <c r="N4" s="5" t="s">
        <v>40</v>
      </c>
      <c r="O4" s="6">
        <v>46146</v>
      </c>
      <c r="P4" s="6">
        <v>46146</v>
      </c>
      <c r="Q4" s="5" t="s">
        <v>41</v>
      </c>
      <c r="R4" s="6">
        <v>46146</v>
      </c>
      <c r="S4" s="6">
        <v>46146</v>
      </c>
      <c r="T4" s="9">
        <f t="shared" si="0"/>
        <v>0</v>
      </c>
      <c r="U4" s="9">
        <f t="shared" si="1"/>
        <v>0</v>
      </c>
      <c r="V4" s="9">
        <f t="shared" si="2"/>
        <v>0</v>
      </c>
      <c r="W4" s="9">
        <f t="shared" si="3"/>
        <v>0</v>
      </c>
      <c r="X4" s="5"/>
      <c r="Y4" s="5"/>
    </row>
    <row r="5" spans="1:25" x14ac:dyDescent="0.25">
      <c r="A5" s="5">
        <v>4</v>
      </c>
      <c r="B5" s="43" t="s">
        <v>45</v>
      </c>
      <c r="C5" s="6">
        <v>46146</v>
      </c>
      <c r="D5" s="10" t="s">
        <v>34</v>
      </c>
      <c r="E5" s="10" t="s">
        <v>35</v>
      </c>
      <c r="F5" s="10" t="s">
        <v>46</v>
      </c>
      <c r="G5" s="5" t="s">
        <v>47</v>
      </c>
      <c r="H5" s="13">
        <v>12</v>
      </c>
      <c r="I5" s="11">
        <v>1000</v>
      </c>
      <c r="J5" s="11">
        <v>12000</v>
      </c>
      <c r="K5" s="11">
        <v>16500</v>
      </c>
      <c r="L5" s="5" t="s">
        <v>38</v>
      </c>
      <c r="M5" s="5" t="s">
        <v>48</v>
      </c>
      <c r="N5" s="5" t="s">
        <v>40</v>
      </c>
      <c r="O5" s="6">
        <v>46146</v>
      </c>
      <c r="P5" s="6">
        <v>46146</v>
      </c>
      <c r="Q5" s="5" t="s">
        <v>41</v>
      </c>
      <c r="R5" s="6">
        <v>46146</v>
      </c>
      <c r="S5" s="6">
        <v>46146</v>
      </c>
      <c r="T5" s="9">
        <f t="shared" si="0"/>
        <v>0</v>
      </c>
      <c r="U5" s="9">
        <f t="shared" si="1"/>
        <v>0</v>
      </c>
      <c r="V5" s="9">
        <f t="shared" si="2"/>
        <v>0</v>
      </c>
      <c r="W5" s="9">
        <f t="shared" si="3"/>
        <v>0</v>
      </c>
      <c r="X5" s="5"/>
      <c r="Y5" s="5"/>
    </row>
    <row r="6" spans="1:25" x14ac:dyDescent="0.25">
      <c r="A6" s="5">
        <v>5</v>
      </c>
      <c r="B6" s="43" t="s">
        <v>45</v>
      </c>
      <c r="C6" s="6">
        <v>46146</v>
      </c>
      <c r="D6" s="10" t="s">
        <v>34</v>
      </c>
      <c r="E6" s="10" t="s">
        <v>35</v>
      </c>
      <c r="F6" s="14" t="s">
        <v>49</v>
      </c>
      <c r="G6" s="5" t="s">
        <v>47</v>
      </c>
      <c r="H6" s="13">
        <v>3</v>
      </c>
      <c r="I6" s="11">
        <v>7500</v>
      </c>
      <c r="J6" s="11">
        <v>22500</v>
      </c>
      <c r="K6" s="11">
        <v>22500</v>
      </c>
      <c r="L6" s="5" t="s">
        <v>38</v>
      </c>
      <c r="M6" s="5" t="s">
        <v>48</v>
      </c>
      <c r="N6" s="5" t="s">
        <v>40</v>
      </c>
      <c r="O6" s="6">
        <v>46146</v>
      </c>
      <c r="P6" s="6">
        <v>46146</v>
      </c>
      <c r="Q6" s="5" t="s">
        <v>41</v>
      </c>
      <c r="R6" s="6">
        <v>46146</v>
      </c>
      <c r="S6" s="6">
        <v>46146</v>
      </c>
      <c r="T6" s="9">
        <f t="shared" si="0"/>
        <v>0</v>
      </c>
      <c r="U6" s="9">
        <f t="shared" si="1"/>
        <v>0</v>
      </c>
      <c r="V6" s="9">
        <f t="shared" si="2"/>
        <v>0</v>
      </c>
      <c r="W6" s="9">
        <f t="shared" si="3"/>
        <v>0</v>
      </c>
      <c r="X6" s="5"/>
      <c r="Y6" s="5"/>
    </row>
    <row r="7" spans="1:25" x14ac:dyDescent="0.25">
      <c r="A7" s="5">
        <v>6</v>
      </c>
      <c r="B7" s="43" t="s">
        <v>50</v>
      </c>
      <c r="C7" s="6">
        <v>46147</v>
      </c>
      <c r="D7" s="10" t="s">
        <v>34</v>
      </c>
      <c r="E7" s="10" t="s">
        <v>35</v>
      </c>
      <c r="F7" s="5" t="s">
        <v>51</v>
      </c>
      <c r="G7" s="10" t="s">
        <v>52</v>
      </c>
      <c r="H7" s="12">
        <v>1</v>
      </c>
      <c r="I7" s="11">
        <v>30000</v>
      </c>
      <c r="J7" s="11">
        <v>30000</v>
      </c>
      <c r="K7" s="11">
        <v>30000</v>
      </c>
      <c r="L7" s="5" t="s">
        <v>30</v>
      </c>
      <c r="M7" s="5" t="s">
        <v>53</v>
      </c>
      <c r="N7" s="5" t="s">
        <v>35</v>
      </c>
      <c r="O7" s="6">
        <v>46147</v>
      </c>
      <c r="P7" s="6">
        <v>46147</v>
      </c>
      <c r="Q7" s="5" t="s">
        <v>41</v>
      </c>
      <c r="R7" s="6">
        <v>46147</v>
      </c>
      <c r="S7" s="6">
        <v>46147</v>
      </c>
      <c r="T7" s="9">
        <f t="shared" si="0"/>
        <v>0</v>
      </c>
      <c r="U7" s="9">
        <f t="shared" si="1"/>
        <v>0</v>
      </c>
      <c r="V7" s="9">
        <f t="shared" si="2"/>
        <v>0</v>
      </c>
      <c r="W7" s="9">
        <f t="shared" si="3"/>
        <v>0</v>
      </c>
      <c r="X7" s="5"/>
      <c r="Y7" s="5"/>
    </row>
    <row r="8" spans="1:25" x14ac:dyDescent="0.25">
      <c r="A8" s="5">
        <v>7</v>
      </c>
      <c r="B8" s="43" t="s">
        <v>54</v>
      </c>
      <c r="C8" s="6">
        <v>46147</v>
      </c>
      <c r="D8" s="5" t="s">
        <v>55</v>
      </c>
      <c r="E8" s="5" t="s">
        <v>56</v>
      </c>
      <c r="F8" s="5" t="s">
        <v>57</v>
      </c>
      <c r="G8" s="5" t="s">
        <v>58</v>
      </c>
      <c r="H8" s="13">
        <v>1</v>
      </c>
      <c r="I8" s="11">
        <v>41750</v>
      </c>
      <c r="J8" s="8">
        <v>41750</v>
      </c>
      <c r="K8" s="11">
        <v>38000</v>
      </c>
      <c r="L8" s="5" t="s">
        <v>59</v>
      </c>
      <c r="M8" s="5" t="s">
        <v>60</v>
      </c>
      <c r="N8" s="5" t="s">
        <v>56</v>
      </c>
      <c r="O8" s="6">
        <v>46147</v>
      </c>
      <c r="P8" s="6">
        <v>46147</v>
      </c>
      <c r="Q8" s="5" t="s">
        <v>61</v>
      </c>
      <c r="R8" s="6">
        <v>46147</v>
      </c>
      <c r="S8" s="6">
        <v>46147</v>
      </c>
      <c r="T8" s="9">
        <f t="shared" si="0"/>
        <v>0</v>
      </c>
      <c r="U8" s="9">
        <f t="shared" si="1"/>
        <v>0</v>
      </c>
      <c r="V8" s="9">
        <f t="shared" si="2"/>
        <v>0</v>
      </c>
      <c r="W8" s="9">
        <f t="shared" si="3"/>
        <v>0</v>
      </c>
      <c r="X8" s="5"/>
      <c r="Y8" s="5"/>
    </row>
    <row r="9" spans="1:25" x14ac:dyDescent="0.25">
      <c r="A9" s="5">
        <v>8</v>
      </c>
      <c r="B9" s="43" t="s">
        <v>62</v>
      </c>
      <c r="C9" s="6">
        <v>46147</v>
      </c>
      <c r="D9" s="10" t="s">
        <v>34</v>
      </c>
      <c r="E9" s="10" t="s">
        <v>35</v>
      </c>
      <c r="F9" s="14" t="s">
        <v>63</v>
      </c>
      <c r="G9" s="5" t="s">
        <v>64</v>
      </c>
      <c r="H9" s="13">
        <v>30</v>
      </c>
      <c r="I9" s="11">
        <v>239</v>
      </c>
      <c r="J9" s="11">
        <v>7170</v>
      </c>
      <c r="K9" s="11">
        <v>7170</v>
      </c>
      <c r="L9" s="5" t="s">
        <v>65</v>
      </c>
      <c r="M9" s="5" t="s">
        <v>66</v>
      </c>
      <c r="N9" s="5" t="s">
        <v>35</v>
      </c>
      <c r="O9" s="6">
        <v>46147</v>
      </c>
      <c r="P9" s="6">
        <v>46153</v>
      </c>
      <c r="Q9" s="5" t="s">
        <v>67</v>
      </c>
      <c r="R9" s="6">
        <v>46147</v>
      </c>
      <c r="S9" s="6">
        <v>46147</v>
      </c>
      <c r="T9" s="9">
        <f t="shared" si="0"/>
        <v>0</v>
      </c>
      <c r="U9" s="9">
        <f t="shared" si="1"/>
        <v>0</v>
      </c>
      <c r="V9" s="9">
        <f t="shared" si="2"/>
        <v>6</v>
      </c>
      <c r="W9" s="9">
        <f t="shared" si="3"/>
        <v>0</v>
      </c>
      <c r="X9" s="5"/>
      <c r="Y9" s="5"/>
    </row>
    <row r="10" spans="1:25" x14ac:dyDescent="0.25">
      <c r="A10" s="5">
        <v>9</v>
      </c>
      <c r="B10" s="44" t="s">
        <v>68</v>
      </c>
      <c r="C10" s="6">
        <v>46147</v>
      </c>
      <c r="D10" s="10" t="s">
        <v>34</v>
      </c>
      <c r="E10" s="10" t="s">
        <v>35</v>
      </c>
      <c r="F10" s="5" t="s">
        <v>69</v>
      </c>
      <c r="G10" s="10" t="s">
        <v>70</v>
      </c>
      <c r="H10" s="12">
        <v>2</v>
      </c>
      <c r="I10" s="8">
        <v>105000</v>
      </c>
      <c r="J10" s="8">
        <v>210000</v>
      </c>
      <c r="K10" s="8">
        <v>210000</v>
      </c>
      <c r="L10" s="5" t="s">
        <v>30</v>
      </c>
      <c r="M10" s="5" t="s">
        <v>48</v>
      </c>
      <c r="N10" s="5" t="s">
        <v>40</v>
      </c>
      <c r="O10" s="6">
        <v>46147</v>
      </c>
      <c r="P10" s="6">
        <v>46147</v>
      </c>
      <c r="Q10" s="5" t="s">
        <v>41</v>
      </c>
      <c r="R10" s="6">
        <v>46147</v>
      </c>
      <c r="S10" s="6">
        <v>46147</v>
      </c>
      <c r="T10" s="9">
        <f t="shared" si="0"/>
        <v>0</v>
      </c>
      <c r="U10" s="9">
        <f t="shared" si="1"/>
        <v>0</v>
      </c>
      <c r="V10" s="9">
        <f t="shared" si="2"/>
        <v>0</v>
      </c>
      <c r="W10" s="9">
        <f t="shared" si="3"/>
        <v>0</v>
      </c>
      <c r="X10" s="5"/>
      <c r="Y10" s="5"/>
    </row>
    <row r="11" spans="1:25" x14ac:dyDescent="0.25">
      <c r="A11" s="5">
        <v>10</v>
      </c>
      <c r="B11" s="44" t="s">
        <v>68</v>
      </c>
      <c r="C11" s="6">
        <v>46147</v>
      </c>
      <c r="D11" s="10" t="s">
        <v>34</v>
      </c>
      <c r="E11" s="10" t="s">
        <v>35</v>
      </c>
      <c r="F11" s="5" t="s">
        <v>71</v>
      </c>
      <c r="G11" s="10" t="s">
        <v>70</v>
      </c>
      <c r="H11" s="13">
        <v>1</v>
      </c>
      <c r="I11" s="11">
        <v>15000</v>
      </c>
      <c r="J11" s="11">
        <v>15000</v>
      </c>
      <c r="K11" s="11">
        <v>15000</v>
      </c>
      <c r="L11" s="5" t="s">
        <v>30</v>
      </c>
      <c r="M11" s="5" t="s">
        <v>39</v>
      </c>
      <c r="N11" s="5" t="s">
        <v>40</v>
      </c>
      <c r="O11" s="6">
        <v>46147</v>
      </c>
      <c r="P11" s="6">
        <v>46147</v>
      </c>
      <c r="Q11" s="5" t="s">
        <v>41</v>
      </c>
      <c r="R11" s="6">
        <v>46147</v>
      </c>
      <c r="S11" s="6">
        <v>46147</v>
      </c>
      <c r="T11" s="9">
        <f t="shared" si="0"/>
        <v>0</v>
      </c>
      <c r="U11" s="9">
        <f t="shared" si="1"/>
        <v>0</v>
      </c>
      <c r="V11" s="9">
        <f t="shared" si="2"/>
        <v>0</v>
      </c>
      <c r="W11" s="9">
        <f t="shared" si="3"/>
        <v>0</v>
      </c>
      <c r="X11" s="5"/>
      <c r="Y11" s="5"/>
    </row>
    <row r="12" spans="1:25" x14ac:dyDescent="0.25">
      <c r="A12" s="5">
        <v>11</v>
      </c>
      <c r="B12" s="44" t="s">
        <v>68</v>
      </c>
      <c r="C12" s="6">
        <v>46147</v>
      </c>
      <c r="D12" s="10" t="s">
        <v>34</v>
      </c>
      <c r="E12" s="10" t="s">
        <v>35</v>
      </c>
      <c r="F12" s="5" t="s">
        <v>72</v>
      </c>
      <c r="G12" s="10" t="s">
        <v>70</v>
      </c>
      <c r="H12" s="13">
        <v>1</v>
      </c>
      <c r="I12" s="8">
        <v>20000</v>
      </c>
      <c r="J12" s="8">
        <v>20000</v>
      </c>
      <c r="K12" s="8">
        <v>20000</v>
      </c>
      <c r="L12" s="5" t="s">
        <v>30</v>
      </c>
      <c r="M12" s="5" t="s">
        <v>48</v>
      </c>
      <c r="N12" s="5" t="s">
        <v>40</v>
      </c>
      <c r="O12" s="6">
        <v>46147</v>
      </c>
      <c r="P12" s="6">
        <v>46147</v>
      </c>
      <c r="Q12" s="5" t="s">
        <v>41</v>
      </c>
      <c r="R12" s="6">
        <v>46147</v>
      </c>
      <c r="S12" s="6">
        <v>46147</v>
      </c>
      <c r="T12" s="9">
        <f t="shared" si="0"/>
        <v>0</v>
      </c>
      <c r="U12" s="9">
        <f t="shared" si="1"/>
        <v>0</v>
      </c>
      <c r="V12" s="9">
        <f t="shared" si="2"/>
        <v>0</v>
      </c>
      <c r="W12" s="9">
        <f t="shared" si="3"/>
        <v>0</v>
      </c>
      <c r="X12" s="5"/>
      <c r="Y12" s="5"/>
    </row>
    <row r="13" spans="1:25" x14ac:dyDescent="0.25">
      <c r="A13" s="5">
        <v>12</v>
      </c>
      <c r="B13" s="43" t="s">
        <v>33</v>
      </c>
      <c r="C13" s="6">
        <v>46147</v>
      </c>
      <c r="D13" s="10" t="s">
        <v>34</v>
      </c>
      <c r="E13" s="10" t="s">
        <v>35</v>
      </c>
      <c r="F13" s="5" t="s">
        <v>73</v>
      </c>
      <c r="G13" s="10" t="s">
        <v>74</v>
      </c>
      <c r="H13" s="12">
        <v>2</v>
      </c>
      <c r="I13" s="8">
        <v>1575000</v>
      </c>
      <c r="J13" s="8">
        <v>3150000</v>
      </c>
      <c r="K13" s="8">
        <v>3150000</v>
      </c>
      <c r="L13" s="5" t="s">
        <v>38</v>
      </c>
      <c r="M13" s="5" t="s">
        <v>75</v>
      </c>
      <c r="N13" s="5" t="s">
        <v>40</v>
      </c>
      <c r="O13" s="6">
        <v>46148</v>
      </c>
      <c r="P13" s="6">
        <v>46154</v>
      </c>
      <c r="Q13" s="5" t="s">
        <v>76</v>
      </c>
      <c r="R13" s="6">
        <v>46148</v>
      </c>
      <c r="S13" s="6">
        <v>46148</v>
      </c>
      <c r="T13" s="9">
        <f t="shared" si="0"/>
        <v>1</v>
      </c>
      <c r="U13" s="9">
        <f t="shared" si="1"/>
        <v>1</v>
      </c>
      <c r="V13" s="9">
        <f t="shared" si="2"/>
        <v>7</v>
      </c>
      <c r="W13" s="9">
        <f t="shared" si="3"/>
        <v>1</v>
      </c>
      <c r="X13" s="5"/>
      <c r="Y13" s="5"/>
    </row>
    <row r="14" spans="1:25" x14ac:dyDescent="0.25">
      <c r="A14" s="5">
        <v>13</v>
      </c>
      <c r="B14" s="43" t="s">
        <v>33</v>
      </c>
      <c r="C14" s="6">
        <v>46147</v>
      </c>
      <c r="D14" s="10" t="s">
        <v>34</v>
      </c>
      <c r="E14" s="10" t="s">
        <v>35</v>
      </c>
      <c r="F14" s="14" t="s">
        <v>77</v>
      </c>
      <c r="G14" s="10" t="s">
        <v>74</v>
      </c>
      <c r="H14" s="13">
        <v>4</v>
      </c>
      <c r="I14" s="8">
        <v>2300000</v>
      </c>
      <c r="J14" s="8">
        <v>9200000</v>
      </c>
      <c r="K14" s="8">
        <v>9200000</v>
      </c>
      <c r="L14" s="5" t="s">
        <v>38</v>
      </c>
      <c r="M14" s="5" t="s">
        <v>75</v>
      </c>
      <c r="N14" s="5" t="s">
        <v>40</v>
      </c>
      <c r="O14" s="6">
        <v>46148</v>
      </c>
      <c r="P14" s="6">
        <v>46154</v>
      </c>
      <c r="Q14" s="5" t="s">
        <v>41</v>
      </c>
      <c r="R14" s="6">
        <v>46148</v>
      </c>
      <c r="S14" s="6">
        <v>46148</v>
      </c>
      <c r="T14" s="9">
        <f t="shared" si="0"/>
        <v>1</v>
      </c>
      <c r="U14" s="9">
        <f t="shared" si="1"/>
        <v>1</v>
      </c>
      <c r="V14" s="9">
        <f t="shared" si="2"/>
        <v>7</v>
      </c>
      <c r="W14" s="9">
        <f t="shared" si="3"/>
        <v>1</v>
      </c>
      <c r="X14" s="5"/>
      <c r="Y14" s="5"/>
    </row>
    <row r="15" spans="1:25" x14ac:dyDescent="0.25">
      <c r="A15" s="5">
        <v>14</v>
      </c>
      <c r="B15" s="43" t="s">
        <v>78</v>
      </c>
      <c r="C15" s="6">
        <v>46147</v>
      </c>
      <c r="D15" s="5" t="s">
        <v>55</v>
      </c>
      <c r="E15" s="5" t="s">
        <v>56</v>
      </c>
      <c r="F15" s="5" t="s">
        <v>79</v>
      </c>
      <c r="G15" s="14" t="s">
        <v>80</v>
      </c>
      <c r="H15" s="12">
        <v>10</v>
      </c>
      <c r="I15" s="8">
        <v>28690</v>
      </c>
      <c r="J15" s="8">
        <v>286900</v>
      </c>
      <c r="K15" s="11">
        <v>231784</v>
      </c>
      <c r="L15" s="5" t="s">
        <v>59</v>
      </c>
      <c r="M15" s="5" t="s">
        <v>81</v>
      </c>
      <c r="N15" s="5" t="s">
        <v>82</v>
      </c>
      <c r="O15" s="6">
        <v>46147</v>
      </c>
      <c r="P15" s="6">
        <v>46153</v>
      </c>
      <c r="Q15" s="5" t="s">
        <v>83</v>
      </c>
      <c r="R15" s="6">
        <v>46147</v>
      </c>
      <c r="S15" s="6">
        <v>46147</v>
      </c>
      <c r="T15" s="9">
        <f t="shared" si="0"/>
        <v>0</v>
      </c>
      <c r="U15" s="9">
        <f t="shared" si="1"/>
        <v>0</v>
      </c>
      <c r="V15" s="9">
        <f t="shared" si="2"/>
        <v>6</v>
      </c>
      <c r="W15" s="9">
        <f t="shared" si="3"/>
        <v>0</v>
      </c>
      <c r="X15" s="5"/>
      <c r="Y15" s="5"/>
    </row>
    <row r="16" spans="1:25" x14ac:dyDescent="0.25">
      <c r="A16" s="5">
        <v>15</v>
      </c>
      <c r="B16" s="43" t="s">
        <v>78</v>
      </c>
      <c r="C16" s="6">
        <v>46147</v>
      </c>
      <c r="D16" s="5" t="s">
        <v>55</v>
      </c>
      <c r="E16" s="5" t="s">
        <v>56</v>
      </c>
      <c r="F16" s="5" t="s">
        <v>84</v>
      </c>
      <c r="G16" s="5"/>
      <c r="H16" s="13">
        <v>2</v>
      </c>
      <c r="I16" s="15">
        <v>18450</v>
      </c>
      <c r="J16" s="15">
        <v>36900</v>
      </c>
      <c r="K16" s="11">
        <v>35142</v>
      </c>
      <c r="L16" s="5" t="s">
        <v>59</v>
      </c>
      <c r="M16" s="5" t="s">
        <v>85</v>
      </c>
      <c r="N16" s="5" t="s">
        <v>82</v>
      </c>
      <c r="O16" s="6">
        <v>46147</v>
      </c>
      <c r="P16" s="6">
        <v>46150</v>
      </c>
      <c r="Q16" s="5" t="s">
        <v>86</v>
      </c>
      <c r="R16" s="6">
        <v>46147</v>
      </c>
      <c r="S16" s="6">
        <v>46147</v>
      </c>
      <c r="T16" s="9">
        <f t="shared" si="0"/>
        <v>0</v>
      </c>
      <c r="U16" s="9">
        <f t="shared" si="1"/>
        <v>0</v>
      </c>
      <c r="V16" s="9">
        <f t="shared" si="2"/>
        <v>3</v>
      </c>
      <c r="W16" s="9">
        <f t="shared" si="3"/>
        <v>0</v>
      </c>
      <c r="X16" s="5"/>
      <c r="Y16" s="5"/>
    </row>
    <row r="17" spans="1:25" x14ac:dyDescent="0.25">
      <c r="A17" s="5">
        <v>16</v>
      </c>
      <c r="B17" s="43" t="s">
        <v>78</v>
      </c>
      <c r="C17" s="6">
        <v>46147</v>
      </c>
      <c r="D17" s="5" t="s">
        <v>55</v>
      </c>
      <c r="E17" s="5" t="s">
        <v>56</v>
      </c>
      <c r="F17" s="5" t="s">
        <v>87</v>
      </c>
      <c r="G17" s="14" t="s">
        <v>88</v>
      </c>
      <c r="H17" s="12">
        <v>5</v>
      </c>
      <c r="I17" s="8">
        <v>2162</v>
      </c>
      <c r="J17" s="8">
        <v>10810</v>
      </c>
      <c r="K17" s="11">
        <v>7246</v>
      </c>
      <c r="L17" s="5" t="s">
        <v>65</v>
      </c>
      <c r="M17" s="5" t="s">
        <v>89</v>
      </c>
      <c r="N17" s="5" t="s">
        <v>82</v>
      </c>
      <c r="O17" s="6">
        <v>46147</v>
      </c>
      <c r="P17" s="6">
        <v>46153</v>
      </c>
      <c r="Q17" s="5" t="s">
        <v>90</v>
      </c>
      <c r="R17" s="6">
        <v>46147</v>
      </c>
      <c r="S17" s="6">
        <v>46147</v>
      </c>
      <c r="T17" s="9">
        <f t="shared" si="0"/>
        <v>0</v>
      </c>
      <c r="U17" s="9">
        <f t="shared" si="1"/>
        <v>0</v>
      </c>
      <c r="V17" s="9">
        <f t="shared" si="2"/>
        <v>6</v>
      </c>
      <c r="W17" s="9">
        <f t="shared" si="3"/>
        <v>0</v>
      </c>
      <c r="X17" s="5"/>
      <c r="Y17" s="5"/>
    </row>
    <row r="18" spans="1:25" x14ac:dyDescent="0.25">
      <c r="A18" s="5">
        <v>17</v>
      </c>
      <c r="B18" s="43" t="s">
        <v>78</v>
      </c>
      <c r="C18" s="6">
        <v>46147</v>
      </c>
      <c r="D18" s="5" t="s">
        <v>55</v>
      </c>
      <c r="E18" s="5" t="s">
        <v>56</v>
      </c>
      <c r="F18" s="5" t="s">
        <v>91</v>
      </c>
      <c r="G18" s="14" t="s">
        <v>92</v>
      </c>
      <c r="H18" s="12">
        <v>5</v>
      </c>
      <c r="I18" s="8">
        <v>3030</v>
      </c>
      <c r="J18" s="8">
        <v>15150</v>
      </c>
      <c r="K18" s="11">
        <v>10776</v>
      </c>
      <c r="L18" s="5" t="s">
        <v>65</v>
      </c>
      <c r="M18" s="5" t="s">
        <v>93</v>
      </c>
      <c r="N18" s="5" t="s">
        <v>82</v>
      </c>
      <c r="O18" s="6">
        <v>46147</v>
      </c>
      <c r="P18" s="6">
        <v>46150</v>
      </c>
      <c r="Q18" s="5" t="s">
        <v>90</v>
      </c>
      <c r="R18" s="6">
        <v>46147</v>
      </c>
      <c r="S18" s="6">
        <v>46147</v>
      </c>
      <c r="T18" s="9">
        <f t="shared" si="0"/>
        <v>0</v>
      </c>
      <c r="U18" s="9">
        <f t="shared" si="1"/>
        <v>0</v>
      </c>
      <c r="V18" s="9">
        <f t="shared" si="2"/>
        <v>3</v>
      </c>
      <c r="W18" s="9">
        <f t="shared" si="3"/>
        <v>0</v>
      </c>
      <c r="X18" s="5"/>
      <c r="Y18" s="5"/>
    </row>
    <row r="19" spans="1:25" x14ac:dyDescent="0.25">
      <c r="A19" s="5">
        <v>18</v>
      </c>
      <c r="B19" s="43" t="s">
        <v>78</v>
      </c>
      <c r="C19" s="6">
        <v>46147</v>
      </c>
      <c r="D19" s="5" t="s">
        <v>55</v>
      </c>
      <c r="E19" s="5" t="s">
        <v>56</v>
      </c>
      <c r="F19" s="5" t="s">
        <v>36</v>
      </c>
      <c r="G19" s="16" t="s">
        <v>94</v>
      </c>
      <c r="H19" s="17" t="s">
        <v>95</v>
      </c>
      <c r="I19" s="8">
        <v>8134</v>
      </c>
      <c r="J19" s="8">
        <v>24402</v>
      </c>
      <c r="K19" s="11">
        <v>20934</v>
      </c>
      <c r="L19" s="5" t="s">
        <v>59</v>
      </c>
      <c r="M19" s="5" t="s">
        <v>96</v>
      </c>
      <c r="N19" s="5" t="s">
        <v>82</v>
      </c>
      <c r="O19" s="6">
        <v>46147</v>
      </c>
      <c r="P19" s="6">
        <v>46150</v>
      </c>
      <c r="Q19" s="5" t="s">
        <v>97</v>
      </c>
      <c r="R19" s="6">
        <v>46147</v>
      </c>
      <c r="S19" s="6">
        <v>46147</v>
      </c>
      <c r="T19" s="9">
        <f t="shared" si="0"/>
        <v>0</v>
      </c>
      <c r="U19" s="9">
        <f t="shared" si="1"/>
        <v>0</v>
      </c>
      <c r="V19" s="9">
        <f t="shared" si="2"/>
        <v>3</v>
      </c>
      <c r="W19" s="9">
        <f t="shared" si="3"/>
        <v>0</v>
      </c>
      <c r="X19" s="5"/>
      <c r="Y19" s="5"/>
    </row>
    <row r="20" spans="1:25" x14ac:dyDescent="0.25">
      <c r="A20" s="5">
        <v>19</v>
      </c>
      <c r="B20" s="43" t="s">
        <v>78</v>
      </c>
      <c r="C20" s="6">
        <v>46147</v>
      </c>
      <c r="D20" s="5" t="s">
        <v>55</v>
      </c>
      <c r="E20" s="5" t="s">
        <v>56</v>
      </c>
      <c r="F20" s="5" t="s">
        <v>98</v>
      </c>
      <c r="G20" s="5"/>
      <c r="H20" s="13">
        <v>4</v>
      </c>
      <c r="I20" s="8">
        <v>27475</v>
      </c>
      <c r="J20" s="8">
        <v>109900</v>
      </c>
      <c r="K20" s="11">
        <v>87834</v>
      </c>
      <c r="L20" s="5" t="s">
        <v>59</v>
      </c>
      <c r="M20" s="5" t="s">
        <v>99</v>
      </c>
      <c r="N20" s="5" t="s">
        <v>82</v>
      </c>
      <c r="O20" s="6">
        <v>46147</v>
      </c>
      <c r="P20" s="6">
        <v>46153</v>
      </c>
      <c r="Q20" s="5" t="s">
        <v>100</v>
      </c>
      <c r="R20" s="6">
        <v>46147</v>
      </c>
      <c r="S20" s="6">
        <v>46147</v>
      </c>
      <c r="T20" s="9">
        <f t="shared" si="0"/>
        <v>0</v>
      </c>
      <c r="U20" s="9">
        <f t="shared" si="1"/>
        <v>0</v>
      </c>
      <c r="V20" s="9">
        <f t="shared" si="2"/>
        <v>6</v>
      </c>
      <c r="W20" s="9">
        <f t="shared" si="3"/>
        <v>0</v>
      </c>
      <c r="X20" s="5"/>
      <c r="Y20" s="5"/>
    </row>
    <row r="21" spans="1:25" x14ac:dyDescent="0.25">
      <c r="A21" s="5">
        <v>20</v>
      </c>
      <c r="B21" s="43" t="s">
        <v>78</v>
      </c>
      <c r="C21" s="6">
        <v>46147</v>
      </c>
      <c r="D21" s="5" t="s">
        <v>55</v>
      </c>
      <c r="E21" s="5" t="s">
        <v>56</v>
      </c>
      <c r="F21" s="5" t="s">
        <v>101</v>
      </c>
      <c r="G21" s="5"/>
      <c r="H21" s="13">
        <v>3</v>
      </c>
      <c r="I21" s="8">
        <v>3818</v>
      </c>
      <c r="J21" s="8">
        <v>11454</v>
      </c>
      <c r="K21" s="11">
        <v>7687</v>
      </c>
      <c r="L21" s="5" t="s">
        <v>59</v>
      </c>
      <c r="M21" s="5" t="s">
        <v>102</v>
      </c>
      <c r="N21" s="5" t="s">
        <v>82</v>
      </c>
      <c r="O21" s="6">
        <v>46147</v>
      </c>
      <c r="P21" s="6">
        <v>46149</v>
      </c>
      <c r="Q21" s="5" t="s">
        <v>97</v>
      </c>
      <c r="R21" s="6">
        <v>46147</v>
      </c>
      <c r="S21" s="6">
        <v>46147</v>
      </c>
      <c r="T21" s="9">
        <f t="shared" si="0"/>
        <v>0</v>
      </c>
      <c r="U21" s="9">
        <f t="shared" si="1"/>
        <v>0</v>
      </c>
      <c r="V21" s="9">
        <f t="shared" si="2"/>
        <v>2</v>
      </c>
      <c r="W21" s="9">
        <f t="shared" si="3"/>
        <v>0</v>
      </c>
      <c r="X21" s="5"/>
      <c r="Y21" s="5"/>
    </row>
    <row r="22" spans="1:25" x14ac:dyDescent="0.25">
      <c r="A22" s="5">
        <v>21</v>
      </c>
      <c r="B22" s="43" t="s">
        <v>78</v>
      </c>
      <c r="C22" s="6">
        <v>46147</v>
      </c>
      <c r="D22" s="5" t="s">
        <v>55</v>
      </c>
      <c r="E22" s="5" t="s">
        <v>56</v>
      </c>
      <c r="F22" s="5" t="s">
        <v>103</v>
      </c>
      <c r="G22" s="14" t="s">
        <v>104</v>
      </c>
      <c r="H22" s="12">
        <v>24</v>
      </c>
      <c r="I22" s="5">
        <v>913</v>
      </c>
      <c r="J22" s="8">
        <v>21912</v>
      </c>
      <c r="K22" s="11">
        <v>20081</v>
      </c>
      <c r="L22" s="5" t="s">
        <v>59</v>
      </c>
      <c r="M22" s="5" t="s">
        <v>105</v>
      </c>
      <c r="N22" s="5" t="s">
        <v>82</v>
      </c>
      <c r="O22" s="6">
        <v>46147</v>
      </c>
      <c r="P22" s="6">
        <v>46149</v>
      </c>
      <c r="Q22" s="5" t="s">
        <v>106</v>
      </c>
      <c r="R22" s="6">
        <v>46147</v>
      </c>
      <c r="S22" s="6">
        <v>46147</v>
      </c>
      <c r="T22" s="9">
        <f t="shared" si="0"/>
        <v>0</v>
      </c>
      <c r="U22" s="9">
        <f t="shared" si="1"/>
        <v>0</v>
      </c>
      <c r="V22" s="9">
        <f t="shared" si="2"/>
        <v>2</v>
      </c>
      <c r="W22" s="9">
        <f t="shared" si="3"/>
        <v>0</v>
      </c>
      <c r="X22" s="5"/>
      <c r="Y22" s="5"/>
    </row>
    <row r="23" spans="1:25" x14ac:dyDescent="0.25">
      <c r="A23" s="5">
        <v>22</v>
      </c>
      <c r="B23" s="43" t="s">
        <v>78</v>
      </c>
      <c r="C23" s="6">
        <v>46147</v>
      </c>
      <c r="D23" s="5" t="s">
        <v>55</v>
      </c>
      <c r="E23" s="5" t="s">
        <v>56</v>
      </c>
      <c r="F23" s="5" t="s">
        <v>107</v>
      </c>
      <c r="G23" s="5"/>
      <c r="H23" s="13">
        <v>5</v>
      </c>
      <c r="I23" s="8">
        <v>9250</v>
      </c>
      <c r="J23" s="8">
        <v>46250</v>
      </c>
      <c r="K23" s="11">
        <v>37000</v>
      </c>
      <c r="L23" s="5" t="s">
        <v>59</v>
      </c>
      <c r="M23" s="5" t="s">
        <v>108</v>
      </c>
      <c r="N23" s="5" t="s">
        <v>82</v>
      </c>
      <c r="O23" s="6">
        <v>46147</v>
      </c>
      <c r="P23" s="6">
        <v>46151</v>
      </c>
      <c r="Q23" s="5" t="s">
        <v>109</v>
      </c>
      <c r="R23" s="6">
        <v>46147</v>
      </c>
      <c r="S23" s="6">
        <v>46147</v>
      </c>
      <c r="T23" s="9">
        <f t="shared" si="0"/>
        <v>0</v>
      </c>
      <c r="U23" s="9">
        <f t="shared" si="1"/>
        <v>0</v>
      </c>
      <c r="V23" s="9">
        <f t="shared" si="2"/>
        <v>4</v>
      </c>
      <c r="W23" s="9">
        <f t="shared" si="3"/>
        <v>0</v>
      </c>
      <c r="X23" s="5"/>
      <c r="Y23" s="5"/>
    </row>
    <row r="24" spans="1:25" x14ac:dyDescent="0.25">
      <c r="A24" s="5">
        <v>23</v>
      </c>
      <c r="B24" s="43" t="s">
        <v>78</v>
      </c>
      <c r="C24" s="6">
        <v>46147</v>
      </c>
      <c r="D24" s="5" t="s">
        <v>55</v>
      </c>
      <c r="E24" s="5" t="s">
        <v>56</v>
      </c>
      <c r="F24" s="5" t="s">
        <v>110</v>
      </c>
      <c r="G24" s="5" t="s">
        <v>111</v>
      </c>
      <c r="H24" s="13">
        <v>2</v>
      </c>
      <c r="I24" s="8">
        <v>7497</v>
      </c>
      <c r="J24" s="8">
        <v>14994</v>
      </c>
      <c r="K24" s="11">
        <v>13146</v>
      </c>
      <c r="L24" s="5" t="s">
        <v>59</v>
      </c>
      <c r="M24" s="5" t="s">
        <v>112</v>
      </c>
      <c r="N24" s="5" t="s">
        <v>82</v>
      </c>
      <c r="O24" s="6">
        <v>46147</v>
      </c>
      <c r="P24" s="6">
        <v>46153</v>
      </c>
      <c r="Q24" s="5" t="s">
        <v>113</v>
      </c>
      <c r="R24" s="6">
        <v>46147</v>
      </c>
      <c r="S24" s="6">
        <v>46147</v>
      </c>
      <c r="T24" s="9">
        <f t="shared" si="0"/>
        <v>0</v>
      </c>
      <c r="U24" s="9">
        <f t="shared" si="1"/>
        <v>0</v>
      </c>
      <c r="V24" s="9">
        <f t="shared" si="2"/>
        <v>6</v>
      </c>
      <c r="W24" s="9">
        <f t="shared" si="3"/>
        <v>0</v>
      </c>
      <c r="X24" s="5"/>
      <c r="Y24" s="5"/>
    </row>
    <row r="25" spans="1:25" x14ac:dyDescent="0.25">
      <c r="A25" s="5">
        <v>24</v>
      </c>
      <c r="B25" s="43" t="s">
        <v>114</v>
      </c>
      <c r="C25" s="6">
        <v>46148</v>
      </c>
      <c r="D25" s="5" t="s">
        <v>34</v>
      </c>
      <c r="E25" s="5" t="s">
        <v>35</v>
      </c>
      <c r="F25" s="5" t="s">
        <v>115</v>
      </c>
      <c r="G25" s="5" t="s">
        <v>116</v>
      </c>
      <c r="H25" s="13">
        <v>2</v>
      </c>
      <c r="I25" s="8">
        <v>85000</v>
      </c>
      <c r="J25" s="8">
        <v>170000</v>
      </c>
      <c r="K25" s="8">
        <v>170000</v>
      </c>
      <c r="L25" s="5" t="s">
        <v>30</v>
      </c>
      <c r="M25" s="5" t="s">
        <v>48</v>
      </c>
      <c r="N25" s="5" t="s">
        <v>40</v>
      </c>
      <c r="O25" s="6">
        <v>46149</v>
      </c>
      <c r="P25" s="6">
        <v>46149</v>
      </c>
      <c r="Q25" s="5" t="s">
        <v>41</v>
      </c>
      <c r="R25" s="6">
        <v>46149</v>
      </c>
      <c r="S25" s="6">
        <v>46149</v>
      </c>
      <c r="T25" s="9">
        <f t="shared" si="0"/>
        <v>1</v>
      </c>
      <c r="U25" s="9">
        <f t="shared" si="1"/>
        <v>1</v>
      </c>
      <c r="V25" s="9">
        <f t="shared" si="2"/>
        <v>1</v>
      </c>
      <c r="W25" s="9">
        <f t="shared" si="3"/>
        <v>1</v>
      </c>
      <c r="X25" s="5"/>
      <c r="Y25" s="5"/>
    </row>
    <row r="26" spans="1:25" x14ac:dyDescent="0.25">
      <c r="A26" s="5">
        <v>25</v>
      </c>
      <c r="B26" s="43" t="s">
        <v>117</v>
      </c>
      <c r="C26" s="6">
        <v>46148</v>
      </c>
      <c r="D26" s="10" t="s">
        <v>34</v>
      </c>
      <c r="E26" s="10" t="s">
        <v>35</v>
      </c>
      <c r="F26" s="18" t="s">
        <v>118</v>
      </c>
      <c r="G26" s="19" t="s">
        <v>119</v>
      </c>
      <c r="H26" s="12">
        <v>3</v>
      </c>
      <c r="I26" s="8">
        <v>72500</v>
      </c>
      <c r="J26" s="8">
        <v>217500</v>
      </c>
      <c r="K26" s="8">
        <v>217500</v>
      </c>
      <c r="L26" s="5" t="s">
        <v>30</v>
      </c>
      <c r="M26" s="5" t="s">
        <v>48</v>
      </c>
      <c r="N26" s="5" t="s">
        <v>40</v>
      </c>
      <c r="O26" s="6">
        <v>46149</v>
      </c>
      <c r="P26" s="6">
        <v>46149</v>
      </c>
      <c r="Q26" s="10" t="s">
        <v>41</v>
      </c>
      <c r="R26" s="6">
        <v>46149</v>
      </c>
      <c r="S26" s="6">
        <v>46148</v>
      </c>
      <c r="T26" s="9">
        <f t="shared" si="0"/>
        <v>1</v>
      </c>
      <c r="U26" s="9">
        <f t="shared" si="1"/>
        <v>1</v>
      </c>
      <c r="V26" s="9">
        <f t="shared" si="2"/>
        <v>1</v>
      </c>
      <c r="W26" s="9">
        <f t="shared" si="3"/>
        <v>0</v>
      </c>
      <c r="X26" s="5"/>
      <c r="Y26" s="5"/>
    </row>
    <row r="27" spans="1:25" x14ac:dyDescent="0.25">
      <c r="A27" s="5">
        <v>26</v>
      </c>
      <c r="B27" s="43" t="s">
        <v>117</v>
      </c>
      <c r="C27" s="6">
        <v>46148</v>
      </c>
      <c r="D27" s="10" t="s">
        <v>34</v>
      </c>
      <c r="E27" s="10" t="s">
        <v>35</v>
      </c>
      <c r="F27" s="18" t="s">
        <v>120</v>
      </c>
      <c r="G27" s="19" t="s">
        <v>121</v>
      </c>
      <c r="H27" s="12">
        <v>1</v>
      </c>
      <c r="I27" s="8">
        <v>102500</v>
      </c>
      <c r="J27" s="8">
        <v>102500</v>
      </c>
      <c r="K27" s="8">
        <v>102500</v>
      </c>
      <c r="L27" s="5" t="s">
        <v>30</v>
      </c>
      <c r="M27" s="5" t="s">
        <v>48</v>
      </c>
      <c r="N27" s="5" t="s">
        <v>40</v>
      </c>
      <c r="O27" s="6">
        <v>46149</v>
      </c>
      <c r="P27" s="6">
        <v>46149</v>
      </c>
      <c r="Q27" s="10" t="s">
        <v>41</v>
      </c>
      <c r="R27" s="6">
        <v>46149</v>
      </c>
      <c r="S27" s="6">
        <v>46148</v>
      </c>
      <c r="T27" s="9">
        <f t="shared" si="0"/>
        <v>1</v>
      </c>
      <c r="U27" s="9">
        <f t="shared" si="1"/>
        <v>1</v>
      </c>
      <c r="V27" s="9">
        <f t="shared" si="2"/>
        <v>1</v>
      </c>
      <c r="W27" s="9">
        <f t="shared" si="3"/>
        <v>0</v>
      </c>
      <c r="X27" s="5"/>
      <c r="Y27" s="5"/>
    </row>
    <row r="28" spans="1:25" x14ac:dyDescent="0.25">
      <c r="A28" s="5">
        <v>27</v>
      </c>
      <c r="B28" s="43" t="s">
        <v>117</v>
      </c>
      <c r="C28" s="6">
        <v>46148</v>
      </c>
      <c r="D28" s="10" t="s">
        <v>34</v>
      </c>
      <c r="E28" s="10" t="s">
        <v>35</v>
      </c>
      <c r="F28" s="18" t="s">
        <v>122</v>
      </c>
      <c r="G28" s="19" t="s">
        <v>123</v>
      </c>
      <c r="H28" s="12">
        <v>5</v>
      </c>
      <c r="I28" s="8">
        <v>193500</v>
      </c>
      <c r="J28" s="8">
        <v>967500</v>
      </c>
      <c r="K28" s="8">
        <v>967500</v>
      </c>
      <c r="L28" s="5" t="s">
        <v>30</v>
      </c>
      <c r="M28" s="5" t="s">
        <v>48</v>
      </c>
      <c r="N28" s="5" t="s">
        <v>40</v>
      </c>
      <c r="O28" s="6">
        <v>46149</v>
      </c>
      <c r="P28" s="6">
        <v>46149</v>
      </c>
      <c r="Q28" s="10" t="s">
        <v>41</v>
      </c>
      <c r="R28" s="6">
        <v>46149</v>
      </c>
      <c r="S28" s="6">
        <v>46148</v>
      </c>
      <c r="T28" s="9">
        <f t="shared" si="0"/>
        <v>1</v>
      </c>
      <c r="U28" s="9">
        <f t="shared" si="1"/>
        <v>1</v>
      </c>
      <c r="V28" s="9">
        <f t="shared" si="2"/>
        <v>1</v>
      </c>
      <c r="W28" s="9">
        <f t="shared" si="3"/>
        <v>0</v>
      </c>
      <c r="X28" s="5"/>
      <c r="Y28" s="5"/>
    </row>
    <row r="29" spans="1:25" x14ac:dyDescent="0.25">
      <c r="A29" s="5">
        <v>28</v>
      </c>
      <c r="B29" s="43" t="s">
        <v>117</v>
      </c>
      <c r="C29" s="6">
        <v>46148</v>
      </c>
      <c r="D29" s="10" t="s">
        <v>34</v>
      </c>
      <c r="E29" s="10" t="s">
        <v>35</v>
      </c>
      <c r="F29" s="18" t="s">
        <v>124</v>
      </c>
      <c r="G29" s="19" t="s">
        <v>125</v>
      </c>
      <c r="H29" s="12">
        <v>1</v>
      </c>
      <c r="I29" s="8">
        <v>8350000</v>
      </c>
      <c r="J29" s="8">
        <v>8350000</v>
      </c>
      <c r="K29" s="8">
        <v>8350000</v>
      </c>
      <c r="L29" s="5" t="s">
        <v>30</v>
      </c>
      <c r="M29" s="5" t="s">
        <v>126</v>
      </c>
      <c r="N29" s="5" t="s">
        <v>40</v>
      </c>
      <c r="O29" s="6">
        <v>46149</v>
      </c>
      <c r="P29" s="6">
        <v>46151</v>
      </c>
      <c r="Q29" s="10" t="s">
        <v>41</v>
      </c>
      <c r="R29" s="6">
        <v>46149</v>
      </c>
      <c r="S29" s="6">
        <v>46148</v>
      </c>
      <c r="T29" s="9">
        <f t="shared" si="0"/>
        <v>1</v>
      </c>
      <c r="U29" s="9">
        <f t="shared" si="1"/>
        <v>1</v>
      </c>
      <c r="V29" s="9">
        <f t="shared" si="2"/>
        <v>3</v>
      </c>
      <c r="W29" s="9">
        <f t="shared" si="3"/>
        <v>0</v>
      </c>
      <c r="X29" s="5"/>
      <c r="Y29" s="5"/>
    </row>
    <row r="30" spans="1:25" x14ac:dyDescent="0.25">
      <c r="A30" s="5">
        <v>29</v>
      </c>
      <c r="B30" s="43" t="s">
        <v>127</v>
      </c>
      <c r="C30" s="6">
        <v>46149</v>
      </c>
      <c r="D30" s="5" t="s">
        <v>34</v>
      </c>
      <c r="E30" s="5" t="s">
        <v>35</v>
      </c>
      <c r="F30" s="5" t="s">
        <v>128</v>
      </c>
      <c r="G30" s="5" t="s">
        <v>70</v>
      </c>
      <c r="H30" s="13">
        <v>1</v>
      </c>
      <c r="I30" s="11">
        <v>175000</v>
      </c>
      <c r="J30" s="11">
        <v>175000</v>
      </c>
      <c r="K30" s="11">
        <v>175000</v>
      </c>
      <c r="L30" s="5" t="s">
        <v>30</v>
      </c>
      <c r="M30" s="5" t="s">
        <v>39</v>
      </c>
      <c r="N30" s="5" t="s">
        <v>40</v>
      </c>
      <c r="O30" s="6">
        <v>46150</v>
      </c>
      <c r="P30" s="6">
        <v>46150</v>
      </c>
      <c r="Q30" s="5" t="s">
        <v>41</v>
      </c>
      <c r="R30" s="6">
        <v>46150</v>
      </c>
      <c r="S30" s="6">
        <v>46149</v>
      </c>
      <c r="T30" s="9">
        <f t="shared" si="0"/>
        <v>1</v>
      </c>
      <c r="U30" s="9">
        <f t="shared" si="1"/>
        <v>1</v>
      </c>
      <c r="V30" s="9">
        <f t="shared" si="2"/>
        <v>1</v>
      </c>
      <c r="W30" s="9">
        <f t="shared" si="3"/>
        <v>0</v>
      </c>
      <c r="X30" s="5"/>
      <c r="Y30" s="5"/>
    </row>
    <row r="31" spans="1:25" x14ac:dyDescent="0.25">
      <c r="A31" s="5">
        <v>30</v>
      </c>
      <c r="B31" s="43" t="s">
        <v>129</v>
      </c>
      <c r="C31" s="6">
        <v>46149</v>
      </c>
      <c r="D31" s="5" t="s">
        <v>34</v>
      </c>
      <c r="E31" s="5" t="s">
        <v>35</v>
      </c>
      <c r="F31" s="5" t="s">
        <v>130</v>
      </c>
      <c r="G31" s="5" t="s">
        <v>131</v>
      </c>
      <c r="H31" s="13">
        <v>1</v>
      </c>
      <c r="I31" s="8">
        <v>220000</v>
      </c>
      <c r="J31" s="8">
        <v>220000</v>
      </c>
      <c r="K31" s="8">
        <v>220000</v>
      </c>
      <c r="L31" s="5" t="s">
        <v>30</v>
      </c>
      <c r="M31" s="5" t="s">
        <v>39</v>
      </c>
      <c r="N31" s="5" t="s">
        <v>40</v>
      </c>
      <c r="O31" s="6">
        <v>46150</v>
      </c>
      <c r="P31" s="6">
        <v>46150</v>
      </c>
      <c r="Q31" s="5" t="s">
        <v>41</v>
      </c>
      <c r="R31" s="6">
        <v>46150</v>
      </c>
      <c r="S31" s="6">
        <v>46149</v>
      </c>
      <c r="T31" s="9">
        <f t="shared" si="0"/>
        <v>1</v>
      </c>
      <c r="U31" s="9">
        <f t="shared" si="1"/>
        <v>1</v>
      </c>
      <c r="V31" s="9">
        <f t="shared" si="2"/>
        <v>1</v>
      </c>
      <c r="W31" s="9">
        <f t="shared" si="3"/>
        <v>0</v>
      </c>
      <c r="X31" s="5"/>
      <c r="Y31" s="5"/>
    </row>
    <row r="32" spans="1:25" x14ac:dyDescent="0.25">
      <c r="A32" s="5">
        <v>31</v>
      </c>
      <c r="B32" s="43" t="s">
        <v>132</v>
      </c>
      <c r="C32" s="6">
        <v>46149</v>
      </c>
      <c r="D32" s="5" t="s">
        <v>34</v>
      </c>
      <c r="E32" s="5" t="s">
        <v>35</v>
      </c>
      <c r="F32" s="14" t="s">
        <v>133</v>
      </c>
      <c r="G32" s="5" t="s">
        <v>134</v>
      </c>
      <c r="H32" s="13">
        <v>1</v>
      </c>
      <c r="I32" s="8">
        <v>301620</v>
      </c>
      <c r="J32" s="8">
        <v>301620</v>
      </c>
      <c r="K32" s="11">
        <v>299720</v>
      </c>
      <c r="L32" s="5" t="s">
        <v>59</v>
      </c>
      <c r="M32" s="5" t="s">
        <v>135</v>
      </c>
      <c r="N32" s="5" t="s">
        <v>35</v>
      </c>
      <c r="O32" s="6">
        <v>46151</v>
      </c>
      <c r="P32" s="6">
        <v>46155</v>
      </c>
      <c r="Q32" s="5" t="s">
        <v>136</v>
      </c>
      <c r="R32" s="6">
        <v>46151</v>
      </c>
      <c r="S32" s="6">
        <v>46149</v>
      </c>
      <c r="T32" s="9">
        <f t="shared" si="0"/>
        <v>2</v>
      </c>
      <c r="U32" s="9">
        <f t="shared" si="1"/>
        <v>2</v>
      </c>
      <c r="V32" s="9">
        <f t="shared" si="2"/>
        <v>6</v>
      </c>
      <c r="W32" s="9">
        <f t="shared" si="3"/>
        <v>0</v>
      </c>
      <c r="X32" s="5"/>
      <c r="Y32" s="5"/>
    </row>
    <row r="33" spans="1:25" x14ac:dyDescent="0.25">
      <c r="A33" s="5">
        <v>32</v>
      </c>
      <c r="B33" s="43" t="s">
        <v>132</v>
      </c>
      <c r="C33" s="6">
        <v>46149</v>
      </c>
      <c r="D33" s="5" t="s">
        <v>34</v>
      </c>
      <c r="E33" s="5" t="s">
        <v>35</v>
      </c>
      <c r="F33" s="5" t="s">
        <v>137</v>
      </c>
      <c r="G33" s="5" t="s">
        <v>138</v>
      </c>
      <c r="H33" s="13">
        <v>3</v>
      </c>
      <c r="I33" s="8">
        <v>128634</v>
      </c>
      <c r="J33" s="8">
        <v>385902</v>
      </c>
      <c r="K33" s="11">
        <v>384000</v>
      </c>
      <c r="L33" s="5" t="s">
        <v>59</v>
      </c>
      <c r="M33" s="5" t="s">
        <v>135</v>
      </c>
      <c r="N33" s="5" t="s">
        <v>35</v>
      </c>
      <c r="O33" s="6">
        <v>46151</v>
      </c>
      <c r="P33" s="6">
        <v>46155</v>
      </c>
      <c r="Q33" s="5" t="s">
        <v>136</v>
      </c>
      <c r="R33" s="6">
        <v>46151</v>
      </c>
      <c r="S33" s="6">
        <v>46149</v>
      </c>
      <c r="T33" s="9">
        <f t="shared" si="0"/>
        <v>2</v>
      </c>
      <c r="U33" s="9">
        <f t="shared" si="1"/>
        <v>2</v>
      </c>
      <c r="V33" s="9">
        <f t="shared" si="2"/>
        <v>6</v>
      </c>
      <c r="W33" s="9">
        <f t="shared" si="3"/>
        <v>0</v>
      </c>
      <c r="X33" s="5"/>
      <c r="Y33" s="5"/>
    </row>
    <row r="34" spans="1:25" x14ac:dyDescent="0.25">
      <c r="A34" s="5">
        <v>33</v>
      </c>
      <c r="B34" s="43" t="s">
        <v>132</v>
      </c>
      <c r="C34" s="6">
        <v>46149</v>
      </c>
      <c r="D34" s="5" t="s">
        <v>34</v>
      </c>
      <c r="E34" s="5" t="s">
        <v>35</v>
      </c>
      <c r="F34" s="14" t="s">
        <v>139</v>
      </c>
      <c r="G34" s="14" t="s">
        <v>140</v>
      </c>
      <c r="H34" s="12">
        <v>1</v>
      </c>
      <c r="I34" s="8">
        <v>124400</v>
      </c>
      <c r="J34" s="8">
        <v>124400</v>
      </c>
      <c r="K34" s="11">
        <v>123900</v>
      </c>
      <c r="L34" s="5" t="s">
        <v>59</v>
      </c>
      <c r="M34" t="s">
        <v>141</v>
      </c>
      <c r="N34" s="5" t="s">
        <v>35</v>
      </c>
      <c r="O34" s="6">
        <v>46151</v>
      </c>
      <c r="P34" s="6">
        <v>46158</v>
      </c>
      <c r="Q34" s="5" t="s">
        <v>136</v>
      </c>
      <c r="R34" s="6">
        <v>46155</v>
      </c>
      <c r="S34" s="6">
        <v>46149</v>
      </c>
      <c r="T34" s="9">
        <f t="shared" ref="T34:T59" si="4">O34-C34</f>
        <v>2</v>
      </c>
      <c r="U34" s="9">
        <f t="shared" ref="U34:U59" si="5">R34-C34</f>
        <v>6</v>
      </c>
      <c r="V34" s="9">
        <f t="shared" ref="V34:V59" si="6">P34-C34</f>
        <v>9</v>
      </c>
      <c r="W34" s="9">
        <f t="shared" ref="W34:W59" si="7">S34-C34</f>
        <v>0</v>
      </c>
      <c r="X34" s="5"/>
      <c r="Y34" s="5"/>
    </row>
    <row r="35" spans="1:25" x14ac:dyDescent="0.25">
      <c r="A35" s="5">
        <v>34</v>
      </c>
      <c r="B35" s="43" t="s">
        <v>132</v>
      </c>
      <c r="C35" s="6">
        <v>46149</v>
      </c>
      <c r="D35" s="5" t="s">
        <v>34</v>
      </c>
      <c r="E35" s="5" t="s">
        <v>35</v>
      </c>
      <c r="F35" s="14" t="s">
        <v>142</v>
      </c>
      <c r="G35" s="5" t="s">
        <v>143</v>
      </c>
      <c r="H35" s="13">
        <v>1</v>
      </c>
      <c r="I35" s="8">
        <v>99400</v>
      </c>
      <c r="J35" s="8">
        <v>99400</v>
      </c>
      <c r="K35" s="11">
        <v>73900</v>
      </c>
      <c r="L35" s="5" t="s">
        <v>59</v>
      </c>
      <c r="M35" s="5" t="s">
        <v>144</v>
      </c>
      <c r="N35" s="5" t="s">
        <v>35</v>
      </c>
      <c r="O35" s="6">
        <v>46151</v>
      </c>
      <c r="P35" s="6">
        <v>46158</v>
      </c>
      <c r="Q35" s="5" t="s">
        <v>136</v>
      </c>
      <c r="R35" s="6">
        <v>46155</v>
      </c>
      <c r="S35" s="6">
        <v>46149</v>
      </c>
      <c r="T35" s="9">
        <f t="shared" si="4"/>
        <v>2</v>
      </c>
      <c r="U35" s="9">
        <f t="shared" si="5"/>
        <v>6</v>
      </c>
      <c r="V35" s="9">
        <f t="shared" si="6"/>
        <v>9</v>
      </c>
      <c r="W35" s="9">
        <f t="shared" si="7"/>
        <v>0</v>
      </c>
      <c r="X35" s="5"/>
      <c r="Y35" s="5"/>
    </row>
    <row r="36" spans="1:25" x14ac:dyDescent="0.25">
      <c r="A36" s="5">
        <v>35</v>
      </c>
      <c r="B36" s="43" t="s">
        <v>132</v>
      </c>
      <c r="C36" s="6">
        <v>46149</v>
      </c>
      <c r="D36" s="5" t="s">
        <v>34</v>
      </c>
      <c r="E36" s="5" t="s">
        <v>35</v>
      </c>
      <c r="F36" s="5" t="s">
        <v>145</v>
      </c>
      <c r="G36" s="14" t="s">
        <v>146</v>
      </c>
      <c r="H36" s="20">
        <v>1</v>
      </c>
      <c r="I36" s="8">
        <v>292550</v>
      </c>
      <c r="J36" s="8">
        <v>292550</v>
      </c>
      <c r="K36" s="11">
        <v>290650</v>
      </c>
      <c r="L36" s="5" t="s">
        <v>59</v>
      </c>
      <c r="M36" s="5" t="s">
        <v>135</v>
      </c>
      <c r="N36" s="5" t="s">
        <v>35</v>
      </c>
      <c r="O36" s="6">
        <v>46151</v>
      </c>
      <c r="P36" s="6">
        <v>46155</v>
      </c>
      <c r="Q36" s="5" t="s">
        <v>136</v>
      </c>
      <c r="R36" s="6">
        <v>46151</v>
      </c>
      <c r="S36" s="6">
        <v>46149</v>
      </c>
      <c r="T36" s="9">
        <f t="shared" si="4"/>
        <v>2</v>
      </c>
      <c r="U36" s="9">
        <f t="shared" si="5"/>
        <v>2</v>
      </c>
      <c r="V36" s="9">
        <f t="shared" si="6"/>
        <v>6</v>
      </c>
      <c r="W36" s="9">
        <f t="shared" si="7"/>
        <v>0</v>
      </c>
      <c r="X36" s="5"/>
      <c r="Y36" s="5"/>
    </row>
    <row r="37" spans="1:25" x14ac:dyDescent="0.25">
      <c r="A37" s="5">
        <v>36</v>
      </c>
      <c r="B37" s="43" t="s">
        <v>132</v>
      </c>
      <c r="C37" s="6">
        <v>46149</v>
      </c>
      <c r="D37" s="5" t="s">
        <v>34</v>
      </c>
      <c r="E37" s="5" t="s">
        <v>35</v>
      </c>
      <c r="F37" s="14" t="s">
        <v>145</v>
      </c>
      <c r="G37" s="14" t="s">
        <v>147</v>
      </c>
      <c r="H37" s="7">
        <v>1</v>
      </c>
      <c r="I37" s="8">
        <v>237900</v>
      </c>
      <c r="J37" s="8">
        <v>237900</v>
      </c>
      <c r="K37" s="11">
        <v>236000</v>
      </c>
      <c r="L37" s="5" t="s">
        <v>59</v>
      </c>
      <c r="M37" s="5" t="s">
        <v>135</v>
      </c>
      <c r="N37" s="5" t="s">
        <v>35</v>
      </c>
      <c r="O37" s="6">
        <v>46151</v>
      </c>
      <c r="P37" s="6">
        <v>46155</v>
      </c>
      <c r="Q37" s="5" t="s">
        <v>136</v>
      </c>
      <c r="R37" s="6">
        <v>46151</v>
      </c>
      <c r="S37" s="6">
        <v>46149</v>
      </c>
      <c r="T37" s="9">
        <f t="shared" si="4"/>
        <v>2</v>
      </c>
      <c r="U37" s="9">
        <f t="shared" si="5"/>
        <v>2</v>
      </c>
      <c r="V37" s="9">
        <f t="shared" si="6"/>
        <v>6</v>
      </c>
      <c r="W37" s="9">
        <f t="shared" si="7"/>
        <v>0</v>
      </c>
      <c r="X37" s="5"/>
      <c r="Y37" s="5"/>
    </row>
    <row r="38" spans="1:25" x14ac:dyDescent="0.25">
      <c r="A38" s="5">
        <v>37</v>
      </c>
      <c r="B38" s="43" t="s">
        <v>132</v>
      </c>
      <c r="C38" s="6">
        <v>46149</v>
      </c>
      <c r="D38" s="5" t="s">
        <v>34</v>
      </c>
      <c r="E38" s="5" t="s">
        <v>35</v>
      </c>
      <c r="F38" s="5" t="s">
        <v>148</v>
      </c>
      <c r="G38" s="14" t="s">
        <v>149</v>
      </c>
      <c r="H38" s="13">
        <v>1</v>
      </c>
      <c r="I38" s="8">
        <v>601900</v>
      </c>
      <c r="J38" s="8">
        <v>601900</v>
      </c>
      <c r="K38" s="11">
        <v>600000</v>
      </c>
      <c r="L38" s="5" t="s">
        <v>59</v>
      </c>
      <c r="M38" s="5" t="s">
        <v>135</v>
      </c>
      <c r="N38" s="5" t="s">
        <v>35</v>
      </c>
      <c r="O38" s="6">
        <v>46151</v>
      </c>
      <c r="P38" s="6">
        <v>46155</v>
      </c>
      <c r="Q38" s="5" t="s">
        <v>136</v>
      </c>
      <c r="R38" s="6">
        <v>46151</v>
      </c>
      <c r="S38" s="6">
        <v>46149</v>
      </c>
      <c r="T38" s="9">
        <f t="shared" si="4"/>
        <v>2</v>
      </c>
      <c r="U38" s="9">
        <f t="shared" si="5"/>
        <v>2</v>
      </c>
      <c r="V38" s="9">
        <f t="shared" si="6"/>
        <v>6</v>
      </c>
      <c r="W38" s="9">
        <f t="shared" si="7"/>
        <v>0</v>
      </c>
      <c r="X38" s="5"/>
      <c r="Y38" s="5"/>
    </row>
    <row r="39" spans="1:25" x14ac:dyDescent="0.25">
      <c r="A39" s="5">
        <v>38</v>
      </c>
      <c r="B39" s="43" t="s">
        <v>132</v>
      </c>
      <c r="C39" s="6">
        <v>46149</v>
      </c>
      <c r="D39" s="5" t="s">
        <v>34</v>
      </c>
      <c r="E39" s="5" t="s">
        <v>35</v>
      </c>
      <c r="F39" s="5" t="s">
        <v>148</v>
      </c>
      <c r="G39" s="14" t="s">
        <v>150</v>
      </c>
      <c r="H39" s="13">
        <v>1</v>
      </c>
      <c r="I39" s="8">
        <v>251900</v>
      </c>
      <c r="J39" s="8">
        <v>251900</v>
      </c>
      <c r="K39" s="11">
        <v>250222</v>
      </c>
      <c r="L39" s="5" t="s">
        <v>59</v>
      </c>
      <c r="M39" s="5" t="s">
        <v>151</v>
      </c>
      <c r="N39" s="5" t="s">
        <v>35</v>
      </c>
      <c r="O39" s="6">
        <v>46151</v>
      </c>
      <c r="P39" s="6">
        <v>46154</v>
      </c>
      <c r="Q39" s="5" t="s">
        <v>136</v>
      </c>
      <c r="R39" s="6">
        <v>46151</v>
      </c>
      <c r="S39" s="6">
        <v>46149</v>
      </c>
      <c r="T39" s="9">
        <f t="shared" si="4"/>
        <v>2</v>
      </c>
      <c r="U39" s="9">
        <f t="shared" si="5"/>
        <v>2</v>
      </c>
      <c r="V39" s="9">
        <f t="shared" si="6"/>
        <v>5</v>
      </c>
      <c r="W39" s="9">
        <f t="shared" si="7"/>
        <v>0</v>
      </c>
      <c r="X39" s="5"/>
      <c r="Y39" s="5"/>
    </row>
    <row r="40" spans="1:25" x14ac:dyDescent="0.25">
      <c r="A40" s="5">
        <v>39</v>
      </c>
      <c r="B40" s="43" t="s">
        <v>152</v>
      </c>
      <c r="C40" s="6">
        <v>46149</v>
      </c>
      <c r="D40" s="10" t="s">
        <v>34</v>
      </c>
      <c r="E40" s="10" t="s">
        <v>35</v>
      </c>
      <c r="F40" s="5" t="s">
        <v>153</v>
      </c>
      <c r="G40" s="5"/>
      <c r="H40" s="13">
        <v>1</v>
      </c>
      <c r="I40" s="8">
        <v>3702000</v>
      </c>
      <c r="J40" s="8">
        <v>3702000</v>
      </c>
      <c r="K40" s="8">
        <v>3702000</v>
      </c>
      <c r="L40" s="5" t="s">
        <v>59</v>
      </c>
      <c r="M40" s="5" t="s">
        <v>154</v>
      </c>
      <c r="N40" s="5" t="s">
        <v>35</v>
      </c>
      <c r="O40" s="6">
        <v>46151</v>
      </c>
      <c r="P40" s="6">
        <v>46165</v>
      </c>
      <c r="Q40" s="5" t="s">
        <v>155</v>
      </c>
      <c r="R40" s="6">
        <v>46151</v>
      </c>
      <c r="S40" s="6">
        <v>46149</v>
      </c>
      <c r="T40" s="9">
        <f t="shared" si="4"/>
        <v>2</v>
      </c>
      <c r="U40" s="9">
        <f t="shared" si="5"/>
        <v>2</v>
      </c>
      <c r="V40" s="9">
        <f t="shared" si="6"/>
        <v>16</v>
      </c>
      <c r="W40" s="9">
        <f t="shared" si="7"/>
        <v>0</v>
      </c>
      <c r="X40" s="5"/>
      <c r="Y40" s="5"/>
    </row>
    <row r="41" spans="1:25" x14ac:dyDescent="0.25">
      <c r="A41" s="5">
        <v>40</v>
      </c>
      <c r="B41" s="43" t="s">
        <v>156</v>
      </c>
      <c r="C41" s="6">
        <v>46150</v>
      </c>
      <c r="D41" s="5" t="s">
        <v>157</v>
      </c>
      <c r="E41" s="5" t="s">
        <v>158</v>
      </c>
      <c r="F41" s="5" t="s">
        <v>159</v>
      </c>
      <c r="G41" s="14" t="s">
        <v>160</v>
      </c>
      <c r="H41" s="12">
        <v>54</v>
      </c>
      <c r="I41" s="8">
        <v>11793</v>
      </c>
      <c r="J41" s="8">
        <v>636822</v>
      </c>
      <c r="K41" s="11">
        <v>575642</v>
      </c>
      <c r="L41" s="5" t="s">
        <v>59</v>
      </c>
      <c r="M41" s="5" t="s">
        <v>161</v>
      </c>
      <c r="N41" s="5" t="s">
        <v>158</v>
      </c>
      <c r="O41" s="6">
        <v>46150</v>
      </c>
      <c r="P41" s="6">
        <v>46154</v>
      </c>
      <c r="Q41" s="5" t="s">
        <v>162</v>
      </c>
      <c r="R41" s="6">
        <v>46150</v>
      </c>
      <c r="S41" s="6">
        <v>46150</v>
      </c>
      <c r="T41" s="9">
        <f t="shared" si="4"/>
        <v>0</v>
      </c>
      <c r="U41" s="9">
        <f t="shared" si="5"/>
        <v>0</v>
      </c>
      <c r="V41" s="9">
        <f t="shared" si="6"/>
        <v>4</v>
      </c>
      <c r="W41" s="9">
        <f t="shared" si="7"/>
        <v>0</v>
      </c>
      <c r="X41" s="5"/>
      <c r="Y41" s="5"/>
    </row>
    <row r="42" spans="1:25" x14ac:dyDescent="0.25">
      <c r="A42" s="5">
        <v>41</v>
      </c>
      <c r="B42" s="43" t="s">
        <v>156</v>
      </c>
      <c r="C42" s="6">
        <v>46150</v>
      </c>
      <c r="D42" s="5" t="s">
        <v>157</v>
      </c>
      <c r="E42" s="5" t="s">
        <v>158</v>
      </c>
      <c r="F42" s="5" t="s">
        <v>159</v>
      </c>
      <c r="G42" s="5" t="s">
        <v>163</v>
      </c>
      <c r="H42" s="13">
        <v>54</v>
      </c>
      <c r="I42" s="8">
        <v>10776</v>
      </c>
      <c r="J42" s="8">
        <v>581904</v>
      </c>
      <c r="K42" s="11">
        <v>575642</v>
      </c>
      <c r="L42" s="5" t="s">
        <v>59</v>
      </c>
      <c r="M42" s="5" t="s">
        <v>161</v>
      </c>
      <c r="N42" s="5" t="s">
        <v>158</v>
      </c>
      <c r="O42" s="6">
        <v>46150</v>
      </c>
      <c r="P42" s="6">
        <v>46154</v>
      </c>
      <c r="Q42" s="5" t="s">
        <v>164</v>
      </c>
      <c r="R42" s="6">
        <v>46150</v>
      </c>
      <c r="S42" s="6">
        <v>46150</v>
      </c>
      <c r="T42" s="9">
        <f t="shared" si="4"/>
        <v>0</v>
      </c>
      <c r="U42" s="9">
        <f t="shared" si="5"/>
        <v>0</v>
      </c>
      <c r="V42" s="9">
        <f t="shared" si="6"/>
        <v>4</v>
      </c>
      <c r="W42" s="9">
        <f t="shared" si="7"/>
        <v>0</v>
      </c>
      <c r="X42" s="5"/>
      <c r="Y42" s="5"/>
    </row>
    <row r="43" spans="1:25" x14ac:dyDescent="0.25">
      <c r="A43" s="5">
        <v>43</v>
      </c>
      <c r="B43" s="43" t="s">
        <v>167</v>
      </c>
      <c r="C43" s="6">
        <v>46150</v>
      </c>
      <c r="D43" s="5" t="s">
        <v>55</v>
      </c>
      <c r="E43" s="5" t="s">
        <v>56</v>
      </c>
      <c r="F43" s="5" t="s">
        <v>168</v>
      </c>
      <c r="G43" s="5"/>
      <c r="H43" s="13">
        <v>24</v>
      </c>
      <c r="I43" s="8">
        <v>7850</v>
      </c>
      <c r="J43" s="8">
        <v>392500</v>
      </c>
      <c r="K43" s="8">
        <v>223546</v>
      </c>
      <c r="L43" s="5" t="s">
        <v>65</v>
      </c>
      <c r="M43" s="21" t="s">
        <v>169</v>
      </c>
      <c r="N43" s="5" t="s">
        <v>82</v>
      </c>
      <c r="O43" s="6">
        <v>46150</v>
      </c>
      <c r="P43" s="6">
        <v>46154</v>
      </c>
      <c r="Q43" s="5" t="s">
        <v>170</v>
      </c>
      <c r="R43" s="6">
        <v>46150</v>
      </c>
      <c r="S43" s="6">
        <v>46150</v>
      </c>
      <c r="T43" s="9">
        <f t="shared" si="4"/>
        <v>0</v>
      </c>
      <c r="U43" s="9">
        <f t="shared" si="5"/>
        <v>0</v>
      </c>
      <c r="V43" s="9">
        <f t="shared" si="6"/>
        <v>4</v>
      </c>
      <c r="W43" s="9">
        <f t="shared" si="7"/>
        <v>0</v>
      </c>
      <c r="X43" s="5"/>
      <c r="Y43" s="5"/>
    </row>
    <row r="44" spans="1:25" x14ac:dyDescent="0.25">
      <c r="A44" s="5">
        <v>44</v>
      </c>
      <c r="B44" s="43" t="s">
        <v>167</v>
      </c>
      <c r="C44" s="6">
        <v>46150</v>
      </c>
      <c r="D44" s="5" t="s">
        <v>55</v>
      </c>
      <c r="E44" s="5" t="s">
        <v>56</v>
      </c>
      <c r="F44" s="5" t="s">
        <v>171</v>
      </c>
      <c r="G44" s="14" t="s">
        <v>172</v>
      </c>
      <c r="H44" s="13">
        <v>5</v>
      </c>
      <c r="I44" s="8">
        <v>10000</v>
      </c>
      <c r="J44" s="11">
        <v>50000</v>
      </c>
      <c r="K44" s="11">
        <v>50000</v>
      </c>
      <c r="L44" s="14" t="s">
        <v>30</v>
      </c>
      <c r="M44" s="14" t="s">
        <v>173</v>
      </c>
      <c r="N44" s="5" t="s">
        <v>82</v>
      </c>
      <c r="O44" s="6">
        <v>46150</v>
      </c>
      <c r="P44" s="6">
        <v>46153</v>
      </c>
      <c r="Q44" s="5" t="s">
        <v>174</v>
      </c>
      <c r="R44" s="6">
        <v>46150</v>
      </c>
      <c r="S44" s="6">
        <v>46150</v>
      </c>
      <c r="T44" s="9">
        <f t="shared" si="4"/>
        <v>0</v>
      </c>
      <c r="U44" s="9">
        <f t="shared" si="5"/>
        <v>0</v>
      </c>
      <c r="V44" s="9">
        <f t="shared" si="6"/>
        <v>3</v>
      </c>
      <c r="W44" s="9">
        <f t="shared" si="7"/>
        <v>0</v>
      </c>
      <c r="X44" s="5"/>
      <c r="Y44" s="5"/>
    </row>
    <row r="45" spans="1:25" x14ac:dyDescent="0.25">
      <c r="A45" s="5">
        <v>45</v>
      </c>
      <c r="B45" s="43" t="s">
        <v>167</v>
      </c>
      <c r="C45" s="6">
        <v>46150</v>
      </c>
      <c r="D45" s="5" t="s">
        <v>55</v>
      </c>
      <c r="E45" s="5" t="s">
        <v>56</v>
      </c>
      <c r="F45" s="5" t="s">
        <v>175</v>
      </c>
      <c r="G45" s="14" t="s">
        <v>176</v>
      </c>
      <c r="H45" s="13">
        <v>50</v>
      </c>
      <c r="I45" s="8">
        <v>9871</v>
      </c>
      <c r="J45" s="8">
        <v>236904</v>
      </c>
      <c r="K45" s="8">
        <v>236904</v>
      </c>
      <c r="L45" s="14" t="s">
        <v>30</v>
      </c>
      <c r="M45" s="14" t="s">
        <v>173</v>
      </c>
      <c r="N45" s="5" t="s">
        <v>82</v>
      </c>
      <c r="O45" s="6">
        <v>46150</v>
      </c>
      <c r="P45" s="6">
        <v>46153</v>
      </c>
      <c r="Q45" s="5" t="s">
        <v>177</v>
      </c>
      <c r="R45" s="6">
        <v>46150</v>
      </c>
      <c r="S45" s="6">
        <v>46150</v>
      </c>
      <c r="T45" s="9">
        <f t="shared" si="4"/>
        <v>0</v>
      </c>
      <c r="U45" s="9">
        <f t="shared" si="5"/>
        <v>0</v>
      </c>
      <c r="V45" s="9">
        <f t="shared" si="6"/>
        <v>3</v>
      </c>
      <c r="W45" s="9">
        <f t="shared" si="7"/>
        <v>0</v>
      </c>
      <c r="X45" s="5"/>
      <c r="Y45" s="5"/>
    </row>
    <row r="46" spans="1:25" x14ac:dyDescent="0.25">
      <c r="A46" s="5">
        <v>46</v>
      </c>
      <c r="B46" s="43" t="s">
        <v>178</v>
      </c>
      <c r="C46" s="6">
        <v>46150</v>
      </c>
      <c r="D46" s="5" t="s">
        <v>34</v>
      </c>
      <c r="E46" s="5" t="s">
        <v>35</v>
      </c>
      <c r="F46" s="14" t="s">
        <v>103</v>
      </c>
      <c r="G46" s="14" t="s">
        <v>179</v>
      </c>
      <c r="H46" s="13">
        <v>24</v>
      </c>
      <c r="I46" s="5">
        <v>912</v>
      </c>
      <c r="J46" s="8">
        <v>21888</v>
      </c>
      <c r="K46" s="11">
        <v>20420</v>
      </c>
      <c r="L46" s="5" t="s">
        <v>59</v>
      </c>
      <c r="M46" s="5" t="s">
        <v>105</v>
      </c>
      <c r="N46" s="5" t="s">
        <v>35</v>
      </c>
      <c r="O46" s="6">
        <v>46154</v>
      </c>
      <c r="P46" s="6">
        <v>46157</v>
      </c>
      <c r="Q46" s="5" t="s">
        <v>106</v>
      </c>
      <c r="R46" s="6">
        <v>46155</v>
      </c>
      <c r="S46" s="6">
        <v>46150</v>
      </c>
      <c r="T46" s="9">
        <f t="shared" si="4"/>
        <v>4</v>
      </c>
      <c r="U46" s="9">
        <f t="shared" si="5"/>
        <v>5</v>
      </c>
      <c r="V46" s="9">
        <f t="shared" si="6"/>
        <v>7</v>
      </c>
      <c r="W46" s="9">
        <f t="shared" si="7"/>
        <v>0</v>
      </c>
      <c r="X46" s="5"/>
      <c r="Y46" s="5"/>
    </row>
    <row r="47" spans="1:25" x14ac:dyDescent="0.25">
      <c r="A47" s="5">
        <v>47</v>
      </c>
      <c r="B47" s="43" t="s">
        <v>178</v>
      </c>
      <c r="C47" s="6">
        <v>46150</v>
      </c>
      <c r="D47" s="5" t="s">
        <v>34</v>
      </c>
      <c r="E47" s="5" t="s">
        <v>35</v>
      </c>
      <c r="F47" s="10" t="s">
        <v>180</v>
      </c>
      <c r="G47" s="14"/>
      <c r="H47" s="13">
        <v>20</v>
      </c>
      <c r="I47" s="8">
        <v>2413</v>
      </c>
      <c r="J47" s="8">
        <v>48260</v>
      </c>
      <c r="K47" s="11">
        <v>47328</v>
      </c>
      <c r="L47" s="5" t="s">
        <v>59</v>
      </c>
      <c r="M47" s="5" t="s">
        <v>181</v>
      </c>
      <c r="N47" s="5" t="s">
        <v>35</v>
      </c>
      <c r="O47" s="6">
        <v>46154</v>
      </c>
      <c r="P47" s="6">
        <v>46157</v>
      </c>
      <c r="Q47" s="5" t="s">
        <v>182</v>
      </c>
      <c r="R47" s="6">
        <v>46155</v>
      </c>
      <c r="S47" s="6">
        <v>46150</v>
      </c>
      <c r="T47" s="9">
        <f t="shared" si="4"/>
        <v>4</v>
      </c>
      <c r="U47" s="9">
        <f t="shared" si="5"/>
        <v>5</v>
      </c>
      <c r="V47" s="9">
        <f t="shared" si="6"/>
        <v>7</v>
      </c>
      <c r="W47" s="9">
        <f t="shared" si="7"/>
        <v>0</v>
      </c>
      <c r="X47" s="5"/>
      <c r="Y47" s="5"/>
    </row>
    <row r="48" spans="1:25" x14ac:dyDescent="0.25">
      <c r="A48" s="5">
        <v>48</v>
      </c>
      <c r="B48" s="43" t="s">
        <v>183</v>
      </c>
      <c r="C48" s="6">
        <v>46151</v>
      </c>
      <c r="D48" s="5" t="s">
        <v>34</v>
      </c>
      <c r="E48" s="5" t="s">
        <v>35</v>
      </c>
      <c r="F48" s="5" t="s">
        <v>184</v>
      </c>
      <c r="G48" s="5" t="s">
        <v>185</v>
      </c>
      <c r="H48" s="13">
        <v>4</v>
      </c>
      <c r="I48" s="8">
        <v>3500</v>
      </c>
      <c r="J48" s="8">
        <v>14000</v>
      </c>
      <c r="K48" s="8">
        <v>14000</v>
      </c>
      <c r="L48" s="5" t="s">
        <v>30</v>
      </c>
      <c r="M48" s="5" t="s">
        <v>39</v>
      </c>
      <c r="N48" s="5" t="s">
        <v>40</v>
      </c>
      <c r="O48" s="6">
        <v>46153</v>
      </c>
      <c r="P48" s="6">
        <v>46153</v>
      </c>
      <c r="Q48" s="5" t="s">
        <v>41</v>
      </c>
      <c r="R48" s="6">
        <v>46153</v>
      </c>
      <c r="S48" s="6">
        <v>46153</v>
      </c>
      <c r="T48" s="9">
        <f t="shared" si="4"/>
        <v>2</v>
      </c>
      <c r="U48" s="9">
        <f t="shared" si="5"/>
        <v>2</v>
      </c>
      <c r="V48" s="9">
        <f t="shared" si="6"/>
        <v>2</v>
      </c>
      <c r="W48" s="9">
        <f t="shared" si="7"/>
        <v>2</v>
      </c>
      <c r="X48" s="5"/>
      <c r="Y48" s="5"/>
    </row>
    <row r="49" spans="1:25" x14ac:dyDescent="0.25">
      <c r="A49" s="5">
        <v>49</v>
      </c>
      <c r="B49" s="43" t="s">
        <v>183</v>
      </c>
      <c r="C49" s="6">
        <v>46151</v>
      </c>
      <c r="D49" s="5" t="s">
        <v>34</v>
      </c>
      <c r="E49" s="5" t="s">
        <v>35</v>
      </c>
      <c r="F49" s="14" t="s">
        <v>186</v>
      </c>
      <c r="G49" s="5" t="s">
        <v>185</v>
      </c>
      <c r="H49" s="13">
        <v>2</v>
      </c>
      <c r="I49" s="8">
        <v>115000</v>
      </c>
      <c r="J49" s="8">
        <v>230000</v>
      </c>
      <c r="K49" s="8">
        <v>230000</v>
      </c>
      <c r="L49" s="5" t="s">
        <v>30</v>
      </c>
      <c r="M49" s="5" t="s">
        <v>39</v>
      </c>
      <c r="N49" s="5" t="s">
        <v>40</v>
      </c>
      <c r="O49" s="6">
        <v>46153</v>
      </c>
      <c r="P49" s="6">
        <v>46153</v>
      </c>
      <c r="Q49" s="5" t="s">
        <v>41</v>
      </c>
      <c r="R49" s="6">
        <v>46153</v>
      </c>
      <c r="S49" s="6">
        <v>46153</v>
      </c>
      <c r="T49" s="9">
        <f t="shared" si="4"/>
        <v>2</v>
      </c>
      <c r="U49" s="9">
        <f t="shared" si="5"/>
        <v>2</v>
      </c>
      <c r="V49" s="9">
        <f t="shared" si="6"/>
        <v>2</v>
      </c>
      <c r="W49" s="9">
        <f t="shared" si="7"/>
        <v>2</v>
      </c>
      <c r="X49" s="5"/>
      <c r="Y49" s="5"/>
    </row>
    <row r="50" spans="1:25" x14ac:dyDescent="0.25">
      <c r="A50" s="5">
        <v>50</v>
      </c>
      <c r="B50" s="43" t="s">
        <v>187</v>
      </c>
      <c r="C50" s="6">
        <v>46151</v>
      </c>
      <c r="D50" s="5" t="s">
        <v>34</v>
      </c>
      <c r="E50" s="5" t="s">
        <v>35</v>
      </c>
      <c r="F50" s="5" t="s">
        <v>188</v>
      </c>
      <c r="G50" s="5" t="s">
        <v>189</v>
      </c>
      <c r="H50" s="13">
        <v>1</v>
      </c>
      <c r="I50" s="8">
        <v>660000</v>
      </c>
      <c r="J50" s="8">
        <v>660000</v>
      </c>
      <c r="K50" s="8">
        <v>660000</v>
      </c>
      <c r="L50" s="5" t="s">
        <v>30</v>
      </c>
      <c r="M50" s="5" t="s">
        <v>190</v>
      </c>
      <c r="N50" s="5" t="s">
        <v>40</v>
      </c>
      <c r="O50" s="6">
        <v>46153</v>
      </c>
      <c r="P50" s="6">
        <v>46153</v>
      </c>
      <c r="Q50" s="5" t="s">
        <v>41</v>
      </c>
      <c r="R50" s="6">
        <v>46153</v>
      </c>
      <c r="S50" s="6">
        <v>46153</v>
      </c>
      <c r="T50" s="9">
        <f t="shared" si="4"/>
        <v>2</v>
      </c>
      <c r="U50" s="9">
        <f t="shared" si="5"/>
        <v>2</v>
      </c>
      <c r="V50" s="9">
        <f t="shared" si="6"/>
        <v>2</v>
      </c>
      <c r="W50" s="9">
        <f t="shared" si="7"/>
        <v>2</v>
      </c>
      <c r="X50" s="5"/>
      <c r="Y50" s="5"/>
    </row>
    <row r="51" spans="1:25" x14ac:dyDescent="0.25">
      <c r="A51" s="5">
        <v>51</v>
      </c>
      <c r="B51" s="43" t="s">
        <v>191</v>
      </c>
      <c r="C51" s="6">
        <v>46151</v>
      </c>
      <c r="D51" s="5" t="s">
        <v>55</v>
      </c>
      <c r="E51" s="5" t="s">
        <v>56</v>
      </c>
      <c r="F51" s="5" t="s">
        <v>192</v>
      </c>
      <c r="G51" s="5" t="s">
        <v>193</v>
      </c>
      <c r="H51" s="13">
        <v>4</v>
      </c>
      <c r="I51" s="8">
        <v>3925</v>
      </c>
      <c r="J51" s="8">
        <v>15700</v>
      </c>
      <c r="K51" s="11">
        <v>14049</v>
      </c>
      <c r="L51" s="5" t="s">
        <v>59</v>
      </c>
      <c r="M51" s="5" t="s">
        <v>194</v>
      </c>
      <c r="N51" s="5" t="s">
        <v>56</v>
      </c>
      <c r="O51" s="6">
        <v>46151</v>
      </c>
      <c r="P51" s="6">
        <v>46157</v>
      </c>
      <c r="Q51" s="5" t="s">
        <v>100</v>
      </c>
      <c r="R51" s="6">
        <v>46151</v>
      </c>
      <c r="S51" s="6">
        <v>46151</v>
      </c>
      <c r="T51" s="9">
        <f t="shared" si="4"/>
        <v>0</v>
      </c>
      <c r="U51" s="9">
        <f t="shared" si="5"/>
        <v>0</v>
      </c>
      <c r="V51" s="9">
        <f t="shared" si="6"/>
        <v>6</v>
      </c>
      <c r="W51" s="9">
        <f t="shared" si="7"/>
        <v>0</v>
      </c>
      <c r="X51" s="5"/>
      <c r="Y51" s="5"/>
    </row>
    <row r="52" spans="1:25" x14ac:dyDescent="0.25">
      <c r="A52" s="5">
        <v>52</v>
      </c>
      <c r="B52" s="43" t="s">
        <v>195</v>
      </c>
      <c r="C52" s="6">
        <v>46151</v>
      </c>
      <c r="D52" s="5" t="s">
        <v>157</v>
      </c>
      <c r="E52" s="5" t="s">
        <v>158</v>
      </c>
      <c r="F52" s="5" t="s">
        <v>196</v>
      </c>
      <c r="G52" s="14" t="s">
        <v>197</v>
      </c>
      <c r="H52" s="12">
        <v>1</v>
      </c>
      <c r="I52" s="8">
        <v>66900</v>
      </c>
      <c r="J52" s="8">
        <v>66900</v>
      </c>
      <c r="K52" s="11">
        <v>64851</v>
      </c>
      <c r="L52" s="5" t="s">
        <v>59</v>
      </c>
      <c r="M52" s="5" t="s">
        <v>198</v>
      </c>
      <c r="N52" s="5" t="s">
        <v>158</v>
      </c>
      <c r="O52" s="6">
        <v>46151</v>
      </c>
      <c r="P52" s="6">
        <v>46156</v>
      </c>
      <c r="Q52" s="5" t="s">
        <v>136</v>
      </c>
      <c r="R52" s="6">
        <v>46151</v>
      </c>
      <c r="S52" s="6">
        <v>46151</v>
      </c>
      <c r="T52" s="9">
        <f t="shared" si="4"/>
        <v>0</v>
      </c>
      <c r="U52" s="9">
        <f t="shared" si="5"/>
        <v>0</v>
      </c>
      <c r="V52" s="9">
        <f t="shared" si="6"/>
        <v>5</v>
      </c>
      <c r="W52" s="9">
        <f t="shared" si="7"/>
        <v>0</v>
      </c>
      <c r="X52" s="5"/>
      <c r="Y52" s="5"/>
    </row>
    <row r="53" spans="1:25" x14ac:dyDescent="0.25">
      <c r="A53" s="5">
        <v>53</v>
      </c>
      <c r="B53" s="43" t="s">
        <v>199</v>
      </c>
      <c r="C53" s="6">
        <v>46153</v>
      </c>
      <c r="D53" s="5" t="s">
        <v>55</v>
      </c>
      <c r="E53" s="5" t="s">
        <v>56</v>
      </c>
      <c r="F53" s="5" t="s">
        <v>200</v>
      </c>
      <c r="G53" s="5" t="s">
        <v>201</v>
      </c>
      <c r="H53" s="13">
        <v>1</v>
      </c>
      <c r="I53" s="8">
        <v>136530</v>
      </c>
      <c r="J53" s="8">
        <v>136530</v>
      </c>
      <c r="K53" s="8">
        <v>136530</v>
      </c>
      <c r="L53" s="5" t="s">
        <v>59</v>
      </c>
      <c r="M53" s="5" t="s">
        <v>202</v>
      </c>
      <c r="N53" s="5" t="s">
        <v>56</v>
      </c>
      <c r="O53" s="6">
        <v>46153</v>
      </c>
      <c r="P53" s="6">
        <v>46153</v>
      </c>
      <c r="Q53" s="5" t="s">
        <v>203</v>
      </c>
      <c r="R53" s="6">
        <v>46153</v>
      </c>
      <c r="S53" s="6">
        <v>46153</v>
      </c>
      <c r="T53" s="9">
        <f t="shared" si="4"/>
        <v>0</v>
      </c>
      <c r="U53" s="9">
        <f t="shared" si="5"/>
        <v>0</v>
      </c>
      <c r="V53" s="9">
        <f t="shared" si="6"/>
        <v>0</v>
      </c>
      <c r="W53" s="9">
        <f t="shared" si="7"/>
        <v>0</v>
      </c>
      <c r="X53" s="5"/>
      <c r="Y53" s="5"/>
    </row>
    <row r="54" spans="1:25" x14ac:dyDescent="0.25">
      <c r="A54" s="5">
        <v>54</v>
      </c>
      <c r="B54" s="43" t="s">
        <v>204</v>
      </c>
      <c r="C54" s="6">
        <v>46153</v>
      </c>
      <c r="D54" s="5" t="s">
        <v>34</v>
      </c>
      <c r="E54" s="5" t="s">
        <v>35</v>
      </c>
      <c r="F54" s="14" t="s">
        <v>205</v>
      </c>
      <c r="G54" s="10" t="s">
        <v>44</v>
      </c>
      <c r="H54" s="12">
        <v>2</v>
      </c>
      <c r="I54" s="11">
        <v>20000</v>
      </c>
      <c r="J54" s="11">
        <v>40000</v>
      </c>
      <c r="K54" s="11">
        <v>40000</v>
      </c>
      <c r="L54" s="5" t="s">
        <v>30</v>
      </c>
      <c r="M54" s="5" t="s">
        <v>39</v>
      </c>
      <c r="N54" s="5" t="s">
        <v>40</v>
      </c>
      <c r="O54" s="6">
        <v>46153</v>
      </c>
      <c r="P54" s="6">
        <v>46154</v>
      </c>
      <c r="Q54" s="5" t="s">
        <v>41</v>
      </c>
      <c r="R54" s="6">
        <v>46154</v>
      </c>
      <c r="S54" s="6">
        <v>46153</v>
      </c>
      <c r="T54" s="9">
        <f t="shared" si="4"/>
        <v>0</v>
      </c>
      <c r="U54" s="9">
        <f t="shared" si="5"/>
        <v>1</v>
      </c>
      <c r="V54" s="9">
        <f t="shared" si="6"/>
        <v>1</v>
      </c>
      <c r="W54" s="9">
        <f t="shared" si="7"/>
        <v>0</v>
      </c>
      <c r="X54" s="5"/>
      <c r="Y54" s="5"/>
    </row>
    <row r="55" spans="1:25" x14ac:dyDescent="0.25">
      <c r="A55" s="5">
        <v>55</v>
      </c>
      <c r="B55" s="43" t="s">
        <v>206</v>
      </c>
      <c r="C55" s="6">
        <v>46153</v>
      </c>
      <c r="D55" s="5" t="s">
        <v>34</v>
      </c>
      <c r="E55" s="5" t="s">
        <v>35</v>
      </c>
      <c r="F55" s="5" t="s">
        <v>207</v>
      </c>
      <c r="G55" s="14" t="s">
        <v>208</v>
      </c>
      <c r="H55" s="12">
        <v>50</v>
      </c>
      <c r="I55" s="5">
        <v>576</v>
      </c>
      <c r="J55" s="8">
        <v>28800</v>
      </c>
      <c r="K55" s="11">
        <v>24464</v>
      </c>
      <c r="L55" s="5" t="s">
        <v>59</v>
      </c>
      <c r="M55" s="5" t="s">
        <v>209</v>
      </c>
      <c r="N55" s="5" t="s">
        <v>35</v>
      </c>
      <c r="O55" s="6">
        <v>46154</v>
      </c>
      <c r="P55" s="6">
        <v>46157</v>
      </c>
      <c r="Q55" s="5" t="s">
        <v>177</v>
      </c>
      <c r="R55" s="6">
        <v>46154</v>
      </c>
      <c r="S55" s="6">
        <v>46154</v>
      </c>
      <c r="T55" s="9">
        <f t="shared" si="4"/>
        <v>1</v>
      </c>
      <c r="U55" s="9">
        <f t="shared" si="5"/>
        <v>1</v>
      </c>
      <c r="V55" s="9">
        <f t="shared" si="6"/>
        <v>4</v>
      </c>
      <c r="W55" s="9">
        <f t="shared" si="7"/>
        <v>1</v>
      </c>
      <c r="X55" s="5"/>
      <c r="Y55" s="5"/>
    </row>
    <row r="56" spans="1:25" x14ac:dyDescent="0.25">
      <c r="A56" s="5">
        <v>56</v>
      </c>
      <c r="B56" s="43" t="s">
        <v>210</v>
      </c>
      <c r="C56" s="6">
        <v>46154</v>
      </c>
      <c r="D56" s="5" t="s">
        <v>34</v>
      </c>
      <c r="E56" s="5" t="s">
        <v>35</v>
      </c>
      <c r="F56" s="5" t="s">
        <v>211</v>
      </c>
      <c r="G56" s="14" t="s">
        <v>212</v>
      </c>
      <c r="H56" s="12">
        <v>10</v>
      </c>
      <c r="I56" s="8">
        <v>25000</v>
      </c>
      <c r="J56" s="11">
        <v>250000</v>
      </c>
      <c r="K56" s="11">
        <v>250000</v>
      </c>
      <c r="L56" s="5" t="s">
        <v>30</v>
      </c>
      <c r="M56" s="5" t="s">
        <v>213</v>
      </c>
      <c r="N56" s="5" t="s">
        <v>35</v>
      </c>
      <c r="O56" s="6">
        <v>46154</v>
      </c>
      <c r="P56" s="6">
        <v>46155</v>
      </c>
      <c r="Q56" s="5" t="s">
        <v>214</v>
      </c>
      <c r="R56" s="6">
        <v>46154</v>
      </c>
      <c r="S56" s="6">
        <v>46154</v>
      </c>
      <c r="T56" s="9">
        <f t="shared" si="4"/>
        <v>0</v>
      </c>
      <c r="U56" s="9">
        <f t="shared" si="5"/>
        <v>0</v>
      </c>
      <c r="V56" s="9">
        <f t="shared" si="6"/>
        <v>1</v>
      </c>
      <c r="W56" s="9">
        <f t="shared" si="7"/>
        <v>0</v>
      </c>
      <c r="X56" s="5"/>
      <c r="Y56" s="5"/>
    </row>
    <row r="57" spans="1:25" x14ac:dyDescent="0.25">
      <c r="A57" s="5">
        <v>57</v>
      </c>
      <c r="B57" s="43" t="s">
        <v>210</v>
      </c>
      <c r="C57" s="6">
        <v>46154</v>
      </c>
      <c r="D57" s="5" t="s">
        <v>34</v>
      </c>
      <c r="E57" s="5" t="s">
        <v>35</v>
      </c>
      <c r="F57" s="5" t="s">
        <v>211</v>
      </c>
      <c r="G57" s="5" t="s">
        <v>215</v>
      </c>
      <c r="H57" s="13">
        <v>10</v>
      </c>
      <c r="I57" s="11">
        <v>21000</v>
      </c>
      <c r="J57" s="11">
        <v>210000</v>
      </c>
      <c r="K57" s="11">
        <v>210000</v>
      </c>
      <c r="L57" s="5" t="s">
        <v>30</v>
      </c>
      <c r="M57" s="5" t="s">
        <v>213</v>
      </c>
      <c r="N57" s="5" t="s">
        <v>35</v>
      </c>
      <c r="O57" s="6">
        <v>46154</v>
      </c>
      <c r="P57" s="6">
        <v>46155</v>
      </c>
      <c r="Q57" s="5" t="s">
        <v>216</v>
      </c>
      <c r="R57" s="6">
        <v>46154</v>
      </c>
      <c r="S57" s="6">
        <v>46154</v>
      </c>
      <c r="T57" s="9">
        <f t="shared" si="4"/>
        <v>0</v>
      </c>
      <c r="U57" s="9">
        <f t="shared" si="5"/>
        <v>0</v>
      </c>
      <c r="V57" s="9">
        <f t="shared" si="6"/>
        <v>1</v>
      </c>
      <c r="W57" s="9">
        <f t="shared" si="7"/>
        <v>0</v>
      </c>
      <c r="X57" s="5"/>
      <c r="Y57" s="5"/>
    </row>
    <row r="58" spans="1:25" x14ac:dyDescent="0.25">
      <c r="A58" s="5">
        <v>58</v>
      </c>
      <c r="B58" s="43" t="s">
        <v>210</v>
      </c>
      <c r="C58" s="6">
        <v>46154</v>
      </c>
      <c r="D58" s="5" t="s">
        <v>34</v>
      </c>
      <c r="E58" s="5" t="s">
        <v>35</v>
      </c>
      <c r="F58" s="5" t="s">
        <v>211</v>
      </c>
      <c r="G58" s="5" t="s">
        <v>217</v>
      </c>
      <c r="H58" s="13">
        <v>2</v>
      </c>
      <c r="I58" s="11">
        <v>20000</v>
      </c>
      <c r="J58" s="11">
        <v>40000</v>
      </c>
      <c r="K58" s="11">
        <v>40000</v>
      </c>
      <c r="L58" s="5" t="s">
        <v>30</v>
      </c>
      <c r="M58" s="5" t="s">
        <v>213</v>
      </c>
      <c r="N58" s="5" t="s">
        <v>35</v>
      </c>
      <c r="O58" s="6">
        <v>46154</v>
      </c>
      <c r="P58" s="6">
        <v>46155</v>
      </c>
      <c r="Q58" s="5" t="s">
        <v>218</v>
      </c>
      <c r="R58" s="6">
        <v>46154</v>
      </c>
      <c r="S58" s="6">
        <v>46154</v>
      </c>
      <c r="T58" s="9">
        <f t="shared" si="4"/>
        <v>0</v>
      </c>
      <c r="U58" s="9">
        <f t="shared" si="5"/>
        <v>0</v>
      </c>
      <c r="V58" s="9">
        <f t="shared" si="6"/>
        <v>1</v>
      </c>
      <c r="W58" s="9">
        <f t="shared" si="7"/>
        <v>0</v>
      </c>
      <c r="X58" s="5"/>
      <c r="Y58" s="5"/>
    </row>
    <row r="59" spans="1:25" x14ac:dyDescent="0.25">
      <c r="A59" s="5">
        <v>59</v>
      </c>
      <c r="B59" s="43" t="s">
        <v>219</v>
      </c>
      <c r="C59" s="6">
        <v>46154</v>
      </c>
      <c r="D59" s="5" t="s">
        <v>34</v>
      </c>
      <c r="E59" s="5" t="s">
        <v>35</v>
      </c>
      <c r="F59" s="14" t="s">
        <v>220</v>
      </c>
      <c r="G59" s="14" t="s">
        <v>221</v>
      </c>
      <c r="H59" s="13">
        <v>3</v>
      </c>
      <c r="I59" s="22">
        <v>30633</v>
      </c>
      <c r="J59" s="22">
        <v>91899</v>
      </c>
      <c r="K59" s="23">
        <v>73665</v>
      </c>
      <c r="L59" s="24" t="s">
        <v>59</v>
      </c>
      <c r="M59" t="s">
        <v>222</v>
      </c>
      <c r="N59" s="24" t="s">
        <v>35</v>
      </c>
      <c r="O59" s="6">
        <v>46154</v>
      </c>
      <c r="P59" s="6">
        <v>46157</v>
      </c>
      <c r="Q59" s="5" t="s">
        <v>97</v>
      </c>
      <c r="R59" s="6">
        <v>46154</v>
      </c>
      <c r="S59" s="6">
        <v>46154</v>
      </c>
      <c r="T59" s="9">
        <f t="shared" si="4"/>
        <v>0</v>
      </c>
      <c r="U59" s="9">
        <f t="shared" si="5"/>
        <v>0</v>
      </c>
      <c r="V59" s="9">
        <f t="shared" si="6"/>
        <v>3</v>
      </c>
      <c r="W59" s="9">
        <f t="shared" si="7"/>
        <v>0</v>
      </c>
      <c r="X59" s="5"/>
      <c r="Y59" s="5"/>
    </row>
    <row r="60" spans="1:25" x14ac:dyDescent="0.25">
      <c r="A60" s="5">
        <v>62</v>
      </c>
      <c r="B60" s="43" t="s">
        <v>223</v>
      </c>
      <c r="C60" s="6">
        <v>46154</v>
      </c>
      <c r="D60" s="5" t="s">
        <v>34</v>
      </c>
      <c r="E60" s="5" t="s">
        <v>35</v>
      </c>
      <c r="F60" s="5" t="s">
        <v>224</v>
      </c>
      <c r="G60" s="5" t="s">
        <v>225</v>
      </c>
      <c r="H60" s="20">
        <v>1</v>
      </c>
      <c r="I60" s="8">
        <v>42200</v>
      </c>
      <c r="J60" s="8">
        <v>42200</v>
      </c>
      <c r="K60" s="25">
        <v>185820</v>
      </c>
      <c r="L60" s="5" t="s">
        <v>59</v>
      </c>
      <c r="M60" s="5" t="s">
        <v>227</v>
      </c>
      <c r="N60" s="5" t="s">
        <v>35</v>
      </c>
      <c r="O60" s="6">
        <v>46154</v>
      </c>
      <c r="P60" s="6">
        <v>46168</v>
      </c>
      <c r="Q60" s="5" t="s">
        <v>228</v>
      </c>
      <c r="R60" s="6">
        <v>46154</v>
      </c>
      <c r="S60" s="6">
        <v>46154</v>
      </c>
      <c r="T60" s="9">
        <f t="shared" ref="T60" si="8">O60-C60</f>
        <v>0</v>
      </c>
      <c r="U60" s="9">
        <f t="shared" ref="U60" si="9">R60-C60</f>
        <v>0</v>
      </c>
      <c r="V60" s="9">
        <f t="shared" ref="V60" si="10">P60-C60</f>
        <v>14</v>
      </c>
      <c r="W60" s="9">
        <f t="shared" ref="W60" si="11">S60-C60</f>
        <v>0</v>
      </c>
      <c r="X60" s="5"/>
      <c r="Y60" s="5"/>
    </row>
    <row r="61" spans="1:25" x14ac:dyDescent="0.25">
      <c r="A61" s="5">
        <v>63</v>
      </c>
      <c r="B61" s="43" t="s">
        <v>229</v>
      </c>
      <c r="C61" s="6">
        <v>46155</v>
      </c>
      <c r="D61" s="5" t="s">
        <v>34</v>
      </c>
      <c r="E61" s="5" t="s">
        <v>35</v>
      </c>
      <c r="F61" s="5" t="s">
        <v>230</v>
      </c>
      <c r="G61" s="5" t="s">
        <v>231</v>
      </c>
      <c r="H61" s="20">
        <v>2</v>
      </c>
      <c r="I61" s="11">
        <v>70000</v>
      </c>
      <c r="J61" s="11">
        <v>140000</v>
      </c>
      <c r="K61" s="11">
        <v>140000</v>
      </c>
      <c r="L61" s="5" t="s">
        <v>30</v>
      </c>
      <c r="M61" t="s">
        <v>39</v>
      </c>
      <c r="N61" s="5" t="s">
        <v>40</v>
      </c>
      <c r="O61" s="6">
        <v>46155</v>
      </c>
      <c r="P61" s="6">
        <v>46157</v>
      </c>
      <c r="Q61" s="5" t="s">
        <v>41</v>
      </c>
      <c r="R61" s="6">
        <v>46155</v>
      </c>
      <c r="S61" s="6">
        <v>46155</v>
      </c>
      <c r="T61" s="9">
        <f t="shared" ref="T61:T92" si="12">O61-C61</f>
        <v>0</v>
      </c>
      <c r="U61" s="9">
        <f t="shared" ref="U61:U92" si="13">R61-C61</f>
        <v>0</v>
      </c>
      <c r="V61" s="9">
        <f t="shared" ref="V61:V92" si="14">P61-C61</f>
        <v>2</v>
      </c>
      <c r="W61" s="9">
        <f t="shared" ref="W61:W92" si="15">S61-C61</f>
        <v>0</v>
      </c>
      <c r="X61" s="5"/>
      <c r="Y61" s="5"/>
    </row>
    <row r="62" spans="1:25" x14ac:dyDescent="0.25">
      <c r="A62" s="5">
        <v>64</v>
      </c>
      <c r="B62" t="s">
        <v>229</v>
      </c>
      <c r="C62" s="26">
        <v>46155</v>
      </c>
      <c r="D62" s="27" t="s">
        <v>34</v>
      </c>
      <c r="E62" s="27" t="s">
        <v>35</v>
      </c>
      <c r="F62" s="27" t="s">
        <v>232</v>
      </c>
      <c r="G62" s="27" t="s">
        <v>233</v>
      </c>
      <c r="H62" s="28">
        <v>1</v>
      </c>
      <c r="I62" s="29">
        <v>275000</v>
      </c>
      <c r="J62" s="8">
        <v>275000</v>
      </c>
      <c r="K62" s="8">
        <v>275000</v>
      </c>
      <c r="L62" s="5" t="s">
        <v>30</v>
      </c>
      <c r="M62" s="5" t="s">
        <v>39</v>
      </c>
      <c r="N62" s="5" t="s">
        <v>40</v>
      </c>
      <c r="O62" s="6">
        <v>46155</v>
      </c>
      <c r="P62" s="6">
        <v>46157</v>
      </c>
      <c r="Q62" s="5" t="s">
        <v>41</v>
      </c>
      <c r="R62" s="6">
        <v>46155</v>
      </c>
      <c r="S62" s="6">
        <v>46155</v>
      </c>
      <c r="T62" s="9">
        <f t="shared" si="12"/>
        <v>0</v>
      </c>
      <c r="U62" s="9">
        <f t="shared" si="13"/>
        <v>0</v>
      </c>
      <c r="V62" s="9">
        <f t="shared" si="14"/>
        <v>2</v>
      </c>
      <c r="W62" s="9">
        <f t="shared" si="15"/>
        <v>0</v>
      </c>
      <c r="X62" s="5"/>
      <c r="Y62" s="5"/>
    </row>
    <row r="63" spans="1:25" x14ac:dyDescent="0.25">
      <c r="A63" s="5">
        <v>65</v>
      </c>
      <c r="B63" s="43" t="s">
        <v>234</v>
      </c>
      <c r="C63" s="6">
        <v>46155</v>
      </c>
      <c r="D63" s="5" t="s">
        <v>34</v>
      </c>
      <c r="E63" s="5" t="s">
        <v>35</v>
      </c>
      <c r="F63" s="5" t="s">
        <v>235</v>
      </c>
      <c r="G63" s="14" t="s">
        <v>236</v>
      </c>
      <c r="H63" s="12">
        <v>1</v>
      </c>
      <c r="I63" s="11">
        <v>156900</v>
      </c>
      <c r="J63" s="30">
        <v>156900</v>
      </c>
      <c r="K63" s="30">
        <v>143909</v>
      </c>
      <c r="L63" s="27" t="s">
        <v>59</v>
      </c>
      <c r="M63" s="27" t="s">
        <v>237</v>
      </c>
      <c r="N63" s="27" t="s">
        <v>35</v>
      </c>
      <c r="O63" s="26">
        <v>46157</v>
      </c>
      <c r="P63" s="26">
        <v>46160</v>
      </c>
      <c r="Q63" s="27" t="s">
        <v>238</v>
      </c>
      <c r="R63" s="26">
        <v>46157</v>
      </c>
      <c r="S63" s="26">
        <v>46155</v>
      </c>
      <c r="T63" s="31">
        <f t="shared" si="12"/>
        <v>2</v>
      </c>
      <c r="U63" s="31">
        <f t="shared" si="13"/>
        <v>2</v>
      </c>
      <c r="V63" s="31">
        <f t="shared" si="14"/>
        <v>5</v>
      </c>
      <c r="W63" s="31">
        <f t="shared" si="15"/>
        <v>0</v>
      </c>
      <c r="X63" s="5"/>
      <c r="Y63" s="5"/>
    </row>
    <row r="64" spans="1:25" x14ac:dyDescent="0.25">
      <c r="A64" s="5">
        <v>66</v>
      </c>
      <c r="B64" s="43" t="s">
        <v>229</v>
      </c>
      <c r="C64" s="6">
        <v>46155</v>
      </c>
      <c r="D64" s="10" t="s">
        <v>34</v>
      </c>
      <c r="E64" s="10" t="s">
        <v>35</v>
      </c>
      <c r="F64" s="5" t="s">
        <v>230</v>
      </c>
      <c r="G64" s="14" t="s">
        <v>231</v>
      </c>
      <c r="H64" s="12">
        <v>2</v>
      </c>
      <c r="I64" s="8">
        <v>70000</v>
      </c>
      <c r="J64" s="11">
        <v>140000</v>
      </c>
      <c r="K64" s="11">
        <v>140000</v>
      </c>
      <c r="L64" s="5" t="s">
        <v>30</v>
      </c>
      <c r="M64" s="5" t="s">
        <v>39</v>
      </c>
      <c r="N64" s="5" t="s">
        <v>40</v>
      </c>
      <c r="O64" s="6">
        <v>46155</v>
      </c>
      <c r="P64" s="6">
        <v>46155</v>
      </c>
      <c r="Q64" s="10" t="s">
        <v>41</v>
      </c>
      <c r="R64" s="6">
        <v>46155</v>
      </c>
      <c r="S64" s="6">
        <v>46155</v>
      </c>
      <c r="T64" s="9">
        <f t="shared" si="12"/>
        <v>0</v>
      </c>
      <c r="U64" s="9">
        <f t="shared" si="13"/>
        <v>0</v>
      </c>
      <c r="V64" s="9">
        <f t="shared" si="14"/>
        <v>0</v>
      </c>
      <c r="W64" s="9">
        <f t="shared" si="15"/>
        <v>0</v>
      </c>
      <c r="X64" s="5"/>
      <c r="Y64" s="5"/>
    </row>
    <row r="65" spans="1:25" x14ac:dyDescent="0.25">
      <c r="A65" s="5">
        <v>67</v>
      </c>
      <c r="B65" s="43" t="s">
        <v>229</v>
      </c>
      <c r="C65" s="6">
        <v>46155</v>
      </c>
      <c r="D65" s="10" t="s">
        <v>34</v>
      </c>
      <c r="E65" s="10" t="s">
        <v>35</v>
      </c>
      <c r="F65" s="5" t="s">
        <v>232</v>
      </c>
      <c r="G65" s="5" t="s">
        <v>233</v>
      </c>
      <c r="H65" s="13">
        <v>1</v>
      </c>
      <c r="I65" s="8">
        <v>275000</v>
      </c>
      <c r="J65" s="8">
        <v>275000</v>
      </c>
      <c r="K65" s="8">
        <v>275000</v>
      </c>
      <c r="L65" s="5" t="s">
        <v>30</v>
      </c>
      <c r="M65" s="5" t="s">
        <v>39</v>
      </c>
      <c r="N65" s="5" t="s">
        <v>40</v>
      </c>
      <c r="O65" s="6">
        <v>46155</v>
      </c>
      <c r="P65" s="6">
        <v>46155</v>
      </c>
      <c r="Q65" s="10" t="s">
        <v>41</v>
      </c>
      <c r="R65" s="6">
        <v>46155</v>
      </c>
      <c r="S65" s="6">
        <v>46155</v>
      </c>
      <c r="T65" s="9">
        <f t="shared" si="12"/>
        <v>0</v>
      </c>
      <c r="U65" s="9">
        <f t="shared" si="13"/>
        <v>0</v>
      </c>
      <c r="V65" s="9">
        <f t="shared" si="14"/>
        <v>0</v>
      </c>
      <c r="W65" s="9">
        <f t="shared" si="15"/>
        <v>0</v>
      </c>
      <c r="X65" s="5"/>
      <c r="Y65" s="5"/>
    </row>
    <row r="66" spans="1:25" x14ac:dyDescent="0.25">
      <c r="A66" s="5">
        <v>68</v>
      </c>
      <c r="B66" s="43" t="s">
        <v>239</v>
      </c>
      <c r="C66" s="6">
        <v>46157</v>
      </c>
      <c r="D66" s="5" t="s">
        <v>34</v>
      </c>
      <c r="E66" s="5" t="s">
        <v>35</v>
      </c>
      <c r="F66" s="5" t="s">
        <v>240</v>
      </c>
      <c r="G66" s="5" t="s">
        <v>241</v>
      </c>
      <c r="H66" s="13">
        <v>1</v>
      </c>
      <c r="I66" s="8">
        <v>16900</v>
      </c>
      <c r="J66" s="8">
        <v>16900</v>
      </c>
      <c r="K66" s="11">
        <v>16400</v>
      </c>
      <c r="L66" s="5" t="s">
        <v>59</v>
      </c>
      <c r="M66" s="5" t="s">
        <v>242</v>
      </c>
      <c r="N66" s="5" t="s">
        <v>35</v>
      </c>
      <c r="O66" s="6">
        <v>46157</v>
      </c>
      <c r="P66" s="6">
        <v>46160</v>
      </c>
      <c r="Q66" s="5" t="s">
        <v>238</v>
      </c>
      <c r="R66" s="6">
        <v>46157</v>
      </c>
      <c r="S66" s="6">
        <v>46157</v>
      </c>
      <c r="T66" s="9">
        <f t="shared" si="12"/>
        <v>0</v>
      </c>
      <c r="U66" s="9">
        <f t="shared" si="13"/>
        <v>0</v>
      </c>
      <c r="V66" s="9">
        <f t="shared" si="14"/>
        <v>3</v>
      </c>
      <c r="W66" s="9">
        <f t="shared" si="15"/>
        <v>0</v>
      </c>
      <c r="X66" s="5"/>
      <c r="Y66" s="5"/>
    </row>
    <row r="67" spans="1:25" x14ac:dyDescent="0.25">
      <c r="A67" s="5">
        <v>69</v>
      </c>
      <c r="B67" s="43" t="s">
        <v>239</v>
      </c>
      <c r="C67" s="6">
        <v>46157</v>
      </c>
      <c r="D67" s="5" t="s">
        <v>34</v>
      </c>
      <c r="E67" s="5" t="s">
        <v>35</v>
      </c>
      <c r="F67" s="5" t="s">
        <v>243</v>
      </c>
      <c r="G67" s="14" t="s">
        <v>244</v>
      </c>
      <c r="H67" s="12">
        <v>1</v>
      </c>
      <c r="I67" s="8">
        <v>51800</v>
      </c>
      <c r="J67" s="8">
        <v>51800</v>
      </c>
      <c r="K67" s="11">
        <v>51361</v>
      </c>
      <c r="L67" s="5" t="s">
        <v>59</v>
      </c>
      <c r="M67" s="5" t="s">
        <v>245</v>
      </c>
      <c r="N67" s="5" t="s">
        <v>35</v>
      </c>
      <c r="O67" s="6">
        <v>46157</v>
      </c>
      <c r="P67" s="6">
        <v>46160</v>
      </c>
      <c r="Q67" s="5" t="s">
        <v>238</v>
      </c>
      <c r="R67" s="6">
        <v>46157</v>
      </c>
      <c r="S67" s="6">
        <v>46157</v>
      </c>
      <c r="T67" s="9">
        <f t="shared" si="12"/>
        <v>0</v>
      </c>
      <c r="U67" s="9">
        <f t="shared" si="13"/>
        <v>0</v>
      </c>
      <c r="V67" s="9">
        <f t="shared" si="14"/>
        <v>3</v>
      </c>
      <c r="W67" s="9">
        <f t="shared" si="15"/>
        <v>0</v>
      </c>
      <c r="X67" s="5"/>
      <c r="Y67" s="5"/>
    </row>
    <row r="68" spans="1:25" x14ac:dyDescent="0.25">
      <c r="A68" s="5">
        <v>70</v>
      </c>
      <c r="B68" s="43" t="s">
        <v>246</v>
      </c>
      <c r="C68" s="6">
        <v>46157</v>
      </c>
      <c r="D68" s="5" t="s">
        <v>157</v>
      </c>
      <c r="E68" s="5" t="s">
        <v>158</v>
      </c>
      <c r="F68" s="5" t="s">
        <v>247</v>
      </c>
      <c r="G68" s="5" t="s">
        <v>248</v>
      </c>
      <c r="H68" s="13">
        <v>1</v>
      </c>
      <c r="I68" s="8">
        <v>66300</v>
      </c>
      <c r="J68" s="8">
        <v>66300</v>
      </c>
      <c r="K68" s="11">
        <v>64991</v>
      </c>
      <c r="L68" s="5" t="s">
        <v>59</v>
      </c>
      <c r="M68" s="5" t="s">
        <v>249</v>
      </c>
      <c r="N68" s="5" t="s">
        <v>158</v>
      </c>
      <c r="O68" s="6">
        <v>46157</v>
      </c>
      <c r="P68" s="6">
        <v>46161</v>
      </c>
      <c r="Q68" s="5" t="s">
        <v>250</v>
      </c>
      <c r="R68" s="6">
        <v>46157</v>
      </c>
      <c r="S68" s="6">
        <v>46157</v>
      </c>
      <c r="T68" s="9">
        <f t="shared" si="12"/>
        <v>0</v>
      </c>
      <c r="U68" s="9">
        <f t="shared" si="13"/>
        <v>0</v>
      </c>
      <c r="V68" s="9">
        <f t="shared" si="14"/>
        <v>4</v>
      </c>
      <c r="W68" s="9">
        <f t="shared" si="15"/>
        <v>0</v>
      </c>
      <c r="X68" s="5"/>
      <c r="Y68" s="5"/>
    </row>
    <row r="69" spans="1:25" x14ac:dyDescent="0.25">
      <c r="A69" s="5">
        <v>71</v>
      </c>
      <c r="B69" s="43" t="s">
        <v>251</v>
      </c>
      <c r="C69" s="6">
        <v>46158</v>
      </c>
      <c r="D69" s="10" t="s">
        <v>34</v>
      </c>
      <c r="E69" s="10" t="s">
        <v>35</v>
      </c>
      <c r="F69" s="5" t="s">
        <v>252</v>
      </c>
      <c r="G69" s="5" t="s">
        <v>253</v>
      </c>
      <c r="H69" s="13">
        <v>1</v>
      </c>
      <c r="I69" s="8">
        <v>1245000</v>
      </c>
      <c r="J69" s="8">
        <v>1245000</v>
      </c>
      <c r="K69" s="8">
        <v>1245000</v>
      </c>
      <c r="L69" s="5" t="s">
        <v>30</v>
      </c>
      <c r="M69" s="5" t="s">
        <v>39</v>
      </c>
      <c r="N69" s="5" t="s">
        <v>40</v>
      </c>
      <c r="O69" s="6">
        <v>46160</v>
      </c>
      <c r="P69" s="6">
        <v>46160</v>
      </c>
      <c r="Q69" s="10" t="s">
        <v>41</v>
      </c>
      <c r="R69" s="6">
        <v>46160</v>
      </c>
      <c r="S69" s="6">
        <v>46158</v>
      </c>
      <c r="T69" s="9">
        <f t="shared" si="12"/>
        <v>2</v>
      </c>
      <c r="U69" s="9">
        <f t="shared" si="13"/>
        <v>2</v>
      </c>
      <c r="V69" s="9">
        <f t="shared" si="14"/>
        <v>2</v>
      </c>
      <c r="W69" s="9">
        <f t="shared" si="15"/>
        <v>0</v>
      </c>
      <c r="X69" s="5"/>
      <c r="Y69" s="5"/>
    </row>
    <row r="70" spans="1:25" x14ac:dyDescent="0.25">
      <c r="A70" s="5">
        <v>72</v>
      </c>
      <c r="B70" s="43" t="s">
        <v>254</v>
      </c>
      <c r="C70" s="6">
        <v>46158</v>
      </c>
      <c r="D70" s="10" t="s">
        <v>34</v>
      </c>
      <c r="E70" s="10" t="s">
        <v>35</v>
      </c>
      <c r="F70" s="5" t="s">
        <v>69</v>
      </c>
      <c r="G70" s="10" t="s">
        <v>255</v>
      </c>
      <c r="H70" s="12">
        <v>1</v>
      </c>
      <c r="I70" s="8">
        <v>110000</v>
      </c>
      <c r="J70" s="8">
        <v>110000</v>
      </c>
      <c r="K70" s="8">
        <v>110000</v>
      </c>
      <c r="L70" s="5" t="s">
        <v>30</v>
      </c>
      <c r="M70" s="5" t="s">
        <v>39</v>
      </c>
      <c r="N70" s="5" t="s">
        <v>40</v>
      </c>
      <c r="O70" s="6">
        <v>46160</v>
      </c>
      <c r="P70" s="6">
        <v>46161</v>
      </c>
      <c r="Q70" s="10" t="s">
        <v>41</v>
      </c>
      <c r="R70" s="6">
        <v>46160</v>
      </c>
      <c r="S70" s="6">
        <v>46158</v>
      </c>
      <c r="T70" s="9">
        <f t="shared" si="12"/>
        <v>2</v>
      </c>
      <c r="U70" s="9">
        <f t="shared" si="13"/>
        <v>2</v>
      </c>
      <c r="V70" s="9">
        <f t="shared" si="14"/>
        <v>3</v>
      </c>
      <c r="W70" s="9">
        <f t="shared" si="15"/>
        <v>0</v>
      </c>
      <c r="X70" s="5"/>
      <c r="Y70" s="5"/>
    </row>
    <row r="71" spans="1:25" x14ac:dyDescent="0.25">
      <c r="A71" s="5">
        <v>73</v>
      </c>
      <c r="B71" s="43" t="s">
        <v>254</v>
      </c>
      <c r="C71" s="6">
        <v>46158</v>
      </c>
      <c r="D71" s="10" t="s">
        <v>34</v>
      </c>
      <c r="E71" s="10" t="s">
        <v>35</v>
      </c>
      <c r="F71" s="5" t="s">
        <v>43</v>
      </c>
      <c r="G71" s="10" t="s">
        <v>255</v>
      </c>
      <c r="H71" s="13">
        <v>2</v>
      </c>
      <c r="I71" s="8">
        <v>32500</v>
      </c>
      <c r="J71" s="8">
        <v>65000</v>
      </c>
      <c r="K71" s="8">
        <v>65000</v>
      </c>
      <c r="L71" s="5" t="s">
        <v>30</v>
      </c>
      <c r="M71" s="5" t="s">
        <v>39</v>
      </c>
      <c r="N71" s="5" t="s">
        <v>40</v>
      </c>
      <c r="O71" s="6">
        <v>46160</v>
      </c>
      <c r="P71" s="6">
        <v>46161</v>
      </c>
      <c r="Q71" s="10" t="s">
        <v>41</v>
      </c>
      <c r="R71" s="6">
        <v>46160</v>
      </c>
      <c r="S71" s="6">
        <v>46158</v>
      </c>
      <c r="T71" s="9">
        <f t="shared" si="12"/>
        <v>2</v>
      </c>
      <c r="U71" s="9">
        <f t="shared" si="13"/>
        <v>2</v>
      </c>
      <c r="V71" s="9">
        <f t="shared" si="14"/>
        <v>3</v>
      </c>
      <c r="W71" s="9">
        <f t="shared" si="15"/>
        <v>0</v>
      </c>
      <c r="X71" s="5"/>
      <c r="Y71" s="5"/>
    </row>
    <row r="72" spans="1:25" x14ac:dyDescent="0.25">
      <c r="A72" s="5">
        <v>74</v>
      </c>
      <c r="B72" s="43" t="s">
        <v>254</v>
      </c>
      <c r="C72" s="6">
        <v>46158</v>
      </c>
      <c r="D72" s="10" t="s">
        <v>34</v>
      </c>
      <c r="E72" s="10" t="s">
        <v>35</v>
      </c>
      <c r="F72" s="5" t="s">
        <v>256</v>
      </c>
      <c r="G72" s="10" t="s">
        <v>255</v>
      </c>
      <c r="H72" s="13">
        <v>3</v>
      </c>
      <c r="I72" s="8">
        <v>100000</v>
      </c>
      <c r="J72" s="11">
        <v>300000</v>
      </c>
      <c r="K72" s="11">
        <v>300000</v>
      </c>
      <c r="L72" s="5" t="s">
        <v>30</v>
      </c>
      <c r="M72" s="5" t="s">
        <v>39</v>
      </c>
      <c r="N72" s="5" t="s">
        <v>40</v>
      </c>
      <c r="O72" s="6">
        <v>46160</v>
      </c>
      <c r="P72" s="6">
        <v>46161</v>
      </c>
      <c r="Q72" s="10" t="s">
        <v>41</v>
      </c>
      <c r="R72" s="6">
        <v>46160</v>
      </c>
      <c r="S72" s="6">
        <v>46158</v>
      </c>
      <c r="T72" s="9">
        <f t="shared" si="12"/>
        <v>2</v>
      </c>
      <c r="U72" s="9">
        <f t="shared" si="13"/>
        <v>2</v>
      </c>
      <c r="V72" s="9">
        <f t="shared" si="14"/>
        <v>3</v>
      </c>
      <c r="W72" s="9">
        <f t="shared" si="15"/>
        <v>0</v>
      </c>
      <c r="X72" s="5"/>
      <c r="Y72" s="5"/>
    </row>
    <row r="73" spans="1:25" x14ac:dyDescent="0.25">
      <c r="A73" s="5">
        <v>75</v>
      </c>
      <c r="B73" s="43" t="s">
        <v>257</v>
      </c>
      <c r="C73" s="6">
        <v>46158</v>
      </c>
      <c r="D73" s="5" t="s">
        <v>258</v>
      </c>
      <c r="E73" s="5" t="s">
        <v>259</v>
      </c>
      <c r="F73" s="5" t="s">
        <v>260</v>
      </c>
      <c r="G73" s="5" t="s">
        <v>261</v>
      </c>
      <c r="H73" s="13">
        <v>1</v>
      </c>
      <c r="I73" s="8">
        <v>666900</v>
      </c>
      <c r="J73" s="8">
        <v>666900</v>
      </c>
      <c r="K73" s="32">
        <v>641093</v>
      </c>
      <c r="L73" s="5" t="s">
        <v>59</v>
      </c>
      <c r="M73" s="5" t="s">
        <v>262</v>
      </c>
      <c r="N73" s="5" t="s">
        <v>259</v>
      </c>
      <c r="O73" s="6">
        <v>46158</v>
      </c>
      <c r="P73" s="6">
        <v>46163</v>
      </c>
      <c r="Q73" s="5" t="s">
        <v>263</v>
      </c>
      <c r="R73" s="6">
        <v>46158</v>
      </c>
      <c r="S73" s="6">
        <v>46158</v>
      </c>
      <c r="T73" s="9">
        <f t="shared" si="12"/>
        <v>0</v>
      </c>
      <c r="U73" s="9">
        <f t="shared" si="13"/>
        <v>0</v>
      </c>
      <c r="V73" s="9">
        <f t="shared" si="14"/>
        <v>5</v>
      </c>
      <c r="W73" s="9">
        <f t="shared" si="15"/>
        <v>0</v>
      </c>
      <c r="X73" s="5"/>
      <c r="Y73" s="5"/>
    </row>
    <row r="74" spans="1:25" x14ac:dyDescent="0.25">
      <c r="A74" s="5">
        <v>76</v>
      </c>
      <c r="B74" s="43" t="s">
        <v>264</v>
      </c>
      <c r="C74" s="6">
        <v>46158</v>
      </c>
      <c r="D74" s="10" t="s">
        <v>34</v>
      </c>
      <c r="E74" s="10" t="s">
        <v>35</v>
      </c>
      <c r="F74" s="5" t="s">
        <v>265</v>
      </c>
      <c r="G74" s="5" t="s">
        <v>266</v>
      </c>
      <c r="H74" s="13">
        <v>30</v>
      </c>
      <c r="I74" s="8">
        <v>8834</v>
      </c>
      <c r="J74" s="8">
        <v>265020</v>
      </c>
      <c r="K74" s="11">
        <v>265000</v>
      </c>
      <c r="L74" s="5" t="s">
        <v>30</v>
      </c>
      <c r="M74" s="5" t="s">
        <v>267</v>
      </c>
      <c r="N74" s="5" t="s">
        <v>35</v>
      </c>
      <c r="O74" s="6">
        <v>46160</v>
      </c>
      <c r="P74" s="6">
        <v>46167</v>
      </c>
      <c r="Q74" s="5" t="s">
        <v>67</v>
      </c>
      <c r="R74" s="6">
        <v>46160</v>
      </c>
      <c r="S74" s="6">
        <v>46158</v>
      </c>
      <c r="T74" s="9">
        <f t="shared" si="12"/>
        <v>2</v>
      </c>
      <c r="U74" s="9">
        <f t="shared" si="13"/>
        <v>2</v>
      </c>
      <c r="V74" s="9">
        <f t="shared" si="14"/>
        <v>9</v>
      </c>
      <c r="W74" s="9">
        <f t="shared" si="15"/>
        <v>0</v>
      </c>
      <c r="X74" s="5"/>
      <c r="Y74" s="5"/>
    </row>
    <row r="75" spans="1:25" x14ac:dyDescent="0.25">
      <c r="A75" s="5">
        <v>77</v>
      </c>
      <c r="B75" s="43" t="s">
        <v>268</v>
      </c>
      <c r="C75" s="6">
        <v>46160</v>
      </c>
      <c r="D75" s="10" t="s">
        <v>34</v>
      </c>
      <c r="E75" s="10" t="s">
        <v>35</v>
      </c>
      <c r="F75" s="5" t="s">
        <v>232</v>
      </c>
      <c r="G75" s="5" t="s">
        <v>269</v>
      </c>
      <c r="H75" s="13">
        <v>1</v>
      </c>
      <c r="I75" s="8">
        <v>275000</v>
      </c>
      <c r="J75" s="8">
        <v>275000</v>
      </c>
      <c r="K75" s="8">
        <v>275000</v>
      </c>
      <c r="L75" s="5" t="s">
        <v>30</v>
      </c>
      <c r="M75" s="5" t="s">
        <v>39</v>
      </c>
      <c r="N75" s="5" t="s">
        <v>40</v>
      </c>
      <c r="O75" s="6">
        <v>46160</v>
      </c>
      <c r="P75" s="6">
        <v>46161</v>
      </c>
      <c r="Q75" s="10" t="s">
        <v>41</v>
      </c>
      <c r="R75" s="6">
        <v>46160</v>
      </c>
      <c r="S75" s="6">
        <v>46160</v>
      </c>
      <c r="T75" s="9">
        <f t="shared" si="12"/>
        <v>0</v>
      </c>
      <c r="U75" s="9">
        <f t="shared" si="13"/>
        <v>0</v>
      </c>
      <c r="V75" s="9">
        <f t="shared" si="14"/>
        <v>1</v>
      </c>
      <c r="W75" s="9">
        <f t="shared" si="15"/>
        <v>0</v>
      </c>
      <c r="X75" s="5"/>
      <c r="Y75" s="5"/>
    </row>
    <row r="76" spans="1:25" x14ac:dyDescent="0.25">
      <c r="A76" s="5">
        <v>78</v>
      </c>
      <c r="B76" s="43" t="s">
        <v>270</v>
      </c>
      <c r="C76" s="6">
        <v>46160</v>
      </c>
      <c r="D76" s="10" t="s">
        <v>34</v>
      </c>
      <c r="E76" s="10" t="s">
        <v>35</v>
      </c>
      <c r="F76" s="5" t="s">
        <v>165</v>
      </c>
      <c r="G76" s="5" t="s">
        <v>166</v>
      </c>
      <c r="H76" s="13">
        <v>2</v>
      </c>
      <c r="I76" s="8">
        <v>189950</v>
      </c>
      <c r="J76" s="8">
        <v>379900</v>
      </c>
      <c r="K76" s="8">
        <v>319359</v>
      </c>
      <c r="L76" s="5" t="s">
        <v>59</v>
      </c>
      <c r="M76" s="5" t="s">
        <v>271</v>
      </c>
      <c r="N76" s="5" t="s">
        <v>35</v>
      </c>
      <c r="O76" s="6">
        <v>46160</v>
      </c>
      <c r="P76" s="6">
        <v>46161</v>
      </c>
      <c r="Q76" s="5" t="s">
        <v>272</v>
      </c>
      <c r="R76" s="6">
        <v>46160</v>
      </c>
      <c r="S76" s="6">
        <v>46160</v>
      </c>
      <c r="T76" s="9">
        <f t="shared" si="12"/>
        <v>0</v>
      </c>
      <c r="U76" s="9">
        <f t="shared" si="13"/>
        <v>0</v>
      </c>
      <c r="V76" s="9">
        <f t="shared" si="14"/>
        <v>1</v>
      </c>
      <c r="W76" s="9">
        <f t="shared" si="15"/>
        <v>0</v>
      </c>
      <c r="X76" s="5"/>
      <c r="Y76" s="5"/>
    </row>
    <row r="77" spans="1:25" x14ac:dyDescent="0.25">
      <c r="A77" s="5">
        <v>79</v>
      </c>
      <c r="B77" s="43" t="s">
        <v>273</v>
      </c>
      <c r="C77" s="6">
        <v>46160</v>
      </c>
      <c r="D77" s="10" t="s">
        <v>34</v>
      </c>
      <c r="E77" s="10" t="s">
        <v>35</v>
      </c>
      <c r="F77" s="5" t="s">
        <v>274</v>
      </c>
      <c r="G77" s="5" t="s">
        <v>275</v>
      </c>
      <c r="H77" s="13">
        <v>1</v>
      </c>
      <c r="I77" s="8">
        <v>98900</v>
      </c>
      <c r="J77" s="8">
        <v>98900</v>
      </c>
      <c r="K77" s="11">
        <v>97000</v>
      </c>
      <c r="L77" s="5" t="s">
        <v>59</v>
      </c>
      <c r="M77" s="5" t="s">
        <v>276</v>
      </c>
      <c r="N77" s="5" t="s">
        <v>35</v>
      </c>
      <c r="O77" s="6">
        <v>46160</v>
      </c>
      <c r="P77" s="6">
        <v>46162</v>
      </c>
      <c r="Q77" s="5" t="s">
        <v>226</v>
      </c>
      <c r="R77" s="6">
        <v>46160</v>
      </c>
      <c r="S77" s="6">
        <v>46160</v>
      </c>
      <c r="T77" s="9">
        <f t="shared" si="12"/>
        <v>0</v>
      </c>
      <c r="U77" s="9">
        <f t="shared" si="13"/>
        <v>0</v>
      </c>
      <c r="V77" s="9">
        <f t="shared" si="14"/>
        <v>2</v>
      </c>
      <c r="W77" s="9">
        <f t="shared" si="15"/>
        <v>0</v>
      </c>
      <c r="X77" s="5"/>
      <c r="Y77" s="5"/>
    </row>
    <row r="78" spans="1:25" x14ac:dyDescent="0.25">
      <c r="A78" s="5">
        <v>80</v>
      </c>
      <c r="B78" s="43" t="s">
        <v>273</v>
      </c>
      <c r="C78" s="6">
        <v>46160</v>
      </c>
      <c r="D78" s="10" t="s">
        <v>34</v>
      </c>
      <c r="E78" s="10" t="s">
        <v>35</v>
      </c>
      <c r="F78" s="5" t="s">
        <v>277</v>
      </c>
      <c r="G78" s="10" t="s">
        <v>278</v>
      </c>
      <c r="H78" s="12">
        <v>3</v>
      </c>
      <c r="I78" s="8">
        <v>48633</v>
      </c>
      <c r="J78" s="8">
        <v>145899</v>
      </c>
      <c r="K78" s="11">
        <v>143997</v>
      </c>
      <c r="L78" s="5" t="s">
        <v>59</v>
      </c>
      <c r="M78" s="5" t="s">
        <v>276</v>
      </c>
      <c r="N78" s="5" t="s">
        <v>35</v>
      </c>
      <c r="O78" s="6">
        <v>46160</v>
      </c>
      <c r="P78" s="6">
        <v>46162</v>
      </c>
      <c r="Q78" s="5" t="s">
        <v>226</v>
      </c>
      <c r="R78" s="6">
        <v>46160</v>
      </c>
      <c r="S78" s="6">
        <v>46160</v>
      </c>
      <c r="T78" s="9">
        <f t="shared" si="12"/>
        <v>0</v>
      </c>
      <c r="U78" s="9">
        <f t="shared" si="13"/>
        <v>0</v>
      </c>
      <c r="V78" s="9">
        <f t="shared" si="14"/>
        <v>2</v>
      </c>
      <c r="W78" s="9">
        <f t="shared" si="15"/>
        <v>0</v>
      </c>
      <c r="X78" s="5"/>
      <c r="Y78" s="5"/>
    </row>
    <row r="79" spans="1:25" x14ac:dyDescent="0.25">
      <c r="A79" s="5">
        <v>81</v>
      </c>
      <c r="B79" s="43" t="s">
        <v>279</v>
      </c>
      <c r="C79" s="6">
        <v>46160</v>
      </c>
      <c r="D79" s="5" t="s">
        <v>280</v>
      </c>
      <c r="E79" s="5" t="s">
        <v>281</v>
      </c>
      <c r="F79" s="5" t="s">
        <v>282</v>
      </c>
      <c r="G79" s="5" t="s">
        <v>283</v>
      </c>
      <c r="H79" s="13">
        <v>2</v>
      </c>
      <c r="I79" s="8">
        <v>5450</v>
      </c>
      <c r="J79" s="8">
        <v>10900</v>
      </c>
      <c r="K79" s="11">
        <v>9503</v>
      </c>
      <c r="L79" s="5" t="s">
        <v>59</v>
      </c>
      <c r="M79" s="5" t="s">
        <v>284</v>
      </c>
      <c r="N79" s="5" t="s">
        <v>281</v>
      </c>
      <c r="O79" s="6">
        <v>46160</v>
      </c>
      <c r="P79" s="6">
        <v>46163</v>
      </c>
      <c r="Q79" s="5" t="s">
        <v>285</v>
      </c>
      <c r="R79" s="6">
        <v>46160</v>
      </c>
      <c r="S79" s="6">
        <v>46160</v>
      </c>
      <c r="T79" s="9">
        <f t="shared" si="12"/>
        <v>0</v>
      </c>
      <c r="U79" s="9">
        <f t="shared" si="13"/>
        <v>0</v>
      </c>
      <c r="V79" s="9">
        <f t="shared" si="14"/>
        <v>3</v>
      </c>
      <c r="W79" s="9">
        <f t="shared" si="15"/>
        <v>0</v>
      </c>
      <c r="X79" s="5"/>
      <c r="Y79" s="5"/>
    </row>
    <row r="80" spans="1:25" x14ac:dyDescent="0.25">
      <c r="A80" s="5">
        <v>82</v>
      </c>
      <c r="B80" s="43" t="s">
        <v>286</v>
      </c>
      <c r="C80" s="6">
        <v>46160</v>
      </c>
      <c r="D80" s="10" t="s">
        <v>34</v>
      </c>
      <c r="E80" s="10" t="s">
        <v>35</v>
      </c>
      <c r="F80" s="5" t="s">
        <v>287</v>
      </c>
      <c r="G80" s="5" t="s">
        <v>288</v>
      </c>
      <c r="H80" s="13">
        <v>1</v>
      </c>
      <c r="I80" s="8">
        <v>475000</v>
      </c>
      <c r="J80" s="8">
        <v>475000</v>
      </c>
      <c r="K80" s="8">
        <v>475000</v>
      </c>
      <c r="L80" s="5" t="s">
        <v>30</v>
      </c>
      <c r="M80" s="5" t="s">
        <v>39</v>
      </c>
      <c r="N80" s="5" t="s">
        <v>35</v>
      </c>
      <c r="O80" s="6">
        <v>46160</v>
      </c>
      <c r="P80" s="6">
        <v>46160</v>
      </c>
      <c r="Q80" s="10" t="s">
        <v>41</v>
      </c>
      <c r="R80" s="6">
        <v>46160</v>
      </c>
      <c r="S80" s="6">
        <v>46160</v>
      </c>
      <c r="T80" s="9">
        <f t="shared" si="12"/>
        <v>0</v>
      </c>
      <c r="U80" s="9">
        <f t="shared" si="13"/>
        <v>0</v>
      </c>
      <c r="V80" s="9">
        <f t="shared" si="14"/>
        <v>0</v>
      </c>
      <c r="W80" s="9">
        <f t="shared" si="15"/>
        <v>0</v>
      </c>
      <c r="X80" s="5"/>
      <c r="Y80" s="5"/>
    </row>
    <row r="81" spans="1:25" x14ac:dyDescent="0.25">
      <c r="A81" s="5">
        <v>83</v>
      </c>
      <c r="B81" s="43" t="s">
        <v>289</v>
      </c>
      <c r="C81" s="6">
        <v>46161</v>
      </c>
      <c r="D81" s="5" t="s">
        <v>157</v>
      </c>
      <c r="E81" s="5" t="s">
        <v>158</v>
      </c>
      <c r="F81" s="5" t="s">
        <v>290</v>
      </c>
      <c r="G81" s="5" t="s">
        <v>291</v>
      </c>
      <c r="H81" s="13">
        <v>10</v>
      </c>
      <c r="I81" s="8">
        <v>16188</v>
      </c>
      <c r="J81" s="8">
        <v>161880</v>
      </c>
      <c r="K81" s="32">
        <v>153594</v>
      </c>
      <c r="L81" s="5" t="s">
        <v>59</v>
      </c>
      <c r="M81" s="5" t="s">
        <v>292</v>
      </c>
      <c r="N81" s="5" t="s">
        <v>158</v>
      </c>
      <c r="O81" s="6">
        <v>46161</v>
      </c>
      <c r="P81" s="6">
        <v>46163</v>
      </c>
      <c r="Q81" s="5" t="s">
        <v>293</v>
      </c>
      <c r="R81" s="6">
        <v>46161</v>
      </c>
      <c r="S81" s="6">
        <v>46161</v>
      </c>
      <c r="T81" s="9">
        <f t="shared" si="12"/>
        <v>0</v>
      </c>
      <c r="U81" s="9">
        <f t="shared" si="13"/>
        <v>0</v>
      </c>
      <c r="V81" s="9">
        <f t="shared" si="14"/>
        <v>2</v>
      </c>
      <c r="W81" s="9">
        <f t="shared" si="15"/>
        <v>0</v>
      </c>
      <c r="X81" s="5"/>
      <c r="Y81" s="5"/>
    </row>
    <row r="82" spans="1:25" x14ac:dyDescent="0.25">
      <c r="A82" s="5">
        <v>84</v>
      </c>
      <c r="B82" s="43" t="s">
        <v>294</v>
      </c>
      <c r="C82" s="6">
        <v>46161</v>
      </c>
      <c r="D82" s="10" t="s">
        <v>34</v>
      </c>
      <c r="E82" s="10" t="s">
        <v>35</v>
      </c>
      <c r="F82" s="5" t="s">
        <v>295</v>
      </c>
      <c r="G82" s="5" t="s">
        <v>296</v>
      </c>
      <c r="H82" s="13">
        <v>3</v>
      </c>
      <c r="I82" s="11">
        <v>120000</v>
      </c>
      <c r="J82" s="11">
        <v>360000</v>
      </c>
      <c r="K82" s="11">
        <v>360000</v>
      </c>
      <c r="L82" s="5" t="s">
        <v>30</v>
      </c>
      <c r="M82" s="5" t="s">
        <v>297</v>
      </c>
      <c r="N82" s="5" t="s">
        <v>35</v>
      </c>
      <c r="O82" s="6">
        <v>46161</v>
      </c>
      <c r="P82" s="6">
        <v>46162</v>
      </c>
      <c r="Q82" s="5" t="s">
        <v>97</v>
      </c>
      <c r="R82" s="6">
        <v>46161</v>
      </c>
      <c r="S82" s="6">
        <v>46161</v>
      </c>
      <c r="T82" s="9">
        <f t="shared" si="12"/>
        <v>0</v>
      </c>
      <c r="U82" s="9">
        <f t="shared" si="13"/>
        <v>0</v>
      </c>
      <c r="V82" s="9">
        <f t="shared" si="14"/>
        <v>1</v>
      </c>
      <c r="W82" s="9">
        <f t="shared" si="15"/>
        <v>0</v>
      </c>
      <c r="X82" s="5"/>
      <c r="Y82" s="5"/>
    </row>
    <row r="83" spans="1:25" x14ac:dyDescent="0.25">
      <c r="A83" s="5">
        <v>85</v>
      </c>
      <c r="B83" s="43" t="s">
        <v>298</v>
      </c>
      <c r="C83" s="6">
        <v>46161</v>
      </c>
      <c r="D83" s="5" t="s">
        <v>157</v>
      </c>
      <c r="E83" s="5" t="s">
        <v>158</v>
      </c>
      <c r="F83" s="5" t="s">
        <v>299</v>
      </c>
      <c r="G83" s="5" t="s">
        <v>300</v>
      </c>
      <c r="H83" s="13">
        <v>2</v>
      </c>
      <c r="I83" s="8">
        <v>14200</v>
      </c>
      <c r="J83" s="8">
        <v>28400</v>
      </c>
      <c r="K83" s="11">
        <v>27917</v>
      </c>
      <c r="L83" s="5" t="s">
        <v>59</v>
      </c>
      <c r="M83" s="5" t="s">
        <v>301</v>
      </c>
      <c r="N83" s="5" t="s">
        <v>158</v>
      </c>
      <c r="O83" s="6">
        <v>46161</v>
      </c>
      <c r="P83" s="6">
        <v>46163</v>
      </c>
      <c r="Q83" s="5" t="s">
        <v>86</v>
      </c>
      <c r="R83" s="6">
        <v>46161</v>
      </c>
      <c r="S83" s="6">
        <v>46161</v>
      </c>
      <c r="T83" s="9">
        <f t="shared" si="12"/>
        <v>0</v>
      </c>
      <c r="U83" s="9">
        <f t="shared" si="13"/>
        <v>0</v>
      </c>
      <c r="V83" s="9">
        <f t="shared" si="14"/>
        <v>2</v>
      </c>
      <c r="W83" s="9">
        <f t="shared" si="15"/>
        <v>0</v>
      </c>
      <c r="X83" s="5"/>
      <c r="Y83" s="5"/>
    </row>
    <row r="84" spans="1:25" x14ac:dyDescent="0.25">
      <c r="A84" s="5">
        <v>86</v>
      </c>
      <c r="B84" s="43" t="s">
        <v>302</v>
      </c>
      <c r="C84" s="6">
        <v>46161</v>
      </c>
      <c r="D84" s="10" t="s">
        <v>34</v>
      </c>
      <c r="E84" s="10" t="s">
        <v>35</v>
      </c>
      <c r="F84" s="14" t="s">
        <v>252</v>
      </c>
      <c r="G84" s="5" t="s">
        <v>303</v>
      </c>
      <c r="H84" s="13">
        <v>2</v>
      </c>
      <c r="I84" s="8">
        <v>980000</v>
      </c>
      <c r="J84" s="8">
        <v>1960000</v>
      </c>
      <c r="K84" s="8">
        <v>1960000</v>
      </c>
      <c r="L84" s="5" t="s">
        <v>30</v>
      </c>
      <c r="M84" s="5" t="s">
        <v>304</v>
      </c>
      <c r="N84" s="5" t="s">
        <v>40</v>
      </c>
      <c r="O84" s="6">
        <v>46161</v>
      </c>
      <c r="P84" s="6">
        <v>46162</v>
      </c>
      <c r="Q84" s="10" t="s">
        <v>41</v>
      </c>
      <c r="R84" s="6">
        <v>46161</v>
      </c>
      <c r="S84" s="6">
        <v>46161</v>
      </c>
      <c r="T84" s="9">
        <f t="shared" si="12"/>
        <v>0</v>
      </c>
      <c r="U84" s="9">
        <f t="shared" si="13"/>
        <v>0</v>
      </c>
      <c r="V84" s="9">
        <f t="shared" si="14"/>
        <v>1</v>
      </c>
      <c r="W84" s="9">
        <f t="shared" si="15"/>
        <v>0</v>
      </c>
      <c r="X84" s="5"/>
      <c r="Y84" s="5"/>
    </row>
    <row r="85" spans="1:25" x14ac:dyDescent="0.25">
      <c r="A85" s="5">
        <v>87</v>
      </c>
      <c r="B85" s="43" t="s">
        <v>302</v>
      </c>
      <c r="C85" s="6">
        <v>46161</v>
      </c>
      <c r="D85" s="10" t="s">
        <v>34</v>
      </c>
      <c r="E85" s="10" t="s">
        <v>35</v>
      </c>
      <c r="F85" s="5" t="s">
        <v>72</v>
      </c>
      <c r="G85" s="5" t="s">
        <v>303</v>
      </c>
      <c r="H85" s="13">
        <v>1</v>
      </c>
      <c r="I85" s="8">
        <v>20000</v>
      </c>
      <c r="J85" s="8">
        <v>20000</v>
      </c>
      <c r="K85" s="8">
        <v>20000</v>
      </c>
      <c r="L85" s="5" t="s">
        <v>30</v>
      </c>
      <c r="M85" s="5" t="s">
        <v>39</v>
      </c>
      <c r="N85" s="5" t="s">
        <v>40</v>
      </c>
      <c r="O85" s="6">
        <v>46161</v>
      </c>
      <c r="P85" s="6">
        <v>46162</v>
      </c>
      <c r="Q85" s="10" t="s">
        <v>41</v>
      </c>
      <c r="R85" s="6">
        <v>46161</v>
      </c>
      <c r="S85" s="6">
        <v>46161</v>
      </c>
      <c r="T85" s="9">
        <f t="shared" si="12"/>
        <v>0</v>
      </c>
      <c r="U85" s="9">
        <f t="shared" si="13"/>
        <v>0</v>
      </c>
      <c r="V85" s="9">
        <f t="shared" si="14"/>
        <v>1</v>
      </c>
      <c r="W85" s="9">
        <f t="shared" si="15"/>
        <v>0</v>
      </c>
      <c r="X85" s="5"/>
      <c r="Y85" s="5"/>
    </row>
    <row r="86" spans="1:25" x14ac:dyDescent="0.25">
      <c r="A86" s="5">
        <v>88</v>
      </c>
      <c r="B86" s="43" t="s">
        <v>305</v>
      </c>
      <c r="C86" s="6">
        <v>46161</v>
      </c>
      <c r="D86" s="5" t="s">
        <v>280</v>
      </c>
      <c r="E86" s="5" t="s">
        <v>281</v>
      </c>
      <c r="F86" s="5" t="s">
        <v>306</v>
      </c>
      <c r="G86" s="5" t="s">
        <v>307</v>
      </c>
      <c r="H86" s="13">
        <v>3</v>
      </c>
      <c r="I86" s="8">
        <v>4134</v>
      </c>
      <c r="J86" s="8">
        <v>12402</v>
      </c>
      <c r="K86" s="33">
        <v>10500</v>
      </c>
      <c r="L86" s="5" t="s">
        <v>59</v>
      </c>
      <c r="M86" s="5" t="s">
        <v>308</v>
      </c>
      <c r="N86" s="5" t="s">
        <v>281</v>
      </c>
      <c r="O86" s="6">
        <v>46161</v>
      </c>
      <c r="P86" s="6">
        <v>46164</v>
      </c>
      <c r="Q86" s="5" t="s">
        <v>97</v>
      </c>
      <c r="R86" s="6">
        <v>46161</v>
      </c>
      <c r="S86" s="6">
        <v>46161</v>
      </c>
      <c r="T86" s="9">
        <f t="shared" si="12"/>
        <v>0</v>
      </c>
      <c r="U86" s="9">
        <f t="shared" si="13"/>
        <v>0</v>
      </c>
      <c r="V86" s="9">
        <f t="shared" si="14"/>
        <v>3</v>
      </c>
      <c r="W86" s="9">
        <f t="shared" si="15"/>
        <v>0</v>
      </c>
      <c r="X86" s="5"/>
      <c r="Y86" s="5"/>
    </row>
    <row r="87" spans="1:25" x14ac:dyDescent="0.25">
      <c r="A87" s="5">
        <v>89</v>
      </c>
      <c r="B87" s="43" t="s">
        <v>309</v>
      </c>
      <c r="C87" s="6">
        <v>46161</v>
      </c>
      <c r="D87" s="5" t="s">
        <v>280</v>
      </c>
      <c r="E87" s="5" t="s">
        <v>281</v>
      </c>
      <c r="F87" s="5" t="s">
        <v>306</v>
      </c>
      <c r="G87" s="5" t="s">
        <v>310</v>
      </c>
      <c r="H87" s="13">
        <v>3</v>
      </c>
      <c r="I87" s="8">
        <v>5500</v>
      </c>
      <c r="J87" s="8">
        <v>16500</v>
      </c>
      <c r="K87" s="34">
        <v>16500</v>
      </c>
      <c r="L87" s="5" t="s">
        <v>59</v>
      </c>
      <c r="M87" s="5" t="s">
        <v>308</v>
      </c>
      <c r="N87" s="5" t="s">
        <v>281</v>
      </c>
      <c r="O87" s="6">
        <v>46161</v>
      </c>
      <c r="P87" s="6">
        <v>46164</v>
      </c>
      <c r="Q87" s="5" t="s">
        <v>97</v>
      </c>
      <c r="R87" s="6">
        <v>46161</v>
      </c>
      <c r="S87" s="6">
        <v>46161</v>
      </c>
      <c r="T87" s="9">
        <f t="shared" si="12"/>
        <v>0</v>
      </c>
      <c r="U87" s="9">
        <f t="shared" si="13"/>
        <v>0</v>
      </c>
      <c r="V87" s="9">
        <f t="shared" si="14"/>
        <v>3</v>
      </c>
      <c r="W87" s="9">
        <f t="shared" si="15"/>
        <v>0</v>
      </c>
      <c r="X87" s="5"/>
      <c r="Y87" s="5"/>
    </row>
    <row r="88" spans="1:25" x14ac:dyDescent="0.25">
      <c r="A88" s="5">
        <v>90</v>
      </c>
      <c r="B88" s="43" t="s">
        <v>311</v>
      </c>
      <c r="C88" s="6">
        <v>46161</v>
      </c>
      <c r="D88" s="10" t="s">
        <v>34</v>
      </c>
      <c r="E88" s="10" t="s">
        <v>35</v>
      </c>
      <c r="F88" s="5" t="s">
        <v>312</v>
      </c>
      <c r="G88" s="5" t="s">
        <v>313</v>
      </c>
      <c r="H88" s="13">
        <v>1</v>
      </c>
      <c r="I88" s="8">
        <v>275800</v>
      </c>
      <c r="J88" s="8">
        <v>275800</v>
      </c>
      <c r="K88" s="35">
        <v>215652</v>
      </c>
      <c r="L88" s="5" t="s">
        <v>59</v>
      </c>
      <c r="M88" s="5" t="s">
        <v>314</v>
      </c>
      <c r="N88" s="5" t="s">
        <v>40</v>
      </c>
      <c r="O88" s="6">
        <v>46165</v>
      </c>
      <c r="P88" s="6">
        <v>46171</v>
      </c>
      <c r="Q88" s="5" t="s">
        <v>315</v>
      </c>
      <c r="R88" s="6">
        <v>46167</v>
      </c>
      <c r="S88" s="6">
        <v>46161</v>
      </c>
      <c r="T88" s="9">
        <f t="shared" si="12"/>
        <v>4</v>
      </c>
      <c r="U88" s="9">
        <f t="shared" si="13"/>
        <v>6</v>
      </c>
      <c r="V88" s="9">
        <f t="shared" si="14"/>
        <v>10</v>
      </c>
      <c r="W88" s="9">
        <f t="shared" si="15"/>
        <v>0</v>
      </c>
      <c r="X88" s="5"/>
      <c r="Y88" s="5"/>
    </row>
    <row r="89" spans="1:25" x14ac:dyDescent="0.25">
      <c r="A89" s="5">
        <v>91</v>
      </c>
      <c r="B89" s="43" t="s">
        <v>316</v>
      </c>
      <c r="C89" s="6">
        <v>46162</v>
      </c>
      <c r="D89" s="5" t="s">
        <v>34</v>
      </c>
      <c r="E89" s="5" t="s">
        <v>35</v>
      </c>
      <c r="F89" s="5" t="s">
        <v>317</v>
      </c>
      <c r="G89" s="5" t="s">
        <v>318</v>
      </c>
      <c r="H89" s="13">
        <v>2</v>
      </c>
      <c r="I89" s="11">
        <v>45000</v>
      </c>
      <c r="J89" s="11">
        <v>90000</v>
      </c>
      <c r="K89" s="11">
        <v>90000</v>
      </c>
      <c r="L89" s="5" t="s">
        <v>30</v>
      </c>
      <c r="M89" s="5" t="s">
        <v>319</v>
      </c>
      <c r="N89" s="5" t="s">
        <v>35</v>
      </c>
      <c r="O89" s="6">
        <v>46162</v>
      </c>
      <c r="P89" s="6">
        <v>46162</v>
      </c>
      <c r="Q89" s="5" t="s">
        <v>41</v>
      </c>
      <c r="R89" s="6">
        <v>46162</v>
      </c>
      <c r="S89" s="6">
        <v>46162</v>
      </c>
      <c r="T89" s="9">
        <f t="shared" si="12"/>
        <v>0</v>
      </c>
      <c r="U89" s="9">
        <f t="shared" si="13"/>
        <v>0</v>
      </c>
      <c r="V89" s="9">
        <f t="shared" si="14"/>
        <v>0</v>
      </c>
      <c r="W89" s="9">
        <f t="shared" si="15"/>
        <v>0</v>
      </c>
      <c r="X89" s="5"/>
      <c r="Y89" s="5"/>
    </row>
    <row r="90" spans="1:25" x14ac:dyDescent="0.25">
      <c r="A90" s="5">
        <v>92</v>
      </c>
      <c r="B90" s="43" t="s">
        <v>316</v>
      </c>
      <c r="C90" s="6">
        <v>46162</v>
      </c>
      <c r="D90" s="5" t="s">
        <v>34</v>
      </c>
      <c r="E90" s="5" t="s">
        <v>35</v>
      </c>
      <c r="F90" s="5" t="s">
        <v>71</v>
      </c>
      <c r="G90" s="5" t="s">
        <v>320</v>
      </c>
      <c r="H90" s="13">
        <v>1</v>
      </c>
      <c r="I90" s="11">
        <v>15000</v>
      </c>
      <c r="J90" s="11">
        <v>15000</v>
      </c>
      <c r="K90" s="11">
        <v>15000</v>
      </c>
      <c r="L90" s="5" t="s">
        <v>30</v>
      </c>
      <c r="M90" s="5" t="s">
        <v>319</v>
      </c>
      <c r="N90" s="5" t="s">
        <v>35</v>
      </c>
      <c r="O90" s="6">
        <v>46162</v>
      </c>
      <c r="P90" s="6">
        <v>46162</v>
      </c>
      <c r="Q90" s="5" t="s">
        <v>41</v>
      </c>
      <c r="R90" s="6">
        <v>46162</v>
      </c>
      <c r="S90" s="6">
        <v>46162</v>
      </c>
      <c r="T90" s="9">
        <f t="shared" si="12"/>
        <v>0</v>
      </c>
      <c r="U90" s="9">
        <f t="shared" si="13"/>
        <v>0</v>
      </c>
      <c r="V90" s="9">
        <f t="shared" si="14"/>
        <v>0</v>
      </c>
      <c r="W90" s="9">
        <f t="shared" si="15"/>
        <v>0</v>
      </c>
      <c r="X90" s="5"/>
      <c r="Y90" s="5"/>
    </row>
    <row r="91" spans="1:25" x14ac:dyDescent="0.25">
      <c r="A91" s="5">
        <v>93</v>
      </c>
      <c r="B91" s="45" t="s">
        <v>316</v>
      </c>
      <c r="C91" s="36">
        <v>46162</v>
      </c>
      <c r="D91" s="10" t="s">
        <v>34</v>
      </c>
      <c r="E91" s="10" t="s">
        <v>35</v>
      </c>
      <c r="F91" s="37" t="s">
        <v>321</v>
      </c>
      <c r="G91" s="10" t="s">
        <v>322</v>
      </c>
      <c r="H91" s="12">
        <v>1</v>
      </c>
      <c r="I91" s="11">
        <v>5000</v>
      </c>
      <c r="J91" s="11">
        <v>5000</v>
      </c>
      <c r="K91" s="11">
        <v>5000</v>
      </c>
      <c r="L91" s="10" t="s">
        <v>30</v>
      </c>
      <c r="M91" s="10" t="s">
        <v>319</v>
      </c>
      <c r="N91" s="10" t="s">
        <v>35</v>
      </c>
      <c r="O91" s="36">
        <v>46162</v>
      </c>
      <c r="P91" s="36">
        <v>46162</v>
      </c>
      <c r="Q91" s="10" t="s">
        <v>41</v>
      </c>
      <c r="R91" s="36">
        <v>46162</v>
      </c>
      <c r="S91" s="36">
        <v>46162</v>
      </c>
      <c r="T91" s="9">
        <f t="shared" si="12"/>
        <v>0</v>
      </c>
      <c r="U91" s="9">
        <f t="shared" si="13"/>
        <v>0</v>
      </c>
      <c r="V91" s="9">
        <f t="shared" si="14"/>
        <v>0</v>
      </c>
      <c r="W91" s="9">
        <f t="shared" si="15"/>
        <v>0</v>
      </c>
      <c r="X91" s="5"/>
      <c r="Y91" s="5"/>
    </row>
    <row r="92" spans="1:25" x14ac:dyDescent="0.25">
      <c r="A92" s="5">
        <v>95</v>
      </c>
      <c r="B92" s="43" t="s">
        <v>323</v>
      </c>
      <c r="C92" s="6">
        <v>46162</v>
      </c>
      <c r="D92" s="10" t="s">
        <v>34</v>
      </c>
      <c r="E92" s="10" t="s">
        <v>35</v>
      </c>
      <c r="F92" s="14" t="s">
        <v>325</v>
      </c>
      <c r="G92" s="5" t="s">
        <v>324</v>
      </c>
      <c r="H92" s="13">
        <v>1</v>
      </c>
      <c r="I92" s="8">
        <v>2100000</v>
      </c>
      <c r="J92" s="8">
        <v>2100000</v>
      </c>
      <c r="K92" s="8">
        <v>2050000</v>
      </c>
      <c r="L92" s="5" t="s">
        <v>30</v>
      </c>
      <c r="M92" s="5" t="s">
        <v>39</v>
      </c>
      <c r="N92" s="5" t="s">
        <v>40</v>
      </c>
      <c r="O92" s="6">
        <v>46162</v>
      </c>
      <c r="P92" s="6">
        <v>46163</v>
      </c>
      <c r="Q92" s="10" t="s">
        <v>41</v>
      </c>
      <c r="R92" s="6">
        <v>46163</v>
      </c>
      <c r="S92" s="6">
        <v>46162</v>
      </c>
      <c r="T92" s="9">
        <f t="shared" si="12"/>
        <v>0</v>
      </c>
      <c r="U92" s="9">
        <f t="shared" si="13"/>
        <v>1</v>
      </c>
      <c r="V92" s="9">
        <f t="shared" si="14"/>
        <v>1</v>
      </c>
      <c r="W92" s="9">
        <f t="shared" si="15"/>
        <v>0</v>
      </c>
      <c r="X92" s="5"/>
      <c r="Y92" s="5"/>
    </row>
    <row r="93" spans="1:25" x14ac:dyDescent="0.25">
      <c r="A93" s="5">
        <v>96</v>
      </c>
      <c r="B93" t="s">
        <v>323</v>
      </c>
      <c r="C93" s="6">
        <v>46162</v>
      </c>
      <c r="D93" s="10" t="s">
        <v>34</v>
      </c>
      <c r="E93" s="10" t="s">
        <v>35</v>
      </c>
      <c r="F93" s="5" t="s">
        <v>326</v>
      </c>
      <c r="G93" s="5" t="s">
        <v>324</v>
      </c>
      <c r="H93" s="13">
        <v>1</v>
      </c>
      <c r="I93" s="11">
        <v>10000</v>
      </c>
      <c r="J93" s="11">
        <v>10000</v>
      </c>
      <c r="K93" s="11">
        <v>10000</v>
      </c>
      <c r="L93" s="5" t="s">
        <v>30</v>
      </c>
      <c r="M93" s="5" t="s">
        <v>39</v>
      </c>
      <c r="N93" s="5" t="s">
        <v>40</v>
      </c>
      <c r="O93" s="6">
        <v>46162</v>
      </c>
      <c r="P93" s="6">
        <v>46163</v>
      </c>
      <c r="Q93" s="10" t="s">
        <v>41</v>
      </c>
      <c r="R93" s="6">
        <v>46163</v>
      </c>
      <c r="S93" s="6">
        <v>46162</v>
      </c>
      <c r="T93" s="9">
        <f t="shared" ref="T93:T124" si="16">O93-C93</f>
        <v>0</v>
      </c>
      <c r="U93" s="9">
        <f t="shared" ref="U93:U124" si="17">R93-C93</f>
        <v>1</v>
      </c>
      <c r="V93" s="9">
        <f t="shared" ref="V93:V124" si="18">P93-C93</f>
        <v>1</v>
      </c>
      <c r="W93" s="9">
        <f t="shared" ref="W93:W124" si="19">S93-C93</f>
        <v>0</v>
      </c>
      <c r="X93" s="5"/>
      <c r="Y93" s="5"/>
    </row>
    <row r="94" spans="1:25" x14ac:dyDescent="0.25">
      <c r="A94" s="5">
        <v>97</v>
      </c>
      <c r="B94" s="43" t="s">
        <v>323</v>
      </c>
      <c r="C94" s="6">
        <v>46162</v>
      </c>
      <c r="D94" s="10" t="s">
        <v>34</v>
      </c>
      <c r="E94" s="10" t="s">
        <v>35</v>
      </c>
      <c r="F94" s="5" t="s">
        <v>327</v>
      </c>
      <c r="G94" s="5" t="s">
        <v>324</v>
      </c>
      <c r="H94" s="13">
        <v>1</v>
      </c>
      <c r="I94" s="8">
        <v>20000</v>
      </c>
      <c r="J94" s="8">
        <v>20000</v>
      </c>
      <c r="K94" s="8">
        <v>20000</v>
      </c>
      <c r="L94" s="5" t="s">
        <v>30</v>
      </c>
      <c r="M94" s="5" t="s">
        <v>39</v>
      </c>
      <c r="N94" s="5" t="s">
        <v>40</v>
      </c>
      <c r="O94" s="6">
        <v>46162</v>
      </c>
      <c r="P94" s="6">
        <v>46163</v>
      </c>
      <c r="Q94" s="10" t="s">
        <v>41</v>
      </c>
      <c r="R94" s="6">
        <v>46163</v>
      </c>
      <c r="S94" s="6">
        <v>46162</v>
      </c>
      <c r="T94" s="9">
        <f t="shared" si="16"/>
        <v>0</v>
      </c>
      <c r="U94" s="9">
        <f t="shared" si="17"/>
        <v>1</v>
      </c>
      <c r="V94" s="9">
        <f t="shared" si="18"/>
        <v>1</v>
      </c>
      <c r="W94" s="9">
        <f t="shared" si="19"/>
        <v>0</v>
      </c>
      <c r="X94" s="5"/>
      <c r="Y94" s="5"/>
    </row>
    <row r="95" spans="1:25" x14ac:dyDescent="0.25">
      <c r="A95" s="5">
        <v>98</v>
      </c>
      <c r="B95" s="43" t="s">
        <v>323</v>
      </c>
      <c r="C95" s="6">
        <v>46162</v>
      </c>
      <c r="D95" s="10" t="s">
        <v>34</v>
      </c>
      <c r="E95" s="10" t="s">
        <v>35</v>
      </c>
      <c r="F95" s="5" t="s">
        <v>287</v>
      </c>
      <c r="G95" s="5" t="s">
        <v>324</v>
      </c>
      <c r="H95" s="13">
        <v>1</v>
      </c>
      <c r="I95" s="8">
        <v>285000</v>
      </c>
      <c r="J95" s="8">
        <v>285000</v>
      </c>
      <c r="K95" s="8">
        <v>285000</v>
      </c>
      <c r="L95" s="5" t="s">
        <v>30</v>
      </c>
      <c r="M95" s="5" t="s">
        <v>39</v>
      </c>
      <c r="N95" s="5" t="s">
        <v>40</v>
      </c>
      <c r="O95" s="6">
        <v>46162</v>
      </c>
      <c r="P95" s="6">
        <v>46163</v>
      </c>
      <c r="Q95" s="10" t="s">
        <v>41</v>
      </c>
      <c r="R95" s="6">
        <v>46163</v>
      </c>
      <c r="S95" s="6">
        <v>46162</v>
      </c>
      <c r="T95" s="9">
        <f t="shared" si="16"/>
        <v>0</v>
      </c>
      <c r="U95" s="9">
        <f t="shared" si="17"/>
        <v>1</v>
      </c>
      <c r="V95" s="9">
        <f t="shared" si="18"/>
        <v>1</v>
      </c>
      <c r="W95" s="9">
        <f t="shared" si="19"/>
        <v>0</v>
      </c>
      <c r="X95" s="5"/>
      <c r="Y95" s="5"/>
    </row>
    <row r="96" spans="1:25" x14ac:dyDescent="0.25">
      <c r="A96" s="5">
        <v>99</v>
      </c>
      <c r="B96" s="43" t="s">
        <v>323</v>
      </c>
      <c r="C96" s="6">
        <v>46162</v>
      </c>
      <c r="D96" s="10" t="s">
        <v>34</v>
      </c>
      <c r="E96" s="10" t="s">
        <v>35</v>
      </c>
      <c r="F96" s="5" t="s">
        <v>328</v>
      </c>
      <c r="G96" s="5" t="s">
        <v>324</v>
      </c>
      <c r="H96" s="13">
        <v>1</v>
      </c>
      <c r="I96" s="8">
        <v>285000</v>
      </c>
      <c r="J96" s="8">
        <v>285000</v>
      </c>
      <c r="K96" s="8">
        <v>285000</v>
      </c>
      <c r="L96" s="5" t="s">
        <v>30</v>
      </c>
      <c r="M96" s="5" t="s">
        <v>39</v>
      </c>
      <c r="N96" s="5" t="s">
        <v>40</v>
      </c>
      <c r="O96" s="6">
        <v>46162</v>
      </c>
      <c r="P96" s="6">
        <v>46163</v>
      </c>
      <c r="Q96" s="10" t="s">
        <v>41</v>
      </c>
      <c r="R96" s="6">
        <v>46163</v>
      </c>
      <c r="S96" s="6">
        <v>46162</v>
      </c>
      <c r="T96" s="9">
        <f t="shared" si="16"/>
        <v>0</v>
      </c>
      <c r="U96" s="9">
        <f t="shared" si="17"/>
        <v>1</v>
      </c>
      <c r="V96" s="9">
        <f t="shared" si="18"/>
        <v>1</v>
      </c>
      <c r="W96" s="9">
        <f t="shared" si="19"/>
        <v>0</v>
      </c>
      <c r="X96" s="5"/>
      <c r="Y96" s="5"/>
    </row>
    <row r="97" spans="1:25" x14ac:dyDescent="0.25">
      <c r="A97" s="5">
        <v>100</v>
      </c>
      <c r="B97" s="43" t="s">
        <v>323</v>
      </c>
      <c r="C97" s="6">
        <v>46162</v>
      </c>
      <c r="D97" s="10" t="s">
        <v>34</v>
      </c>
      <c r="E97" s="10" t="s">
        <v>35</v>
      </c>
      <c r="F97" s="5" t="s">
        <v>329</v>
      </c>
      <c r="G97" s="5" t="s">
        <v>324</v>
      </c>
      <c r="H97" s="13">
        <v>1</v>
      </c>
      <c r="I97" s="8">
        <v>1550000</v>
      </c>
      <c r="J97" s="8">
        <v>1550000</v>
      </c>
      <c r="K97" s="8">
        <v>1550000</v>
      </c>
      <c r="L97" s="5" t="s">
        <v>30</v>
      </c>
      <c r="M97" s="5" t="s">
        <v>39</v>
      </c>
      <c r="N97" s="5" t="s">
        <v>40</v>
      </c>
      <c r="O97" s="6">
        <v>46162</v>
      </c>
      <c r="P97" s="6">
        <v>46163</v>
      </c>
      <c r="Q97" s="10" t="s">
        <v>41</v>
      </c>
      <c r="R97" s="6">
        <v>46163</v>
      </c>
      <c r="S97" s="6">
        <v>46162</v>
      </c>
      <c r="T97" s="9">
        <f t="shared" si="16"/>
        <v>0</v>
      </c>
      <c r="U97" s="9">
        <f t="shared" si="17"/>
        <v>1</v>
      </c>
      <c r="V97" s="9">
        <f t="shared" si="18"/>
        <v>1</v>
      </c>
      <c r="W97" s="9">
        <f t="shared" si="19"/>
        <v>0</v>
      </c>
      <c r="X97" s="5"/>
      <c r="Y97" s="5"/>
    </row>
    <row r="98" spans="1:25" x14ac:dyDescent="0.25">
      <c r="A98" s="5">
        <v>101</v>
      </c>
      <c r="B98" s="43" t="s">
        <v>330</v>
      </c>
      <c r="C98" s="6">
        <v>46162</v>
      </c>
      <c r="D98" s="5" t="s">
        <v>258</v>
      </c>
      <c r="E98" s="5" t="s">
        <v>259</v>
      </c>
      <c r="F98" s="5" t="s">
        <v>331</v>
      </c>
      <c r="G98" s="5" t="s">
        <v>332</v>
      </c>
      <c r="H98" s="13">
        <v>1</v>
      </c>
      <c r="I98" s="8">
        <v>241900</v>
      </c>
      <c r="J98" s="8">
        <v>241900</v>
      </c>
      <c r="K98" s="32">
        <v>240178</v>
      </c>
      <c r="L98" s="5" t="s">
        <v>59</v>
      </c>
      <c r="M98" s="5" t="s">
        <v>333</v>
      </c>
      <c r="N98" s="5" t="s">
        <v>259</v>
      </c>
      <c r="O98" s="6">
        <v>46163</v>
      </c>
      <c r="P98" s="6">
        <v>46167</v>
      </c>
      <c r="Q98" s="5" t="s">
        <v>334</v>
      </c>
      <c r="R98" s="6">
        <v>46163</v>
      </c>
      <c r="S98" s="6">
        <v>46162</v>
      </c>
      <c r="T98" s="9">
        <f t="shared" si="16"/>
        <v>1</v>
      </c>
      <c r="U98" s="9">
        <f t="shared" si="17"/>
        <v>1</v>
      </c>
      <c r="V98" s="9">
        <f t="shared" si="18"/>
        <v>5</v>
      </c>
      <c r="W98" s="9">
        <f t="shared" si="19"/>
        <v>0</v>
      </c>
      <c r="X98" s="5"/>
      <c r="Y98" s="5"/>
    </row>
    <row r="99" spans="1:25" x14ac:dyDescent="0.25">
      <c r="A99" s="5">
        <v>102</v>
      </c>
      <c r="B99" s="43" t="s">
        <v>330</v>
      </c>
      <c r="C99" s="6">
        <v>46162</v>
      </c>
      <c r="D99" s="5" t="s">
        <v>258</v>
      </c>
      <c r="E99" s="5" t="s">
        <v>259</v>
      </c>
      <c r="F99" s="5" t="s">
        <v>335</v>
      </c>
      <c r="G99" s="5" t="s">
        <v>336</v>
      </c>
      <c r="H99" s="13">
        <v>1</v>
      </c>
      <c r="I99" s="8">
        <v>155900</v>
      </c>
      <c r="J99" s="8">
        <v>155900</v>
      </c>
      <c r="K99" s="32">
        <v>151032</v>
      </c>
      <c r="L99" s="5" t="s">
        <v>59</v>
      </c>
      <c r="M99" s="5" t="s">
        <v>337</v>
      </c>
      <c r="N99" s="5" t="s">
        <v>259</v>
      </c>
      <c r="O99" s="6">
        <v>46163</v>
      </c>
      <c r="P99" s="6">
        <v>46165</v>
      </c>
      <c r="Q99" s="5" t="s">
        <v>334</v>
      </c>
      <c r="R99" s="6">
        <v>46163</v>
      </c>
      <c r="S99" s="6">
        <v>46162</v>
      </c>
      <c r="T99" s="9">
        <f t="shared" si="16"/>
        <v>1</v>
      </c>
      <c r="U99" s="9">
        <f t="shared" si="17"/>
        <v>1</v>
      </c>
      <c r="V99" s="9">
        <f t="shared" si="18"/>
        <v>3</v>
      </c>
      <c r="W99" s="9">
        <f t="shared" si="19"/>
        <v>0</v>
      </c>
      <c r="X99" s="5"/>
      <c r="Y99" s="5"/>
    </row>
    <row r="100" spans="1:25" x14ac:dyDescent="0.25">
      <c r="A100" s="5">
        <v>103</v>
      </c>
      <c r="B100" s="43" t="s">
        <v>330</v>
      </c>
      <c r="C100" s="6">
        <v>46162</v>
      </c>
      <c r="D100" s="5" t="s">
        <v>258</v>
      </c>
      <c r="E100" s="5" t="s">
        <v>259</v>
      </c>
      <c r="F100" s="5" t="s">
        <v>338</v>
      </c>
      <c r="G100" s="5" t="s">
        <v>339</v>
      </c>
      <c r="H100" s="13">
        <v>1</v>
      </c>
      <c r="I100" s="8">
        <v>505000</v>
      </c>
      <c r="J100" s="8">
        <v>505000</v>
      </c>
      <c r="K100" s="8">
        <v>505000</v>
      </c>
      <c r="L100" s="5" t="s">
        <v>30</v>
      </c>
      <c r="M100" s="5" t="s">
        <v>340</v>
      </c>
      <c r="N100" s="5" t="s">
        <v>259</v>
      </c>
      <c r="O100" s="6">
        <v>46163</v>
      </c>
      <c r="P100" s="6">
        <v>46165</v>
      </c>
      <c r="Q100" s="5" t="s">
        <v>334</v>
      </c>
      <c r="R100" s="6">
        <v>46163</v>
      </c>
      <c r="S100" s="6">
        <v>46162</v>
      </c>
      <c r="T100" s="9">
        <f t="shared" si="16"/>
        <v>1</v>
      </c>
      <c r="U100" s="9">
        <f t="shared" si="17"/>
        <v>1</v>
      </c>
      <c r="V100" s="9">
        <f t="shared" si="18"/>
        <v>3</v>
      </c>
      <c r="W100" s="9">
        <f t="shared" si="19"/>
        <v>0</v>
      </c>
      <c r="X100" s="5"/>
      <c r="Y100" s="5"/>
    </row>
    <row r="101" spans="1:25" x14ac:dyDescent="0.25">
      <c r="A101" s="5">
        <v>104</v>
      </c>
      <c r="B101" s="43" t="s">
        <v>330</v>
      </c>
      <c r="C101" s="6">
        <v>46162</v>
      </c>
      <c r="D101" s="5" t="s">
        <v>258</v>
      </c>
      <c r="E101" s="5" t="s">
        <v>259</v>
      </c>
      <c r="F101" s="5" t="s">
        <v>341</v>
      </c>
      <c r="G101" s="5" t="s">
        <v>342</v>
      </c>
      <c r="H101" s="13">
        <v>1</v>
      </c>
      <c r="I101" s="8">
        <v>2150000</v>
      </c>
      <c r="J101" s="8">
        <v>2150000</v>
      </c>
      <c r="K101" s="8">
        <v>2150000</v>
      </c>
      <c r="L101" s="5" t="s">
        <v>30</v>
      </c>
      <c r="M101" s="5" t="s">
        <v>340</v>
      </c>
      <c r="N101" s="5" t="s">
        <v>259</v>
      </c>
      <c r="O101" s="6">
        <v>46163</v>
      </c>
      <c r="P101" s="6">
        <v>46165</v>
      </c>
      <c r="Q101" s="5" t="s">
        <v>334</v>
      </c>
      <c r="R101" s="6">
        <v>46163</v>
      </c>
      <c r="S101" s="6">
        <v>46162</v>
      </c>
      <c r="T101" s="9">
        <f t="shared" si="16"/>
        <v>1</v>
      </c>
      <c r="U101" s="9">
        <f t="shared" si="17"/>
        <v>1</v>
      </c>
      <c r="V101" s="9">
        <f t="shared" si="18"/>
        <v>3</v>
      </c>
      <c r="W101" s="9">
        <f t="shared" si="19"/>
        <v>0</v>
      </c>
      <c r="X101" s="5"/>
      <c r="Y101" s="5"/>
    </row>
    <row r="102" spans="1:25" x14ac:dyDescent="0.25">
      <c r="A102" s="5">
        <v>105</v>
      </c>
      <c r="B102" s="43" t="s">
        <v>330</v>
      </c>
      <c r="C102" s="6">
        <v>46162</v>
      </c>
      <c r="D102" s="5" t="s">
        <v>258</v>
      </c>
      <c r="E102" s="5" t="s">
        <v>259</v>
      </c>
      <c r="F102" s="5" t="s">
        <v>343</v>
      </c>
      <c r="G102" s="10" t="s">
        <v>344</v>
      </c>
      <c r="H102" s="13">
        <v>1</v>
      </c>
      <c r="I102" s="8">
        <v>2236000</v>
      </c>
      <c r="J102" s="8">
        <v>2236000</v>
      </c>
      <c r="K102" s="32">
        <v>2191930</v>
      </c>
      <c r="L102" s="5" t="s">
        <v>59</v>
      </c>
      <c r="M102" s="5" t="s">
        <v>345</v>
      </c>
      <c r="N102" s="5" t="s">
        <v>259</v>
      </c>
      <c r="O102" s="6">
        <v>46163</v>
      </c>
      <c r="P102" s="6">
        <v>46167</v>
      </c>
      <c r="Q102" s="5" t="s">
        <v>334</v>
      </c>
      <c r="R102" s="6">
        <v>46163</v>
      </c>
      <c r="S102" s="6">
        <v>46162</v>
      </c>
      <c r="T102" s="9">
        <f t="shared" si="16"/>
        <v>1</v>
      </c>
      <c r="U102" s="9">
        <f t="shared" si="17"/>
        <v>1</v>
      </c>
      <c r="V102" s="9">
        <f t="shared" si="18"/>
        <v>5</v>
      </c>
      <c r="W102" s="9">
        <f t="shared" si="19"/>
        <v>0</v>
      </c>
      <c r="X102" s="5"/>
      <c r="Y102" s="5"/>
    </row>
    <row r="103" spans="1:25" x14ac:dyDescent="0.25">
      <c r="A103" s="5">
        <v>106</v>
      </c>
      <c r="B103" s="43" t="s">
        <v>330</v>
      </c>
      <c r="C103" s="6">
        <v>46162</v>
      </c>
      <c r="D103" s="5" t="s">
        <v>258</v>
      </c>
      <c r="E103" s="5" t="s">
        <v>259</v>
      </c>
      <c r="F103" s="5" t="s">
        <v>346</v>
      </c>
      <c r="G103" s="5" t="s">
        <v>347</v>
      </c>
      <c r="H103" s="13">
        <v>1</v>
      </c>
      <c r="I103" s="8">
        <v>60900</v>
      </c>
      <c r="J103" s="8">
        <v>60900</v>
      </c>
      <c r="K103" s="32">
        <v>59046</v>
      </c>
      <c r="L103" s="5" t="s">
        <v>59</v>
      </c>
      <c r="M103" s="5" t="s">
        <v>348</v>
      </c>
      <c r="N103" s="5" t="s">
        <v>259</v>
      </c>
      <c r="O103" s="6">
        <v>46163</v>
      </c>
      <c r="P103" s="6">
        <v>46167</v>
      </c>
      <c r="Q103" s="5" t="s">
        <v>334</v>
      </c>
      <c r="R103" s="6">
        <v>46163</v>
      </c>
      <c r="S103" s="6">
        <v>46162</v>
      </c>
      <c r="T103" s="9">
        <f t="shared" si="16"/>
        <v>1</v>
      </c>
      <c r="U103" s="9">
        <f t="shared" si="17"/>
        <v>1</v>
      </c>
      <c r="V103" s="9">
        <f t="shared" si="18"/>
        <v>5</v>
      </c>
      <c r="W103" s="9">
        <f t="shared" si="19"/>
        <v>0</v>
      </c>
      <c r="X103" s="5"/>
      <c r="Y103" s="5"/>
    </row>
    <row r="104" spans="1:25" ht="18" customHeight="1" x14ac:dyDescent="0.25">
      <c r="A104" s="5">
        <v>107</v>
      </c>
      <c r="B104" s="43" t="s">
        <v>349</v>
      </c>
      <c r="C104" s="6">
        <v>46162</v>
      </c>
      <c r="D104" s="10" t="s">
        <v>34</v>
      </c>
      <c r="E104" s="10" t="s">
        <v>35</v>
      </c>
      <c r="F104" s="14" t="s">
        <v>350</v>
      </c>
      <c r="G104" s="5" t="s">
        <v>351</v>
      </c>
      <c r="H104" s="13">
        <v>3</v>
      </c>
      <c r="I104" s="8">
        <v>25133</v>
      </c>
      <c r="J104" s="8">
        <v>75399</v>
      </c>
      <c r="K104" s="32">
        <v>75397</v>
      </c>
      <c r="L104" s="5" t="s">
        <v>59</v>
      </c>
      <c r="M104" s="5" t="s">
        <v>352</v>
      </c>
      <c r="N104" s="5" t="s">
        <v>35</v>
      </c>
      <c r="O104" s="6">
        <v>46162</v>
      </c>
      <c r="P104" s="6">
        <v>46163</v>
      </c>
      <c r="Q104" s="5" t="s">
        <v>353</v>
      </c>
      <c r="R104" s="6">
        <v>46162</v>
      </c>
      <c r="S104" s="6">
        <v>46162</v>
      </c>
      <c r="T104" s="9">
        <f t="shared" si="16"/>
        <v>0</v>
      </c>
      <c r="U104" s="9">
        <f t="shared" si="17"/>
        <v>0</v>
      </c>
      <c r="V104" s="9">
        <f t="shared" si="18"/>
        <v>1</v>
      </c>
      <c r="W104" s="9">
        <f t="shared" si="19"/>
        <v>0</v>
      </c>
      <c r="X104" s="5"/>
      <c r="Y104" s="5"/>
    </row>
    <row r="105" spans="1:25" x14ac:dyDescent="0.25">
      <c r="A105" s="5">
        <v>108</v>
      </c>
      <c r="B105" s="43" t="s">
        <v>354</v>
      </c>
      <c r="C105" s="6">
        <v>46162</v>
      </c>
      <c r="D105" s="5" t="s">
        <v>355</v>
      </c>
      <c r="E105" s="5" t="s">
        <v>27</v>
      </c>
      <c r="F105" s="5" t="s">
        <v>356</v>
      </c>
      <c r="G105" s="5" t="s">
        <v>357</v>
      </c>
      <c r="H105" s="13">
        <v>40</v>
      </c>
      <c r="I105" s="8">
        <v>35000</v>
      </c>
      <c r="J105" s="8">
        <v>1400000</v>
      </c>
      <c r="K105" s="8">
        <v>1400000</v>
      </c>
      <c r="L105" s="5" t="s">
        <v>30</v>
      </c>
      <c r="M105" s="5" t="s">
        <v>358</v>
      </c>
      <c r="N105" s="5" t="s">
        <v>27</v>
      </c>
      <c r="O105" s="6">
        <v>46162</v>
      </c>
      <c r="P105" s="6">
        <v>46164</v>
      </c>
      <c r="Q105" s="5" t="s">
        <v>359</v>
      </c>
      <c r="R105" s="6">
        <v>46162</v>
      </c>
      <c r="S105" s="6">
        <v>46162</v>
      </c>
      <c r="T105" s="9">
        <f t="shared" si="16"/>
        <v>0</v>
      </c>
      <c r="U105" s="9">
        <f t="shared" si="17"/>
        <v>0</v>
      </c>
      <c r="V105" s="9">
        <f t="shared" si="18"/>
        <v>2</v>
      </c>
      <c r="W105" s="9">
        <f t="shared" si="19"/>
        <v>0</v>
      </c>
      <c r="X105" s="5"/>
      <c r="Y105" s="5"/>
    </row>
    <row r="106" spans="1:25" x14ac:dyDescent="0.25">
      <c r="A106" s="5">
        <v>109</v>
      </c>
      <c r="B106" s="43" t="s">
        <v>360</v>
      </c>
      <c r="C106" s="6">
        <v>46162</v>
      </c>
      <c r="D106" s="10" t="s">
        <v>34</v>
      </c>
      <c r="E106" s="10" t="s">
        <v>35</v>
      </c>
      <c r="F106" s="5" t="s">
        <v>361</v>
      </c>
      <c r="G106" s="5" t="s">
        <v>362</v>
      </c>
      <c r="H106" s="13">
        <v>6</v>
      </c>
      <c r="I106" s="8">
        <v>2600</v>
      </c>
      <c r="J106" s="8">
        <v>15600</v>
      </c>
      <c r="K106" s="32">
        <v>13708</v>
      </c>
      <c r="L106" s="5" t="s">
        <v>59</v>
      </c>
      <c r="M106" s="5" t="s">
        <v>308</v>
      </c>
      <c r="N106" s="5" t="s">
        <v>35</v>
      </c>
      <c r="O106" s="6">
        <v>46163</v>
      </c>
      <c r="P106" s="6">
        <v>46166</v>
      </c>
      <c r="Q106" s="5" t="s">
        <v>363</v>
      </c>
      <c r="R106" s="6">
        <v>46163</v>
      </c>
      <c r="S106" s="6">
        <v>46162</v>
      </c>
      <c r="T106" s="9">
        <f t="shared" si="16"/>
        <v>1</v>
      </c>
      <c r="U106" s="9">
        <f t="shared" si="17"/>
        <v>1</v>
      </c>
      <c r="V106" s="9">
        <f t="shared" si="18"/>
        <v>4</v>
      </c>
      <c r="W106" s="9">
        <f t="shared" si="19"/>
        <v>0</v>
      </c>
      <c r="X106" s="5"/>
      <c r="Y106" s="5"/>
    </row>
    <row r="107" spans="1:25" x14ac:dyDescent="0.25">
      <c r="A107" s="5">
        <v>110</v>
      </c>
      <c r="B107" s="43" t="s">
        <v>364</v>
      </c>
      <c r="C107" s="6">
        <v>46163</v>
      </c>
      <c r="D107" s="10" t="s">
        <v>34</v>
      </c>
      <c r="E107" s="10" t="s">
        <v>35</v>
      </c>
      <c r="F107" s="5" t="s">
        <v>365</v>
      </c>
      <c r="G107" s="5" t="s">
        <v>366</v>
      </c>
      <c r="H107" s="13">
        <v>4</v>
      </c>
      <c r="I107" s="8">
        <v>2500</v>
      </c>
      <c r="J107" s="11">
        <v>10000</v>
      </c>
      <c r="K107" s="11">
        <v>10000</v>
      </c>
      <c r="L107" s="5" t="s">
        <v>30</v>
      </c>
      <c r="M107" s="5" t="s">
        <v>39</v>
      </c>
      <c r="N107" s="5" t="s">
        <v>40</v>
      </c>
      <c r="O107" s="6">
        <v>46163</v>
      </c>
      <c r="P107" s="6">
        <v>46163</v>
      </c>
      <c r="Q107" s="10" t="s">
        <v>41</v>
      </c>
      <c r="R107" s="6">
        <v>46163</v>
      </c>
      <c r="S107" s="6">
        <v>46163</v>
      </c>
      <c r="T107" s="9">
        <f t="shared" si="16"/>
        <v>0</v>
      </c>
      <c r="U107" s="9">
        <f t="shared" si="17"/>
        <v>0</v>
      </c>
      <c r="V107" s="9">
        <f t="shared" si="18"/>
        <v>0</v>
      </c>
      <c r="W107" s="9">
        <f t="shared" si="19"/>
        <v>0</v>
      </c>
      <c r="X107" s="5"/>
      <c r="Y107" s="5"/>
    </row>
    <row r="108" spans="1:25" x14ac:dyDescent="0.25">
      <c r="A108" s="5">
        <v>111</v>
      </c>
      <c r="B108" s="43" t="s">
        <v>364</v>
      </c>
      <c r="C108" s="6">
        <v>46163</v>
      </c>
      <c r="D108" s="10" t="s">
        <v>34</v>
      </c>
      <c r="E108" s="10" t="s">
        <v>35</v>
      </c>
      <c r="F108" s="5" t="s">
        <v>367</v>
      </c>
      <c r="G108" s="5" t="s">
        <v>368</v>
      </c>
      <c r="H108" s="12">
        <v>1</v>
      </c>
      <c r="I108" s="11">
        <v>12500</v>
      </c>
      <c r="J108" s="11">
        <v>12500</v>
      </c>
      <c r="K108" s="11">
        <v>12500</v>
      </c>
      <c r="L108" s="5" t="s">
        <v>30</v>
      </c>
      <c r="M108" s="5" t="s">
        <v>39</v>
      </c>
      <c r="N108" s="5" t="s">
        <v>40</v>
      </c>
      <c r="O108" s="6">
        <v>46163</v>
      </c>
      <c r="P108" s="6">
        <v>46163</v>
      </c>
      <c r="Q108" s="10" t="s">
        <v>41</v>
      </c>
      <c r="R108" s="6">
        <v>46163</v>
      </c>
      <c r="S108" s="6">
        <v>46163</v>
      </c>
      <c r="T108" s="9">
        <f t="shared" si="16"/>
        <v>0</v>
      </c>
      <c r="U108" s="9">
        <f t="shared" si="17"/>
        <v>0</v>
      </c>
      <c r="V108" s="9">
        <f t="shared" si="18"/>
        <v>0</v>
      </c>
      <c r="W108" s="9">
        <f t="shared" si="19"/>
        <v>0</v>
      </c>
      <c r="X108" s="5"/>
      <c r="Y108" s="5"/>
    </row>
    <row r="109" spans="1:25" x14ac:dyDescent="0.25">
      <c r="A109" s="5">
        <v>112</v>
      </c>
      <c r="B109" s="43" t="s">
        <v>364</v>
      </c>
      <c r="C109" s="6">
        <v>46163</v>
      </c>
      <c r="D109" s="10" t="s">
        <v>34</v>
      </c>
      <c r="E109" s="10" t="s">
        <v>35</v>
      </c>
      <c r="F109" s="5" t="s">
        <v>184</v>
      </c>
      <c r="G109" s="5" t="s">
        <v>368</v>
      </c>
      <c r="H109" s="12">
        <v>1</v>
      </c>
      <c r="I109" s="11">
        <v>5000</v>
      </c>
      <c r="J109" s="11">
        <v>5000</v>
      </c>
      <c r="K109" s="11">
        <v>5000</v>
      </c>
      <c r="L109" s="5" t="s">
        <v>30</v>
      </c>
      <c r="M109" s="5" t="s">
        <v>39</v>
      </c>
      <c r="N109" s="5" t="s">
        <v>40</v>
      </c>
      <c r="O109" s="6">
        <v>46163</v>
      </c>
      <c r="P109" s="6">
        <v>46163</v>
      </c>
      <c r="Q109" s="10" t="s">
        <v>41</v>
      </c>
      <c r="R109" s="6">
        <v>46163</v>
      </c>
      <c r="S109" s="6">
        <v>46163</v>
      </c>
      <c r="T109" s="9">
        <f t="shared" si="16"/>
        <v>0</v>
      </c>
      <c r="U109" s="9">
        <f t="shared" si="17"/>
        <v>0</v>
      </c>
      <c r="V109" s="9">
        <f t="shared" si="18"/>
        <v>0</v>
      </c>
      <c r="W109" s="9">
        <f t="shared" si="19"/>
        <v>0</v>
      </c>
      <c r="X109" s="5"/>
      <c r="Y109" s="5"/>
    </row>
    <row r="110" spans="1:25" x14ac:dyDescent="0.25">
      <c r="A110" s="5">
        <v>113</v>
      </c>
      <c r="B110" s="43" t="s">
        <v>364</v>
      </c>
      <c r="C110" s="6">
        <v>46163</v>
      </c>
      <c r="D110" s="10" t="s">
        <v>34</v>
      </c>
      <c r="E110" s="10" t="s">
        <v>35</v>
      </c>
      <c r="F110" s="5" t="s">
        <v>369</v>
      </c>
      <c r="G110" s="5" t="s">
        <v>366</v>
      </c>
      <c r="H110" s="12">
        <v>1</v>
      </c>
      <c r="I110" s="11">
        <v>30000</v>
      </c>
      <c r="J110" s="11">
        <v>30000</v>
      </c>
      <c r="K110" s="11">
        <v>30000</v>
      </c>
      <c r="L110" s="5" t="s">
        <v>30</v>
      </c>
      <c r="M110" s="5" t="s">
        <v>39</v>
      </c>
      <c r="N110" s="5" t="s">
        <v>40</v>
      </c>
      <c r="O110" s="6">
        <v>46163</v>
      </c>
      <c r="P110" s="6">
        <v>46163</v>
      </c>
      <c r="Q110" s="10" t="s">
        <v>41</v>
      </c>
      <c r="R110" s="6">
        <v>46163</v>
      </c>
      <c r="S110" s="6">
        <v>46163</v>
      </c>
      <c r="T110" s="9">
        <f t="shared" si="16"/>
        <v>0</v>
      </c>
      <c r="U110" s="9">
        <f t="shared" si="17"/>
        <v>0</v>
      </c>
      <c r="V110" s="9">
        <f t="shared" si="18"/>
        <v>0</v>
      </c>
      <c r="W110" s="9">
        <f t="shared" si="19"/>
        <v>0</v>
      </c>
      <c r="X110" s="5"/>
      <c r="Y110" s="5"/>
    </row>
    <row r="111" spans="1:25" x14ac:dyDescent="0.25">
      <c r="A111" s="5">
        <v>114</v>
      </c>
      <c r="B111" s="43" t="s">
        <v>364</v>
      </c>
      <c r="C111" s="6">
        <v>46163</v>
      </c>
      <c r="D111" s="10" t="s">
        <v>34</v>
      </c>
      <c r="E111" s="10" t="s">
        <v>35</v>
      </c>
      <c r="F111" s="5" t="s">
        <v>370</v>
      </c>
      <c r="G111" s="5" t="s">
        <v>366</v>
      </c>
      <c r="H111" s="12">
        <v>1</v>
      </c>
      <c r="I111" s="11">
        <v>115000</v>
      </c>
      <c r="J111" s="11">
        <v>115000</v>
      </c>
      <c r="K111" s="11">
        <v>115000</v>
      </c>
      <c r="L111" s="5" t="s">
        <v>30</v>
      </c>
      <c r="M111" s="5" t="s">
        <v>39</v>
      </c>
      <c r="N111" s="5" t="s">
        <v>40</v>
      </c>
      <c r="O111" s="6">
        <v>46163</v>
      </c>
      <c r="P111" s="6">
        <v>46163</v>
      </c>
      <c r="Q111" s="10" t="s">
        <v>41</v>
      </c>
      <c r="R111" s="6">
        <v>46163</v>
      </c>
      <c r="S111" s="6">
        <v>46163</v>
      </c>
      <c r="T111" s="9">
        <f t="shared" si="16"/>
        <v>0</v>
      </c>
      <c r="U111" s="9">
        <f t="shared" si="17"/>
        <v>0</v>
      </c>
      <c r="V111" s="9">
        <f t="shared" si="18"/>
        <v>0</v>
      </c>
      <c r="W111" s="9">
        <f t="shared" si="19"/>
        <v>0</v>
      </c>
      <c r="X111" s="5"/>
      <c r="Y111" s="5"/>
    </row>
    <row r="112" spans="1:25" x14ac:dyDescent="0.25">
      <c r="A112" s="5">
        <v>115</v>
      </c>
      <c r="B112" s="43" t="s">
        <v>364</v>
      </c>
      <c r="C112" s="6">
        <v>46163</v>
      </c>
      <c r="D112" s="10" t="s">
        <v>34</v>
      </c>
      <c r="E112" s="10" t="s">
        <v>35</v>
      </c>
      <c r="F112" s="5" t="s">
        <v>365</v>
      </c>
      <c r="G112" s="5" t="s">
        <v>366</v>
      </c>
      <c r="H112" s="13">
        <v>4</v>
      </c>
      <c r="I112" s="8">
        <v>2500</v>
      </c>
      <c r="J112" s="8">
        <v>10000</v>
      </c>
      <c r="K112" s="8">
        <v>10000</v>
      </c>
      <c r="L112" s="5" t="s">
        <v>30</v>
      </c>
      <c r="M112" s="5" t="s">
        <v>39</v>
      </c>
      <c r="N112" s="5" t="s">
        <v>40</v>
      </c>
      <c r="O112" s="6">
        <v>46163</v>
      </c>
      <c r="P112" s="6">
        <v>46163</v>
      </c>
      <c r="Q112" s="10" t="s">
        <v>41</v>
      </c>
      <c r="R112" s="6">
        <v>46163</v>
      </c>
      <c r="S112" s="6">
        <v>46163</v>
      </c>
      <c r="T112" s="9">
        <f t="shared" si="16"/>
        <v>0</v>
      </c>
      <c r="U112" s="9">
        <f t="shared" si="17"/>
        <v>0</v>
      </c>
      <c r="V112" s="9">
        <f t="shared" si="18"/>
        <v>0</v>
      </c>
      <c r="W112" s="9">
        <f t="shared" si="19"/>
        <v>0</v>
      </c>
      <c r="X112" s="5"/>
      <c r="Y112" s="5"/>
    </row>
    <row r="113" spans="1:25" x14ac:dyDescent="0.25">
      <c r="A113" s="5">
        <v>116</v>
      </c>
      <c r="B113" s="43" t="s">
        <v>364</v>
      </c>
      <c r="C113" s="6">
        <v>46163</v>
      </c>
      <c r="D113" s="10" t="s">
        <v>34</v>
      </c>
      <c r="E113" s="10" t="s">
        <v>35</v>
      </c>
      <c r="F113" s="5" t="s">
        <v>367</v>
      </c>
      <c r="G113" s="5" t="s">
        <v>368</v>
      </c>
      <c r="H113" s="13">
        <v>1</v>
      </c>
      <c r="I113" s="8">
        <v>12500</v>
      </c>
      <c r="J113" s="8">
        <v>12500</v>
      </c>
      <c r="K113" s="8">
        <v>12500</v>
      </c>
      <c r="L113" s="5" t="s">
        <v>30</v>
      </c>
      <c r="M113" s="5" t="s">
        <v>39</v>
      </c>
      <c r="N113" s="5" t="s">
        <v>40</v>
      </c>
      <c r="O113" s="6">
        <v>46163</v>
      </c>
      <c r="P113" s="6">
        <v>46163</v>
      </c>
      <c r="Q113" s="10" t="s">
        <v>41</v>
      </c>
      <c r="R113" s="6">
        <v>46163</v>
      </c>
      <c r="S113" s="6">
        <v>46163</v>
      </c>
      <c r="T113" s="9">
        <f t="shared" si="16"/>
        <v>0</v>
      </c>
      <c r="U113" s="9">
        <f t="shared" si="17"/>
        <v>0</v>
      </c>
      <c r="V113" s="9">
        <f t="shared" si="18"/>
        <v>0</v>
      </c>
      <c r="W113" s="9">
        <f t="shared" si="19"/>
        <v>0</v>
      </c>
      <c r="X113" s="5"/>
      <c r="Y113" s="5"/>
    </row>
    <row r="114" spans="1:25" x14ac:dyDescent="0.25">
      <c r="A114" s="5">
        <v>117</v>
      </c>
      <c r="B114" s="43" t="s">
        <v>364</v>
      </c>
      <c r="C114" s="6">
        <v>46163</v>
      </c>
      <c r="D114" s="10" t="s">
        <v>34</v>
      </c>
      <c r="E114" s="10" t="s">
        <v>35</v>
      </c>
      <c r="F114" s="5" t="s">
        <v>184</v>
      </c>
      <c r="G114" s="5" t="s">
        <v>368</v>
      </c>
      <c r="H114" s="13">
        <v>1</v>
      </c>
      <c r="I114" s="8">
        <v>5000</v>
      </c>
      <c r="J114" s="8">
        <v>5000</v>
      </c>
      <c r="K114" s="8">
        <v>5000</v>
      </c>
      <c r="L114" s="5" t="s">
        <v>30</v>
      </c>
      <c r="M114" s="5" t="s">
        <v>39</v>
      </c>
      <c r="N114" s="5" t="s">
        <v>40</v>
      </c>
      <c r="O114" s="6">
        <v>46163</v>
      </c>
      <c r="P114" s="6">
        <v>46163</v>
      </c>
      <c r="Q114" s="10" t="s">
        <v>41</v>
      </c>
      <c r="R114" s="6">
        <v>46163</v>
      </c>
      <c r="S114" s="6">
        <v>46163</v>
      </c>
      <c r="T114" s="9">
        <f t="shared" si="16"/>
        <v>0</v>
      </c>
      <c r="U114" s="9">
        <f t="shared" si="17"/>
        <v>0</v>
      </c>
      <c r="V114" s="9">
        <f t="shared" si="18"/>
        <v>0</v>
      </c>
      <c r="W114" s="9">
        <f t="shared" si="19"/>
        <v>0</v>
      </c>
      <c r="X114" s="5"/>
      <c r="Y114" s="5"/>
    </row>
    <row r="115" spans="1:25" x14ac:dyDescent="0.25">
      <c r="A115" s="5">
        <v>118</v>
      </c>
      <c r="B115" s="43" t="s">
        <v>364</v>
      </c>
      <c r="C115" s="6">
        <v>46163</v>
      </c>
      <c r="D115" s="10" t="s">
        <v>34</v>
      </c>
      <c r="E115" s="10" t="s">
        <v>35</v>
      </c>
      <c r="F115" s="5" t="s">
        <v>369</v>
      </c>
      <c r="G115" s="5" t="s">
        <v>366</v>
      </c>
      <c r="H115" s="13">
        <v>1</v>
      </c>
      <c r="I115" s="8">
        <v>30000</v>
      </c>
      <c r="J115" s="8">
        <v>30000</v>
      </c>
      <c r="K115" s="8">
        <v>30000</v>
      </c>
      <c r="L115" s="5" t="s">
        <v>30</v>
      </c>
      <c r="M115" s="5" t="s">
        <v>39</v>
      </c>
      <c r="N115" s="5" t="s">
        <v>40</v>
      </c>
      <c r="O115" s="6">
        <v>46163</v>
      </c>
      <c r="P115" s="6">
        <v>46163</v>
      </c>
      <c r="Q115" s="10" t="s">
        <v>41</v>
      </c>
      <c r="R115" s="6">
        <v>46163</v>
      </c>
      <c r="S115" s="6">
        <v>46163</v>
      </c>
      <c r="T115" s="9">
        <f t="shared" si="16"/>
        <v>0</v>
      </c>
      <c r="U115" s="9">
        <f t="shared" si="17"/>
        <v>0</v>
      </c>
      <c r="V115" s="9">
        <f t="shared" si="18"/>
        <v>0</v>
      </c>
      <c r="W115" s="9">
        <f t="shared" si="19"/>
        <v>0</v>
      </c>
      <c r="X115" s="5"/>
      <c r="Y115" s="5"/>
    </row>
    <row r="116" spans="1:25" x14ac:dyDescent="0.25">
      <c r="A116" s="5">
        <v>119</v>
      </c>
      <c r="B116" s="43" t="s">
        <v>364</v>
      </c>
      <c r="C116" s="6">
        <v>46163</v>
      </c>
      <c r="D116" s="10" t="s">
        <v>34</v>
      </c>
      <c r="E116" s="10" t="s">
        <v>35</v>
      </c>
      <c r="F116" s="5" t="s">
        <v>370</v>
      </c>
      <c r="G116" s="5" t="s">
        <v>366</v>
      </c>
      <c r="H116" s="13">
        <v>1</v>
      </c>
      <c r="I116" s="8">
        <v>115000</v>
      </c>
      <c r="J116" s="8">
        <v>115000</v>
      </c>
      <c r="K116" s="8">
        <v>115000</v>
      </c>
      <c r="L116" s="5" t="s">
        <v>30</v>
      </c>
      <c r="M116" s="5" t="s">
        <v>39</v>
      </c>
      <c r="N116" s="5" t="s">
        <v>40</v>
      </c>
      <c r="O116" s="6">
        <v>46163</v>
      </c>
      <c r="P116" s="6">
        <v>46163</v>
      </c>
      <c r="Q116" s="10" t="s">
        <v>41</v>
      </c>
      <c r="R116" s="6">
        <v>46163</v>
      </c>
      <c r="S116" s="6">
        <v>46163</v>
      </c>
      <c r="T116" s="9">
        <f t="shared" si="16"/>
        <v>0</v>
      </c>
      <c r="U116" s="9">
        <f t="shared" si="17"/>
        <v>0</v>
      </c>
      <c r="V116" s="9">
        <f t="shared" si="18"/>
        <v>0</v>
      </c>
      <c r="W116" s="9">
        <f t="shared" si="19"/>
        <v>0</v>
      </c>
      <c r="X116" s="5"/>
      <c r="Y116" s="5"/>
    </row>
    <row r="117" spans="1:25" x14ac:dyDescent="0.25">
      <c r="A117" s="5">
        <v>120</v>
      </c>
      <c r="B117" s="43" t="s">
        <v>371</v>
      </c>
      <c r="C117" s="6">
        <v>46163</v>
      </c>
      <c r="D117" s="10" t="s">
        <v>34</v>
      </c>
      <c r="E117" s="10" t="s">
        <v>35</v>
      </c>
      <c r="F117" s="5" t="s">
        <v>372</v>
      </c>
      <c r="G117" s="5"/>
      <c r="H117" s="13">
        <v>2</v>
      </c>
      <c r="I117" s="8">
        <v>17450</v>
      </c>
      <c r="J117" s="8">
        <v>34900</v>
      </c>
      <c r="K117" s="32">
        <v>33024</v>
      </c>
      <c r="L117" s="5" t="s">
        <v>59</v>
      </c>
      <c r="M117" s="5" t="s">
        <v>373</v>
      </c>
      <c r="N117" s="5" t="s">
        <v>35</v>
      </c>
      <c r="O117" s="6">
        <v>46163</v>
      </c>
      <c r="P117" s="6">
        <v>46167</v>
      </c>
      <c r="Q117" s="5" t="s">
        <v>86</v>
      </c>
      <c r="R117" s="6">
        <v>46163</v>
      </c>
      <c r="S117" s="6">
        <v>46163</v>
      </c>
      <c r="T117" s="9">
        <f t="shared" si="16"/>
        <v>0</v>
      </c>
      <c r="U117" s="9">
        <f t="shared" si="17"/>
        <v>0</v>
      </c>
      <c r="V117" s="9">
        <f t="shared" si="18"/>
        <v>4</v>
      </c>
      <c r="W117" s="9">
        <f t="shared" si="19"/>
        <v>0</v>
      </c>
      <c r="X117" s="5"/>
      <c r="Y117" s="5"/>
    </row>
    <row r="118" spans="1:25" x14ac:dyDescent="0.25">
      <c r="A118" s="5">
        <v>121</v>
      </c>
      <c r="B118" s="43" t="s">
        <v>374</v>
      </c>
      <c r="C118" s="6">
        <v>46164</v>
      </c>
      <c r="D118" s="10" t="s">
        <v>34</v>
      </c>
      <c r="E118" s="10" t="s">
        <v>35</v>
      </c>
      <c r="F118" s="5" t="s">
        <v>375</v>
      </c>
      <c r="G118" s="5"/>
      <c r="H118" s="13">
        <v>1</v>
      </c>
      <c r="I118" s="8">
        <v>12150</v>
      </c>
      <c r="J118" s="8">
        <v>12150</v>
      </c>
      <c r="K118" s="32">
        <v>11200</v>
      </c>
      <c r="L118" s="5" t="s">
        <v>59</v>
      </c>
      <c r="M118" s="5" t="s">
        <v>376</v>
      </c>
      <c r="N118" s="5" t="s">
        <v>35</v>
      </c>
      <c r="O118" s="6">
        <v>46164</v>
      </c>
      <c r="P118" s="6">
        <v>46168</v>
      </c>
      <c r="Q118" s="5" t="s">
        <v>377</v>
      </c>
      <c r="R118" s="6">
        <v>46164</v>
      </c>
      <c r="S118" s="6">
        <v>46164</v>
      </c>
      <c r="T118" s="9">
        <f t="shared" si="16"/>
        <v>0</v>
      </c>
      <c r="U118" s="9">
        <f t="shared" si="17"/>
        <v>0</v>
      </c>
      <c r="V118" s="9">
        <f t="shared" si="18"/>
        <v>4</v>
      </c>
      <c r="W118" s="9">
        <f t="shared" si="19"/>
        <v>0</v>
      </c>
      <c r="X118" s="5"/>
      <c r="Y118" s="5"/>
    </row>
    <row r="119" spans="1:25" x14ac:dyDescent="0.25">
      <c r="A119" s="5">
        <v>122</v>
      </c>
      <c r="B119" s="43" t="s">
        <v>374</v>
      </c>
      <c r="C119" s="6">
        <v>46164</v>
      </c>
      <c r="D119" s="10" t="s">
        <v>34</v>
      </c>
      <c r="E119" s="10" t="s">
        <v>35</v>
      </c>
      <c r="F119" s="5" t="s">
        <v>378</v>
      </c>
      <c r="G119" s="5" t="s">
        <v>379</v>
      </c>
      <c r="H119" s="13">
        <v>50</v>
      </c>
      <c r="I119" s="5">
        <v>243</v>
      </c>
      <c r="J119" s="8">
        <v>12150</v>
      </c>
      <c r="K119" s="32">
        <v>11200</v>
      </c>
      <c r="L119" s="5" t="s">
        <v>59</v>
      </c>
      <c r="M119" s="5" t="s">
        <v>380</v>
      </c>
      <c r="N119" s="5" t="s">
        <v>35</v>
      </c>
      <c r="O119" s="6">
        <v>46164</v>
      </c>
      <c r="P119" s="6">
        <v>46168</v>
      </c>
      <c r="Q119" s="5" t="s">
        <v>377</v>
      </c>
      <c r="R119" s="6">
        <v>46164</v>
      </c>
      <c r="S119" s="6">
        <v>46164</v>
      </c>
      <c r="T119" s="9">
        <f t="shared" si="16"/>
        <v>0</v>
      </c>
      <c r="U119" s="9">
        <f t="shared" si="17"/>
        <v>0</v>
      </c>
      <c r="V119" s="9">
        <f t="shared" si="18"/>
        <v>4</v>
      </c>
      <c r="W119" s="9">
        <f t="shared" si="19"/>
        <v>0</v>
      </c>
      <c r="X119" s="5"/>
      <c r="Y119" s="5"/>
    </row>
    <row r="120" spans="1:25" x14ac:dyDescent="0.25">
      <c r="A120" s="5">
        <v>123</v>
      </c>
      <c r="B120" s="43" t="s">
        <v>381</v>
      </c>
      <c r="C120" s="6">
        <v>46165</v>
      </c>
      <c r="D120" s="5" t="s">
        <v>157</v>
      </c>
      <c r="E120" s="5" t="s">
        <v>158</v>
      </c>
      <c r="F120" s="5" t="s">
        <v>382</v>
      </c>
      <c r="G120" s="5" t="s">
        <v>197</v>
      </c>
      <c r="H120" s="13">
        <v>1</v>
      </c>
      <c r="I120" s="8">
        <v>21700</v>
      </c>
      <c r="J120" s="8">
        <v>21700</v>
      </c>
      <c r="K120" s="32">
        <v>19947</v>
      </c>
      <c r="L120" s="5" t="s">
        <v>59</v>
      </c>
      <c r="M120" s="5" t="s">
        <v>383</v>
      </c>
      <c r="N120" s="5" t="s">
        <v>158</v>
      </c>
      <c r="O120" s="6">
        <v>46165</v>
      </c>
      <c r="P120" s="6">
        <v>46167</v>
      </c>
      <c r="Q120" s="5" t="s">
        <v>384</v>
      </c>
      <c r="R120" s="6">
        <v>46165</v>
      </c>
      <c r="S120" s="6">
        <v>46165</v>
      </c>
      <c r="T120" s="9">
        <f t="shared" si="16"/>
        <v>0</v>
      </c>
      <c r="U120" s="9">
        <f t="shared" si="17"/>
        <v>0</v>
      </c>
      <c r="V120" s="9">
        <f t="shared" si="18"/>
        <v>2</v>
      </c>
      <c r="W120" s="9">
        <f t="shared" si="19"/>
        <v>0</v>
      </c>
      <c r="X120" s="5"/>
      <c r="Y120" s="5"/>
    </row>
    <row r="121" spans="1:25" x14ac:dyDescent="0.25">
      <c r="A121" s="5">
        <v>124</v>
      </c>
      <c r="B121" s="43" t="s">
        <v>385</v>
      </c>
      <c r="C121" s="6">
        <v>46165</v>
      </c>
      <c r="D121" s="5" t="s">
        <v>157</v>
      </c>
      <c r="E121" s="5" t="s">
        <v>158</v>
      </c>
      <c r="F121" s="5" t="s">
        <v>386</v>
      </c>
      <c r="G121" s="14" t="s">
        <v>387</v>
      </c>
      <c r="H121" s="12">
        <v>1</v>
      </c>
      <c r="I121" s="8">
        <v>37677</v>
      </c>
      <c r="J121" s="8">
        <v>37677</v>
      </c>
      <c r="K121" s="32">
        <v>36043</v>
      </c>
      <c r="L121" s="5" t="s">
        <v>59</v>
      </c>
      <c r="M121" s="5" t="s">
        <v>388</v>
      </c>
      <c r="N121" s="5" t="s">
        <v>158</v>
      </c>
      <c r="O121" s="6">
        <v>46165</v>
      </c>
      <c r="P121" s="6">
        <v>46167</v>
      </c>
      <c r="Q121" s="5" t="s">
        <v>389</v>
      </c>
      <c r="R121" s="6">
        <v>46165</v>
      </c>
      <c r="S121" s="6">
        <v>46165</v>
      </c>
      <c r="T121" s="9">
        <f t="shared" si="16"/>
        <v>0</v>
      </c>
      <c r="U121" s="9">
        <f t="shared" si="17"/>
        <v>0</v>
      </c>
      <c r="V121" s="9">
        <f t="shared" si="18"/>
        <v>2</v>
      </c>
      <c r="W121" s="9">
        <f t="shared" si="19"/>
        <v>0</v>
      </c>
      <c r="X121" s="5"/>
      <c r="Y121" s="5"/>
    </row>
    <row r="122" spans="1:25" x14ac:dyDescent="0.25">
      <c r="A122" s="5">
        <v>125</v>
      </c>
      <c r="B122" s="43" t="s">
        <v>390</v>
      </c>
      <c r="C122" s="6">
        <v>46165</v>
      </c>
      <c r="D122" s="10" t="s">
        <v>34</v>
      </c>
      <c r="E122" s="10" t="s">
        <v>35</v>
      </c>
      <c r="F122" s="14" t="s">
        <v>391</v>
      </c>
      <c r="G122" s="5" t="s">
        <v>269</v>
      </c>
      <c r="H122" s="13">
        <v>1</v>
      </c>
      <c r="I122" s="8">
        <v>60000</v>
      </c>
      <c r="J122" s="8">
        <v>60000</v>
      </c>
      <c r="K122" s="8">
        <v>60000</v>
      </c>
      <c r="L122" s="5" t="s">
        <v>30</v>
      </c>
      <c r="M122" s="5" t="s">
        <v>39</v>
      </c>
      <c r="N122" s="5" t="s">
        <v>40</v>
      </c>
      <c r="O122" s="6">
        <v>46165</v>
      </c>
      <c r="P122" s="6">
        <v>46165</v>
      </c>
      <c r="Q122" s="10" t="s">
        <v>41</v>
      </c>
      <c r="R122" s="6">
        <v>46165</v>
      </c>
      <c r="S122" s="6">
        <v>46165</v>
      </c>
      <c r="T122" s="9">
        <f t="shared" si="16"/>
        <v>0</v>
      </c>
      <c r="U122" s="9">
        <f t="shared" si="17"/>
        <v>0</v>
      </c>
      <c r="V122" s="9">
        <f t="shared" si="18"/>
        <v>0</v>
      </c>
      <c r="W122" s="9">
        <f t="shared" si="19"/>
        <v>0</v>
      </c>
      <c r="X122" s="5"/>
      <c r="Y122" s="5"/>
    </row>
    <row r="123" spans="1:25" x14ac:dyDescent="0.25">
      <c r="A123" s="5">
        <v>126</v>
      </c>
      <c r="B123" s="43" t="s">
        <v>390</v>
      </c>
      <c r="C123" s="6">
        <v>46165</v>
      </c>
      <c r="D123" s="10" t="s">
        <v>34</v>
      </c>
      <c r="E123" s="10" t="s">
        <v>35</v>
      </c>
      <c r="F123" s="5" t="s">
        <v>370</v>
      </c>
      <c r="G123" s="5" t="s">
        <v>269</v>
      </c>
      <c r="H123" s="13">
        <v>1</v>
      </c>
      <c r="I123" s="8">
        <v>115000</v>
      </c>
      <c r="J123" s="8">
        <v>115000</v>
      </c>
      <c r="K123" s="8">
        <v>115000</v>
      </c>
      <c r="L123" s="5" t="s">
        <v>30</v>
      </c>
      <c r="M123" s="5" t="s">
        <v>39</v>
      </c>
      <c r="N123" s="5" t="s">
        <v>40</v>
      </c>
      <c r="O123" s="38">
        <v>46165</v>
      </c>
      <c r="P123" s="6">
        <v>46165</v>
      </c>
      <c r="Q123" s="10" t="s">
        <v>41</v>
      </c>
      <c r="R123" s="38">
        <v>46165</v>
      </c>
      <c r="S123" s="38">
        <v>46165</v>
      </c>
      <c r="T123" s="9">
        <f t="shared" si="16"/>
        <v>0</v>
      </c>
      <c r="U123" s="9">
        <f t="shared" si="17"/>
        <v>0</v>
      </c>
      <c r="V123" s="9">
        <f t="shared" si="18"/>
        <v>0</v>
      </c>
      <c r="W123" s="9">
        <f t="shared" si="19"/>
        <v>0</v>
      </c>
      <c r="X123" s="5"/>
      <c r="Y123" s="5"/>
    </row>
    <row r="124" spans="1:25" x14ac:dyDescent="0.25">
      <c r="A124" s="5">
        <v>127</v>
      </c>
      <c r="B124" s="43" t="s">
        <v>392</v>
      </c>
      <c r="C124" s="6">
        <v>46165</v>
      </c>
      <c r="D124" s="10" t="s">
        <v>34</v>
      </c>
      <c r="E124" s="10" t="s">
        <v>35</v>
      </c>
      <c r="F124" s="5" t="s">
        <v>393</v>
      </c>
      <c r="G124" s="5" t="s">
        <v>394</v>
      </c>
      <c r="H124" s="13">
        <v>15</v>
      </c>
      <c r="I124" s="8">
        <v>11847</v>
      </c>
      <c r="J124" s="8">
        <v>177705</v>
      </c>
      <c r="K124" s="32">
        <v>176993</v>
      </c>
      <c r="L124" s="5" t="s">
        <v>59</v>
      </c>
      <c r="M124" s="5" t="s">
        <v>395</v>
      </c>
      <c r="N124" s="5" t="s">
        <v>35</v>
      </c>
      <c r="O124" s="6">
        <v>46165</v>
      </c>
      <c r="P124" s="6">
        <v>46167</v>
      </c>
      <c r="Q124" s="5" t="s">
        <v>396</v>
      </c>
      <c r="R124" s="6">
        <v>46165</v>
      </c>
      <c r="S124" s="6">
        <v>46165</v>
      </c>
      <c r="T124" s="9">
        <f t="shared" si="16"/>
        <v>0</v>
      </c>
      <c r="U124" s="9">
        <f t="shared" si="17"/>
        <v>0</v>
      </c>
      <c r="V124" s="9">
        <f t="shared" si="18"/>
        <v>2</v>
      </c>
      <c r="W124" s="9">
        <f t="shared" si="19"/>
        <v>0</v>
      </c>
      <c r="X124" s="5"/>
      <c r="Y124" s="5"/>
    </row>
    <row r="125" spans="1:25" x14ac:dyDescent="0.25">
      <c r="A125" s="5">
        <v>128</v>
      </c>
      <c r="B125" s="43" t="s">
        <v>397</v>
      </c>
      <c r="C125" s="6">
        <v>46165</v>
      </c>
      <c r="D125" s="5" t="s">
        <v>280</v>
      </c>
      <c r="E125" s="5" t="s">
        <v>281</v>
      </c>
      <c r="F125" s="5" t="s">
        <v>398</v>
      </c>
      <c r="G125" s="5" t="s">
        <v>399</v>
      </c>
      <c r="H125" s="13">
        <v>12</v>
      </c>
      <c r="I125" s="8">
        <v>3457</v>
      </c>
      <c r="J125" s="8">
        <v>41484</v>
      </c>
      <c r="K125" s="32">
        <v>39874</v>
      </c>
      <c r="L125" s="5" t="s">
        <v>59</v>
      </c>
      <c r="M125" s="5" t="s">
        <v>400</v>
      </c>
      <c r="N125" s="5" t="s">
        <v>281</v>
      </c>
      <c r="O125" s="6">
        <v>46165</v>
      </c>
      <c r="P125" s="6">
        <v>46168</v>
      </c>
      <c r="Q125" s="5" t="s">
        <v>401</v>
      </c>
      <c r="R125" s="6">
        <v>46165</v>
      </c>
      <c r="S125" s="6">
        <v>46165</v>
      </c>
      <c r="T125" s="9">
        <f t="shared" ref="T125:T137" si="20">O125-C125</f>
        <v>0</v>
      </c>
      <c r="U125" s="9">
        <f t="shared" ref="U125:U136" si="21">R125-C125</f>
        <v>0</v>
      </c>
      <c r="V125" s="9">
        <f t="shared" ref="V125:V136" si="22">P125-C125</f>
        <v>3</v>
      </c>
      <c r="W125" s="9">
        <f t="shared" ref="W125:W136" si="23">S125-C125</f>
        <v>0</v>
      </c>
      <c r="X125" s="5"/>
      <c r="Y125" s="5"/>
    </row>
    <row r="126" spans="1:25" x14ac:dyDescent="0.25">
      <c r="A126" s="5">
        <v>129</v>
      </c>
      <c r="B126" s="43" t="s">
        <v>402</v>
      </c>
      <c r="C126" s="6">
        <v>46165</v>
      </c>
      <c r="D126" s="10" t="s">
        <v>34</v>
      </c>
      <c r="E126" s="10" t="s">
        <v>35</v>
      </c>
      <c r="F126" s="5" t="s">
        <v>403</v>
      </c>
      <c r="G126" s="5" t="s">
        <v>404</v>
      </c>
      <c r="H126" s="13">
        <v>5</v>
      </c>
      <c r="I126" s="8">
        <v>115000</v>
      </c>
      <c r="J126" s="8">
        <v>575000</v>
      </c>
      <c r="K126" s="8">
        <v>575000</v>
      </c>
      <c r="L126" s="5" t="s">
        <v>30</v>
      </c>
      <c r="M126" s="5" t="s">
        <v>39</v>
      </c>
      <c r="N126" s="5" t="s">
        <v>40</v>
      </c>
      <c r="O126" s="6">
        <v>46167</v>
      </c>
      <c r="P126" s="6">
        <v>46168</v>
      </c>
      <c r="Q126" s="10" t="s">
        <v>41</v>
      </c>
      <c r="R126" s="6">
        <v>46167</v>
      </c>
      <c r="S126" s="6">
        <v>46167</v>
      </c>
      <c r="T126" s="9">
        <f t="shared" si="20"/>
        <v>2</v>
      </c>
      <c r="U126" s="9">
        <f t="shared" si="21"/>
        <v>2</v>
      </c>
      <c r="V126" s="9">
        <f t="shared" si="22"/>
        <v>3</v>
      </c>
      <c r="W126" s="9">
        <f t="shared" si="23"/>
        <v>2</v>
      </c>
      <c r="X126" s="5"/>
      <c r="Y126" s="5"/>
    </row>
    <row r="127" spans="1:25" x14ac:dyDescent="0.25">
      <c r="A127" s="5">
        <v>130</v>
      </c>
      <c r="B127" s="43" t="s">
        <v>402</v>
      </c>
      <c r="C127" s="6">
        <v>46165</v>
      </c>
      <c r="D127" s="10" t="s">
        <v>34</v>
      </c>
      <c r="E127" s="10" t="s">
        <v>35</v>
      </c>
      <c r="F127" s="5" t="s">
        <v>405</v>
      </c>
      <c r="G127" s="5" t="s">
        <v>406</v>
      </c>
      <c r="H127" s="13">
        <v>5</v>
      </c>
      <c r="I127" s="8">
        <v>177500</v>
      </c>
      <c r="J127" s="39">
        <v>887500</v>
      </c>
      <c r="K127" s="39">
        <v>887500</v>
      </c>
      <c r="L127" s="5" t="s">
        <v>30</v>
      </c>
      <c r="M127" s="5" t="s">
        <v>39</v>
      </c>
      <c r="N127" s="5" t="s">
        <v>40</v>
      </c>
      <c r="O127" s="6">
        <v>46167</v>
      </c>
      <c r="P127" s="6">
        <v>46168</v>
      </c>
      <c r="Q127" s="10" t="s">
        <v>41</v>
      </c>
      <c r="R127" s="6">
        <v>46167</v>
      </c>
      <c r="S127" s="6">
        <v>46167</v>
      </c>
      <c r="T127" s="9">
        <f t="shared" si="20"/>
        <v>2</v>
      </c>
      <c r="U127" s="9">
        <f t="shared" si="21"/>
        <v>2</v>
      </c>
      <c r="V127" s="9">
        <f t="shared" si="22"/>
        <v>3</v>
      </c>
      <c r="W127" s="9">
        <f t="shared" si="23"/>
        <v>2</v>
      </c>
      <c r="X127" s="5"/>
      <c r="Y127" s="5"/>
    </row>
    <row r="128" spans="1:25" x14ac:dyDescent="0.25">
      <c r="A128" s="5">
        <v>131</v>
      </c>
      <c r="B128" s="43" t="s">
        <v>402</v>
      </c>
      <c r="C128" s="6">
        <v>46165</v>
      </c>
      <c r="D128" s="10" t="s">
        <v>34</v>
      </c>
      <c r="E128" s="10" t="s">
        <v>35</v>
      </c>
      <c r="F128" s="5" t="s">
        <v>407</v>
      </c>
      <c r="G128" s="5" t="s">
        <v>408</v>
      </c>
      <c r="H128" s="13">
        <v>5</v>
      </c>
      <c r="I128" s="8">
        <v>105000</v>
      </c>
      <c r="J128" s="8">
        <v>525000</v>
      </c>
      <c r="K128" s="8">
        <v>525000</v>
      </c>
      <c r="L128" s="5" t="s">
        <v>30</v>
      </c>
      <c r="M128" s="5" t="s">
        <v>39</v>
      </c>
      <c r="N128" s="5" t="s">
        <v>40</v>
      </c>
      <c r="O128" s="6">
        <v>46167</v>
      </c>
      <c r="P128" s="6">
        <v>46168</v>
      </c>
      <c r="Q128" s="10" t="s">
        <v>41</v>
      </c>
      <c r="R128" s="6">
        <v>46167</v>
      </c>
      <c r="S128" s="6">
        <v>46167</v>
      </c>
      <c r="T128" s="9">
        <f t="shared" si="20"/>
        <v>2</v>
      </c>
      <c r="U128" s="9">
        <f t="shared" si="21"/>
        <v>2</v>
      </c>
      <c r="V128" s="9">
        <f t="shared" si="22"/>
        <v>3</v>
      </c>
      <c r="W128" s="9">
        <f t="shared" si="23"/>
        <v>2</v>
      </c>
      <c r="X128" s="5"/>
      <c r="Y128" s="5"/>
    </row>
    <row r="129" spans="1:25" x14ac:dyDescent="0.25">
      <c r="A129" s="5">
        <v>132</v>
      </c>
      <c r="B129" s="43" t="s">
        <v>409</v>
      </c>
      <c r="C129" s="6">
        <v>46165</v>
      </c>
      <c r="D129" s="5" t="s">
        <v>355</v>
      </c>
      <c r="E129" s="5" t="s">
        <v>27</v>
      </c>
      <c r="F129" s="5" t="s">
        <v>28</v>
      </c>
      <c r="G129" s="5" t="s">
        <v>410</v>
      </c>
      <c r="H129" s="13">
        <v>1</v>
      </c>
      <c r="I129" s="11">
        <v>750000</v>
      </c>
      <c r="J129" s="11">
        <v>750000</v>
      </c>
      <c r="K129" s="11">
        <v>750000</v>
      </c>
      <c r="L129" s="5" t="s">
        <v>30</v>
      </c>
      <c r="M129" s="5" t="s">
        <v>411</v>
      </c>
      <c r="N129" s="5" t="s">
        <v>27</v>
      </c>
      <c r="O129" s="6">
        <v>46165</v>
      </c>
      <c r="P129" s="6">
        <v>46171</v>
      </c>
      <c r="Q129" s="5" t="s">
        <v>412</v>
      </c>
      <c r="R129" s="6">
        <v>46165</v>
      </c>
      <c r="S129" s="6">
        <v>46165</v>
      </c>
      <c r="T129" s="9">
        <f t="shared" si="20"/>
        <v>0</v>
      </c>
      <c r="U129" s="9">
        <f t="shared" si="21"/>
        <v>0</v>
      </c>
      <c r="V129" s="9">
        <f t="shared" si="22"/>
        <v>6</v>
      </c>
      <c r="W129" s="9">
        <f t="shared" si="23"/>
        <v>0</v>
      </c>
      <c r="X129" s="5"/>
      <c r="Y129" s="5"/>
    </row>
    <row r="130" spans="1:25" x14ac:dyDescent="0.25">
      <c r="A130" s="5">
        <v>133</v>
      </c>
      <c r="B130" s="43" t="s">
        <v>413</v>
      </c>
      <c r="C130" s="6">
        <v>46167</v>
      </c>
      <c r="D130" s="10" t="s">
        <v>34</v>
      </c>
      <c r="E130" s="10" t="s">
        <v>35</v>
      </c>
      <c r="F130" s="5" t="s">
        <v>414</v>
      </c>
      <c r="G130" s="5" t="s">
        <v>415</v>
      </c>
      <c r="H130" s="13">
        <v>15</v>
      </c>
      <c r="I130" s="8">
        <v>370000</v>
      </c>
      <c r="J130" s="8">
        <v>5550000</v>
      </c>
      <c r="K130" s="8">
        <v>5550000</v>
      </c>
      <c r="L130" s="5" t="s">
        <v>30</v>
      </c>
      <c r="M130" s="5" t="s">
        <v>416</v>
      </c>
      <c r="N130" s="5" t="s">
        <v>35</v>
      </c>
      <c r="O130" s="6">
        <v>46167</v>
      </c>
      <c r="P130" s="6">
        <v>46168</v>
      </c>
      <c r="Q130" s="5" t="s">
        <v>417</v>
      </c>
      <c r="R130" s="6">
        <v>46167</v>
      </c>
      <c r="S130" s="6">
        <v>46167</v>
      </c>
      <c r="T130" s="9">
        <f t="shared" si="20"/>
        <v>0</v>
      </c>
      <c r="U130" s="9">
        <f t="shared" si="21"/>
        <v>0</v>
      </c>
      <c r="V130" s="9">
        <f t="shared" si="22"/>
        <v>1</v>
      </c>
      <c r="W130" s="9">
        <f t="shared" si="23"/>
        <v>0</v>
      </c>
      <c r="X130" s="5"/>
      <c r="Y130" s="5"/>
    </row>
    <row r="131" spans="1:25" x14ac:dyDescent="0.25">
      <c r="A131" s="5">
        <v>134</v>
      </c>
      <c r="B131" s="43" t="s">
        <v>418</v>
      </c>
      <c r="C131" s="6">
        <v>46167</v>
      </c>
      <c r="D131" s="10" t="s">
        <v>34</v>
      </c>
      <c r="E131" s="10" t="s">
        <v>35</v>
      </c>
      <c r="F131" s="5" t="s">
        <v>419</v>
      </c>
      <c r="G131" s="5" t="s">
        <v>420</v>
      </c>
      <c r="H131" s="13">
        <v>6</v>
      </c>
      <c r="I131" s="8">
        <v>28037</v>
      </c>
      <c r="J131" s="8">
        <v>168222</v>
      </c>
      <c r="K131" s="32">
        <v>166747</v>
      </c>
      <c r="L131" s="5" t="s">
        <v>59</v>
      </c>
      <c r="M131" s="5" t="s">
        <v>421</v>
      </c>
      <c r="N131" s="5" t="s">
        <v>35</v>
      </c>
      <c r="O131" s="6">
        <v>46168</v>
      </c>
      <c r="P131" s="6">
        <v>46171</v>
      </c>
      <c r="Q131" s="5" t="s">
        <v>363</v>
      </c>
      <c r="R131" s="6">
        <v>46168</v>
      </c>
      <c r="S131" s="6">
        <v>46167</v>
      </c>
      <c r="T131" s="9">
        <f t="shared" si="20"/>
        <v>1</v>
      </c>
      <c r="U131" s="9">
        <f t="shared" si="21"/>
        <v>1</v>
      </c>
      <c r="V131" s="9">
        <f t="shared" si="22"/>
        <v>4</v>
      </c>
      <c r="W131" s="9">
        <f t="shared" si="23"/>
        <v>0</v>
      </c>
      <c r="X131" s="5"/>
      <c r="Y131" s="5"/>
    </row>
    <row r="132" spans="1:25" x14ac:dyDescent="0.25">
      <c r="A132" s="5">
        <v>135</v>
      </c>
      <c r="B132" s="43" t="s">
        <v>422</v>
      </c>
      <c r="C132" s="6">
        <v>46168</v>
      </c>
      <c r="D132" s="10" t="s">
        <v>34</v>
      </c>
      <c r="E132" s="10" t="s">
        <v>35</v>
      </c>
      <c r="F132" s="5" t="s">
        <v>423</v>
      </c>
      <c r="G132" s="5"/>
      <c r="H132" s="13">
        <v>3</v>
      </c>
      <c r="I132" s="11">
        <v>3000</v>
      </c>
      <c r="J132" s="11">
        <v>9000</v>
      </c>
      <c r="K132" s="11">
        <v>9000</v>
      </c>
      <c r="L132" s="5" t="s">
        <v>30</v>
      </c>
      <c r="M132" s="5" t="s">
        <v>39</v>
      </c>
      <c r="N132" s="5" t="s">
        <v>35</v>
      </c>
      <c r="O132" s="6">
        <v>46168</v>
      </c>
      <c r="P132" s="6">
        <v>46170</v>
      </c>
      <c r="Q132" s="5" t="s">
        <v>97</v>
      </c>
      <c r="R132" s="6">
        <v>46170</v>
      </c>
      <c r="S132" s="6">
        <v>46168</v>
      </c>
      <c r="T132" s="9">
        <f t="shared" si="20"/>
        <v>0</v>
      </c>
      <c r="U132" s="9">
        <f t="shared" si="21"/>
        <v>2</v>
      </c>
      <c r="V132" s="9">
        <f t="shared" si="22"/>
        <v>2</v>
      </c>
      <c r="W132" s="9">
        <f t="shared" si="23"/>
        <v>0</v>
      </c>
      <c r="X132" s="5"/>
      <c r="Y132" s="5"/>
    </row>
    <row r="133" spans="1:25" x14ac:dyDescent="0.25">
      <c r="A133" s="5">
        <v>136</v>
      </c>
      <c r="B133" s="43" t="s">
        <v>424</v>
      </c>
      <c r="C133" s="6">
        <v>46168</v>
      </c>
      <c r="D133" s="5" t="s">
        <v>258</v>
      </c>
      <c r="E133" s="5" t="s">
        <v>259</v>
      </c>
      <c r="F133" s="5" t="s">
        <v>425</v>
      </c>
      <c r="G133" s="5" t="s">
        <v>426</v>
      </c>
      <c r="H133" s="13">
        <v>12</v>
      </c>
      <c r="I133" s="8">
        <v>54909</v>
      </c>
      <c r="J133" s="8">
        <v>658908</v>
      </c>
      <c r="K133" s="11">
        <v>574773</v>
      </c>
      <c r="L133" s="5" t="s">
        <v>59</v>
      </c>
      <c r="M133" s="5" t="s">
        <v>427</v>
      </c>
      <c r="N133" s="5" t="s">
        <v>82</v>
      </c>
      <c r="O133" s="38">
        <v>46168</v>
      </c>
      <c r="P133" s="38">
        <v>46171</v>
      </c>
      <c r="Q133" s="5" t="s">
        <v>428</v>
      </c>
      <c r="R133" s="38">
        <v>46168</v>
      </c>
      <c r="S133" s="38">
        <v>46168</v>
      </c>
      <c r="T133" s="9">
        <f t="shared" si="20"/>
        <v>0</v>
      </c>
      <c r="U133" s="9">
        <f t="shared" si="21"/>
        <v>0</v>
      </c>
      <c r="V133" s="9">
        <f t="shared" si="22"/>
        <v>3</v>
      </c>
      <c r="W133" s="9">
        <f t="shared" si="23"/>
        <v>0</v>
      </c>
      <c r="X133" s="5"/>
      <c r="Y133" s="5"/>
    </row>
    <row r="134" spans="1:25" x14ac:dyDescent="0.25">
      <c r="A134" s="5">
        <v>137</v>
      </c>
      <c r="B134" s="44" t="s">
        <v>429</v>
      </c>
      <c r="C134" s="40">
        <v>46170</v>
      </c>
      <c r="D134" s="10" t="s">
        <v>34</v>
      </c>
      <c r="E134" s="10" t="s">
        <v>35</v>
      </c>
      <c r="F134" s="5" t="s">
        <v>369</v>
      </c>
      <c r="G134" s="5"/>
      <c r="H134" s="13">
        <v>1</v>
      </c>
      <c r="I134" s="11">
        <v>30000</v>
      </c>
      <c r="J134" s="11">
        <v>30000</v>
      </c>
      <c r="K134" s="11">
        <v>30000</v>
      </c>
      <c r="L134" s="5" t="s">
        <v>30</v>
      </c>
      <c r="M134" s="5" t="s">
        <v>39</v>
      </c>
      <c r="N134" s="5" t="s">
        <v>35</v>
      </c>
      <c r="O134" s="40">
        <v>46170</v>
      </c>
      <c r="P134" s="40">
        <v>46170</v>
      </c>
      <c r="Q134" s="5" t="s">
        <v>41</v>
      </c>
      <c r="R134" s="40">
        <v>46170</v>
      </c>
      <c r="S134" s="40">
        <v>46170</v>
      </c>
      <c r="T134" s="9">
        <f t="shared" si="20"/>
        <v>0</v>
      </c>
      <c r="U134" s="9">
        <f t="shared" si="21"/>
        <v>0</v>
      </c>
      <c r="V134" s="9">
        <f t="shared" si="22"/>
        <v>0</v>
      </c>
      <c r="W134" s="9">
        <f t="shared" si="23"/>
        <v>0</v>
      </c>
      <c r="X134" s="5"/>
      <c r="Y134" s="5"/>
    </row>
    <row r="135" spans="1:25" x14ac:dyDescent="0.25">
      <c r="A135" s="5">
        <v>138</v>
      </c>
      <c r="B135" s="43" t="s">
        <v>430</v>
      </c>
      <c r="C135" s="6">
        <v>46170</v>
      </c>
      <c r="D135" s="5" t="s">
        <v>355</v>
      </c>
      <c r="E135" s="5" t="s">
        <v>27</v>
      </c>
      <c r="F135" s="5" t="s">
        <v>28</v>
      </c>
      <c r="G135" s="5" t="s">
        <v>431</v>
      </c>
      <c r="H135" s="13">
        <v>1</v>
      </c>
      <c r="I135" s="11">
        <v>800000</v>
      </c>
      <c r="J135" s="11">
        <v>800000</v>
      </c>
      <c r="K135" s="11">
        <v>800000</v>
      </c>
      <c r="L135" s="5" t="s">
        <v>30</v>
      </c>
      <c r="M135" s="5" t="s">
        <v>432</v>
      </c>
      <c r="N135" s="5" t="s">
        <v>27</v>
      </c>
      <c r="O135" s="6">
        <v>46170</v>
      </c>
      <c r="P135" s="6">
        <v>46171</v>
      </c>
      <c r="Q135" s="5" t="s">
        <v>433</v>
      </c>
      <c r="R135" s="6">
        <v>46170</v>
      </c>
      <c r="S135" s="6">
        <v>46170</v>
      </c>
      <c r="T135" s="9">
        <f t="shared" si="20"/>
        <v>0</v>
      </c>
      <c r="U135" s="9">
        <f t="shared" si="21"/>
        <v>0</v>
      </c>
      <c r="V135" s="9">
        <f t="shared" si="22"/>
        <v>1</v>
      </c>
      <c r="W135" s="9">
        <f t="shared" si="23"/>
        <v>0</v>
      </c>
      <c r="X135" s="5"/>
      <c r="Y135" s="5"/>
    </row>
    <row r="136" spans="1:25" x14ac:dyDescent="0.25">
      <c r="A136" s="5">
        <v>140</v>
      </c>
      <c r="B136" s="43" t="s">
        <v>434</v>
      </c>
      <c r="C136" s="6">
        <v>46172</v>
      </c>
      <c r="D136" s="5" t="s">
        <v>355</v>
      </c>
      <c r="E136" s="5" t="s">
        <v>27</v>
      </c>
      <c r="F136" s="5" t="s">
        <v>28</v>
      </c>
      <c r="G136" s="5" t="s">
        <v>435</v>
      </c>
      <c r="H136" s="13">
        <v>1</v>
      </c>
      <c r="I136" s="11">
        <v>600000</v>
      </c>
      <c r="J136" s="11">
        <v>600000</v>
      </c>
      <c r="K136" s="11">
        <v>600000</v>
      </c>
      <c r="L136" s="5" t="s">
        <v>30</v>
      </c>
      <c r="M136" s="5" t="s">
        <v>432</v>
      </c>
      <c r="N136" s="5" t="s">
        <v>27</v>
      </c>
      <c r="O136" s="6">
        <v>46172</v>
      </c>
      <c r="P136" s="6">
        <v>46172</v>
      </c>
      <c r="Q136" s="5" t="s">
        <v>433</v>
      </c>
      <c r="R136" s="6">
        <v>46172</v>
      </c>
      <c r="S136" s="6">
        <v>46172</v>
      </c>
      <c r="T136" s="9">
        <f t="shared" si="20"/>
        <v>0</v>
      </c>
      <c r="U136" s="9">
        <f t="shared" si="21"/>
        <v>0</v>
      </c>
      <c r="V136" s="9">
        <f t="shared" si="22"/>
        <v>0</v>
      </c>
      <c r="W136" s="9">
        <f t="shared" si="23"/>
        <v>0</v>
      </c>
      <c r="X136" s="5"/>
      <c r="Y136" s="5"/>
    </row>
    <row r="137" spans="1:25" x14ac:dyDescent="0.25">
      <c r="A137" s="5">
        <v>142</v>
      </c>
      <c r="B137" s="5" t="s">
        <v>436</v>
      </c>
      <c r="C137" s="41">
        <v>46172.529166666667</v>
      </c>
      <c r="D137" s="10" t="s">
        <v>34</v>
      </c>
      <c r="E137" s="10" t="s">
        <v>35</v>
      </c>
      <c r="F137" s="5" t="s">
        <v>437</v>
      </c>
      <c r="G137" s="5" t="s">
        <v>438</v>
      </c>
      <c r="H137" s="13">
        <v>3</v>
      </c>
      <c r="I137" s="8">
        <v>3432</v>
      </c>
      <c r="J137" s="8">
        <v>10296</v>
      </c>
      <c r="K137" s="11">
        <v>18000</v>
      </c>
      <c r="L137" s="5" t="s">
        <v>30</v>
      </c>
      <c r="M137" s="5" t="s">
        <v>39</v>
      </c>
      <c r="N137" s="5" t="s">
        <v>40</v>
      </c>
      <c r="O137" s="41">
        <v>46172.599305555559</v>
      </c>
      <c r="P137" s="41">
        <v>46175.356944444444</v>
      </c>
      <c r="Q137" s="5" t="s">
        <v>41</v>
      </c>
      <c r="R137" s="41">
        <v>46175.356944444444</v>
      </c>
      <c r="S137" s="41">
        <v>46172.592361111114</v>
      </c>
      <c r="T137" s="9">
        <f t="shared" si="20"/>
        <v>7.013888889196096E-2</v>
      </c>
      <c r="U137" s="9">
        <f>R137-C137-2</f>
        <v>0.82777777777664596</v>
      </c>
      <c r="V137" s="9">
        <f>P137-C137-2</f>
        <v>0.82777777777664596</v>
      </c>
      <c r="W137" s="9">
        <f t="shared" ref="W137:W141" si="24">S137-C137</f>
        <v>6.3194444446708076E-2</v>
      </c>
      <c r="X137" s="5"/>
      <c r="Y137" s="5"/>
    </row>
    <row r="138" spans="1:25" x14ac:dyDescent="0.25">
      <c r="A138" s="5">
        <v>144</v>
      </c>
      <c r="B138" s="5" t="s">
        <v>436</v>
      </c>
      <c r="C138" s="41">
        <v>46172.529166666667</v>
      </c>
      <c r="D138" s="10" t="s">
        <v>34</v>
      </c>
      <c r="E138" s="10" t="s">
        <v>35</v>
      </c>
      <c r="F138" s="5" t="s">
        <v>439</v>
      </c>
      <c r="G138" s="5"/>
      <c r="H138" s="13">
        <v>2</v>
      </c>
      <c r="I138" s="8">
        <v>7500</v>
      </c>
      <c r="J138" s="8">
        <v>15000</v>
      </c>
      <c r="K138" s="11">
        <v>15000</v>
      </c>
      <c r="L138" s="5" t="s">
        <v>30</v>
      </c>
      <c r="M138" s="5" t="s">
        <v>39</v>
      </c>
      <c r="N138" s="5" t="s">
        <v>40</v>
      </c>
      <c r="O138" s="41">
        <v>46172.599305555559</v>
      </c>
      <c r="P138" s="41">
        <v>46175.356944444444</v>
      </c>
      <c r="Q138" s="5" t="s">
        <v>41</v>
      </c>
      <c r="R138" s="41">
        <v>46175.356944444444</v>
      </c>
      <c r="S138" s="41">
        <v>46172.592361111114</v>
      </c>
      <c r="T138" s="9">
        <f t="shared" ref="T138:T139" si="25">O138-C138</f>
        <v>7.013888889196096E-2</v>
      </c>
      <c r="U138" s="9">
        <f>R138-C138-2</f>
        <v>0.82777777777664596</v>
      </c>
      <c r="V138" s="9">
        <f>P138-C138-2</f>
        <v>0.82777777777664596</v>
      </c>
      <c r="W138" s="9">
        <f t="shared" si="24"/>
        <v>6.3194444446708076E-2</v>
      </c>
      <c r="X138" s="5"/>
      <c r="Y138" s="5"/>
    </row>
    <row r="139" spans="1:25" x14ac:dyDescent="0.25">
      <c r="A139" s="5">
        <v>146</v>
      </c>
      <c r="B139" s="5" t="s">
        <v>440</v>
      </c>
      <c r="C139" s="41">
        <v>46172.536805555559</v>
      </c>
      <c r="D139" s="10" t="s">
        <v>34</v>
      </c>
      <c r="E139" s="10" t="s">
        <v>35</v>
      </c>
      <c r="F139" s="5" t="s">
        <v>441</v>
      </c>
      <c r="G139" s="5" t="s">
        <v>442</v>
      </c>
      <c r="H139" s="13">
        <v>1</v>
      </c>
      <c r="I139" s="11">
        <v>9400</v>
      </c>
      <c r="J139" s="11">
        <v>9400</v>
      </c>
      <c r="K139" s="11">
        <v>9400</v>
      </c>
      <c r="L139" s="5" t="s">
        <v>59</v>
      </c>
      <c r="M139" s="5" t="s">
        <v>443</v>
      </c>
      <c r="N139" s="5" t="s">
        <v>35</v>
      </c>
      <c r="O139" s="41">
        <v>46172.669444444444</v>
      </c>
      <c r="P139" s="41">
        <v>46177.388888888891</v>
      </c>
      <c r="Q139" s="5" t="s">
        <v>444</v>
      </c>
      <c r="R139" s="41">
        <v>46175.361805555556</v>
      </c>
      <c r="S139" s="41">
        <v>46172.592361111114</v>
      </c>
      <c r="T139" s="9">
        <f t="shared" si="25"/>
        <v>0.132638888884685</v>
      </c>
      <c r="U139" s="9">
        <f>R139-C139-2</f>
        <v>0.82499999999708962</v>
      </c>
      <c r="V139" s="9">
        <f>P139-C139-2</f>
        <v>2.8520833333313931</v>
      </c>
      <c r="W139" s="9">
        <f t="shared" si="24"/>
        <v>5.5555555554747116E-2</v>
      </c>
      <c r="X139" s="5"/>
      <c r="Y139" s="5"/>
    </row>
    <row r="140" spans="1:25" x14ac:dyDescent="0.25">
      <c r="A140" s="5">
        <v>148</v>
      </c>
      <c r="B140" s="5" t="s">
        <v>445</v>
      </c>
      <c r="C140" s="41">
        <v>46172.595833333333</v>
      </c>
      <c r="D140" s="5" t="s">
        <v>258</v>
      </c>
      <c r="E140" s="5" t="s">
        <v>259</v>
      </c>
      <c r="F140" s="5" t="s">
        <v>446</v>
      </c>
      <c r="G140" s="5" t="s">
        <v>447</v>
      </c>
      <c r="H140" s="13">
        <v>1</v>
      </c>
      <c r="I140" s="8">
        <v>3620376</v>
      </c>
      <c r="J140" s="8">
        <v>3620376</v>
      </c>
      <c r="K140" s="8">
        <v>3620376</v>
      </c>
      <c r="L140" s="5" t="s">
        <v>59</v>
      </c>
      <c r="M140" s="5" t="s">
        <v>448</v>
      </c>
      <c r="N140" s="5" t="s">
        <v>259</v>
      </c>
      <c r="O140" s="41">
        <v>46175.351388888892</v>
      </c>
      <c r="P140" s="41">
        <v>46175.612500000003</v>
      </c>
      <c r="Q140" s="5" t="s">
        <v>449</v>
      </c>
      <c r="R140" s="41">
        <v>46175.35833333333</v>
      </c>
      <c r="S140" s="41">
        <v>46172.65</v>
      </c>
      <c r="T140" s="9">
        <f>O140-C140-2</f>
        <v>0.75555555555911269</v>
      </c>
      <c r="U140" s="9">
        <f>R140-C140-2</f>
        <v>0.76249999999708962</v>
      </c>
      <c r="V140" s="9">
        <f>P140-C140-2</f>
        <v>1.0166666666700621</v>
      </c>
      <c r="W140" s="9">
        <f t="shared" si="24"/>
        <v>5.4166666668606922E-2</v>
      </c>
      <c r="X140" s="5"/>
      <c r="Y140" s="5"/>
    </row>
    <row r="141" spans="1:25" x14ac:dyDescent="0.25">
      <c r="A141" s="5">
        <v>150</v>
      </c>
      <c r="B141" s="5" t="s">
        <v>445</v>
      </c>
      <c r="C141" s="41">
        <v>46172.595833333333</v>
      </c>
      <c r="D141" s="5" t="s">
        <v>258</v>
      </c>
      <c r="E141" s="5" t="s">
        <v>259</v>
      </c>
      <c r="F141" s="5" t="s">
        <v>450</v>
      </c>
      <c r="G141" s="5" t="s">
        <v>451</v>
      </c>
      <c r="H141" s="13">
        <v>1</v>
      </c>
      <c r="I141" s="8">
        <v>236666</v>
      </c>
      <c r="J141" s="8">
        <v>236666</v>
      </c>
      <c r="K141" s="8">
        <v>236666</v>
      </c>
      <c r="L141" s="5" t="s">
        <v>59</v>
      </c>
      <c r="M141" s="5" t="s">
        <v>448</v>
      </c>
      <c r="N141" s="5" t="s">
        <v>259</v>
      </c>
      <c r="O141" s="41">
        <v>46175.351388888892</v>
      </c>
      <c r="P141" s="41">
        <v>46175.612500000003</v>
      </c>
      <c r="Q141" s="5" t="s">
        <v>449</v>
      </c>
      <c r="R141" s="41">
        <v>46175.35833333333</v>
      </c>
      <c r="S141" s="41">
        <v>46172.65</v>
      </c>
      <c r="T141" s="9">
        <f>O141-C141-2</f>
        <v>0.75555555555911269</v>
      </c>
      <c r="U141" s="9">
        <f>R141-C141-2</f>
        <v>0.76249999999708962</v>
      </c>
      <c r="V141" s="9">
        <f>P141-C141-2</f>
        <v>1.0166666666700621</v>
      </c>
      <c r="W141" s="9">
        <f t="shared" si="24"/>
        <v>5.4166666668606922E-2</v>
      </c>
      <c r="X141" s="5"/>
      <c r="Y141" s="5"/>
    </row>
    <row r="142" spans="1:25" x14ac:dyDescent="0.25">
      <c r="S142" s="47" t="s">
        <v>452</v>
      </c>
      <c r="T142" s="48">
        <f>AVERAGE(T2:T141)</f>
        <v>0.52702876984133451</v>
      </c>
      <c r="U142" s="48">
        <f t="shared" ref="U142:V142" si="26">AVERAGE(U2:U141)</f>
        <v>0.69289682539674691</v>
      </c>
      <c r="V142" s="48">
        <f t="shared" si="26"/>
        <v>2.7681498015873203</v>
      </c>
      <c r="W142" s="48">
        <f>AVERAGE(W2:W141)</f>
        <v>0.11635912698418127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pane xSplit="6" ySplit="4" topLeftCell="J5" activePane="bottomRight" state="frozen"/>
      <selection pane="topRight" activeCell="G1" sqref="G1"/>
      <selection pane="bottomLeft" activeCell="A5" sqref="A5"/>
      <selection pane="bottomRight" activeCell="O8" sqref="O8"/>
    </sheetView>
  </sheetViews>
  <sheetFormatPr defaultRowHeight="15" x14ac:dyDescent="0.25"/>
  <cols>
    <col min="1" max="1" width="3.85546875" style="13" bestFit="1" customWidth="1"/>
    <col min="2" max="2" width="15.28515625" style="5" customWidth="1"/>
    <col min="3" max="3" width="12" style="5" customWidth="1"/>
    <col min="4" max="4" width="9.5703125" style="5" customWidth="1"/>
    <col min="5" max="5" width="11.42578125" style="5" customWidth="1"/>
    <col min="6" max="6" width="23" style="5" customWidth="1"/>
    <col min="7" max="7" width="26.28515625" style="5" customWidth="1"/>
    <col min="8" max="8" width="6" style="13" customWidth="1"/>
    <col min="9" max="9" width="13.7109375" style="11" customWidth="1"/>
    <col min="10" max="10" width="13.28515625" style="11" bestFit="1" customWidth="1"/>
    <col min="11" max="11" width="11.140625" style="11" customWidth="1"/>
    <col min="12" max="12" width="10.5703125" style="5" bestFit="1" customWidth="1"/>
    <col min="13" max="13" width="35.5703125" style="5" customWidth="1"/>
    <col min="14" max="14" width="8.42578125" style="5" bestFit="1" customWidth="1"/>
    <col min="15" max="15" width="20.5703125" style="5" customWidth="1"/>
    <col min="16" max="16" width="19.7109375" style="5" customWidth="1"/>
    <col min="17" max="16384" width="9.140625" style="5"/>
  </cols>
  <sheetData>
    <row r="1" spans="1:16" customFormat="1" ht="18.75" x14ac:dyDescent="0.3">
      <c r="A1" s="72"/>
      <c r="B1" s="84" t="s">
        <v>736</v>
      </c>
      <c r="H1" s="72"/>
      <c r="I1" s="85"/>
      <c r="J1" s="85"/>
      <c r="K1" s="85"/>
    </row>
    <row r="2" spans="1:16" customFormat="1" ht="18.75" x14ac:dyDescent="0.3">
      <c r="A2" s="72"/>
      <c r="B2" s="67" t="s">
        <v>737</v>
      </c>
      <c r="H2" s="72"/>
      <c r="I2" s="85"/>
      <c r="J2" s="85"/>
      <c r="K2" s="85"/>
    </row>
    <row r="3" spans="1:16" customFormat="1" x14ac:dyDescent="0.25">
      <c r="A3" s="72"/>
      <c r="B3" s="86" t="s">
        <v>738</v>
      </c>
      <c r="H3" s="72"/>
      <c r="I3" s="85"/>
      <c r="J3" s="85"/>
      <c r="K3" s="85"/>
    </row>
    <row r="4" spans="1:16" s="87" customFormat="1" ht="30" x14ac:dyDescent="0.25">
      <c r="A4" s="1" t="s">
        <v>0</v>
      </c>
      <c r="B4" s="1" t="s">
        <v>1</v>
      </c>
      <c r="C4" s="2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3" t="s">
        <v>8</v>
      </c>
      <c r="J4" s="3" t="s">
        <v>9</v>
      </c>
      <c r="K4" s="3" t="s">
        <v>10</v>
      </c>
      <c r="L4" s="1" t="s">
        <v>11</v>
      </c>
      <c r="M4" s="1" t="s">
        <v>12</v>
      </c>
      <c r="N4" s="1" t="s">
        <v>13</v>
      </c>
      <c r="O4" s="1" t="s">
        <v>16</v>
      </c>
      <c r="P4" s="1" t="s">
        <v>23</v>
      </c>
    </row>
    <row r="5" spans="1:16" x14ac:dyDescent="0.25">
      <c r="A5" s="13">
        <v>4</v>
      </c>
      <c r="B5" s="78" t="s">
        <v>742</v>
      </c>
      <c r="C5" s="88">
        <v>46150</v>
      </c>
      <c r="D5" s="78" t="s">
        <v>34</v>
      </c>
      <c r="E5" s="78" t="s">
        <v>35</v>
      </c>
      <c r="F5" s="89" t="s">
        <v>165</v>
      </c>
      <c r="G5" s="78" t="s">
        <v>166</v>
      </c>
      <c r="H5" s="83">
        <v>3</v>
      </c>
      <c r="I5" s="90">
        <v>56751</v>
      </c>
      <c r="J5" s="90">
        <v>170253</v>
      </c>
      <c r="K5" s="25">
        <v>155238</v>
      </c>
      <c r="L5" s="78" t="s">
        <v>743</v>
      </c>
      <c r="M5" s="91" t="s">
        <v>744</v>
      </c>
      <c r="N5" s="78" t="s">
        <v>35</v>
      </c>
      <c r="O5" s="78" t="s">
        <v>745</v>
      </c>
    </row>
    <row r="6" spans="1:16" x14ac:dyDescent="0.25">
      <c r="A6" s="13">
        <v>6</v>
      </c>
      <c r="B6" s="78" t="s">
        <v>223</v>
      </c>
      <c r="C6" s="88">
        <v>46154</v>
      </c>
      <c r="D6" s="78" t="s">
        <v>34</v>
      </c>
      <c r="E6" s="78" t="s">
        <v>35</v>
      </c>
      <c r="F6" s="78" t="s">
        <v>224</v>
      </c>
      <c r="G6" s="78" t="s">
        <v>225</v>
      </c>
      <c r="H6" s="83">
        <v>1</v>
      </c>
      <c r="I6" s="90">
        <v>42200</v>
      </c>
      <c r="J6" s="90">
        <v>42200</v>
      </c>
      <c r="K6" s="25">
        <v>36788</v>
      </c>
      <c r="L6" s="78" t="s">
        <v>59</v>
      </c>
      <c r="M6" s="78" t="s">
        <v>740</v>
      </c>
      <c r="N6" s="78" t="s">
        <v>35</v>
      </c>
      <c r="O6" s="78" t="s">
        <v>746</v>
      </c>
    </row>
    <row r="8" spans="1:16" x14ac:dyDescent="0.25">
      <c r="O8" s="92">
        <f>(150-2)/150*100%</f>
        <v>0.98666666666666669</v>
      </c>
    </row>
  </sheetData>
  <autoFilter ref="A4:P4"/>
  <pageMargins left="0.7" right="0.7" top="0.75" bottom="0.75" header="0.3" footer="0.3"/>
  <pageSetup paperSize="1000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Views>
    <sheetView topLeftCell="A182" workbookViewId="0">
      <selection activeCell="H202" sqref="H202"/>
    </sheetView>
  </sheetViews>
  <sheetFormatPr defaultRowHeight="15" x14ac:dyDescent="0.25"/>
  <cols>
    <col min="1" max="1" width="5" style="52" customWidth="1"/>
    <col min="2" max="2" width="26.5703125" style="52" customWidth="1"/>
    <col min="3" max="3" width="30.85546875" style="52" customWidth="1"/>
    <col min="4" max="4" width="6.28515625" style="52" customWidth="1"/>
    <col min="5" max="5" width="5.5703125" style="52" customWidth="1"/>
    <col min="6" max="6" width="7.28515625" style="52" customWidth="1"/>
    <col min="7" max="7" width="6.140625" style="52" customWidth="1"/>
    <col min="8" max="8" width="8.85546875" style="52" customWidth="1"/>
    <col min="9" max="9" width="20.28515625" style="52" customWidth="1"/>
    <col min="10" max="16384" width="9.140625" style="52"/>
  </cols>
  <sheetData>
    <row r="1" spans="1:9" ht="15.75" customHeight="1" x14ac:dyDescent="0.3">
      <c r="A1" s="49"/>
      <c r="B1" s="50" t="s">
        <v>453</v>
      </c>
      <c r="C1" s="51"/>
      <c r="D1" s="51"/>
      <c r="E1" s="51"/>
      <c r="F1" s="51"/>
      <c r="G1" s="51"/>
      <c r="H1" s="51"/>
    </row>
    <row r="2" spans="1:9" x14ac:dyDescent="0.25">
      <c r="B2" s="53" t="s">
        <v>454</v>
      </c>
      <c r="C2" s="53" t="s">
        <v>455</v>
      </c>
    </row>
    <row r="3" spans="1:9" x14ac:dyDescent="0.25">
      <c r="B3" s="53" t="s">
        <v>456</v>
      </c>
      <c r="C3" s="53" t="s">
        <v>457</v>
      </c>
      <c r="I3" s="53" t="s">
        <v>458</v>
      </c>
    </row>
    <row r="4" spans="1:9" ht="22.5" x14ac:dyDescent="0.25">
      <c r="A4" s="54" t="s">
        <v>0</v>
      </c>
      <c r="B4" s="54" t="s">
        <v>5</v>
      </c>
      <c r="C4" s="54" t="s">
        <v>6</v>
      </c>
      <c r="D4" s="54" t="s">
        <v>459</v>
      </c>
      <c r="E4" s="55" t="s">
        <v>460</v>
      </c>
      <c r="F4" s="54" t="s">
        <v>461</v>
      </c>
      <c r="G4" s="54" t="s">
        <v>462</v>
      </c>
      <c r="H4" s="54" t="s">
        <v>463</v>
      </c>
      <c r="I4" s="56" t="s">
        <v>23</v>
      </c>
    </row>
    <row r="5" spans="1:9" x14ac:dyDescent="0.25">
      <c r="A5" s="57">
        <v>1</v>
      </c>
      <c r="B5" s="57" t="s">
        <v>464</v>
      </c>
      <c r="C5" s="57" t="s">
        <v>465</v>
      </c>
      <c r="D5" s="57">
        <v>3</v>
      </c>
      <c r="E5" s="57">
        <v>3</v>
      </c>
      <c r="F5" s="57"/>
      <c r="G5" s="57" t="s">
        <v>466</v>
      </c>
      <c r="H5" s="58" t="s">
        <v>467</v>
      </c>
      <c r="I5" s="59"/>
    </row>
    <row r="6" spans="1:9" x14ac:dyDescent="0.25">
      <c r="A6" s="57">
        <v>2</v>
      </c>
      <c r="B6" s="57" t="s">
        <v>468</v>
      </c>
      <c r="C6" s="57" t="s">
        <v>469</v>
      </c>
      <c r="D6" s="57">
        <v>5</v>
      </c>
      <c r="E6" s="57">
        <v>5</v>
      </c>
      <c r="F6" s="57"/>
      <c r="G6" s="57" t="s">
        <v>466</v>
      </c>
      <c r="H6" s="58" t="s">
        <v>467</v>
      </c>
      <c r="I6" s="59"/>
    </row>
    <row r="7" spans="1:9" x14ac:dyDescent="0.25">
      <c r="A7" s="57">
        <v>3</v>
      </c>
      <c r="B7" s="57" t="s">
        <v>192</v>
      </c>
      <c r="C7" s="57" t="s">
        <v>470</v>
      </c>
      <c r="D7" s="57">
        <v>11</v>
      </c>
      <c r="E7" s="57">
        <v>11</v>
      </c>
      <c r="F7" s="57"/>
      <c r="G7" s="57" t="s">
        <v>466</v>
      </c>
      <c r="H7" s="58" t="s">
        <v>467</v>
      </c>
      <c r="I7" s="59"/>
    </row>
    <row r="8" spans="1:9" x14ac:dyDescent="0.25">
      <c r="A8" s="57">
        <v>4</v>
      </c>
      <c r="B8" s="57" t="s">
        <v>471</v>
      </c>
      <c r="C8" s="57"/>
      <c r="D8" s="57">
        <v>2</v>
      </c>
      <c r="E8" s="57">
        <v>2</v>
      </c>
      <c r="F8" s="57"/>
      <c r="G8" s="57" t="s">
        <v>472</v>
      </c>
      <c r="H8" s="58" t="s">
        <v>467</v>
      </c>
      <c r="I8" s="59"/>
    </row>
    <row r="9" spans="1:9" x14ac:dyDescent="0.25">
      <c r="A9" s="57">
        <v>5</v>
      </c>
      <c r="B9" s="57" t="s">
        <v>473</v>
      </c>
      <c r="C9" s="57" t="s">
        <v>474</v>
      </c>
      <c r="D9" s="57">
        <v>8</v>
      </c>
      <c r="E9" s="57">
        <v>8</v>
      </c>
      <c r="F9" s="57"/>
      <c r="G9" s="57" t="s">
        <v>475</v>
      </c>
      <c r="H9" s="58" t="s">
        <v>467</v>
      </c>
      <c r="I9" s="59"/>
    </row>
    <row r="10" spans="1:9" x14ac:dyDescent="0.25">
      <c r="A10" s="57">
        <v>6</v>
      </c>
      <c r="B10" s="57" t="s">
        <v>476</v>
      </c>
      <c r="C10" s="57"/>
      <c r="D10" s="57">
        <v>4</v>
      </c>
      <c r="E10" s="57">
        <v>4</v>
      </c>
      <c r="F10" s="57"/>
      <c r="G10" s="57" t="s">
        <v>466</v>
      </c>
      <c r="H10" s="58" t="s">
        <v>467</v>
      </c>
      <c r="I10" s="59"/>
    </row>
    <row r="11" spans="1:9" x14ac:dyDescent="0.25">
      <c r="A11" s="57">
        <v>7</v>
      </c>
      <c r="B11" s="57" t="s">
        <v>398</v>
      </c>
      <c r="C11" s="57" t="s">
        <v>399</v>
      </c>
      <c r="D11" s="57">
        <v>11</v>
      </c>
      <c r="E11" s="57">
        <v>12</v>
      </c>
      <c r="F11" s="57">
        <v>1</v>
      </c>
      <c r="G11" s="57" t="s">
        <v>466</v>
      </c>
      <c r="H11" s="58" t="s">
        <v>467</v>
      </c>
      <c r="I11" s="59"/>
    </row>
    <row r="12" spans="1:9" x14ac:dyDescent="0.25">
      <c r="A12" s="57">
        <v>8</v>
      </c>
      <c r="B12" s="57" t="s">
        <v>398</v>
      </c>
      <c r="C12" s="57" t="s">
        <v>477</v>
      </c>
      <c r="D12" s="57">
        <v>9</v>
      </c>
      <c r="E12" s="57">
        <v>9</v>
      </c>
      <c r="F12" s="57"/>
      <c r="G12" s="57" t="s">
        <v>466</v>
      </c>
      <c r="H12" s="58" t="s">
        <v>467</v>
      </c>
      <c r="I12" s="59"/>
    </row>
    <row r="13" spans="1:9" x14ac:dyDescent="0.25">
      <c r="A13" s="57">
        <v>9</v>
      </c>
      <c r="B13" s="57" t="s">
        <v>478</v>
      </c>
      <c r="C13" s="57" t="s">
        <v>479</v>
      </c>
      <c r="D13" s="57">
        <v>50</v>
      </c>
      <c r="E13" s="57">
        <v>50</v>
      </c>
      <c r="F13" s="57"/>
      <c r="G13" s="57" t="s">
        <v>480</v>
      </c>
      <c r="H13" s="58" t="s">
        <v>467</v>
      </c>
      <c r="I13" s="59"/>
    </row>
    <row r="14" spans="1:9" x14ac:dyDescent="0.25">
      <c r="A14" s="57">
        <v>10</v>
      </c>
      <c r="B14" s="57" t="s">
        <v>481</v>
      </c>
      <c r="C14" s="57" t="s">
        <v>482</v>
      </c>
      <c r="D14" s="57">
        <v>3</v>
      </c>
      <c r="E14" s="57">
        <v>3</v>
      </c>
      <c r="F14" s="57"/>
      <c r="G14" s="57" t="s">
        <v>475</v>
      </c>
      <c r="H14" s="58" t="s">
        <v>467</v>
      </c>
      <c r="I14" s="59"/>
    </row>
    <row r="15" spans="1:9" x14ac:dyDescent="0.25">
      <c r="A15" s="57">
        <v>11</v>
      </c>
      <c r="B15" s="57" t="s">
        <v>481</v>
      </c>
      <c r="C15" s="57" t="s">
        <v>483</v>
      </c>
      <c r="D15" s="57">
        <v>6</v>
      </c>
      <c r="E15" s="57">
        <v>6</v>
      </c>
      <c r="F15" s="57"/>
      <c r="G15" s="57" t="s">
        <v>475</v>
      </c>
      <c r="H15" s="58" t="s">
        <v>467</v>
      </c>
      <c r="I15" s="59"/>
    </row>
    <row r="16" spans="1:9" x14ac:dyDescent="0.25">
      <c r="A16" s="57">
        <v>12</v>
      </c>
      <c r="B16" s="57" t="s">
        <v>290</v>
      </c>
      <c r="C16" s="57" t="s">
        <v>484</v>
      </c>
      <c r="D16" s="57">
        <v>8</v>
      </c>
      <c r="E16" s="57">
        <v>8</v>
      </c>
      <c r="F16" s="57"/>
      <c r="G16" s="57" t="s">
        <v>475</v>
      </c>
      <c r="H16" s="58" t="s">
        <v>467</v>
      </c>
      <c r="I16" s="59"/>
    </row>
    <row r="17" spans="1:9" x14ac:dyDescent="0.25">
      <c r="A17" s="57">
        <v>13</v>
      </c>
      <c r="B17" s="57" t="s">
        <v>485</v>
      </c>
      <c r="C17" s="57"/>
      <c r="D17" s="57">
        <v>1</v>
      </c>
      <c r="E17" s="57">
        <v>1</v>
      </c>
      <c r="F17" s="57"/>
      <c r="G17" s="57" t="s">
        <v>472</v>
      </c>
      <c r="H17" s="58" t="s">
        <v>467</v>
      </c>
      <c r="I17" s="59"/>
    </row>
    <row r="18" spans="1:9" x14ac:dyDescent="0.25">
      <c r="A18" s="57">
        <v>14</v>
      </c>
      <c r="B18" s="57" t="s">
        <v>486</v>
      </c>
      <c r="C18" s="57" t="s">
        <v>487</v>
      </c>
      <c r="D18" s="57">
        <v>9</v>
      </c>
      <c r="E18" s="57">
        <v>9</v>
      </c>
      <c r="F18" s="57"/>
      <c r="G18" s="57" t="s">
        <v>466</v>
      </c>
      <c r="H18" s="58" t="s">
        <v>467</v>
      </c>
      <c r="I18" s="59"/>
    </row>
    <row r="19" spans="1:9" x14ac:dyDescent="0.25">
      <c r="A19" s="57">
        <v>15</v>
      </c>
      <c r="B19" s="57" t="s">
        <v>101</v>
      </c>
      <c r="C19" s="57"/>
      <c r="D19" s="57">
        <v>3</v>
      </c>
      <c r="E19" s="57">
        <v>3</v>
      </c>
      <c r="F19" s="57"/>
      <c r="G19" s="57" t="s">
        <v>488</v>
      </c>
      <c r="H19" s="58" t="s">
        <v>467</v>
      </c>
      <c r="I19" s="59"/>
    </row>
    <row r="20" spans="1:9" x14ac:dyDescent="0.25">
      <c r="A20" s="57">
        <v>16</v>
      </c>
      <c r="B20" s="57" t="s">
        <v>489</v>
      </c>
      <c r="C20" s="57" t="s">
        <v>490</v>
      </c>
      <c r="D20" s="57">
        <v>3</v>
      </c>
      <c r="E20" s="57">
        <v>3</v>
      </c>
      <c r="F20" s="57"/>
      <c r="G20" s="57" t="s">
        <v>466</v>
      </c>
      <c r="H20" s="58" t="s">
        <v>467</v>
      </c>
      <c r="I20" s="59"/>
    </row>
    <row r="21" spans="1:9" x14ac:dyDescent="0.25">
      <c r="A21" s="57">
        <v>17</v>
      </c>
      <c r="B21" s="57" t="s">
        <v>491</v>
      </c>
      <c r="C21" s="57" t="s">
        <v>492</v>
      </c>
      <c r="D21" s="57">
        <v>4</v>
      </c>
      <c r="E21" s="57">
        <v>4</v>
      </c>
      <c r="F21" s="57"/>
      <c r="G21" s="57" t="s">
        <v>475</v>
      </c>
      <c r="H21" s="58" t="s">
        <v>467</v>
      </c>
      <c r="I21" s="59"/>
    </row>
    <row r="22" spans="1:9" x14ac:dyDescent="0.25">
      <c r="A22" s="57">
        <v>18</v>
      </c>
      <c r="B22" s="57" t="s">
        <v>493</v>
      </c>
      <c r="C22" s="57">
        <v>8758</v>
      </c>
      <c r="D22" s="57">
        <v>6</v>
      </c>
      <c r="E22" s="57">
        <v>6</v>
      </c>
      <c r="F22" s="57"/>
      <c r="G22" s="57" t="s">
        <v>466</v>
      </c>
      <c r="H22" s="58" t="s">
        <v>467</v>
      </c>
      <c r="I22" s="59"/>
    </row>
    <row r="23" spans="1:9" x14ac:dyDescent="0.25">
      <c r="A23" s="57">
        <v>19</v>
      </c>
      <c r="B23" s="57" t="s">
        <v>46</v>
      </c>
      <c r="C23" s="57"/>
      <c r="D23" s="57">
        <v>4</v>
      </c>
      <c r="E23" s="57">
        <v>4</v>
      </c>
      <c r="F23" s="57"/>
      <c r="G23" s="57" t="s">
        <v>466</v>
      </c>
      <c r="H23" s="58" t="s">
        <v>467</v>
      </c>
      <c r="I23" s="59"/>
    </row>
    <row r="24" spans="1:9" x14ac:dyDescent="0.25">
      <c r="A24" s="57">
        <v>20</v>
      </c>
      <c r="B24" s="57" t="s">
        <v>423</v>
      </c>
      <c r="C24" s="57"/>
      <c r="D24" s="57">
        <v>2</v>
      </c>
      <c r="E24" s="57">
        <v>2</v>
      </c>
      <c r="F24" s="57"/>
      <c r="G24" s="57" t="s">
        <v>466</v>
      </c>
      <c r="H24" s="58" t="s">
        <v>467</v>
      </c>
      <c r="I24" s="59"/>
    </row>
    <row r="25" spans="1:9" x14ac:dyDescent="0.25">
      <c r="A25" s="57">
        <v>21</v>
      </c>
      <c r="B25" s="57" t="s">
        <v>165</v>
      </c>
      <c r="C25" s="57"/>
      <c r="D25" s="57">
        <v>2</v>
      </c>
      <c r="E25" s="57">
        <v>2</v>
      </c>
      <c r="F25" s="57"/>
      <c r="G25" s="57" t="s">
        <v>488</v>
      </c>
      <c r="H25" s="58" t="s">
        <v>467</v>
      </c>
      <c r="I25" s="59"/>
    </row>
    <row r="26" spans="1:9" x14ac:dyDescent="0.25">
      <c r="A26" s="57">
        <v>22</v>
      </c>
      <c r="B26" s="57" t="s">
        <v>306</v>
      </c>
      <c r="C26" s="57" t="s">
        <v>310</v>
      </c>
      <c r="D26" s="57">
        <v>2</v>
      </c>
      <c r="E26" s="57">
        <v>2</v>
      </c>
      <c r="F26" s="57"/>
      <c r="G26" s="57" t="s">
        <v>466</v>
      </c>
      <c r="H26" s="58" t="s">
        <v>467</v>
      </c>
      <c r="I26" s="59"/>
    </row>
    <row r="27" spans="1:9" x14ac:dyDescent="0.25">
      <c r="A27" s="57">
        <v>23</v>
      </c>
      <c r="B27" s="57" t="s">
        <v>494</v>
      </c>
      <c r="C27" s="57" t="s">
        <v>307</v>
      </c>
      <c r="D27" s="57">
        <v>2</v>
      </c>
      <c r="E27" s="57">
        <v>2</v>
      </c>
      <c r="F27" s="57"/>
      <c r="G27" s="57" t="s">
        <v>466</v>
      </c>
      <c r="H27" s="58" t="s">
        <v>467</v>
      </c>
      <c r="I27" s="59"/>
    </row>
    <row r="28" spans="1:9" x14ac:dyDescent="0.25">
      <c r="A28" s="57">
        <v>24</v>
      </c>
      <c r="B28" s="57" t="s">
        <v>495</v>
      </c>
      <c r="C28" s="57" t="s">
        <v>496</v>
      </c>
      <c r="D28" s="57">
        <v>2</v>
      </c>
      <c r="E28" s="57">
        <v>2</v>
      </c>
      <c r="F28" s="57"/>
      <c r="G28" s="57" t="s">
        <v>488</v>
      </c>
      <c r="H28" s="58" t="s">
        <v>467</v>
      </c>
      <c r="I28" s="59"/>
    </row>
    <row r="29" spans="1:9" x14ac:dyDescent="0.25">
      <c r="A29" s="57">
        <v>25</v>
      </c>
      <c r="B29" s="57" t="s">
        <v>495</v>
      </c>
      <c r="C29" s="57" t="s">
        <v>497</v>
      </c>
      <c r="D29" s="57">
        <v>2</v>
      </c>
      <c r="E29" s="57">
        <v>2</v>
      </c>
      <c r="F29" s="57"/>
      <c r="G29" s="57" t="s">
        <v>488</v>
      </c>
      <c r="H29" s="58" t="s">
        <v>467</v>
      </c>
      <c r="I29" s="59"/>
    </row>
    <row r="30" spans="1:9" x14ac:dyDescent="0.25">
      <c r="A30" s="57">
        <v>26</v>
      </c>
      <c r="B30" s="57" t="s">
        <v>495</v>
      </c>
      <c r="C30" s="57" t="s">
        <v>498</v>
      </c>
      <c r="D30" s="57">
        <v>2</v>
      </c>
      <c r="E30" s="57">
        <v>2</v>
      </c>
      <c r="F30" s="57"/>
      <c r="G30" s="57" t="s">
        <v>488</v>
      </c>
      <c r="H30" s="58" t="s">
        <v>467</v>
      </c>
      <c r="I30" s="59"/>
    </row>
    <row r="31" spans="1:9" x14ac:dyDescent="0.25">
      <c r="A31" s="57">
        <v>27</v>
      </c>
      <c r="B31" s="57" t="s">
        <v>98</v>
      </c>
      <c r="C31" s="57"/>
      <c r="D31" s="57">
        <v>3</v>
      </c>
      <c r="E31" s="57">
        <v>3</v>
      </c>
      <c r="F31" s="57"/>
      <c r="G31" s="57" t="s">
        <v>488</v>
      </c>
      <c r="H31" s="58" t="s">
        <v>467</v>
      </c>
      <c r="I31" s="59"/>
    </row>
    <row r="32" spans="1:9" x14ac:dyDescent="0.25">
      <c r="A32" s="57">
        <v>28</v>
      </c>
      <c r="B32" s="57" t="s">
        <v>499</v>
      </c>
      <c r="C32" s="57" t="s">
        <v>500</v>
      </c>
      <c r="D32" s="57">
        <v>16</v>
      </c>
      <c r="E32" s="57">
        <v>16</v>
      </c>
      <c r="F32" s="57"/>
      <c r="G32" s="57" t="s">
        <v>466</v>
      </c>
      <c r="H32" s="58" t="s">
        <v>501</v>
      </c>
      <c r="I32" s="59"/>
    </row>
    <row r="33" spans="1:9" x14ac:dyDescent="0.25">
      <c r="A33" s="57">
        <v>29</v>
      </c>
      <c r="B33" s="57" t="s">
        <v>502</v>
      </c>
      <c r="C33" s="57" t="s">
        <v>502</v>
      </c>
      <c r="D33" s="57">
        <v>86</v>
      </c>
      <c r="E33" s="57">
        <v>86</v>
      </c>
      <c r="F33" s="57"/>
      <c r="G33" s="57" t="s">
        <v>475</v>
      </c>
      <c r="H33" s="58" t="s">
        <v>501</v>
      </c>
      <c r="I33" s="59"/>
    </row>
    <row r="34" spans="1:9" x14ac:dyDescent="0.25">
      <c r="A34" s="57">
        <v>30</v>
      </c>
      <c r="B34" s="57" t="s">
        <v>503</v>
      </c>
      <c r="C34" s="57" t="s">
        <v>504</v>
      </c>
      <c r="D34" s="57">
        <v>225</v>
      </c>
      <c r="E34" s="57">
        <v>225</v>
      </c>
      <c r="F34" s="57"/>
      <c r="G34" s="57" t="s">
        <v>475</v>
      </c>
      <c r="H34" s="58" t="s">
        <v>501</v>
      </c>
      <c r="I34" s="59"/>
    </row>
    <row r="35" spans="1:9" x14ac:dyDescent="0.25">
      <c r="A35" s="57">
        <v>31</v>
      </c>
      <c r="B35" s="57" t="s">
        <v>505</v>
      </c>
      <c r="C35" s="57" t="s">
        <v>506</v>
      </c>
      <c r="D35" s="57">
        <v>108</v>
      </c>
      <c r="E35" s="57">
        <v>108</v>
      </c>
      <c r="F35" s="57"/>
      <c r="G35" s="57" t="s">
        <v>472</v>
      </c>
      <c r="H35" s="58" t="s">
        <v>501</v>
      </c>
      <c r="I35" s="59"/>
    </row>
    <row r="36" spans="1:9" x14ac:dyDescent="0.25">
      <c r="A36" s="57">
        <v>32</v>
      </c>
      <c r="B36" s="57" t="s">
        <v>507</v>
      </c>
      <c r="C36" s="57" t="s">
        <v>508</v>
      </c>
      <c r="D36" s="57">
        <v>46</v>
      </c>
      <c r="E36" s="57">
        <v>46</v>
      </c>
      <c r="F36" s="57"/>
      <c r="G36" s="57" t="s">
        <v>472</v>
      </c>
      <c r="H36" s="58" t="s">
        <v>501</v>
      </c>
      <c r="I36" s="59"/>
    </row>
    <row r="37" spans="1:9" x14ac:dyDescent="0.25">
      <c r="A37" s="57">
        <v>33</v>
      </c>
      <c r="B37" s="57" t="s">
        <v>265</v>
      </c>
      <c r="C37" s="57" t="s">
        <v>266</v>
      </c>
      <c r="D37" s="57">
        <v>37</v>
      </c>
      <c r="E37" s="57">
        <v>37</v>
      </c>
      <c r="F37" s="57"/>
      <c r="G37" s="57" t="s">
        <v>472</v>
      </c>
      <c r="H37" s="58" t="s">
        <v>501</v>
      </c>
      <c r="I37" s="59"/>
    </row>
    <row r="38" spans="1:9" x14ac:dyDescent="0.25">
      <c r="A38" s="57">
        <v>34</v>
      </c>
      <c r="B38" s="57" t="s">
        <v>509</v>
      </c>
      <c r="C38" s="57" t="s">
        <v>172</v>
      </c>
      <c r="D38" s="57">
        <v>11</v>
      </c>
      <c r="E38" s="57">
        <v>11</v>
      </c>
      <c r="F38" s="57"/>
      <c r="G38" s="57" t="s">
        <v>466</v>
      </c>
      <c r="H38" s="58" t="s">
        <v>510</v>
      </c>
      <c r="I38" s="59"/>
    </row>
    <row r="39" spans="1:9" x14ac:dyDescent="0.25">
      <c r="A39" s="57">
        <v>35</v>
      </c>
      <c r="B39" s="57" t="s">
        <v>511</v>
      </c>
      <c r="C39" s="57" t="s">
        <v>512</v>
      </c>
      <c r="D39" s="57">
        <v>2</v>
      </c>
      <c r="E39" s="57">
        <v>2</v>
      </c>
      <c r="F39" s="57"/>
      <c r="G39" s="57" t="s">
        <v>466</v>
      </c>
      <c r="H39" s="58" t="s">
        <v>510</v>
      </c>
      <c r="I39" s="59"/>
    </row>
    <row r="40" spans="1:9" x14ac:dyDescent="0.25">
      <c r="A40" s="57">
        <v>36</v>
      </c>
      <c r="B40" s="57" t="s">
        <v>513</v>
      </c>
      <c r="C40" s="57" t="s">
        <v>514</v>
      </c>
      <c r="D40" s="57">
        <v>11</v>
      </c>
      <c r="E40" s="57">
        <v>11</v>
      </c>
      <c r="F40" s="57"/>
      <c r="G40" s="57" t="s">
        <v>466</v>
      </c>
      <c r="H40" s="58" t="s">
        <v>510</v>
      </c>
      <c r="I40" s="59"/>
    </row>
    <row r="41" spans="1:9" x14ac:dyDescent="0.25">
      <c r="A41" s="57">
        <v>37</v>
      </c>
      <c r="B41" s="57" t="s">
        <v>515</v>
      </c>
      <c r="C41" s="57" t="s">
        <v>516</v>
      </c>
      <c r="D41" s="57">
        <v>2</v>
      </c>
      <c r="E41" s="57">
        <v>2</v>
      </c>
      <c r="F41" s="57"/>
      <c r="G41" s="57" t="s">
        <v>466</v>
      </c>
      <c r="H41" s="58" t="s">
        <v>510</v>
      </c>
      <c r="I41" s="59"/>
    </row>
    <row r="42" spans="1:9" x14ac:dyDescent="0.25">
      <c r="A42" s="57">
        <v>38</v>
      </c>
      <c r="B42" s="57" t="s">
        <v>517</v>
      </c>
      <c r="C42" s="57" t="s">
        <v>518</v>
      </c>
      <c r="D42" s="57">
        <v>5</v>
      </c>
      <c r="E42" s="57">
        <v>5</v>
      </c>
      <c r="F42" s="57"/>
      <c r="G42" s="57" t="s">
        <v>519</v>
      </c>
      <c r="H42" s="58" t="s">
        <v>510</v>
      </c>
      <c r="I42" s="59"/>
    </row>
    <row r="43" spans="1:9" x14ac:dyDescent="0.25">
      <c r="A43" s="57">
        <v>39</v>
      </c>
      <c r="B43" s="57" t="s">
        <v>520</v>
      </c>
      <c r="C43" s="57" t="s">
        <v>521</v>
      </c>
      <c r="D43" s="57">
        <v>1</v>
      </c>
      <c r="E43" s="57">
        <v>1</v>
      </c>
      <c r="F43" s="57"/>
      <c r="G43" s="57" t="s">
        <v>466</v>
      </c>
      <c r="H43" s="58" t="s">
        <v>510</v>
      </c>
      <c r="I43" s="59"/>
    </row>
    <row r="44" spans="1:9" x14ac:dyDescent="0.25">
      <c r="A44" s="57">
        <v>40</v>
      </c>
      <c r="B44" s="57" t="s">
        <v>192</v>
      </c>
      <c r="C44" s="57" t="s">
        <v>522</v>
      </c>
      <c r="D44" s="57">
        <v>9</v>
      </c>
      <c r="E44" s="57">
        <v>9</v>
      </c>
      <c r="F44" s="57"/>
      <c r="G44" s="57" t="s">
        <v>466</v>
      </c>
      <c r="H44" s="58" t="s">
        <v>510</v>
      </c>
      <c r="I44" s="59"/>
    </row>
    <row r="45" spans="1:9" x14ac:dyDescent="0.25">
      <c r="A45" s="57">
        <v>41</v>
      </c>
      <c r="B45" s="57" t="s">
        <v>523</v>
      </c>
      <c r="C45" s="57" t="s">
        <v>88</v>
      </c>
      <c r="D45" s="57">
        <v>2</v>
      </c>
      <c r="E45" s="57">
        <v>2</v>
      </c>
      <c r="F45" s="57"/>
      <c r="G45" s="57" t="s">
        <v>488</v>
      </c>
      <c r="H45" s="58" t="s">
        <v>510</v>
      </c>
      <c r="I45" s="59"/>
    </row>
    <row r="46" spans="1:9" x14ac:dyDescent="0.25">
      <c r="A46" s="57">
        <v>42</v>
      </c>
      <c r="B46" s="57" t="s">
        <v>79</v>
      </c>
      <c r="C46" s="57" t="s">
        <v>524</v>
      </c>
      <c r="D46" s="57">
        <v>3</v>
      </c>
      <c r="E46" s="57">
        <v>3</v>
      </c>
      <c r="F46" s="57"/>
      <c r="G46" s="57" t="s">
        <v>466</v>
      </c>
      <c r="H46" s="58" t="s">
        <v>510</v>
      </c>
      <c r="I46" s="59"/>
    </row>
    <row r="47" spans="1:9" x14ac:dyDescent="0.25">
      <c r="A47" s="57">
        <v>43</v>
      </c>
      <c r="B47" s="57" t="s">
        <v>192</v>
      </c>
      <c r="C47" s="57" t="s">
        <v>525</v>
      </c>
      <c r="D47" s="57">
        <v>4</v>
      </c>
      <c r="E47" s="57">
        <v>4</v>
      </c>
      <c r="F47" s="57"/>
      <c r="G47" s="57" t="s">
        <v>466</v>
      </c>
      <c r="H47" s="58" t="s">
        <v>510</v>
      </c>
      <c r="I47" s="59"/>
    </row>
    <row r="48" spans="1:9" x14ac:dyDescent="0.25">
      <c r="A48" s="57">
        <v>44</v>
      </c>
      <c r="B48" s="57" t="s">
        <v>192</v>
      </c>
      <c r="C48" s="57" t="s">
        <v>526</v>
      </c>
      <c r="D48" s="57">
        <v>11</v>
      </c>
      <c r="E48" s="57">
        <v>11</v>
      </c>
      <c r="F48" s="57"/>
      <c r="G48" s="57" t="s">
        <v>466</v>
      </c>
      <c r="H48" s="58" t="s">
        <v>510</v>
      </c>
      <c r="I48" s="59"/>
    </row>
    <row r="49" spans="1:9" x14ac:dyDescent="0.25">
      <c r="A49" s="57">
        <v>45</v>
      </c>
      <c r="B49" s="57" t="s">
        <v>527</v>
      </c>
      <c r="C49" s="57"/>
      <c r="D49" s="57">
        <v>1</v>
      </c>
      <c r="E49" s="57">
        <v>1</v>
      </c>
      <c r="F49" s="57"/>
      <c r="G49" s="57" t="s">
        <v>528</v>
      </c>
      <c r="H49" s="58" t="s">
        <v>510</v>
      </c>
      <c r="I49" s="59"/>
    </row>
    <row r="50" spans="1:9" x14ac:dyDescent="0.25">
      <c r="A50" s="57">
        <v>46</v>
      </c>
      <c r="B50" s="57" t="s">
        <v>529</v>
      </c>
      <c r="C50" s="57"/>
      <c r="D50" s="57">
        <v>29</v>
      </c>
      <c r="E50" s="57">
        <v>29</v>
      </c>
      <c r="F50" s="57"/>
      <c r="G50" s="57" t="s">
        <v>466</v>
      </c>
      <c r="H50" s="58" t="s">
        <v>510</v>
      </c>
      <c r="I50" s="59"/>
    </row>
    <row r="51" spans="1:9" x14ac:dyDescent="0.25">
      <c r="A51" s="57">
        <v>47</v>
      </c>
      <c r="B51" s="57" t="s">
        <v>511</v>
      </c>
      <c r="C51" s="57" t="s">
        <v>530</v>
      </c>
      <c r="D51" s="57">
        <v>2</v>
      </c>
      <c r="E51" s="57">
        <v>2</v>
      </c>
      <c r="F51" s="57"/>
      <c r="G51" s="57" t="s">
        <v>466</v>
      </c>
      <c r="H51" s="58" t="s">
        <v>510</v>
      </c>
      <c r="I51" s="59"/>
    </row>
    <row r="52" spans="1:9" x14ac:dyDescent="0.25">
      <c r="A52" s="57">
        <v>48</v>
      </c>
      <c r="B52" s="57" t="s">
        <v>87</v>
      </c>
      <c r="C52" s="57" t="s">
        <v>172</v>
      </c>
      <c r="D52" s="57">
        <v>5</v>
      </c>
      <c r="E52" s="57">
        <v>5</v>
      </c>
      <c r="F52" s="57"/>
      <c r="G52" s="57" t="s">
        <v>466</v>
      </c>
      <c r="H52" s="58" t="s">
        <v>510</v>
      </c>
      <c r="I52" s="59"/>
    </row>
    <row r="53" spans="1:9" x14ac:dyDescent="0.25">
      <c r="A53" s="57">
        <v>49</v>
      </c>
      <c r="B53" s="57" t="s">
        <v>87</v>
      </c>
      <c r="C53" s="57" t="s">
        <v>104</v>
      </c>
      <c r="D53" s="57">
        <v>7</v>
      </c>
      <c r="E53" s="57">
        <v>7</v>
      </c>
      <c r="F53" s="57"/>
      <c r="G53" s="57" t="s">
        <v>466</v>
      </c>
      <c r="H53" s="58" t="s">
        <v>510</v>
      </c>
      <c r="I53" s="59"/>
    </row>
    <row r="54" spans="1:9" x14ac:dyDescent="0.25">
      <c r="A54" s="57">
        <v>50</v>
      </c>
      <c r="B54" s="57" t="s">
        <v>87</v>
      </c>
      <c r="C54" s="57" t="s">
        <v>88</v>
      </c>
      <c r="D54" s="57">
        <v>5</v>
      </c>
      <c r="E54" s="57">
        <v>5</v>
      </c>
      <c r="F54" s="57"/>
      <c r="G54" s="57" t="s">
        <v>466</v>
      </c>
      <c r="H54" s="58" t="s">
        <v>510</v>
      </c>
      <c r="I54" s="59"/>
    </row>
    <row r="55" spans="1:9" x14ac:dyDescent="0.25">
      <c r="A55" s="57">
        <v>51</v>
      </c>
      <c r="B55" s="57" t="s">
        <v>531</v>
      </c>
      <c r="C55" s="57" t="s">
        <v>532</v>
      </c>
      <c r="D55" s="57">
        <v>1</v>
      </c>
      <c r="E55" s="57">
        <v>1</v>
      </c>
      <c r="F55" s="57"/>
      <c r="G55" s="57" t="s">
        <v>466</v>
      </c>
      <c r="H55" s="58" t="s">
        <v>510</v>
      </c>
      <c r="I55" s="59"/>
    </row>
    <row r="56" spans="1:9" x14ac:dyDescent="0.25">
      <c r="A56" s="57">
        <v>52</v>
      </c>
      <c r="B56" s="57" t="s">
        <v>533</v>
      </c>
      <c r="C56" s="57"/>
      <c r="D56" s="57">
        <v>50</v>
      </c>
      <c r="E56" s="57">
        <v>50</v>
      </c>
      <c r="F56" s="57"/>
      <c r="G56" s="57" t="s">
        <v>466</v>
      </c>
      <c r="H56" s="58" t="s">
        <v>510</v>
      </c>
      <c r="I56" s="59"/>
    </row>
    <row r="57" spans="1:9" x14ac:dyDescent="0.25">
      <c r="A57" s="57">
        <v>53</v>
      </c>
      <c r="B57" s="57" t="s">
        <v>534</v>
      </c>
      <c r="C57" s="57"/>
      <c r="D57" s="57">
        <v>19</v>
      </c>
      <c r="E57" s="57">
        <v>19</v>
      </c>
      <c r="F57" s="57"/>
      <c r="G57" s="57" t="s">
        <v>466</v>
      </c>
      <c r="H57" s="58" t="s">
        <v>510</v>
      </c>
      <c r="I57" s="59"/>
    </row>
    <row r="58" spans="1:9" x14ac:dyDescent="0.25">
      <c r="A58" s="57">
        <v>54</v>
      </c>
      <c r="B58" s="57" t="s">
        <v>207</v>
      </c>
      <c r="C58" s="57" t="s">
        <v>207</v>
      </c>
      <c r="D58" s="57">
        <v>50</v>
      </c>
      <c r="E58" s="57">
        <v>50</v>
      </c>
      <c r="F58" s="57"/>
      <c r="G58" s="57" t="s">
        <v>466</v>
      </c>
      <c r="H58" s="58" t="s">
        <v>510</v>
      </c>
      <c r="I58" s="59"/>
    </row>
    <row r="59" spans="1:9" x14ac:dyDescent="0.25">
      <c r="A59" s="57">
        <v>55</v>
      </c>
      <c r="B59" s="57" t="s">
        <v>535</v>
      </c>
      <c r="C59" s="57" t="s">
        <v>536</v>
      </c>
      <c r="D59" s="57">
        <v>53</v>
      </c>
      <c r="E59" s="57">
        <v>53</v>
      </c>
      <c r="F59" s="57"/>
      <c r="G59" s="57" t="s">
        <v>519</v>
      </c>
      <c r="H59" s="58" t="s">
        <v>510</v>
      </c>
      <c r="I59" s="59"/>
    </row>
    <row r="60" spans="1:9" x14ac:dyDescent="0.25">
      <c r="A60" s="57">
        <v>56</v>
      </c>
      <c r="B60" s="57" t="s">
        <v>535</v>
      </c>
      <c r="C60" s="57" t="s">
        <v>537</v>
      </c>
      <c r="D60" s="57">
        <v>29</v>
      </c>
      <c r="E60" s="57">
        <v>29</v>
      </c>
      <c r="F60" s="57"/>
      <c r="G60" s="57" t="s">
        <v>519</v>
      </c>
      <c r="H60" s="58" t="s">
        <v>510</v>
      </c>
      <c r="I60" s="59"/>
    </row>
    <row r="61" spans="1:9" x14ac:dyDescent="0.25">
      <c r="A61" s="57">
        <v>57</v>
      </c>
      <c r="B61" s="57" t="s">
        <v>535</v>
      </c>
      <c r="C61" s="57" t="s">
        <v>538</v>
      </c>
      <c r="D61" s="57">
        <v>3</v>
      </c>
      <c r="E61" s="57">
        <v>3</v>
      </c>
      <c r="F61" s="57"/>
      <c r="G61" s="57" t="s">
        <v>519</v>
      </c>
      <c r="H61" s="58" t="s">
        <v>510</v>
      </c>
      <c r="I61" s="59"/>
    </row>
    <row r="62" spans="1:9" x14ac:dyDescent="0.25">
      <c r="A62" s="57">
        <v>58</v>
      </c>
      <c r="B62" s="57" t="s">
        <v>103</v>
      </c>
      <c r="C62" s="57" t="s">
        <v>88</v>
      </c>
      <c r="D62" s="57">
        <v>21</v>
      </c>
      <c r="E62" s="57">
        <v>21</v>
      </c>
      <c r="F62" s="57"/>
      <c r="G62" s="57" t="s">
        <v>466</v>
      </c>
      <c r="H62" s="58" t="s">
        <v>510</v>
      </c>
      <c r="I62" s="59"/>
    </row>
    <row r="63" spans="1:9" x14ac:dyDescent="0.25">
      <c r="A63" s="57">
        <v>59</v>
      </c>
      <c r="B63" s="57" t="s">
        <v>103</v>
      </c>
      <c r="C63" s="57" t="s">
        <v>104</v>
      </c>
      <c r="D63" s="57">
        <v>21</v>
      </c>
      <c r="E63" s="57">
        <v>21</v>
      </c>
      <c r="F63" s="57"/>
      <c r="G63" s="57" t="s">
        <v>466</v>
      </c>
      <c r="H63" s="58" t="s">
        <v>510</v>
      </c>
      <c r="I63" s="59"/>
    </row>
    <row r="64" spans="1:9" x14ac:dyDescent="0.25">
      <c r="A64" s="57">
        <v>60</v>
      </c>
      <c r="B64" s="57" t="s">
        <v>539</v>
      </c>
      <c r="C64" s="57" t="s">
        <v>540</v>
      </c>
      <c r="D64" s="57">
        <v>3</v>
      </c>
      <c r="E64" s="57">
        <v>3</v>
      </c>
      <c r="F64" s="57"/>
      <c r="G64" s="57" t="s">
        <v>466</v>
      </c>
      <c r="H64" s="58" t="s">
        <v>510</v>
      </c>
      <c r="I64" s="59"/>
    </row>
    <row r="65" spans="1:9" x14ac:dyDescent="0.25">
      <c r="A65" s="57">
        <v>61</v>
      </c>
      <c r="B65" s="57" t="s">
        <v>541</v>
      </c>
      <c r="C65" s="57"/>
      <c r="D65" s="57">
        <v>20</v>
      </c>
      <c r="E65" s="57">
        <v>20</v>
      </c>
      <c r="F65" s="57"/>
      <c r="G65" s="57" t="s">
        <v>466</v>
      </c>
      <c r="H65" s="58" t="s">
        <v>510</v>
      </c>
      <c r="I65" s="59"/>
    </row>
    <row r="66" spans="1:9" x14ac:dyDescent="0.25">
      <c r="A66" s="57">
        <v>62</v>
      </c>
      <c r="B66" s="57" t="s">
        <v>542</v>
      </c>
      <c r="C66" s="57" t="s">
        <v>543</v>
      </c>
      <c r="D66" s="57">
        <v>1</v>
      </c>
      <c r="E66" s="57">
        <v>1</v>
      </c>
      <c r="F66" s="57"/>
      <c r="G66" s="57" t="s">
        <v>466</v>
      </c>
      <c r="H66" s="58" t="s">
        <v>510</v>
      </c>
      <c r="I66" s="59"/>
    </row>
    <row r="67" spans="1:9" x14ac:dyDescent="0.25">
      <c r="A67" s="57">
        <v>63</v>
      </c>
      <c r="B67" s="57" t="s">
        <v>544</v>
      </c>
      <c r="C67" s="57" t="s">
        <v>545</v>
      </c>
      <c r="D67" s="57">
        <v>5</v>
      </c>
      <c r="E67" s="57">
        <v>5</v>
      </c>
      <c r="F67" s="57"/>
      <c r="G67" s="57" t="s">
        <v>472</v>
      </c>
      <c r="H67" s="58" t="s">
        <v>510</v>
      </c>
      <c r="I67" s="59"/>
    </row>
    <row r="68" spans="1:9" x14ac:dyDescent="0.25">
      <c r="A68" s="57">
        <v>64</v>
      </c>
      <c r="B68" s="57" t="s">
        <v>478</v>
      </c>
      <c r="C68" s="57" t="s">
        <v>546</v>
      </c>
      <c r="D68" s="57">
        <v>60</v>
      </c>
      <c r="E68" s="57">
        <v>60</v>
      </c>
      <c r="F68" s="57"/>
      <c r="G68" s="57" t="s">
        <v>547</v>
      </c>
      <c r="H68" s="58" t="s">
        <v>510</v>
      </c>
      <c r="I68" s="59"/>
    </row>
    <row r="69" spans="1:9" x14ac:dyDescent="0.25">
      <c r="A69" s="57">
        <v>65</v>
      </c>
      <c r="B69" s="57" t="s">
        <v>478</v>
      </c>
      <c r="C69" s="57" t="s">
        <v>548</v>
      </c>
      <c r="D69" s="57">
        <v>100</v>
      </c>
      <c r="E69" s="57">
        <v>100</v>
      </c>
      <c r="F69" s="57"/>
      <c r="G69" s="57" t="s">
        <v>547</v>
      </c>
      <c r="H69" s="58" t="s">
        <v>510</v>
      </c>
      <c r="I69" s="59"/>
    </row>
    <row r="70" spans="1:9" x14ac:dyDescent="0.25">
      <c r="A70" s="57">
        <v>66</v>
      </c>
      <c r="B70" s="57" t="s">
        <v>478</v>
      </c>
      <c r="C70" s="57" t="s">
        <v>549</v>
      </c>
      <c r="D70" s="57">
        <v>100</v>
      </c>
      <c r="E70" s="57">
        <v>100</v>
      </c>
      <c r="F70" s="57"/>
      <c r="G70" s="57" t="s">
        <v>547</v>
      </c>
      <c r="H70" s="58" t="s">
        <v>510</v>
      </c>
      <c r="I70" s="59"/>
    </row>
    <row r="71" spans="1:9" x14ac:dyDescent="0.25">
      <c r="A71" s="57">
        <v>67</v>
      </c>
      <c r="B71" s="57" t="s">
        <v>550</v>
      </c>
      <c r="C71" s="57" t="s">
        <v>551</v>
      </c>
      <c r="D71" s="57">
        <v>9</v>
      </c>
      <c r="E71" s="57">
        <v>9</v>
      </c>
      <c r="F71" s="57"/>
      <c r="G71" s="57" t="s">
        <v>547</v>
      </c>
      <c r="H71" s="58" t="s">
        <v>510</v>
      </c>
      <c r="I71" s="59"/>
    </row>
    <row r="72" spans="1:9" x14ac:dyDescent="0.25">
      <c r="A72" s="57">
        <v>68</v>
      </c>
      <c r="B72" s="57" t="s">
        <v>478</v>
      </c>
      <c r="C72" s="57" t="s">
        <v>552</v>
      </c>
      <c r="D72" s="57">
        <v>3</v>
      </c>
      <c r="E72" s="57">
        <v>3</v>
      </c>
      <c r="F72" s="57"/>
      <c r="G72" s="57" t="s">
        <v>475</v>
      </c>
      <c r="H72" s="58" t="s">
        <v>510</v>
      </c>
      <c r="I72" s="59"/>
    </row>
    <row r="73" spans="1:9" x14ac:dyDescent="0.25">
      <c r="A73" s="57">
        <v>69</v>
      </c>
      <c r="B73" s="57" t="s">
        <v>553</v>
      </c>
      <c r="C73" s="57" t="s">
        <v>554</v>
      </c>
      <c r="D73" s="57">
        <v>1</v>
      </c>
      <c r="E73" s="57">
        <v>1</v>
      </c>
      <c r="F73" s="57"/>
      <c r="G73" s="57" t="s">
        <v>466</v>
      </c>
      <c r="H73" s="58" t="s">
        <v>510</v>
      </c>
      <c r="I73" s="59"/>
    </row>
    <row r="74" spans="1:9" x14ac:dyDescent="0.25">
      <c r="A74" s="57">
        <v>70</v>
      </c>
      <c r="B74" s="57" t="s">
        <v>486</v>
      </c>
      <c r="C74" s="57" t="s">
        <v>555</v>
      </c>
      <c r="D74" s="57">
        <v>4</v>
      </c>
      <c r="E74" s="57">
        <v>4</v>
      </c>
      <c r="F74" s="57"/>
      <c r="G74" s="57" t="s">
        <v>466</v>
      </c>
      <c r="H74" s="58" t="s">
        <v>510</v>
      </c>
      <c r="I74" s="59"/>
    </row>
    <row r="75" spans="1:9" x14ac:dyDescent="0.25">
      <c r="A75" s="57">
        <v>71</v>
      </c>
      <c r="B75" s="57" t="s">
        <v>486</v>
      </c>
      <c r="C75" s="57" t="s">
        <v>556</v>
      </c>
      <c r="D75" s="57">
        <v>3</v>
      </c>
      <c r="E75" s="57">
        <v>3</v>
      </c>
      <c r="F75" s="57"/>
      <c r="G75" s="57" t="s">
        <v>466</v>
      </c>
      <c r="H75" s="58" t="s">
        <v>510</v>
      </c>
      <c r="I75" s="59"/>
    </row>
    <row r="76" spans="1:9" x14ac:dyDescent="0.25">
      <c r="A76" s="57">
        <v>72</v>
      </c>
      <c r="B76" s="57" t="s">
        <v>557</v>
      </c>
      <c r="C76" s="57" t="s">
        <v>558</v>
      </c>
      <c r="D76" s="57">
        <v>1</v>
      </c>
      <c r="E76" s="57">
        <v>1</v>
      </c>
      <c r="F76" s="57"/>
      <c r="G76" s="57" t="s">
        <v>466</v>
      </c>
      <c r="H76" s="58" t="s">
        <v>510</v>
      </c>
      <c r="I76" s="59"/>
    </row>
    <row r="77" spans="1:9" x14ac:dyDescent="0.25">
      <c r="A77" s="57">
        <v>73</v>
      </c>
      <c r="B77" s="57" t="s">
        <v>295</v>
      </c>
      <c r="C77" s="57"/>
      <c r="D77" s="57">
        <v>3</v>
      </c>
      <c r="E77" s="57">
        <v>3</v>
      </c>
      <c r="F77" s="57"/>
      <c r="G77" s="57" t="s">
        <v>466</v>
      </c>
      <c r="H77" s="58" t="s">
        <v>510</v>
      </c>
      <c r="I77" s="59"/>
    </row>
    <row r="78" spans="1:9" x14ac:dyDescent="0.25">
      <c r="A78" s="57">
        <v>74</v>
      </c>
      <c r="B78" s="57" t="s">
        <v>559</v>
      </c>
      <c r="C78" s="57"/>
      <c r="D78" s="57">
        <v>100</v>
      </c>
      <c r="E78" s="57">
        <v>100</v>
      </c>
      <c r="F78" s="57"/>
      <c r="G78" s="57" t="s">
        <v>466</v>
      </c>
      <c r="H78" s="58" t="s">
        <v>510</v>
      </c>
      <c r="I78" s="59"/>
    </row>
    <row r="79" spans="1:9" x14ac:dyDescent="0.25">
      <c r="A79" s="57">
        <v>75</v>
      </c>
      <c r="B79" s="57" t="s">
        <v>517</v>
      </c>
      <c r="C79" s="57" t="s">
        <v>560</v>
      </c>
      <c r="D79" s="57">
        <v>8</v>
      </c>
      <c r="E79" s="57">
        <v>8</v>
      </c>
      <c r="F79" s="57"/>
      <c r="G79" s="57" t="s">
        <v>475</v>
      </c>
      <c r="H79" s="58" t="s">
        <v>510</v>
      </c>
      <c r="I79" s="59"/>
    </row>
    <row r="80" spans="1:9" x14ac:dyDescent="0.25">
      <c r="A80" s="57">
        <v>76</v>
      </c>
      <c r="B80" s="57" t="s">
        <v>561</v>
      </c>
      <c r="C80" s="57" t="s">
        <v>562</v>
      </c>
      <c r="D80" s="57">
        <v>27</v>
      </c>
      <c r="E80" s="57">
        <v>27</v>
      </c>
      <c r="F80" s="57"/>
      <c r="G80" s="57" t="s">
        <v>466</v>
      </c>
      <c r="H80" s="58" t="s">
        <v>510</v>
      </c>
      <c r="I80" s="59"/>
    </row>
    <row r="81" spans="1:9" x14ac:dyDescent="0.25">
      <c r="A81" s="57">
        <v>77</v>
      </c>
      <c r="B81" s="57" t="s">
        <v>563</v>
      </c>
      <c r="C81" s="57" t="s">
        <v>564</v>
      </c>
      <c r="D81" s="57">
        <v>2</v>
      </c>
      <c r="E81" s="57">
        <v>2</v>
      </c>
      <c r="F81" s="57"/>
      <c r="G81" s="57" t="s">
        <v>466</v>
      </c>
      <c r="H81" s="58" t="s">
        <v>510</v>
      </c>
      <c r="I81" s="59"/>
    </row>
    <row r="82" spans="1:9" x14ac:dyDescent="0.25">
      <c r="A82" s="57">
        <v>78</v>
      </c>
      <c r="B82" s="57" t="s">
        <v>565</v>
      </c>
      <c r="C82" s="57" t="s">
        <v>566</v>
      </c>
      <c r="D82" s="57">
        <v>1</v>
      </c>
      <c r="E82" s="57">
        <v>1</v>
      </c>
      <c r="F82" s="57"/>
      <c r="G82" s="57" t="s">
        <v>466</v>
      </c>
      <c r="H82" s="58" t="s">
        <v>510</v>
      </c>
      <c r="I82" s="59"/>
    </row>
    <row r="83" spans="1:9" x14ac:dyDescent="0.25">
      <c r="A83" s="57">
        <v>79</v>
      </c>
      <c r="B83" s="57" t="s">
        <v>523</v>
      </c>
      <c r="C83" s="57" t="s">
        <v>172</v>
      </c>
      <c r="D83" s="57">
        <v>3</v>
      </c>
      <c r="E83" s="57">
        <v>3</v>
      </c>
      <c r="F83" s="57"/>
      <c r="G83" s="57" t="s">
        <v>466</v>
      </c>
      <c r="H83" s="58" t="s">
        <v>510</v>
      </c>
      <c r="I83" s="59"/>
    </row>
    <row r="84" spans="1:9" x14ac:dyDescent="0.25">
      <c r="A84" s="57">
        <v>80</v>
      </c>
      <c r="B84" s="57" t="s">
        <v>171</v>
      </c>
      <c r="C84" s="57" t="s">
        <v>172</v>
      </c>
      <c r="D84" s="57">
        <v>5</v>
      </c>
      <c r="E84" s="57">
        <v>6</v>
      </c>
      <c r="F84" s="57">
        <v>1</v>
      </c>
      <c r="G84" s="57" t="s">
        <v>488</v>
      </c>
      <c r="H84" s="58" t="s">
        <v>510</v>
      </c>
      <c r="I84" s="59"/>
    </row>
    <row r="85" spans="1:9" x14ac:dyDescent="0.25">
      <c r="A85" s="57">
        <v>81</v>
      </c>
      <c r="B85" s="57" t="s">
        <v>567</v>
      </c>
      <c r="C85" s="57" t="s">
        <v>568</v>
      </c>
      <c r="D85" s="57">
        <v>60</v>
      </c>
      <c r="E85" s="57">
        <v>60</v>
      </c>
      <c r="F85" s="57"/>
      <c r="G85" s="57" t="s">
        <v>466</v>
      </c>
      <c r="H85" s="58" t="s">
        <v>510</v>
      </c>
      <c r="I85" s="59"/>
    </row>
    <row r="86" spans="1:9" x14ac:dyDescent="0.25">
      <c r="A86" s="57">
        <v>82</v>
      </c>
      <c r="B86" s="57" t="s">
        <v>569</v>
      </c>
      <c r="C86" s="57" t="s">
        <v>104</v>
      </c>
      <c r="D86" s="57">
        <v>6</v>
      </c>
      <c r="E86" s="57">
        <v>6</v>
      </c>
      <c r="F86" s="57"/>
      <c r="G86" s="57" t="s">
        <v>466</v>
      </c>
      <c r="H86" s="58" t="s">
        <v>510</v>
      </c>
      <c r="I86" s="59"/>
    </row>
    <row r="87" spans="1:9" x14ac:dyDescent="0.25">
      <c r="A87" s="57">
        <v>83</v>
      </c>
      <c r="B87" s="57" t="s">
        <v>570</v>
      </c>
      <c r="C87" s="57" t="s">
        <v>104</v>
      </c>
      <c r="D87" s="57">
        <v>7</v>
      </c>
      <c r="E87" s="57">
        <v>7</v>
      </c>
      <c r="F87" s="57"/>
      <c r="G87" s="57" t="s">
        <v>466</v>
      </c>
      <c r="H87" s="58" t="s">
        <v>510</v>
      </c>
      <c r="I87" s="59"/>
    </row>
    <row r="88" spans="1:9" x14ac:dyDescent="0.25">
      <c r="A88" s="57">
        <v>84</v>
      </c>
      <c r="B88" s="57" t="s">
        <v>570</v>
      </c>
      <c r="C88" s="57" t="s">
        <v>172</v>
      </c>
      <c r="D88" s="57">
        <v>5</v>
      </c>
      <c r="E88" s="57">
        <v>5</v>
      </c>
      <c r="F88" s="57"/>
      <c r="G88" s="57" t="s">
        <v>466</v>
      </c>
      <c r="H88" s="58" t="s">
        <v>510</v>
      </c>
      <c r="I88" s="59"/>
    </row>
    <row r="89" spans="1:9" x14ac:dyDescent="0.25">
      <c r="A89" s="57">
        <v>85</v>
      </c>
      <c r="B89" s="57" t="s">
        <v>571</v>
      </c>
      <c r="C89" s="57" t="s">
        <v>104</v>
      </c>
      <c r="D89" s="57">
        <v>2</v>
      </c>
      <c r="E89" s="57">
        <v>2</v>
      </c>
      <c r="F89" s="57"/>
      <c r="G89" s="57" t="s">
        <v>466</v>
      </c>
      <c r="H89" s="58" t="s">
        <v>510</v>
      </c>
      <c r="I89" s="59"/>
    </row>
    <row r="90" spans="1:9" x14ac:dyDescent="0.25">
      <c r="A90" s="57">
        <v>86</v>
      </c>
      <c r="B90" s="57" t="s">
        <v>572</v>
      </c>
      <c r="C90" s="57" t="s">
        <v>88</v>
      </c>
      <c r="D90" s="57">
        <v>2</v>
      </c>
      <c r="E90" s="57">
        <v>2</v>
      </c>
      <c r="F90" s="57"/>
      <c r="G90" s="57" t="s">
        <v>466</v>
      </c>
      <c r="H90" s="58" t="s">
        <v>510</v>
      </c>
      <c r="I90" s="59"/>
    </row>
    <row r="91" spans="1:9" x14ac:dyDescent="0.25">
      <c r="A91" s="57">
        <v>87</v>
      </c>
      <c r="B91" s="57" t="s">
        <v>573</v>
      </c>
      <c r="C91" s="57" t="s">
        <v>172</v>
      </c>
      <c r="D91" s="57">
        <v>2</v>
      </c>
      <c r="E91" s="57">
        <v>2</v>
      </c>
      <c r="F91" s="57"/>
      <c r="G91" s="57" t="s">
        <v>466</v>
      </c>
      <c r="H91" s="58" t="s">
        <v>510</v>
      </c>
      <c r="I91" s="59"/>
    </row>
    <row r="92" spans="1:9" x14ac:dyDescent="0.25">
      <c r="A92" s="57">
        <v>88</v>
      </c>
      <c r="B92" s="57" t="s">
        <v>573</v>
      </c>
      <c r="C92" s="57" t="s">
        <v>88</v>
      </c>
      <c r="D92" s="57">
        <v>1</v>
      </c>
      <c r="E92" s="57">
        <v>1</v>
      </c>
      <c r="F92" s="57"/>
      <c r="G92" s="57" t="s">
        <v>466</v>
      </c>
      <c r="H92" s="58" t="s">
        <v>510</v>
      </c>
      <c r="I92" s="59"/>
    </row>
    <row r="93" spans="1:9" x14ac:dyDescent="0.25">
      <c r="A93" s="57">
        <v>89</v>
      </c>
      <c r="B93" s="57" t="s">
        <v>574</v>
      </c>
      <c r="C93" s="57"/>
      <c r="D93" s="57">
        <v>4</v>
      </c>
      <c r="E93" s="57">
        <v>4</v>
      </c>
      <c r="F93" s="57"/>
      <c r="G93" s="57" t="s">
        <v>466</v>
      </c>
      <c r="H93" s="58" t="s">
        <v>510</v>
      </c>
      <c r="I93" s="59"/>
    </row>
    <row r="94" spans="1:9" x14ac:dyDescent="0.25">
      <c r="A94" s="57">
        <v>90</v>
      </c>
      <c r="B94" s="57" t="s">
        <v>306</v>
      </c>
      <c r="C94" s="57" t="s">
        <v>575</v>
      </c>
      <c r="D94" s="57">
        <v>8</v>
      </c>
      <c r="E94" s="57">
        <v>8</v>
      </c>
      <c r="F94" s="57"/>
      <c r="G94" s="57" t="s">
        <v>466</v>
      </c>
      <c r="H94" s="58" t="s">
        <v>510</v>
      </c>
      <c r="I94" s="59"/>
    </row>
    <row r="95" spans="1:9" x14ac:dyDescent="0.25">
      <c r="A95" s="57">
        <v>91</v>
      </c>
      <c r="B95" s="57" t="s">
        <v>576</v>
      </c>
      <c r="C95" s="57" t="s">
        <v>577</v>
      </c>
      <c r="D95" s="57">
        <v>1</v>
      </c>
      <c r="E95" s="57">
        <v>1</v>
      </c>
      <c r="F95" s="57"/>
      <c r="G95" s="57" t="s">
        <v>488</v>
      </c>
      <c r="H95" s="58" t="s">
        <v>510</v>
      </c>
      <c r="I95" s="59"/>
    </row>
    <row r="96" spans="1:9" x14ac:dyDescent="0.25">
      <c r="A96" s="57">
        <v>92</v>
      </c>
      <c r="B96" s="57" t="s">
        <v>576</v>
      </c>
      <c r="C96" s="57" t="s">
        <v>578</v>
      </c>
      <c r="D96" s="57">
        <v>1</v>
      </c>
      <c r="E96" s="57">
        <v>1</v>
      </c>
      <c r="F96" s="57"/>
      <c r="G96" s="57" t="s">
        <v>488</v>
      </c>
      <c r="H96" s="58" t="s">
        <v>510</v>
      </c>
      <c r="I96" s="59"/>
    </row>
    <row r="97" spans="1:9" x14ac:dyDescent="0.25">
      <c r="A97" s="57">
        <v>93</v>
      </c>
      <c r="B97" s="57" t="s">
        <v>576</v>
      </c>
      <c r="C97" s="57" t="s">
        <v>579</v>
      </c>
      <c r="D97" s="57">
        <v>1</v>
      </c>
      <c r="E97" s="57">
        <v>1</v>
      </c>
      <c r="F97" s="57"/>
      <c r="G97" s="57" t="s">
        <v>488</v>
      </c>
      <c r="H97" s="58" t="s">
        <v>510</v>
      </c>
      <c r="I97" s="59"/>
    </row>
    <row r="98" spans="1:9" x14ac:dyDescent="0.25">
      <c r="A98" s="57">
        <v>94</v>
      </c>
      <c r="B98" s="57" t="s">
        <v>495</v>
      </c>
      <c r="C98" s="57" t="s">
        <v>426</v>
      </c>
      <c r="D98" s="57">
        <v>2</v>
      </c>
      <c r="E98" s="57">
        <v>2</v>
      </c>
      <c r="F98" s="57"/>
      <c r="G98" s="57" t="s">
        <v>488</v>
      </c>
      <c r="H98" s="58" t="s">
        <v>510</v>
      </c>
      <c r="I98" s="59"/>
    </row>
    <row r="99" spans="1:9" x14ac:dyDescent="0.25">
      <c r="A99" s="57">
        <v>95</v>
      </c>
      <c r="B99" s="57" t="s">
        <v>580</v>
      </c>
      <c r="C99" s="57" t="s">
        <v>581</v>
      </c>
      <c r="D99" s="57">
        <v>3</v>
      </c>
      <c r="E99" s="57">
        <v>3</v>
      </c>
      <c r="F99" s="57"/>
      <c r="G99" s="57" t="s">
        <v>488</v>
      </c>
      <c r="H99" s="58" t="s">
        <v>510</v>
      </c>
      <c r="I99" s="59"/>
    </row>
    <row r="100" spans="1:9" x14ac:dyDescent="0.25">
      <c r="A100" s="57">
        <v>96</v>
      </c>
      <c r="B100" s="57" t="s">
        <v>580</v>
      </c>
      <c r="C100" s="57" t="s">
        <v>582</v>
      </c>
      <c r="D100" s="57">
        <v>3</v>
      </c>
      <c r="E100" s="57">
        <v>3</v>
      </c>
      <c r="F100" s="57"/>
      <c r="G100" s="57" t="s">
        <v>488</v>
      </c>
      <c r="H100" s="58" t="s">
        <v>510</v>
      </c>
      <c r="I100" s="59"/>
    </row>
    <row r="101" spans="1:9" x14ac:dyDescent="0.25">
      <c r="A101" s="57">
        <v>97</v>
      </c>
      <c r="B101" s="57" t="s">
        <v>580</v>
      </c>
      <c r="C101" s="57" t="s">
        <v>583</v>
      </c>
      <c r="D101" s="57">
        <v>2</v>
      </c>
      <c r="E101" s="57">
        <v>2</v>
      </c>
      <c r="F101" s="57"/>
      <c r="G101" s="57" t="s">
        <v>488</v>
      </c>
      <c r="H101" s="58" t="s">
        <v>510</v>
      </c>
      <c r="I101" s="59"/>
    </row>
    <row r="102" spans="1:9" x14ac:dyDescent="0.25">
      <c r="A102" s="57">
        <v>98</v>
      </c>
      <c r="B102" s="57" t="s">
        <v>425</v>
      </c>
      <c r="C102" s="57" t="s">
        <v>584</v>
      </c>
      <c r="D102" s="57">
        <v>13</v>
      </c>
      <c r="E102" s="57">
        <v>13</v>
      </c>
      <c r="F102" s="57"/>
      <c r="G102" s="57" t="s">
        <v>488</v>
      </c>
      <c r="H102" s="58" t="s">
        <v>510</v>
      </c>
      <c r="I102" s="59"/>
    </row>
    <row r="103" spans="1:9" x14ac:dyDescent="0.25">
      <c r="A103" s="57">
        <v>99</v>
      </c>
      <c r="B103" s="57" t="s">
        <v>576</v>
      </c>
      <c r="C103" s="57" t="s">
        <v>585</v>
      </c>
      <c r="D103" s="57">
        <v>3</v>
      </c>
      <c r="E103" s="57">
        <v>3</v>
      </c>
      <c r="F103" s="57"/>
      <c r="G103" s="57" t="s">
        <v>488</v>
      </c>
      <c r="H103" s="58" t="s">
        <v>510</v>
      </c>
      <c r="I103" s="59"/>
    </row>
    <row r="104" spans="1:9" x14ac:dyDescent="0.25">
      <c r="A104" s="57">
        <v>100</v>
      </c>
      <c r="B104" s="57" t="s">
        <v>586</v>
      </c>
      <c r="C104" s="57" t="s">
        <v>587</v>
      </c>
      <c r="D104" s="57">
        <v>3</v>
      </c>
      <c r="E104" s="57">
        <v>3</v>
      </c>
      <c r="F104" s="57"/>
      <c r="G104" s="57" t="s">
        <v>466</v>
      </c>
      <c r="H104" s="58" t="s">
        <v>510</v>
      </c>
      <c r="I104" s="59"/>
    </row>
    <row r="105" spans="1:9" x14ac:dyDescent="0.25">
      <c r="A105" s="57">
        <v>101</v>
      </c>
      <c r="B105" s="57" t="s">
        <v>588</v>
      </c>
      <c r="C105" s="57" t="s">
        <v>589</v>
      </c>
      <c r="D105" s="57">
        <v>10</v>
      </c>
      <c r="E105" s="57">
        <v>10</v>
      </c>
      <c r="F105" s="57"/>
      <c r="G105" s="57" t="s">
        <v>466</v>
      </c>
      <c r="H105" s="58" t="s">
        <v>510</v>
      </c>
      <c r="I105" s="59"/>
    </row>
    <row r="106" spans="1:9" x14ac:dyDescent="0.25">
      <c r="A106" s="57">
        <v>102</v>
      </c>
      <c r="B106" s="57" t="s">
        <v>588</v>
      </c>
      <c r="C106" s="57" t="s">
        <v>590</v>
      </c>
      <c r="D106" s="57">
        <v>6</v>
      </c>
      <c r="E106" s="57">
        <v>6</v>
      </c>
      <c r="F106" s="57"/>
      <c r="G106" s="57" t="s">
        <v>488</v>
      </c>
      <c r="H106" s="58" t="s">
        <v>510</v>
      </c>
      <c r="I106" s="59"/>
    </row>
    <row r="107" spans="1:9" x14ac:dyDescent="0.25">
      <c r="A107" s="57">
        <v>103</v>
      </c>
      <c r="B107" s="57" t="s">
        <v>175</v>
      </c>
      <c r="C107" s="57" t="s">
        <v>591</v>
      </c>
      <c r="D107" s="57">
        <v>20</v>
      </c>
      <c r="E107" s="57">
        <v>20</v>
      </c>
      <c r="F107" s="57"/>
      <c r="G107" s="57" t="s">
        <v>480</v>
      </c>
      <c r="H107" s="58" t="s">
        <v>592</v>
      </c>
      <c r="I107" s="59"/>
    </row>
    <row r="108" spans="1:9" x14ac:dyDescent="0.25">
      <c r="A108" s="57">
        <v>104</v>
      </c>
      <c r="B108" s="57" t="s">
        <v>593</v>
      </c>
      <c r="C108" s="57" t="s">
        <v>88</v>
      </c>
      <c r="D108" s="57">
        <v>79</v>
      </c>
      <c r="E108" s="57">
        <v>79</v>
      </c>
      <c r="F108" s="57"/>
      <c r="G108" s="57" t="s">
        <v>480</v>
      </c>
      <c r="H108" s="58" t="s">
        <v>592</v>
      </c>
      <c r="I108" s="59"/>
    </row>
    <row r="109" spans="1:9" x14ac:dyDescent="0.25">
      <c r="A109" s="57">
        <v>105</v>
      </c>
      <c r="B109" s="57" t="s">
        <v>593</v>
      </c>
      <c r="C109" s="57" t="s">
        <v>104</v>
      </c>
      <c r="D109" s="57">
        <v>172</v>
      </c>
      <c r="E109" s="57">
        <v>172</v>
      </c>
      <c r="F109" s="57"/>
      <c r="G109" s="57" t="s">
        <v>480</v>
      </c>
      <c r="H109" s="58" t="s">
        <v>592</v>
      </c>
      <c r="I109" s="59"/>
    </row>
    <row r="110" spans="1:9" x14ac:dyDescent="0.25">
      <c r="A110" s="57">
        <v>106</v>
      </c>
      <c r="B110" s="57" t="s">
        <v>594</v>
      </c>
      <c r="C110" s="57" t="s">
        <v>595</v>
      </c>
      <c r="D110" s="57">
        <v>5</v>
      </c>
      <c r="E110" s="57">
        <v>5</v>
      </c>
      <c r="F110" s="57"/>
      <c r="G110" s="57" t="s">
        <v>466</v>
      </c>
      <c r="H110" s="58" t="s">
        <v>592</v>
      </c>
      <c r="I110" s="59"/>
    </row>
    <row r="111" spans="1:9" x14ac:dyDescent="0.25">
      <c r="A111" s="57">
        <v>107</v>
      </c>
      <c r="B111" s="57" t="s">
        <v>594</v>
      </c>
      <c r="C111" s="57" t="s">
        <v>596</v>
      </c>
      <c r="D111" s="57">
        <v>2</v>
      </c>
      <c r="E111" s="57">
        <v>2</v>
      </c>
      <c r="F111" s="57"/>
      <c r="G111" s="57" t="s">
        <v>466</v>
      </c>
      <c r="H111" s="58" t="s">
        <v>592</v>
      </c>
      <c r="I111" s="59"/>
    </row>
    <row r="112" spans="1:9" x14ac:dyDescent="0.25">
      <c r="A112" s="57">
        <v>108</v>
      </c>
      <c r="B112" s="57" t="s">
        <v>290</v>
      </c>
      <c r="C112" s="57" t="s">
        <v>597</v>
      </c>
      <c r="D112" s="57">
        <v>4</v>
      </c>
      <c r="E112" s="57">
        <v>4</v>
      </c>
      <c r="F112" s="57"/>
      <c r="G112" s="57" t="s">
        <v>475</v>
      </c>
      <c r="H112" s="58" t="s">
        <v>592</v>
      </c>
      <c r="I112" s="59"/>
    </row>
    <row r="113" spans="1:9" x14ac:dyDescent="0.25">
      <c r="A113" s="57">
        <v>109</v>
      </c>
      <c r="B113" s="57" t="s">
        <v>598</v>
      </c>
      <c r="C113" s="57" t="s">
        <v>599</v>
      </c>
      <c r="D113" s="57">
        <v>5</v>
      </c>
      <c r="E113" s="57">
        <v>5</v>
      </c>
      <c r="F113" s="57"/>
      <c r="G113" s="57" t="s">
        <v>466</v>
      </c>
      <c r="H113" s="58" t="s">
        <v>592</v>
      </c>
      <c r="I113" s="59"/>
    </row>
    <row r="114" spans="1:9" x14ac:dyDescent="0.25">
      <c r="A114" s="57">
        <v>110</v>
      </c>
      <c r="B114" s="57" t="s">
        <v>481</v>
      </c>
      <c r="C114" s="57" t="s">
        <v>291</v>
      </c>
      <c r="D114" s="57">
        <v>11</v>
      </c>
      <c r="E114" s="57">
        <v>10</v>
      </c>
      <c r="F114" s="57">
        <v>1</v>
      </c>
      <c r="G114" s="57" t="s">
        <v>475</v>
      </c>
      <c r="H114" s="58" t="s">
        <v>592</v>
      </c>
      <c r="I114" s="59"/>
    </row>
    <row r="115" spans="1:9" x14ac:dyDescent="0.25">
      <c r="A115" s="57">
        <v>111</v>
      </c>
      <c r="B115" s="57" t="s">
        <v>600</v>
      </c>
      <c r="C115" s="57" t="s">
        <v>601</v>
      </c>
      <c r="D115" s="57">
        <v>6</v>
      </c>
      <c r="E115" s="57">
        <v>6</v>
      </c>
      <c r="F115" s="57"/>
      <c r="G115" s="57" t="s">
        <v>519</v>
      </c>
      <c r="H115" s="58" t="s">
        <v>592</v>
      </c>
      <c r="I115" s="59"/>
    </row>
    <row r="116" spans="1:9" x14ac:dyDescent="0.25">
      <c r="A116" s="57">
        <v>112</v>
      </c>
      <c r="B116" s="57" t="s">
        <v>602</v>
      </c>
      <c r="C116" s="57" t="s">
        <v>172</v>
      </c>
      <c r="D116" s="57">
        <v>51</v>
      </c>
      <c r="E116" s="57">
        <v>51</v>
      </c>
      <c r="F116" s="57"/>
      <c r="G116" s="57" t="s">
        <v>466</v>
      </c>
      <c r="H116" s="58" t="s">
        <v>592</v>
      </c>
      <c r="I116" s="59"/>
    </row>
    <row r="117" spans="1:9" x14ac:dyDescent="0.25">
      <c r="A117" s="57">
        <v>113</v>
      </c>
      <c r="B117" s="57" t="s">
        <v>603</v>
      </c>
      <c r="C117" s="57" t="s">
        <v>604</v>
      </c>
      <c r="D117" s="57">
        <v>89</v>
      </c>
      <c r="E117" s="57">
        <v>89</v>
      </c>
      <c r="F117" s="57"/>
      <c r="G117" s="57" t="s">
        <v>466</v>
      </c>
      <c r="H117" s="58" t="s">
        <v>592</v>
      </c>
      <c r="I117" s="59"/>
    </row>
    <row r="118" spans="1:9" x14ac:dyDescent="0.25">
      <c r="A118" s="57">
        <v>114</v>
      </c>
      <c r="B118" s="57" t="s">
        <v>605</v>
      </c>
      <c r="C118" s="57" t="s">
        <v>606</v>
      </c>
      <c r="D118" s="57">
        <v>1</v>
      </c>
      <c r="E118" s="57">
        <v>1</v>
      </c>
      <c r="F118" s="57"/>
      <c r="G118" s="57" t="s">
        <v>488</v>
      </c>
      <c r="H118" s="58" t="s">
        <v>592</v>
      </c>
      <c r="I118" s="59"/>
    </row>
    <row r="119" spans="1:9" x14ac:dyDescent="0.25">
      <c r="A119" s="57">
        <v>115</v>
      </c>
      <c r="B119" s="57" t="s">
        <v>607</v>
      </c>
      <c r="C119" s="57" t="s">
        <v>608</v>
      </c>
      <c r="D119" s="57">
        <v>1</v>
      </c>
      <c r="E119" s="57">
        <v>1</v>
      </c>
      <c r="F119" s="57"/>
      <c r="G119" s="57" t="s">
        <v>519</v>
      </c>
      <c r="H119" s="58" t="s">
        <v>592</v>
      </c>
      <c r="I119" s="59"/>
    </row>
    <row r="120" spans="1:9" x14ac:dyDescent="0.25">
      <c r="A120" s="57">
        <v>116</v>
      </c>
      <c r="B120" s="57" t="s">
        <v>600</v>
      </c>
      <c r="C120" s="57" t="s">
        <v>609</v>
      </c>
      <c r="D120" s="57">
        <v>2</v>
      </c>
      <c r="E120" s="57">
        <v>2</v>
      </c>
      <c r="F120" s="57"/>
      <c r="G120" s="57" t="s">
        <v>475</v>
      </c>
      <c r="H120" s="58" t="s">
        <v>592</v>
      </c>
      <c r="I120" s="59"/>
    </row>
    <row r="121" spans="1:9" x14ac:dyDescent="0.25">
      <c r="A121" s="57">
        <v>117</v>
      </c>
      <c r="B121" s="57" t="s">
        <v>610</v>
      </c>
      <c r="C121" s="57" t="s">
        <v>611</v>
      </c>
      <c r="D121" s="57">
        <v>2</v>
      </c>
      <c r="E121" s="57">
        <v>2</v>
      </c>
      <c r="F121" s="57"/>
      <c r="G121" s="57" t="s">
        <v>475</v>
      </c>
      <c r="H121" s="58" t="s">
        <v>592</v>
      </c>
      <c r="I121" s="59"/>
    </row>
    <row r="122" spans="1:9" x14ac:dyDescent="0.25">
      <c r="A122" s="57">
        <v>118</v>
      </c>
      <c r="B122" s="57" t="s">
        <v>110</v>
      </c>
      <c r="C122" s="57" t="s">
        <v>111</v>
      </c>
      <c r="D122" s="57">
        <v>2</v>
      </c>
      <c r="E122" s="57">
        <v>2</v>
      </c>
      <c r="F122" s="57"/>
      <c r="G122" s="57" t="s">
        <v>475</v>
      </c>
      <c r="H122" s="58" t="s">
        <v>592</v>
      </c>
      <c r="I122" s="59"/>
    </row>
    <row r="123" spans="1:9" x14ac:dyDescent="0.25">
      <c r="A123" s="57">
        <v>119</v>
      </c>
      <c r="B123" s="57" t="s">
        <v>612</v>
      </c>
      <c r="C123" s="57" t="s">
        <v>613</v>
      </c>
      <c r="D123" s="57">
        <v>5</v>
      </c>
      <c r="E123" s="57">
        <v>5</v>
      </c>
      <c r="F123" s="57"/>
      <c r="G123" s="57" t="s">
        <v>475</v>
      </c>
      <c r="H123" s="58" t="s">
        <v>592</v>
      </c>
      <c r="I123" s="59"/>
    </row>
    <row r="124" spans="1:9" x14ac:dyDescent="0.25">
      <c r="A124" s="57">
        <v>120</v>
      </c>
      <c r="B124" s="57" t="s">
        <v>361</v>
      </c>
      <c r="C124" s="57"/>
      <c r="D124" s="57">
        <v>6</v>
      </c>
      <c r="E124" s="57">
        <v>6</v>
      </c>
      <c r="F124" s="57"/>
      <c r="G124" s="57" t="s">
        <v>466</v>
      </c>
      <c r="H124" s="58" t="s">
        <v>592</v>
      </c>
      <c r="I124" s="59"/>
    </row>
    <row r="125" spans="1:9" x14ac:dyDescent="0.25">
      <c r="A125" s="57">
        <v>121</v>
      </c>
      <c r="B125" s="57" t="s">
        <v>614</v>
      </c>
      <c r="C125" s="57" t="s">
        <v>615</v>
      </c>
      <c r="D125" s="57">
        <v>1</v>
      </c>
      <c r="E125" s="57">
        <v>1</v>
      </c>
      <c r="F125" s="57"/>
      <c r="G125" s="57" t="s">
        <v>466</v>
      </c>
      <c r="H125" s="58" t="s">
        <v>592</v>
      </c>
      <c r="I125" s="59"/>
    </row>
    <row r="126" spans="1:9" x14ac:dyDescent="0.25">
      <c r="A126" s="57">
        <v>122</v>
      </c>
      <c r="B126" s="57" t="s">
        <v>91</v>
      </c>
      <c r="C126" s="57" t="s">
        <v>92</v>
      </c>
      <c r="D126" s="57">
        <v>6</v>
      </c>
      <c r="E126" s="57">
        <v>6</v>
      </c>
      <c r="F126" s="57"/>
      <c r="G126" s="57" t="s">
        <v>519</v>
      </c>
      <c r="H126" s="58" t="s">
        <v>592</v>
      </c>
      <c r="I126" s="59"/>
    </row>
    <row r="127" spans="1:9" x14ac:dyDescent="0.25">
      <c r="A127" s="57">
        <v>123</v>
      </c>
      <c r="B127" s="57" t="s">
        <v>91</v>
      </c>
      <c r="C127" s="57" t="s">
        <v>482</v>
      </c>
      <c r="D127" s="57">
        <v>5</v>
      </c>
      <c r="E127" s="57">
        <v>5</v>
      </c>
      <c r="F127" s="57"/>
      <c r="G127" s="57" t="s">
        <v>519</v>
      </c>
      <c r="H127" s="58" t="s">
        <v>592</v>
      </c>
      <c r="I127" s="59"/>
    </row>
    <row r="128" spans="1:9" x14ac:dyDescent="0.25">
      <c r="A128" s="57">
        <v>124</v>
      </c>
      <c r="B128" s="57" t="s">
        <v>103</v>
      </c>
      <c r="C128" s="57" t="s">
        <v>172</v>
      </c>
      <c r="D128" s="57">
        <v>22</v>
      </c>
      <c r="E128" s="57">
        <v>22</v>
      </c>
      <c r="F128" s="57"/>
      <c r="G128" s="57" t="s">
        <v>466</v>
      </c>
      <c r="H128" s="58" t="s">
        <v>592</v>
      </c>
      <c r="I128" s="59"/>
    </row>
    <row r="129" spans="1:9" x14ac:dyDescent="0.25">
      <c r="A129" s="57">
        <v>125</v>
      </c>
      <c r="B129" s="57" t="s">
        <v>616</v>
      </c>
      <c r="C129" s="57" t="s">
        <v>617</v>
      </c>
      <c r="D129" s="57">
        <v>1</v>
      </c>
      <c r="E129" s="57">
        <v>1</v>
      </c>
      <c r="F129" s="57"/>
      <c r="G129" s="57" t="s">
        <v>466</v>
      </c>
      <c r="H129" s="58" t="s">
        <v>592</v>
      </c>
      <c r="I129" s="59"/>
    </row>
    <row r="130" spans="1:9" x14ac:dyDescent="0.25">
      <c r="A130" s="57">
        <v>126</v>
      </c>
      <c r="B130" s="57" t="s">
        <v>36</v>
      </c>
      <c r="C130" s="57" t="s">
        <v>618</v>
      </c>
      <c r="D130" s="57">
        <v>3</v>
      </c>
      <c r="E130" s="57">
        <v>3</v>
      </c>
      <c r="F130" s="57"/>
      <c r="G130" s="57" t="s">
        <v>528</v>
      </c>
      <c r="H130" s="58" t="s">
        <v>592</v>
      </c>
      <c r="I130" s="59"/>
    </row>
    <row r="131" spans="1:9" x14ac:dyDescent="0.25">
      <c r="A131" s="57">
        <v>127</v>
      </c>
      <c r="B131" s="57" t="s">
        <v>398</v>
      </c>
      <c r="C131" s="57" t="s">
        <v>619</v>
      </c>
      <c r="D131" s="57">
        <v>11</v>
      </c>
      <c r="E131" s="57">
        <v>11</v>
      </c>
      <c r="F131" s="57"/>
      <c r="G131" s="57" t="s">
        <v>466</v>
      </c>
      <c r="H131" s="58" t="s">
        <v>592</v>
      </c>
      <c r="I131" s="59"/>
    </row>
    <row r="132" spans="1:9" x14ac:dyDescent="0.25">
      <c r="A132" s="57">
        <v>128</v>
      </c>
      <c r="B132" s="57" t="s">
        <v>620</v>
      </c>
      <c r="C132" s="57"/>
      <c r="D132" s="57">
        <v>2</v>
      </c>
      <c r="E132" s="57">
        <v>2</v>
      </c>
      <c r="F132" s="57"/>
      <c r="G132" s="57" t="s">
        <v>475</v>
      </c>
      <c r="H132" s="58" t="s">
        <v>592</v>
      </c>
      <c r="I132" s="59"/>
    </row>
    <row r="133" spans="1:9" x14ac:dyDescent="0.25">
      <c r="A133" s="57">
        <v>129</v>
      </c>
      <c r="B133" s="57" t="s">
        <v>481</v>
      </c>
      <c r="C133" s="57" t="s">
        <v>621</v>
      </c>
      <c r="D133" s="57">
        <v>6</v>
      </c>
      <c r="E133" s="57">
        <v>6</v>
      </c>
      <c r="F133" s="57"/>
      <c r="G133" s="57" t="s">
        <v>547</v>
      </c>
      <c r="H133" s="58" t="s">
        <v>592</v>
      </c>
      <c r="I133" s="59"/>
    </row>
    <row r="134" spans="1:9" x14ac:dyDescent="0.25">
      <c r="A134" s="57">
        <v>130</v>
      </c>
      <c r="B134" s="57" t="s">
        <v>481</v>
      </c>
      <c r="C134" s="57" t="s">
        <v>622</v>
      </c>
      <c r="D134" s="57">
        <v>2</v>
      </c>
      <c r="E134" s="57">
        <v>2</v>
      </c>
      <c r="F134" s="57"/>
      <c r="G134" s="57" t="s">
        <v>475</v>
      </c>
      <c r="H134" s="58" t="s">
        <v>592</v>
      </c>
      <c r="I134" s="59"/>
    </row>
    <row r="135" spans="1:9" x14ac:dyDescent="0.25">
      <c r="A135" s="57">
        <v>131</v>
      </c>
      <c r="B135" s="57" t="s">
        <v>481</v>
      </c>
      <c r="C135" s="57" t="s">
        <v>623</v>
      </c>
      <c r="D135" s="57">
        <v>2</v>
      </c>
      <c r="E135" s="57">
        <v>2</v>
      </c>
      <c r="F135" s="57"/>
      <c r="G135" s="57" t="s">
        <v>475</v>
      </c>
      <c r="H135" s="58" t="s">
        <v>592</v>
      </c>
      <c r="I135" s="59"/>
    </row>
    <row r="136" spans="1:9" x14ac:dyDescent="0.25">
      <c r="A136" s="57">
        <v>132</v>
      </c>
      <c r="B136" s="57" t="s">
        <v>481</v>
      </c>
      <c r="C136" s="57" t="s">
        <v>624</v>
      </c>
      <c r="D136" s="57">
        <v>0.75</v>
      </c>
      <c r="E136" s="57">
        <v>0.75</v>
      </c>
      <c r="F136" s="57"/>
      <c r="G136" s="57" t="s">
        <v>625</v>
      </c>
      <c r="H136" s="58" t="s">
        <v>592</v>
      </c>
      <c r="I136" s="59"/>
    </row>
    <row r="137" spans="1:9" x14ac:dyDescent="0.25">
      <c r="A137" s="57">
        <v>133</v>
      </c>
      <c r="B137" s="57" t="s">
        <v>481</v>
      </c>
      <c r="C137" s="57" t="s">
        <v>626</v>
      </c>
      <c r="D137" s="57">
        <v>1</v>
      </c>
      <c r="E137" s="57">
        <v>1</v>
      </c>
      <c r="F137" s="57"/>
      <c r="G137" s="57" t="s">
        <v>475</v>
      </c>
      <c r="H137" s="58" t="s">
        <v>592</v>
      </c>
      <c r="I137" s="59"/>
    </row>
    <row r="138" spans="1:9" x14ac:dyDescent="0.25">
      <c r="A138" s="57">
        <v>134</v>
      </c>
      <c r="B138" s="57" t="s">
        <v>299</v>
      </c>
      <c r="C138" s="57" t="s">
        <v>627</v>
      </c>
      <c r="D138" s="57">
        <v>11</v>
      </c>
      <c r="E138" s="57">
        <v>11</v>
      </c>
      <c r="F138" s="57"/>
      <c r="G138" s="57" t="s">
        <v>466</v>
      </c>
      <c r="H138" s="58" t="s">
        <v>592</v>
      </c>
      <c r="I138" s="59"/>
    </row>
    <row r="139" spans="1:9" x14ac:dyDescent="0.25">
      <c r="A139" s="57">
        <v>135</v>
      </c>
      <c r="B139" s="57" t="s">
        <v>486</v>
      </c>
      <c r="C139" s="57" t="s">
        <v>80</v>
      </c>
      <c r="D139" s="57">
        <v>9</v>
      </c>
      <c r="E139" s="57">
        <v>9</v>
      </c>
      <c r="F139" s="57"/>
      <c r="G139" s="57" t="s">
        <v>466</v>
      </c>
      <c r="H139" s="58" t="s">
        <v>592</v>
      </c>
      <c r="I139" s="59"/>
    </row>
    <row r="140" spans="1:9" x14ac:dyDescent="0.25">
      <c r="A140" s="57">
        <v>136</v>
      </c>
      <c r="B140" s="57" t="s">
        <v>180</v>
      </c>
      <c r="C140" s="57"/>
      <c r="D140" s="57">
        <v>22</v>
      </c>
      <c r="E140" s="57">
        <v>22</v>
      </c>
      <c r="F140" s="57"/>
      <c r="G140" s="57" t="s">
        <v>466</v>
      </c>
      <c r="H140" s="58" t="s">
        <v>592</v>
      </c>
      <c r="I140" s="59"/>
    </row>
    <row r="141" spans="1:9" x14ac:dyDescent="0.25">
      <c r="A141" s="57">
        <v>137</v>
      </c>
      <c r="B141" s="57" t="s">
        <v>628</v>
      </c>
      <c r="C141" s="57" t="s">
        <v>420</v>
      </c>
      <c r="D141" s="57">
        <v>6</v>
      </c>
      <c r="E141" s="57">
        <v>6</v>
      </c>
      <c r="F141" s="57"/>
      <c r="G141" s="57" t="s">
        <v>466</v>
      </c>
      <c r="H141" s="58" t="s">
        <v>592</v>
      </c>
      <c r="I141" s="59"/>
    </row>
    <row r="142" spans="1:9" x14ac:dyDescent="0.25">
      <c r="A142" s="57">
        <v>138</v>
      </c>
      <c r="B142" s="57" t="s">
        <v>629</v>
      </c>
      <c r="C142" s="57"/>
      <c r="D142" s="57">
        <v>2</v>
      </c>
      <c r="E142" s="57">
        <v>2</v>
      </c>
      <c r="F142" s="57"/>
      <c r="G142" s="57" t="s">
        <v>466</v>
      </c>
      <c r="H142" s="58" t="s">
        <v>592</v>
      </c>
      <c r="I142" s="59"/>
    </row>
    <row r="143" spans="1:9" x14ac:dyDescent="0.25">
      <c r="A143" s="57">
        <v>139</v>
      </c>
      <c r="B143" s="57" t="s">
        <v>630</v>
      </c>
      <c r="C143" s="57" t="s">
        <v>631</v>
      </c>
      <c r="D143" s="57">
        <v>12</v>
      </c>
      <c r="E143" s="57">
        <v>12</v>
      </c>
      <c r="F143" s="57"/>
      <c r="G143" s="57" t="s">
        <v>466</v>
      </c>
      <c r="H143" s="58" t="s">
        <v>592</v>
      </c>
      <c r="I143" s="59"/>
    </row>
    <row r="144" spans="1:9" x14ac:dyDescent="0.25">
      <c r="A144" s="57">
        <v>140</v>
      </c>
      <c r="B144" s="57" t="s">
        <v>632</v>
      </c>
      <c r="C144" s="57" t="s">
        <v>633</v>
      </c>
      <c r="D144" s="57">
        <v>4</v>
      </c>
      <c r="E144" s="57">
        <v>4</v>
      </c>
      <c r="F144" s="57"/>
      <c r="G144" s="57" t="s">
        <v>466</v>
      </c>
      <c r="H144" s="58" t="s">
        <v>592</v>
      </c>
      <c r="I144" s="59"/>
    </row>
    <row r="145" spans="1:9" x14ac:dyDescent="0.25">
      <c r="A145" s="57">
        <v>141</v>
      </c>
      <c r="B145" s="57" t="s">
        <v>632</v>
      </c>
      <c r="C145" s="57" t="s">
        <v>634</v>
      </c>
      <c r="D145" s="57">
        <v>5</v>
      </c>
      <c r="E145" s="57">
        <v>5</v>
      </c>
      <c r="F145" s="57"/>
      <c r="G145" s="57" t="s">
        <v>466</v>
      </c>
      <c r="H145" s="58" t="s">
        <v>592</v>
      </c>
      <c r="I145" s="59"/>
    </row>
    <row r="146" spans="1:9" x14ac:dyDescent="0.25">
      <c r="A146" s="57">
        <v>142</v>
      </c>
      <c r="B146" s="57" t="s">
        <v>635</v>
      </c>
      <c r="C146" s="57" t="s">
        <v>636</v>
      </c>
      <c r="D146" s="57">
        <v>2</v>
      </c>
      <c r="E146" s="57">
        <v>2</v>
      </c>
      <c r="F146" s="57"/>
      <c r="G146" s="57" t="s">
        <v>466</v>
      </c>
      <c r="H146" s="58" t="s">
        <v>592</v>
      </c>
      <c r="I146" s="59"/>
    </row>
    <row r="147" spans="1:9" x14ac:dyDescent="0.25">
      <c r="A147" s="57">
        <v>143</v>
      </c>
      <c r="B147" s="57" t="s">
        <v>637</v>
      </c>
      <c r="C147" s="57"/>
      <c r="D147" s="57">
        <v>1</v>
      </c>
      <c r="E147" s="57">
        <v>1</v>
      </c>
      <c r="F147" s="57"/>
      <c r="G147" s="57" t="s">
        <v>488</v>
      </c>
      <c r="H147" s="58" t="s">
        <v>592</v>
      </c>
      <c r="I147" s="59"/>
    </row>
    <row r="148" spans="1:9" x14ac:dyDescent="0.25">
      <c r="A148" s="57">
        <v>144</v>
      </c>
      <c r="B148" s="57" t="s">
        <v>517</v>
      </c>
      <c r="C148" s="57" t="s">
        <v>638</v>
      </c>
      <c r="D148" s="57">
        <v>1</v>
      </c>
      <c r="E148" s="57">
        <v>1</v>
      </c>
      <c r="F148" s="57"/>
      <c r="G148" s="57" t="s">
        <v>519</v>
      </c>
      <c r="H148" s="58" t="s">
        <v>592</v>
      </c>
      <c r="I148" s="59"/>
    </row>
    <row r="149" spans="1:9" x14ac:dyDescent="0.25">
      <c r="A149" s="57">
        <v>145</v>
      </c>
      <c r="B149" s="57" t="s">
        <v>639</v>
      </c>
      <c r="C149" s="57" t="s">
        <v>640</v>
      </c>
      <c r="D149" s="57">
        <v>2</v>
      </c>
      <c r="E149" s="57">
        <v>2</v>
      </c>
      <c r="F149" s="57"/>
      <c r="G149" s="57" t="s">
        <v>519</v>
      </c>
      <c r="H149" s="58" t="s">
        <v>592</v>
      </c>
      <c r="I149" s="59"/>
    </row>
    <row r="150" spans="1:9" x14ac:dyDescent="0.25">
      <c r="A150" s="57">
        <v>146</v>
      </c>
      <c r="B150" s="57" t="s">
        <v>641</v>
      </c>
      <c r="C150" s="57" t="s">
        <v>642</v>
      </c>
      <c r="D150" s="57">
        <v>3</v>
      </c>
      <c r="E150" s="57">
        <v>3</v>
      </c>
      <c r="F150" s="57"/>
      <c r="G150" s="57" t="s">
        <v>528</v>
      </c>
      <c r="H150" s="58" t="s">
        <v>592</v>
      </c>
      <c r="I150" s="59"/>
    </row>
    <row r="151" spans="1:9" x14ac:dyDescent="0.25">
      <c r="A151" s="57">
        <v>147</v>
      </c>
      <c r="B151" s="57" t="s">
        <v>643</v>
      </c>
      <c r="C151" s="57"/>
      <c r="D151" s="57">
        <v>1</v>
      </c>
      <c r="E151" s="57">
        <v>1</v>
      </c>
      <c r="F151" s="57"/>
      <c r="G151" s="57" t="s">
        <v>466</v>
      </c>
      <c r="H151" s="58" t="s">
        <v>592</v>
      </c>
      <c r="I151" s="59"/>
    </row>
    <row r="152" spans="1:9" x14ac:dyDescent="0.25">
      <c r="A152" s="57">
        <v>148</v>
      </c>
      <c r="B152" s="57" t="s">
        <v>644</v>
      </c>
      <c r="C152" s="57"/>
      <c r="D152" s="57">
        <v>1</v>
      </c>
      <c r="E152" s="57">
        <v>1</v>
      </c>
      <c r="F152" s="57"/>
      <c r="G152" s="57" t="s">
        <v>519</v>
      </c>
      <c r="H152" s="58" t="s">
        <v>592</v>
      </c>
      <c r="I152" s="59"/>
    </row>
    <row r="153" spans="1:9" x14ac:dyDescent="0.25">
      <c r="A153" s="57">
        <v>149</v>
      </c>
      <c r="B153" s="57" t="s">
        <v>645</v>
      </c>
      <c r="C153" s="57" t="s">
        <v>646</v>
      </c>
      <c r="D153" s="57">
        <v>2</v>
      </c>
      <c r="E153" s="57">
        <v>2</v>
      </c>
      <c r="F153" s="57"/>
      <c r="G153" s="57" t="s">
        <v>528</v>
      </c>
      <c r="H153" s="58" t="s">
        <v>647</v>
      </c>
      <c r="I153" s="59"/>
    </row>
    <row r="154" spans="1:9" x14ac:dyDescent="0.25">
      <c r="A154" s="57">
        <v>150</v>
      </c>
      <c r="B154" s="57" t="s">
        <v>282</v>
      </c>
      <c r="C154" s="57" t="s">
        <v>283</v>
      </c>
      <c r="D154" s="57">
        <v>2</v>
      </c>
      <c r="E154" s="57">
        <v>2</v>
      </c>
      <c r="F154" s="57"/>
      <c r="G154" s="57" t="s">
        <v>528</v>
      </c>
      <c r="H154" s="58" t="s">
        <v>647</v>
      </c>
      <c r="I154" s="59"/>
    </row>
    <row r="155" spans="1:9" x14ac:dyDescent="0.25">
      <c r="A155" s="57">
        <v>151</v>
      </c>
      <c r="B155" s="57" t="s">
        <v>175</v>
      </c>
      <c r="C155" s="57" t="s">
        <v>648</v>
      </c>
      <c r="D155" s="57">
        <v>17</v>
      </c>
      <c r="E155" s="57">
        <v>17</v>
      </c>
      <c r="F155" s="57"/>
      <c r="G155" s="57" t="s">
        <v>519</v>
      </c>
      <c r="H155" s="58" t="s">
        <v>647</v>
      </c>
      <c r="I155" s="59"/>
    </row>
    <row r="156" spans="1:9" x14ac:dyDescent="0.25">
      <c r="A156" s="57">
        <v>152</v>
      </c>
      <c r="B156" s="57" t="s">
        <v>175</v>
      </c>
      <c r="C156" s="57" t="s">
        <v>649</v>
      </c>
      <c r="D156" s="57">
        <v>5</v>
      </c>
      <c r="E156" s="57">
        <v>5</v>
      </c>
      <c r="F156" s="57"/>
      <c r="G156" s="57" t="s">
        <v>519</v>
      </c>
      <c r="H156" s="58" t="s">
        <v>647</v>
      </c>
      <c r="I156" s="59"/>
    </row>
    <row r="157" spans="1:9" x14ac:dyDescent="0.25">
      <c r="A157" s="57">
        <v>153</v>
      </c>
      <c r="B157" s="57" t="s">
        <v>175</v>
      </c>
      <c r="C157" s="57" t="s">
        <v>650</v>
      </c>
      <c r="D157" s="57">
        <v>4</v>
      </c>
      <c r="E157" s="57">
        <v>4</v>
      </c>
      <c r="F157" s="57"/>
      <c r="G157" s="57" t="s">
        <v>519</v>
      </c>
      <c r="H157" s="58" t="s">
        <v>647</v>
      </c>
      <c r="I157" s="59"/>
    </row>
    <row r="158" spans="1:9" x14ac:dyDescent="0.25">
      <c r="A158" s="57">
        <v>154</v>
      </c>
      <c r="B158" s="57" t="s">
        <v>175</v>
      </c>
      <c r="C158" s="57" t="s">
        <v>651</v>
      </c>
      <c r="D158" s="57">
        <v>42</v>
      </c>
      <c r="E158" s="57">
        <v>42</v>
      </c>
      <c r="F158" s="57"/>
      <c r="G158" s="57" t="s">
        <v>519</v>
      </c>
      <c r="H158" s="58" t="s">
        <v>647</v>
      </c>
      <c r="I158" s="59"/>
    </row>
    <row r="159" spans="1:9" x14ac:dyDescent="0.25">
      <c r="A159" s="57">
        <v>155</v>
      </c>
      <c r="B159" s="57" t="s">
        <v>175</v>
      </c>
      <c r="C159" s="57" t="s">
        <v>176</v>
      </c>
      <c r="D159" s="57">
        <v>48</v>
      </c>
      <c r="E159" s="57">
        <v>48</v>
      </c>
      <c r="F159" s="57"/>
      <c r="G159" s="57" t="s">
        <v>519</v>
      </c>
      <c r="H159" s="58" t="s">
        <v>647</v>
      </c>
      <c r="I159" s="59"/>
    </row>
    <row r="160" spans="1:9" x14ac:dyDescent="0.25">
      <c r="A160" s="57">
        <v>156</v>
      </c>
      <c r="B160" s="57" t="s">
        <v>652</v>
      </c>
      <c r="C160" s="57" t="s">
        <v>653</v>
      </c>
      <c r="D160" s="57">
        <v>6</v>
      </c>
      <c r="E160" s="57">
        <v>6</v>
      </c>
      <c r="F160" s="57"/>
      <c r="G160" s="57" t="s">
        <v>528</v>
      </c>
      <c r="H160" s="58" t="s">
        <v>647</v>
      </c>
      <c r="I160" s="59"/>
    </row>
    <row r="161" spans="1:9" x14ac:dyDescent="0.25">
      <c r="A161" s="57">
        <v>157</v>
      </c>
      <c r="B161" s="57" t="s">
        <v>654</v>
      </c>
      <c r="C161" s="57" t="s">
        <v>655</v>
      </c>
      <c r="D161" s="57">
        <v>2</v>
      </c>
      <c r="E161" s="57">
        <v>2</v>
      </c>
      <c r="F161" s="57"/>
      <c r="G161" s="57" t="s">
        <v>466</v>
      </c>
      <c r="H161" s="58" t="s">
        <v>647</v>
      </c>
      <c r="I161" s="59"/>
    </row>
    <row r="162" spans="1:9" x14ac:dyDescent="0.25">
      <c r="A162" s="57">
        <v>158</v>
      </c>
      <c r="B162" s="57" t="s">
        <v>656</v>
      </c>
      <c r="C162" s="57" t="s">
        <v>657</v>
      </c>
      <c r="D162" s="57">
        <v>1000</v>
      </c>
      <c r="E162" s="57">
        <v>1000</v>
      </c>
      <c r="F162" s="57"/>
      <c r="G162" s="57" t="s">
        <v>480</v>
      </c>
      <c r="H162" s="58" t="s">
        <v>647</v>
      </c>
      <c r="I162" s="59"/>
    </row>
    <row r="163" spans="1:9" x14ac:dyDescent="0.25">
      <c r="A163" s="57">
        <v>159</v>
      </c>
      <c r="B163" s="57" t="s">
        <v>658</v>
      </c>
      <c r="C163" s="57" t="s">
        <v>659</v>
      </c>
      <c r="D163" s="57">
        <v>1</v>
      </c>
      <c r="E163" s="57">
        <v>1</v>
      </c>
      <c r="F163" s="57"/>
      <c r="G163" s="57" t="s">
        <v>528</v>
      </c>
      <c r="H163" s="58" t="s">
        <v>647</v>
      </c>
      <c r="I163" s="59"/>
    </row>
    <row r="164" spans="1:9" x14ac:dyDescent="0.25">
      <c r="A164" s="57">
        <v>160</v>
      </c>
      <c r="B164" s="57" t="s">
        <v>299</v>
      </c>
      <c r="C164" s="57" t="s">
        <v>163</v>
      </c>
      <c r="D164" s="57">
        <v>45</v>
      </c>
      <c r="E164" s="57">
        <v>45</v>
      </c>
      <c r="F164" s="57"/>
      <c r="G164" s="57" t="s">
        <v>466</v>
      </c>
      <c r="H164" s="58" t="s">
        <v>647</v>
      </c>
      <c r="I164" s="59"/>
    </row>
    <row r="165" spans="1:9" x14ac:dyDescent="0.25">
      <c r="A165" s="57">
        <v>161</v>
      </c>
      <c r="B165" s="57" t="s">
        <v>299</v>
      </c>
      <c r="C165" s="57" t="s">
        <v>160</v>
      </c>
      <c r="D165" s="57">
        <v>48</v>
      </c>
      <c r="E165" s="57">
        <v>48</v>
      </c>
      <c r="F165" s="57"/>
      <c r="G165" s="57" t="s">
        <v>466</v>
      </c>
      <c r="H165" s="58" t="s">
        <v>647</v>
      </c>
      <c r="I165" s="59"/>
    </row>
    <row r="166" spans="1:9" x14ac:dyDescent="0.25">
      <c r="A166" s="57">
        <v>162</v>
      </c>
      <c r="B166" s="57" t="s">
        <v>299</v>
      </c>
      <c r="C166" s="57" t="s">
        <v>660</v>
      </c>
      <c r="D166" s="57">
        <v>1</v>
      </c>
      <c r="E166" s="57">
        <v>1</v>
      </c>
      <c r="F166" s="57"/>
      <c r="G166" s="57" t="s">
        <v>466</v>
      </c>
      <c r="H166" s="58" t="s">
        <v>647</v>
      </c>
      <c r="I166" s="59"/>
    </row>
    <row r="167" spans="1:9" x14ac:dyDescent="0.25">
      <c r="A167" s="57">
        <v>163</v>
      </c>
      <c r="B167" s="57" t="s">
        <v>661</v>
      </c>
      <c r="C167" s="57" t="s">
        <v>662</v>
      </c>
      <c r="D167" s="57">
        <v>4</v>
      </c>
      <c r="E167" s="57">
        <v>4</v>
      </c>
      <c r="F167" s="57"/>
      <c r="G167" s="57" t="s">
        <v>475</v>
      </c>
      <c r="H167" s="58" t="s">
        <v>647</v>
      </c>
      <c r="I167" s="59"/>
    </row>
    <row r="168" spans="1:9" x14ac:dyDescent="0.25">
      <c r="A168" s="57">
        <v>164</v>
      </c>
      <c r="B168" s="57" t="s">
        <v>84</v>
      </c>
      <c r="C168" s="57"/>
      <c r="D168" s="57">
        <v>2</v>
      </c>
      <c r="E168" s="57">
        <v>2</v>
      </c>
      <c r="F168" s="57"/>
      <c r="G168" s="57" t="s">
        <v>528</v>
      </c>
      <c r="H168" s="58" t="s">
        <v>647</v>
      </c>
      <c r="I168" s="59"/>
    </row>
    <row r="169" spans="1:9" x14ac:dyDescent="0.25">
      <c r="A169" s="57">
        <v>165</v>
      </c>
      <c r="B169" s="57" t="s">
        <v>663</v>
      </c>
      <c r="C169" s="57" t="s">
        <v>664</v>
      </c>
      <c r="D169" s="57">
        <v>27</v>
      </c>
      <c r="E169" s="57">
        <v>27</v>
      </c>
      <c r="F169" s="57"/>
      <c r="G169" s="57" t="s">
        <v>519</v>
      </c>
      <c r="H169" s="58" t="s">
        <v>665</v>
      </c>
      <c r="I169" s="59"/>
    </row>
    <row r="170" spans="1:9" x14ac:dyDescent="0.25">
      <c r="A170" s="57">
        <v>166</v>
      </c>
      <c r="B170" s="57" t="s">
        <v>666</v>
      </c>
      <c r="C170" s="57" t="s">
        <v>667</v>
      </c>
      <c r="D170" s="57">
        <v>4</v>
      </c>
      <c r="E170" s="57">
        <v>4</v>
      </c>
      <c r="F170" s="57"/>
      <c r="G170" s="57" t="s">
        <v>488</v>
      </c>
      <c r="H170" s="58" t="s">
        <v>665</v>
      </c>
      <c r="I170" s="59"/>
    </row>
    <row r="171" spans="1:9" x14ac:dyDescent="0.25">
      <c r="A171" s="57">
        <v>167</v>
      </c>
      <c r="B171" s="57" t="s">
        <v>668</v>
      </c>
      <c r="C171" s="57" t="s">
        <v>669</v>
      </c>
      <c r="D171" s="57">
        <v>2</v>
      </c>
      <c r="E171" s="57">
        <v>2</v>
      </c>
      <c r="F171" s="57"/>
      <c r="G171" s="57" t="s">
        <v>466</v>
      </c>
      <c r="H171" s="58" t="s">
        <v>665</v>
      </c>
      <c r="I171" s="59"/>
    </row>
    <row r="172" spans="1:9" x14ac:dyDescent="0.25">
      <c r="A172" s="57">
        <v>168</v>
      </c>
      <c r="B172" s="57" t="s">
        <v>670</v>
      </c>
      <c r="C172" s="57"/>
      <c r="D172" s="57">
        <v>9</v>
      </c>
      <c r="E172" s="57">
        <v>9</v>
      </c>
      <c r="F172" s="57"/>
      <c r="G172" s="57" t="s">
        <v>466</v>
      </c>
      <c r="H172" s="58" t="s">
        <v>665</v>
      </c>
      <c r="I172" s="59"/>
    </row>
    <row r="173" spans="1:9" x14ac:dyDescent="0.25">
      <c r="A173" s="57">
        <v>169</v>
      </c>
      <c r="B173" s="57" t="s">
        <v>671</v>
      </c>
      <c r="C173" s="57" t="s">
        <v>672</v>
      </c>
      <c r="D173" s="57">
        <v>11</v>
      </c>
      <c r="E173" s="57">
        <v>11</v>
      </c>
      <c r="F173" s="57"/>
      <c r="G173" s="57" t="s">
        <v>475</v>
      </c>
      <c r="H173" s="58" t="s">
        <v>665</v>
      </c>
      <c r="I173" s="59"/>
    </row>
    <row r="174" spans="1:9" x14ac:dyDescent="0.25">
      <c r="A174" s="57">
        <v>170</v>
      </c>
      <c r="B174" s="57" t="s">
        <v>673</v>
      </c>
      <c r="C174" s="57" t="s">
        <v>674</v>
      </c>
      <c r="D174" s="57">
        <v>1</v>
      </c>
      <c r="E174" s="57">
        <v>1</v>
      </c>
      <c r="F174" s="57"/>
      <c r="G174" s="57" t="s">
        <v>488</v>
      </c>
      <c r="H174" s="58" t="s">
        <v>665</v>
      </c>
      <c r="I174" s="59"/>
    </row>
    <row r="175" spans="1:9" x14ac:dyDescent="0.25">
      <c r="A175" s="57">
        <v>171</v>
      </c>
      <c r="B175" s="57" t="s">
        <v>675</v>
      </c>
      <c r="C175" s="57" t="s">
        <v>676</v>
      </c>
      <c r="D175" s="57">
        <v>2</v>
      </c>
      <c r="E175" s="57">
        <v>2</v>
      </c>
      <c r="F175" s="57"/>
      <c r="G175" s="57" t="s">
        <v>488</v>
      </c>
      <c r="H175" s="58" t="s">
        <v>665</v>
      </c>
      <c r="I175" s="59"/>
    </row>
    <row r="176" spans="1:9" x14ac:dyDescent="0.25">
      <c r="A176" s="57">
        <v>172</v>
      </c>
      <c r="B176" s="57" t="s">
        <v>677</v>
      </c>
      <c r="C176" s="57" t="s">
        <v>678</v>
      </c>
      <c r="D176" s="57">
        <v>1</v>
      </c>
      <c r="E176" s="57">
        <v>1</v>
      </c>
      <c r="F176" s="57"/>
      <c r="G176" s="57" t="s">
        <v>466</v>
      </c>
      <c r="H176" s="58" t="s">
        <v>665</v>
      </c>
      <c r="I176" s="59"/>
    </row>
    <row r="177" spans="1:9" x14ac:dyDescent="0.25">
      <c r="A177" s="57">
        <v>173</v>
      </c>
      <c r="B177" s="57" t="s">
        <v>679</v>
      </c>
      <c r="C177" s="57"/>
      <c r="D177" s="57">
        <v>4</v>
      </c>
      <c r="E177" s="57">
        <v>4</v>
      </c>
      <c r="F177" s="57"/>
      <c r="G177" s="57" t="s">
        <v>488</v>
      </c>
      <c r="H177" s="58" t="s">
        <v>665</v>
      </c>
      <c r="I177" s="59"/>
    </row>
    <row r="178" spans="1:9" x14ac:dyDescent="0.25">
      <c r="A178" s="57">
        <v>174</v>
      </c>
      <c r="B178" s="57" t="s">
        <v>680</v>
      </c>
      <c r="C178" s="57"/>
      <c r="D178" s="57">
        <v>9</v>
      </c>
      <c r="E178" s="57">
        <v>9</v>
      </c>
      <c r="F178" s="57"/>
      <c r="G178" s="57" t="s">
        <v>466</v>
      </c>
      <c r="H178" s="58" t="s">
        <v>665</v>
      </c>
      <c r="I178" s="59"/>
    </row>
    <row r="179" spans="1:9" x14ac:dyDescent="0.25">
      <c r="A179" s="57">
        <v>175</v>
      </c>
      <c r="B179" s="57" t="s">
        <v>168</v>
      </c>
      <c r="C179" s="57"/>
      <c r="D179" s="57">
        <v>25</v>
      </c>
      <c r="E179" s="57">
        <v>25</v>
      </c>
      <c r="F179" s="57"/>
      <c r="G179" s="57" t="s">
        <v>475</v>
      </c>
      <c r="H179" s="58" t="s">
        <v>665</v>
      </c>
      <c r="I179" s="59"/>
    </row>
    <row r="180" spans="1:9" x14ac:dyDescent="0.25">
      <c r="A180" s="57">
        <v>176</v>
      </c>
      <c r="B180" s="57" t="s">
        <v>107</v>
      </c>
      <c r="C180" s="57"/>
      <c r="D180" s="57">
        <v>3</v>
      </c>
      <c r="E180" s="57">
        <v>3</v>
      </c>
      <c r="F180" s="57"/>
      <c r="G180" s="57" t="s">
        <v>681</v>
      </c>
      <c r="H180" s="58" t="s">
        <v>665</v>
      </c>
      <c r="I180" s="59"/>
    </row>
    <row r="181" spans="1:9" x14ac:dyDescent="0.25">
      <c r="A181" s="57">
        <v>177</v>
      </c>
      <c r="B181" s="57" t="s">
        <v>567</v>
      </c>
      <c r="C181" s="57" t="s">
        <v>682</v>
      </c>
      <c r="D181" s="57">
        <v>12</v>
      </c>
      <c r="E181" s="57">
        <v>12</v>
      </c>
      <c r="F181" s="57"/>
      <c r="G181" s="57" t="s">
        <v>466</v>
      </c>
      <c r="H181" s="58" t="s">
        <v>665</v>
      </c>
      <c r="I181" s="59"/>
    </row>
    <row r="182" spans="1:9" x14ac:dyDescent="0.25">
      <c r="A182" s="57">
        <v>178</v>
      </c>
      <c r="B182" s="57" t="s">
        <v>350</v>
      </c>
      <c r="C182" s="57" t="s">
        <v>351</v>
      </c>
      <c r="D182" s="57">
        <v>3</v>
      </c>
      <c r="E182" s="57">
        <v>3</v>
      </c>
      <c r="F182" s="57"/>
      <c r="G182" s="57" t="s">
        <v>488</v>
      </c>
      <c r="H182" s="58" t="s">
        <v>665</v>
      </c>
      <c r="I182" s="59"/>
    </row>
    <row r="183" spans="1:9" x14ac:dyDescent="0.25">
      <c r="A183" s="57">
        <v>179</v>
      </c>
      <c r="B183" s="57" t="s">
        <v>393</v>
      </c>
      <c r="C183" s="57" t="s">
        <v>683</v>
      </c>
      <c r="D183" s="57">
        <v>1</v>
      </c>
      <c r="E183" s="57">
        <v>1</v>
      </c>
      <c r="F183" s="57"/>
      <c r="G183" s="57" t="s">
        <v>475</v>
      </c>
      <c r="H183" s="58" t="s">
        <v>665</v>
      </c>
      <c r="I183" s="59"/>
    </row>
    <row r="184" spans="1:9" x14ac:dyDescent="0.25">
      <c r="A184" s="57">
        <v>180</v>
      </c>
      <c r="B184" s="57" t="s">
        <v>393</v>
      </c>
      <c r="C184" s="57" t="s">
        <v>394</v>
      </c>
      <c r="D184" s="57">
        <v>16</v>
      </c>
      <c r="E184" s="57">
        <v>16</v>
      </c>
      <c r="F184" s="57"/>
      <c r="G184" s="57" t="s">
        <v>475</v>
      </c>
      <c r="H184" s="58" t="s">
        <v>665</v>
      </c>
      <c r="I184" s="59"/>
    </row>
    <row r="185" spans="1:9" x14ac:dyDescent="0.25">
      <c r="A185" s="57">
        <v>181</v>
      </c>
      <c r="B185" s="57" t="s">
        <v>684</v>
      </c>
      <c r="C185" s="57"/>
      <c r="D185" s="57">
        <v>7</v>
      </c>
      <c r="E185" s="57">
        <v>7</v>
      </c>
      <c r="F185" s="57"/>
      <c r="G185" s="57" t="s">
        <v>475</v>
      </c>
      <c r="H185" s="58" t="s">
        <v>665</v>
      </c>
      <c r="I185" s="59"/>
    </row>
    <row r="186" spans="1:9" x14ac:dyDescent="0.25">
      <c r="A186" s="57">
        <v>182</v>
      </c>
      <c r="B186" s="57" t="s">
        <v>685</v>
      </c>
      <c r="C186" s="57" t="s">
        <v>686</v>
      </c>
      <c r="D186" s="57">
        <v>7</v>
      </c>
      <c r="E186" s="57">
        <v>7</v>
      </c>
      <c r="F186" s="57"/>
      <c r="G186" s="57" t="s">
        <v>475</v>
      </c>
      <c r="H186" s="58" t="s">
        <v>665</v>
      </c>
      <c r="I186" s="59"/>
    </row>
    <row r="187" spans="1:9" x14ac:dyDescent="0.25">
      <c r="A187" s="57">
        <v>183</v>
      </c>
      <c r="B187" s="57" t="s">
        <v>687</v>
      </c>
      <c r="C187" s="57" t="s">
        <v>688</v>
      </c>
      <c r="D187" s="57">
        <v>8</v>
      </c>
      <c r="E187" s="57">
        <v>8</v>
      </c>
      <c r="F187" s="57"/>
      <c r="G187" s="57" t="s">
        <v>488</v>
      </c>
      <c r="H187" s="58" t="s">
        <v>665</v>
      </c>
      <c r="I187" s="59"/>
    </row>
    <row r="188" spans="1:9" x14ac:dyDescent="0.25">
      <c r="A188" s="57">
        <v>184</v>
      </c>
      <c r="B188" s="57" t="s">
        <v>689</v>
      </c>
      <c r="C188" s="57" t="s">
        <v>690</v>
      </c>
      <c r="D188" s="57">
        <v>2</v>
      </c>
      <c r="E188" s="57">
        <v>2</v>
      </c>
      <c r="F188" s="57"/>
      <c r="G188" s="57" t="s">
        <v>466</v>
      </c>
      <c r="H188" s="58" t="s">
        <v>691</v>
      </c>
      <c r="I188" s="59"/>
    </row>
    <row r="189" spans="1:9" x14ac:dyDescent="0.25">
      <c r="A189" s="57">
        <v>185</v>
      </c>
      <c r="B189" s="57" t="s">
        <v>692</v>
      </c>
      <c r="C189" s="57" t="s">
        <v>693</v>
      </c>
      <c r="D189" s="57">
        <v>67</v>
      </c>
      <c r="E189" s="57">
        <v>67</v>
      </c>
      <c r="F189" s="57"/>
      <c r="G189" s="57" t="s">
        <v>694</v>
      </c>
      <c r="H189" s="58" t="s">
        <v>691</v>
      </c>
      <c r="I189" s="59"/>
    </row>
    <row r="190" spans="1:9" x14ac:dyDescent="0.25">
      <c r="A190" s="57">
        <v>186</v>
      </c>
      <c r="B190" s="57" t="s">
        <v>478</v>
      </c>
      <c r="C190" s="57" t="s">
        <v>695</v>
      </c>
      <c r="D190" s="57">
        <v>5</v>
      </c>
      <c r="E190" s="57">
        <v>5</v>
      </c>
      <c r="F190" s="57"/>
      <c r="G190" s="57" t="s">
        <v>475</v>
      </c>
      <c r="H190" s="58" t="s">
        <v>691</v>
      </c>
      <c r="I190" s="59"/>
    </row>
    <row r="191" spans="1:9" x14ac:dyDescent="0.25">
      <c r="A191" s="57">
        <v>187</v>
      </c>
      <c r="B191" s="57" t="s">
        <v>478</v>
      </c>
      <c r="C191" s="57" t="s">
        <v>696</v>
      </c>
      <c r="D191" s="57">
        <v>17</v>
      </c>
      <c r="E191" s="57">
        <v>17</v>
      </c>
      <c r="F191" s="57"/>
      <c r="G191" s="57" t="s">
        <v>475</v>
      </c>
      <c r="H191" s="58" t="s">
        <v>691</v>
      </c>
      <c r="I191" s="59"/>
    </row>
    <row r="192" spans="1:9" x14ac:dyDescent="0.25">
      <c r="A192" s="57">
        <v>188</v>
      </c>
      <c r="B192" s="57" t="s">
        <v>478</v>
      </c>
      <c r="C192" s="57" t="s">
        <v>697</v>
      </c>
      <c r="D192" s="57">
        <v>3</v>
      </c>
      <c r="E192" s="57">
        <v>3</v>
      </c>
      <c r="F192" s="57"/>
      <c r="G192" s="57" t="s">
        <v>694</v>
      </c>
      <c r="H192" s="58" t="s">
        <v>691</v>
      </c>
      <c r="I192" s="59"/>
    </row>
    <row r="193" spans="1:9" x14ac:dyDescent="0.25">
      <c r="A193" s="57">
        <v>189</v>
      </c>
      <c r="B193" s="57" t="s">
        <v>478</v>
      </c>
      <c r="C193" s="57" t="s">
        <v>698</v>
      </c>
      <c r="D193" s="57">
        <v>3</v>
      </c>
      <c r="E193" s="57">
        <v>3</v>
      </c>
      <c r="F193" s="57"/>
      <c r="G193" s="57" t="s">
        <v>694</v>
      </c>
      <c r="H193" s="58" t="s">
        <v>691</v>
      </c>
      <c r="I193" s="59"/>
    </row>
    <row r="194" spans="1:9" x14ac:dyDescent="0.25">
      <c r="A194" s="57">
        <v>190</v>
      </c>
      <c r="B194" s="57" t="s">
        <v>699</v>
      </c>
      <c r="C194" s="57" t="s">
        <v>695</v>
      </c>
      <c r="D194" s="57">
        <v>2</v>
      </c>
      <c r="E194" s="57">
        <v>2</v>
      </c>
      <c r="F194" s="57"/>
      <c r="G194" s="57" t="s">
        <v>475</v>
      </c>
      <c r="H194" s="58" t="s">
        <v>691</v>
      </c>
      <c r="I194" s="59"/>
    </row>
    <row r="195" spans="1:9" x14ac:dyDescent="0.25">
      <c r="A195" s="57">
        <v>191</v>
      </c>
      <c r="B195" s="57" t="s">
        <v>700</v>
      </c>
      <c r="C195" s="57" t="s">
        <v>701</v>
      </c>
      <c r="D195" s="57">
        <v>6</v>
      </c>
      <c r="E195" s="57">
        <v>6</v>
      </c>
      <c r="F195" s="57"/>
      <c r="G195" s="57" t="s">
        <v>466</v>
      </c>
      <c r="H195" s="58" t="s">
        <v>691</v>
      </c>
      <c r="I195" s="59"/>
    </row>
    <row r="196" spans="1:9" x14ac:dyDescent="0.25">
      <c r="A196" s="57">
        <v>192</v>
      </c>
      <c r="B196" s="57" t="s">
        <v>702</v>
      </c>
      <c r="C196" s="57" t="s">
        <v>703</v>
      </c>
      <c r="D196" s="57">
        <v>5</v>
      </c>
      <c r="E196" s="57">
        <v>5</v>
      </c>
      <c r="F196" s="57"/>
      <c r="G196" s="57" t="s">
        <v>466</v>
      </c>
      <c r="H196" s="58" t="s">
        <v>691</v>
      </c>
      <c r="I196" s="59"/>
    </row>
    <row r="197" spans="1:9" x14ac:dyDescent="0.25">
      <c r="A197" s="57">
        <v>193</v>
      </c>
      <c r="B197" s="57" t="s">
        <v>704</v>
      </c>
      <c r="C197" s="57" t="s">
        <v>705</v>
      </c>
      <c r="D197" s="57">
        <v>13</v>
      </c>
      <c r="E197" s="57">
        <v>13</v>
      </c>
      <c r="F197" s="57"/>
      <c r="G197" s="57" t="s">
        <v>466</v>
      </c>
      <c r="H197" s="58" t="s">
        <v>691</v>
      </c>
      <c r="I197" s="59"/>
    </row>
    <row r="198" spans="1:9" x14ac:dyDescent="0.25">
      <c r="A198" s="57">
        <v>194</v>
      </c>
      <c r="B198" s="57" t="s">
        <v>706</v>
      </c>
      <c r="C198" s="57" t="s">
        <v>707</v>
      </c>
      <c r="D198" s="57">
        <v>70</v>
      </c>
      <c r="E198" s="57">
        <v>70</v>
      </c>
      <c r="F198" s="57"/>
      <c r="G198" s="57" t="s">
        <v>466</v>
      </c>
      <c r="H198" s="58" t="s">
        <v>691</v>
      </c>
      <c r="I198" s="59"/>
    </row>
    <row r="199" spans="1:9" x14ac:dyDescent="0.25">
      <c r="A199" s="57">
        <v>195</v>
      </c>
      <c r="B199" s="57" t="s">
        <v>708</v>
      </c>
      <c r="C199" s="64" t="s">
        <v>709</v>
      </c>
      <c r="D199" s="64">
        <v>11</v>
      </c>
      <c r="E199" s="64">
        <v>11</v>
      </c>
      <c r="F199" s="60"/>
      <c r="G199" s="57" t="s">
        <v>475</v>
      </c>
      <c r="H199" s="58" t="s">
        <v>691</v>
      </c>
      <c r="I199" s="59"/>
    </row>
    <row r="200" spans="1:9" x14ac:dyDescent="0.25">
      <c r="C200" s="65" t="s">
        <v>710</v>
      </c>
      <c r="D200" s="61">
        <f>SUM(D5:D199)</f>
        <v>3838.75</v>
      </c>
      <c r="E200" s="61">
        <f>SUM(E5:E199)</f>
        <v>3839.75</v>
      </c>
      <c r="F200" s="62"/>
    </row>
    <row r="201" spans="1:9" x14ac:dyDescent="0.25">
      <c r="C201" s="65" t="s">
        <v>711</v>
      </c>
      <c r="D201" s="61"/>
      <c r="E201" s="61">
        <v>3</v>
      </c>
      <c r="F201" s="62"/>
    </row>
    <row r="202" spans="1:9" x14ac:dyDescent="0.25">
      <c r="C202" s="65" t="s">
        <v>712</v>
      </c>
      <c r="D202" s="61"/>
      <c r="E202" s="61">
        <v>3</v>
      </c>
      <c r="F202" s="62"/>
    </row>
    <row r="203" spans="1:9" x14ac:dyDescent="0.25">
      <c r="C203" s="65" t="s">
        <v>713</v>
      </c>
      <c r="D203" s="61"/>
      <c r="E203" s="66">
        <f>((E200-E201)/E200)</f>
        <v>0.99921869913405825</v>
      </c>
      <c r="F203" s="63"/>
    </row>
    <row r="204" spans="1:9" x14ac:dyDescent="0.25">
      <c r="C204" s="65" t="s">
        <v>714</v>
      </c>
      <c r="D204" s="61"/>
      <c r="E204" s="66">
        <f>((E200-E202)/E200)</f>
        <v>0.99921869913405825</v>
      </c>
      <c r="F204" s="63"/>
    </row>
  </sheetData>
  <sheetProtection formatCells="0" formatColumns="0" formatRows="0" insertColumns="0" insertRows="0" insertHyperlinks="0" deleteColumns="0" deleteRows="0" sort="0" autoFilter="0" pivotTables="0"/>
  <autoFilter ref="A4:I199"/>
  <pageMargins left="0" right="0" top="0" bottom="0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D12" sqref="D12"/>
    </sheetView>
  </sheetViews>
  <sheetFormatPr defaultRowHeight="15" x14ac:dyDescent="0.25"/>
  <cols>
    <col min="1" max="1" width="6" customWidth="1"/>
    <col min="2" max="2" width="13.85546875" style="68" customWidth="1"/>
    <col min="3" max="3" width="39.5703125" customWidth="1"/>
    <col min="4" max="4" width="37.5703125" customWidth="1"/>
    <col min="5" max="5" width="16.28515625" customWidth="1"/>
    <col min="6" max="6" width="10.42578125" bestFit="1" customWidth="1"/>
  </cols>
  <sheetData>
    <row r="1" spans="1:6" ht="18.75" x14ac:dyDescent="0.3">
      <c r="A1" s="67" t="s">
        <v>715</v>
      </c>
    </row>
    <row r="2" spans="1:6" x14ac:dyDescent="0.25">
      <c r="A2" s="81" t="s">
        <v>722</v>
      </c>
      <c r="B2" s="81"/>
    </row>
    <row r="3" spans="1:6" x14ac:dyDescent="0.25">
      <c r="A3" s="72"/>
    </row>
    <row r="4" spans="1:6" ht="30" x14ac:dyDescent="0.25">
      <c r="A4" s="69" t="s">
        <v>716</v>
      </c>
      <c r="B4" s="70" t="s">
        <v>717</v>
      </c>
      <c r="C4" s="69" t="s">
        <v>718</v>
      </c>
      <c r="D4" s="69" t="s">
        <v>719</v>
      </c>
      <c r="E4" s="69" t="s">
        <v>720</v>
      </c>
      <c r="F4" s="69" t="s">
        <v>721</v>
      </c>
    </row>
    <row r="5" spans="1:6" ht="30" x14ac:dyDescent="0.25">
      <c r="A5" s="13">
        <v>1</v>
      </c>
      <c r="B5" s="71">
        <v>46124</v>
      </c>
      <c r="C5" s="19" t="s">
        <v>723</v>
      </c>
      <c r="D5" s="19" t="s">
        <v>724</v>
      </c>
      <c r="E5" s="71">
        <v>46125</v>
      </c>
      <c r="F5" s="13">
        <f>E5-B5</f>
        <v>1</v>
      </c>
    </row>
    <row r="6" spans="1:6" x14ac:dyDescent="0.25">
      <c r="A6" s="72"/>
      <c r="B6" s="79"/>
      <c r="C6" s="80"/>
      <c r="D6" s="80"/>
    </row>
    <row r="7" spans="1:6" x14ac:dyDescent="0.25">
      <c r="B7"/>
    </row>
    <row r="8" spans="1:6" x14ac:dyDescent="0.25">
      <c r="A8" s="72"/>
    </row>
    <row r="9" spans="1:6" x14ac:dyDescent="0.25">
      <c r="A9" s="72"/>
    </row>
    <row r="10" spans="1:6" x14ac:dyDescent="0.25">
      <c r="A10" s="72"/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opLeftCell="A4" zoomScale="90" zoomScaleNormal="90" workbookViewId="0">
      <selection activeCell="D7" sqref="D7"/>
    </sheetView>
  </sheetViews>
  <sheetFormatPr defaultRowHeight="15" x14ac:dyDescent="0.25"/>
  <cols>
    <col min="1" max="1" width="6.5703125" customWidth="1"/>
    <col min="2" max="2" width="13.85546875" style="68" customWidth="1"/>
    <col min="3" max="3" width="45.28515625" customWidth="1"/>
    <col min="4" max="4" width="32.28515625" customWidth="1"/>
    <col min="5" max="5" width="66.85546875" customWidth="1"/>
  </cols>
  <sheetData>
    <row r="1" spans="1:5" x14ac:dyDescent="0.25">
      <c r="A1" s="46" t="s">
        <v>725</v>
      </c>
    </row>
    <row r="3" spans="1:5" ht="27" customHeight="1" x14ac:dyDescent="0.25">
      <c r="A3" s="73" t="s">
        <v>716</v>
      </c>
      <c r="B3" s="74" t="s">
        <v>726</v>
      </c>
      <c r="C3" s="73" t="s">
        <v>727</v>
      </c>
      <c r="D3" s="73" t="s">
        <v>728</v>
      </c>
      <c r="E3" s="73" t="s">
        <v>23</v>
      </c>
    </row>
    <row r="4" spans="1:5" x14ac:dyDescent="0.25">
      <c r="A4" s="76">
        <v>1</v>
      </c>
      <c r="B4" s="71">
        <v>46116</v>
      </c>
      <c r="C4" s="37" t="s">
        <v>730</v>
      </c>
      <c r="D4" s="5" t="s">
        <v>731</v>
      </c>
      <c r="E4" s="75"/>
    </row>
    <row r="5" spans="1:5" x14ac:dyDescent="0.25">
      <c r="A5" s="76">
        <v>2</v>
      </c>
      <c r="B5" s="71">
        <v>46116</v>
      </c>
      <c r="C5" s="5" t="s">
        <v>732</v>
      </c>
      <c r="D5" s="5" t="s">
        <v>731</v>
      </c>
      <c r="E5" s="5"/>
    </row>
    <row r="6" spans="1:5" x14ac:dyDescent="0.25">
      <c r="A6" s="76">
        <v>3</v>
      </c>
      <c r="B6" s="77">
        <v>46116</v>
      </c>
      <c r="C6" s="5" t="s">
        <v>733</v>
      </c>
      <c r="D6" s="5" t="s">
        <v>731</v>
      </c>
      <c r="E6" s="5"/>
    </row>
    <row r="7" spans="1:5" ht="300" x14ac:dyDescent="0.25">
      <c r="A7" s="83">
        <v>4</v>
      </c>
      <c r="B7" s="71">
        <v>46172</v>
      </c>
      <c r="C7" s="10" t="s">
        <v>729</v>
      </c>
      <c r="D7" s="14" t="s">
        <v>734</v>
      </c>
      <c r="E7" s="82" t="s">
        <v>735</v>
      </c>
    </row>
  </sheetData>
  <pageMargins left="0.7" right="0.7" top="0.75" bottom="0.75" header="0.3" footer="0.3"/>
  <pageSetup paperSize="1000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3172"/>
  <sheetViews>
    <sheetView zoomScale="98" zoomScaleNormal="98" workbookViewId="0">
      <selection activeCell="P18" sqref="P18"/>
    </sheetView>
  </sheetViews>
  <sheetFormatPr defaultRowHeight="15" x14ac:dyDescent="0.25"/>
  <cols>
    <col min="1" max="1" width="6" style="95" customWidth="1"/>
    <col min="2" max="2" width="10.42578125" style="170" customWidth="1"/>
    <col min="3" max="3" width="8.140625" style="170" customWidth="1"/>
    <col min="4" max="4" width="13.85546875" style="95" customWidth="1"/>
    <col min="5" max="5" width="21.85546875" style="95" customWidth="1"/>
    <col min="6" max="6" width="8.42578125" style="102" customWidth="1"/>
    <col min="7" max="7" width="20.7109375" style="102" customWidth="1"/>
    <col min="8" max="8" width="14.85546875" style="95" customWidth="1"/>
    <col min="9" max="9" width="9.140625" style="95"/>
    <col min="10" max="10" width="16.28515625" style="95" customWidth="1"/>
    <col min="11" max="11" width="23" style="95" customWidth="1"/>
    <col min="12" max="12" width="16.28515625" style="105" customWidth="1"/>
    <col min="13" max="13" width="18.85546875" style="104" customWidth="1"/>
    <col min="14" max="14" width="18.42578125" style="105" customWidth="1"/>
    <col min="15" max="15" width="14.7109375" style="105" customWidth="1"/>
    <col min="16" max="16" width="14.42578125" style="105" bestFit="1" customWidth="1"/>
    <col min="17" max="17" width="19.28515625" style="95" customWidth="1"/>
    <col min="18" max="18" width="14.7109375" style="95" customWidth="1"/>
    <col min="19" max="19" width="15" style="95" customWidth="1"/>
    <col min="20" max="20" width="14.7109375" style="95" customWidth="1"/>
    <col min="21" max="147" width="11" style="95" bestFit="1" customWidth="1"/>
    <col min="148" max="148" width="11.42578125" style="95" bestFit="1" customWidth="1"/>
    <col min="149" max="16384" width="9.140625" style="95"/>
  </cols>
  <sheetData>
    <row r="1" spans="1:148" ht="19.5" x14ac:dyDescent="0.3">
      <c r="A1" s="93"/>
      <c r="B1" s="94" t="s">
        <v>747</v>
      </c>
      <c r="C1" s="94"/>
      <c r="D1" s="94"/>
      <c r="E1" s="94"/>
      <c r="F1" s="94"/>
      <c r="G1" s="94"/>
      <c r="H1" s="94"/>
      <c r="J1" s="94" t="s">
        <v>748</v>
      </c>
      <c r="K1" s="94"/>
      <c r="L1" s="94"/>
      <c r="M1" s="94"/>
      <c r="N1" s="94"/>
      <c r="O1" s="96"/>
      <c r="P1" s="94" t="s">
        <v>749</v>
      </c>
      <c r="Q1" s="94"/>
      <c r="R1" s="94"/>
      <c r="S1" s="94"/>
      <c r="T1" s="94"/>
      <c r="U1" s="97"/>
    </row>
    <row r="2" spans="1:148" x14ac:dyDescent="0.25">
      <c r="B2" s="98" t="s">
        <v>750</v>
      </c>
      <c r="C2" s="98"/>
      <c r="D2" s="98"/>
      <c r="E2" s="98"/>
      <c r="F2" s="98"/>
      <c r="G2" s="98"/>
      <c r="H2" s="98"/>
      <c r="J2" s="98" t="s">
        <v>750</v>
      </c>
      <c r="K2" s="98"/>
      <c r="L2" s="98"/>
      <c r="M2" s="98"/>
      <c r="N2" s="98"/>
      <c r="O2" s="99"/>
      <c r="P2" s="98" t="s">
        <v>750</v>
      </c>
      <c r="Q2" s="98"/>
      <c r="R2" s="98"/>
      <c r="S2" s="98"/>
      <c r="T2" s="98"/>
      <c r="U2" s="100"/>
    </row>
    <row r="3" spans="1:148" x14ac:dyDescent="0.25">
      <c r="B3" s="101"/>
      <c r="C3" s="101"/>
      <c r="H3" s="103"/>
      <c r="J3"/>
      <c r="K3"/>
      <c r="L3" s="104"/>
      <c r="Q3"/>
      <c r="R3"/>
      <c r="S3" s="104"/>
      <c r="T3" s="104"/>
      <c r="U3" s="105"/>
    </row>
    <row r="4" spans="1:148" ht="30" x14ac:dyDescent="0.25">
      <c r="A4" s="106" t="s">
        <v>0</v>
      </c>
      <c r="B4" s="107" t="s">
        <v>2</v>
      </c>
      <c r="C4" s="107" t="s">
        <v>751</v>
      </c>
      <c r="D4" s="106" t="s">
        <v>4</v>
      </c>
      <c r="E4" s="106" t="s">
        <v>5</v>
      </c>
      <c r="F4" s="106" t="s">
        <v>752</v>
      </c>
      <c r="G4" s="108" t="s">
        <v>753</v>
      </c>
      <c r="H4" s="109" t="s">
        <v>754</v>
      </c>
      <c r="J4" s="110" t="s">
        <v>4</v>
      </c>
      <c r="K4" s="111" t="s">
        <v>755</v>
      </c>
      <c r="L4" s="111"/>
      <c r="M4" s="111"/>
      <c r="N4" s="112" t="s">
        <v>756</v>
      </c>
      <c r="P4" s="113" t="s">
        <v>4</v>
      </c>
      <c r="Q4" s="114" t="s">
        <v>5</v>
      </c>
      <c r="R4" s="113" t="s">
        <v>757</v>
      </c>
      <c r="S4" s="113"/>
      <c r="T4" s="113"/>
    </row>
    <row r="5" spans="1:148" ht="15.75" x14ac:dyDescent="0.25">
      <c r="A5" s="115">
        <v>1</v>
      </c>
      <c r="B5" s="116">
        <v>45293</v>
      </c>
      <c r="C5" s="117">
        <v>2024</v>
      </c>
      <c r="D5" s="118" t="s">
        <v>259</v>
      </c>
      <c r="E5" s="119" t="s">
        <v>758</v>
      </c>
      <c r="F5" s="120">
        <v>1</v>
      </c>
      <c r="G5" s="120" t="s">
        <v>759</v>
      </c>
      <c r="H5" s="121">
        <v>158000</v>
      </c>
      <c r="J5" s="122"/>
      <c r="K5" s="123">
        <v>2024</v>
      </c>
      <c r="L5" s="123">
        <v>2025</v>
      </c>
      <c r="M5" s="123">
        <v>2026</v>
      </c>
      <c r="N5" s="124"/>
      <c r="O5" s="125"/>
      <c r="P5" s="113"/>
      <c r="Q5" s="126"/>
      <c r="R5" s="127">
        <v>2024</v>
      </c>
      <c r="S5" s="127">
        <v>2025</v>
      </c>
      <c r="T5" s="127">
        <v>2026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</row>
    <row r="6" spans="1:148" x14ac:dyDescent="0.25">
      <c r="A6" s="115">
        <v>2</v>
      </c>
      <c r="B6" s="116">
        <v>45293</v>
      </c>
      <c r="C6" s="117">
        <v>2024</v>
      </c>
      <c r="D6" s="118" t="s">
        <v>259</v>
      </c>
      <c r="E6" s="119" t="s">
        <v>760</v>
      </c>
      <c r="F6" s="120">
        <v>1</v>
      </c>
      <c r="G6" s="120" t="s">
        <v>759</v>
      </c>
      <c r="H6" s="121">
        <v>1540000</v>
      </c>
      <c r="J6" s="37" t="s">
        <v>35</v>
      </c>
      <c r="K6" s="128">
        <v>488889959</v>
      </c>
      <c r="L6" s="128">
        <v>318345396</v>
      </c>
      <c r="M6" s="128">
        <v>241749090</v>
      </c>
      <c r="N6" s="129">
        <f>SUM(K6:M6)</f>
        <v>1048984445</v>
      </c>
      <c r="O6"/>
      <c r="P6" s="130" t="s">
        <v>35</v>
      </c>
      <c r="Q6" s="131" t="s">
        <v>761</v>
      </c>
      <c r="R6" s="132">
        <v>150700000</v>
      </c>
      <c r="S6" s="132">
        <v>125266000</v>
      </c>
      <c r="T6" s="132">
        <v>125599000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</row>
    <row r="7" spans="1:148" x14ac:dyDescent="0.25">
      <c r="A7" s="115">
        <v>3</v>
      </c>
      <c r="B7" s="116">
        <v>45296</v>
      </c>
      <c r="C7" s="117">
        <v>2024</v>
      </c>
      <c r="D7" s="118" t="s">
        <v>35</v>
      </c>
      <c r="E7" s="119" t="s">
        <v>211</v>
      </c>
      <c r="F7" s="120">
        <v>4</v>
      </c>
      <c r="G7" s="120" t="s">
        <v>759</v>
      </c>
      <c r="H7" s="121">
        <v>92000</v>
      </c>
      <c r="J7" s="133" t="s">
        <v>259</v>
      </c>
      <c r="K7" s="134">
        <v>29044670</v>
      </c>
      <c r="L7" s="128">
        <v>85203517</v>
      </c>
      <c r="M7" s="134">
        <v>28845461</v>
      </c>
      <c r="N7" s="129">
        <f t="shared" ref="N7:N11" si="0">SUM(K7:M7)</f>
        <v>143093648</v>
      </c>
      <c r="O7"/>
      <c r="P7" s="135" t="s">
        <v>259</v>
      </c>
      <c r="Q7" s="136" t="s">
        <v>762</v>
      </c>
      <c r="R7" s="137">
        <v>12850000</v>
      </c>
      <c r="S7" s="138">
        <v>11261800</v>
      </c>
      <c r="T7" s="137">
        <v>5096700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</row>
    <row r="8" spans="1:148" x14ac:dyDescent="0.25">
      <c r="A8" s="115">
        <v>4</v>
      </c>
      <c r="B8" s="116">
        <v>45296</v>
      </c>
      <c r="C8" s="117">
        <v>2024</v>
      </c>
      <c r="D8" s="118" t="s">
        <v>35</v>
      </c>
      <c r="E8" s="119" t="s">
        <v>211</v>
      </c>
      <c r="F8" s="120">
        <v>1</v>
      </c>
      <c r="G8" s="120" t="s">
        <v>759</v>
      </c>
      <c r="H8" s="121">
        <v>17700</v>
      </c>
      <c r="J8" s="133" t="s">
        <v>281</v>
      </c>
      <c r="K8" s="128">
        <v>35341039</v>
      </c>
      <c r="L8" s="128">
        <v>24539074</v>
      </c>
      <c r="M8" s="32">
        <v>10434037</v>
      </c>
      <c r="N8" s="129">
        <f t="shared" si="0"/>
        <v>70314150</v>
      </c>
      <c r="O8"/>
      <c r="P8" s="139" t="s">
        <v>281</v>
      </c>
      <c r="Q8" s="140" t="s">
        <v>589</v>
      </c>
      <c r="R8" s="141">
        <v>19933545</v>
      </c>
      <c r="S8" s="141">
        <v>12064375</v>
      </c>
      <c r="T8" s="142">
        <v>6035583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</row>
    <row r="9" spans="1:148" x14ac:dyDescent="0.25">
      <c r="A9" s="115">
        <v>5</v>
      </c>
      <c r="B9" s="116">
        <v>45296</v>
      </c>
      <c r="C9" s="117">
        <v>2024</v>
      </c>
      <c r="D9" s="118" t="s">
        <v>35</v>
      </c>
      <c r="E9" s="119" t="s">
        <v>708</v>
      </c>
      <c r="F9" s="120">
        <v>2</v>
      </c>
      <c r="G9" s="120" t="s">
        <v>759</v>
      </c>
      <c r="H9" s="121">
        <v>61300</v>
      </c>
      <c r="J9" s="18" t="s">
        <v>158</v>
      </c>
      <c r="K9" s="128">
        <v>122949938</v>
      </c>
      <c r="L9" s="128">
        <v>243269649</v>
      </c>
      <c r="M9" s="128">
        <v>133018684</v>
      </c>
      <c r="N9" s="129">
        <f t="shared" si="0"/>
        <v>499238271</v>
      </c>
      <c r="O9"/>
      <c r="P9" s="143" t="s">
        <v>158</v>
      </c>
      <c r="Q9" s="143" t="s">
        <v>763</v>
      </c>
      <c r="R9" s="144">
        <v>111000000</v>
      </c>
      <c r="S9" s="144">
        <v>208680000</v>
      </c>
      <c r="T9" s="144">
        <v>104340000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</row>
    <row r="10" spans="1:148" x14ac:dyDescent="0.25">
      <c r="A10" s="115">
        <v>6</v>
      </c>
      <c r="B10" s="145">
        <v>45296</v>
      </c>
      <c r="C10" s="146">
        <v>2024</v>
      </c>
      <c r="D10" s="118" t="s">
        <v>35</v>
      </c>
      <c r="E10" s="118" t="s">
        <v>764</v>
      </c>
      <c r="F10" s="147">
        <v>1</v>
      </c>
      <c r="G10" s="120" t="s">
        <v>759</v>
      </c>
      <c r="H10" s="148">
        <v>50000</v>
      </c>
      <c r="J10" s="133" t="s">
        <v>27</v>
      </c>
      <c r="K10" s="134">
        <v>35130632</v>
      </c>
      <c r="L10" s="128">
        <v>3602810</v>
      </c>
      <c r="M10" s="128">
        <v>7670000</v>
      </c>
      <c r="N10" s="129">
        <f t="shared" si="0"/>
        <v>46403442</v>
      </c>
      <c r="O10"/>
      <c r="P10" s="149" t="s">
        <v>27</v>
      </c>
      <c r="Q10" s="150" t="s">
        <v>692</v>
      </c>
      <c r="R10" s="151">
        <v>30991000</v>
      </c>
      <c r="S10" s="152"/>
      <c r="T10" s="152">
        <v>4600000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</row>
    <row r="11" spans="1:148" x14ac:dyDescent="0.25">
      <c r="A11" s="115">
        <v>7</v>
      </c>
      <c r="B11" s="145">
        <v>45299</v>
      </c>
      <c r="C11" s="146">
        <v>2024</v>
      </c>
      <c r="D11" s="118" t="s">
        <v>35</v>
      </c>
      <c r="E11" s="118" t="s">
        <v>765</v>
      </c>
      <c r="F11" s="147">
        <v>1</v>
      </c>
      <c r="G11" s="120" t="s">
        <v>759</v>
      </c>
      <c r="H11" s="148">
        <v>175000</v>
      </c>
      <c r="J11" s="10" t="s">
        <v>766</v>
      </c>
      <c r="K11" s="32">
        <v>1165953250</v>
      </c>
      <c r="L11" s="32">
        <v>696720631</v>
      </c>
      <c r="M11" s="32">
        <v>392487847</v>
      </c>
      <c r="N11" s="129">
        <f t="shared" si="0"/>
        <v>2255161728</v>
      </c>
      <c r="O11"/>
      <c r="P11" s="153"/>
      <c r="Q11" s="150" t="s">
        <v>767</v>
      </c>
      <c r="R11" s="151"/>
      <c r="S11" s="151">
        <v>762144</v>
      </c>
      <c r="T11" s="15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</row>
    <row r="12" spans="1:148" ht="29.25" customHeight="1" x14ac:dyDescent="0.25">
      <c r="A12" s="154">
        <v>8</v>
      </c>
      <c r="B12" s="155">
        <v>45299</v>
      </c>
      <c r="C12" s="156">
        <v>2024</v>
      </c>
      <c r="D12" s="119" t="s">
        <v>35</v>
      </c>
      <c r="E12" s="119" t="s">
        <v>765</v>
      </c>
      <c r="F12" s="120">
        <v>1</v>
      </c>
      <c r="G12" s="120" t="s">
        <v>759</v>
      </c>
      <c r="H12" s="157">
        <v>275000</v>
      </c>
      <c r="J12" s="158" t="s">
        <v>768</v>
      </c>
      <c r="K12" s="159">
        <f>SUM(K6:K11)</f>
        <v>1877309488</v>
      </c>
      <c r="L12" s="159">
        <f t="shared" ref="L12:M12" si="1">SUM(L6:L11)</f>
        <v>1371681077</v>
      </c>
      <c r="M12" s="159">
        <f t="shared" si="1"/>
        <v>814205119</v>
      </c>
      <c r="N12" s="159">
        <f>SUM(N6:N11)</f>
        <v>4063195684</v>
      </c>
      <c r="O12"/>
      <c r="P12" s="160" t="s">
        <v>766</v>
      </c>
      <c r="Q12" s="161" t="s">
        <v>769</v>
      </c>
      <c r="R12" s="162">
        <v>1165953250</v>
      </c>
      <c r="S12" s="162">
        <v>696720631</v>
      </c>
      <c r="T12" s="162">
        <v>392487847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</row>
    <row r="13" spans="1:148" x14ac:dyDescent="0.25">
      <c r="A13" s="115">
        <v>9</v>
      </c>
      <c r="B13" s="145">
        <v>45299</v>
      </c>
      <c r="C13" s="146">
        <v>2024</v>
      </c>
      <c r="D13" s="118" t="s">
        <v>35</v>
      </c>
      <c r="E13" s="118" t="s">
        <v>770</v>
      </c>
      <c r="F13" s="147">
        <v>1</v>
      </c>
      <c r="G13" s="120" t="s">
        <v>759</v>
      </c>
      <c r="H13" s="148">
        <v>75000</v>
      </c>
      <c r="J13" s="16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</row>
    <row r="14" spans="1:148" x14ac:dyDescent="0.25">
      <c r="A14" s="115">
        <v>10</v>
      </c>
      <c r="B14" s="145">
        <v>45299</v>
      </c>
      <c r="C14" s="146">
        <v>2024</v>
      </c>
      <c r="D14" s="118" t="s">
        <v>35</v>
      </c>
      <c r="E14" s="118" t="s">
        <v>770</v>
      </c>
      <c r="F14" s="147">
        <v>1</v>
      </c>
      <c r="G14" s="120" t="s">
        <v>759</v>
      </c>
      <c r="H14" s="148">
        <v>27500</v>
      </c>
      <c r="J14" s="163"/>
      <c r="K14"/>
      <c r="L14"/>
      <c r="N14" s="10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</row>
    <row r="15" spans="1:148" x14ac:dyDescent="0.25">
      <c r="A15" s="115">
        <v>11</v>
      </c>
      <c r="B15" s="145">
        <v>45299</v>
      </c>
      <c r="C15" s="146">
        <v>2024</v>
      </c>
      <c r="D15" s="118" t="s">
        <v>35</v>
      </c>
      <c r="E15" s="118" t="s">
        <v>771</v>
      </c>
      <c r="F15" s="147">
        <v>1</v>
      </c>
      <c r="G15" s="120" t="s">
        <v>759</v>
      </c>
      <c r="H15" s="148">
        <v>5000</v>
      </c>
      <c r="J15" s="164"/>
      <c r="K15"/>
      <c r="L15"/>
      <c r="N15" s="104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</row>
    <row r="16" spans="1:148" x14ac:dyDescent="0.25">
      <c r="A16" s="115">
        <v>12</v>
      </c>
      <c r="B16" s="145">
        <v>45299</v>
      </c>
      <c r="C16" s="146">
        <v>2024</v>
      </c>
      <c r="D16" s="118" t="s">
        <v>35</v>
      </c>
      <c r="E16" s="118" t="s">
        <v>770</v>
      </c>
      <c r="F16" s="147">
        <v>1</v>
      </c>
      <c r="G16" s="120" t="s">
        <v>759</v>
      </c>
      <c r="H16" s="148">
        <v>82500</v>
      </c>
      <c r="J16" s="164"/>
      <c r="K16"/>
      <c r="L16"/>
      <c r="N16" s="104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</row>
    <row r="17" spans="1:148" x14ac:dyDescent="0.25">
      <c r="A17" s="115">
        <v>13</v>
      </c>
      <c r="B17" s="145">
        <v>45299</v>
      </c>
      <c r="C17" s="146">
        <v>2024</v>
      </c>
      <c r="D17" s="118" t="s">
        <v>35</v>
      </c>
      <c r="E17" s="118" t="s">
        <v>772</v>
      </c>
      <c r="F17" s="147">
        <v>1</v>
      </c>
      <c r="G17" s="120" t="s">
        <v>759</v>
      </c>
      <c r="H17" s="148">
        <v>57500</v>
      </c>
      <c r="J17" s="164"/>
      <c r="K17"/>
      <c r="L17"/>
      <c r="M17" s="165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</row>
    <row r="18" spans="1:148" x14ac:dyDescent="0.25">
      <c r="A18" s="115">
        <v>14</v>
      </c>
      <c r="B18" s="145">
        <v>45299</v>
      </c>
      <c r="C18" s="146">
        <v>2024</v>
      </c>
      <c r="D18" s="118" t="s">
        <v>35</v>
      </c>
      <c r="E18" s="118" t="s">
        <v>773</v>
      </c>
      <c r="F18" s="147">
        <v>1</v>
      </c>
      <c r="G18" s="120" t="s">
        <v>759</v>
      </c>
      <c r="H18" s="148">
        <v>6500</v>
      </c>
      <c r="J18" s="164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</row>
    <row r="19" spans="1:148" x14ac:dyDescent="0.25">
      <c r="A19" s="115">
        <v>15</v>
      </c>
      <c r="B19" s="145">
        <v>45299</v>
      </c>
      <c r="C19" s="146">
        <v>2024</v>
      </c>
      <c r="D19" s="118" t="s">
        <v>35</v>
      </c>
      <c r="E19" s="118" t="s">
        <v>765</v>
      </c>
      <c r="F19" s="147">
        <v>1</v>
      </c>
      <c r="G19" s="120" t="s">
        <v>759</v>
      </c>
      <c r="H19" s="148">
        <v>175000</v>
      </c>
      <c r="J19" s="164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</row>
    <row r="20" spans="1:148" x14ac:dyDescent="0.25">
      <c r="A20" s="115">
        <v>16</v>
      </c>
      <c r="B20" s="145">
        <v>45299</v>
      </c>
      <c r="C20" s="146">
        <v>2024</v>
      </c>
      <c r="D20" s="118" t="s">
        <v>35</v>
      </c>
      <c r="E20" s="118" t="s">
        <v>765</v>
      </c>
      <c r="F20" s="147">
        <v>1</v>
      </c>
      <c r="G20" s="120" t="s">
        <v>759</v>
      </c>
      <c r="H20" s="148">
        <v>275000</v>
      </c>
      <c r="J20" s="164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</row>
    <row r="21" spans="1:148" x14ac:dyDescent="0.25">
      <c r="A21" s="115">
        <v>17</v>
      </c>
      <c r="B21" s="145">
        <v>45299</v>
      </c>
      <c r="C21" s="146">
        <v>2024</v>
      </c>
      <c r="D21" s="118" t="s">
        <v>35</v>
      </c>
      <c r="E21" s="118" t="s">
        <v>770</v>
      </c>
      <c r="F21" s="147">
        <v>1</v>
      </c>
      <c r="G21" s="120" t="s">
        <v>759</v>
      </c>
      <c r="H21" s="148">
        <v>25000</v>
      </c>
      <c r="J21" s="164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</row>
    <row r="22" spans="1:148" x14ac:dyDescent="0.25">
      <c r="A22" s="115">
        <v>18</v>
      </c>
      <c r="B22" s="145">
        <v>45299</v>
      </c>
      <c r="C22" s="146">
        <v>2024</v>
      </c>
      <c r="D22" s="118" t="s">
        <v>35</v>
      </c>
      <c r="E22" s="118" t="s">
        <v>770</v>
      </c>
      <c r="F22" s="147">
        <v>1</v>
      </c>
      <c r="G22" s="120" t="s">
        <v>759</v>
      </c>
      <c r="H22" s="148">
        <v>27500</v>
      </c>
      <c r="J22" s="164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</row>
    <row r="23" spans="1:148" x14ac:dyDescent="0.25">
      <c r="A23" s="115">
        <v>19</v>
      </c>
      <c r="B23" s="145">
        <v>45299</v>
      </c>
      <c r="C23" s="146">
        <v>2024</v>
      </c>
      <c r="D23" s="118" t="s">
        <v>35</v>
      </c>
      <c r="E23" s="118" t="s">
        <v>771</v>
      </c>
      <c r="F23" s="147">
        <v>1</v>
      </c>
      <c r="G23" s="120" t="s">
        <v>759</v>
      </c>
      <c r="H23" s="148">
        <v>5000</v>
      </c>
      <c r="J23" s="164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</row>
    <row r="24" spans="1:148" x14ac:dyDescent="0.25">
      <c r="A24" s="115">
        <v>20</v>
      </c>
      <c r="B24" s="145">
        <v>45299</v>
      </c>
      <c r="C24" s="146">
        <v>2024</v>
      </c>
      <c r="D24" s="118" t="s">
        <v>35</v>
      </c>
      <c r="E24" s="118" t="s">
        <v>770</v>
      </c>
      <c r="F24" s="147">
        <v>1</v>
      </c>
      <c r="G24" s="120" t="s">
        <v>759</v>
      </c>
      <c r="H24" s="148">
        <v>82500</v>
      </c>
      <c r="J24" s="16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</row>
    <row r="25" spans="1:148" x14ac:dyDescent="0.25">
      <c r="A25" s="115">
        <v>21</v>
      </c>
      <c r="B25" s="145">
        <v>45299</v>
      </c>
      <c r="C25" s="146">
        <v>2024</v>
      </c>
      <c r="D25" s="118" t="s">
        <v>35</v>
      </c>
      <c r="E25" s="118" t="s">
        <v>765</v>
      </c>
      <c r="F25" s="147">
        <v>1</v>
      </c>
      <c r="G25" s="120" t="s">
        <v>759</v>
      </c>
      <c r="H25" s="148">
        <v>175000</v>
      </c>
      <c r="J25" s="164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</row>
    <row r="26" spans="1:148" x14ac:dyDescent="0.25">
      <c r="A26" s="115">
        <v>22</v>
      </c>
      <c r="B26" s="145">
        <v>45299</v>
      </c>
      <c r="C26" s="146">
        <v>2024</v>
      </c>
      <c r="D26" s="118" t="s">
        <v>35</v>
      </c>
      <c r="E26" s="118" t="s">
        <v>765</v>
      </c>
      <c r="F26" s="147">
        <v>1</v>
      </c>
      <c r="G26" s="120" t="s">
        <v>759</v>
      </c>
      <c r="H26" s="148">
        <v>275000</v>
      </c>
      <c r="J26" s="164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</row>
    <row r="27" spans="1:148" x14ac:dyDescent="0.25">
      <c r="A27" s="115">
        <v>23</v>
      </c>
      <c r="B27" s="145">
        <v>45299</v>
      </c>
      <c r="C27" s="146">
        <v>2024</v>
      </c>
      <c r="D27" s="118" t="s">
        <v>35</v>
      </c>
      <c r="E27" s="118" t="s">
        <v>770</v>
      </c>
      <c r="F27" s="147">
        <v>1</v>
      </c>
      <c r="G27" s="120" t="s">
        <v>759</v>
      </c>
      <c r="H27" s="148">
        <v>25000</v>
      </c>
      <c r="J27" s="164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</row>
    <row r="28" spans="1:148" x14ac:dyDescent="0.25">
      <c r="A28" s="115">
        <v>24</v>
      </c>
      <c r="B28" s="145">
        <v>45299</v>
      </c>
      <c r="C28" s="146">
        <v>2024</v>
      </c>
      <c r="D28" s="118" t="s">
        <v>35</v>
      </c>
      <c r="E28" s="118" t="s">
        <v>770</v>
      </c>
      <c r="F28" s="147">
        <v>1</v>
      </c>
      <c r="G28" s="120" t="s">
        <v>759</v>
      </c>
      <c r="H28" s="148">
        <v>27500</v>
      </c>
      <c r="J28" s="164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</row>
    <row r="29" spans="1:148" x14ac:dyDescent="0.25">
      <c r="A29" s="115">
        <v>25</v>
      </c>
      <c r="B29" s="145">
        <v>45299</v>
      </c>
      <c r="C29" s="146">
        <v>2024</v>
      </c>
      <c r="D29" s="118" t="s">
        <v>35</v>
      </c>
      <c r="E29" s="118" t="s">
        <v>771</v>
      </c>
      <c r="F29" s="147">
        <v>1</v>
      </c>
      <c r="G29" s="120" t="s">
        <v>759</v>
      </c>
      <c r="H29" s="148">
        <v>5000</v>
      </c>
      <c r="J29" s="164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</row>
    <row r="30" spans="1:148" x14ac:dyDescent="0.25">
      <c r="A30" s="115">
        <v>26</v>
      </c>
      <c r="B30" s="145">
        <v>45299</v>
      </c>
      <c r="C30" s="146">
        <v>2024</v>
      </c>
      <c r="D30" s="118" t="s">
        <v>35</v>
      </c>
      <c r="E30" s="118" t="s">
        <v>770</v>
      </c>
      <c r="F30" s="147">
        <v>1</v>
      </c>
      <c r="G30" s="120" t="s">
        <v>759</v>
      </c>
      <c r="H30" s="148">
        <v>82500</v>
      </c>
      <c r="J30" s="164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</row>
    <row r="31" spans="1:148" x14ac:dyDescent="0.25">
      <c r="A31" s="115">
        <v>27</v>
      </c>
      <c r="B31" s="145">
        <v>45299</v>
      </c>
      <c r="C31" s="146">
        <v>2024</v>
      </c>
      <c r="D31" s="118" t="s">
        <v>35</v>
      </c>
      <c r="E31" s="118" t="s">
        <v>774</v>
      </c>
      <c r="F31" s="147">
        <v>1</v>
      </c>
      <c r="G31" s="120" t="s">
        <v>759</v>
      </c>
      <c r="H31" s="148">
        <v>15000</v>
      </c>
      <c r="J31" s="164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</row>
    <row r="32" spans="1:148" x14ac:dyDescent="0.25">
      <c r="A32" s="115">
        <v>28</v>
      </c>
      <c r="B32" s="145">
        <v>45299</v>
      </c>
      <c r="C32" s="146">
        <v>2024</v>
      </c>
      <c r="D32" s="118" t="s">
        <v>35</v>
      </c>
      <c r="E32" s="118" t="s">
        <v>774</v>
      </c>
      <c r="F32" s="147">
        <v>1</v>
      </c>
      <c r="G32" s="120" t="s">
        <v>759</v>
      </c>
      <c r="H32" s="148">
        <v>300000</v>
      </c>
      <c r="J32" s="164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</row>
    <row r="33" spans="1:148" x14ac:dyDescent="0.25">
      <c r="A33" s="115">
        <v>29</v>
      </c>
      <c r="B33" s="145">
        <v>45299</v>
      </c>
      <c r="C33" s="146">
        <v>2024</v>
      </c>
      <c r="D33" s="118" t="s">
        <v>35</v>
      </c>
      <c r="E33" s="118" t="s">
        <v>775</v>
      </c>
      <c r="F33" s="147">
        <v>1</v>
      </c>
      <c r="G33" s="120" t="s">
        <v>759</v>
      </c>
      <c r="H33" s="148">
        <v>25000</v>
      </c>
      <c r="J33" s="164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</row>
    <row r="34" spans="1:148" x14ac:dyDescent="0.25">
      <c r="A34" s="115">
        <v>30</v>
      </c>
      <c r="B34" s="145">
        <v>45299</v>
      </c>
      <c r="C34" s="146">
        <v>2024</v>
      </c>
      <c r="D34" s="118" t="s">
        <v>35</v>
      </c>
      <c r="E34" s="118" t="s">
        <v>775</v>
      </c>
      <c r="F34" s="147">
        <v>1</v>
      </c>
      <c r="G34" s="120" t="s">
        <v>759</v>
      </c>
      <c r="H34" s="148">
        <v>25000</v>
      </c>
      <c r="J34" s="16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</row>
    <row r="35" spans="1:148" x14ac:dyDescent="0.25">
      <c r="A35" s="115">
        <v>31</v>
      </c>
      <c r="B35" s="145">
        <v>45299</v>
      </c>
      <c r="C35" s="146">
        <v>2024</v>
      </c>
      <c r="D35" s="118" t="s">
        <v>35</v>
      </c>
      <c r="E35" s="118" t="s">
        <v>776</v>
      </c>
      <c r="F35" s="147">
        <v>1</v>
      </c>
      <c r="G35" s="120" t="s">
        <v>759</v>
      </c>
      <c r="H35" s="148">
        <v>40000</v>
      </c>
      <c r="J35" s="164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</row>
    <row r="36" spans="1:148" x14ac:dyDescent="0.25">
      <c r="A36" s="115">
        <v>32</v>
      </c>
      <c r="B36" s="145">
        <v>45299</v>
      </c>
      <c r="C36" s="146">
        <v>2024</v>
      </c>
      <c r="D36" s="118" t="s">
        <v>35</v>
      </c>
      <c r="E36" s="118" t="s">
        <v>777</v>
      </c>
      <c r="F36" s="147">
        <v>1</v>
      </c>
      <c r="G36" s="120" t="s">
        <v>759</v>
      </c>
      <c r="H36" s="148">
        <v>40000</v>
      </c>
      <c r="J36" s="164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</row>
    <row r="37" spans="1:148" x14ac:dyDescent="0.25">
      <c r="A37" s="115">
        <v>33</v>
      </c>
      <c r="B37" s="145">
        <v>45299</v>
      </c>
      <c r="C37" s="146">
        <v>2024</v>
      </c>
      <c r="D37" s="118" t="s">
        <v>35</v>
      </c>
      <c r="E37" s="118" t="s">
        <v>778</v>
      </c>
      <c r="F37" s="147">
        <v>1</v>
      </c>
      <c r="G37" s="120" t="s">
        <v>759</v>
      </c>
      <c r="H37" s="148">
        <v>75000</v>
      </c>
      <c r="J37" s="164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</row>
    <row r="38" spans="1:148" x14ac:dyDescent="0.25">
      <c r="A38" s="115">
        <v>34</v>
      </c>
      <c r="B38" s="145">
        <v>45299</v>
      </c>
      <c r="C38" s="146">
        <v>2024</v>
      </c>
      <c r="D38" s="118" t="s">
        <v>35</v>
      </c>
      <c r="E38" s="118" t="s">
        <v>778</v>
      </c>
      <c r="F38" s="147">
        <v>1</v>
      </c>
      <c r="G38" s="120" t="s">
        <v>759</v>
      </c>
      <c r="H38" s="148">
        <v>57500</v>
      </c>
      <c r="J38" s="164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</row>
    <row r="39" spans="1:148" x14ac:dyDescent="0.25">
      <c r="A39" s="115">
        <v>35</v>
      </c>
      <c r="B39" s="145">
        <v>45299</v>
      </c>
      <c r="C39" s="146">
        <v>2024</v>
      </c>
      <c r="D39" s="118" t="s">
        <v>35</v>
      </c>
      <c r="E39" s="118" t="s">
        <v>779</v>
      </c>
      <c r="F39" s="147">
        <v>1</v>
      </c>
      <c r="G39" s="120" t="s">
        <v>759</v>
      </c>
      <c r="H39" s="148">
        <v>6000</v>
      </c>
      <c r="J39" s="164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</row>
    <row r="40" spans="1:148" x14ac:dyDescent="0.25">
      <c r="A40" s="115">
        <v>36</v>
      </c>
      <c r="B40" s="145">
        <v>45299</v>
      </c>
      <c r="C40" s="146">
        <v>2024</v>
      </c>
      <c r="D40" s="118" t="s">
        <v>35</v>
      </c>
      <c r="E40" s="118" t="s">
        <v>780</v>
      </c>
      <c r="F40" s="147">
        <v>1</v>
      </c>
      <c r="G40" s="120" t="s">
        <v>759</v>
      </c>
      <c r="H40" s="148">
        <v>225000</v>
      </c>
      <c r="J40" s="164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</row>
    <row r="41" spans="1:148" x14ac:dyDescent="0.25">
      <c r="A41" s="115">
        <v>37</v>
      </c>
      <c r="B41" s="145">
        <v>45299</v>
      </c>
      <c r="C41" s="146">
        <v>2024</v>
      </c>
      <c r="D41" s="118" t="s">
        <v>35</v>
      </c>
      <c r="E41" s="118" t="s">
        <v>781</v>
      </c>
      <c r="F41" s="147">
        <v>1</v>
      </c>
      <c r="G41" s="120" t="s">
        <v>759</v>
      </c>
      <c r="H41" s="148">
        <v>65000</v>
      </c>
      <c r="J41" s="164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</row>
    <row r="42" spans="1:148" x14ac:dyDescent="0.25">
      <c r="A42" s="115">
        <v>38</v>
      </c>
      <c r="B42" s="155">
        <v>45299</v>
      </c>
      <c r="C42" s="146">
        <v>2024</v>
      </c>
      <c r="D42" s="118" t="s">
        <v>35</v>
      </c>
      <c r="E42" s="118" t="s">
        <v>782</v>
      </c>
      <c r="F42" s="147">
        <v>1</v>
      </c>
      <c r="G42" s="120" t="s">
        <v>759</v>
      </c>
      <c r="H42" s="148">
        <v>38500</v>
      </c>
      <c r="J42" s="164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</row>
    <row r="43" spans="1:148" x14ac:dyDescent="0.25">
      <c r="A43" s="115">
        <v>39</v>
      </c>
      <c r="B43" s="145">
        <v>45299</v>
      </c>
      <c r="C43" s="146">
        <v>2024</v>
      </c>
      <c r="D43" s="118" t="s">
        <v>35</v>
      </c>
      <c r="E43" s="118" t="s">
        <v>783</v>
      </c>
      <c r="F43" s="147">
        <v>1</v>
      </c>
      <c r="G43" s="120" t="s">
        <v>759</v>
      </c>
      <c r="H43" s="148">
        <v>525000</v>
      </c>
      <c r="J43" s="164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</row>
    <row r="44" spans="1:148" x14ac:dyDescent="0.25">
      <c r="A44" s="115">
        <v>40</v>
      </c>
      <c r="B44" s="145">
        <v>45299</v>
      </c>
      <c r="C44" s="146">
        <v>2024</v>
      </c>
      <c r="D44" s="118" t="s">
        <v>35</v>
      </c>
      <c r="E44" s="118" t="s">
        <v>784</v>
      </c>
      <c r="F44" s="147">
        <v>1</v>
      </c>
      <c r="G44" s="120" t="s">
        <v>759</v>
      </c>
      <c r="H44" s="148">
        <v>150000</v>
      </c>
      <c r="J44" s="16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</row>
    <row r="45" spans="1:148" x14ac:dyDescent="0.25">
      <c r="A45" s="115">
        <v>41</v>
      </c>
      <c r="B45" s="145">
        <v>45299</v>
      </c>
      <c r="C45" s="146">
        <v>2024</v>
      </c>
      <c r="D45" s="118" t="s">
        <v>35</v>
      </c>
      <c r="E45" s="118" t="s">
        <v>776</v>
      </c>
      <c r="F45" s="147">
        <v>1</v>
      </c>
      <c r="G45" s="120" t="s">
        <v>759</v>
      </c>
      <c r="H45" s="148">
        <v>40000</v>
      </c>
      <c r="J45" s="164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</row>
    <row r="46" spans="1:148" x14ac:dyDescent="0.25">
      <c r="A46" s="115">
        <v>42</v>
      </c>
      <c r="B46" s="145">
        <v>45300</v>
      </c>
      <c r="C46" s="146">
        <v>2024</v>
      </c>
      <c r="D46" s="118" t="s">
        <v>35</v>
      </c>
      <c r="E46" s="118" t="s">
        <v>785</v>
      </c>
      <c r="F46" s="147">
        <v>1</v>
      </c>
      <c r="G46" s="120" t="s">
        <v>759</v>
      </c>
      <c r="H46" s="148">
        <v>56000</v>
      </c>
      <c r="J46" s="164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</row>
    <row r="47" spans="1:148" x14ac:dyDescent="0.25">
      <c r="A47" s="115">
        <v>43</v>
      </c>
      <c r="B47" s="145">
        <v>45300</v>
      </c>
      <c r="C47" s="146">
        <v>2024</v>
      </c>
      <c r="D47" s="118" t="s">
        <v>35</v>
      </c>
      <c r="E47" s="118" t="s">
        <v>770</v>
      </c>
      <c r="F47" s="147">
        <v>1</v>
      </c>
      <c r="G47" s="120" t="s">
        <v>759</v>
      </c>
      <c r="H47" s="148">
        <v>59000</v>
      </c>
      <c r="J47" s="164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</row>
    <row r="48" spans="1:148" x14ac:dyDescent="0.25">
      <c r="A48" s="115">
        <v>44</v>
      </c>
      <c r="B48" s="145">
        <v>45300</v>
      </c>
      <c r="C48" s="146">
        <v>2024</v>
      </c>
      <c r="D48" s="118" t="s">
        <v>35</v>
      </c>
      <c r="E48" s="118" t="s">
        <v>770</v>
      </c>
      <c r="F48" s="147">
        <v>1</v>
      </c>
      <c r="G48" s="120" t="s">
        <v>759</v>
      </c>
      <c r="H48" s="148">
        <v>48000</v>
      </c>
      <c r="J48" s="164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</row>
    <row r="49" spans="1:148" x14ac:dyDescent="0.25">
      <c r="A49" s="115">
        <v>45</v>
      </c>
      <c r="B49" s="145">
        <v>45300</v>
      </c>
      <c r="C49" s="146">
        <v>2024</v>
      </c>
      <c r="D49" s="118" t="s">
        <v>35</v>
      </c>
      <c r="E49" s="118" t="s">
        <v>770</v>
      </c>
      <c r="F49" s="147">
        <v>1</v>
      </c>
      <c r="G49" s="120" t="s">
        <v>759</v>
      </c>
      <c r="H49" s="148">
        <v>1500</v>
      </c>
      <c r="J49" s="164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</row>
    <row r="50" spans="1:148" x14ac:dyDescent="0.25">
      <c r="A50" s="115">
        <v>46</v>
      </c>
      <c r="B50" s="145">
        <v>45300</v>
      </c>
      <c r="C50" s="146">
        <v>2024</v>
      </c>
      <c r="D50" s="118" t="s">
        <v>35</v>
      </c>
      <c r="E50" s="118" t="s">
        <v>786</v>
      </c>
      <c r="F50" s="147">
        <v>1</v>
      </c>
      <c r="G50" s="120" t="s">
        <v>759</v>
      </c>
      <c r="H50" s="148">
        <v>57500</v>
      </c>
      <c r="J50" s="164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</row>
    <row r="51" spans="1:148" x14ac:dyDescent="0.25">
      <c r="A51" s="115">
        <v>47</v>
      </c>
      <c r="B51" s="145">
        <v>45300</v>
      </c>
      <c r="C51" s="146">
        <v>2024</v>
      </c>
      <c r="D51" s="118" t="s">
        <v>35</v>
      </c>
      <c r="E51" s="118" t="s">
        <v>787</v>
      </c>
      <c r="F51" s="147">
        <v>1</v>
      </c>
      <c r="G51" s="120" t="s">
        <v>759</v>
      </c>
      <c r="H51" s="148">
        <v>18000</v>
      </c>
      <c r="J51" s="164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</row>
    <row r="52" spans="1:148" x14ac:dyDescent="0.25">
      <c r="A52" s="115">
        <v>48</v>
      </c>
      <c r="B52" s="145">
        <v>45300</v>
      </c>
      <c r="C52" s="146">
        <v>2024</v>
      </c>
      <c r="D52" s="118" t="s">
        <v>35</v>
      </c>
      <c r="E52" s="118" t="s">
        <v>788</v>
      </c>
      <c r="F52" s="147">
        <v>1</v>
      </c>
      <c r="G52" s="120" t="s">
        <v>759</v>
      </c>
      <c r="H52" s="148">
        <v>37500</v>
      </c>
      <c r="J52" s="164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</row>
    <row r="53" spans="1:148" x14ac:dyDescent="0.25">
      <c r="A53" s="115">
        <v>49</v>
      </c>
      <c r="B53" s="145">
        <v>45300</v>
      </c>
      <c r="C53" s="146">
        <v>2024</v>
      </c>
      <c r="D53" s="118" t="s">
        <v>35</v>
      </c>
      <c r="E53" s="118" t="s">
        <v>789</v>
      </c>
      <c r="F53" s="147">
        <v>1</v>
      </c>
      <c r="G53" s="120" t="s">
        <v>759</v>
      </c>
      <c r="H53" s="148">
        <v>175000</v>
      </c>
      <c r="J53" s="164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</row>
    <row r="54" spans="1:148" x14ac:dyDescent="0.25">
      <c r="A54" s="115">
        <v>50</v>
      </c>
      <c r="B54" s="145">
        <v>45302</v>
      </c>
      <c r="C54" s="146">
        <v>2024</v>
      </c>
      <c r="D54" s="118" t="s">
        <v>35</v>
      </c>
      <c r="E54" s="118" t="s">
        <v>790</v>
      </c>
      <c r="F54" s="147">
        <v>1</v>
      </c>
      <c r="G54" s="120" t="s">
        <v>759</v>
      </c>
      <c r="H54" s="148">
        <v>300000</v>
      </c>
      <c r="J54" s="16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</row>
    <row r="55" spans="1:148" x14ac:dyDescent="0.25">
      <c r="A55" s="115">
        <v>51</v>
      </c>
      <c r="B55" s="145">
        <v>45304</v>
      </c>
      <c r="C55" s="146">
        <v>2024</v>
      </c>
      <c r="D55" s="118" t="s">
        <v>35</v>
      </c>
      <c r="E55" s="118" t="s">
        <v>791</v>
      </c>
      <c r="F55" s="147">
        <v>1</v>
      </c>
      <c r="G55" s="120" t="s">
        <v>759</v>
      </c>
      <c r="H55" s="148">
        <v>225000</v>
      </c>
      <c r="J55" s="164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</row>
    <row r="56" spans="1:148" x14ac:dyDescent="0.25">
      <c r="A56" s="115">
        <v>52</v>
      </c>
      <c r="B56" s="145">
        <v>45304</v>
      </c>
      <c r="C56" s="146">
        <v>2024</v>
      </c>
      <c r="D56" s="118" t="s">
        <v>35</v>
      </c>
      <c r="E56" s="118" t="s">
        <v>792</v>
      </c>
      <c r="F56" s="147">
        <v>1</v>
      </c>
      <c r="G56" s="120" t="s">
        <v>759</v>
      </c>
      <c r="H56" s="148">
        <v>300000</v>
      </c>
      <c r="J56" s="164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</row>
    <row r="57" spans="1:148" x14ac:dyDescent="0.25">
      <c r="A57" s="115">
        <v>53</v>
      </c>
      <c r="B57" s="145">
        <v>45304</v>
      </c>
      <c r="C57" s="146">
        <v>2024</v>
      </c>
      <c r="D57" s="118" t="s">
        <v>35</v>
      </c>
      <c r="E57" s="118" t="s">
        <v>256</v>
      </c>
      <c r="F57" s="147">
        <v>1</v>
      </c>
      <c r="G57" s="120" t="s">
        <v>759</v>
      </c>
      <c r="H57" s="148">
        <v>300000</v>
      </c>
      <c r="J57" s="164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</row>
    <row r="58" spans="1:148" x14ac:dyDescent="0.25">
      <c r="A58" s="115">
        <v>54</v>
      </c>
      <c r="B58" s="145">
        <v>45304</v>
      </c>
      <c r="C58" s="146">
        <v>2024</v>
      </c>
      <c r="D58" s="118" t="s">
        <v>35</v>
      </c>
      <c r="E58" s="118" t="s">
        <v>793</v>
      </c>
      <c r="F58" s="147">
        <v>1</v>
      </c>
      <c r="G58" s="120" t="s">
        <v>759</v>
      </c>
      <c r="H58" s="148">
        <v>690000</v>
      </c>
      <c r="J58" s="164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</row>
    <row r="59" spans="1:148" x14ac:dyDescent="0.25">
      <c r="A59" s="115">
        <v>55</v>
      </c>
      <c r="B59" s="145">
        <v>45304</v>
      </c>
      <c r="C59" s="146">
        <v>2024</v>
      </c>
      <c r="D59" s="118" t="s">
        <v>35</v>
      </c>
      <c r="E59" s="118" t="s">
        <v>794</v>
      </c>
      <c r="F59" s="147">
        <v>1</v>
      </c>
      <c r="G59" s="120" t="s">
        <v>759</v>
      </c>
      <c r="H59" s="148">
        <v>166500</v>
      </c>
      <c r="J59" s="164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</row>
    <row r="60" spans="1:148" x14ac:dyDescent="0.25">
      <c r="A60" s="115">
        <v>56</v>
      </c>
      <c r="B60" s="145">
        <v>45304</v>
      </c>
      <c r="C60" s="146">
        <v>2024</v>
      </c>
      <c r="D60" s="118" t="s">
        <v>35</v>
      </c>
      <c r="E60" s="118" t="s">
        <v>795</v>
      </c>
      <c r="F60" s="147">
        <v>1</v>
      </c>
      <c r="G60" s="120" t="s">
        <v>759</v>
      </c>
      <c r="H60" s="148">
        <v>475000</v>
      </c>
      <c r="J60" s="164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</row>
    <row r="61" spans="1:148" x14ac:dyDescent="0.25">
      <c r="A61" s="115">
        <v>57</v>
      </c>
      <c r="B61" s="145">
        <v>45304</v>
      </c>
      <c r="C61" s="146">
        <v>2024</v>
      </c>
      <c r="D61" s="118" t="s">
        <v>35</v>
      </c>
      <c r="E61" s="118" t="s">
        <v>796</v>
      </c>
      <c r="F61" s="147">
        <v>1</v>
      </c>
      <c r="G61" s="120" t="s">
        <v>759</v>
      </c>
      <c r="H61" s="148">
        <v>450000</v>
      </c>
      <c r="J61" s="164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</row>
    <row r="62" spans="1:148" x14ac:dyDescent="0.25">
      <c r="A62" s="115">
        <v>58</v>
      </c>
      <c r="B62" s="145">
        <v>45304</v>
      </c>
      <c r="C62" s="146">
        <v>2024</v>
      </c>
      <c r="D62" s="118" t="s">
        <v>35</v>
      </c>
      <c r="E62" s="118" t="s">
        <v>797</v>
      </c>
      <c r="F62" s="147">
        <v>1</v>
      </c>
      <c r="G62" s="120" t="s">
        <v>759</v>
      </c>
      <c r="H62" s="148">
        <v>90000</v>
      </c>
      <c r="J62" s="164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</row>
    <row r="63" spans="1:148" x14ac:dyDescent="0.25">
      <c r="A63" s="115">
        <v>59</v>
      </c>
      <c r="B63" s="145">
        <v>45304</v>
      </c>
      <c r="C63" s="146">
        <v>2024</v>
      </c>
      <c r="D63" s="118" t="s">
        <v>35</v>
      </c>
      <c r="E63" s="118" t="s">
        <v>798</v>
      </c>
      <c r="F63" s="147">
        <v>1</v>
      </c>
      <c r="G63" s="120" t="s">
        <v>759</v>
      </c>
      <c r="H63" s="148">
        <v>80000</v>
      </c>
      <c r="J63" s="164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</row>
    <row r="64" spans="1:148" x14ac:dyDescent="0.25">
      <c r="A64" s="115">
        <v>60</v>
      </c>
      <c r="B64" s="145">
        <v>45304</v>
      </c>
      <c r="C64" s="146">
        <v>2024</v>
      </c>
      <c r="D64" s="118" t="s">
        <v>35</v>
      </c>
      <c r="E64" s="118" t="s">
        <v>794</v>
      </c>
      <c r="F64" s="147">
        <v>1</v>
      </c>
      <c r="G64" s="120" t="s">
        <v>759</v>
      </c>
      <c r="H64" s="148">
        <v>166500</v>
      </c>
      <c r="J64" s="1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</row>
    <row r="65" spans="1:148" x14ac:dyDescent="0.25">
      <c r="A65" s="115">
        <v>61</v>
      </c>
      <c r="B65" s="145">
        <v>45304</v>
      </c>
      <c r="C65" s="146">
        <v>2024</v>
      </c>
      <c r="D65" s="118" t="s">
        <v>35</v>
      </c>
      <c r="E65" s="118" t="s">
        <v>799</v>
      </c>
      <c r="F65" s="147">
        <v>1</v>
      </c>
      <c r="G65" s="120" t="s">
        <v>759</v>
      </c>
      <c r="H65" s="148">
        <v>200000</v>
      </c>
      <c r="J65" s="164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</row>
    <row r="66" spans="1:148" x14ac:dyDescent="0.25">
      <c r="A66" s="115">
        <v>62</v>
      </c>
      <c r="B66" s="145">
        <v>45304</v>
      </c>
      <c r="C66" s="146">
        <v>2024</v>
      </c>
      <c r="D66" s="118" t="s">
        <v>35</v>
      </c>
      <c r="E66" s="118" t="s">
        <v>800</v>
      </c>
      <c r="F66" s="147">
        <v>1</v>
      </c>
      <c r="G66" s="120" t="s">
        <v>759</v>
      </c>
      <c r="H66" s="148">
        <v>185000</v>
      </c>
      <c r="J66" s="164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</row>
    <row r="67" spans="1:148" x14ac:dyDescent="0.25">
      <c r="A67" s="115">
        <v>63</v>
      </c>
      <c r="B67" s="145">
        <v>45304</v>
      </c>
      <c r="C67" s="146">
        <v>2024</v>
      </c>
      <c r="D67" s="118" t="s">
        <v>35</v>
      </c>
      <c r="E67" s="118" t="s">
        <v>801</v>
      </c>
      <c r="F67" s="147">
        <v>1</v>
      </c>
      <c r="G67" s="120" t="s">
        <v>759</v>
      </c>
      <c r="H67" s="148">
        <v>40000</v>
      </c>
      <c r="J67" s="164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</row>
    <row r="68" spans="1:148" x14ac:dyDescent="0.25">
      <c r="A68" s="115">
        <v>64</v>
      </c>
      <c r="B68" s="145">
        <v>45304</v>
      </c>
      <c r="C68" s="146">
        <v>2024</v>
      </c>
      <c r="D68" s="118" t="s">
        <v>35</v>
      </c>
      <c r="E68" s="118" t="s">
        <v>794</v>
      </c>
      <c r="F68" s="147">
        <v>1</v>
      </c>
      <c r="G68" s="120" t="s">
        <v>759</v>
      </c>
      <c r="H68" s="148">
        <v>166500</v>
      </c>
      <c r="J68" s="164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</row>
    <row r="69" spans="1:148" x14ac:dyDescent="0.25">
      <c r="A69" s="115">
        <v>65</v>
      </c>
      <c r="B69" s="145">
        <v>45304</v>
      </c>
      <c r="C69" s="146">
        <v>2024</v>
      </c>
      <c r="D69" s="118" t="s">
        <v>35</v>
      </c>
      <c r="E69" s="118" t="s">
        <v>802</v>
      </c>
      <c r="F69" s="147">
        <v>1</v>
      </c>
      <c r="G69" s="120" t="s">
        <v>759</v>
      </c>
      <c r="H69" s="148">
        <v>100000</v>
      </c>
      <c r="J69" s="164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</row>
    <row r="70" spans="1:148" x14ac:dyDescent="0.25">
      <c r="A70" s="115">
        <v>66</v>
      </c>
      <c r="B70" s="145">
        <v>45304</v>
      </c>
      <c r="C70" s="146">
        <v>2024</v>
      </c>
      <c r="D70" s="118" t="s">
        <v>35</v>
      </c>
      <c r="E70" s="118" t="s">
        <v>803</v>
      </c>
      <c r="F70" s="147">
        <v>1</v>
      </c>
      <c r="G70" s="120" t="s">
        <v>759</v>
      </c>
      <c r="H70" s="148">
        <v>150000</v>
      </c>
      <c r="J70" s="164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</row>
    <row r="71" spans="1:148" x14ac:dyDescent="0.25">
      <c r="A71" s="115">
        <v>67</v>
      </c>
      <c r="B71" s="145">
        <v>45304</v>
      </c>
      <c r="C71" s="146">
        <v>2024</v>
      </c>
      <c r="D71" s="118" t="s">
        <v>35</v>
      </c>
      <c r="E71" s="118" t="s">
        <v>804</v>
      </c>
      <c r="F71" s="147">
        <v>1</v>
      </c>
      <c r="G71" s="120" t="s">
        <v>759</v>
      </c>
      <c r="H71" s="148">
        <v>130000</v>
      </c>
      <c r="J71" s="164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</row>
    <row r="72" spans="1:148" x14ac:dyDescent="0.25">
      <c r="A72" s="115">
        <v>68</v>
      </c>
      <c r="B72" s="145">
        <v>45304</v>
      </c>
      <c r="C72" s="146">
        <v>2024</v>
      </c>
      <c r="D72" s="118" t="s">
        <v>35</v>
      </c>
      <c r="E72" s="118" t="s">
        <v>620</v>
      </c>
      <c r="F72" s="147">
        <v>1</v>
      </c>
      <c r="G72" s="120" t="s">
        <v>759</v>
      </c>
      <c r="H72" s="148">
        <v>100000</v>
      </c>
      <c r="J72" s="164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</row>
    <row r="73" spans="1:148" x14ac:dyDescent="0.25">
      <c r="A73" s="115">
        <v>69</v>
      </c>
      <c r="B73" s="145">
        <v>45304</v>
      </c>
      <c r="C73" s="146">
        <v>2024</v>
      </c>
      <c r="D73" s="118" t="s">
        <v>35</v>
      </c>
      <c r="E73" s="118" t="s">
        <v>805</v>
      </c>
      <c r="F73" s="147">
        <v>1</v>
      </c>
      <c r="G73" s="120" t="s">
        <v>759</v>
      </c>
      <c r="H73" s="148">
        <v>225000</v>
      </c>
      <c r="J73" s="164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</row>
    <row r="74" spans="1:148" x14ac:dyDescent="0.25">
      <c r="A74" s="115">
        <v>70</v>
      </c>
      <c r="B74" s="145">
        <v>45304</v>
      </c>
      <c r="C74" s="146">
        <v>2024</v>
      </c>
      <c r="D74" s="118" t="s">
        <v>35</v>
      </c>
      <c r="E74" s="118" t="s">
        <v>806</v>
      </c>
      <c r="F74" s="147">
        <v>1</v>
      </c>
      <c r="G74" s="120" t="s">
        <v>759</v>
      </c>
      <c r="H74" s="148">
        <v>225000</v>
      </c>
      <c r="J74" s="16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</row>
    <row r="75" spans="1:148" x14ac:dyDescent="0.25">
      <c r="A75" s="115">
        <v>71</v>
      </c>
      <c r="B75" s="145">
        <v>45304</v>
      </c>
      <c r="C75" s="146">
        <v>2024</v>
      </c>
      <c r="D75" s="118" t="s">
        <v>35</v>
      </c>
      <c r="E75" s="118" t="s">
        <v>184</v>
      </c>
      <c r="F75" s="147">
        <v>1</v>
      </c>
      <c r="G75" s="120" t="s">
        <v>759</v>
      </c>
      <c r="H75" s="148">
        <v>40000</v>
      </c>
      <c r="J75" s="164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</row>
    <row r="76" spans="1:148" x14ac:dyDescent="0.25">
      <c r="A76" s="115">
        <v>72</v>
      </c>
      <c r="B76" s="145">
        <v>45304</v>
      </c>
      <c r="C76" s="146">
        <v>2024</v>
      </c>
      <c r="D76" s="118" t="s">
        <v>35</v>
      </c>
      <c r="E76" s="118" t="s">
        <v>807</v>
      </c>
      <c r="F76" s="147">
        <v>1</v>
      </c>
      <c r="G76" s="120" t="s">
        <v>759</v>
      </c>
      <c r="H76" s="148">
        <v>125000</v>
      </c>
      <c r="J76" s="164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</row>
    <row r="77" spans="1:148" x14ac:dyDescent="0.25">
      <c r="A77" s="115">
        <v>73</v>
      </c>
      <c r="B77" s="155">
        <v>45304</v>
      </c>
      <c r="C77" s="146">
        <v>2024</v>
      </c>
      <c r="D77" s="118" t="s">
        <v>35</v>
      </c>
      <c r="E77" s="118" t="s">
        <v>808</v>
      </c>
      <c r="F77" s="147">
        <v>1</v>
      </c>
      <c r="G77" s="120" t="s">
        <v>759</v>
      </c>
      <c r="H77" s="148">
        <v>250000</v>
      </c>
      <c r="J77" s="164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</row>
    <row r="78" spans="1:148" x14ac:dyDescent="0.25">
      <c r="A78" s="115">
        <v>74</v>
      </c>
      <c r="B78" s="155">
        <v>45304</v>
      </c>
      <c r="C78" s="146">
        <v>2024</v>
      </c>
      <c r="D78" s="118" t="s">
        <v>35</v>
      </c>
      <c r="E78" s="118" t="s">
        <v>809</v>
      </c>
      <c r="F78" s="147">
        <v>1</v>
      </c>
      <c r="G78" s="120" t="s">
        <v>759</v>
      </c>
      <c r="H78" s="148">
        <v>75000</v>
      </c>
      <c r="J78" s="164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</row>
    <row r="79" spans="1:148" x14ac:dyDescent="0.25">
      <c r="A79" s="115">
        <v>75</v>
      </c>
      <c r="B79" s="155">
        <v>45304</v>
      </c>
      <c r="C79" s="146">
        <v>2024</v>
      </c>
      <c r="D79" s="118" t="s">
        <v>35</v>
      </c>
      <c r="E79" s="118" t="s">
        <v>794</v>
      </c>
      <c r="F79" s="147">
        <v>1</v>
      </c>
      <c r="G79" s="120" t="s">
        <v>759</v>
      </c>
      <c r="H79" s="148">
        <v>166500</v>
      </c>
      <c r="J79" s="164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</row>
    <row r="80" spans="1:148" x14ac:dyDescent="0.25">
      <c r="A80" s="115">
        <v>76</v>
      </c>
      <c r="B80" s="155">
        <v>45304</v>
      </c>
      <c r="C80" s="146">
        <v>2024</v>
      </c>
      <c r="D80" s="118" t="s">
        <v>35</v>
      </c>
      <c r="E80" s="118" t="s">
        <v>810</v>
      </c>
      <c r="F80" s="147">
        <v>1</v>
      </c>
      <c r="G80" s="120" t="s">
        <v>759</v>
      </c>
      <c r="H80" s="148">
        <v>75000</v>
      </c>
      <c r="J80" s="164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</row>
    <row r="81" spans="1:148" x14ac:dyDescent="0.25">
      <c r="A81" s="115">
        <v>77</v>
      </c>
      <c r="B81" s="155">
        <v>45304</v>
      </c>
      <c r="C81" s="146">
        <v>2024</v>
      </c>
      <c r="D81" s="118" t="s">
        <v>35</v>
      </c>
      <c r="E81" s="118" t="s">
        <v>811</v>
      </c>
      <c r="F81" s="147">
        <v>1</v>
      </c>
      <c r="G81" s="120" t="s">
        <v>759</v>
      </c>
      <c r="H81" s="148">
        <v>150000</v>
      </c>
      <c r="J81" s="164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</row>
    <row r="82" spans="1:148" x14ac:dyDescent="0.25">
      <c r="A82" s="115">
        <v>78</v>
      </c>
      <c r="B82" s="155">
        <v>45304</v>
      </c>
      <c r="C82" s="146">
        <v>2024</v>
      </c>
      <c r="D82" s="118" t="s">
        <v>35</v>
      </c>
      <c r="E82" s="118" t="s">
        <v>812</v>
      </c>
      <c r="F82" s="147">
        <v>1</v>
      </c>
      <c r="G82" s="120" t="s">
        <v>759</v>
      </c>
      <c r="H82" s="148">
        <v>225000</v>
      </c>
      <c r="J82" s="164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</row>
    <row r="83" spans="1:148" x14ac:dyDescent="0.25">
      <c r="A83" s="115">
        <v>79</v>
      </c>
      <c r="B83" s="145">
        <v>45304</v>
      </c>
      <c r="C83" s="146">
        <v>2024</v>
      </c>
      <c r="D83" s="118" t="s">
        <v>35</v>
      </c>
      <c r="E83" s="118" t="s">
        <v>813</v>
      </c>
      <c r="F83" s="147">
        <v>1</v>
      </c>
      <c r="G83" s="120" t="s">
        <v>759</v>
      </c>
      <c r="H83" s="148">
        <v>125000</v>
      </c>
      <c r="J83" s="164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</row>
    <row r="84" spans="1:148" x14ac:dyDescent="0.25">
      <c r="A84" s="115">
        <v>80</v>
      </c>
      <c r="B84" s="145">
        <v>45304</v>
      </c>
      <c r="C84" s="146">
        <v>2024</v>
      </c>
      <c r="D84" s="118" t="s">
        <v>35</v>
      </c>
      <c r="E84" s="118" t="s">
        <v>814</v>
      </c>
      <c r="F84" s="147">
        <v>1</v>
      </c>
      <c r="G84" s="120" t="s">
        <v>759</v>
      </c>
      <c r="H84" s="148">
        <v>225000</v>
      </c>
      <c r="J84" s="16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</row>
    <row r="85" spans="1:148" x14ac:dyDescent="0.25">
      <c r="A85" s="115">
        <v>81</v>
      </c>
      <c r="B85" s="145">
        <v>45304</v>
      </c>
      <c r="C85" s="146">
        <v>2024</v>
      </c>
      <c r="D85" s="118" t="s">
        <v>35</v>
      </c>
      <c r="E85" s="118" t="s">
        <v>815</v>
      </c>
      <c r="F85" s="147">
        <v>1</v>
      </c>
      <c r="G85" s="120" t="s">
        <v>759</v>
      </c>
      <c r="H85" s="148">
        <v>20000</v>
      </c>
      <c r="J85" s="164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</row>
    <row r="86" spans="1:148" x14ac:dyDescent="0.25">
      <c r="A86" s="115">
        <v>82</v>
      </c>
      <c r="B86" s="145">
        <v>45304</v>
      </c>
      <c r="C86" s="146">
        <v>2024</v>
      </c>
      <c r="D86" s="118" t="s">
        <v>35</v>
      </c>
      <c r="E86" s="118" t="s">
        <v>816</v>
      </c>
      <c r="F86" s="147">
        <v>1</v>
      </c>
      <c r="G86" s="120" t="s">
        <v>759</v>
      </c>
      <c r="H86" s="148">
        <v>75000</v>
      </c>
      <c r="J86" s="164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</row>
    <row r="87" spans="1:148" x14ac:dyDescent="0.25">
      <c r="A87" s="115">
        <v>83</v>
      </c>
      <c r="B87" s="145">
        <v>45304</v>
      </c>
      <c r="C87" s="146">
        <v>2024</v>
      </c>
      <c r="D87" s="118" t="s">
        <v>35</v>
      </c>
      <c r="E87" s="118" t="s">
        <v>794</v>
      </c>
      <c r="F87" s="147">
        <v>1</v>
      </c>
      <c r="G87" s="120" t="s">
        <v>759</v>
      </c>
      <c r="H87" s="148">
        <v>166500</v>
      </c>
      <c r="J87" s="164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</row>
    <row r="88" spans="1:148" x14ac:dyDescent="0.25">
      <c r="A88" s="115">
        <v>84</v>
      </c>
      <c r="B88" s="145">
        <v>45304</v>
      </c>
      <c r="C88" s="146">
        <v>2024</v>
      </c>
      <c r="D88" s="118" t="s">
        <v>35</v>
      </c>
      <c r="E88" s="118" t="s">
        <v>817</v>
      </c>
      <c r="F88" s="147">
        <v>1</v>
      </c>
      <c r="G88" s="120" t="s">
        <v>759</v>
      </c>
      <c r="H88" s="148">
        <v>175000</v>
      </c>
      <c r="J88" s="164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</row>
    <row r="89" spans="1:148" x14ac:dyDescent="0.25">
      <c r="A89" s="115">
        <v>85</v>
      </c>
      <c r="B89" s="145">
        <v>45304</v>
      </c>
      <c r="C89" s="146">
        <v>2024</v>
      </c>
      <c r="D89" s="118" t="s">
        <v>35</v>
      </c>
      <c r="E89" s="118" t="s">
        <v>818</v>
      </c>
      <c r="F89" s="147">
        <v>1</v>
      </c>
      <c r="G89" s="120" t="s">
        <v>759</v>
      </c>
      <c r="H89" s="148">
        <v>75000</v>
      </c>
      <c r="J89" s="164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</row>
    <row r="90" spans="1:148" x14ac:dyDescent="0.25">
      <c r="A90" s="115">
        <v>86</v>
      </c>
      <c r="B90" s="145">
        <v>45308</v>
      </c>
      <c r="C90" s="146">
        <v>2024</v>
      </c>
      <c r="D90" s="118" t="s">
        <v>35</v>
      </c>
      <c r="E90" s="118" t="s">
        <v>819</v>
      </c>
      <c r="F90" s="147">
        <v>1</v>
      </c>
      <c r="G90" s="120" t="s">
        <v>759</v>
      </c>
      <c r="H90" s="148">
        <v>13000</v>
      </c>
      <c r="J90" s="164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</row>
    <row r="91" spans="1:148" x14ac:dyDescent="0.25">
      <c r="A91" s="115">
        <v>87</v>
      </c>
      <c r="B91" s="145">
        <v>45309</v>
      </c>
      <c r="C91" s="146">
        <v>2024</v>
      </c>
      <c r="D91" s="118" t="s">
        <v>35</v>
      </c>
      <c r="E91" s="118" t="s">
        <v>820</v>
      </c>
      <c r="F91" s="147">
        <v>1</v>
      </c>
      <c r="G91" s="120" t="s">
        <v>759</v>
      </c>
      <c r="H91" s="148">
        <v>2408500</v>
      </c>
      <c r="J91" s="164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</row>
    <row r="92" spans="1:148" x14ac:dyDescent="0.25">
      <c r="A92" s="115">
        <v>88</v>
      </c>
      <c r="B92" s="145">
        <v>45309</v>
      </c>
      <c r="C92" s="146">
        <v>2024</v>
      </c>
      <c r="D92" s="118" t="s">
        <v>35</v>
      </c>
      <c r="E92" s="118" t="s">
        <v>821</v>
      </c>
      <c r="F92" s="147">
        <v>1</v>
      </c>
      <c r="G92" s="120" t="s">
        <v>759</v>
      </c>
      <c r="H92" s="148">
        <v>100000</v>
      </c>
      <c r="J92" s="164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</row>
    <row r="93" spans="1:148" x14ac:dyDescent="0.25">
      <c r="A93" s="115">
        <v>89</v>
      </c>
      <c r="B93" s="145">
        <v>45309</v>
      </c>
      <c r="C93" s="146">
        <v>2024</v>
      </c>
      <c r="D93" s="118" t="s">
        <v>35</v>
      </c>
      <c r="E93" s="118" t="s">
        <v>822</v>
      </c>
      <c r="F93" s="147">
        <v>1</v>
      </c>
      <c r="G93" s="120" t="s">
        <v>759</v>
      </c>
      <c r="H93" s="148">
        <v>217000</v>
      </c>
      <c r="J93" s="164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</row>
    <row r="94" spans="1:148" x14ac:dyDescent="0.25">
      <c r="A94" s="115">
        <v>90</v>
      </c>
      <c r="B94" s="145">
        <v>45309</v>
      </c>
      <c r="C94" s="146">
        <v>2024</v>
      </c>
      <c r="D94" s="118" t="s">
        <v>35</v>
      </c>
      <c r="E94" s="118" t="s">
        <v>823</v>
      </c>
      <c r="F94" s="147">
        <v>1</v>
      </c>
      <c r="G94" s="120" t="s">
        <v>759</v>
      </c>
      <c r="H94" s="148">
        <v>65000</v>
      </c>
      <c r="J94" s="16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</row>
    <row r="95" spans="1:148" x14ac:dyDescent="0.25">
      <c r="A95" s="115">
        <v>91</v>
      </c>
      <c r="B95" s="145">
        <v>45309</v>
      </c>
      <c r="C95" s="146">
        <v>2024</v>
      </c>
      <c r="D95" s="118" t="s">
        <v>35</v>
      </c>
      <c r="E95" s="118" t="s">
        <v>824</v>
      </c>
      <c r="F95" s="147">
        <v>1</v>
      </c>
      <c r="G95" s="120" t="s">
        <v>759</v>
      </c>
      <c r="H95" s="148">
        <v>1200000</v>
      </c>
      <c r="J95" s="164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</row>
    <row r="96" spans="1:148" x14ac:dyDescent="0.25">
      <c r="A96" s="115">
        <v>92</v>
      </c>
      <c r="B96" s="155">
        <v>45309</v>
      </c>
      <c r="C96" s="146">
        <v>2024</v>
      </c>
      <c r="D96" s="118" t="s">
        <v>35</v>
      </c>
      <c r="E96" s="118" t="s">
        <v>825</v>
      </c>
      <c r="F96" s="147">
        <v>1</v>
      </c>
      <c r="G96" s="120" t="s">
        <v>759</v>
      </c>
      <c r="H96" s="148">
        <v>1206000</v>
      </c>
      <c r="J96" s="164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</row>
    <row r="97" spans="1:148" x14ac:dyDescent="0.25">
      <c r="A97" s="115">
        <v>93</v>
      </c>
      <c r="B97" s="145">
        <v>45309</v>
      </c>
      <c r="C97" s="146">
        <v>2024</v>
      </c>
      <c r="D97" s="118" t="s">
        <v>35</v>
      </c>
      <c r="E97" s="118" t="s">
        <v>826</v>
      </c>
      <c r="F97" s="147">
        <v>1</v>
      </c>
      <c r="G97" s="120" t="s">
        <v>759</v>
      </c>
      <c r="H97" s="148">
        <v>1800000</v>
      </c>
      <c r="J97" s="164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</row>
    <row r="98" spans="1:148" x14ac:dyDescent="0.25">
      <c r="A98" s="115">
        <v>94</v>
      </c>
      <c r="B98" s="145">
        <v>45309</v>
      </c>
      <c r="C98" s="146">
        <v>2024</v>
      </c>
      <c r="D98" s="118" t="s">
        <v>35</v>
      </c>
      <c r="E98" s="118" t="s">
        <v>824</v>
      </c>
      <c r="F98" s="147">
        <v>1</v>
      </c>
      <c r="G98" s="120" t="s">
        <v>759</v>
      </c>
      <c r="H98" s="148">
        <v>1200000</v>
      </c>
      <c r="J98" s="164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</row>
    <row r="99" spans="1:148" x14ac:dyDescent="0.25">
      <c r="A99" s="115">
        <v>95</v>
      </c>
      <c r="B99" s="145">
        <v>45309</v>
      </c>
      <c r="C99" s="146">
        <v>2024</v>
      </c>
      <c r="D99" s="118" t="s">
        <v>35</v>
      </c>
      <c r="E99" s="118" t="s">
        <v>827</v>
      </c>
      <c r="F99" s="147">
        <v>1</v>
      </c>
      <c r="G99" s="120" t="s">
        <v>759</v>
      </c>
      <c r="H99" s="148">
        <v>140000</v>
      </c>
      <c r="J99" s="164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</row>
    <row r="100" spans="1:148" x14ac:dyDescent="0.25">
      <c r="A100" s="115">
        <v>96</v>
      </c>
      <c r="B100" s="145">
        <v>45313</v>
      </c>
      <c r="C100" s="146">
        <v>2024</v>
      </c>
      <c r="D100" s="118" t="s">
        <v>35</v>
      </c>
      <c r="E100" s="118" t="s">
        <v>790</v>
      </c>
      <c r="F100" s="147">
        <v>1</v>
      </c>
      <c r="G100" s="120" t="s">
        <v>759</v>
      </c>
      <c r="H100" s="148">
        <v>175000</v>
      </c>
      <c r="J100" s="164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</row>
    <row r="101" spans="1:148" x14ac:dyDescent="0.25">
      <c r="A101" s="115">
        <v>97</v>
      </c>
      <c r="B101" s="116">
        <v>45314</v>
      </c>
      <c r="C101" s="117">
        <v>2024</v>
      </c>
      <c r="D101" s="118" t="s">
        <v>259</v>
      </c>
      <c r="E101" s="119" t="s">
        <v>828</v>
      </c>
      <c r="F101" s="120">
        <v>1</v>
      </c>
      <c r="G101" s="120" t="s">
        <v>759</v>
      </c>
      <c r="H101" s="121">
        <v>50000</v>
      </c>
      <c r="J101" s="164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</row>
    <row r="102" spans="1:148" x14ac:dyDescent="0.25">
      <c r="A102" s="115">
        <v>98</v>
      </c>
      <c r="B102" s="145">
        <v>45314</v>
      </c>
      <c r="C102" s="146">
        <v>2024</v>
      </c>
      <c r="D102" s="118" t="s">
        <v>35</v>
      </c>
      <c r="E102" s="118" t="s">
        <v>790</v>
      </c>
      <c r="F102" s="147">
        <v>1</v>
      </c>
      <c r="G102" s="120" t="s">
        <v>759</v>
      </c>
      <c r="H102" s="148">
        <v>75000</v>
      </c>
      <c r="J102" s="164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</row>
    <row r="103" spans="1:148" x14ac:dyDescent="0.25">
      <c r="A103" s="115">
        <v>99</v>
      </c>
      <c r="B103" s="145">
        <v>45314</v>
      </c>
      <c r="C103" s="146">
        <v>2024</v>
      </c>
      <c r="D103" s="118" t="s">
        <v>35</v>
      </c>
      <c r="E103" s="118" t="s">
        <v>790</v>
      </c>
      <c r="F103" s="147">
        <v>1</v>
      </c>
      <c r="G103" s="120" t="s">
        <v>759</v>
      </c>
      <c r="H103" s="148">
        <v>75000</v>
      </c>
      <c r="J103" s="164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</row>
    <row r="104" spans="1:148" x14ac:dyDescent="0.25">
      <c r="A104" s="115">
        <v>100</v>
      </c>
      <c r="B104" s="145">
        <v>45314</v>
      </c>
      <c r="C104" s="146">
        <v>2024</v>
      </c>
      <c r="D104" s="118" t="s">
        <v>35</v>
      </c>
      <c r="E104" s="118" t="s">
        <v>790</v>
      </c>
      <c r="F104" s="147">
        <v>1</v>
      </c>
      <c r="G104" s="120" t="s">
        <v>759</v>
      </c>
      <c r="H104" s="148">
        <v>75000</v>
      </c>
      <c r="J104" s="16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</row>
    <row r="105" spans="1:148" x14ac:dyDescent="0.25">
      <c r="A105" s="115">
        <v>101</v>
      </c>
      <c r="B105" s="116">
        <v>45315</v>
      </c>
      <c r="C105" s="117">
        <v>2024</v>
      </c>
      <c r="D105" s="118" t="s">
        <v>35</v>
      </c>
      <c r="E105" s="119" t="s">
        <v>829</v>
      </c>
      <c r="F105" s="120">
        <v>1</v>
      </c>
      <c r="G105" s="120" t="s">
        <v>759</v>
      </c>
      <c r="H105" s="121">
        <v>166000</v>
      </c>
      <c r="J105" s="164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</row>
    <row r="106" spans="1:148" x14ac:dyDescent="0.25">
      <c r="A106" s="115">
        <v>102</v>
      </c>
      <c r="B106" s="145">
        <v>45315</v>
      </c>
      <c r="C106" s="146">
        <v>2024</v>
      </c>
      <c r="D106" s="118" t="s">
        <v>35</v>
      </c>
      <c r="E106" s="118" t="s">
        <v>830</v>
      </c>
      <c r="F106" s="147">
        <v>1</v>
      </c>
      <c r="G106" s="120" t="s">
        <v>759</v>
      </c>
      <c r="H106" s="148">
        <v>226800</v>
      </c>
      <c r="J106" s="164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</row>
    <row r="107" spans="1:148" x14ac:dyDescent="0.25">
      <c r="A107" s="115">
        <v>103</v>
      </c>
      <c r="B107" s="145">
        <v>45315</v>
      </c>
      <c r="C107" s="146">
        <v>2024</v>
      </c>
      <c r="D107" s="118" t="s">
        <v>35</v>
      </c>
      <c r="E107" s="118" t="s">
        <v>830</v>
      </c>
      <c r="F107" s="147">
        <v>1</v>
      </c>
      <c r="G107" s="120" t="s">
        <v>759</v>
      </c>
      <c r="H107" s="148">
        <v>1758143</v>
      </c>
      <c r="J107" s="164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</row>
    <row r="108" spans="1:148" x14ac:dyDescent="0.25">
      <c r="A108" s="115">
        <v>104</v>
      </c>
      <c r="B108" s="145">
        <v>45316</v>
      </c>
      <c r="C108" s="146">
        <v>2024</v>
      </c>
      <c r="D108" s="118" t="s">
        <v>35</v>
      </c>
      <c r="E108" s="118" t="s">
        <v>831</v>
      </c>
      <c r="F108" s="147">
        <v>1</v>
      </c>
      <c r="G108" s="120" t="s">
        <v>759</v>
      </c>
      <c r="H108" s="148">
        <v>55000</v>
      </c>
      <c r="J108" s="164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</row>
    <row r="109" spans="1:148" x14ac:dyDescent="0.25">
      <c r="A109" s="115">
        <v>105</v>
      </c>
      <c r="B109" s="116">
        <v>45317</v>
      </c>
      <c r="C109" s="117">
        <v>2024</v>
      </c>
      <c r="D109" s="118" t="s">
        <v>259</v>
      </c>
      <c r="E109" s="119" t="s">
        <v>832</v>
      </c>
      <c r="F109" s="120">
        <v>1</v>
      </c>
      <c r="G109" s="120" t="s">
        <v>759</v>
      </c>
      <c r="H109" s="121">
        <v>395000</v>
      </c>
      <c r="J109" s="164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</row>
    <row r="110" spans="1:148" x14ac:dyDescent="0.25">
      <c r="A110" s="115">
        <v>106</v>
      </c>
      <c r="B110" s="145">
        <v>45317</v>
      </c>
      <c r="C110" s="146">
        <v>2024</v>
      </c>
      <c r="D110" s="118" t="s">
        <v>35</v>
      </c>
      <c r="E110" s="118" t="s">
        <v>770</v>
      </c>
      <c r="F110" s="147">
        <v>1</v>
      </c>
      <c r="G110" s="120" t="s">
        <v>759</v>
      </c>
      <c r="H110" s="148">
        <v>2543219</v>
      </c>
      <c r="J110" s="164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</row>
    <row r="111" spans="1:148" x14ac:dyDescent="0.25">
      <c r="A111" s="115">
        <v>107</v>
      </c>
      <c r="B111" s="145">
        <v>45317</v>
      </c>
      <c r="C111" s="146">
        <v>2024</v>
      </c>
      <c r="D111" s="118" t="s">
        <v>35</v>
      </c>
      <c r="E111" s="118" t="s">
        <v>770</v>
      </c>
      <c r="F111" s="147">
        <v>1</v>
      </c>
      <c r="G111" s="120" t="s">
        <v>759</v>
      </c>
      <c r="H111" s="148">
        <v>997890</v>
      </c>
      <c r="J111" s="164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</row>
    <row r="112" spans="1:148" x14ac:dyDescent="0.25">
      <c r="A112" s="115">
        <v>108</v>
      </c>
      <c r="B112" s="116">
        <v>45318</v>
      </c>
      <c r="C112" s="117">
        <v>2024</v>
      </c>
      <c r="D112" s="118" t="s">
        <v>35</v>
      </c>
      <c r="E112" s="119" t="s">
        <v>211</v>
      </c>
      <c r="F112" s="120">
        <v>5</v>
      </c>
      <c r="G112" s="120" t="s">
        <v>759</v>
      </c>
      <c r="H112" s="121">
        <v>251000</v>
      </c>
      <c r="J112" s="164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</row>
    <row r="113" spans="1:148" x14ac:dyDescent="0.25">
      <c r="A113" s="115">
        <v>109</v>
      </c>
      <c r="B113" s="116">
        <v>45320</v>
      </c>
      <c r="C113" s="117">
        <v>2024</v>
      </c>
      <c r="D113" s="118" t="s">
        <v>35</v>
      </c>
      <c r="E113" s="119" t="s">
        <v>211</v>
      </c>
      <c r="F113" s="120">
        <v>1</v>
      </c>
      <c r="G113" s="120" t="s">
        <v>759</v>
      </c>
      <c r="H113" s="121">
        <v>17700</v>
      </c>
      <c r="J113" s="164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</row>
    <row r="114" spans="1:148" x14ac:dyDescent="0.25">
      <c r="A114" s="115">
        <v>110</v>
      </c>
      <c r="B114" s="145">
        <v>45321</v>
      </c>
      <c r="C114" s="146">
        <v>2024</v>
      </c>
      <c r="D114" s="118" t="s">
        <v>35</v>
      </c>
      <c r="E114" s="118" t="s">
        <v>770</v>
      </c>
      <c r="F114" s="147">
        <v>1</v>
      </c>
      <c r="G114" s="120" t="s">
        <v>759</v>
      </c>
      <c r="H114" s="148">
        <v>77930</v>
      </c>
      <c r="J114" s="16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</row>
    <row r="115" spans="1:148" x14ac:dyDescent="0.25">
      <c r="A115" s="115">
        <v>111</v>
      </c>
      <c r="B115" s="116">
        <v>45322</v>
      </c>
      <c r="C115" s="117">
        <v>2024</v>
      </c>
      <c r="D115" s="118" t="s">
        <v>35</v>
      </c>
      <c r="E115" s="119" t="s">
        <v>361</v>
      </c>
      <c r="F115" s="120">
        <v>2</v>
      </c>
      <c r="G115" s="120" t="s">
        <v>759</v>
      </c>
      <c r="H115" s="121">
        <v>46999</v>
      </c>
      <c r="J115" s="164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</row>
    <row r="116" spans="1:148" x14ac:dyDescent="0.25">
      <c r="A116" s="115">
        <v>112</v>
      </c>
      <c r="B116" s="116">
        <v>45322</v>
      </c>
      <c r="C116" s="117">
        <v>2024</v>
      </c>
      <c r="D116" s="118" t="s">
        <v>833</v>
      </c>
      <c r="E116" s="119" t="s">
        <v>589</v>
      </c>
      <c r="F116" s="120">
        <v>5</v>
      </c>
      <c r="G116" s="120" t="s">
        <v>759</v>
      </c>
      <c r="H116" s="121">
        <v>187815</v>
      </c>
      <c r="J116" s="164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</row>
    <row r="117" spans="1:148" x14ac:dyDescent="0.25">
      <c r="A117" s="115">
        <v>113</v>
      </c>
      <c r="B117" s="116">
        <v>45322</v>
      </c>
      <c r="C117" s="117">
        <v>2024</v>
      </c>
      <c r="D117" s="118" t="s">
        <v>833</v>
      </c>
      <c r="E117" s="119" t="s">
        <v>589</v>
      </c>
      <c r="F117" s="120">
        <v>15</v>
      </c>
      <c r="G117" s="120" t="s">
        <v>759</v>
      </c>
      <c r="H117" s="121">
        <v>640845</v>
      </c>
      <c r="J117" s="164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</row>
    <row r="118" spans="1:148" x14ac:dyDescent="0.25">
      <c r="A118" s="115">
        <v>114</v>
      </c>
      <c r="B118" s="116">
        <v>45322</v>
      </c>
      <c r="C118" s="117">
        <v>2024</v>
      </c>
      <c r="D118" s="118" t="s">
        <v>833</v>
      </c>
      <c r="E118" s="119" t="s">
        <v>589</v>
      </c>
      <c r="F118" s="120">
        <v>10</v>
      </c>
      <c r="G118" s="120" t="s">
        <v>759</v>
      </c>
      <c r="H118" s="121">
        <v>427230</v>
      </c>
      <c r="J118" s="164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</row>
    <row r="119" spans="1:148" x14ac:dyDescent="0.25">
      <c r="A119" s="115">
        <v>115</v>
      </c>
      <c r="B119" s="116">
        <v>45322</v>
      </c>
      <c r="C119" s="117">
        <v>2024</v>
      </c>
      <c r="D119" s="118" t="s">
        <v>833</v>
      </c>
      <c r="E119" s="119" t="s">
        <v>589</v>
      </c>
      <c r="F119" s="120">
        <v>1</v>
      </c>
      <c r="G119" s="120" t="s">
        <v>759</v>
      </c>
      <c r="H119" s="121">
        <v>425000</v>
      </c>
      <c r="J119" s="164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</row>
    <row r="120" spans="1:148" x14ac:dyDescent="0.25">
      <c r="A120" s="115">
        <v>116</v>
      </c>
      <c r="B120" s="116">
        <v>45322</v>
      </c>
      <c r="C120" s="117">
        <v>2024</v>
      </c>
      <c r="D120" s="118" t="s">
        <v>833</v>
      </c>
      <c r="E120" s="119" t="s">
        <v>589</v>
      </c>
      <c r="F120" s="120">
        <v>5</v>
      </c>
      <c r="G120" s="120" t="s">
        <v>759</v>
      </c>
      <c r="H120" s="121">
        <v>180900</v>
      </c>
      <c r="J120" s="164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</row>
    <row r="121" spans="1:148" x14ac:dyDescent="0.25">
      <c r="A121" s="115">
        <v>117</v>
      </c>
      <c r="B121" s="116">
        <v>45322</v>
      </c>
      <c r="C121" s="117">
        <v>2024</v>
      </c>
      <c r="D121" s="118" t="s">
        <v>833</v>
      </c>
      <c r="E121" s="119" t="s">
        <v>589</v>
      </c>
      <c r="F121" s="120">
        <v>5</v>
      </c>
      <c r="G121" s="120" t="s">
        <v>759</v>
      </c>
      <c r="H121" s="121">
        <v>206025</v>
      </c>
      <c r="J121" s="164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</row>
    <row r="122" spans="1:148" x14ac:dyDescent="0.25">
      <c r="A122" s="115">
        <v>118</v>
      </c>
      <c r="B122" s="116">
        <v>45322</v>
      </c>
      <c r="C122" s="117">
        <v>2024</v>
      </c>
      <c r="D122" s="118" t="s">
        <v>833</v>
      </c>
      <c r="E122" s="119" t="s">
        <v>632</v>
      </c>
      <c r="F122" s="120">
        <v>12</v>
      </c>
      <c r="G122" s="120" t="s">
        <v>759</v>
      </c>
      <c r="H122" s="121">
        <v>20000</v>
      </c>
      <c r="J122" s="164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</row>
    <row r="123" spans="1:148" x14ac:dyDescent="0.25">
      <c r="A123" s="115">
        <v>119</v>
      </c>
      <c r="B123" s="116">
        <v>45322</v>
      </c>
      <c r="C123" s="117">
        <v>2024</v>
      </c>
      <c r="D123" s="118" t="s">
        <v>833</v>
      </c>
      <c r="E123" s="119" t="s">
        <v>834</v>
      </c>
      <c r="F123" s="120">
        <v>1</v>
      </c>
      <c r="G123" s="120" t="s">
        <v>759</v>
      </c>
      <c r="H123" s="121">
        <v>9250</v>
      </c>
      <c r="J123" s="164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</row>
    <row r="124" spans="1:148" x14ac:dyDescent="0.25">
      <c r="A124" s="115">
        <v>120</v>
      </c>
      <c r="B124" s="116">
        <v>45322</v>
      </c>
      <c r="C124" s="117">
        <v>2024</v>
      </c>
      <c r="D124" s="118" t="s">
        <v>833</v>
      </c>
      <c r="E124" s="119" t="s">
        <v>588</v>
      </c>
      <c r="F124" s="120">
        <v>3</v>
      </c>
      <c r="G124" s="120" t="s">
        <v>759</v>
      </c>
      <c r="H124" s="121">
        <v>16500</v>
      </c>
      <c r="J124" s="16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</row>
    <row r="125" spans="1:148" x14ac:dyDescent="0.25">
      <c r="A125" s="115">
        <v>121</v>
      </c>
      <c r="B125" s="145">
        <v>45322</v>
      </c>
      <c r="C125" s="146">
        <v>2024</v>
      </c>
      <c r="D125" s="118" t="s">
        <v>35</v>
      </c>
      <c r="E125" s="118" t="s">
        <v>770</v>
      </c>
      <c r="F125" s="147">
        <v>1</v>
      </c>
      <c r="G125" s="120" t="s">
        <v>759</v>
      </c>
      <c r="H125" s="148">
        <v>802501</v>
      </c>
      <c r="J125" s="164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</row>
    <row r="126" spans="1:148" x14ac:dyDescent="0.25">
      <c r="A126" s="115">
        <v>122</v>
      </c>
      <c r="B126" s="145">
        <v>45323</v>
      </c>
      <c r="C126" s="146">
        <v>2024</v>
      </c>
      <c r="D126" s="118" t="s">
        <v>35</v>
      </c>
      <c r="E126" s="118" t="s">
        <v>835</v>
      </c>
      <c r="F126" s="147">
        <v>1</v>
      </c>
      <c r="G126" s="120" t="s">
        <v>759</v>
      </c>
      <c r="H126" s="148">
        <v>520000</v>
      </c>
      <c r="J126" s="164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</row>
    <row r="127" spans="1:148" x14ac:dyDescent="0.25">
      <c r="A127" s="115">
        <v>123</v>
      </c>
      <c r="B127" s="145">
        <v>45323</v>
      </c>
      <c r="C127" s="146">
        <v>2024</v>
      </c>
      <c r="D127" s="118" t="s">
        <v>35</v>
      </c>
      <c r="E127" s="118" t="s">
        <v>836</v>
      </c>
      <c r="F127" s="147">
        <v>1</v>
      </c>
      <c r="G127" s="120" t="s">
        <v>759</v>
      </c>
      <c r="H127" s="148">
        <v>55000</v>
      </c>
      <c r="J127" s="164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</row>
    <row r="128" spans="1:148" x14ac:dyDescent="0.25">
      <c r="A128" s="115">
        <v>124</v>
      </c>
      <c r="B128" s="145">
        <v>45323</v>
      </c>
      <c r="C128" s="146">
        <v>2024</v>
      </c>
      <c r="D128" s="118" t="s">
        <v>35</v>
      </c>
      <c r="E128" s="118" t="s">
        <v>837</v>
      </c>
      <c r="F128" s="147">
        <v>1</v>
      </c>
      <c r="G128" s="120" t="s">
        <v>759</v>
      </c>
      <c r="H128" s="148">
        <v>400000</v>
      </c>
      <c r="J128" s="164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</row>
    <row r="129" spans="1:148" x14ac:dyDescent="0.25">
      <c r="A129" s="115">
        <v>125</v>
      </c>
      <c r="B129" s="145">
        <v>45323</v>
      </c>
      <c r="C129" s="146">
        <v>2024</v>
      </c>
      <c r="D129" s="118" t="s">
        <v>35</v>
      </c>
      <c r="E129" s="118" t="s">
        <v>838</v>
      </c>
      <c r="F129" s="147">
        <v>1</v>
      </c>
      <c r="G129" s="120" t="s">
        <v>759</v>
      </c>
      <c r="H129" s="148">
        <v>47000</v>
      </c>
      <c r="J129" s="164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</row>
    <row r="130" spans="1:148" x14ac:dyDescent="0.25">
      <c r="A130" s="115">
        <v>126</v>
      </c>
      <c r="B130" s="145">
        <v>45323</v>
      </c>
      <c r="C130" s="146">
        <v>2024</v>
      </c>
      <c r="D130" s="118" t="s">
        <v>35</v>
      </c>
      <c r="E130" s="118" t="s">
        <v>836</v>
      </c>
      <c r="F130" s="147">
        <v>1</v>
      </c>
      <c r="G130" s="120" t="s">
        <v>759</v>
      </c>
      <c r="H130" s="148">
        <v>95000</v>
      </c>
      <c r="J130" s="164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</row>
    <row r="131" spans="1:148" x14ac:dyDescent="0.25">
      <c r="A131" s="115">
        <v>127</v>
      </c>
      <c r="B131" s="145">
        <v>45323</v>
      </c>
      <c r="C131" s="146">
        <v>2024</v>
      </c>
      <c r="D131" s="118" t="s">
        <v>35</v>
      </c>
      <c r="E131" s="118" t="s">
        <v>839</v>
      </c>
      <c r="F131" s="147">
        <v>1</v>
      </c>
      <c r="G131" s="120" t="s">
        <v>759</v>
      </c>
      <c r="H131" s="148">
        <v>85000</v>
      </c>
      <c r="J131" s="164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</row>
    <row r="132" spans="1:148" x14ac:dyDescent="0.25">
      <c r="A132" s="115">
        <v>128</v>
      </c>
      <c r="B132" s="145">
        <v>45323</v>
      </c>
      <c r="C132" s="146">
        <v>2024</v>
      </c>
      <c r="D132" s="118" t="s">
        <v>35</v>
      </c>
      <c r="E132" s="118" t="s">
        <v>837</v>
      </c>
      <c r="F132" s="147">
        <v>1</v>
      </c>
      <c r="G132" s="120" t="s">
        <v>759</v>
      </c>
      <c r="H132" s="148">
        <v>400000</v>
      </c>
      <c r="J132" s="164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</row>
    <row r="133" spans="1:148" x14ac:dyDescent="0.25">
      <c r="A133" s="115">
        <v>129</v>
      </c>
      <c r="B133" s="145">
        <v>45323</v>
      </c>
      <c r="C133" s="146">
        <v>2024</v>
      </c>
      <c r="D133" s="118" t="s">
        <v>35</v>
      </c>
      <c r="E133" s="118" t="s">
        <v>840</v>
      </c>
      <c r="F133" s="147">
        <v>1</v>
      </c>
      <c r="G133" s="120" t="s">
        <v>759</v>
      </c>
      <c r="H133" s="148">
        <v>50000</v>
      </c>
      <c r="J133" s="164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</row>
    <row r="134" spans="1:148" x14ac:dyDescent="0.25">
      <c r="A134" s="115">
        <v>130</v>
      </c>
      <c r="B134" s="145">
        <v>45323</v>
      </c>
      <c r="C134" s="146">
        <v>2024</v>
      </c>
      <c r="D134" s="118" t="s">
        <v>35</v>
      </c>
      <c r="E134" s="118" t="s">
        <v>837</v>
      </c>
      <c r="F134" s="147">
        <v>1</v>
      </c>
      <c r="G134" s="120" t="s">
        <v>759</v>
      </c>
      <c r="H134" s="148">
        <v>400000</v>
      </c>
      <c r="J134" s="16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</row>
    <row r="135" spans="1:148" x14ac:dyDescent="0.25">
      <c r="A135" s="115">
        <v>131</v>
      </c>
      <c r="B135" s="145">
        <v>45323</v>
      </c>
      <c r="C135" s="146">
        <v>2024</v>
      </c>
      <c r="D135" s="118" t="s">
        <v>35</v>
      </c>
      <c r="E135" s="118" t="s">
        <v>837</v>
      </c>
      <c r="F135" s="147">
        <v>1</v>
      </c>
      <c r="G135" s="120" t="s">
        <v>759</v>
      </c>
      <c r="H135" s="148">
        <v>400000</v>
      </c>
      <c r="J135" s="164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</row>
    <row r="136" spans="1:148" x14ac:dyDescent="0.25">
      <c r="A136" s="115">
        <v>132</v>
      </c>
      <c r="B136" s="145">
        <v>45323</v>
      </c>
      <c r="C136" s="146">
        <v>2024</v>
      </c>
      <c r="D136" s="118" t="s">
        <v>35</v>
      </c>
      <c r="E136" s="118" t="s">
        <v>838</v>
      </c>
      <c r="F136" s="147">
        <v>1</v>
      </c>
      <c r="G136" s="120" t="s">
        <v>759</v>
      </c>
      <c r="H136" s="148">
        <v>75000</v>
      </c>
      <c r="J136" s="164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</row>
    <row r="137" spans="1:148" x14ac:dyDescent="0.25">
      <c r="A137" s="115">
        <v>133</v>
      </c>
      <c r="B137" s="145">
        <v>45323</v>
      </c>
      <c r="C137" s="146">
        <v>2024</v>
      </c>
      <c r="D137" s="118" t="s">
        <v>35</v>
      </c>
      <c r="E137" s="118" t="s">
        <v>839</v>
      </c>
      <c r="F137" s="147">
        <v>1</v>
      </c>
      <c r="G137" s="120" t="s">
        <v>759</v>
      </c>
      <c r="H137" s="148">
        <v>140000</v>
      </c>
      <c r="J137" s="164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</row>
    <row r="138" spans="1:148" x14ac:dyDescent="0.25">
      <c r="A138" s="115">
        <v>134</v>
      </c>
      <c r="B138" s="145">
        <v>45323</v>
      </c>
      <c r="C138" s="146">
        <v>2024</v>
      </c>
      <c r="D138" s="118" t="s">
        <v>35</v>
      </c>
      <c r="E138" s="118" t="s">
        <v>839</v>
      </c>
      <c r="F138" s="147">
        <v>1</v>
      </c>
      <c r="G138" s="120" t="s">
        <v>759</v>
      </c>
      <c r="H138" s="148">
        <v>85000</v>
      </c>
      <c r="J138" s="164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</row>
    <row r="139" spans="1:148" x14ac:dyDescent="0.25">
      <c r="A139" s="115">
        <v>135</v>
      </c>
      <c r="B139" s="145">
        <v>45323</v>
      </c>
      <c r="C139" s="146">
        <v>2024</v>
      </c>
      <c r="D139" s="118" t="s">
        <v>35</v>
      </c>
      <c r="E139" s="118" t="s">
        <v>837</v>
      </c>
      <c r="F139" s="147">
        <v>1</v>
      </c>
      <c r="G139" s="120" t="s">
        <v>759</v>
      </c>
      <c r="H139" s="148">
        <v>400000</v>
      </c>
      <c r="J139" s="164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</row>
    <row r="140" spans="1:148" x14ac:dyDescent="0.25">
      <c r="A140" s="115">
        <v>136</v>
      </c>
      <c r="B140" s="145">
        <v>45323</v>
      </c>
      <c r="C140" s="146">
        <v>2024</v>
      </c>
      <c r="D140" s="118" t="s">
        <v>35</v>
      </c>
      <c r="E140" s="118" t="s">
        <v>838</v>
      </c>
      <c r="F140" s="147">
        <v>1</v>
      </c>
      <c r="G140" s="120" t="s">
        <v>759</v>
      </c>
      <c r="H140" s="148">
        <v>75000</v>
      </c>
      <c r="J140" s="164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</row>
    <row r="141" spans="1:148" x14ac:dyDescent="0.25">
      <c r="A141" s="115">
        <v>137</v>
      </c>
      <c r="B141" s="145">
        <v>45323</v>
      </c>
      <c r="C141" s="146">
        <v>2024</v>
      </c>
      <c r="D141" s="118" t="s">
        <v>35</v>
      </c>
      <c r="E141" s="118" t="s">
        <v>837</v>
      </c>
      <c r="F141" s="147">
        <v>1</v>
      </c>
      <c r="G141" s="120" t="s">
        <v>759</v>
      </c>
      <c r="H141" s="148">
        <v>400000</v>
      </c>
      <c r="J141" s="164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</row>
    <row r="142" spans="1:148" x14ac:dyDescent="0.25">
      <c r="A142" s="115">
        <v>138</v>
      </c>
      <c r="B142" s="145">
        <v>45323</v>
      </c>
      <c r="C142" s="146">
        <v>2024</v>
      </c>
      <c r="D142" s="118" t="s">
        <v>35</v>
      </c>
      <c r="E142" s="118" t="s">
        <v>840</v>
      </c>
      <c r="F142" s="147">
        <v>1</v>
      </c>
      <c r="G142" s="120" t="s">
        <v>759</v>
      </c>
      <c r="H142" s="148">
        <v>223000</v>
      </c>
      <c r="J142" s="164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</row>
    <row r="143" spans="1:148" x14ac:dyDescent="0.25">
      <c r="A143" s="115">
        <v>139</v>
      </c>
      <c r="B143" s="145">
        <v>45323</v>
      </c>
      <c r="C143" s="146">
        <v>2024</v>
      </c>
      <c r="D143" s="118" t="s">
        <v>35</v>
      </c>
      <c r="E143" s="118" t="s">
        <v>838</v>
      </c>
      <c r="F143" s="147">
        <v>1</v>
      </c>
      <c r="G143" s="120" t="s">
        <v>759</v>
      </c>
      <c r="H143" s="148">
        <v>75000</v>
      </c>
      <c r="J143" s="164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</row>
    <row r="144" spans="1:148" x14ac:dyDescent="0.25">
      <c r="A144" s="115">
        <v>140</v>
      </c>
      <c r="B144" s="145">
        <v>45323</v>
      </c>
      <c r="C144" s="146">
        <v>2024</v>
      </c>
      <c r="D144" s="118" t="s">
        <v>35</v>
      </c>
      <c r="E144" s="118" t="s">
        <v>837</v>
      </c>
      <c r="F144" s="147">
        <v>1</v>
      </c>
      <c r="G144" s="120" t="s">
        <v>759</v>
      </c>
      <c r="H144" s="148">
        <v>400000</v>
      </c>
      <c r="J144" s="16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</row>
    <row r="145" spans="1:148" x14ac:dyDescent="0.25">
      <c r="A145" s="115">
        <v>141</v>
      </c>
      <c r="B145" s="145">
        <v>45323</v>
      </c>
      <c r="C145" s="146">
        <v>2024</v>
      </c>
      <c r="D145" s="118" t="s">
        <v>35</v>
      </c>
      <c r="E145" s="118" t="s">
        <v>840</v>
      </c>
      <c r="F145" s="147">
        <v>1</v>
      </c>
      <c r="G145" s="120" t="s">
        <v>759</v>
      </c>
      <c r="H145" s="148">
        <v>50000</v>
      </c>
      <c r="J145" s="164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</row>
    <row r="146" spans="1:148" x14ac:dyDescent="0.25">
      <c r="A146" s="115">
        <v>142</v>
      </c>
      <c r="B146" s="145">
        <v>45323</v>
      </c>
      <c r="C146" s="146">
        <v>2024</v>
      </c>
      <c r="D146" s="118" t="s">
        <v>35</v>
      </c>
      <c r="E146" s="118" t="s">
        <v>841</v>
      </c>
      <c r="F146" s="147">
        <v>1</v>
      </c>
      <c r="G146" s="120" t="s">
        <v>759</v>
      </c>
      <c r="H146" s="148">
        <v>184000</v>
      </c>
      <c r="J146" s="164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</row>
    <row r="147" spans="1:148" x14ac:dyDescent="0.25">
      <c r="A147" s="115">
        <v>143</v>
      </c>
      <c r="B147" s="145">
        <v>45323</v>
      </c>
      <c r="C147" s="146">
        <v>2024</v>
      </c>
      <c r="D147" s="118" t="s">
        <v>35</v>
      </c>
      <c r="E147" s="118" t="s">
        <v>838</v>
      </c>
      <c r="F147" s="147">
        <v>1</v>
      </c>
      <c r="G147" s="120" t="s">
        <v>759</v>
      </c>
      <c r="H147" s="148">
        <v>75000</v>
      </c>
      <c r="J147" s="164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</row>
    <row r="148" spans="1:148" x14ac:dyDescent="0.25">
      <c r="A148" s="115">
        <v>144</v>
      </c>
      <c r="B148" s="145">
        <v>45323</v>
      </c>
      <c r="C148" s="146">
        <v>2024</v>
      </c>
      <c r="D148" s="118" t="s">
        <v>35</v>
      </c>
      <c r="E148" s="118" t="s">
        <v>836</v>
      </c>
      <c r="F148" s="147">
        <v>1</v>
      </c>
      <c r="G148" s="120" t="s">
        <v>759</v>
      </c>
      <c r="H148" s="148">
        <v>100000</v>
      </c>
      <c r="J148" s="164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</row>
    <row r="149" spans="1:148" x14ac:dyDescent="0.25">
      <c r="A149" s="115">
        <v>145</v>
      </c>
      <c r="B149" s="145">
        <v>45323</v>
      </c>
      <c r="C149" s="146">
        <v>2024</v>
      </c>
      <c r="D149" s="118" t="s">
        <v>35</v>
      </c>
      <c r="E149" s="118" t="s">
        <v>837</v>
      </c>
      <c r="F149" s="147">
        <v>1</v>
      </c>
      <c r="G149" s="120" t="s">
        <v>759</v>
      </c>
      <c r="H149" s="148">
        <v>400000</v>
      </c>
      <c r="J149" s="164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</row>
    <row r="150" spans="1:148" x14ac:dyDescent="0.25">
      <c r="A150" s="115">
        <v>146</v>
      </c>
      <c r="B150" s="145">
        <v>45323</v>
      </c>
      <c r="C150" s="146">
        <v>2024</v>
      </c>
      <c r="D150" s="118" t="s">
        <v>35</v>
      </c>
      <c r="E150" s="118" t="s">
        <v>841</v>
      </c>
      <c r="F150" s="147">
        <v>1</v>
      </c>
      <c r="G150" s="120" t="s">
        <v>759</v>
      </c>
      <c r="H150" s="148">
        <v>184000</v>
      </c>
      <c r="J150" s="164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</row>
    <row r="151" spans="1:148" x14ac:dyDescent="0.25">
      <c r="A151" s="115">
        <v>147</v>
      </c>
      <c r="B151" s="145">
        <v>45323</v>
      </c>
      <c r="C151" s="146">
        <v>2024</v>
      </c>
      <c r="D151" s="118" t="s">
        <v>35</v>
      </c>
      <c r="E151" s="118" t="s">
        <v>840</v>
      </c>
      <c r="F151" s="147">
        <v>1</v>
      </c>
      <c r="G151" s="120" t="s">
        <v>759</v>
      </c>
      <c r="H151" s="148">
        <v>50000</v>
      </c>
      <c r="J151" s="164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</row>
    <row r="152" spans="1:148" x14ac:dyDescent="0.25">
      <c r="A152" s="115">
        <v>148</v>
      </c>
      <c r="B152" s="145">
        <v>45323</v>
      </c>
      <c r="C152" s="146">
        <v>2024</v>
      </c>
      <c r="D152" s="118" t="s">
        <v>35</v>
      </c>
      <c r="E152" s="118" t="s">
        <v>837</v>
      </c>
      <c r="F152" s="147">
        <v>1</v>
      </c>
      <c r="G152" s="120" t="s">
        <v>759</v>
      </c>
      <c r="H152" s="148">
        <v>400000</v>
      </c>
      <c r="J152" s="164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</row>
    <row r="153" spans="1:148" x14ac:dyDescent="0.25">
      <c r="A153" s="115">
        <v>149</v>
      </c>
      <c r="B153" s="145">
        <v>45323</v>
      </c>
      <c r="C153" s="146">
        <v>2024</v>
      </c>
      <c r="D153" s="118" t="s">
        <v>35</v>
      </c>
      <c r="E153" s="118" t="s">
        <v>838</v>
      </c>
      <c r="F153" s="147">
        <v>1</v>
      </c>
      <c r="G153" s="120" t="s">
        <v>759</v>
      </c>
      <c r="H153" s="148">
        <v>75000</v>
      </c>
      <c r="J153" s="164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</row>
    <row r="154" spans="1:148" x14ac:dyDescent="0.25">
      <c r="A154" s="115">
        <v>150</v>
      </c>
      <c r="B154" s="145">
        <v>45323</v>
      </c>
      <c r="C154" s="146">
        <v>2024</v>
      </c>
      <c r="D154" s="118" t="s">
        <v>35</v>
      </c>
      <c r="E154" s="118" t="s">
        <v>839</v>
      </c>
      <c r="F154" s="147">
        <v>1</v>
      </c>
      <c r="G154" s="120" t="s">
        <v>759</v>
      </c>
      <c r="H154" s="148">
        <v>140000</v>
      </c>
      <c r="J154" s="16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</row>
    <row r="155" spans="1:148" x14ac:dyDescent="0.25">
      <c r="A155" s="115">
        <v>151</v>
      </c>
      <c r="B155" s="145">
        <v>45323</v>
      </c>
      <c r="C155" s="146">
        <v>2024</v>
      </c>
      <c r="D155" s="118" t="s">
        <v>35</v>
      </c>
      <c r="E155" s="118" t="s">
        <v>837</v>
      </c>
      <c r="F155" s="147">
        <v>1</v>
      </c>
      <c r="G155" s="120" t="s">
        <v>759</v>
      </c>
      <c r="H155" s="148">
        <v>400000</v>
      </c>
      <c r="J155" s="164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</row>
    <row r="156" spans="1:148" x14ac:dyDescent="0.25">
      <c r="A156" s="115">
        <v>152</v>
      </c>
      <c r="B156" s="145">
        <v>45323</v>
      </c>
      <c r="C156" s="146">
        <v>2024</v>
      </c>
      <c r="D156" s="118" t="s">
        <v>35</v>
      </c>
      <c r="E156" s="118" t="s">
        <v>837</v>
      </c>
      <c r="F156" s="147">
        <v>1</v>
      </c>
      <c r="G156" s="120" t="s">
        <v>759</v>
      </c>
      <c r="H156" s="148">
        <v>400000</v>
      </c>
      <c r="J156" s="164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</row>
    <row r="157" spans="1:148" x14ac:dyDescent="0.25">
      <c r="A157" s="115">
        <v>153</v>
      </c>
      <c r="B157" s="145">
        <v>45323</v>
      </c>
      <c r="C157" s="146">
        <v>2024</v>
      </c>
      <c r="D157" s="118" t="s">
        <v>35</v>
      </c>
      <c r="E157" s="118" t="s">
        <v>838</v>
      </c>
      <c r="F157" s="147">
        <v>1</v>
      </c>
      <c r="G157" s="120" t="s">
        <v>759</v>
      </c>
      <c r="H157" s="148">
        <v>75000</v>
      </c>
      <c r="J157" s="164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</row>
    <row r="158" spans="1:148" x14ac:dyDescent="0.25">
      <c r="A158" s="115">
        <v>154</v>
      </c>
      <c r="B158" s="145">
        <v>45323</v>
      </c>
      <c r="C158" s="146">
        <v>2024</v>
      </c>
      <c r="D158" s="118" t="s">
        <v>35</v>
      </c>
      <c r="E158" s="118" t="s">
        <v>837</v>
      </c>
      <c r="F158" s="147">
        <v>1</v>
      </c>
      <c r="G158" s="120" t="s">
        <v>759</v>
      </c>
      <c r="H158" s="148">
        <v>400000</v>
      </c>
      <c r="J158" s="164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</row>
    <row r="159" spans="1:148" x14ac:dyDescent="0.25">
      <c r="A159" s="115">
        <v>155</v>
      </c>
      <c r="B159" s="145">
        <v>45323</v>
      </c>
      <c r="C159" s="146">
        <v>2024</v>
      </c>
      <c r="D159" s="118" t="s">
        <v>35</v>
      </c>
      <c r="E159" s="118" t="s">
        <v>838</v>
      </c>
      <c r="F159" s="147">
        <v>1</v>
      </c>
      <c r="G159" s="120" t="s">
        <v>759</v>
      </c>
      <c r="H159" s="148">
        <v>75000</v>
      </c>
      <c r="J159" s="164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</row>
    <row r="160" spans="1:148" x14ac:dyDescent="0.25">
      <c r="A160" s="115">
        <v>156</v>
      </c>
      <c r="B160" s="145">
        <v>45323</v>
      </c>
      <c r="C160" s="146">
        <v>2024</v>
      </c>
      <c r="D160" s="118" t="s">
        <v>35</v>
      </c>
      <c r="E160" s="118" t="s">
        <v>840</v>
      </c>
      <c r="F160" s="147">
        <v>1</v>
      </c>
      <c r="G160" s="120" t="s">
        <v>759</v>
      </c>
      <c r="H160" s="148">
        <v>50000</v>
      </c>
      <c r="J160" s="164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</row>
    <row r="161" spans="1:148" x14ac:dyDescent="0.25">
      <c r="A161" s="115">
        <v>157</v>
      </c>
      <c r="B161" s="145">
        <v>45323</v>
      </c>
      <c r="C161" s="146">
        <v>2024</v>
      </c>
      <c r="D161" s="118" t="s">
        <v>35</v>
      </c>
      <c r="E161" s="118" t="s">
        <v>837</v>
      </c>
      <c r="F161" s="147">
        <v>1</v>
      </c>
      <c r="G161" s="120" t="s">
        <v>759</v>
      </c>
      <c r="H161" s="148">
        <v>400000</v>
      </c>
      <c r="J161" s="164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</row>
    <row r="162" spans="1:148" x14ac:dyDescent="0.25">
      <c r="A162" s="115">
        <v>158</v>
      </c>
      <c r="B162" s="145">
        <v>45323</v>
      </c>
      <c r="C162" s="146">
        <v>2024</v>
      </c>
      <c r="D162" s="118" t="s">
        <v>35</v>
      </c>
      <c r="E162" s="118" t="s">
        <v>842</v>
      </c>
      <c r="F162" s="147">
        <v>1</v>
      </c>
      <c r="G162" s="120" t="s">
        <v>759</v>
      </c>
      <c r="H162" s="148">
        <v>223000</v>
      </c>
      <c r="J162" s="164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</row>
    <row r="163" spans="1:148" x14ac:dyDescent="0.25">
      <c r="A163" s="115">
        <v>159</v>
      </c>
      <c r="B163" s="145">
        <v>45323</v>
      </c>
      <c r="C163" s="146">
        <v>2024</v>
      </c>
      <c r="D163" s="118" t="s">
        <v>35</v>
      </c>
      <c r="E163" s="118" t="s">
        <v>836</v>
      </c>
      <c r="F163" s="147">
        <v>1</v>
      </c>
      <c r="G163" s="120" t="s">
        <v>759</v>
      </c>
      <c r="H163" s="148">
        <v>140000</v>
      </c>
      <c r="J163" s="164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</row>
    <row r="164" spans="1:148" x14ac:dyDescent="0.25">
      <c r="A164" s="115">
        <v>160</v>
      </c>
      <c r="B164" s="145">
        <v>45323</v>
      </c>
      <c r="C164" s="146">
        <v>2024</v>
      </c>
      <c r="D164" s="118" t="s">
        <v>35</v>
      </c>
      <c r="E164" s="118" t="s">
        <v>836</v>
      </c>
      <c r="F164" s="147">
        <v>1</v>
      </c>
      <c r="G164" s="120" t="s">
        <v>759</v>
      </c>
      <c r="H164" s="148">
        <v>195000</v>
      </c>
      <c r="J164" s="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</row>
    <row r="165" spans="1:148" x14ac:dyDescent="0.25">
      <c r="A165" s="115">
        <v>161</v>
      </c>
      <c r="B165" s="145">
        <v>45323</v>
      </c>
      <c r="C165" s="146">
        <v>2024</v>
      </c>
      <c r="D165" s="118" t="s">
        <v>35</v>
      </c>
      <c r="E165" s="118" t="s">
        <v>840</v>
      </c>
      <c r="F165" s="147">
        <v>1</v>
      </c>
      <c r="G165" s="120" t="s">
        <v>759</v>
      </c>
      <c r="H165" s="148">
        <v>50000</v>
      </c>
      <c r="J165" s="164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</row>
    <row r="166" spans="1:148" x14ac:dyDescent="0.25">
      <c r="A166" s="115">
        <v>162</v>
      </c>
      <c r="B166" s="145">
        <v>45323</v>
      </c>
      <c r="C166" s="146">
        <v>2024</v>
      </c>
      <c r="D166" s="118" t="s">
        <v>35</v>
      </c>
      <c r="E166" s="118" t="s">
        <v>837</v>
      </c>
      <c r="F166" s="147">
        <v>1</v>
      </c>
      <c r="G166" s="120" t="s">
        <v>759</v>
      </c>
      <c r="H166" s="148">
        <v>400000</v>
      </c>
      <c r="J166" s="164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</row>
    <row r="167" spans="1:148" x14ac:dyDescent="0.25">
      <c r="A167" s="115">
        <v>163</v>
      </c>
      <c r="B167" s="145">
        <v>45323</v>
      </c>
      <c r="C167" s="146">
        <v>2024</v>
      </c>
      <c r="D167" s="118" t="s">
        <v>35</v>
      </c>
      <c r="E167" s="118" t="s">
        <v>838</v>
      </c>
      <c r="F167" s="147">
        <v>1</v>
      </c>
      <c r="G167" s="120" t="s">
        <v>759</v>
      </c>
      <c r="H167" s="148">
        <v>75000</v>
      </c>
      <c r="J167" s="164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</row>
    <row r="168" spans="1:148" x14ac:dyDescent="0.25">
      <c r="A168" s="115">
        <v>164</v>
      </c>
      <c r="B168" s="155">
        <v>45323</v>
      </c>
      <c r="C168" s="146">
        <v>2024</v>
      </c>
      <c r="D168" s="118" t="s">
        <v>35</v>
      </c>
      <c r="E168" s="118" t="s">
        <v>839</v>
      </c>
      <c r="F168" s="147">
        <v>1</v>
      </c>
      <c r="G168" s="120" t="s">
        <v>759</v>
      </c>
      <c r="H168" s="148">
        <v>140000</v>
      </c>
      <c r="J168" s="164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</row>
    <row r="169" spans="1:148" x14ac:dyDescent="0.25">
      <c r="A169" s="115">
        <v>165</v>
      </c>
      <c r="B169" s="155">
        <v>45323</v>
      </c>
      <c r="C169" s="146">
        <v>2024</v>
      </c>
      <c r="D169" s="118" t="s">
        <v>35</v>
      </c>
      <c r="E169" s="118" t="s">
        <v>836</v>
      </c>
      <c r="F169" s="147">
        <v>1</v>
      </c>
      <c r="G169" s="120" t="s">
        <v>759</v>
      </c>
      <c r="H169" s="148">
        <v>95000</v>
      </c>
      <c r="J169" s="164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</row>
    <row r="170" spans="1:148" x14ac:dyDescent="0.25">
      <c r="A170" s="115">
        <v>166</v>
      </c>
      <c r="B170" s="155">
        <v>45323</v>
      </c>
      <c r="C170" s="146">
        <v>2024</v>
      </c>
      <c r="D170" s="118" t="s">
        <v>35</v>
      </c>
      <c r="E170" s="118" t="s">
        <v>837</v>
      </c>
      <c r="F170" s="147">
        <v>1</v>
      </c>
      <c r="G170" s="120" t="s">
        <v>759</v>
      </c>
      <c r="H170" s="148">
        <v>400000</v>
      </c>
      <c r="J170" s="163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</row>
    <row r="171" spans="1:148" x14ac:dyDescent="0.25">
      <c r="A171" s="115">
        <v>167</v>
      </c>
      <c r="B171" s="155">
        <v>45323</v>
      </c>
      <c r="C171" s="146">
        <v>2024</v>
      </c>
      <c r="D171" s="118" t="s">
        <v>35</v>
      </c>
      <c r="E171" s="118" t="s">
        <v>838</v>
      </c>
      <c r="F171" s="147">
        <v>1</v>
      </c>
      <c r="G171" s="120" t="s">
        <v>759</v>
      </c>
      <c r="H171" s="148">
        <v>75000</v>
      </c>
      <c r="J171" s="163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</row>
    <row r="172" spans="1:148" x14ac:dyDescent="0.25">
      <c r="A172" s="115">
        <v>168</v>
      </c>
      <c r="B172" s="145">
        <v>45323</v>
      </c>
      <c r="C172" s="146">
        <v>2024</v>
      </c>
      <c r="D172" s="118" t="s">
        <v>35</v>
      </c>
      <c r="E172" s="118" t="s">
        <v>837</v>
      </c>
      <c r="F172" s="147">
        <v>1</v>
      </c>
      <c r="G172" s="120" t="s">
        <v>759</v>
      </c>
      <c r="H172" s="148">
        <v>400000</v>
      </c>
      <c r="J172" s="163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</row>
    <row r="173" spans="1:148" x14ac:dyDescent="0.25">
      <c r="A173" s="115">
        <v>169</v>
      </c>
      <c r="B173" s="145">
        <v>45323</v>
      </c>
      <c r="C173" s="146">
        <v>2024</v>
      </c>
      <c r="D173" s="118" t="s">
        <v>35</v>
      </c>
      <c r="E173" s="118" t="s">
        <v>837</v>
      </c>
      <c r="F173" s="147">
        <v>1</v>
      </c>
      <c r="G173" s="120" t="s">
        <v>759</v>
      </c>
      <c r="H173" s="148">
        <v>400000</v>
      </c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</row>
    <row r="174" spans="1:148" x14ac:dyDescent="0.25">
      <c r="A174" s="115">
        <v>170</v>
      </c>
      <c r="B174" s="145">
        <v>45323</v>
      </c>
      <c r="C174" s="146">
        <v>2024</v>
      </c>
      <c r="D174" s="118" t="s">
        <v>35</v>
      </c>
      <c r="E174" s="118" t="s">
        <v>841</v>
      </c>
      <c r="F174" s="147">
        <v>1</v>
      </c>
      <c r="G174" s="120" t="s">
        <v>759</v>
      </c>
      <c r="H174" s="148">
        <v>184000</v>
      </c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</row>
    <row r="175" spans="1:148" x14ac:dyDescent="0.25">
      <c r="A175" s="115">
        <v>171</v>
      </c>
      <c r="B175" s="145">
        <v>45323</v>
      </c>
      <c r="C175" s="146">
        <v>2024</v>
      </c>
      <c r="D175" s="118" t="s">
        <v>35</v>
      </c>
      <c r="E175" s="118" t="s">
        <v>842</v>
      </c>
      <c r="F175" s="147">
        <v>1</v>
      </c>
      <c r="G175" s="120" t="s">
        <v>759</v>
      </c>
      <c r="H175" s="148">
        <v>223000</v>
      </c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</row>
    <row r="176" spans="1:148" x14ac:dyDescent="0.25">
      <c r="A176" s="115">
        <v>172</v>
      </c>
      <c r="B176" s="145">
        <v>45323</v>
      </c>
      <c r="C176" s="146">
        <v>2024</v>
      </c>
      <c r="D176" s="118" t="s">
        <v>35</v>
      </c>
      <c r="E176" s="118" t="s">
        <v>838</v>
      </c>
      <c r="F176" s="147">
        <v>1</v>
      </c>
      <c r="G176" s="120" t="s">
        <v>759</v>
      </c>
      <c r="H176" s="148">
        <v>75000</v>
      </c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</row>
    <row r="177" spans="1:148" x14ac:dyDescent="0.25">
      <c r="A177" s="115">
        <v>173</v>
      </c>
      <c r="B177" s="116">
        <v>45325</v>
      </c>
      <c r="C177" s="117">
        <v>2024</v>
      </c>
      <c r="D177" s="118" t="s">
        <v>35</v>
      </c>
      <c r="E177" s="119" t="s">
        <v>211</v>
      </c>
      <c r="F177" s="120">
        <v>1</v>
      </c>
      <c r="G177" s="120" t="s">
        <v>759</v>
      </c>
      <c r="H177" s="121">
        <v>17700</v>
      </c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</row>
    <row r="178" spans="1:148" x14ac:dyDescent="0.25">
      <c r="A178" s="115">
        <v>174</v>
      </c>
      <c r="B178" s="116">
        <v>45325</v>
      </c>
      <c r="C178" s="117">
        <v>2024</v>
      </c>
      <c r="D178" s="118" t="s">
        <v>35</v>
      </c>
      <c r="E178" s="119" t="s">
        <v>98</v>
      </c>
      <c r="F178" s="120">
        <v>1</v>
      </c>
      <c r="G178" s="120" t="s">
        <v>759</v>
      </c>
      <c r="H178" s="121">
        <v>73000</v>
      </c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</row>
    <row r="179" spans="1:148" x14ac:dyDescent="0.25">
      <c r="A179" s="115">
        <v>175</v>
      </c>
      <c r="B179" s="145">
        <v>45327</v>
      </c>
      <c r="C179" s="146">
        <v>2024</v>
      </c>
      <c r="D179" s="118" t="s">
        <v>35</v>
      </c>
      <c r="E179" s="118" t="s">
        <v>843</v>
      </c>
      <c r="F179" s="147">
        <v>1</v>
      </c>
      <c r="G179" s="120" t="s">
        <v>759</v>
      </c>
      <c r="H179" s="148">
        <v>12500</v>
      </c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</row>
    <row r="180" spans="1:148" x14ac:dyDescent="0.25">
      <c r="A180" s="115">
        <v>176</v>
      </c>
      <c r="B180" s="145">
        <v>45327</v>
      </c>
      <c r="C180" s="146">
        <v>2024</v>
      </c>
      <c r="D180" s="118" t="s">
        <v>35</v>
      </c>
      <c r="E180" s="118" t="s">
        <v>844</v>
      </c>
      <c r="F180" s="147">
        <v>1</v>
      </c>
      <c r="G180" s="120" t="s">
        <v>759</v>
      </c>
      <c r="H180" s="148">
        <v>15000</v>
      </c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</row>
    <row r="181" spans="1:148" x14ac:dyDescent="0.25">
      <c r="A181" s="115">
        <v>177</v>
      </c>
      <c r="B181" s="116">
        <v>45328</v>
      </c>
      <c r="C181" s="117">
        <v>2024</v>
      </c>
      <c r="D181" s="118" t="s">
        <v>833</v>
      </c>
      <c r="E181" s="119" t="s">
        <v>589</v>
      </c>
      <c r="F181" s="120">
        <v>1</v>
      </c>
      <c r="G181" s="120" t="s">
        <v>759</v>
      </c>
      <c r="H181" s="121">
        <v>244000</v>
      </c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</row>
    <row r="182" spans="1:148" x14ac:dyDescent="0.25">
      <c r="A182" s="115">
        <v>178</v>
      </c>
      <c r="B182" s="116">
        <v>45331</v>
      </c>
      <c r="C182" s="117">
        <v>2024</v>
      </c>
      <c r="D182" s="118" t="s">
        <v>833</v>
      </c>
      <c r="E182" s="119" t="s">
        <v>845</v>
      </c>
      <c r="F182" s="120">
        <v>2</v>
      </c>
      <c r="G182" s="120" t="s">
        <v>759</v>
      </c>
      <c r="H182" s="121">
        <v>50000</v>
      </c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</row>
    <row r="183" spans="1:148" x14ac:dyDescent="0.25">
      <c r="A183" s="115">
        <v>179</v>
      </c>
      <c r="B183" s="116">
        <v>45334</v>
      </c>
      <c r="C183" s="117">
        <v>2024</v>
      </c>
      <c r="D183" s="118" t="s">
        <v>833</v>
      </c>
      <c r="E183" s="119" t="s">
        <v>846</v>
      </c>
      <c r="F183" s="120">
        <v>10</v>
      </c>
      <c r="G183" s="120" t="s">
        <v>759</v>
      </c>
      <c r="H183" s="121">
        <v>78500</v>
      </c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</row>
    <row r="184" spans="1:148" x14ac:dyDescent="0.25">
      <c r="A184" s="115">
        <v>180</v>
      </c>
      <c r="B184" s="116">
        <v>45334</v>
      </c>
      <c r="C184" s="117">
        <v>2024</v>
      </c>
      <c r="D184" s="118" t="s">
        <v>833</v>
      </c>
      <c r="E184" s="119" t="s">
        <v>846</v>
      </c>
      <c r="F184" s="120">
        <v>45</v>
      </c>
      <c r="G184" s="120" t="s">
        <v>759</v>
      </c>
      <c r="H184" s="121">
        <v>517500</v>
      </c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</row>
    <row r="185" spans="1:148" x14ac:dyDescent="0.25">
      <c r="A185" s="115">
        <v>181</v>
      </c>
      <c r="B185" s="116">
        <v>45334</v>
      </c>
      <c r="C185" s="117">
        <v>2024</v>
      </c>
      <c r="D185" s="118" t="s">
        <v>833</v>
      </c>
      <c r="E185" s="119" t="s">
        <v>847</v>
      </c>
      <c r="F185" s="120">
        <v>100</v>
      </c>
      <c r="G185" s="120" t="s">
        <v>759</v>
      </c>
      <c r="H185" s="121">
        <v>38500</v>
      </c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</row>
    <row r="186" spans="1:148" x14ac:dyDescent="0.25">
      <c r="A186" s="115">
        <v>182</v>
      </c>
      <c r="B186" s="116">
        <v>45334</v>
      </c>
      <c r="C186" s="117">
        <v>2024</v>
      </c>
      <c r="D186" s="118" t="s">
        <v>833</v>
      </c>
      <c r="E186" s="119" t="s">
        <v>87</v>
      </c>
      <c r="F186" s="120">
        <v>12</v>
      </c>
      <c r="G186" s="120" t="s">
        <v>759</v>
      </c>
      <c r="H186" s="121">
        <v>18600</v>
      </c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</row>
    <row r="187" spans="1:148" x14ac:dyDescent="0.25">
      <c r="A187" s="115">
        <v>183</v>
      </c>
      <c r="B187" s="116">
        <v>45334</v>
      </c>
      <c r="C187" s="117">
        <v>2024</v>
      </c>
      <c r="D187" s="118" t="s">
        <v>833</v>
      </c>
      <c r="E187" s="119" t="s">
        <v>103</v>
      </c>
      <c r="F187" s="120">
        <v>24</v>
      </c>
      <c r="G187" s="120" t="s">
        <v>759</v>
      </c>
      <c r="H187" s="121">
        <v>23000</v>
      </c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</row>
    <row r="188" spans="1:148" x14ac:dyDescent="0.25">
      <c r="A188" s="115">
        <v>184</v>
      </c>
      <c r="B188" s="116">
        <v>45334</v>
      </c>
      <c r="C188" s="117">
        <v>2024</v>
      </c>
      <c r="D188" s="118" t="s">
        <v>833</v>
      </c>
      <c r="E188" s="119" t="s">
        <v>91</v>
      </c>
      <c r="F188" s="120">
        <v>12</v>
      </c>
      <c r="G188" s="120" t="s">
        <v>759</v>
      </c>
      <c r="H188" s="121">
        <v>82800</v>
      </c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</row>
    <row r="189" spans="1:148" x14ac:dyDescent="0.25">
      <c r="A189" s="115">
        <v>185</v>
      </c>
      <c r="B189" s="116">
        <v>45334</v>
      </c>
      <c r="C189" s="117">
        <v>2024</v>
      </c>
      <c r="D189" s="118" t="s">
        <v>833</v>
      </c>
      <c r="E189" s="119" t="s">
        <v>535</v>
      </c>
      <c r="F189" s="120">
        <v>60</v>
      </c>
      <c r="G189" s="120" t="s">
        <v>759</v>
      </c>
      <c r="H189" s="121">
        <v>165000</v>
      </c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</row>
    <row r="190" spans="1:148" x14ac:dyDescent="0.25">
      <c r="A190" s="115">
        <v>186</v>
      </c>
      <c r="B190" s="116">
        <v>45334</v>
      </c>
      <c r="C190" s="117">
        <v>2024</v>
      </c>
      <c r="D190" s="118" t="s">
        <v>833</v>
      </c>
      <c r="E190" s="119" t="s">
        <v>398</v>
      </c>
      <c r="F190" s="120">
        <v>42</v>
      </c>
      <c r="G190" s="120" t="s">
        <v>759</v>
      </c>
      <c r="H190" s="121">
        <v>277536</v>
      </c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</row>
    <row r="191" spans="1:148" x14ac:dyDescent="0.25">
      <c r="A191" s="115">
        <v>187</v>
      </c>
      <c r="B191" s="116">
        <v>45334</v>
      </c>
      <c r="C191" s="117">
        <v>2024</v>
      </c>
      <c r="D191" s="118" t="s">
        <v>833</v>
      </c>
      <c r="E191" s="119" t="s">
        <v>848</v>
      </c>
      <c r="F191" s="120">
        <v>12</v>
      </c>
      <c r="G191" s="120" t="s">
        <v>759</v>
      </c>
      <c r="H191" s="121">
        <v>19500</v>
      </c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</row>
    <row r="192" spans="1:148" x14ac:dyDescent="0.25">
      <c r="A192" s="115">
        <v>188</v>
      </c>
      <c r="B192" s="116">
        <v>45334</v>
      </c>
      <c r="C192" s="117">
        <v>2024</v>
      </c>
      <c r="D192" s="118" t="s">
        <v>833</v>
      </c>
      <c r="E192" s="119" t="s">
        <v>848</v>
      </c>
      <c r="F192" s="120">
        <v>6</v>
      </c>
      <c r="G192" s="120" t="s">
        <v>759</v>
      </c>
      <c r="H192" s="121">
        <v>14832</v>
      </c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</row>
    <row r="193" spans="1:148" x14ac:dyDescent="0.25">
      <c r="A193" s="115">
        <v>189</v>
      </c>
      <c r="B193" s="116">
        <v>45334</v>
      </c>
      <c r="C193" s="117">
        <v>2024</v>
      </c>
      <c r="D193" s="118" t="s">
        <v>833</v>
      </c>
      <c r="E193" s="119" t="s">
        <v>848</v>
      </c>
      <c r="F193" s="120">
        <v>36</v>
      </c>
      <c r="G193" s="120" t="s">
        <v>759</v>
      </c>
      <c r="H193" s="121">
        <v>237888</v>
      </c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</row>
    <row r="194" spans="1:148" x14ac:dyDescent="0.25">
      <c r="A194" s="115">
        <v>190</v>
      </c>
      <c r="B194" s="116">
        <v>45334</v>
      </c>
      <c r="C194" s="117">
        <v>2024</v>
      </c>
      <c r="D194" s="118" t="s">
        <v>35</v>
      </c>
      <c r="E194" s="119" t="s">
        <v>849</v>
      </c>
      <c r="F194" s="120">
        <v>6</v>
      </c>
      <c r="G194" s="120" t="s">
        <v>759</v>
      </c>
      <c r="H194" s="121">
        <v>57500</v>
      </c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</row>
    <row r="195" spans="1:148" x14ac:dyDescent="0.25">
      <c r="A195" s="115">
        <v>191</v>
      </c>
      <c r="B195" s="116">
        <v>45334</v>
      </c>
      <c r="C195" s="117">
        <v>2024</v>
      </c>
      <c r="D195" s="118" t="s">
        <v>833</v>
      </c>
      <c r="E195" s="119" t="s">
        <v>620</v>
      </c>
      <c r="F195" s="120">
        <v>3</v>
      </c>
      <c r="G195" s="120" t="s">
        <v>759</v>
      </c>
      <c r="H195" s="121">
        <v>55833</v>
      </c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</row>
    <row r="196" spans="1:148" x14ac:dyDescent="0.25">
      <c r="A196" s="115">
        <v>192</v>
      </c>
      <c r="B196" s="116">
        <v>45334</v>
      </c>
      <c r="C196" s="117">
        <v>2024</v>
      </c>
      <c r="D196" s="118" t="s">
        <v>833</v>
      </c>
      <c r="E196" s="119" t="s">
        <v>589</v>
      </c>
      <c r="F196" s="120">
        <v>10</v>
      </c>
      <c r="G196" s="120" t="s">
        <v>759</v>
      </c>
      <c r="H196" s="121">
        <v>427230</v>
      </c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</row>
    <row r="197" spans="1:148" x14ac:dyDescent="0.25">
      <c r="A197" s="115">
        <v>193</v>
      </c>
      <c r="B197" s="116">
        <v>45334</v>
      </c>
      <c r="C197" s="117">
        <v>2024</v>
      </c>
      <c r="D197" s="118" t="s">
        <v>833</v>
      </c>
      <c r="E197" s="119" t="s">
        <v>589</v>
      </c>
      <c r="F197" s="120">
        <v>1</v>
      </c>
      <c r="G197" s="120" t="s">
        <v>759</v>
      </c>
      <c r="H197" s="121">
        <v>425000</v>
      </c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</row>
    <row r="198" spans="1:148" x14ac:dyDescent="0.25">
      <c r="A198" s="115">
        <v>194</v>
      </c>
      <c r="B198" s="116">
        <v>45334</v>
      </c>
      <c r="C198" s="117">
        <v>2024</v>
      </c>
      <c r="D198" s="118" t="s">
        <v>833</v>
      </c>
      <c r="E198" s="119" t="s">
        <v>589</v>
      </c>
      <c r="F198" s="120">
        <v>1</v>
      </c>
      <c r="G198" s="120" t="s">
        <v>759</v>
      </c>
      <c r="H198" s="121">
        <v>244000</v>
      </c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</row>
    <row r="199" spans="1:148" x14ac:dyDescent="0.25">
      <c r="A199" s="115">
        <v>195</v>
      </c>
      <c r="B199" s="116">
        <v>45334</v>
      </c>
      <c r="C199" s="117">
        <v>2024</v>
      </c>
      <c r="D199" s="118" t="s">
        <v>35</v>
      </c>
      <c r="E199" s="119" t="s">
        <v>220</v>
      </c>
      <c r="F199" s="120">
        <v>4</v>
      </c>
      <c r="G199" s="120" t="s">
        <v>759</v>
      </c>
      <c r="H199" s="121">
        <v>100000</v>
      </c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</row>
    <row r="200" spans="1:148" x14ac:dyDescent="0.25">
      <c r="A200" s="115">
        <v>196</v>
      </c>
      <c r="B200" s="116">
        <v>45334</v>
      </c>
      <c r="C200" s="117">
        <v>2024</v>
      </c>
      <c r="D200" s="118" t="s">
        <v>35</v>
      </c>
      <c r="E200" s="119" t="s">
        <v>850</v>
      </c>
      <c r="F200" s="120">
        <v>3</v>
      </c>
      <c r="G200" s="120" t="s">
        <v>759</v>
      </c>
      <c r="H200" s="121">
        <v>405000</v>
      </c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</row>
    <row r="201" spans="1:148" x14ac:dyDescent="0.25">
      <c r="A201" s="115">
        <v>197</v>
      </c>
      <c r="B201" s="116">
        <v>45334</v>
      </c>
      <c r="C201" s="117">
        <v>2024</v>
      </c>
      <c r="D201" s="118" t="s">
        <v>851</v>
      </c>
      <c r="E201" s="119" t="s">
        <v>290</v>
      </c>
      <c r="F201" s="120">
        <v>2</v>
      </c>
      <c r="G201" s="120" t="s">
        <v>759</v>
      </c>
      <c r="H201" s="121">
        <v>500</v>
      </c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</row>
    <row r="202" spans="1:148" x14ac:dyDescent="0.25">
      <c r="A202" s="115">
        <v>198</v>
      </c>
      <c r="B202" s="116">
        <v>45334</v>
      </c>
      <c r="C202" s="117">
        <v>2024</v>
      </c>
      <c r="D202" s="118" t="s">
        <v>851</v>
      </c>
      <c r="E202" s="119" t="s">
        <v>290</v>
      </c>
      <c r="F202" s="120">
        <v>29</v>
      </c>
      <c r="G202" s="120" t="s">
        <v>759</v>
      </c>
      <c r="H202" s="121">
        <v>433000</v>
      </c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</row>
    <row r="203" spans="1:148" x14ac:dyDescent="0.25">
      <c r="A203" s="115">
        <v>199</v>
      </c>
      <c r="B203" s="116">
        <v>45334</v>
      </c>
      <c r="C203" s="117">
        <v>2024</v>
      </c>
      <c r="D203" s="118" t="s">
        <v>851</v>
      </c>
      <c r="E203" s="119" t="s">
        <v>299</v>
      </c>
      <c r="F203" s="120">
        <v>30</v>
      </c>
      <c r="G203" s="120" t="s">
        <v>759</v>
      </c>
      <c r="H203" s="121">
        <v>165000</v>
      </c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</row>
    <row r="204" spans="1:148" x14ac:dyDescent="0.25">
      <c r="A204" s="115">
        <v>200</v>
      </c>
      <c r="B204" s="116">
        <v>45334</v>
      </c>
      <c r="C204" s="117">
        <v>2024</v>
      </c>
      <c r="D204" s="118" t="s">
        <v>851</v>
      </c>
      <c r="E204" s="119" t="s">
        <v>299</v>
      </c>
      <c r="F204" s="120">
        <v>30</v>
      </c>
      <c r="G204" s="120" t="s">
        <v>759</v>
      </c>
      <c r="H204" s="121">
        <v>165000</v>
      </c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</row>
    <row r="205" spans="1:148" x14ac:dyDescent="0.25">
      <c r="A205" s="115">
        <v>201</v>
      </c>
      <c r="B205" s="116">
        <v>45334</v>
      </c>
      <c r="C205" s="117">
        <v>2024</v>
      </c>
      <c r="D205" s="118" t="s">
        <v>851</v>
      </c>
      <c r="E205" s="119" t="s">
        <v>299</v>
      </c>
      <c r="F205" s="120">
        <v>6</v>
      </c>
      <c r="G205" s="120" t="s">
        <v>759</v>
      </c>
      <c r="H205" s="121">
        <v>72000</v>
      </c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</row>
    <row r="206" spans="1:148" x14ac:dyDescent="0.25">
      <c r="A206" s="115">
        <v>202</v>
      </c>
      <c r="B206" s="116">
        <v>45334</v>
      </c>
      <c r="C206" s="117">
        <v>2024</v>
      </c>
      <c r="D206" s="118" t="s">
        <v>851</v>
      </c>
      <c r="E206" s="119" t="s">
        <v>299</v>
      </c>
      <c r="F206" s="120">
        <v>24</v>
      </c>
      <c r="G206" s="120" t="s">
        <v>759</v>
      </c>
      <c r="H206" s="121">
        <v>439200</v>
      </c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</row>
    <row r="207" spans="1:148" x14ac:dyDescent="0.25">
      <c r="A207" s="115">
        <v>203</v>
      </c>
      <c r="B207" s="116">
        <v>45334</v>
      </c>
      <c r="C207" s="117">
        <v>2024</v>
      </c>
      <c r="D207" s="118" t="s">
        <v>833</v>
      </c>
      <c r="E207" s="119" t="s">
        <v>632</v>
      </c>
      <c r="F207" s="120">
        <v>12</v>
      </c>
      <c r="G207" s="120" t="s">
        <v>759</v>
      </c>
      <c r="H207" s="121">
        <v>10000</v>
      </c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</row>
    <row r="208" spans="1:148" x14ac:dyDescent="0.25">
      <c r="A208" s="115">
        <v>204</v>
      </c>
      <c r="B208" s="116">
        <v>45334</v>
      </c>
      <c r="C208" s="117">
        <v>2024</v>
      </c>
      <c r="D208" s="118" t="s">
        <v>833</v>
      </c>
      <c r="E208" s="119" t="s">
        <v>517</v>
      </c>
      <c r="F208" s="120">
        <v>2</v>
      </c>
      <c r="G208" s="120" t="s">
        <v>759</v>
      </c>
      <c r="H208" s="121">
        <v>9000</v>
      </c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</row>
    <row r="209" spans="1:148" x14ac:dyDescent="0.25">
      <c r="A209" s="115">
        <v>205</v>
      </c>
      <c r="B209" s="116">
        <v>45334</v>
      </c>
      <c r="C209" s="117">
        <v>2024</v>
      </c>
      <c r="D209" s="118" t="s">
        <v>833</v>
      </c>
      <c r="E209" s="119" t="s">
        <v>493</v>
      </c>
      <c r="F209" s="120">
        <v>10</v>
      </c>
      <c r="G209" s="120" t="s">
        <v>759</v>
      </c>
      <c r="H209" s="121">
        <v>95000</v>
      </c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</row>
    <row r="210" spans="1:148" x14ac:dyDescent="0.25">
      <c r="A210" s="115">
        <v>206</v>
      </c>
      <c r="B210" s="116">
        <v>45334</v>
      </c>
      <c r="C210" s="117">
        <v>2024</v>
      </c>
      <c r="D210" s="118" t="s">
        <v>35</v>
      </c>
      <c r="E210" s="119" t="s">
        <v>852</v>
      </c>
      <c r="F210" s="120">
        <v>1</v>
      </c>
      <c r="G210" s="120" t="s">
        <v>759</v>
      </c>
      <c r="H210" s="121">
        <v>7000</v>
      </c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</row>
    <row r="211" spans="1:148" x14ac:dyDescent="0.25">
      <c r="A211" s="115">
        <v>207</v>
      </c>
      <c r="B211" s="116">
        <v>45334</v>
      </c>
      <c r="C211" s="117">
        <v>2024</v>
      </c>
      <c r="D211" s="118" t="s">
        <v>35</v>
      </c>
      <c r="E211" s="119" t="s">
        <v>853</v>
      </c>
      <c r="F211" s="120">
        <v>3</v>
      </c>
      <c r="G211" s="120" t="s">
        <v>759</v>
      </c>
      <c r="H211" s="121">
        <v>28500</v>
      </c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</row>
    <row r="212" spans="1:148" x14ac:dyDescent="0.25">
      <c r="A212" s="115">
        <v>208</v>
      </c>
      <c r="B212" s="116">
        <v>45334</v>
      </c>
      <c r="C212" s="117">
        <v>2024</v>
      </c>
      <c r="D212" s="118" t="s">
        <v>833</v>
      </c>
      <c r="E212" s="119" t="s">
        <v>854</v>
      </c>
      <c r="F212" s="120">
        <v>12</v>
      </c>
      <c r="G212" s="120" t="s">
        <v>759</v>
      </c>
      <c r="H212" s="121">
        <v>67800</v>
      </c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</row>
    <row r="213" spans="1:148" x14ac:dyDescent="0.25">
      <c r="A213" s="115">
        <v>209</v>
      </c>
      <c r="B213" s="116">
        <v>45334</v>
      </c>
      <c r="C213" s="117">
        <v>2024</v>
      </c>
      <c r="D213" s="118" t="s">
        <v>833</v>
      </c>
      <c r="E213" s="119" t="s">
        <v>855</v>
      </c>
      <c r="F213" s="120">
        <v>1</v>
      </c>
      <c r="G213" s="120" t="s">
        <v>759</v>
      </c>
      <c r="H213" s="121">
        <v>14500</v>
      </c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</row>
    <row r="214" spans="1:148" x14ac:dyDescent="0.25">
      <c r="A214" s="115">
        <v>210</v>
      </c>
      <c r="B214" s="116">
        <v>45334</v>
      </c>
      <c r="C214" s="117">
        <v>2024</v>
      </c>
      <c r="D214" s="118" t="s">
        <v>833</v>
      </c>
      <c r="E214" s="119" t="s">
        <v>306</v>
      </c>
      <c r="F214" s="120">
        <v>5</v>
      </c>
      <c r="G214" s="120" t="s">
        <v>759</v>
      </c>
      <c r="H214" s="121">
        <v>52500</v>
      </c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</row>
    <row r="215" spans="1:148" x14ac:dyDescent="0.25">
      <c r="A215" s="115">
        <v>211</v>
      </c>
      <c r="B215" s="116">
        <v>45334</v>
      </c>
      <c r="C215" s="117">
        <v>2024</v>
      </c>
      <c r="D215" s="118" t="s">
        <v>833</v>
      </c>
      <c r="E215" s="119" t="s">
        <v>767</v>
      </c>
      <c r="F215" s="120">
        <v>1</v>
      </c>
      <c r="G215" s="120" t="s">
        <v>759</v>
      </c>
      <c r="H215" s="121">
        <v>74000</v>
      </c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</row>
    <row r="216" spans="1:148" x14ac:dyDescent="0.25">
      <c r="A216" s="115">
        <v>212</v>
      </c>
      <c r="B216" s="116">
        <v>45334</v>
      </c>
      <c r="C216" s="117">
        <v>2024</v>
      </c>
      <c r="D216" s="118" t="s">
        <v>833</v>
      </c>
      <c r="E216" s="119" t="s">
        <v>495</v>
      </c>
      <c r="F216" s="120">
        <v>2</v>
      </c>
      <c r="G216" s="120" t="s">
        <v>759</v>
      </c>
      <c r="H216" s="121">
        <v>174000</v>
      </c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</row>
    <row r="217" spans="1:148" x14ac:dyDescent="0.25">
      <c r="A217" s="115">
        <v>213</v>
      </c>
      <c r="B217" s="145">
        <v>45334</v>
      </c>
      <c r="C217" s="146">
        <v>2024</v>
      </c>
      <c r="D217" s="118" t="s">
        <v>35</v>
      </c>
      <c r="E217" s="118" t="s">
        <v>856</v>
      </c>
      <c r="F217" s="147">
        <v>1</v>
      </c>
      <c r="G217" s="120" t="s">
        <v>759</v>
      </c>
      <c r="H217" s="148">
        <v>50000</v>
      </c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</row>
    <row r="218" spans="1:148" x14ac:dyDescent="0.25">
      <c r="A218" s="115">
        <v>214</v>
      </c>
      <c r="B218" s="145">
        <v>45334</v>
      </c>
      <c r="C218" s="146">
        <v>2024</v>
      </c>
      <c r="D218" s="118" t="s">
        <v>35</v>
      </c>
      <c r="E218" s="118" t="s">
        <v>794</v>
      </c>
      <c r="F218" s="147">
        <v>1</v>
      </c>
      <c r="G218" s="120" t="s">
        <v>759</v>
      </c>
      <c r="H218" s="148">
        <v>166500</v>
      </c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</row>
    <row r="219" spans="1:148" x14ac:dyDescent="0.25">
      <c r="A219" s="115">
        <v>215</v>
      </c>
      <c r="B219" s="145">
        <v>45334</v>
      </c>
      <c r="C219" s="146">
        <v>2024</v>
      </c>
      <c r="D219" s="118" t="s">
        <v>35</v>
      </c>
      <c r="E219" s="118" t="s">
        <v>794</v>
      </c>
      <c r="F219" s="147">
        <v>1</v>
      </c>
      <c r="G219" s="120" t="s">
        <v>759</v>
      </c>
      <c r="H219" s="148">
        <v>166500</v>
      </c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</row>
    <row r="220" spans="1:148" x14ac:dyDescent="0.25">
      <c r="A220" s="115">
        <v>216</v>
      </c>
      <c r="B220" s="145">
        <v>45334</v>
      </c>
      <c r="C220" s="146">
        <v>2024</v>
      </c>
      <c r="D220" s="118" t="s">
        <v>35</v>
      </c>
      <c r="E220" s="118" t="s">
        <v>794</v>
      </c>
      <c r="F220" s="147">
        <v>1</v>
      </c>
      <c r="G220" s="120" t="s">
        <v>759</v>
      </c>
      <c r="H220" s="148">
        <v>166500</v>
      </c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</row>
    <row r="221" spans="1:148" x14ac:dyDescent="0.25">
      <c r="A221" s="115">
        <v>217</v>
      </c>
      <c r="B221" s="145">
        <v>45334</v>
      </c>
      <c r="C221" s="146">
        <v>2024</v>
      </c>
      <c r="D221" s="118" t="s">
        <v>35</v>
      </c>
      <c r="E221" s="118" t="s">
        <v>794</v>
      </c>
      <c r="F221" s="147">
        <v>1</v>
      </c>
      <c r="G221" s="120" t="s">
        <v>759</v>
      </c>
      <c r="H221" s="148">
        <v>166500</v>
      </c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</row>
    <row r="222" spans="1:148" x14ac:dyDescent="0.25">
      <c r="A222" s="115">
        <v>218</v>
      </c>
      <c r="B222" s="145">
        <v>45334</v>
      </c>
      <c r="C222" s="146">
        <v>2024</v>
      </c>
      <c r="D222" s="118" t="s">
        <v>35</v>
      </c>
      <c r="E222" s="118" t="s">
        <v>794</v>
      </c>
      <c r="F222" s="147">
        <v>1</v>
      </c>
      <c r="G222" s="120" t="s">
        <v>759</v>
      </c>
      <c r="H222" s="148">
        <v>166500</v>
      </c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</row>
    <row r="223" spans="1:148" x14ac:dyDescent="0.25">
      <c r="A223" s="115">
        <v>219</v>
      </c>
      <c r="B223" s="116">
        <v>45335</v>
      </c>
      <c r="C223" s="117">
        <v>2024</v>
      </c>
      <c r="D223" s="118" t="s">
        <v>35</v>
      </c>
      <c r="E223" s="119" t="s">
        <v>211</v>
      </c>
      <c r="F223" s="120">
        <v>1</v>
      </c>
      <c r="G223" s="120" t="s">
        <v>759</v>
      </c>
      <c r="H223" s="121">
        <v>17700</v>
      </c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</row>
    <row r="224" spans="1:148" x14ac:dyDescent="0.25">
      <c r="A224" s="115">
        <v>220</v>
      </c>
      <c r="B224" s="116">
        <v>45337</v>
      </c>
      <c r="C224" s="117">
        <v>2024</v>
      </c>
      <c r="D224" s="118" t="s">
        <v>35</v>
      </c>
      <c r="E224" s="119" t="s">
        <v>211</v>
      </c>
      <c r="F224" s="120">
        <v>4</v>
      </c>
      <c r="G224" s="120" t="s">
        <v>759</v>
      </c>
      <c r="H224" s="121">
        <v>92000</v>
      </c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</row>
    <row r="225" spans="1:148" x14ac:dyDescent="0.25">
      <c r="A225" s="115">
        <v>221</v>
      </c>
      <c r="B225" s="116">
        <v>45337</v>
      </c>
      <c r="C225" s="117">
        <v>2024</v>
      </c>
      <c r="D225" s="118" t="s">
        <v>35</v>
      </c>
      <c r="E225" s="119" t="s">
        <v>671</v>
      </c>
      <c r="F225" s="120">
        <v>1</v>
      </c>
      <c r="G225" s="120" t="s">
        <v>759</v>
      </c>
      <c r="H225" s="121">
        <v>7500</v>
      </c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</row>
    <row r="226" spans="1:148" x14ac:dyDescent="0.25">
      <c r="A226" s="115">
        <v>222</v>
      </c>
      <c r="B226" s="145">
        <v>45337</v>
      </c>
      <c r="C226" s="146">
        <v>2024</v>
      </c>
      <c r="D226" s="118" t="s">
        <v>35</v>
      </c>
      <c r="E226" s="118" t="s">
        <v>857</v>
      </c>
      <c r="F226" s="147">
        <v>1</v>
      </c>
      <c r="G226" s="120" t="s">
        <v>759</v>
      </c>
      <c r="H226" s="148">
        <v>4500000</v>
      </c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</row>
    <row r="227" spans="1:148" x14ac:dyDescent="0.25">
      <c r="A227" s="115">
        <v>223</v>
      </c>
      <c r="B227" s="145">
        <v>45337</v>
      </c>
      <c r="C227" s="146">
        <v>2024</v>
      </c>
      <c r="D227" s="118" t="s">
        <v>35</v>
      </c>
      <c r="E227" s="118" t="s">
        <v>811</v>
      </c>
      <c r="F227" s="147">
        <v>1</v>
      </c>
      <c r="G227" s="120" t="s">
        <v>759</v>
      </c>
      <c r="H227" s="148">
        <v>40000</v>
      </c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</row>
    <row r="228" spans="1:148" x14ac:dyDescent="0.25">
      <c r="A228" s="115">
        <v>224</v>
      </c>
      <c r="B228" s="145">
        <v>45337</v>
      </c>
      <c r="C228" s="146">
        <v>2024</v>
      </c>
      <c r="D228" s="118" t="s">
        <v>35</v>
      </c>
      <c r="E228" s="118" t="s">
        <v>858</v>
      </c>
      <c r="F228" s="147">
        <v>1</v>
      </c>
      <c r="G228" s="120" t="s">
        <v>759</v>
      </c>
      <c r="H228" s="148">
        <v>25000</v>
      </c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</row>
    <row r="229" spans="1:148" x14ac:dyDescent="0.25">
      <c r="A229" s="115">
        <v>225</v>
      </c>
      <c r="B229" s="145">
        <v>45337</v>
      </c>
      <c r="C229" s="146">
        <v>2024</v>
      </c>
      <c r="D229" s="118" t="s">
        <v>35</v>
      </c>
      <c r="E229" s="118" t="s">
        <v>859</v>
      </c>
      <c r="F229" s="147">
        <v>1</v>
      </c>
      <c r="G229" s="120" t="s">
        <v>759</v>
      </c>
      <c r="H229" s="148">
        <v>140000</v>
      </c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</row>
    <row r="230" spans="1:148" x14ac:dyDescent="0.25">
      <c r="A230" s="115">
        <v>226</v>
      </c>
      <c r="B230" s="145">
        <v>45337</v>
      </c>
      <c r="C230" s="146">
        <v>2024</v>
      </c>
      <c r="D230" s="118" t="s">
        <v>35</v>
      </c>
      <c r="E230" s="118" t="s">
        <v>860</v>
      </c>
      <c r="F230" s="147">
        <v>1</v>
      </c>
      <c r="G230" s="120" t="s">
        <v>759</v>
      </c>
      <c r="H230" s="148">
        <v>65000</v>
      </c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</row>
    <row r="231" spans="1:148" x14ac:dyDescent="0.25">
      <c r="A231" s="115">
        <v>227</v>
      </c>
      <c r="B231" s="145">
        <v>45337</v>
      </c>
      <c r="C231" s="146">
        <v>2024</v>
      </c>
      <c r="D231" s="118" t="s">
        <v>35</v>
      </c>
      <c r="E231" s="118" t="s">
        <v>771</v>
      </c>
      <c r="F231" s="147">
        <v>1</v>
      </c>
      <c r="G231" s="120" t="s">
        <v>759</v>
      </c>
      <c r="H231" s="148">
        <v>175000</v>
      </c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</row>
    <row r="232" spans="1:148" x14ac:dyDescent="0.25">
      <c r="A232" s="115">
        <v>228</v>
      </c>
      <c r="B232" s="145">
        <v>45337</v>
      </c>
      <c r="C232" s="146">
        <v>2024</v>
      </c>
      <c r="D232" s="118" t="s">
        <v>35</v>
      </c>
      <c r="E232" s="118" t="s">
        <v>861</v>
      </c>
      <c r="F232" s="147">
        <v>1</v>
      </c>
      <c r="G232" s="120" t="s">
        <v>759</v>
      </c>
      <c r="H232" s="148">
        <v>125000</v>
      </c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</row>
    <row r="233" spans="1:148" x14ac:dyDescent="0.25">
      <c r="A233" s="115">
        <v>229</v>
      </c>
      <c r="B233" s="145">
        <v>45337</v>
      </c>
      <c r="C233" s="146">
        <v>2024</v>
      </c>
      <c r="D233" s="118" t="s">
        <v>35</v>
      </c>
      <c r="E233" s="118" t="s">
        <v>862</v>
      </c>
      <c r="F233" s="147">
        <v>1</v>
      </c>
      <c r="G233" s="120" t="s">
        <v>759</v>
      </c>
      <c r="H233" s="148">
        <v>10000</v>
      </c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</row>
    <row r="234" spans="1:148" x14ac:dyDescent="0.25">
      <c r="A234" s="115">
        <v>230</v>
      </c>
      <c r="B234" s="145">
        <v>45337</v>
      </c>
      <c r="C234" s="146">
        <v>2024</v>
      </c>
      <c r="D234" s="118" t="s">
        <v>35</v>
      </c>
      <c r="E234" s="118" t="s">
        <v>863</v>
      </c>
      <c r="F234" s="147">
        <v>1</v>
      </c>
      <c r="G234" s="120" t="s">
        <v>759</v>
      </c>
      <c r="H234" s="148">
        <v>57500</v>
      </c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</row>
    <row r="235" spans="1:148" x14ac:dyDescent="0.25">
      <c r="A235" s="115">
        <v>231</v>
      </c>
      <c r="B235" s="145">
        <v>45337</v>
      </c>
      <c r="C235" s="146">
        <v>2024</v>
      </c>
      <c r="D235" s="118" t="s">
        <v>35</v>
      </c>
      <c r="E235" s="118" t="s">
        <v>398</v>
      </c>
      <c r="F235" s="147">
        <v>1</v>
      </c>
      <c r="G235" s="120" t="s">
        <v>759</v>
      </c>
      <c r="H235" s="148">
        <v>6500</v>
      </c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</row>
    <row r="236" spans="1:148" x14ac:dyDescent="0.25">
      <c r="A236" s="115">
        <v>232</v>
      </c>
      <c r="B236" s="145">
        <v>45337</v>
      </c>
      <c r="C236" s="146">
        <v>2024</v>
      </c>
      <c r="D236" s="118" t="s">
        <v>35</v>
      </c>
      <c r="E236" s="118" t="s">
        <v>771</v>
      </c>
      <c r="F236" s="147">
        <v>1</v>
      </c>
      <c r="G236" s="120" t="s">
        <v>759</v>
      </c>
      <c r="H236" s="148">
        <v>175000</v>
      </c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</row>
    <row r="237" spans="1:148" x14ac:dyDescent="0.25">
      <c r="A237" s="115">
        <v>233</v>
      </c>
      <c r="B237" s="145">
        <v>45337</v>
      </c>
      <c r="C237" s="146">
        <v>2024</v>
      </c>
      <c r="D237" s="118" t="s">
        <v>35</v>
      </c>
      <c r="E237" s="118" t="s">
        <v>765</v>
      </c>
      <c r="F237" s="147">
        <v>1</v>
      </c>
      <c r="G237" s="120" t="s">
        <v>759</v>
      </c>
      <c r="H237" s="148">
        <v>275000</v>
      </c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</row>
    <row r="238" spans="1:148" x14ac:dyDescent="0.25">
      <c r="A238" s="115">
        <v>234</v>
      </c>
      <c r="B238" s="145">
        <v>45337</v>
      </c>
      <c r="C238" s="146">
        <v>2024</v>
      </c>
      <c r="D238" s="118" t="s">
        <v>35</v>
      </c>
      <c r="E238" s="118" t="s">
        <v>861</v>
      </c>
      <c r="F238" s="147">
        <v>1</v>
      </c>
      <c r="G238" s="120" t="s">
        <v>759</v>
      </c>
      <c r="H238" s="148">
        <v>125000</v>
      </c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</row>
    <row r="239" spans="1:148" x14ac:dyDescent="0.25">
      <c r="A239" s="115">
        <v>235</v>
      </c>
      <c r="B239" s="145">
        <v>45337</v>
      </c>
      <c r="C239" s="146">
        <v>2024</v>
      </c>
      <c r="D239" s="118" t="s">
        <v>35</v>
      </c>
      <c r="E239" s="118" t="s">
        <v>862</v>
      </c>
      <c r="F239" s="147">
        <v>1</v>
      </c>
      <c r="G239" s="120" t="s">
        <v>759</v>
      </c>
      <c r="H239" s="148">
        <v>10000</v>
      </c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</row>
    <row r="240" spans="1:148" x14ac:dyDescent="0.25">
      <c r="A240" s="115">
        <v>236</v>
      </c>
      <c r="B240" s="145">
        <v>45337</v>
      </c>
      <c r="C240" s="146">
        <v>2024</v>
      </c>
      <c r="D240" s="118" t="s">
        <v>35</v>
      </c>
      <c r="E240" s="118" t="s">
        <v>863</v>
      </c>
      <c r="F240" s="147">
        <v>1</v>
      </c>
      <c r="G240" s="120" t="s">
        <v>759</v>
      </c>
      <c r="H240" s="148">
        <v>57500</v>
      </c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</row>
    <row r="241" spans="1:148" x14ac:dyDescent="0.25">
      <c r="A241" s="115">
        <v>237</v>
      </c>
      <c r="B241" s="145">
        <v>45337</v>
      </c>
      <c r="C241" s="146">
        <v>2024</v>
      </c>
      <c r="D241" s="118" t="s">
        <v>35</v>
      </c>
      <c r="E241" s="118" t="s">
        <v>771</v>
      </c>
      <c r="F241" s="147">
        <v>1</v>
      </c>
      <c r="G241" s="120" t="s">
        <v>759</v>
      </c>
      <c r="H241" s="148">
        <v>175000</v>
      </c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</row>
    <row r="242" spans="1:148" x14ac:dyDescent="0.25">
      <c r="A242" s="115">
        <v>238</v>
      </c>
      <c r="B242" s="145">
        <v>45337</v>
      </c>
      <c r="C242" s="146">
        <v>2024</v>
      </c>
      <c r="D242" s="118" t="s">
        <v>35</v>
      </c>
      <c r="E242" s="118" t="s">
        <v>765</v>
      </c>
      <c r="F242" s="147">
        <v>1</v>
      </c>
      <c r="G242" s="120" t="s">
        <v>759</v>
      </c>
      <c r="H242" s="148">
        <v>275000</v>
      </c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</row>
    <row r="243" spans="1:148" x14ac:dyDescent="0.25">
      <c r="A243" s="115">
        <v>239</v>
      </c>
      <c r="B243" s="145">
        <v>45337</v>
      </c>
      <c r="C243" s="146">
        <v>2024</v>
      </c>
      <c r="D243" s="118" t="s">
        <v>35</v>
      </c>
      <c r="E243" s="118" t="s">
        <v>861</v>
      </c>
      <c r="F243" s="147">
        <v>1</v>
      </c>
      <c r="G243" s="120" t="s">
        <v>759</v>
      </c>
      <c r="H243" s="148">
        <v>125000</v>
      </c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</row>
    <row r="244" spans="1:148" x14ac:dyDescent="0.25">
      <c r="A244" s="115">
        <v>240</v>
      </c>
      <c r="B244" s="145">
        <v>45337</v>
      </c>
      <c r="C244" s="146">
        <v>2024</v>
      </c>
      <c r="D244" s="118" t="s">
        <v>35</v>
      </c>
      <c r="E244" s="118" t="s">
        <v>862</v>
      </c>
      <c r="F244" s="147">
        <v>1</v>
      </c>
      <c r="G244" s="120" t="s">
        <v>759</v>
      </c>
      <c r="H244" s="148">
        <v>10000</v>
      </c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</row>
    <row r="245" spans="1:148" x14ac:dyDescent="0.25">
      <c r="A245" s="115">
        <v>241</v>
      </c>
      <c r="B245" s="145">
        <v>45337</v>
      </c>
      <c r="C245" s="146">
        <v>2024</v>
      </c>
      <c r="D245" s="118" t="s">
        <v>35</v>
      </c>
      <c r="E245" s="118" t="s">
        <v>799</v>
      </c>
      <c r="F245" s="147">
        <v>1</v>
      </c>
      <c r="G245" s="120" t="s">
        <v>759</v>
      </c>
      <c r="H245" s="148">
        <v>185000</v>
      </c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</row>
    <row r="246" spans="1:148" x14ac:dyDescent="0.25">
      <c r="A246" s="115">
        <v>242</v>
      </c>
      <c r="B246" s="145">
        <v>45337</v>
      </c>
      <c r="C246" s="146">
        <v>2024</v>
      </c>
      <c r="D246" s="118" t="s">
        <v>35</v>
      </c>
      <c r="E246" s="118" t="s">
        <v>799</v>
      </c>
      <c r="F246" s="147">
        <v>1</v>
      </c>
      <c r="G246" s="120" t="s">
        <v>759</v>
      </c>
      <c r="H246" s="148">
        <v>60000</v>
      </c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</row>
    <row r="247" spans="1:148" x14ac:dyDescent="0.25">
      <c r="A247" s="115">
        <v>243</v>
      </c>
      <c r="B247" s="145">
        <v>45337</v>
      </c>
      <c r="C247" s="146">
        <v>2024</v>
      </c>
      <c r="D247" s="118" t="s">
        <v>35</v>
      </c>
      <c r="E247" s="118" t="s">
        <v>864</v>
      </c>
      <c r="F247" s="147">
        <v>1</v>
      </c>
      <c r="G247" s="120" t="s">
        <v>759</v>
      </c>
      <c r="H247" s="148">
        <v>120000</v>
      </c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</row>
    <row r="248" spans="1:148" x14ac:dyDescent="0.25">
      <c r="A248" s="115">
        <v>244</v>
      </c>
      <c r="B248" s="145">
        <v>45337</v>
      </c>
      <c r="C248" s="146">
        <v>2024</v>
      </c>
      <c r="D248" s="118" t="s">
        <v>35</v>
      </c>
      <c r="E248" s="118" t="s">
        <v>864</v>
      </c>
      <c r="F248" s="147">
        <v>1</v>
      </c>
      <c r="G248" s="120" t="s">
        <v>759</v>
      </c>
      <c r="H248" s="148">
        <v>77500</v>
      </c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</row>
    <row r="249" spans="1:148" x14ac:dyDescent="0.25">
      <c r="A249" s="115">
        <v>245</v>
      </c>
      <c r="B249" s="145">
        <v>45337</v>
      </c>
      <c r="C249" s="146">
        <v>2024</v>
      </c>
      <c r="D249" s="118" t="s">
        <v>35</v>
      </c>
      <c r="E249" s="118" t="s">
        <v>864</v>
      </c>
      <c r="F249" s="147">
        <v>1</v>
      </c>
      <c r="G249" s="120" t="s">
        <v>759</v>
      </c>
      <c r="H249" s="148">
        <v>70000</v>
      </c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</row>
    <row r="250" spans="1:148" x14ac:dyDescent="0.25">
      <c r="A250" s="115">
        <v>246</v>
      </c>
      <c r="B250" s="145">
        <v>45337</v>
      </c>
      <c r="C250" s="146">
        <v>2024</v>
      </c>
      <c r="D250" s="118" t="s">
        <v>35</v>
      </c>
      <c r="E250" s="118" t="s">
        <v>864</v>
      </c>
      <c r="F250" s="147">
        <v>1</v>
      </c>
      <c r="G250" s="120" t="s">
        <v>759</v>
      </c>
      <c r="H250" s="148">
        <v>75000</v>
      </c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</row>
    <row r="251" spans="1:148" x14ac:dyDescent="0.25">
      <c r="A251" s="115">
        <v>247</v>
      </c>
      <c r="B251" s="145">
        <v>45337</v>
      </c>
      <c r="C251" s="146">
        <v>2024</v>
      </c>
      <c r="D251" s="118" t="s">
        <v>35</v>
      </c>
      <c r="E251" s="118" t="s">
        <v>865</v>
      </c>
      <c r="F251" s="147">
        <v>1</v>
      </c>
      <c r="G251" s="120" t="s">
        <v>759</v>
      </c>
      <c r="H251" s="148">
        <v>3100000</v>
      </c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</row>
    <row r="252" spans="1:148" x14ac:dyDescent="0.25">
      <c r="A252" s="115">
        <v>249</v>
      </c>
      <c r="B252" s="145">
        <v>45337</v>
      </c>
      <c r="C252" s="146">
        <v>2024</v>
      </c>
      <c r="D252" s="118" t="s">
        <v>35</v>
      </c>
      <c r="E252" s="118" t="s">
        <v>866</v>
      </c>
      <c r="F252" s="147">
        <v>1</v>
      </c>
      <c r="G252" s="120" t="s">
        <v>759</v>
      </c>
      <c r="H252" s="148">
        <v>35000</v>
      </c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</row>
    <row r="253" spans="1:148" x14ac:dyDescent="0.25">
      <c r="A253" s="115">
        <v>250</v>
      </c>
      <c r="B253" s="145">
        <v>45337</v>
      </c>
      <c r="C253" s="146">
        <v>2024</v>
      </c>
      <c r="D253" s="118" t="s">
        <v>35</v>
      </c>
      <c r="E253" s="118" t="s">
        <v>867</v>
      </c>
      <c r="F253" s="147">
        <v>1</v>
      </c>
      <c r="G253" s="120" t="s">
        <v>759</v>
      </c>
      <c r="H253" s="148">
        <v>15000</v>
      </c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</row>
    <row r="254" spans="1:148" x14ac:dyDescent="0.25">
      <c r="A254" s="115">
        <v>251</v>
      </c>
      <c r="B254" s="145">
        <v>45337</v>
      </c>
      <c r="C254" s="146">
        <v>2024</v>
      </c>
      <c r="D254" s="118" t="s">
        <v>35</v>
      </c>
      <c r="E254" s="118" t="s">
        <v>868</v>
      </c>
      <c r="F254" s="147">
        <v>1</v>
      </c>
      <c r="G254" s="120" t="s">
        <v>759</v>
      </c>
      <c r="H254" s="148">
        <v>14000</v>
      </c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</row>
    <row r="255" spans="1:148" x14ac:dyDescent="0.25">
      <c r="A255" s="115">
        <v>252</v>
      </c>
      <c r="B255" s="145">
        <v>45337</v>
      </c>
      <c r="C255" s="146">
        <v>2024</v>
      </c>
      <c r="D255" s="118" t="s">
        <v>35</v>
      </c>
      <c r="E255" s="118" t="s">
        <v>869</v>
      </c>
      <c r="F255" s="147">
        <v>1</v>
      </c>
      <c r="G255" s="120" t="s">
        <v>759</v>
      </c>
      <c r="H255" s="148">
        <v>450000</v>
      </c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</row>
    <row r="256" spans="1:148" x14ac:dyDescent="0.25">
      <c r="A256" s="115">
        <v>253</v>
      </c>
      <c r="B256" s="145">
        <v>45337</v>
      </c>
      <c r="C256" s="146">
        <v>2024</v>
      </c>
      <c r="D256" s="118" t="s">
        <v>35</v>
      </c>
      <c r="E256" s="118" t="s">
        <v>870</v>
      </c>
      <c r="F256" s="147">
        <v>1</v>
      </c>
      <c r="G256" s="120" t="s">
        <v>759</v>
      </c>
      <c r="H256" s="148">
        <v>1500</v>
      </c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</row>
    <row r="257" spans="1:148" x14ac:dyDescent="0.25">
      <c r="A257" s="115">
        <v>254</v>
      </c>
      <c r="B257" s="145">
        <v>45337</v>
      </c>
      <c r="C257" s="146">
        <v>2024</v>
      </c>
      <c r="D257" s="118" t="s">
        <v>35</v>
      </c>
      <c r="E257" s="118" t="s">
        <v>765</v>
      </c>
      <c r="F257" s="147">
        <v>1</v>
      </c>
      <c r="G257" s="120" t="s">
        <v>759</v>
      </c>
      <c r="H257" s="148">
        <v>140000</v>
      </c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</row>
    <row r="258" spans="1:148" x14ac:dyDescent="0.25">
      <c r="A258" s="115">
        <v>255</v>
      </c>
      <c r="B258" s="166">
        <v>45337</v>
      </c>
      <c r="C258" s="146">
        <v>2024</v>
      </c>
      <c r="D258" s="118" t="s">
        <v>35</v>
      </c>
      <c r="E258" s="118" t="s">
        <v>871</v>
      </c>
      <c r="F258" s="147">
        <v>1</v>
      </c>
      <c r="G258" s="120" t="s">
        <v>759</v>
      </c>
      <c r="H258" s="148">
        <v>65000</v>
      </c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</row>
    <row r="259" spans="1:148" x14ac:dyDescent="0.25">
      <c r="A259" s="115">
        <v>256</v>
      </c>
      <c r="B259" s="155">
        <v>45337</v>
      </c>
      <c r="C259" s="146">
        <v>2024</v>
      </c>
      <c r="D259" s="118" t="s">
        <v>35</v>
      </c>
      <c r="E259" s="118" t="s">
        <v>872</v>
      </c>
      <c r="F259" s="147">
        <v>1</v>
      </c>
      <c r="G259" s="120" t="s">
        <v>759</v>
      </c>
      <c r="H259" s="148">
        <v>38500</v>
      </c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</row>
    <row r="260" spans="1:148" x14ac:dyDescent="0.25">
      <c r="A260" s="115">
        <v>257</v>
      </c>
      <c r="B260" s="155">
        <v>45337</v>
      </c>
      <c r="C260" s="146">
        <v>2024</v>
      </c>
      <c r="D260" s="118" t="s">
        <v>35</v>
      </c>
      <c r="E260" s="118" t="s">
        <v>873</v>
      </c>
      <c r="F260" s="147">
        <v>1</v>
      </c>
      <c r="G260" s="120" t="s">
        <v>759</v>
      </c>
      <c r="H260" s="148">
        <v>40000</v>
      </c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</row>
    <row r="261" spans="1:148" x14ac:dyDescent="0.25">
      <c r="A261" s="115">
        <v>258</v>
      </c>
      <c r="B261" s="145">
        <v>45337</v>
      </c>
      <c r="C261" s="146">
        <v>2024</v>
      </c>
      <c r="D261" s="118" t="s">
        <v>35</v>
      </c>
      <c r="E261" s="118" t="s">
        <v>858</v>
      </c>
      <c r="F261" s="147">
        <v>1</v>
      </c>
      <c r="G261" s="120" t="s">
        <v>759</v>
      </c>
      <c r="H261" s="148">
        <v>9000</v>
      </c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</row>
    <row r="262" spans="1:148" x14ac:dyDescent="0.25">
      <c r="A262" s="115">
        <v>259</v>
      </c>
      <c r="B262" s="145">
        <v>45337</v>
      </c>
      <c r="C262" s="146">
        <v>2024</v>
      </c>
      <c r="D262" s="118" t="s">
        <v>35</v>
      </c>
      <c r="E262" s="118" t="s">
        <v>874</v>
      </c>
      <c r="F262" s="147">
        <v>1</v>
      </c>
      <c r="G262" s="120" t="s">
        <v>759</v>
      </c>
      <c r="H262" s="148">
        <v>50000</v>
      </c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</row>
    <row r="263" spans="1:148" x14ac:dyDescent="0.25">
      <c r="A263" s="115">
        <v>260</v>
      </c>
      <c r="B263" s="145">
        <v>45337</v>
      </c>
      <c r="C263" s="146">
        <v>2024</v>
      </c>
      <c r="D263" s="118" t="s">
        <v>35</v>
      </c>
      <c r="E263" s="118" t="s">
        <v>398</v>
      </c>
      <c r="F263" s="147">
        <v>1</v>
      </c>
      <c r="G263" s="120" t="s">
        <v>759</v>
      </c>
      <c r="H263" s="148">
        <v>6000</v>
      </c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</row>
    <row r="264" spans="1:148" x14ac:dyDescent="0.25">
      <c r="A264" s="115">
        <v>261</v>
      </c>
      <c r="B264" s="145">
        <v>45337</v>
      </c>
      <c r="C264" s="146">
        <v>2024</v>
      </c>
      <c r="D264" s="118" t="s">
        <v>35</v>
      </c>
      <c r="E264" s="118" t="s">
        <v>115</v>
      </c>
      <c r="F264" s="147">
        <v>1</v>
      </c>
      <c r="G264" s="120" t="s">
        <v>759</v>
      </c>
      <c r="H264" s="148">
        <v>425000</v>
      </c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</row>
    <row r="265" spans="1:148" x14ac:dyDescent="0.25">
      <c r="A265" s="115">
        <v>262</v>
      </c>
      <c r="B265" s="145">
        <v>45337</v>
      </c>
      <c r="C265" s="146">
        <v>2024</v>
      </c>
      <c r="D265" s="118" t="s">
        <v>35</v>
      </c>
      <c r="E265" s="118" t="s">
        <v>875</v>
      </c>
      <c r="F265" s="147">
        <v>1</v>
      </c>
      <c r="G265" s="120" t="s">
        <v>759</v>
      </c>
      <c r="H265" s="148">
        <v>100000</v>
      </c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</row>
    <row r="266" spans="1:148" x14ac:dyDescent="0.25">
      <c r="A266" s="115">
        <v>263</v>
      </c>
      <c r="B266" s="145">
        <v>45337</v>
      </c>
      <c r="C266" s="146">
        <v>2024</v>
      </c>
      <c r="D266" s="118" t="s">
        <v>35</v>
      </c>
      <c r="E266" s="118" t="s">
        <v>437</v>
      </c>
      <c r="F266" s="147">
        <v>1</v>
      </c>
      <c r="G266" s="120" t="s">
        <v>759</v>
      </c>
      <c r="H266" s="148">
        <v>13000</v>
      </c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</row>
    <row r="267" spans="1:148" x14ac:dyDescent="0.25">
      <c r="A267" s="115">
        <v>264</v>
      </c>
      <c r="B267" s="145">
        <v>45337</v>
      </c>
      <c r="C267" s="146">
        <v>2024</v>
      </c>
      <c r="D267" s="118" t="s">
        <v>35</v>
      </c>
      <c r="E267" s="118" t="s">
        <v>876</v>
      </c>
      <c r="F267" s="147">
        <v>1</v>
      </c>
      <c r="G267" s="120" t="s">
        <v>759</v>
      </c>
      <c r="H267" s="148">
        <v>150000</v>
      </c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</row>
    <row r="268" spans="1:148" x14ac:dyDescent="0.25">
      <c r="A268" s="115">
        <v>265</v>
      </c>
      <c r="B268" s="145">
        <v>45337</v>
      </c>
      <c r="C268" s="146">
        <v>2024</v>
      </c>
      <c r="D268" s="118" t="s">
        <v>35</v>
      </c>
      <c r="E268" s="118" t="s">
        <v>877</v>
      </c>
      <c r="F268" s="147">
        <v>1</v>
      </c>
      <c r="G268" s="120" t="s">
        <v>759</v>
      </c>
      <c r="H268" s="148">
        <v>65000</v>
      </c>
      <c r="J268"/>
      <c r="K268"/>
      <c r="L268"/>
      <c r="M268"/>
      <c r="N268"/>
      <c r="O268"/>
      <c r="P268"/>
      <c r="Q268"/>
      <c r="R268"/>
      <c r="S268"/>
      <c r="T268"/>
    </row>
    <row r="269" spans="1:148" x14ac:dyDescent="0.25">
      <c r="A269" s="115">
        <v>266</v>
      </c>
      <c r="B269" s="145">
        <v>45337</v>
      </c>
      <c r="C269" s="146">
        <v>2024</v>
      </c>
      <c r="D269" s="118" t="s">
        <v>35</v>
      </c>
      <c r="E269" s="118" t="s">
        <v>839</v>
      </c>
      <c r="F269" s="147">
        <v>1</v>
      </c>
      <c r="G269" s="120" t="s">
        <v>759</v>
      </c>
      <c r="H269" s="148">
        <v>38500</v>
      </c>
      <c r="J269"/>
      <c r="K269"/>
      <c r="L269"/>
      <c r="M269"/>
      <c r="N269"/>
      <c r="O269"/>
      <c r="P269"/>
      <c r="Q269"/>
      <c r="R269"/>
      <c r="S269"/>
      <c r="T269"/>
    </row>
    <row r="270" spans="1:148" x14ac:dyDescent="0.25">
      <c r="A270" s="115">
        <v>267</v>
      </c>
      <c r="B270" s="145">
        <v>45337</v>
      </c>
      <c r="C270" s="146">
        <v>2024</v>
      </c>
      <c r="D270" s="118" t="s">
        <v>35</v>
      </c>
      <c r="E270" s="118" t="s">
        <v>878</v>
      </c>
      <c r="F270" s="147">
        <v>1</v>
      </c>
      <c r="G270" s="120" t="s">
        <v>759</v>
      </c>
      <c r="H270" s="148">
        <v>405000</v>
      </c>
      <c r="J270"/>
      <c r="K270"/>
      <c r="L270"/>
      <c r="M270"/>
      <c r="N270"/>
      <c r="O270"/>
      <c r="P270"/>
      <c r="Q270"/>
      <c r="R270"/>
      <c r="S270"/>
      <c r="T270"/>
    </row>
    <row r="271" spans="1:148" x14ac:dyDescent="0.25">
      <c r="A271" s="115">
        <v>268</v>
      </c>
      <c r="B271" s="145">
        <v>45337</v>
      </c>
      <c r="C271" s="146">
        <v>2024</v>
      </c>
      <c r="D271" s="118" t="s">
        <v>35</v>
      </c>
      <c r="E271" s="118" t="s">
        <v>879</v>
      </c>
      <c r="F271" s="147">
        <v>1</v>
      </c>
      <c r="G271" s="120" t="s">
        <v>759</v>
      </c>
      <c r="H271" s="148">
        <v>505000</v>
      </c>
      <c r="J271"/>
      <c r="K271"/>
      <c r="L271"/>
      <c r="M271"/>
      <c r="N271"/>
      <c r="O271"/>
      <c r="P271"/>
      <c r="Q271"/>
      <c r="R271"/>
      <c r="S271"/>
      <c r="T271"/>
    </row>
    <row r="272" spans="1:148" x14ac:dyDescent="0.25">
      <c r="A272" s="115">
        <v>269</v>
      </c>
      <c r="B272" s="145">
        <v>45337</v>
      </c>
      <c r="C272" s="146">
        <v>2024</v>
      </c>
      <c r="D272" s="118" t="s">
        <v>35</v>
      </c>
      <c r="E272" s="118" t="s">
        <v>839</v>
      </c>
      <c r="F272" s="147">
        <v>1</v>
      </c>
      <c r="G272" s="120" t="s">
        <v>759</v>
      </c>
      <c r="H272" s="148">
        <v>55000</v>
      </c>
      <c r="J272"/>
      <c r="K272"/>
      <c r="L272"/>
      <c r="M272"/>
      <c r="N272"/>
      <c r="O272"/>
      <c r="P272"/>
      <c r="Q272"/>
      <c r="R272"/>
      <c r="S272"/>
      <c r="T272"/>
    </row>
    <row r="273" spans="1:20" x14ac:dyDescent="0.25">
      <c r="A273" s="115">
        <v>270</v>
      </c>
      <c r="B273" s="145">
        <v>45337</v>
      </c>
      <c r="C273" s="146">
        <v>2024</v>
      </c>
      <c r="D273" s="118" t="s">
        <v>35</v>
      </c>
      <c r="E273" s="118" t="s">
        <v>880</v>
      </c>
      <c r="F273" s="147">
        <v>1</v>
      </c>
      <c r="G273" s="120" t="s">
        <v>759</v>
      </c>
      <c r="H273" s="148">
        <v>400000</v>
      </c>
      <c r="J273"/>
      <c r="K273"/>
      <c r="L273"/>
      <c r="M273"/>
      <c r="N273"/>
      <c r="O273"/>
      <c r="P273"/>
      <c r="Q273"/>
      <c r="R273"/>
      <c r="S273"/>
      <c r="T273"/>
    </row>
    <row r="274" spans="1:20" x14ac:dyDescent="0.25">
      <c r="A274" s="115">
        <v>271</v>
      </c>
      <c r="B274" s="145">
        <v>45337</v>
      </c>
      <c r="C274" s="146">
        <v>2024</v>
      </c>
      <c r="D274" s="118" t="s">
        <v>35</v>
      </c>
      <c r="E274" s="118" t="s">
        <v>880</v>
      </c>
      <c r="F274" s="147">
        <v>1</v>
      </c>
      <c r="G274" s="120" t="s">
        <v>759</v>
      </c>
      <c r="H274" s="148">
        <v>370000</v>
      </c>
      <c r="J274"/>
      <c r="K274"/>
      <c r="L274"/>
      <c r="M274"/>
      <c r="N274"/>
      <c r="O274"/>
      <c r="P274"/>
      <c r="Q274"/>
      <c r="R274"/>
      <c r="S274"/>
      <c r="T274"/>
    </row>
    <row r="275" spans="1:20" x14ac:dyDescent="0.25">
      <c r="A275" s="115">
        <v>272</v>
      </c>
      <c r="B275" s="145">
        <v>45337</v>
      </c>
      <c r="C275" s="146">
        <v>2024</v>
      </c>
      <c r="D275" s="118" t="s">
        <v>35</v>
      </c>
      <c r="E275" s="118" t="s">
        <v>115</v>
      </c>
      <c r="F275" s="147">
        <v>1</v>
      </c>
      <c r="G275" s="120" t="s">
        <v>759</v>
      </c>
      <c r="H275" s="148">
        <v>170000</v>
      </c>
      <c r="J275"/>
      <c r="K275"/>
      <c r="L275"/>
      <c r="M275"/>
      <c r="N275"/>
      <c r="O275"/>
      <c r="P275"/>
      <c r="Q275"/>
      <c r="R275"/>
      <c r="S275"/>
      <c r="T275"/>
    </row>
    <row r="276" spans="1:20" x14ac:dyDescent="0.25">
      <c r="A276" s="115">
        <v>273</v>
      </c>
      <c r="B276" s="145">
        <v>45337</v>
      </c>
      <c r="C276" s="146">
        <v>2024</v>
      </c>
      <c r="D276" s="118" t="s">
        <v>35</v>
      </c>
      <c r="E276" s="118" t="s">
        <v>876</v>
      </c>
      <c r="F276" s="147">
        <v>1</v>
      </c>
      <c r="G276" s="120" t="s">
        <v>759</v>
      </c>
      <c r="H276" s="148">
        <v>25000</v>
      </c>
      <c r="J276"/>
      <c r="K276"/>
      <c r="L276"/>
      <c r="M276"/>
      <c r="N276"/>
      <c r="O276"/>
      <c r="P276"/>
      <c r="Q276"/>
      <c r="R276"/>
      <c r="S276"/>
      <c r="T276"/>
    </row>
    <row r="277" spans="1:20" x14ac:dyDescent="0.25">
      <c r="A277" s="115">
        <v>274</v>
      </c>
      <c r="B277" s="145">
        <v>45337</v>
      </c>
      <c r="C277" s="146">
        <v>2024</v>
      </c>
      <c r="D277" s="118" t="s">
        <v>35</v>
      </c>
      <c r="E277" s="118" t="s">
        <v>881</v>
      </c>
      <c r="F277" s="147">
        <v>1</v>
      </c>
      <c r="G277" s="120" t="s">
        <v>759</v>
      </c>
      <c r="H277" s="148">
        <v>3000</v>
      </c>
      <c r="J277"/>
      <c r="K277"/>
      <c r="L277"/>
      <c r="M277"/>
      <c r="N277"/>
      <c r="O277"/>
      <c r="P277"/>
      <c r="Q277"/>
      <c r="R277"/>
      <c r="S277"/>
      <c r="T277"/>
    </row>
    <row r="278" spans="1:20" x14ac:dyDescent="0.25">
      <c r="A278" s="115">
        <v>275</v>
      </c>
      <c r="B278" s="145">
        <v>45337</v>
      </c>
      <c r="C278" s="146">
        <v>2024</v>
      </c>
      <c r="D278" s="118" t="s">
        <v>35</v>
      </c>
      <c r="E278" s="118" t="s">
        <v>881</v>
      </c>
      <c r="F278" s="147">
        <v>1</v>
      </c>
      <c r="G278" s="120" t="s">
        <v>759</v>
      </c>
      <c r="H278" s="148">
        <v>15000</v>
      </c>
      <c r="J278"/>
      <c r="K278"/>
      <c r="L278"/>
      <c r="M278"/>
      <c r="N278"/>
      <c r="O278"/>
      <c r="P278"/>
      <c r="Q278"/>
      <c r="R278"/>
      <c r="S278"/>
      <c r="T278"/>
    </row>
    <row r="279" spans="1:20" x14ac:dyDescent="0.25">
      <c r="A279" s="115">
        <v>276</v>
      </c>
      <c r="B279" s="145">
        <v>45337</v>
      </c>
      <c r="C279" s="146">
        <v>2024</v>
      </c>
      <c r="D279" s="118" t="s">
        <v>35</v>
      </c>
      <c r="E279" s="118" t="s">
        <v>882</v>
      </c>
      <c r="F279" s="147">
        <v>1</v>
      </c>
      <c r="G279" s="120" t="s">
        <v>759</v>
      </c>
      <c r="H279" s="148">
        <v>27500</v>
      </c>
      <c r="J279"/>
      <c r="K279"/>
      <c r="L279"/>
      <c r="M279"/>
      <c r="N279"/>
      <c r="O279"/>
      <c r="P279"/>
      <c r="Q279"/>
      <c r="R279"/>
      <c r="S279"/>
      <c r="T279"/>
    </row>
    <row r="280" spans="1:20" x14ac:dyDescent="0.25">
      <c r="A280" s="115">
        <v>277</v>
      </c>
      <c r="B280" s="145">
        <v>45337</v>
      </c>
      <c r="C280" s="146">
        <v>2024</v>
      </c>
      <c r="D280" s="118" t="s">
        <v>35</v>
      </c>
      <c r="E280" s="118" t="s">
        <v>874</v>
      </c>
      <c r="F280" s="147">
        <v>1</v>
      </c>
      <c r="G280" s="120" t="s">
        <v>759</v>
      </c>
      <c r="H280" s="148">
        <v>550000</v>
      </c>
      <c r="J280"/>
      <c r="K280"/>
      <c r="L280"/>
      <c r="M280"/>
      <c r="N280"/>
      <c r="O280"/>
      <c r="P280"/>
      <c r="Q280"/>
      <c r="R280"/>
      <c r="S280"/>
      <c r="T280"/>
    </row>
    <row r="281" spans="1:20" x14ac:dyDescent="0.25">
      <c r="A281" s="115">
        <v>278</v>
      </c>
      <c r="B281" s="145">
        <v>45337</v>
      </c>
      <c r="C281" s="146">
        <v>2024</v>
      </c>
      <c r="D281" s="118" t="s">
        <v>35</v>
      </c>
      <c r="E281" s="118" t="s">
        <v>883</v>
      </c>
      <c r="F281" s="147">
        <v>1</v>
      </c>
      <c r="G281" s="120" t="s">
        <v>759</v>
      </c>
      <c r="H281" s="148">
        <v>370000</v>
      </c>
      <c r="J281"/>
      <c r="K281"/>
      <c r="L281"/>
      <c r="M281"/>
      <c r="N281"/>
      <c r="O281"/>
      <c r="P281"/>
      <c r="Q281"/>
      <c r="R281"/>
      <c r="S281"/>
      <c r="T281"/>
    </row>
    <row r="282" spans="1:20" x14ac:dyDescent="0.25">
      <c r="A282" s="115">
        <v>279</v>
      </c>
      <c r="B282" s="145">
        <v>45337</v>
      </c>
      <c r="C282" s="146">
        <v>2024</v>
      </c>
      <c r="D282" s="118" t="s">
        <v>35</v>
      </c>
      <c r="E282" s="118" t="s">
        <v>800</v>
      </c>
      <c r="F282" s="147">
        <v>1</v>
      </c>
      <c r="G282" s="120" t="s">
        <v>759</v>
      </c>
      <c r="H282" s="148">
        <v>165000</v>
      </c>
      <c r="J282"/>
      <c r="K282"/>
      <c r="L282"/>
      <c r="M282"/>
      <c r="N282"/>
      <c r="O282"/>
      <c r="P282"/>
      <c r="Q282"/>
      <c r="R282"/>
      <c r="S282"/>
      <c r="T282"/>
    </row>
    <row r="283" spans="1:20" x14ac:dyDescent="0.25">
      <c r="A283" s="115">
        <v>280</v>
      </c>
      <c r="B283" s="155">
        <v>45337</v>
      </c>
      <c r="C283" s="146">
        <v>2024</v>
      </c>
      <c r="D283" s="118" t="s">
        <v>35</v>
      </c>
      <c r="E283" s="118" t="s">
        <v>884</v>
      </c>
      <c r="F283" s="147">
        <v>1</v>
      </c>
      <c r="G283" s="120" t="s">
        <v>759</v>
      </c>
      <c r="H283" s="148">
        <v>130000</v>
      </c>
      <c r="J283"/>
      <c r="K283"/>
      <c r="L283"/>
      <c r="M283"/>
      <c r="N283"/>
      <c r="O283"/>
      <c r="P283"/>
      <c r="Q283"/>
      <c r="R283"/>
      <c r="S283"/>
      <c r="T283"/>
    </row>
    <row r="284" spans="1:20" x14ac:dyDescent="0.25">
      <c r="A284" s="115">
        <v>281</v>
      </c>
      <c r="B284" s="155">
        <v>45337</v>
      </c>
      <c r="C284" s="146">
        <v>2024</v>
      </c>
      <c r="D284" s="118" t="s">
        <v>35</v>
      </c>
      <c r="E284" s="118" t="s">
        <v>885</v>
      </c>
      <c r="F284" s="147">
        <v>1</v>
      </c>
      <c r="G284" s="120" t="s">
        <v>759</v>
      </c>
      <c r="H284" s="148">
        <v>200000</v>
      </c>
      <c r="J284"/>
      <c r="K284"/>
      <c r="L284"/>
      <c r="M284"/>
      <c r="N284"/>
      <c r="O284"/>
      <c r="P284"/>
      <c r="Q284"/>
      <c r="R284"/>
      <c r="S284"/>
      <c r="T284"/>
    </row>
    <row r="285" spans="1:20" x14ac:dyDescent="0.25">
      <c r="A285" s="115">
        <v>282</v>
      </c>
      <c r="B285" s="145">
        <v>45337</v>
      </c>
      <c r="C285" s="146">
        <v>2024</v>
      </c>
      <c r="D285" s="118" t="s">
        <v>35</v>
      </c>
      <c r="E285" s="118" t="s">
        <v>880</v>
      </c>
      <c r="F285" s="147">
        <v>1</v>
      </c>
      <c r="G285" s="120" t="s">
        <v>759</v>
      </c>
      <c r="H285" s="148">
        <v>385000</v>
      </c>
      <c r="J285"/>
      <c r="K285"/>
      <c r="L285"/>
      <c r="M285"/>
      <c r="N285"/>
      <c r="O285"/>
      <c r="P285"/>
      <c r="Q285"/>
      <c r="R285"/>
      <c r="S285"/>
      <c r="T285"/>
    </row>
    <row r="286" spans="1:20" x14ac:dyDescent="0.25">
      <c r="A286" s="115">
        <v>283</v>
      </c>
      <c r="B286" s="145">
        <v>45337</v>
      </c>
      <c r="C286" s="146">
        <v>2024</v>
      </c>
      <c r="D286" s="118" t="s">
        <v>35</v>
      </c>
      <c r="E286" s="118" t="s">
        <v>886</v>
      </c>
      <c r="F286" s="147">
        <v>1</v>
      </c>
      <c r="G286" s="120" t="s">
        <v>759</v>
      </c>
      <c r="H286" s="148">
        <v>1500</v>
      </c>
      <c r="J286"/>
      <c r="K286"/>
      <c r="L286"/>
      <c r="M286"/>
      <c r="N286"/>
      <c r="O286"/>
      <c r="P286"/>
      <c r="Q286"/>
      <c r="R286"/>
      <c r="S286"/>
      <c r="T286"/>
    </row>
    <row r="287" spans="1:20" x14ac:dyDescent="0.25">
      <c r="A287" s="115">
        <v>284</v>
      </c>
      <c r="B287" s="145">
        <v>45337</v>
      </c>
      <c r="C287" s="146">
        <v>2024</v>
      </c>
      <c r="D287" s="118" t="s">
        <v>35</v>
      </c>
      <c r="E287" s="118" t="s">
        <v>887</v>
      </c>
      <c r="F287" s="147">
        <v>1</v>
      </c>
      <c r="G287" s="120" t="s">
        <v>759</v>
      </c>
      <c r="H287" s="148">
        <v>25000</v>
      </c>
      <c r="J287"/>
      <c r="K287"/>
      <c r="L287"/>
      <c r="M287"/>
      <c r="N287"/>
      <c r="O287"/>
      <c r="P287"/>
      <c r="Q287"/>
      <c r="R287"/>
      <c r="S287"/>
      <c r="T287"/>
    </row>
    <row r="288" spans="1:20" x14ac:dyDescent="0.25">
      <c r="A288" s="115">
        <v>285</v>
      </c>
      <c r="B288" s="145">
        <v>45337</v>
      </c>
      <c r="C288" s="146">
        <v>2024</v>
      </c>
      <c r="D288" s="118" t="s">
        <v>35</v>
      </c>
      <c r="E288" s="118" t="s">
        <v>888</v>
      </c>
      <c r="F288" s="147">
        <v>1</v>
      </c>
      <c r="G288" s="120" t="s">
        <v>759</v>
      </c>
      <c r="H288" s="148">
        <v>15000</v>
      </c>
      <c r="J288"/>
      <c r="K288"/>
      <c r="L288"/>
      <c r="M288"/>
      <c r="N288"/>
      <c r="O288"/>
      <c r="P288"/>
      <c r="Q288"/>
      <c r="R288"/>
      <c r="S288"/>
      <c r="T288"/>
    </row>
    <row r="289" spans="1:20" x14ac:dyDescent="0.25">
      <c r="A289" s="115">
        <v>286</v>
      </c>
      <c r="B289" s="145">
        <v>45337</v>
      </c>
      <c r="C289" s="146">
        <v>2024</v>
      </c>
      <c r="D289" s="118" t="s">
        <v>35</v>
      </c>
      <c r="E289" s="118" t="s">
        <v>889</v>
      </c>
      <c r="F289" s="147">
        <v>1</v>
      </c>
      <c r="G289" s="120" t="s">
        <v>759</v>
      </c>
      <c r="H289" s="148">
        <v>25000</v>
      </c>
      <c r="J289"/>
      <c r="K289"/>
      <c r="L289"/>
      <c r="M289"/>
      <c r="N289"/>
      <c r="O289"/>
      <c r="P289"/>
      <c r="Q289"/>
      <c r="R289"/>
      <c r="S289"/>
      <c r="T289"/>
    </row>
    <row r="290" spans="1:20" x14ac:dyDescent="0.25">
      <c r="A290" s="115">
        <v>287</v>
      </c>
      <c r="B290" s="155">
        <v>45337</v>
      </c>
      <c r="C290" s="146">
        <v>2024</v>
      </c>
      <c r="D290" s="118" t="s">
        <v>35</v>
      </c>
      <c r="E290" s="118" t="s">
        <v>858</v>
      </c>
      <c r="F290" s="147">
        <v>1</v>
      </c>
      <c r="G290" s="120" t="s">
        <v>759</v>
      </c>
      <c r="H290" s="148">
        <v>7500</v>
      </c>
      <c r="J290"/>
      <c r="K290"/>
      <c r="L290"/>
      <c r="M290"/>
      <c r="N290"/>
      <c r="O290"/>
      <c r="P290"/>
      <c r="Q290"/>
      <c r="R290"/>
      <c r="S290"/>
      <c r="T290"/>
    </row>
    <row r="291" spans="1:20" x14ac:dyDescent="0.25">
      <c r="A291" s="115">
        <v>288</v>
      </c>
      <c r="B291" s="145">
        <v>45337</v>
      </c>
      <c r="C291" s="146">
        <v>2024</v>
      </c>
      <c r="D291" s="118" t="s">
        <v>35</v>
      </c>
      <c r="E291" s="118" t="s">
        <v>890</v>
      </c>
      <c r="F291" s="147">
        <v>1</v>
      </c>
      <c r="G291" s="120" t="s">
        <v>759</v>
      </c>
      <c r="H291" s="148">
        <v>65000</v>
      </c>
      <c r="J291"/>
      <c r="K291"/>
      <c r="L291"/>
      <c r="M291"/>
      <c r="N291"/>
      <c r="O291"/>
      <c r="P291"/>
      <c r="Q291"/>
      <c r="R291"/>
      <c r="S291"/>
      <c r="T291"/>
    </row>
    <row r="292" spans="1:20" x14ac:dyDescent="0.25">
      <c r="A292" s="115">
        <v>291</v>
      </c>
      <c r="B292" s="145">
        <v>45337</v>
      </c>
      <c r="C292" s="146">
        <v>2024</v>
      </c>
      <c r="D292" s="118" t="s">
        <v>35</v>
      </c>
      <c r="E292" s="118" t="s">
        <v>891</v>
      </c>
      <c r="F292" s="147">
        <v>1</v>
      </c>
      <c r="G292" s="120" t="s">
        <v>759</v>
      </c>
      <c r="H292" s="148">
        <v>30000</v>
      </c>
      <c r="J292"/>
      <c r="K292"/>
      <c r="L292"/>
      <c r="M292"/>
      <c r="N292"/>
      <c r="O292"/>
      <c r="P292"/>
      <c r="Q292"/>
      <c r="R292"/>
      <c r="S292"/>
      <c r="T292"/>
    </row>
    <row r="293" spans="1:20" x14ac:dyDescent="0.25">
      <c r="A293" s="115">
        <v>292</v>
      </c>
      <c r="B293" s="145">
        <v>45337</v>
      </c>
      <c r="C293" s="146">
        <v>2024</v>
      </c>
      <c r="D293" s="118" t="s">
        <v>35</v>
      </c>
      <c r="E293" s="118" t="s">
        <v>839</v>
      </c>
      <c r="F293" s="147">
        <v>1</v>
      </c>
      <c r="G293" s="120" t="s">
        <v>759</v>
      </c>
      <c r="H293" s="148">
        <v>55000</v>
      </c>
      <c r="J293"/>
      <c r="K293"/>
      <c r="L293"/>
      <c r="M293"/>
      <c r="N293"/>
      <c r="O293"/>
      <c r="P293"/>
      <c r="Q293"/>
      <c r="R293"/>
      <c r="S293"/>
      <c r="T293"/>
    </row>
    <row r="294" spans="1:20" x14ac:dyDescent="0.25">
      <c r="A294" s="115">
        <v>293</v>
      </c>
      <c r="B294" s="145">
        <v>45338</v>
      </c>
      <c r="C294" s="146">
        <v>2024</v>
      </c>
      <c r="D294" s="118" t="s">
        <v>35</v>
      </c>
      <c r="E294" s="118" t="s">
        <v>892</v>
      </c>
      <c r="F294" s="147">
        <v>1</v>
      </c>
      <c r="G294" s="120" t="s">
        <v>759</v>
      </c>
      <c r="H294" s="148">
        <v>60000</v>
      </c>
      <c r="J294"/>
      <c r="K294"/>
      <c r="L294"/>
      <c r="M294"/>
      <c r="N294"/>
      <c r="O294"/>
      <c r="P294"/>
      <c r="Q294"/>
      <c r="R294"/>
      <c r="S294"/>
      <c r="T294"/>
    </row>
    <row r="295" spans="1:20" x14ac:dyDescent="0.25">
      <c r="A295" s="115">
        <v>294</v>
      </c>
      <c r="B295" s="145">
        <v>45338</v>
      </c>
      <c r="C295" s="146">
        <v>2024</v>
      </c>
      <c r="D295" s="118" t="s">
        <v>35</v>
      </c>
      <c r="E295" s="118" t="s">
        <v>893</v>
      </c>
      <c r="F295" s="147">
        <v>1</v>
      </c>
      <c r="G295" s="120" t="s">
        <v>759</v>
      </c>
      <c r="H295" s="148">
        <v>100000</v>
      </c>
      <c r="J295"/>
      <c r="K295"/>
      <c r="L295"/>
      <c r="M295"/>
      <c r="N295"/>
      <c r="O295"/>
      <c r="P295"/>
      <c r="Q295"/>
      <c r="R295"/>
      <c r="S295"/>
      <c r="T295"/>
    </row>
    <row r="296" spans="1:20" x14ac:dyDescent="0.25">
      <c r="A296" s="115">
        <v>295</v>
      </c>
      <c r="B296" s="145">
        <v>45338</v>
      </c>
      <c r="C296" s="146">
        <v>2024</v>
      </c>
      <c r="D296" s="118" t="s">
        <v>35</v>
      </c>
      <c r="E296" s="118" t="s">
        <v>894</v>
      </c>
      <c r="F296" s="147">
        <v>1</v>
      </c>
      <c r="G296" s="120" t="s">
        <v>759</v>
      </c>
      <c r="H296" s="148">
        <v>75000</v>
      </c>
      <c r="J296"/>
      <c r="K296"/>
      <c r="L296"/>
      <c r="M296"/>
      <c r="N296"/>
      <c r="O296"/>
      <c r="P296"/>
      <c r="Q296"/>
      <c r="R296"/>
      <c r="S296"/>
      <c r="T296"/>
    </row>
    <row r="297" spans="1:20" x14ac:dyDescent="0.25">
      <c r="A297" s="115">
        <v>296</v>
      </c>
      <c r="B297" s="145">
        <v>45338</v>
      </c>
      <c r="C297" s="146">
        <v>2024</v>
      </c>
      <c r="D297" s="118" t="s">
        <v>35</v>
      </c>
      <c r="E297" s="118" t="s">
        <v>895</v>
      </c>
      <c r="F297" s="147">
        <v>1</v>
      </c>
      <c r="G297" s="120" t="s">
        <v>759</v>
      </c>
      <c r="H297" s="148">
        <v>150000</v>
      </c>
      <c r="J297"/>
      <c r="K297"/>
      <c r="L297"/>
      <c r="M297"/>
      <c r="N297"/>
      <c r="O297"/>
      <c r="P297"/>
      <c r="Q297"/>
      <c r="R297"/>
      <c r="S297"/>
      <c r="T297"/>
    </row>
    <row r="298" spans="1:20" x14ac:dyDescent="0.25">
      <c r="A298" s="115">
        <v>297</v>
      </c>
      <c r="B298" s="145">
        <v>45338</v>
      </c>
      <c r="C298" s="146">
        <v>2024</v>
      </c>
      <c r="D298" s="118" t="s">
        <v>35</v>
      </c>
      <c r="E298" s="118" t="s">
        <v>896</v>
      </c>
      <c r="F298" s="147">
        <v>1</v>
      </c>
      <c r="G298" s="120" t="s">
        <v>759</v>
      </c>
      <c r="H298" s="148">
        <v>425000</v>
      </c>
      <c r="J298"/>
      <c r="K298"/>
      <c r="L298"/>
      <c r="M298"/>
      <c r="N298"/>
      <c r="O298"/>
      <c r="P298"/>
      <c r="Q298"/>
      <c r="R298"/>
      <c r="S298"/>
      <c r="T298"/>
    </row>
    <row r="299" spans="1:20" x14ac:dyDescent="0.25">
      <c r="A299" s="115">
        <v>298</v>
      </c>
      <c r="B299" s="145">
        <v>45338</v>
      </c>
      <c r="C299" s="146">
        <v>2024</v>
      </c>
      <c r="D299" s="118" t="s">
        <v>35</v>
      </c>
      <c r="E299" s="118" t="s">
        <v>808</v>
      </c>
      <c r="F299" s="147">
        <v>1</v>
      </c>
      <c r="G299" s="120" t="s">
        <v>759</v>
      </c>
      <c r="H299" s="148">
        <v>50000</v>
      </c>
      <c r="J299"/>
      <c r="K299"/>
      <c r="L299"/>
      <c r="M299"/>
      <c r="N299"/>
      <c r="O299"/>
      <c r="P299"/>
      <c r="Q299"/>
      <c r="R299"/>
      <c r="S299"/>
      <c r="T299"/>
    </row>
    <row r="300" spans="1:20" x14ac:dyDescent="0.25">
      <c r="A300" s="115">
        <v>299</v>
      </c>
      <c r="B300" s="145">
        <v>45338</v>
      </c>
      <c r="C300" s="146">
        <v>2024</v>
      </c>
      <c r="D300" s="118" t="s">
        <v>35</v>
      </c>
      <c r="E300" s="118" t="s">
        <v>897</v>
      </c>
      <c r="F300" s="147">
        <v>1</v>
      </c>
      <c r="G300" s="120" t="s">
        <v>759</v>
      </c>
      <c r="H300" s="148">
        <v>125000</v>
      </c>
      <c r="J300"/>
      <c r="K300"/>
      <c r="L300"/>
      <c r="M300"/>
      <c r="N300"/>
      <c r="O300"/>
      <c r="P300"/>
      <c r="Q300"/>
      <c r="R300"/>
      <c r="S300"/>
      <c r="T300"/>
    </row>
    <row r="301" spans="1:20" x14ac:dyDescent="0.25">
      <c r="A301" s="115">
        <v>300</v>
      </c>
      <c r="B301" s="145">
        <v>45338</v>
      </c>
      <c r="C301" s="146">
        <v>2024</v>
      </c>
      <c r="D301" s="118" t="s">
        <v>35</v>
      </c>
      <c r="E301" s="118" t="s">
        <v>898</v>
      </c>
      <c r="F301" s="147">
        <v>1</v>
      </c>
      <c r="G301" s="120" t="s">
        <v>759</v>
      </c>
      <c r="H301" s="148">
        <v>25000</v>
      </c>
      <c r="J301"/>
      <c r="K301"/>
      <c r="L301"/>
      <c r="M301"/>
      <c r="N301"/>
      <c r="O301"/>
      <c r="P301"/>
      <c r="Q301"/>
      <c r="R301"/>
      <c r="S301"/>
      <c r="T301"/>
    </row>
    <row r="302" spans="1:20" x14ac:dyDescent="0.25">
      <c r="A302" s="115">
        <v>301</v>
      </c>
      <c r="B302" s="145">
        <v>45338</v>
      </c>
      <c r="C302" s="146">
        <v>2024</v>
      </c>
      <c r="D302" s="118" t="s">
        <v>35</v>
      </c>
      <c r="E302" s="118" t="s">
        <v>898</v>
      </c>
      <c r="F302" s="147">
        <v>1</v>
      </c>
      <c r="G302" s="120" t="s">
        <v>759</v>
      </c>
      <c r="H302" s="148">
        <v>60000</v>
      </c>
      <c r="J302"/>
      <c r="K302"/>
      <c r="L302"/>
      <c r="M302"/>
      <c r="N302"/>
      <c r="O302"/>
      <c r="P302"/>
      <c r="Q302"/>
      <c r="R302"/>
      <c r="S302"/>
      <c r="T302"/>
    </row>
    <row r="303" spans="1:20" x14ac:dyDescent="0.25">
      <c r="A303" s="115">
        <v>302</v>
      </c>
      <c r="B303" s="145">
        <v>45338</v>
      </c>
      <c r="C303" s="146">
        <v>2024</v>
      </c>
      <c r="D303" s="118" t="s">
        <v>35</v>
      </c>
      <c r="E303" s="118" t="s">
        <v>899</v>
      </c>
      <c r="F303" s="147">
        <v>1</v>
      </c>
      <c r="G303" s="120" t="s">
        <v>759</v>
      </c>
      <c r="H303" s="148">
        <v>450000</v>
      </c>
      <c r="J303"/>
      <c r="K303"/>
      <c r="L303"/>
      <c r="M303"/>
      <c r="N303"/>
      <c r="O303"/>
      <c r="P303"/>
      <c r="Q303"/>
      <c r="R303"/>
      <c r="S303"/>
      <c r="T303"/>
    </row>
    <row r="304" spans="1:20" x14ac:dyDescent="0.25">
      <c r="A304" s="115">
        <v>303</v>
      </c>
      <c r="B304" s="145">
        <v>45338</v>
      </c>
      <c r="C304" s="146">
        <v>2024</v>
      </c>
      <c r="D304" s="118" t="s">
        <v>35</v>
      </c>
      <c r="E304" s="118" t="s">
        <v>898</v>
      </c>
      <c r="F304" s="147">
        <v>1</v>
      </c>
      <c r="G304" s="120" t="s">
        <v>759</v>
      </c>
      <c r="H304" s="148">
        <v>425000</v>
      </c>
      <c r="J304"/>
      <c r="K304"/>
      <c r="L304"/>
      <c r="M304"/>
      <c r="N304"/>
      <c r="O304"/>
      <c r="P304"/>
      <c r="Q304"/>
      <c r="R304"/>
      <c r="S304"/>
      <c r="T304"/>
    </row>
    <row r="305" spans="1:20" x14ac:dyDescent="0.25">
      <c r="A305" s="115">
        <v>304</v>
      </c>
      <c r="B305" s="145">
        <v>45338</v>
      </c>
      <c r="C305" s="146">
        <v>2024</v>
      </c>
      <c r="D305" s="118" t="s">
        <v>35</v>
      </c>
      <c r="E305" s="118" t="s">
        <v>900</v>
      </c>
      <c r="F305" s="147">
        <v>1</v>
      </c>
      <c r="G305" s="120" t="s">
        <v>759</v>
      </c>
      <c r="H305" s="148">
        <v>250000</v>
      </c>
      <c r="J305"/>
      <c r="K305"/>
      <c r="L305"/>
      <c r="M305"/>
      <c r="N305"/>
      <c r="O305"/>
      <c r="P305"/>
      <c r="Q305"/>
      <c r="R305"/>
      <c r="S305"/>
      <c r="T305"/>
    </row>
    <row r="306" spans="1:20" x14ac:dyDescent="0.25">
      <c r="A306" s="115">
        <v>305</v>
      </c>
      <c r="B306" s="145">
        <v>45338</v>
      </c>
      <c r="C306" s="146">
        <v>2024</v>
      </c>
      <c r="D306" s="118" t="s">
        <v>35</v>
      </c>
      <c r="E306" s="118" t="s">
        <v>901</v>
      </c>
      <c r="F306" s="147">
        <v>1</v>
      </c>
      <c r="G306" s="120" t="s">
        <v>759</v>
      </c>
      <c r="H306" s="148">
        <v>150000</v>
      </c>
      <c r="J306"/>
      <c r="K306"/>
      <c r="L306"/>
      <c r="M306"/>
      <c r="N306"/>
      <c r="O306"/>
      <c r="P306"/>
      <c r="Q306"/>
      <c r="R306"/>
      <c r="S306"/>
      <c r="T306"/>
    </row>
    <row r="307" spans="1:20" x14ac:dyDescent="0.25">
      <c r="A307" s="115">
        <v>306</v>
      </c>
      <c r="B307" s="145">
        <v>45338</v>
      </c>
      <c r="C307" s="146">
        <v>2024</v>
      </c>
      <c r="D307" s="118" t="s">
        <v>35</v>
      </c>
      <c r="E307" s="118" t="s">
        <v>902</v>
      </c>
      <c r="F307" s="147">
        <v>1</v>
      </c>
      <c r="G307" s="120" t="s">
        <v>759</v>
      </c>
      <c r="H307" s="148">
        <v>575000</v>
      </c>
      <c r="J307"/>
      <c r="K307"/>
      <c r="L307"/>
      <c r="M307"/>
      <c r="N307"/>
      <c r="O307"/>
      <c r="P307"/>
      <c r="Q307"/>
      <c r="R307"/>
      <c r="S307"/>
      <c r="T307"/>
    </row>
    <row r="308" spans="1:20" x14ac:dyDescent="0.25">
      <c r="A308" s="115">
        <v>307</v>
      </c>
      <c r="B308" s="145">
        <v>45338</v>
      </c>
      <c r="C308" s="146">
        <v>2024</v>
      </c>
      <c r="D308" s="118" t="s">
        <v>35</v>
      </c>
      <c r="E308" s="118" t="s">
        <v>811</v>
      </c>
      <c r="F308" s="147">
        <v>1</v>
      </c>
      <c r="G308" s="120" t="s">
        <v>759</v>
      </c>
      <c r="H308" s="148">
        <v>60000</v>
      </c>
      <c r="J308"/>
      <c r="K308"/>
      <c r="L308"/>
      <c r="M308"/>
      <c r="N308"/>
      <c r="O308"/>
      <c r="P308"/>
      <c r="Q308"/>
      <c r="R308"/>
      <c r="S308"/>
      <c r="T308"/>
    </row>
    <row r="309" spans="1:20" x14ac:dyDescent="0.25">
      <c r="A309" s="115">
        <v>308</v>
      </c>
      <c r="B309" s="145">
        <v>45338</v>
      </c>
      <c r="C309" s="146">
        <v>2024</v>
      </c>
      <c r="D309" s="118" t="s">
        <v>35</v>
      </c>
      <c r="E309" s="118" t="s">
        <v>694</v>
      </c>
      <c r="F309" s="147">
        <v>1</v>
      </c>
      <c r="G309" s="120" t="s">
        <v>759</v>
      </c>
      <c r="H309" s="148">
        <v>200000</v>
      </c>
      <c r="J309"/>
      <c r="K309"/>
      <c r="L309"/>
      <c r="M309"/>
      <c r="N309"/>
      <c r="O309"/>
      <c r="P309"/>
      <c r="Q309"/>
      <c r="R309"/>
      <c r="S309"/>
      <c r="T309"/>
    </row>
    <row r="310" spans="1:20" x14ac:dyDescent="0.25">
      <c r="A310" s="115">
        <v>309</v>
      </c>
      <c r="B310" s="145">
        <v>45338</v>
      </c>
      <c r="C310" s="146">
        <v>2024</v>
      </c>
      <c r="D310" s="118" t="s">
        <v>35</v>
      </c>
      <c r="E310" s="118" t="s">
        <v>903</v>
      </c>
      <c r="F310" s="147">
        <v>1</v>
      </c>
      <c r="G310" s="120" t="s">
        <v>759</v>
      </c>
      <c r="H310" s="148">
        <v>175000</v>
      </c>
      <c r="J310"/>
      <c r="K310"/>
      <c r="L310"/>
      <c r="M310"/>
      <c r="N310"/>
      <c r="O310"/>
      <c r="P310"/>
      <c r="Q310"/>
      <c r="R310"/>
      <c r="S310"/>
      <c r="T310"/>
    </row>
    <row r="311" spans="1:20" x14ac:dyDescent="0.25">
      <c r="A311" s="115">
        <v>310</v>
      </c>
      <c r="B311" s="145">
        <v>45338</v>
      </c>
      <c r="C311" s="146">
        <v>2024</v>
      </c>
      <c r="D311" s="118" t="s">
        <v>35</v>
      </c>
      <c r="E311" s="118" t="s">
        <v>904</v>
      </c>
      <c r="F311" s="147">
        <v>1</v>
      </c>
      <c r="G311" s="120" t="s">
        <v>759</v>
      </c>
      <c r="H311" s="148">
        <v>250000</v>
      </c>
      <c r="J311"/>
      <c r="K311"/>
      <c r="L311"/>
      <c r="M311"/>
      <c r="N311"/>
      <c r="O311"/>
      <c r="P311"/>
      <c r="Q311"/>
      <c r="R311"/>
      <c r="S311"/>
      <c r="T311"/>
    </row>
    <row r="312" spans="1:20" x14ac:dyDescent="0.25">
      <c r="A312" s="115">
        <v>311</v>
      </c>
      <c r="B312" s="145">
        <v>45338</v>
      </c>
      <c r="C312" s="146">
        <v>2024</v>
      </c>
      <c r="D312" s="118" t="s">
        <v>35</v>
      </c>
      <c r="E312" s="118" t="s">
        <v>905</v>
      </c>
      <c r="F312" s="147">
        <v>1</v>
      </c>
      <c r="G312" s="120" t="s">
        <v>759</v>
      </c>
      <c r="H312" s="148">
        <v>100000</v>
      </c>
      <c r="J312"/>
      <c r="K312"/>
      <c r="L312"/>
      <c r="M312"/>
      <c r="N312"/>
      <c r="O312"/>
      <c r="P312"/>
      <c r="Q312"/>
      <c r="R312"/>
      <c r="S312"/>
      <c r="T312"/>
    </row>
    <row r="313" spans="1:20" x14ac:dyDescent="0.25">
      <c r="A313" s="115">
        <v>312</v>
      </c>
      <c r="B313" s="145">
        <v>45338</v>
      </c>
      <c r="C313" s="146">
        <v>2024</v>
      </c>
      <c r="D313" s="118" t="s">
        <v>35</v>
      </c>
      <c r="E313" s="118" t="s">
        <v>906</v>
      </c>
      <c r="F313" s="147">
        <v>1</v>
      </c>
      <c r="G313" s="120" t="s">
        <v>759</v>
      </c>
      <c r="H313" s="148">
        <v>150000</v>
      </c>
      <c r="J313"/>
      <c r="K313"/>
      <c r="L313"/>
      <c r="M313"/>
      <c r="N313"/>
      <c r="O313"/>
      <c r="P313"/>
      <c r="Q313"/>
      <c r="R313"/>
      <c r="S313"/>
      <c r="T313"/>
    </row>
    <row r="314" spans="1:20" x14ac:dyDescent="0.25">
      <c r="A314" s="115">
        <v>313</v>
      </c>
      <c r="B314" s="145">
        <v>45338</v>
      </c>
      <c r="C314" s="146">
        <v>2024</v>
      </c>
      <c r="D314" s="118" t="s">
        <v>35</v>
      </c>
      <c r="E314" s="118" t="s">
        <v>694</v>
      </c>
      <c r="F314" s="147">
        <v>1</v>
      </c>
      <c r="G314" s="120" t="s">
        <v>759</v>
      </c>
      <c r="H314" s="148">
        <v>175000</v>
      </c>
      <c r="J314"/>
      <c r="K314"/>
      <c r="L314"/>
      <c r="M314"/>
      <c r="N314"/>
      <c r="O314"/>
      <c r="P314"/>
      <c r="Q314"/>
      <c r="R314"/>
      <c r="S314"/>
      <c r="T314"/>
    </row>
    <row r="315" spans="1:20" x14ac:dyDescent="0.25">
      <c r="A315" s="115">
        <v>314</v>
      </c>
      <c r="B315" s="145">
        <v>45338</v>
      </c>
      <c r="C315" s="146">
        <v>2024</v>
      </c>
      <c r="D315" s="118" t="s">
        <v>35</v>
      </c>
      <c r="E315" s="118" t="s">
        <v>907</v>
      </c>
      <c r="F315" s="147">
        <v>1</v>
      </c>
      <c r="G315" s="120" t="s">
        <v>759</v>
      </c>
      <c r="H315" s="148">
        <v>250000</v>
      </c>
      <c r="J315"/>
      <c r="K315"/>
      <c r="L315"/>
      <c r="M315"/>
      <c r="N315"/>
      <c r="O315"/>
      <c r="P315"/>
      <c r="Q315"/>
      <c r="R315"/>
      <c r="S315"/>
      <c r="T315"/>
    </row>
    <row r="316" spans="1:20" x14ac:dyDescent="0.25">
      <c r="A316" s="115">
        <v>315</v>
      </c>
      <c r="B316" s="145">
        <v>45338</v>
      </c>
      <c r="C316" s="146">
        <v>2024</v>
      </c>
      <c r="D316" s="118" t="s">
        <v>35</v>
      </c>
      <c r="E316" s="118" t="s">
        <v>908</v>
      </c>
      <c r="F316" s="147">
        <v>1</v>
      </c>
      <c r="G316" s="120" t="s">
        <v>759</v>
      </c>
      <c r="H316" s="148">
        <v>250000</v>
      </c>
      <c r="J316"/>
      <c r="K316"/>
      <c r="L316"/>
      <c r="M316"/>
      <c r="N316"/>
      <c r="O316"/>
      <c r="P316"/>
      <c r="Q316"/>
      <c r="R316"/>
      <c r="S316"/>
      <c r="T316"/>
    </row>
    <row r="317" spans="1:20" x14ac:dyDescent="0.25">
      <c r="A317" s="115">
        <v>316</v>
      </c>
      <c r="B317" s="145">
        <v>45338</v>
      </c>
      <c r="C317" s="146">
        <v>2024</v>
      </c>
      <c r="D317" s="118" t="s">
        <v>35</v>
      </c>
      <c r="E317" s="118" t="s">
        <v>808</v>
      </c>
      <c r="F317" s="147">
        <v>1</v>
      </c>
      <c r="G317" s="120" t="s">
        <v>759</v>
      </c>
      <c r="H317" s="148">
        <v>150000</v>
      </c>
      <c r="J317"/>
      <c r="K317"/>
      <c r="L317"/>
      <c r="M317"/>
      <c r="N317"/>
      <c r="O317"/>
      <c r="P317"/>
      <c r="Q317"/>
      <c r="R317"/>
      <c r="S317"/>
      <c r="T317"/>
    </row>
    <row r="318" spans="1:20" x14ac:dyDescent="0.25">
      <c r="A318" s="115">
        <v>317</v>
      </c>
      <c r="B318" s="145">
        <v>45338</v>
      </c>
      <c r="C318" s="146">
        <v>2024</v>
      </c>
      <c r="D318" s="118" t="s">
        <v>35</v>
      </c>
      <c r="E318" s="118" t="s">
        <v>909</v>
      </c>
      <c r="F318" s="147">
        <v>1</v>
      </c>
      <c r="G318" s="120" t="s">
        <v>759</v>
      </c>
      <c r="H318" s="148">
        <v>250000</v>
      </c>
      <c r="J318"/>
      <c r="K318"/>
      <c r="L318"/>
      <c r="M318"/>
      <c r="N318"/>
      <c r="O318"/>
      <c r="P318"/>
      <c r="Q318"/>
      <c r="R318"/>
      <c r="S318"/>
      <c r="T318"/>
    </row>
    <row r="319" spans="1:20" x14ac:dyDescent="0.25">
      <c r="A319" s="115">
        <v>318</v>
      </c>
      <c r="B319" s="145">
        <v>45338</v>
      </c>
      <c r="C319" s="146">
        <v>2024</v>
      </c>
      <c r="D319" s="118" t="s">
        <v>35</v>
      </c>
      <c r="E319" s="118" t="s">
        <v>910</v>
      </c>
      <c r="F319" s="147">
        <v>1</v>
      </c>
      <c r="G319" s="120" t="s">
        <v>759</v>
      </c>
      <c r="H319" s="148">
        <v>100000</v>
      </c>
      <c r="J319"/>
      <c r="K319"/>
      <c r="L319"/>
      <c r="M319"/>
      <c r="N319"/>
      <c r="O319"/>
      <c r="P319"/>
      <c r="Q319"/>
      <c r="R319"/>
      <c r="S319"/>
      <c r="T319"/>
    </row>
    <row r="320" spans="1:20" x14ac:dyDescent="0.25">
      <c r="A320" s="115">
        <v>319</v>
      </c>
      <c r="B320" s="145">
        <v>45338</v>
      </c>
      <c r="C320" s="146">
        <v>2024</v>
      </c>
      <c r="D320" s="118" t="s">
        <v>35</v>
      </c>
      <c r="E320" s="118" t="s">
        <v>911</v>
      </c>
      <c r="F320" s="147">
        <v>1</v>
      </c>
      <c r="G320" s="120" t="s">
        <v>759</v>
      </c>
      <c r="H320" s="148">
        <v>115000</v>
      </c>
      <c r="J320"/>
      <c r="K320"/>
      <c r="L320"/>
      <c r="M320"/>
      <c r="N320"/>
      <c r="O320"/>
      <c r="P320"/>
      <c r="Q320"/>
      <c r="R320"/>
      <c r="S320"/>
      <c r="T320"/>
    </row>
    <row r="321" spans="1:20" x14ac:dyDescent="0.25">
      <c r="A321" s="115">
        <v>320</v>
      </c>
      <c r="B321" s="145">
        <v>45338</v>
      </c>
      <c r="C321" s="146">
        <v>2024</v>
      </c>
      <c r="D321" s="118" t="s">
        <v>35</v>
      </c>
      <c r="E321" s="118" t="s">
        <v>912</v>
      </c>
      <c r="F321" s="147">
        <v>1</v>
      </c>
      <c r="G321" s="120" t="s">
        <v>759</v>
      </c>
      <c r="H321" s="148">
        <v>130000</v>
      </c>
      <c r="J321"/>
      <c r="K321"/>
      <c r="L321"/>
      <c r="M321"/>
      <c r="N321"/>
      <c r="O321"/>
      <c r="P321"/>
      <c r="Q321"/>
      <c r="R321"/>
      <c r="S321"/>
      <c r="T321"/>
    </row>
    <row r="322" spans="1:20" x14ac:dyDescent="0.25">
      <c r="A322" s="115">
        <v>321</v>
      </c>
      <c r="B322" s="116">
        <v>45341</v>
      </c>
      <c r="C322" s="117">
        <v>2024</v>
      </c>
      <c r="D322" s="118" t="s">
        <v>35</v>
      </c>
      <c r="E322" s="119" t="s">
        <v>829</v>
      </c>
      <c r="F322" s="120">
        <v>4</v>
      </c>
      <c r="G322" s="120" t="s">
        <v>759</v>
      </c>
      <c r="H322" s="121">
        <v>199000</v>
      </c>
      <c r="J322"/>
      <c r="K322"/>
      <c r="L322"/>
      <c r="M322"/>
      <c r="N322"/>
      <c r="O322"/>
      <c r="P322"/>
      <c r="Q322"/>
      <c r="R322"/>
      <c r="S322"/>
      <c r="T322"/>
    </row>
    <row r="323" spans="1:20" x14ac:dyDescent="0.25">
      <c r="A323" s="115">
        <v>322</v>
      </c>
      <c r="B323" s="116">
        <v>45341</v>
      </c>
      <c r="C323" s="117">
        <v>2024</v>
      </c>
      <c r="D323" s="118" t="s">
        <v>833</v>
      </c>
      <c r="E323" s="119" t="s">
        <v>589</v>
      </c>
      <c r="F323" s="120">
        <v>1</v>
      </c>
      <c r="G323" s="120" t="s">
        <v>759</v>
      </c>
      <c r="H323" s="121">
        <v>333000</v>
      </c>
      <c r="J323"/>
      <c r="K323"/>
      <c r="L323"/>
      <c r="M323"/>
      <c r="N323"/>
      <c r="O323"/>
      <c r="P323"/>
      <c r="Q323"/>
      <c r="R323"/>
      <c r="S323"/>
      <c r="T323"/>
    </row>
    <row r="324" spans="1:20" x14ac:dyDescent="0.25">
      <c r="A324" s="115">
        <v>323</v>
      </c>
      <c r="B324" s="116">
        <v>45343</v>
      </c>
      <c r="C324" s="117">
        <v>2024</v>
      </c>
      <c r="D324" s="118" t="s">
        <v>35</v>
      </c>
      <c r="E324" s="119" t="s">
        <v>211</v>
      </c>
      <c r="F324" s="120">
        <v>1</v>
      </c>
      <c r="G324" s="120" t="s">
        <v>759</v>
      </c>
      <c r="H324" s="121">
        <v>17700</v>
      </c>
      <c r="J324"/>
      <c r="K324"/>
      <c r="L324"/>
      <c r="M324"/>
      <c r="N324"/>
      <c r="O324"/>
      <c r="P324"/>
      <c r="Q324"/>
      <c r="R324"/>
      <c r="S324"/>
      <c r="T324"/>
    </row>
    <row r="325" spans="1:20" x14ac:dyDescent="0.25">
      <c r="A325" s="115">
        <v>324</v>
      </c>
      <c r="B325" s="116">
        <v>45343</v>
      </c>
      <c r="C325" s="117">
        <v>2024</v>
      </c>
      <c r="D325" s="118" t="s">
        <v>833</v>
      </c>
      <c r="E325" s="119" t="s">
        <v>913</v>
      </c>
      <c r="F325" s="120">
        <v>1</v>
      </c>
      <c r="G325" s="120" t="s">
        <v>759</v>
      </c>
      <c r="H325" s="121">
        <v>45000</v>
      </c>
      <c r="J325"/>
      <c r="K325"/>
      <c r="L325"/>
      <c r="M325"/>
      <c r="N325"/>
      <c r="O325"/>
      <c r="P325"/>
      <c r="Q325"/>
      <c r="R325"/>
      <c r="S325"/>
      <c r="T325"/>
    </row>
    <row r="326" spans="1:20" x14ac:dyDescent="0.25">
      <c r="A326" s="115">
        <v>325</v>
      </c>
      <c r="B326" s="116">
        <v>45343</v>
      </c>
      <c r="C326" s="117">
        <v>2024</v>
      </c>
      <c r="D326" s="118" t="s">
        <v>35</v>
      </c>
      <c r="E326" s="119" t="s">
        <v>829</v>
      </c>
      <c r="F326" s="120">
        <v>9</v>
      </c>
      <c r="G326" s="120" t="s">
        <v>759</v>
      </c>
      <c r="H326" s="121">
        <v>150300</v>
      </c>
      <c r="J326"/>
      <c r="K326"/>
      <c r="L326"/>
      <c r="M326"/>
      <c r="N326"/>
      <c r="O326"/>
      <c r="P326"/>
      <c r="Q326"/>
      <c r="R326"/>
      <c r="S326"/>
      <c r="T326"/>
    </row>
    <row r="327" spans="1:20" x14ac:dyDescent="0.25">
      <c r="A327" s="115">
        <v>326</v>
      </c>
      <c r="B327" s="116">
        <v>45343</v>
      </c>
      <c r="C327" s="117">
        <v>2024</v>
      </c>
      <c r="D327" s="118" t="s">
        <v>35</v>
      </c>
      <c r="E327" s="119" t="s">
        <v>829</v>
      </c>
      <c r="F327" s="120">
        <v>3</v>
      </c>
      <c r="G327" s="120" t="s">
        <v>759</v>
      </c>
      <c r="H327" s="121">
        <v>69000</v>
      </c>
      <c r="J327"/>
      <c r="K327"/>
      <c r="L327"/>
      <c r="M327"/>
      <c r="N327"/>
      <c r="O327"/>
      <c r="P327"/>
      <c r="Q327"/>
      <c r="R327"/>
      <c r="S327"/>
      <c r="T327"/>
    </row>
    <row r="328" spans="1:20" x14ac:dyDescent="0.25">
      <c r="A328" s="115">
        <v>327</v>
      </c>
      <c r="B328" s="116">
        <v>45344</v>
      </c>
      <c r="C328" s="117">
        <v>2024</v>
      </c>
      <c r="D328" s="118" t="s">
        <v>766</v>
      </c>
      <c r="E328" s="119" t="s">
        <v>914</v>
      </c>
      <c r="F328" s="120">
        <v>202</v>
      </c>
      <c r="G328" s="120" t="s">
        <v>759</v>
      </c>
      <c r="H328" s="121">
        <v>1065750</v>
      </c>
      <c r="J328"/>
      <c r="K328"/>
      <c r="L328"/>
      <c r="M328"/>
      <c r="N328"/>
      <c r="O328"/>
      <c r="P328"/>
      <c r="Q328"/>
      <c r="R328"/>
      <c r="S328"/>
      <c r="T328"/>
    </row>
    <row r="329" spans="1:20" x14ac:dyDescent="0.25">
      <c r="A329" s="115">
        <v>328</v>
      </c>
      <c r="B329" s="116">
        <v>45344</v>
      </c>
      <c r="C329" s="117">
        <v>2024</v>
      </c>
      <c r="D329" s="118" t="s">
        <v>766</v>
      </c>
      <c r="E329" s="119" t="s">
        <v>915</v>
      </c>
      <c r="F329" s="120">
        <v>414</v>
      </c>
      <c r="G329" s="120" t="s">
        <v>759</v>
      </c>
      <c r="H329" s="121">
        <v>1759500</v>
      </c>
      <c r="J329"/>
      <c r="K329"/>
      <c r="L329"/>
      <c r="M329"/>
      <c r="N329"/>
      <c r="O329"/>
      <c r="P329"/>
      <c r="Q329"/>
      <c r="R329"/>
      <c r="S329"/>
      <c r="T329"/>
    </row>
    <row r="330" spans="1:20" x14ac:dyDescent="0.25">
      <c r="A330" s="115">
        <v>329</v>
      </c>
      <c r="B330" s="116">
        <v>45344</v>
      </c>
      <c r="C330" s="117">
        <v>2024</v>
      </c>
      <c r="D330" s="118" t="s">
        <v>259</v>
      </c>
      <c r="E330" s="119" t="s">
        <v>658</v>
      </c>
      <c r="F330" s="120">
        <v>5</v>
      </c>
      <c r="G330" s="120" t="s">
        <v>759</v>
      </c>
      <c r="H330" s="121">
        <v>201500</v>
      </c>
      <c r="J330"/>
      <c r="K330"/>
      <c r="L330"/>
      <c r="M330"/>
      <c r="N330"/>
      <c r="O330"/>
      <c r="P330"/>
      <c r="Q330"/>
      <c r="R330"/>
      <c r="S330"/>
      <c r="T330"/>
    </row>
    <row r="331" spans="1:20" x14ac:dyDescent="0.25">
      <c r="A331" s="115">
        <v>330</v>
      </c>
      <c r="B331" s="116">
        <v>45344</v>
      </c>
      <c r="C331" s="117">
        <v>2024</v>
      </c>
      <c r="D331" s="118" t="s">
        <v>35</v>
      </c>
      <c r="E331" s="119" t="s">
        <v>708</v>
      </c>
      <c r="F331" s="120">
        <v>2</v>
      </c>
      <c r="G331" s="120" t="s">
        <v>759</v>
      </c>
      <c r="H331" s="121">
        <v>75900</v>
      </c>
      <c r="J331"/>
      <c r="K331"/>
      <c r="L331"/>
      <c r="M331"/>
      <c r="N331"/>
      <c r="O331"/>
      <c r="P331"/>
      <c r="Q331"/>
      <c r="R331"/>
      <c r="S331"/>
      <c r="T331"/>
    </row>
    <row r="332" spans="1:20" x14ac:dyDescent="0.25">
      <c r="A332" s="115">
        <v>331</v>
      </c>
      <c r="B332" s="116">
        <v>45348</v>
      </c>
      <c r="C332" s="117">
        <v>2024</v>
      </c>
      <c r="D332" s="118" t="s">
        <v>35</v>
      </c>
      <c r="E332" s="119" t="s">
        <v>916</v>
      </c>
      <c r="F332" s="120">
        <v>2</v>
      </c>
      <c r="G332" s="120" t="s">
        <v>759</v>
      </c>
      <c r="H332" s="121">
        <v>30000</v>
      </c>
      <c r="J332"/>
      <c r="K332"/>
      <c r="L332"/>
      <c r="M332"/>
      <c r="N332"/>
      <c r="O332"/>
      <c r="P332"/>
      <c r="Q332"/>
      <c r="R332"/>
      <c r="S332"/>
      <c r="T332"/>
    </row>
    <row r="333" spans="1:20" x14ac:dyDescent="0.25">
      <c r="A333" s="115">
        <v>332</v>
      </c>
      <c r="B333" s="145">
        <v>45349</v>
      </c>
      <c r="C333" s="146">
        <v>2024</v>
      </c>
      <c r="D333" s="118" t="s">
        <v>35</v>
      </c>
      <c r="E333" s="118" t="s">
        <v>837</v>
      </c>
      <c r="F333" s="147">
        <v>1</v>
      </c>
      <c r="G333" s="120" t="s">
        <v>759</v>
      </c>
      <c r="H333" s="148">
        <v>400000</v>
      </c>
      <c r="J333"/>
      <c r="K333"/>
      <c r="L333"/>
      <c r="M333"/>
      <c r="N333"/>
      <c r="O333"/>
      <c r="P333"/>
      <c r="Q333"/>
      <c r="R333"/>
      <c r="S333"/>
      <c r="T333"/>
    </row>
    <row r="334" spans="1:20" x14ac:dyDescent="0.25">
      <c r="A334" s="115">
        <v>333</v>
      </c>
      <c r="B334" s="145">
        <v>45349</v>
      </c>
      <c r="C334" s="146">
        <v>2024</v>
      </c>
      <c r="D334" s="118" t="s">
        <v>35</v>
      </c>
      <c r="E334" s="118" t="s">
        <v>838</v>
      </c>
      <c r="F334" s="147">
        <v>1</v>
      </c>
      <c r="G334" s="120" t="s">
        <v>759</v>
      </c>
      <c r="H334" s="148">
        <v>75000</v>
      </c>
      <c r="J334"/>
      <c r="K334"/>
      <c r="L334"/>
      <c r="M334"/>
      <c r="N334"/>
      <c r="O334"/>
      <c r="P334"/>
      <c r="Q334"/>
      <c r="R334"/>
      <c r="S334"/>
      <c r="T334"/>
    </row>
    <row r="335" spans="1:20" x14ac:dyDescent="0.25">
      <c r="A335" s="115">
        <v>334</v>
      </c>
      <c r="B335" s="145">
        <v>45349</v>
      </c>
      <c r="C335" s="146">
        <v>2024</v>
      </c>
      <c r="D335" s="118" t="s">
        <v>35</v>
      </c>
      <c r="E335" s="118" t="s">
        <v>122</v>
      </c>
      <c r="F335" s="147">
        <v>1</v>
      </c>
      <c r="G335" s="120" t="s">
        <v>759</v>
      </c>
      <c r="H335" s="148">
        <v>195000</v>
      </c>
      <c r="J335"/>
      <c r="K335"/>
      <c r="L335"/>
      <c r="M335"/>
      <c r="N335"/>
      <c r="O335"/>
      <c r="P335"/>
      <c r="Q335"/>
      <c r="R335"/>
      <c r="S335"/>
      <c r="T335"/>
    </row>
    <row r="336" spans="1:20" x14ac:dyDescent="0.25">
      <c r="A336" s="115">
        <v>335</v>
      </c>
      <c r="B336" s="145">
        <v>45349</v>
      </c>
      <c r="C336" s="146">
        <v>2024</v>
      </c>
      <c r="D336" s="118" t="s">
        <v>35</v>
      </c>
      <c r="E336" s="118" t="s">
        <v>819</v>
      </c>
      <c r="F336" s="147">
        <v>1</v>
      </c>
      <c r="G336" s="120" t="s">
        <v>759</v>
      </c>
      <c r="H336" s="148">
        <v>16000</v>
      </c>
      <c r="J336"/>
      <c r="K336"/>
      <c r="L336"/>
      <c r="M336"/>
      <c r="N336"/>
      <c r="O336"/>
      <c r="P336"/>
      <c r="Q336"/>
      <c r="R336"/>
      <c r="S336"/>
      <c r="T336"/>
    </row>
    <row r="337" spans="1:20" x14ac:dyDescent="0.25">
      <c r="A337" s="115">
        <v>336</v>
      </c>
      <c r="B337" s="145">
        <v>45349</v>
      </c>
      <c r="C337" s="146">
        <v>2024</v>
      </c>
      <c r="D337" s="118" t="s">
        <v>35</v>
      </c>
      <c r="E337" s="118" t="s">
        <v>837</v>
      </c>
      <c r="F337" s="147">
        <v>1</v>
      </c>
      <c r="G337" s="120" t="s">
        <v>759</v>
      </c>
      <c r="H337" s="148">
        <v>400000</v>
      </c>
      <c r="J337"/>
      <c r="K337"/>
      <c r="L337"/>
      <c r="M337"/>
      <c r="N337"/>
      <c r="O337"/>
      <c r="P337"/>
      <c r="Q337"/>
      <c r="R337"/>
      <c r="S337"/>
      <c r="T337"/>
    </row>
    <row r="338" spans="1:20" x14ac:dyDescent="0.25">
      <c r="A338" s="115">
        <v>337</v>
      </c>
      <c r="B338" s="145">
        <v>45349</v>
      </c>
      <c r="C338" s="146">
        <v>2024</v>
      </c>
      <c r="D338" s="118" t="s">
        <v>35</v>
      </c>
      <c r="E338" s="118" t="s">
        <v>838</v>
      </c>
      <c r="F338" s="147">
        <v>1</v>
      </c>
      <c r="G338" s="120" t="s">
        <v>759</v>
      </c>
      <c r="H338" s="148">
        <v>75000</v>
      </c>
      <c r="J338"/>
      <c r="K338"/>
      <c r="L338"/>
      <c r="M338"/>
      <c r="N338"/>
      <c r="O338"/>
      <c r="P338"/>
      <c r="Q338"/>
      <c r="R338"/>
      <c r="S338"/>
      <c r="T338"/>
    </row>
    <row r="339" spans="1:20" x14ac:dyDescent="0.25">
      <c r="A339" s="115">
        <v>338</v>
      </c>
      <c r="B339" s="145">
        <v>45349</v>
      </c>
      <c r="C339" s="146">
        <v>2024</v>
      </c>
      <c r="D339" s="118" t="s">
        <v>35</v>
      </c>
      <c r="E339" s="118" t="s">
        <v>122</v>
      </c>
      <c r="F339" s="147">
        <v>1</v>
      </c>
      <c r="G339" s="120" t="s">
        <v>759</v>
      </c>
      <c r="H339" s="148">
        <v>195000</v>
      </c>
      <c r="J339"/>
      <c r="K339"/>
      <c r="L339"/>
      <c r="M339"/>
      <c r="N339"/>
      <c r="O339"/>
      <c r="P339"/>
      <c r="Q339"/>
      <c r="R339"/>
      <c r="S339"/>
      <c r="T339"/>
    </row>
    <row r="340" spans="1:20" x14ac:dyDescent="0.25">
      <c r="A340" s="115">
        <v>339</v>
      </c>
      <c r="B340" s="145">
        <v>45349</v>
      </c>
      <c r="C340" s="146">
        <v>2024</v>
      </c>
      <c r="D340" s="118" t="s">
        <v>35</v>
      </c>
      <c r="E340" s="118" t="s">
        <v>839</v>
      </c>
      <c r="F340" s="147">
        <v>1</v>
      </c>
      <c r="G340" s="120" t="s">
        <v>759</v>
      </c>
      <c r="H340" s="148">
        <v>75000</v>
      </c>
      <c r="J340"/>
      <c r="K340"/>
      <c r="L340"/>
      <c r="M340"/>
      <c r="N340"/>
      <c r="O340"/>
      <c r="P340"/>
      <c r="Q340"/>
      <c r="R340"/>
      <c r="S340"/>
      <c r="T340"/>
    </row>
    <row r="341" spans="1:20" x14ac:dyDescent="0.25">
      <c r="A341" s="115">
        <v>340</v>
      </c>
      <c r="B341" s="145">
        <v>45349</v>
      </c>
      <c r="C341" s="146">
        <v>2024</v>
      </c>
      <c r="D341" s="118" t="s">
        <v>35</v>
      </c>
      <c r="E341" s="118" t="s">
        <v>837</v>
      </c>
      <c r="F341" s="147">
        <v>1</v>
      </c>
      <c r="G341" s="120" t="s">
        <v>759</v>
      </c>
      <c r="H341" s="148">
        <v>400000</v>
      </c>
      <c r="J341"/>
      <c r="K341"/>
      <c r="L341"/>
      <c r="M341"/>
      <c r="N341"/>
      <c r="O341"/>
      <c r="P341"/>
      <c r="Q341"/>
      <c r="R341"/>
      <c r="S341"/>
      <c r="T341"/>
    </row>
    <row r="342" spans="1:20" x14ac:dyDescent="0.25">
      <c r="A342" s="115">
        <v>341</v>
      </c>
      <c r="B342" s="145">
        <v>45349</v>
      </c>
      <c r="C342" s="146">
        <v>2024</v>
      </c>
      <c r="D342" s="118" t="s">
        <v>35</v>
      </c>
      <c r="E342" s="118" t="s">
        <v>838</v>
      </c>
      <c r="F342" s="147">
        <v>1</v>
      </c>
      <c r="G342" s="120" t="s">
        <v>759</v>
      </c>
      <c r="H342" s="148">
        <v>75000</v>
      </c>
      <c r="J342"/>
      <c r="K342"/>
      <c r="L342"/>
      <c r="M342"/>
      <c r="N342"/>
      <c r="O342"/>
      <c r="P342"/>
      <c r="Q342"/>
      <c r="R342"/>
      <c r="S342"/>
      <c r="T342"/>
    </row>
    <row r="343" spans="1:20" x14ac:dyDescent="0.25">
      <c r="A343" s="115">
        <v>342</v>
      </c>
      <c r="B343" s="145">
        <v>45349</v>
      </c>
      <c r="C343" s="146">
        <v>2024</v>
      </c>
      <c r="D343" s="118" t="s">
        <v>35</v>
      </c>
      <c r="E343" s="118" t="s">
        <v>837</v>
      </c>
      <c r="F343" s="147">
        <v>1</v>
      </c>
      <c r="G343" s="120" t="s">
        <v>759</v>
      </c>
      <c r="H343" s="148">
        <v>400000</v>
      </c>
      <c r="J343"/>
      <c r="K343"/>
      <c r="L343"/>
      <c r="M343"/>
      <c r="N343"/>
      <c r="O343"/>
      <c r="P343"/>
      <c r="Q343"/>
      <c r="R343"/>
      <c r="S343"/>
      <c r="T343"/>
    </row>
    <row r="344" spans="1:20" x14ac:dyDescent="0.25">
      <c r="A344" s="115">
        <v>343</v>
      </c>
      <c r="B344" s="145">
        <v>45349</v>
      </c>
      <c r="C344" s="146">
        <v>2024</v>
      </c>
      <c r="D344" s="118" t="s">
        <v>35</v>
      </c>
      <c r="E344" s="118" t="s">
        <v>841</v>
      </c>
      <c r="F344" s="147">
        <v>1</v>
      </c>
      <c r="G344" s="120" t="s">
        <v>759</v>
      </c>
      <c r="H344" s="148">
        <v>184000</v>
      </c>
      <c r="J344"/>
      <c r="K344"/>
      <c r="L344"/>
      <c r="M344"/>
      <c r="N344"/>
      <c r="O344"/>
      <c r="P344"/>
      <c r="Q344"/>
      <c r="R344"/>
      <c r="S344"/>
      <c r="T344"/>
    </row>
    <row r="345" spans="1:20" x14ac:dyDescent="0.25">
      <c r="A345" s="115">
        <v>344</v>
      </c>
      <c r="B345" s="145">
        <v>45349</v>
      </c>
      <c r="C345" s="146">
        <v>2024</v>
      </c>
      <c r="D345" s="118" t="s">
        <v>35</v>
      </c>
      <c r="E345" s="118" t="s">
        <v>842</v>
      </c>
      <c r="F345" s="147">
        <v>1</v>
      </c>
      <c r="G345" s="120" t="s">
        <v>759</v>
      </c>
      <c r="H345" s="148">
        <v>223000</v>
      </c>
      <c r="J345"/>
      <c r="K345"/>
      <c r="L345"/>
      <c r="M345"/>
      <c r="N345"/>
      <c r="O345"/>
      <c r="P345"/>
      <c r="Q345"/>
      <c r="R345"/>
      <c r="S345"/>
      <c r="T345"/>
    </row>
    <row r="346" spans="1:20" x14ac:dyDescent="0.25">
      <c r="A346" s="115">
        <v>345</v>
      </c>
      <c r="B346" s="145">
        <v>45349</v>
      </c>
      <c r="C346" s="146">
        <v>2024</v>
      </c>
      <c r="D346" s="118" t="s">
        <v>35</v>
      </c>
      <c r="E346" s="118" t="s">
        <v>917</v>
      </c>
      <c r="F346" s="147">
        <v>1</v>
      </c>
      <c r="G346" s="120" t="s">
        <v>759</v>
      </c>
      <c r="H346" s="148">
        <v>75000</v>
      </c>
      <c r="J346"/>
      <c r="K346"/>
      <c r="L346"/>
      <c r="M346"/>
      <c r="N346"/>
      <c r="O346"/>
      <c r="P346"/>
      <c r="Q346"/>
      <c r="R346"/>
      <c r="S346"/>
      <c r="T346"/>
    </row>
    <row r="347" spans="1:20" x14ac:dyDescent="0.25">
      <c r="A347" s="115">
        <v>346</v>
      </c>
      <c r="B347" s="145">
        <v>45349</v>
      </c>
      <c r="C347" s="146">
        <v>2024</v>
      </c>
      <c r="D347" s="118" t="s">
        <v>35</v>
      </c>
      <c r="E347" s="118" t="s">
        <v>791</v>
      </c>
      <c r="F347" s="147">
        <v>1</v>
      </c>
      <c r="G347" s="120" t="s">
        <v>759</v>
      </c>
      <c r="H347" s="148">
        <v>85000</v>
      </c>
      <c r="J347"/>
      <c r="K347"/>
      <c r="L347"/>
      <c r="M347"/>
      <c r="N347"/>
      <c r="O347"/>
      <c r="P347"/>
      <c r="Q347"/>
      <c r="R347"/>
      <c r="S347"/>
      <c r="T347"/>
    </row>
    <row r="348" spans="1:20" x14ac:dyDescent="0.25">
      <c r="A348" s="115">
        <v>347</v>
      </c>
      <c r="B348" s="145">
        <v>45349</v>
      </c>
      <c r="C348" s="146">
        <v>2024</v>
      </c>
      <c r="D348" s="118" t="s">
        <v>35</v>
      </c>
      <c r="E348" s="118" t="s">
        <v>837</v>
      </c>
      <c r="F348" s="147">
        <v>1</v>
      </c>
      <c r="G348" s="120" t="s">
        <v>759</v>
      </c>
      <c r="H348" s="148">
        <v>50000</v>
      </c>
      <c r="J348"/>
      <c r="K348"/>
      <c r="L348"/>
      <c r="M348"/>
      <c r="N348"/>
      <c r="O348"/>
      <c r="P348"/>
      <c r="Q348"/>
      <c r="R348"/>
      <c r="S348"/>
      <c r="T348"/>
    </row>
    <row r="349" spans="1:20" x14ac:dyDescent="0.25">
      <c r="A349" s="115">
        <v>348</v>
      </c>
      <c r="B349" s="145">
        <v>45349</v>
      </c>
      <c r="C349" s="146">
        <v>2024</v>
      </c>
      <c r="D349" s="118" t="s">
        <v>35</v>
      </c>
      <c r="E349" s="118" t="s">
        <v>837</v>
      </c>
      <c r="F349" s="147">
        <v>1</v>
      </c>
      <c r="G349" s="120" t="s">
        <v>759</v>
      </c>
      <c r="H349" s="148">
        <v>400000</v>
      </c>
      <c r="J349"/>
      <c r="K349"/>
      <c r="L349"/>
      <c r="M349"/>
      <c r="N349"/>
      <c r="O349"/>
      <c r="P349"/>
      <c r="Q349"/>
      <c r="R349"/>
      <c r="S349"/>
      <c r="T349"/>
    </row>
    <row r="350" spans="1:20" x14ac:dyDescent="0.25">
      <c r="A350" s="115">
        <v>349</v>
      </c>
      <c r="B350" s="145">
        <v>45349</v>
      </c>
      <c r="C350" s="146">
        <v>2024</v>
      </c>
      <c r="D350" s="118" t="s">
        <v>35</v>
      </c>
      <c r="E350" s="118" t="s">
        <v>838</v>
      </c>
      <c r="F350" s="147">
        <v>1</v>
      </c>
      <c r="G350" s="120" t="s">
        <v>759</v>
      </c>
      <c r="H350" s="148">
        <v>75000</v>
      </c>
      <c r="J350"/>
      <c r="K350"/>
      <c r="L350"/>
      <c r="M350"/>
      <c r="N350"/>
      <c r="O350"/>
      <c r="P350"/>
      <c r="Q350"/>
      <c r="R350"/>
      <c r="S350"/>
      <c r="T350"/>
    </row>
    <row r="351" spans="1:20" x14ac:dyDescent="0.25">
      <c r="A351" s="115">
        <v>350</v>
      </c>
      <c r="B351" s="145">
        <v>45349</v>
      </c>
      <c r="C351" s="146">
        <v>2024</v>
      </c>
      <c r="D351" s="118" t="s">
        <v>35</v>
      </c>
      <c r="E351" s="118" t="s">
        <v>838</v>
      </c>
      <c r="F351" s="147">
        <v>1</v>
      </c>
      <c r="G351" s="120" t="s">
        <v>759</v>
      </c>
      <c r="H351" s="148">
        <v>85000</v>
      </c>
      <c r="J351"/>
      <c r="K351"/>
      <c r="L351"/>
      <c r="M351"/>
      <c r="N351"/>
      <c r="O351"/>
      <c r="P351"/>
      <c r="Q351"/>
      <c r="R351"/>
      <c r="S351"/>
      <c r="T351"/>
    </row>
    <row r="352" spans="1:20" x14ac:dyDescent="0.25">
      <c r="A352" s="115">
        <v>351</v>
      </c>
      <c r="B352" s="145">
        <v>45349</v>
      </c>
      <c r="C352" s="146">
        <v>2024</v>
      </c>
      <c r="D352" s="118" t="s">
        <v>35</v>
      </c>
      <c r="E352" s="118" t="s">
        <v>918</v>
      </c>
      <c r="F352" s="147">
        <v>1</v>
      </c>
      <c r="G352" s="120" t="s">
        <v>759</v>
      </c>
      <c r="H352" s="148">
        <v>95000</v>
      </c>
      <c r="J352"/>
      <c r="K352"/>
      <c r="L352"/>
      <c r="M352"/>
      <c r="N352"/>
      <c r="O352"/>
      <c r="P352"/>
      <c r="Q352"/>
      <c r="R352"/>
      <c r="S352"/>
      <c r="T352"/>
    </row>
    <row r="353" spans="1:20" x14ac:dyDescent="0.25">
      <c r="A353" s="115">
        <v>352</v>
      </c>
      <c r="B353" s="145">
        <v>45349</v>
      </c>
      <c r="C353" s="146">
        <v>2024</v>
      </c>
      <c r="D353" s="118" t="s">
        <v>35</v>
      </c>
      <c r="E353" s="118" t="s">
        <v>839</v>
      </c>
      <c r="F353" s="147">
        <v>1</v>
      </c>
      <c r="G353" s="120" t="s">
        <v>759</v>
      </c>
      <c r="H353" s="148">
        <v>140000</v>
      </c>
      <c r="J353"/>
      <c r="K353"/>
      <c r="L353"/>
      <c r="M353"/>
      <c r="N353"/>
      <c r="O353"/>
      <c r="P353"/>
      <c r="Q353"/>
      <c r="R353"/>
      <c r="S353"/>
      <c r="T353"/>
    </row>
    <row r="354" spans="1:20" x14ac:dyDescent="0.25">
      <c r="A354" s="115">
        <v>353</v>
      </c>
      <c r="B354" s="145">
        <v>45349</v>
      </c>
      <c r="C354" s="146">
        <v>2024</v>
      </c>
      <c r="D354" s="118" t="s">
        <v>35</v>
      </c>
      <c r="E354" s="118" t="s">
        <v>837</v>
      </c>
      <c r="F354" s="147">
        <v>1</v>
      </c>
      <c r="G354" s="120" t="s">
        <v>759</v>
      </c>
      <c r="H354" s="148">
        <v>400000</v>
      </c>
      <c r="J354"/>
      <c r="K354"/>
      <c r="L354"/>
      <c r="M354"/>
      <c r="N354"/>
      <c r="O354"/>
      <c r="P354"/>
      <c r="Q354"/>
      <c r="R354"/>
      <c r="S354"/>
      <c r="T354"/>
    </row>
    <row r="355" spans="1:20" x14ac:dyDescent="0.25">
      <c r="A355" s="115">
        <v>354</v>
      </c>
      <c r="B355" s="145">
        <v>45349</v>
      </c>
      <c r="C355" s="146">
        <v>2024</v>
      </c>
      <c r="D355" s="118" t="s">
        <v>35</v>
      </c>
      <c r="E355" s="118" t="s">
        <v>838</v>
      </c>
      <c r="F355" s="147">
        <v>1</v>
      </c>
      <c r="G355" s="120" t="s">
        <v>759</v>
      </c>
      <c r="H355" s="148">
        <v>75000</v>
      </c>
      <c r="J355"/>
      <c r="K355"/>
      <c r="L355"/>
      <c r="M355"/>
      <c r="N355"/>
      <c r="O355"/>
      <c r="P355"/>
      <c r="Q355"/>
      <c r="R355"/>
      <c r="S355"/>
      <c r="T355"/>
    </row>
    <row r="356" spans="1:20" x14ac:dyDescent="0.25">
      <c r="A356" s="115">
        <v>355</v>
      </c>
      <c r="B356" s="145">
        <v>45349</v>
      </c>
      <c r="C356" s="146">
        <v>2024</v>
      </c>
      <c r="D356" s="118" t="s">
        <v>35</v>
      </c>
      <c r="E356" s="118" t="s">
        <v>122</v>
      </c>
      <c r="F356" s="147">
        <v>1</v>
      </c>
      <c r="G356" s="120" t="s">
        <v>759</v>
      </c>
      <c r="H356" s="148">
        <v>195000</v>
      </c>
      <c r="J356"/>
      <c r="K356"/>
      <c r="L356"/>
      <c r="M356"/>
      <c r="N356"/>
      <c r="O356"/>
      <c r="P356"/>
      <c r="Q356"/>
      <c r="R356"/>
      <c r="S356"/>
      <c r="T356"/>
    </row>
    <row r="357" spans="1:20" x14ac:dyDescent="0.25">
      <c r="A357" s="115">
        <v>356</v>
      </c>
      <c r="B357" s="145">
        <v>45349</v>
      </c>
      <c r="C357" s="146">
        <v>2024</v>
      </c>
      <c r="D357" s="118" t="s">
        <v>35</v>
      </c>
      <c r="E357" s="118" t="s">
        <v>837</v>
      </c>
      <c r="F357" s="147">
        <v>1</v>
      </c>
      <c r="G357" s="120" t="s">
        <v>759</v>
      </c>
      <c r="H357" s="148">
        <v>400000</v>
      </c>
      <c r="J357"/>
      <c r="K357"/>
      <c r="L357"/>
      <c r="M357"/>
      <c r="N357"/>
      <c r="O357"/>
      <c r="P357"/>
      <c r="Q357"/>
      <c r="R357"/>
      <c r="S357"/>
      <c r="T357"/>
    </row>
    <row r="358" spans="1:20" x14ac:dyDescent="0.25">
      <c r="A358" s="115">
        <v>357</v>
      </c>
      <c r="B358" s="145">
        <v>45349</v>
      </c>
      <c r="C358" s="146">
        <v>2024</v>
      </c>
      <c r="D358" s="118" t="s">
        <v>35</v>
      </c>
      <c r="E358" s="118" t="s">
        <v>837</v>
      </c>
      <c r="F358" s="147">
        <v>1</v>
      </c>
      <c r="G358" s="120" t="s">
        <v>759</v>
      </c>
      <c r="H358" s="148">
        <v>400000</v>
      </c>
      <c r="J358"/>
      <c r="K358"/>
      <c r="L358"/>
      <c r="M358"/>
      <c r="N358"/>
      <c r="O358"/>
      <c r="P358"/>
      <c r="Q358"/>
      <c r="R358"/>
      <c r="S358"/>
      <c r="T358"/>
    </row>
    <row r="359" spans="1:20" x14ac:dyDescent="0.25">
      <c r="A359" s="115">
        <v>358</v>
      </c>
      <c r="B359" s="145">
        <v>45349</v>
      </c>
      <c r="C359" s="146">
        <v>2024</v>
      </c>
      <c r="D359" s="118" t="s">
        <v>35</v>
      </c>
      <c r="E359" s="118" t="s">
        <v>838</v>
      </c>
      <c r="F359" s="147">
        <v>1</v>
      </c>
      <c r="G359" s="120" t="s">
        <v>759</v>
      </c>
      <c r="H359" s="148">
        <v>75000</v>
      </c>
      <c r="J359"/>
      <c r="K359"/>
      <c r="L359"/>
      <c r="M359"/>
      <c r="N359"/>
      <c r="O359"/>
      <c r="P359"/>
      <c r="Q359"/>
      <c r="R359"/>
      <c r="S359"/>
      <c r="T359"/>
    </row>
    <row r="360" spans="1:20" x14ac:dyDescent="0.25">
      <c r="A360" s="115">
        <v>359</v>
      </c>
      <c r="B360" s="145">
        <v>45349</v>
      </c>
      <c r="C360" s="146">
        <v>2024</v>
      </c>
      <c r="D360" s="118" t="s">
        <v>35</v>
      </c>
      <c r="E360" s="118" t="s">
        <v>839</v>
      </c>
      <c r="F360" s="147">
        <v>1</v>
      </c>
      <c r="G360" s="120" t="s">
        <v>759</v>
      </c>
      <c r="H360" s="148">
        <v>85000</v>
      </c>
      <c r="J360"/>
      <c r="K360"/>
      <c r="L360"/>
      <c r="M360"/>
      <c r="N360"/>
      <c r="O360"/>
      <c r="P360"/>
      <c r="Q360"/>
      <c r="R360"/>
      <c r="S360"/>
      <c r="T360"/>
    </row>
    <row r="361" spans="1:20" x14ac:dyDescent="0.25">
      <c r="A361" s="115">
        <v>360</v>
      </c>
      <c r="B361" s="145">
        <v>45349</v>
      </c>
      <c r="C361" s="146">
        <v>2024</v>
      </c>
      <c r="D361" s="118" t="s">
        <v>35</v>
      </c>
      <c r="E361" s="118" t="s">
        <v>840</v>
      </c>
      <c r="F361" s="147">
        <v>1</v>
      </c>
      <c r="G361" s="120" t="s">
        <v>759</v>
      </c>
      <c r="H361" s="148">
        <v>50000</v>
      </c>
      <c r="J361"/>
      <c r="K361"/>
      <c r="L361"/>
      <c r="M361"/>
      <c r="N361"/>
      <c r="O361"/>
      <c r="P361"/>
      <c r="Q361"/>
      <c r="R361"/>
      <c r="S361"/>
      <c r="T361"/>
    </row>
    <row r="362" spans="1:20" x14ac:dyDescent="0.25">
      <c r="A362" s="115">
        <v>361</v>
      </c>
      <c r="B362" s="145">
        <v>45349</v>
      </c>
      <c r="C362" s="146">
        <v>2024</v>
      </c>
      <c r="D362" s="118" t="s">
        <v>35</v>
      </c>
      <c r="E362" s="118" t="s">
        <v>837</v>
      </c>
      <c r="F362" s="147">
        <v>1</v>
      </c>
      <c r="G362" s="120" t="s">
        <v>759</v>
      </c>
      <c r="H362" s="148">
        <v>400000</v>
      </c>
      <c r="J362"/>
      <c r="K362"/>
      <c r="L362"/>
      <c r="M362"/>
      <c r="N362"/>
      <c r="O362"/>
      <c r="P362"/>
      <c r="Q362"/>
      <c r="R362"/>
      <c r="S362"/>
      <c r="T362"/>
    </row>
    <row r="363" spans="1:20" x14ac:dyDescent="0.25">
      <c r="A363" s="115">
        <v>362</v>
      </c>
      <c r="B363" s="145">
        <v>45349</v>
      </c>
      <c r="C363" s="146">
        <v>2024</v>
      </c>
      <c r="D363" s="118" t="s">
        <v>35</v>
      </c>
      <c r="E363" s="118" t="s">
        <v>838</v>
      </c>
      <c r="F363" s="147">
        <v>1</v>
      </c>
      <c r="G363" s="120" t="s">
        <v>759</v>
      </c>
      <c r="H363" s="148">
        <v>75000</v>
      </c>
      <c r="J363"/>
      <c r="K363"/>
      <c r="L363"/>
      <c r="M363"/>
      <c r="N363"/>
      <c r="O363"/>
      <c r="P363"/>
      <c r="Q363"/>
      <c r="R363"/>
      <c r="S363"/>
      <c r="T363"/>
    </row>
    <row r="364" spans="1:20" x14ac:dyDescent="0.25">
      <c r="A364" s="115">
        <v>363</v>
      </c>
      <c r="B364" s="145">
        <v>45349</v>
      </c>
      <c r="C364" s="146">
        <v>2024</v>
      </c>
      <c r="D364" s="118" t="s">
        <v>35</v>
      </c>
      <c r="E364" s="118" t="s">
        <v>837</v>
      </c>
      <c r="F364" s="147">
        <v>1</v>
      </c>
      <c r="G364" s="120" t="s">
        <v>759</v>
      </c>
      <c r="H364" s="148">
        <v>400000</v>
      </c>
      <c r="J364"/>
      <c r="K364"/>
      <c r="L364"/>
      <c r="M364"/>
      <c r="N364"/>
      <c r="O364"/>
      <c r="P364"/>
      <c r="Q364"/>
      <c r="R364"/>
      <c r="S364"/>
      <c r="T364"/>
    </row>
    <row r="365" spans="1:20" x14ac:dyDescent="0.25">
      <c r="A365" s="115">
        <v>364</v>
      </c>
      <c r="B365" s="145">
        <v>45349</v>
      </c>
      <c r="C365" s="146">
        <v>2024</v>
      </c>
      <c r="D365" s="118" t="s">
        <v>35</v>
      </c>
      <c r="E365" s="118" t="s">
        <v>919</v>
      </c>
      <c r="F365" s="147">
        <v>1</v>
      </c>
      <c r="G365" s="120" t="s">
        <v>759</v>
      </c>
      <c r="H365" s="148">
        <v>195000</v>
      </c>
      <c r="J365"/>
      <c r="K365"/>
      <c r="L365"/>
      <c r="M365"/>
      <c r="N365"/>
      <c r="O365"/>
      <c r="P365"/>
      <c r="Q365"/>
      <c r="R365"/>
      <c r="S365"/>
      <c r="T365"/>
    </row>
    <row r="366" spans="1:20" x14ac:dyDescent="0.25">
      <c r="A366" s="115">
        <v>365</v>
      </c>
      <c r="B366" s="145">
        <v>45349</v>
      </c>
      <c r="C366" s="146">
        <v>2024</v>
      </c>
      <c r="D366" s="118" t="s">
        <v>35</v>
      </c>
      <c r="E366" s="118" t="s">
        <v>919</v>
      </c>
      <c r="F366" s="147">
        <v>1</v>
      </c>
      <c r="G366" s="120" t="s">
        <v>759</v>
      </c>
      <c r="H366" s="148">
        <v>140000</v>
      </c>
      <c r="J366"/>
      <c r="K366"/>
      <c r="L366"/>
      <c r="M366"/>
      <c r="N366"/>
      <c r="O366"/>
      <c r="P366"/>
      <c r="Q366"/>
      <c r="R366"/>
      <c r="S366"/>
      <c r="T366"/>
    </row>
    <row r="367" spans="1:20" x14ac:dyDescent="0.25">
      <c r="A367" s="115">
        <v>366</v>
      </c>
      <c r="B367" s="145">
        <v>45349</v>
      </c>
      <c r="C367" s="146">
        <v>2024</v>
      </c>
      <c r="D367" s="118" t="s">
        <v>35</v>
      </c>
      <c r="E367" s="118" t="s">
        <v>837</v>
      </c>
      <c r="F367" s="147">
        <v>1</v>
      </c>
      <c r="G367" s="120" t="s">
        <v>759</v>
      </c>
      <c r="H367" s="148">
        <v>400000</v>
      </c>
      <c r="J367"/>
      <c r="K367"/>
      <c r="L367"/>
      <c r="M367"/>
      <c r="N367"/>
      <c r="O367"/>
      <c r="P367"/>
      <c r="Q367"/>
      <c r="R367"/>
      <c r="S367"/>
      <c r="T367"/>
    </row>
    <row r="368" spans="1:20" x14ac:dyDescent="0.25">
      <c r="A368" s="115">
        <v>367</v>
      </c>
      <c r="B368" s="145">
        <v>45349</v>
      </c>
      <c r="C368" s="146">
        <v>2024</v>
      </c>
      <c r="D368" s="118" t="s">
        <v>35</v>
      </c>
      <c r="E368" s="118" t="s">
        <v>838</v>
      </c>
      <c r="F368" s="147">
        <v>1</v>
      </c>
      <c r="G368" s="120" t="s">
        <v>759</v>
      </c>
      <c r="H368" s="148">
        <v>75000</v>
      </c>
      <c r="J368"/>
      <c r="K368"/>
      <c r="L368"/>
      <c r="M368"/>
      <c r="N368"/>
      <c r="O368"/>
      <c r="P368"/>
      <c r="Q368"/>
      <c r="R368"/>
      <c r="S368"/>
      <c r="T368"/>
    </row>
    <row r="369" spans="1:20" x14ac:dyDescent="0.25">
      <c r="A369" s="115">
        <v>368</v>
      </c>
      <c r="B369" s="145">
        <v>45349</v>
      </c>
      <c r="C369" s="146">
        <v>2024</v>
      </c>
      <c r="D369" s="118" t="s">
        <v>35</v>
      </c>
      <c r="E369" s="118" t="s">
        <v>840</v>
      </c>
      <c r="F369" s="147">
        <v>1</v>
      </c>
      <c r="G369" s="120" t="s">
        <v>759</v>
      </c>
      <c r="H369" s="148">
        <v>50000</v>
      </c>
      <c r="J369"/>
      <c r="K369"/>
      <c r="L369"/>
      <c r="M369"/>
      <c r="N369"/>
      <c r="O369"/>
      <c r="P369"/>
      <c r="Q369"/>
      <c r="R369"/>
      <c r="S369"/>
      <c r="T369"/>
    </row>
    <row r="370" spans="1:20" x14ac:dyDescent="0.25">
      <c r="A370" s="115">
        <v>369</v>
      </c>
      <c r="B370" s="145">
        <v>45349</v>
      </c>
      <c r="C370" s="146">
        <v>2024</v>
      </c>
      <c r="D370" s="118" t="s">
        <v>35</v>
      </c>
      <c r="E370" s="118" t="s">
        <v>837</v>
      </c>
      <c r="F370" s="147">
        <v>1</v>
      </c>
      <c r="G370" s="120" t="s">
        <v>759</v>
      </c>
      <c r="H370" s="148">
        <v>400000</v>
      </c>
      <c r="J370"/>
      <c r="K370"/>
      <c r="L370"/>
      <c r="M370"/>
      <c r="N370"/>
      <c r="O370"/>
      <c r="P370"/>
      <c r="Q370"/>
      <c r="R370"/>
      <c r="S370"/>
      <c r="T370"/>
    </row>
    <row r="371" spans="1:20" x14ac:dyDescent="0.25">
      <c r="A371" s="115">
        <v>370</v>
      </c>
      <c r="B371" s="145">
        <v>45349</v>
      </c>
      <c r="C371" s="146">
        <v>2024</v>
      </c>
      <c r="D371" s="118" t="s">
        <v>35</v>
      </c>
      <c r="E371" s="118" t="s">
        <v>842</v>
      </c>
      <c r="F371" s="147">
        <v>1</v>
      </c>
      <c r="G371" s="120" t="s">
        <v>759</v>
      </c>
      <c r="H371" s="148">
        <v>223000</v>
      </c>
      <c r="J371"/>
      <c r="K371"/>
      <c r="L371"/>
      <c r="M371"/>
      <c r="N371"/>
      <c r="O371"/>
      <c r="P371"/>
      <c r="Q371"/>
      <c r="R371"/>
      <c r="S371"/>
      <c r="T371"/>
    </row>
    <row r="372" spans="1:20" x14ac:dyDescent="0.25">
      <c r="A372" s="115">
        <v>371</v>
      </c>
      <c r="B372" s="145">
        <v>45349</v>
      </c>
      <c r="C372" s="146">
        <v>2024</v>
      </c>
      <c r="D372" s="118" t="s">
        <v>35</v>
      </c>
      <c r="E372" s="118" t="s">
        <v>841</v>
      </c>
      <c r="F372" s="147">
        <v>1</v>
      </c>
      <c r="G372" s="120" t="s">
        <v>759</v>
      </c>
      <c r="H372" s="148">
        <v>184000</v>
      </c>
      <c r="J372"/>
      <c r="K372"/>
      <c r="L372"/>
      <c r="M372"/>
      <c r="N372"/>
      <c r="O372"/>
      <c r="P372"/>
      <c r="Q372"/>
      <c r="R372"/>
      <c r="S372"/>
      <c r="T372"/>
    </row>
    <row r="373" spans="1:20" x14ac:dyDescent="0.25">
      <c r="A373" s="115">
        <v>372</v>
      </c>
      <c r="B373" s="145">
        <v>45349</v>
      </c>
      <c r="C373" s="146">
        <v>2024</v>
      </c>
      <c r="D373" s="118" t="s">
        <v>35</v>
      </c>
      <c r="E373" s="118" t="s">
        <v>838</v>
      </c>
      <c r="F373" s="147">
        <v>1</v>
      </c>
      <c r="G373" s="120" t="s">
        <v>759</v>
      </c>
      <c r="H373" s="148">
        <v>75000</v>
      </c>
      <c r="J373"/>
      <c r="K373"/>
      <c r="L373"/>
      <c r="M373"/>
      <c r="N373"/>
      <c r="O373"/>
      <c r="P373"/>
      <c r="Q373"/>
      <c r="R373"/>
      <c r="S373"/>
      <c r="T373"/>
    </row>
    <row r="374" spans="1:20" x14ac:dyDescent="0.25">
      <c r="A374" s="115">
        <v>373</v>
      </c>
      <c r="B374" s="145">
        <v>45349</v>
      </c>
      <c r="C374" s="146">
        <v>2024</v>
      </c>
      <c r="D374" s="118" t="s">
        <v>35</v>
      </c>
      <c r="E374" s="118" t="s">
        <v>839</v>
      </c>
      <c r="F374" s="147">
        <v>1</v>
      </c>
      <c r="G374" s="120" t="s">
        <v>759</v>
      </c>
      <c r="H374" s="148">
        <v>140000</v>
      </c>
      <c r="J374"/>
      <c r="K374"/>
      <c r="L374"/>
      <c r="M374"/>
      <c r="N374"/>
      <c r="O374"/>
      <c r="P374"/>
      <c r="Q374"/>
      <c r="R374"/>
      <c r="S374"/>
      <c r="T374"/>
    </row>
    <row r="375" spans="1:20" x14ac:dyDescent="0.25">
      <c r="A375" s="115">
        <v>374</v>
      </c>
      <c r="B375" s="145">
        <v>45349</v>
      </c>
      <c r="C375" s="146">
        <v>2024</v>
      </c>
      <c r="D375" s="118" t="s">
        <v>35</v>
      </c>
      <c r="E375" s="118" t="s">
        <v>839</v>
      </c>
      <c r="F375" s="147">
        <v>1</v>
      </c>
      <c r="G375" s="120" t="s">
        <v>759</v>
      </c>
      <c r="H375" s="148">
        <v>85000</v>
      </c>
      <c r="J375"/>
      <c r="K375"/>
      <c r="L375"/>
      <c r="M375"/>
      <c r="N375"/>
      <c r="O375"/>
      <c r="P375"/>
      <c r="Q375"/>
      <c r="R375"/>
      <c r="S375"/>
      <c r="T375"/>
    </row>
    <row r="376" spans="1:20" x14ac:dyDescent="0.25">
      <c r="A376" s="115">
        <v>375</v>
      </c>
      <c r="B376" s="145">
        <v>45349</v>
      </c>
      <c r="C376" s="146">
        <v>2024</v>
      </c>
      <c r="D376" s="118" t="s">
        <v>35</v>
      </c>
      <c r="E376" s="118" t="s">
        <v>839</v>
      </c>
      <c r="F376" s="147">
        <v>1</v>
      </c>
      <c r="G376" s="120" t="s">
        <v>759</v>
      </c>
      <c r="H376" s="148">
        <v>95000</v>
      </c>
      <c r="J376"/>
      <c r="K376"/>
      <c r="L376"/>
      <c r="M376"/>
      <c r="N376"/>
      <c r="O376"/>
      <c r="P376"/>
      <c r="Q376"/>
      <c r="R376"/>
      <c r="S376"/>
      <c r="T376"/>
    </row>
    <row r="377" spans="1:20" x14ac:dyDescent="0.25">
      <c r="A377" s="115">
        <v>376</v>
      </c>
      <c r="B377" s="145">
        <v>45349</v>
      </c>
      <c r="C377" s="146">
        <v>2024</v>
      </c>
      <c r="D377" s="118" t="s">
        <v>35</v>
      </c>
      <c r="E377" s="118" t="s">
        <v>839</v>
      </c>
      <c r="F377" s="147">
        <v>1</v>
      </c>
      <c r="G377" s="120" t="s">
        <v>759</v>
      </c>
      <c r="H377" s="148">
        <v>195000</v>
      </c>
      <c r="J377"/>
      <c r="K377"/>
      <c r="L377"/>
      <c r="M377"/>
      <c r="N377"/>
      <c r="O377"/>
      <c r="P377"/>
      <c r="Q377"/>
      <c r="R377"/>
      <c r="S377"/>
      <c r="T377"/>
    </row>
    <row r="378" spans="1:20" x14ac:dyDescent="0.25">
      <c r="A378" s="115">
        <v>377</v>
      </c>
      <c r="B378" s="145">
        <v>45349</v>
      </c>
      <c r="C378" s="146">
        <v>2024</v>
      </c>
      <c r="D378" s="118" t="s">
        <v>35</v>
      </c>
      <c r="E378" s="118" t="s">
        <v>837</v>
      </c>
      <c r="F378" s="147">
        <v>1</v>
      </c>
      <c r="G378" s="120" t="s">
        <v>759</v>
      </c>
      <c r="H378" s="148">
        <v>400000</v>
      </c>
      <c r="J378"/>
      <c r="K378"/>
      <c r="L378"/>
      <c r="M378"/>
      <c r="N378"/>
      <c r="O378"/>
      <c r="P378"/>
      <c r="Q378"/>
      <c r="R378"/>
      <c r="S378"/>
      <c r="T378"/>
    </row>
    <row r="379" spans="1:20" x14ac:dyDescent="0.25">
      <c r="A379" s="115">
        <v>378</v>
      </c>
      <c r="B379" s="145">
        <v>45349</v>
      </c>
      <c r="C379" s="146">
        <v>2024</v>
      </c>
      <c r="D379" s="118" t="s">
        <v>35</v>
      </c>
      <c r="E379" s="118" t="s">
        <v>838</v>
      </c>
      <c r="F379" s="147">
        <v>1</v>
      </c>
      <c r="G379" s="120" t="s">
        <v>759</v>
      </c>
      <c r="H379" s="148">
        <v>75000</v>
      </c>
      <c r="J379"/>
      <c r="K379"/>
      <c r="L379"/>
      <c r="M379"/>
      <c r="N379"/>
      <c r="O379"/>
      <c r="P379"/>
      <c r="Q379"/>
      <c r="R379"/>
      <c r="S379"/>
      <c r="T379"/>
    </row>
    <row r="380" spans="1:20" x14ac:dyDescent="0.25">
      <c r="A380" s="115">
        <v>379</v>
      </c>
      <c r="B380" s="145">
        <v>45349</v>
      </c>
      <c r="C380" s="146">
        <v>2024</v>
      </c>
      <c r="D380" s="118" t="s">
        <v>35</v>
      </c>
      <c r="E380" s="118" t="s">
        <v>839</v>
      </c>
      <c r="F380" s="147">
        <v>1</v>
      </c>
      <c r="G380" s="120" t="s">
        <v>759</v>
      </c>
      <c r="H380" s="148">
        <v>85000</v>
      </c>
      <c r="J380"/>
      <c r="K380"/>
      <c r="L380"/>
      <c r="M380"/>
      <c r="N380"/>
      <c r="O380"/>
      <c r="P380"/>
      <c r="Q380"/>
      <c r="R380"/>
      <c r="S380"/>
      <c r="T380"/>
    </row>
    <row r="381" spans="1:20" x14ac:dyDescent="0.25">
      <c r="A381" s="115">
        <v>380</v>
      </c>
      <c r="B381" s="145">
        <v>45349</v>
      </c>
      <c r="C381" s="146">
        <v>2024</v>
      </c>
      <c r="D381" s="118" t="s">
        <v>35</v>
      </c>
      <c r="E381" s="118" t="s">
        <v>839</v>
      </c>
      <c r="F381" s="147">
        <v>1</v>
      </c>
      <c r="G381" s="120" t="s">
        <v>759</v>
      </c>
      <c r="H381" s="148">
        <v>40000</v>
      </c>
      <c r="J381"/>
      <c r="K381"/>
      <c r="L381"/>
      <c r="M381"/>
      <c r="N381"/>
      <c r="O381"/>
      <c r="P381"/>
      <c r="Q381"/>
      <c r="R381"/>
      <c r="S381"/>
      <c r="T381"/>
    </row>
    <row r="382" spans="1:20" x14ac:dyDescent="0.25">
      <c r="A382" s="115">
        <v>381</v>
      </c>
      <c r="B382" s="145">
        <v>45349</v>
      </c>
      <c r="C382" s="146">
        <v>2024</v>
      </c>
      <c r="D382" s="118" t="s">
        <v>35</v>
      </c>
      <c r="E382" s="118" t="s">
        <v>837</v>
      </c>
      <c r="F382" s="147">
        <v>1</v>
      </c>
      <c r="G382" s="120" t="s">
        <v>759</v>
      </c>
      <c r="H382" s="148">
        <v>400000</v>
      </c>
      <c r="J382"/>
      <c r="K382"/>
      <c r="L382"/>
      <c r="M382"/>
      <c r="N382"/>
      <c r="O382"/>
      <c r="P382"/>
      <c r="Q382"/>
      <c r="R382"/>
      <c r="S382"/>
      <c r="T382"/>
    </row>
    <row r="383" spans="1:20" x14ac:dyDescent="0.25">
      <c r="A383" s="115">
        <v>382</v>
      </c>
      <c r="B383" s="145">
        <v>45349</v>
      </c>
      <c r="C383" s="146">
        <v>2024</v>
      </c>
      <c r="D383" s="118" t="s">
        <v>35</v>
      </c>
      <c r="E383" s="118" t="s">
        <v>842</v>
      </c>
      <c r="F383" s="147">
        <v>1</v>
      </c>
      <c r="G383" s="120" t="s">
        <v>759</v>
      </c>
      <c r="H383" s="148">
        <v>223000</v>
      </c>
      <c r="J383"/>
      <c r="K383"/>
      <c r="L383"/>
      <c r="M383"/>
      <c r="N383"/>
      <c r="O383"/>
      <c r="P383"/>
      <c r="Q383"/>
      <c r="R383"/>
      <c r="S383"/>
      <c r="T383"/>
    </row>
    <row r="384" spans="1:20" x14ac:dyDescent="0.25">
      <c r="A384" s="115">
        <v>383</v>
      </c>
      <c r="B384" s="145">
        <v>45349</v>
      </c>
      <c r="C384" s="146">
        <v>2024</v>
      </c>
      <c r="D384" s="118" t="s">
        <v>35</v>
      </c>
      <c r="E384" s="118" t="s">
        <v>841</v>
      </c>
      <c r="F384" s="147">
        <v>1</v>
      </c>
      <c r="G384" s="120" t="s">
        <v>759</v>
      </c>
      <c r="H384" s="148">
        <v>184000</v>
      </c>
      <c r="J384"/>
      <c r="K384"/>
      <c r="L384"/>
      <c r="M384"/>
      <c r="N384"/>
      <c r="O384"/>
      <c r="P384"/>
      <c r="Q384"/>
      <c r="R384"/>
      <c r="S384"/>
      <c r="T384"/>
    </row>
    <row r="385" spans="1:20" x14ac:dyDescent="0.25">
      <c r="A385" s="115">
        <v>384</v>
      </c>
      <c r="B385" s="145">
        <v>45349</v>
      </c>
      <c r="C385" s="146">
        <v>2024</v>
      </c>
      <c r="D385" s="118" t="s">
        <v>35</v>
      </c>
      <c r="E385" s="118" t="s">
        <v>838</v>
      </c>
      <c r="F385" s="147">
        <v>1</v>
      </c>
      <c r="G385" s="120" t="s">
        <v>759</v>
      </c>
      <c r="H385" s="148">
        <v>75000</v>
      </c>
      <c r="J385"/>
      <c r="K385"/>
      <c r="L385"/>
      <c r="M385"/>
      <c r="N385"/>
      <c r="O385"/>
      <c r="P385"/>
      <c r="Q385"/>
      <c r="R385"/>
      <c r="S385"/>
      <c r="T385"/>
    </row>
    <row r="386" spans="1:20" x14ac:dyDescent="0.25">
      <c r="A386" s="115">
        <v>385</v>
      </c>
      <c r="B386" s="155">
        <v>45349</v>
      </c>
      <c r="C386" s="146">
        <v>2024</v>
      </c>
      <c r="D386" s="118" t="s">
        <v>35</v>
      </c>
      <c r="E386" s="118" t="s">
        <v>840</v>
      </c>
      <c r="F386" s="147">
        <v>1</v>
      </c>
      <c r="G386" s="120" t="s">
        <v>759</v>
      </c>
      <c r="H386" s="148">
        <v>50000</v>
      </c>
      <c r="J386"/>
      <c r="K386"/>
      <c r="L386"/>
      <c r="M386"/>
      <c r="N386"/>
      <c r="O386"/>
      <c r="P386"/>
      <c r="Q386"/>
      <c r="R386"/>
      <c r="S386"/>
      <c r="T386"/>
    </row>
    <row r="387" spans="1:20" x14ac:dyDescent="0.25">
      <c r="A387" s="115">
        <v>386</v>
      </c>
      <c r="B387" s="145">
        <v>45349</v>
      </c>
      <c r="C387" s="146">
        <v>2024</v>
      </c>
      <c r="D387" s="118" t="s">
        <v>35</v>
      </c>
      <c r="E387" s="118" t="s">
        <v>837</v>
      </c>
      <c r="F387" s="147">
        <v>1</v>
      </c>
      <c r="G387" s="120" t="s">
        <v>759</v>
      </c>
      <c r="H387" s="148">
        <v>400000</v>
      </c>
      <c r="J387"/>
      <c r="K387"/>
      <c r="L387"/>
      <c r="M387"/>
      <c r="N387"/>
      <c r="O387"/>
      <c r="P387"/>
      <c r="Q387"/>
      <c r="R387"/>
      <c r="S387"/>
      <c r="T387"/>
    </row>
    <row r="388" spans="1:20" x14ac:dyDescent="0.25">
      <c r="A388" s="115">
        <v>387</v>
      </c>
      <c r="B388" s="145">
        <v>45349</v>
      </c>
      <c r="C388" s="146">
        <v>2024</v>
      </c>
      <c r="D388" s="118" t="s">
        <v>35</v>
      </c>
      <c r="E388" s="118" t="s">
        <v>841</v>
      </c>
      <c r="F388" s="147">
        <v>1</v>
      </c>
      <c r="G388" s="120" t="s">
        <v>759</v>
      </c>
      <c r="H388" s="148">
        <v>184000</v>
      </c>
      <c r="J388"/>
      <c r="K388"/>
      <c r="L388"/>
      <c r="M388"/>
      <c r="N388"/>
      <c r="O388"/>
      <c r="P388"/>
      <c r="Q388"/>
      <c r="R388"/>
      <c r="S388"/>
      <c r="T388"/>
    </row>
    <row r="389" spans="1:20" x14ac:dyDescent="0.25">
      <c r="A389" s="115">
        <v>388</v>
      </c>
      <c r="B389" s="145">
        <v>45349</v>
      </c>
      <c r="C389" s="146">
        <v>2024</v>
      </c>
      <c r="D389" s="118" t="s">
        <v>35</v>
      </c>
      <c r="E389" s="118" t="s">
        <v>838</v>
      </c>
      <c r="F389" s="147">
        <v>1</v>
      </c>
      <c r="G389" s="120" t="s">
        <v>759</v>
      </c>
      <c r="H389" s="148">
        <v>75000</v>
      </c>
      <c r="J389"/>
      <c r="K389"/>
      <c r="L389"/>
      <c r="M389"/>
      <c r="N389"/>
      <c r="O389"/>
      <c r="P389"/>
      <c r="Q389"/>
      <c r="R389"/>
      <c r="S389"/>
      <c r="T389"/>
    </row>
    <row r="390" spans="1:20" x14ac:dyDescent="0.25">
      <c r="A390" s="115">
        <v>389</v>
      </c>
      <c r="B390" s="145">
        <v>45349</v>
      </c>
      <c r="C390" s="146">
        <v>2024</v>
      </c>
      <c r="D390" s="118" t="s">
        <v>35</v>
      </c>
      <c r="E390" s="118" t="s">
        <v>837</v>
      </c>
      <c r="F390" s="147">
        <v>1</v>
      </c>
      <c r="G390" s="120" t="s">
        <v>759</v>
      </c>
      <c r="H390" s="148">
        <v>400000</v>
      </c>
      <c r="J390"/>
      <c r="K390"/>
      <c r="L390"/>
      <c r="M390"/>
      <c r="N390"/>
      <c r="O390"/>
      <c r="P390"/>
      <c r="Q390"/>
      <c r="R390"/>
      <c r="S390"/>
      <c r="T390"/>
    </row>
    <row r="391" spans="1:20" x14ac:dyDescent="0.25">
      <c r="A391" s="115">
        <v>390</v>
      </c>
      <c r="B391" s="145">
        <v>45349</v>
      </c>
      <c r="C391" s="146">
        <v>2024</v>
      </c>
      <c r="D391" s="118" t="s">
        <v>35</v>
      </c>
      <c r="E391" s="118" t="s">
        <v>838</v>
      </c>
      <c r="F391" s="147">
        <v>1</v>
      </c>
      <c r="G391" s="120" t="s">
        <v>759</v>
      </c>
      <c r="H391" s="148">
        <v>75000</v>
      </c>
      <c r="J391"/>
      <c r="K391"/>
      <c r="L391"/>
      <c r="M391"/>
      <c r="N391"/>
      <c r="O391"/>
      <c r="P391"/>
      <c r="Q391"/>
      <c r="R391"/>
      <c r="S391"/>
      <c r="T391"/>
    </row>
    <row r="392" spans="1:20" x14ac:dyDescent="0.25">
      <c r="A392" s="115">
        <v>391</v>
      </c>
      <c r="B392" s="145">
        <v>45349</v>
      </c>
      <c r="C392" s="146">
        <v>2024</v>
      </c>
      <c r="D392" s="118" t="s">
        <v>35</v>
      </c>
      <c r="E392" s="118" t="s">
        <v>839</v>
      </c>
      <c r="F392" s="147">
        <v>1</v>
      </c>
      <c r="G392" s="120" t="s">
        <v>759</v>
      </c>
      <c r="H392" s="148">
        <v>195000</v>
      </c>
      <c r="J392"/>
      <c r="K392"/>
      <c r="L392"/>
      <c r="M392"/>
      <c r="N392"/>
      <c r="O392"/>
      <c r="P392"/>
      <c r="Q392"/>
      <c r="R392"/>
      <c r="S392"/>
      <c r="T392"/>
    </row>
    <row r="393" spans="1:20" x14ac:dyDescent="0.25">
      <c r="A393" s="115">
        <v>392</v>
      </c>
      <c r="B393" s="145">
        <v>45349</v>
      </c>
      <c r="C393" s="146">
        <v>2024</v>
      </c>
      <c r="D393" s="118" t="s">
        <v>35</v>
      </c>
      <c r="E393" s="118" t="s">
        <v>920</v>
      </c>
      <c r="F393" s="147">
        <v>1</v>
      </c>
      <c r="G393" s="120" t="s">
        <v>759</v>
      </c>
      <c r="H393" s="148">
        <v>85000</v>
      </c>
      <c r="J393"/>
      <c r="K393"/>
      <c r="L393"/>
      <c r="M393"/>
      <c r="N393"/>
      <c r="O393"/>
      <c r="P393"/>
      <c r="Q393"/>
      <c r="R393"/>
      <c r="S393"/>
      <c r="T393"/>
    </row>
    <row r="394" spans="1:20" x14ac:dyDescent="0.25">
      <c r="A394" s="115">
        <v>393</v>
      </c>
      <c r="B394" s="145">
        <v>45349</v>
      </c>
      <c r="C394" s="146">
        <v>2024</v>
      </c>
      <c r="D394" s="118" t="s">
        <v>35</v>
      </c>
      <c r="E394" s="118" t="s">
        <v>919</v>
      </c>
      <c r="F394" s="147">
        <v>1</v>
      </c>
      <c r="G394" s="120" t="s">
        <v>759</v>
      </c>
      <c r="H394" s="148">
        <v>95000</v>
      </c>
      <c r="J394"/>
      <c r="K394"/>
      <c r="L394"/>
      <c r="M394"/>
      <c r="N394"/>
      <c r="O394"/>
      <c r="P394"/>
      <c r="Q394"/>
      <c r="R394"/>
      <c r="S394"/>
      <c r="T394"/>
    </row>
    <row r="395" spans="1:20" x14ac:dyDescent="0.25">
      <c r="A395" s="115">
        <v>394</v>
      </c>
      <c r="B395" s="155">
        <v>45349</v>
      </c>
      <c r="C395" s="146">
        <v>2024</v>
      </c>
      <c r="D395" s="118" t="s">
        <v>35</v>
      </c>
      <c r="E395" s="118" t="s">
        <v>918</v>
      </c>
      <c r="F395" s="147">
        <v>1</v>
      </c>
      <c r="G395" s="120" t="s">
        <v>759</v>
      </c>
      <c r="H395" s="148">
        <v>100000</v>
      </c>
      <c r="J395"/>
      <c r="K395"/>
      <c r="L395"/>
      <c r="M395"/>
      <c r="N395"/>
      <c r="O395"/>
      <c r="P395"/>
      <c r="Q395"/>
      <c r="R395"/>
      <c r="S395"/>
      <c r="T395"/>
    </row>
    <row r="396" spans="1:20" x14ac:dyDescent="0.25">
      <c r="A396" s="115">
        <v>395</v>
      </c>
      <c r="B396" s="145">
        <v>45349</v>
      </c>
      <c r="C396" s="146">
        <v>2024</v>
      </c>
      <c r="D396" s="118" t="s">
        <v>35</v>
      </c>
      <c r="E396" s="118" t="s">
        <v>837</v>
      </c>
      <c r="F396" s="147">
        <v>1</v>
      </c>
      <c r="G396" s="120" t="s">
        <v>759</v>
      </c>
      <c r="H396" s="148">
        <v>400000</v>
      </c>
      <c r="J396"/>
      <c r="K396"/>
      <c r="L396"/>
      <c r="M396"/>
      <c r="N396"/>
      <c r="O396"/>
      <c r="P396"/>
      <c r="Q396"/>
      <c r="R396"/>
      <c r="S396"/>
      <c r="T396"/>
    </row>
    <row r="397" spans="1:20" x14ac:dyDescent="0.25">
      <c r="A397" s="115">
        <v>396</v>
      </c>
      <c r="B397" s="145">
        <v>45349</v>
      </c>
      <c r="C397" s="146">
        <v>2024</v>
      </c>
      <c r="D397" s="118" t="s">
        <v>35</v>
      </c>
      <c r="E397" s="118" t="s">
        <v>838</v>
      </c>
      <c r="F397" s="147">
        <v>1</v>
      </c>
      <c r="G397" s="120" t="s">
        <v>759</v>
      </c>
      <c r="H397" s="148">
        <v>75000</v>
      </c>
      <c r="J397"/>
      <c r="K397"/>
      <c r="L397"/>
      <c r="M397"/>
      <c r="N397"/>
      <c r="O397"/>
      <c r="P397"/>
      <c r="Q397"/>
      <c r="R397"/>
      <c r="S397"/>
      <c r="T397"/>
    </row>
    <row r="398" spans="1:20" x14ac:dyDescent="0.25">
      <c r="A398" s="115">
        <v>397</v>
      </c>
      <c r="B398" s="116">
        <v>45350</v>
      </c>
      <c r="C398" s="117">
        <v>2024</v>
      </c>
      <c r="D398" s="118" t="s">
        <v>35</v>
      </c>
      <c r="E398" s="119" t="s">
        <v>211</v>
      </c>
      <c r="F398" s="120">
        <v>5</v>
      </c>
      <c r="G398" s="120" t="s">
        <v>759</v>
      </c>
      <c r="H398" s="121">
        <v>180000</v>
      </c>
      <c r="J398"/>
      <c r="K398"/>
      <c r="L398"/>
      <c r="M398"/>
      <c r="N398"/>
      <c r="O398"/>
      <c r="P398"/>
      <c r="Q398"/>
      <c r="R398"/>
      <c r="S398"/>
      <c r="T398"/>
    </row>
    <row r="399" spans="1:20" x14ac:dyDescent="0.25">
      <c r="A399" s="115">
        <v>398</v>
      </c>
      <c r="B399" s="116">
        <v>45350</v>
      </c>
      <c r="C399" s="117">
        <v>2024</v>
      </c>
      <c r="D399" s="118" t="s">
        <v>35</v>
      </c>
      <c r="E399" s="119" t="s">
        <v>211</v>
      </c>
      <c r="F399" s="120">
        <v>1</v>
      </c>
      <c r="G399" s="120" t="s">
        <v>759</v>
      </c>
      <c r="H399" s="121">
        <v>20000</v>
      </c>
      <c r="J399"/>
      <c r="K399"/>
      <c r="L399"/>
      <c r="M399"/>
      <c r="N399"/>
      <c r="O399"/>
      <c r="P399"/>
      <c r="Q399"/>
      <c r="R399"/>
      <c r="S399"/>
      <c r="T399"/>
    </row>
    <row r="400" spans="1:20" x14ac:dyDescent="0.25">
      <c r="A400" s="115">
        <v>399</v>
      </c>
      <c r="B400" s="116">
        <v>45351</v>
      </c>
      <c r="C400" s="117">
        <v>2024</v>
      </c>
      <c r="D400" s="118" t="s">
        <v>35</v>
      </c>
      <c r="E400" s="119" t="s">
        <v>921</v>
      </c>
      <c r="F400" s="120">
        <v>150</v>
      </c>
      <c r="G400" s="120" t="s">
        <v>759</v>
      </c>
      <c r="H400" s="121">
        <v>1300000</v>
      </c>
      <c r="J400"/>
      <c r="K400"/>
      <c r="L400"/>
      <c r="M400"/>
      <c r="N400"/>
      <c r="O400"/>
      <c r="P400"/>
      <c r="Q400"/>
      <c r="R400"/>
      <c r="S400"/>
      <c r="T400"/>
    </row>
    <row r="401" spans="1:20" x14ac:dyDescent="0.25">
      <c r="A401" s="115">
        <v>400</v>
      </c>
      <c r="B401" s="145">
        <v>45353</v>
      </c>
      <c r="C401" s="146">
        <v>2024</v>
      </c>
      <c r="D401" s="118" t="s">
        <v>35</v>
      </c>
      <c r="E401" s="118" t="s">
        <v>789</v>
      </c>
      <c r="F401" s="147">
        <v>1</v>
      </c>
      <c r="G401" s="120" t="s">
        <v>759</v>
      </c>
      <c r="H401" s="148">
        <v>100000</v>
      </c>
      <c r="J401"/>
      <c r="K401"/>
      <c r="L401"/>
      <c r="M401"/>
      <c r="N401"/>
      <c r="O401"/>
      <c r="P401"/>
      <c r="Q401"/>
      <c r="R401"/>
      <c r="S401"/>
      <c r="T401"/>
    </row>
    <row r="402" spans="1:20" x14ac:dyDescent="0.25">
      <c r="A402" s="115">
        <v>401</v>
      </c>
      <c r="B402" s="145">
        <v>45356</v>
      </c>
      <c r="C402" s="146">
        <v>2024</v>
      </c>
      <c r="D402" s="118" t="s">
        <v>35</v>
      </c>
      <c r="E402" s="118" t="s">
        <v>922</v>
      </c>
      <c r="F402" s="147">
        <v>1</v>
      </c>
      <c r="G402" s="120" t="s">
        <v>759</v>
      </c>
      <c r="H402" s="148">
        <v>25000</v>
      </c>
      <c r="J402"/>
      <c r="K402"/>
      <c r="L402"/>
      <c r="M402"/>
      <c r="N402"/>
      <c r="O402"/>
      <c r="P402"/>
      <c r="Q402"/>
      <c r="R402"/>
      <c r="S402"/>
      <c r="T402"/>
    </row>
    <row r="403" spans="1:20" x14ac:dyDescent="0.25">
      <c r="A403" s="115">
        <v>402</v>
      </c>
      <c r="B403" s="145">
        <v>45357</v>
      </c>
      <c r="C403" s="146">
        <v>2024</v>
      </c>
      <c r="D403" s="118" t="s">
        <v>35</v>
      </c>
      <c r="E403" s="118" t="s">
        <v>923</v>
      </c>
      <c r="F403" s="147">
        <v>1</v>
      </c>
      <c r="G403" s="120" t="s">
        <v>759</v>
      </c>
      <c r="H403" s="148">
        <v>100000</v>
      </c>
      <c r="J403"/>
      <c r="K403"/>
      <c r="L403"/>
      <c r="M403"/>
      <c r="N403"/>
      <c r="O403"/>
      <c r="P403"/>
      <c r="Q403"/>
      <c r="R403"/>
      <c r="S403"/>
      <c r="T403"/>
    </row>
    <row r="404" spans="1:20" x14ac:dyDescent="0.25">
      <c r="A404" s="115">
        <v>403</v>
      </c>
      <c r="B404" s="116">
        <v>45358</v>
      </c>
      <c r="C404" s="117">
        <v>2024</v>
      </c>
      <c r="D404" s="118" t="s">
        <v>35</v>
      </c>
      <c r="E404" s="119" t="s">
        <v>211</v>
      </c>
      <c r="F404" s="120">
        <v>1</v>
      </c>
      <c r="G404" s="120" t="s">
        <v>759</v>
      </c>
      <c r="H404" s="121">
        <v>17700</v>
      </c>
      <c r="J404"/>
      <c r="K404"/>
      <c r="L404"/>
      <c r="M404"/>
      <c r="N404"/>
      <c r="O404"/>
      <c r="P404"/>
      <c r="Q404"/>
      <c r="R404"/>
      <c r="S404"/>
      <c r="T404"/>
    </row>
    <row r="405" spans="1:20" x14ac:dyDescent="0.25">
      <c r="A405" s="115">
        <v>404</v>
      </c>
      <c r="B405" s="116">
        <v>45360</v>
      </c>
      <c r="C405" s="117">
        <v>2024</v>
      </c>
      <c r="D405" s="118" t="s">
        <v>833</v>
      </c>
      <c r="E405" s="119" t="s">
        <v>846</v>
      </c>
      <c r="F405" s="120">
        <v>5</v>
      </c>
      <c r="G405" s="120" t="s">
        <v>759</v>
      </c>
      <c r="H405" s="121">
        <v>39250</v>
      </c>
      <c r="J405"/>
      <c r="K405"/>
      <c r="L405"/>
      <c r="M405"/>
      <c r="N405"/>
      <c r="O405"/>
      <c r="P405"/>
      <c r="Q405"/>
      <c r="R405"/>
      <c r="S405"/>
      <c r="T405"/>
    </row>
    <row r="406" spans="1:20" x14ac:dyDescent="0.25">
      <c r="A406" s="115">
        <v>405</v>
      </c>
      <c r="B406" s="116">
        <v>45360</v>
      </c>
      <c r="C406" s="117">
        <v>2024</v>
      </c>
      <c r="D406" s="118" t="s">
        <v>833</v>
      </c>
      <c r="E406" s="119" t="s">
        <v>846</v>
      </c>
      <c r="F406" s="120">
        <v>40</v>
      </c>
      <c r="G406" s="120" t="s">
        <v>759</v>
      </c>
      <c r="H406" s="121">
        <v>460000</v>
      </c>
      <c r="J406"/>
      <c r="K406"/>
      <c r="L406"/>
      <c r="M406"/>
      <c r="N406"/>
      <c r="O406"/>
      <c r="P406"/>
      <c r="Q406"/>
      <c r="R406"/>
      <c r="S406"/>
      <c r="T406"/>
    </row>
    <row r="407" spans="1:20" x14ac:dyDescent="0.25">
      <c r="A407" s="115">
        <v>406</v>
      </c>
      <c r="B407" s="116">
        <v>45360</v>
      </c>
      <c r="C407" s="117">
        <v>2024</v>
      </c>
      <c r="D407" s="118" t="s">
        <v>833</v>
      </c>
      <c r="E407" s="119" t="s">
        <v>192</v>
      </c>
      <c r="F407" s="120">
        <v>10</v>
      </c>
      <c r="G407" s="120" t="s">
        <v>759</v>
      </c>
      <c r="H407" s="121">
        <v>65000</v>
      </c>
      <c r="J407"/>
      <c r="K407"/>
      <c r="L407"/>
      <c r="M407"/>
      <c r="N407"/>
      <c r="O407"/>
      <c r="P407"/>
      <c r="Q407"/>
      <c r="R407"/>
      <c r="S407"/>
      <c r="T407"/>
    </row>
    <row r="408" spans="1:20" x14ac:dyDescent="0.25">
      <c r="A408" s="115">
        <v>407</v>
      </c>
      <c r="B408" s="116">
        <v>45360</v>
      </c>
      <c r="C408" s="117">
        <v>2024</v>
      </c>
      <c r="D408" s="118" t="s">
        <v>833</v>
      </c>
      <c r="E408" s="119" t="s">
        <v>192</v>
      </c>
      <c r="F408" s="120">
        <v>2</v>
      </c>
      <c r="G408" s="120" t="s">
        <v>759</v>
      </c>
      <c r="H408" s="121">
        <v>20000</v>
      </c>
      <c r="J408"/>
      <c r="K408"/>
      <c r="L408"/>
      <c r="M408"/>
      <c r="N408"/>
      <c r="O408"/>
      <c r="P408"/>
      <c r="Q408"/>
      <c r="R408"/>
      <c r="S408"/>
      <c r="T408"/>
    </row>
    <row r="409" spans="1:20" x14ac:dyDescent="0.25">
      <c r="A409" s="115">
        <v>408</v>
      </c>
      <c r="B409" s="116">
        <v>45360</v>
      </c>
      <c r="C409" s="117">
        <v>2024</v>
      </c>
      <c r="D409" s="118" t="s">
        <v>833</v>
      </c>
      <c r="E409" s="119" t="s">
        <v>924</v>
      </c>
      <c r="F409" s="120">
        <v>2</v>
      </c>
      <c r="G409" s="120" t="s">
        <v>759</v>
      </c>
      <c r="H409" s="121">
        <v>7500</v>
      </c>
      <c r="J409"/>
      <c r="K409"/>
      <c r="L409"/>
      <c r="M409"/>
      <c r="N409"/>
      <c r="O409"/>
      <c r="P409"/>
      <c r="Q409"/>
      <c r="R409"/>
      <c r="S409"/>
      <c r="T409"/>
    </row>
    <row r="410" spans="1:20" x14ac:dyDescent="0.25">
      <c r="A410" s="115">
        <v>409</v>
      </c>
      <c r="B410" s="116">
        <v>45360</v>
      </c>
      <c r="C410" s="117">
        <v>2024</v>
      </c>
      <c r="D410" s="118" t="s">
        <v>833</v>
      </c>
      <c r="E410" s="119" t="s">
        <v>511</v>
      </c>
      <c r="F410" s="120">
        <v>5</v>
      </c>
      <c r="G410" s="120" t="s">
        <v>759</v>
      </c>
      <c r="H410" s="121">
        <v>138500</v>
      </c>
      <c r="J410"/>
      <c r="K410"/>
      <c r="L410"/>
      <c r="M410"/>
      <c r="N410"/>
      <c r="O410"/>
      <c r="P410"/>
      <c r="Q410"/>
      <c r="R410"/>
      <c r="S410"/>
      <c r="T410"/>
    </row>
    <row r="411" spans="1:20" x14ac:dyDescent="0.25">
      <c r="A411" s="115">
        <v>410</v>
      </c>
      <c r="B411" s="116">
        <v>45360</v>
      </c>
      <c r="C411" s="117">
        <v>2024</v>
      </c>
      <c r="D411" s="118" t="s">
        <v>833</v>
      </c>
      <c r="E411" s="119" t="s">
        <v>87</v>
      </c>
      <c r="F411" s="120">
        <v>24</v>
      </c>
      <c r="G411" s="120" t="s">
        <v>759</v>
      </c>
      <c r="H411" s="121">
        <v>37200</v>
      </c>
      <c r="J411"/>
      <c r="K411"/>
      <c r="L411"/>
      <c r="M411"/>
      <c r="N411"/>
      <c r="O411"/>
      <c r="P411"/>
      <c r="Q411"/>
      <c r="R411"/>
      <c r="S411"/>
      <c r="T411"/>
    </row>
    <row r="412" spans="1:20" x14ac:dyDescent="0.25">
      <c r="A412" s="115">
        <v>411</v>
      </c>
      <c r="B412" s="116">
        <v>45360</v>
      </c>
      <c r="C412" s="117">
        <v>2024</v>
      </c>
      <c r="D412" s="118" t="s">
        <v>833</v>
      </c>
      <c r="E412" s="119" t="s">
        <v>925</v>
      </c>
      <c r="F412" s="120">
        <v>1</v>
      </c>
      <c r="G412" s="120" t="s">
        <v>759</v>
      </c>
      <c r="H412" s="121">
        <v>7500</v>
      </c>
      <c r="J412"/>
      <c r="K412"/>
      <c r="L412"/>
      <c r="M412"/>
      <c r="N412"/>
      <c r="O412"/>
      <c r="P412"/>
      <c r="Q412"/>
      <c r="R412"/>
      <c r="S412"/>
      <c r="T412"/>
    </row>
    <row r="413" spans="1:20" x14ac:dyDescent="0.25">
      <c r="A413" s="115">
        <v>412</v>
      </c>
      <c r="B413" s="116">
        <v>45360</v>
      </c>
      <c r="C413" s="117">
        <v>2024</v>
      </c>
      <c r="D413" s="118" t="s">
        <v>833</v>
      </c>
      <c r="E413" s="119" t="s">
        <v>36</v>
      </c>
      <c r="F413" s="120">
        <v>5</v>
      </c>
      <c r="G413" s="120" t="s">
        <v>759</v>
      </c>
      <c r="H413" s="121">
        <v>27500</v>
      </c>
      <c r="J413"/>
      <c r="K413"/>
      <c r="L413"/>
      <c r="M413"/>
      <c r="N413"/>
      <c r="O413"/>
      <c r="P413"/>
      <c r="Q413"/>
      <c r="R413"/>
      <c r="S413"/>
      <c r="T413"/>
    </row>
    <row r="414" spans="1:20" x14ac:dyDescent="0.25">
      <c r="A414" s="115">
        <v>413</v>
      </c>
      <c r="B414" s="116">
        <v>45360</v>
      </c>
      <c r="C414" s="117">
        <v>2024</v>
      </c>
      <c r="D414" s="118" t="s">
        <v>851</v>
      </c>
      <c r="E414" s="119" t="s">
        <v>544</v>
      </c>
      <c r="F414" s="120">
        <v>10</v>
      </c>
      <c r="G414" s="120" t="s">
        <v>759</v>
      </c>
      <c r="H414" s="121">
        <v>245000</v>
      </c>
      <c r="J414"/>
      <c r="K414"/>
      <c r="L414"/>
      <c r="M414"/>
      <c r="N414"/>
      <c r="O414"/>
      <c r="P414"/>
      <c r="Q414"/>
      <c r="R414"/>
      <c r="S414"/>
      <c r="T414"/>
    </row>
    <row r="415" spans="1:20" x14ac:dyDescent="0.25">
      <c r="A415" s="115">
        <v>414</v>
      </c>
      <c r="B415" s="116">
        <v>45360</v>
      </c>
      <c r="C415" s="117">
        <v>2024</v>
      </c>
      <c r="D415" s="118" t="s">
        <v>833</v>
      </c>
      <c r="E415" s="119" t="s">
        <v>589</v>
      </c>
      <c r="F415" s="120">
        <v>1</v>
      </c>
      <c r="G415" s="120" t="s">
        <v>759</v>
      </c>
      <c r="H415" s="121">
        <v>115000</v>
      </c>
      <c r="J415"/>
      <c r="K415"/>
      <c r="L415"/>
      <c r="M415"/>
      <c r="N415"/>
      <c r="O415"/>
      <c r="P415"/>
      <c r="Q415"/>
      <c r="R415"/>
      <c r="S415"/>
      <c r="T415"/>
    </row>
    <row r="416" spans="1:20" x14ac:dyDescent="0.25">
      <c r="A416" s="115">
        <v>415</v>
      </c>
      <c r="B416" s="116">
        <v>45360</v>
      </c>
      <c r="C416" s="117">
        <v>2024</v>
      </c>
      <c r="D416" s="118" t="s">
        <v>833</v>
      </c>
      <c r="E416" s="119" t="s">
        <v>589</v>
      </c>
      <c r="F416" s="120">
        <v>2</v>
      </c>
      <c r="G416" s="120" t="s">
        <v>759</v>
      </c>
      <c r="H416" s="121">
        <v>666000</v>
      </c>
      <c r="J416"/>
      <c r="K416"/>
      <c r="L416"/>
      <c r="M416"/>
      <c r="N416"/>
      <c r="O416"/>
      <c r="P416"/>
      <c r="Q416"/>
      <c r="R416"/>
      <c r="S416"/>
      <c r="T416"/>
    </row>
    <row r="417" spans="1:20" x14ac:dyDescent="0.25">
      <c r="A417" s="115">
        <v>416</v>
      </c>
      <c r="B417" s="116">
        <v>45360</v>
      </c>
      <c r="C417" s="117">
        <v>2024</v>
      </c>
      <c r="D417" s="118" t="s">
        <v>833</v>
      </c>
      <c r="E417" s="119" t="s">
        <v>589</v>
      </c>
      <c r="F417" s="120">
        <v>1</v>
      </c>
      <c r="G417" s="120" t="s">
        <v>759</v>
      </c>
      <c r="H417" s="121">
        <v>333000</v>
      </c>
      <c r="J417"/>
      <c r="K417"/>
      <c r="L417"/>
      <c r="M417"/>
      <c r="N417"/>
      <c r="O417"/>
      <c r="P417"/>
      <c r="Q417"/>
      <c r="R417"/>
      <c r="S417"/>
      <c r="T417"/>
    </row>
    <row r="418" spans="1:20" x14ac:dyDescent="0.25">
      <c r="A418" s="115">
        <v>417</v>
      </c>
      <c r="B418" s="116">
        <v>45360</v>
      </c>
      <c r="C418" s="117">
        <v>2024</v>
      </c>
      <c r="D418" s="118" t="s">
        <v>833</v>
      </c>
      <c r="E418" s="119" t="s">
        <v>478</v>
      </c>
      <c r="F418" s="120">
        <v>15</v>
      </c>
      <c r="G418" s="120" t="s">
        <v>759</v>
      </c>
      <c r="H418" s="121">
        <v>652500</v>
      </c>
      <c r="J418"/>
      <c r="K418"/>
      <c r="L418"/>
      <c r="M418"/>
      <c r="N418"/>
      <c r="O418"/>
      <c r="P418"/>
      <c r="Q418"/>
      <c r="R418"/>
      <c r="S418"/>
      <c r="T418"/>
    </row>
    <row r="419" spans="1:20" x14ac:dyDescent="0.25">
      <c r="A419" s="115">
        <v>418</v>
      </c>
      <c r="B419" s="116">
        <v>45360</v>
      </c>
      <c r="C419" s="117">
        <v>2024</v>
      </c>
      <c r="D419" s="118" t="s">
        <v>851</v>
      </c>
      <c r="E419" s="119" t="s">
        <v>481</v>
      </c>
      <c r="F419" s="120">
        <v>10</v>
      </c>
      <c r="G419" s="120" t="s">
        <v>759</v>
      </c>
      <c r="H419" s="121">
        <v>300000</v>
      </c>
      <c r="J419"/>
      <c r="K419"/>
      <c r="L419"/>
      <c r="M419"/>
      <c r="N419"/>
      <c r="O419"/>
      <c r="P419"/>
      <c r="Q419"/>
      <c r="R419"/>
      <c r="S419"/>
      <c r="T419"/>
    </row>
    <row r="420" spans="1:20" x14ac:dyDescent="0.25">
      <c r="A420" s="115">
        <v>419</v>
      </c>
      <c r="B420" s="116">
        <v>45360</v>
      </c>
      <c r="C420" s="117">
        <v>2024</v>
      </c>
      <c r="D420" s="118" t="s">
        <v>833</v>
      </c>
      <c r="E420" s="119" t="s">
        <v>485</v>
      </c>
      <c r="F420" s="120">
        <v>1</v>
      </c>
      <c r="G420" s="120" t="s">
        <v>759</v>
      </c>
      <c r="H420" s="121">
        <v>8300</v>
      </c>
      <c r="J420"/>
      <c r="K420"/>
      <c r="L420"/>
      <c r="M420"/>
      <c r="N420"/>
      <c r="O420"/>
      <c r="P420"/>
      <c r="Q420"/>
      <c r="R420"/>
      <c r="S420"/>
      <c r="T420"/>
    </row>
    <row r="421" spans="1:20" x14ac:dyDescent="0.25">
      <c r="A421" s="115">
        <v>420</v>
      </c>
      <c r="B421" s="116">
        <v>45360</v>
      </c>
      <c r="C421" s="117">
        <v>2024</v>
      </c>
      <c r="D421" s="118" t="s">
        <v>851</v>
      </c>
      <c r="E421" s="119" t="s">
        <v>299</v>
      </c>
      <c r="F421" s="120">
        <v>72</v>
      </c>
      <c r="G421" s="120" t="s">
        <v>759</v>
      </c>
      <c r="H421" s="121">
        <v>396000</v>
      </c>
      <c r="J421"/>
      <c r="K421"/>
      <c r="L421"/>
      <c r="M421"/>
      <c r="N421"/>
      <c r="O421"/>
      <c r="P421"/>
      <c r="Q421"/>
      <c r="R421"/>
      <c r="S421"/>
      <c r="T421"/>
    </row>
    <row r="422" spans="1:20" x14ac:dyDescent="0.25">
      <c r="A422" s="115">
        <v>421</v>
      </c>
      <c r="B422" s="116">
        <v>45360</v>
      </c>
      <c r="C422" s="117">
        <v>2024</v>
      </c>
      <c r="D422" s="118" t="s">
        <v>851</v>
      </c>
      <c r="E422" s="119" t="s">
        <v>299</v>
      </c>
      <c r="F422" s="120">
        <v>72</v>
      </c>
      <c r="G422" s="120" t="s">
        <v>759</v>
      </c>
      <c r="H422" s="121">
        <v>396000</v>
      </c>
      <c r="J422"/>
      <c r="K422"/>
      <c r="L422"/>
      <c r="M422"/>
      <c r="N422"/>
      <c r="O422"/>
      <c r="P422"/>
      <c r="Q422"/>
      <c r="R422"/>
      <c r="S422"/>
      <c r="T422"/>
    </row>
    <row r="423" spans="1:20" x14ac:dyDescent="0.25">
      <c r="A423" s="115">
        <v>422</v>
      </c>
      <c r="B423" s="116">
        <v>45360</v>
      </c>
      <c r="C423" s="117">
        <v>2024</v>
      </c>
      <c r="D423" s="118" t="s">
        <v>851</v>
      </c>
      <c r="E423" s="119" t="s">
        <v>299</v>
      </c>
      <c r="F423" s="120">
        <v>2</v>
      </c>
      <c r="G423" s="120" t="s">
        <v>759</v>
      </c>
      <c r="H423" s="121">
        <v>33000</v>
      </c>
      <c r="J423"/>
      <c r="K423"/>
      <c r="L423"/>
      <c r="M423"/>
      <c r="N423"/>
      <c r="O423"/>
      <c r="P423"/>
      <c r="Q423"/>
      <c r="R423"/>
      <c r="S423"/>
      <c r="T423"/>
    </row>
    <row r="424" spans="1:20" x14ac:dyDescent="0.25">
      <c r="A424" s="115">
        <v>423</v>
      </c>
      <c r="B424" s="116">
        <v>45360</v>
      </c>
      <c r="C424" s="117">
        <v>2024</v>
      </c>
      <c r="D424" s="118" t="s">
        <v>851</v>
      </c>
      <c r="E424" s="119" t="s">
        <v>159</v>
      </c>
      <c r="F424" s="120">
        <v>2</v>
      </c>
      <c r="G424" s="120" t="s">
        <v>759</v>
      </c>
      <c r="H424" s="121">
        <v>53000</v>
      </c>
      <c r="J424"/>
      <c r="K424"/>
      <c r="L424"/>
      <c r="M424"/>
      <c r="N424"/>
      <c r="O424"/>
      <c r="P424"/>
      <c r="Q424"/>
      <c r="R424"/>
      <c r="S424"/>
      <c r="T424"/>
    </row>
    <row r="425" spans="1:20" x14ac:dyDescent="0.25">
      <c r="A425" s="115">
        <v>424</v>
      </c>
      <c r="B425" s="116">
        <v>45360</v>
      </c>
      <c r="C425" s="117">
        <v>2024</v>
      </c>
      <c r="D425" s="118" t="s">
        <v>833</v>
      </c>
      <c r="E425" s="119" t="s">
        <v>632</v>
      </c>
      <c r="F425" s="120">
        <v>36</v>
      </c>
      <c r="G425" s="120" t="s">
        <v>759</v>
      </c>
      <c r="H425" s="121">
        <v>58500</v>
      </c>
      <c r="J425"/>
      <c r="K425"/>
      <c r="L425"/>
      <c r="M425"/>
      <c r="N425"/>
      <c r="O425"/>
      <c r="P425"/>
      <c r="Q425"/>
      <c r="R425"/>
      <c r="S425"/>
      <c r="T425"/>
    </row>
    <row r="426" spans="1:20" x14ac:dyDescent="0.25">
      <c r="A426" s="115">
        <v>425</v>
      </c>
      <c r="B426" s="116">
        <v>45360</v>
      </c>
      <c r="C426" s="117">
        <v>2024</v>
      </c>
      <c r="D426" s="118" t="s">
        <v>833</v>
      </c>
      <c r="E426" s="119" t="s">
        <v>926</v>
      </c>
      <c r="F426" s="120">
        <v>4</v>
      </c>
      <c r="G426" s="120" t="s">
        <v>759</v>
      </c>
      <c r="H426" s="121">
        <v>37000</v>
      </c>
      <c r="J426"/>
      <c r="K426"/>
      <c r="L426"/>
      <c r="M426"/>
      <c r="N426"/>
      <c r="O426"/>
      <c r="P426"/>
      <c r="Q426"/>
      <c r="R426"/>
      <c r="S426"/>
      <c r="T426"/>
    </row>
    <row r="427" spans="1:20" x14ac:dyDescent="0.25">
      <c r="A427" s="115">
        <v>426</v>
      </c>
      <c r="B427" s="116">
        <v>45360</v>
      </c>
      <c r="C427" s="117">
        <v>2024</v>
      </c>
      <c r="D427" s="118" t="s">
        <v>833</v>
      </c>
      <c r="E427" s="119" t="s">
        <v>517</v>
      </c>
      <c r="F427" s="120">
        <v>10</v>
      </c>
      <c r="G427" s="120" t="s">
        <v>759</v>
      </c>
      <c r="H427" s="121">
        <v>16750</v>
      </c>
      <c r="J427"/>
      <c r="K427"/>
      <c r="L427"/>
      <c r="M427"/>
      <c r="N427"/>
      <c r="O427"/>
      <c r="P427"/>
      <c r="Q427"/>
      <c r="R427"/>
      <c r="S427"/>
      <c r="T427"/>
    </row>
    <row r="428" spans="1:20" x14ac:dyDescent="0.25">
      <c r="A428" s="115">
        <v>427</v>
      </c>
      <c r="B428" s="116">
        <v>45360</v>
      </c>
      <c r="C428" s="117">
        <v>2024</v>
      </c>
      <c r="D428" s="118" t="s">
        <v>833</v>
      </c>
      <c r="E428" s="119" t="s">
        <v>927</v>
      </c>
      <c r="F428" s="120">
        <v>2</v>
      </c>
      <c r="G428" s="120" t="s">
        <v>759</v>
      </c>
      <c r="H428" s="121">
        <v>15000</v>
      </c>
      <c r="J428"/>
      <c r="K428"/>
      <c r="L428"/>
      <c r="M428"/>
      <c r="N428"/>
      <c r="O428"/>
      <c r="P428"/>
      <c r="Q428"/>
      <c r="R428"/>
      <c r="S428"/>
      <c r="T428"/>
    </row>
    <row r="429" spans="1:20" x14ac:dyDescent="0.25">
      <c r="A429" s="115">
        <v>428</v>
      </c>
      <c r="B429" s="116">
        <v>45360</v>
      </c>
      <c r="C429" s="117">
        <v>2024</v>
      </c>
      <c r="D429" s="118" t="s">
        <v>833</v>
      </c>
      <c r="E429" s="119" t="s">
        <v>855</v>
      </c>
      <c r="F429" s="120">
        <v>1</v>
      </c>
      <c r="G429" s="120" t="s">
        <v>759</v>
      </c>
      <c r="H429" s="121">
        <v>8000</v>
      </c>
      <c r="J429"/>
      <c r="K429"/>
      <c r="L429"/>
      <c r="M429"/>
      <c r="N429"/>
      <c r="O429"/>
      <c r="P429"/>
      <c r="Q429"/>
      <c r="R429"/>
      <c r="S429"/>
      <c r="T429"/>
    </row>
    <row r="430" spans="1:20" x14ac:dyDescent="0.25">
      <c r="A430" s="115">
        <v>429</v>
      </c>
      <c r="B430" s="145">
        <v>45363</v>
      </c>
      <c r="C430" s="146">
        <v>2024</v>
      </c>
      <c r="D430" s="118" t="s">
        <v>35</v>
      </c>
      <c r="E430" s="118" t="s">
        <v>928</v>
      </c>
      <c r="F430" s="147">
        <v>1</v>
      </c>
      <c r="G430" s="120" t="s">
        <v>759</v>
      </c>
      <c r="H430" s="148">
        <v>15500</v>
      </c>
      <c r="J430"/>
      <c r="K430"/>
      <c r="L430"/>
      <c r="M430"/>
      <c r="N430"/>
      <c r="O430"/>
      <c r="P430"/>
      <c r="Q430"/>
      <c r="R430"/>
      <c r="S430"/>
      <c r="T430"/>
    </row>
    <row r="431" spans="1:20" x14ac:dyDescent="0.25">
      <c r="A431" s="115">
        <v>430</v>
      </c>
      <c r="B431" s="145">
        <v>45363</v>
      </c>
      <c r="C431" s="146">
        <v>2024</v>
      </c>
      <c r="D431" s="118" t="s">
        <v>35</v>
      </c>
      <c r="E431" s="118" t="s">
        <v>929</v>
      </c>
      <c r="F431" s="147">
        <v>1</v>
      </c>
      <c r="G431" s="120" t="s">
        <v>759</v>
      </c>
      <c r="H431" s="148">
        <v>135000</v>
      </c>
      <c r="J431"/>
      <c r="K431"/>
      <c r="L431"/>
      <c r="M431"/>
      <c r="N431"/>
      <c r="O431"/>
      <c r="P431"/>
      <c r="Q431"/>
      <c r="R431"/>
      <c r="S431"/>
      <c r="T431"/>
    </row>
    <row r="432" spans="1:20" x14ac:dyDescent="0.25">
      <c r="A432" s="115">
        <v>431</v>
      </c>
      <c r="B432" s="145">
        <v>45363</v>
      </c>
      <c r="C432" s="146">
        <v>2024</v>
      </c>
      <c r="D432" s="118" t="s">
        <v>35</v>
      </c>
      <c r="E432" s="118" t="s">
        <v>872</v>
      </c>
      <c r="F432" s="147">
        <v>1</v>
      </c>
      <c r="G432" s="120" t="s">
        <v>759</v>
      </c>
      <c r="H432" s="148">
        <v>105000</v>
      </c>
      <c r="J432"/>
      <c r="K432"/>
      <c r="L432"/>
      <c r="M432"/>
      <c r="N432"/>
      <c r="O432"/>
      <c r="P432"/>
      <c r="Q432"/>
      <c r="R432"/>
      <c r="S432"/>
      <c r="T432"/>
    </row>
    <row r="433" spans="1:20" x14ac:dyDescent="0.25">
      <c r="A433" s="115">
        <v>432</v>
      </c>
      <c r="B433" s="145">
        <v>45363</v>
      </c>
      <c r="C433" s="146">
        <v>2024</v>
      </c>
      <c r="D433" s="118" t="s">
        <v>35</v>
      </c>
      <c r="E433" s="118" t="s">
        <v>863</v>
      </c>
      <c r="F433" s="147">
        <v>1</v>
      </c>
      <c r="G433" s="120" t="s">
        <v>759</v>
      </c>
      <c r="H433" s="148">
        <v>80000</v>
      </c>
      <c r="J433"/>
      <c r="K433"/>
      <c r="L433"/>
      <c r="M433"/>
      <c r="N433"/>
      <c r="O433"/>
      <c r="P433"/>
      <c r="Q433"/>
      <c r="R433"/>
      <c r="S433"/>
      <c r="T433"/>
    </row>
    <row r="434" spans="1:20" x14ac:dyDescent="0.25">
      <c r="A434" s="115">
        <v>433</v>
      </c>
      <c r="B434" s="145">
        <v>45363</v>
      </c>
      <c r="C434" s="146">
        <v>2024</v>
      </c>
      <c r="D434" s="118" t="s">
        <v>35</v>
      </c>
      <c r="E434" s="118" t="s">
        <v>930</v>
      </c>
      <c r="F434" s="147">
        <v>1</v>
      </c>
      <c r="G434" s="120" t="s">
        <v>759</v>
      </c>
      <c r="H434" s="148">
        <v>14000</v>
      </c>
      <c r="J434"/>
      <c r="K434"/>
      <c r="L434"/>
      <c r="M434"/>
      <c r="N434"/>
      <c r="O434"/>
      <c r="P434"/>
      <c r="Q434"/>
      <c r="R434"/>
      <c r="S434"/>
      <c r="T434"/>
    </row>
    <row r="435" spans="1:20" x14ac:dyDescent="0.25">
      <c r="A435" s="115">
        <v>434</v>
      </c>
      <c r="B435" s="145">
        <v>45363</v>
      </c>
      <c r="C435" s="146">
        <v>2024</v>
      </c>
      <c r="D435" s="118" t="s">
        <v>35</v>
      </c>
      <c r="E435" s="118" t="s">
        <v>252</v>
      </c>
      <c r="F435" s="147">
        <v>2</v>
      </c>
      <c r="G435" s="120" t="s">
        <v>759</v>
      </c>
      <c r="H435" s="148">
        <v>1770000</v>
      </c>
      <c r="J435"/>
      <c r="K435"/>
      <c r="L435"/>
      <c r="M435"/>
      <c r="N435"/>
      <c r="O435"/>
      <c r="P435"/>
      <c r="Q435"/>
      <c r="R435"/>
      <c r="S435"/>
      <c r="T435"/>
    </row>
    <row r="436" spans="1:20" x14ac:dyDescent="0.25">
      <c r="A436" s="115">
        <v>435</v>
      </c>
      <c r="B436" s="145">
        <v>45363</v>
      </c>
      <c r="C436" s="146">
        <v>2024</v>
      </c>
      <c r="D436" s="118" t="s">
        <v>35</v>
      </c>
      <c r="E436" s="118" t="s">
        <v>931</v>
      </c>
      <c r="F436" s="147">
        <v>1</v>
      </c>
      <c r="G436" s="120" t="s">
        <v>759</v>
      </c>
      <c r="H436" s="148">
        <v>60000</v>
      </c>
      <c r="J436"/>
      <c r="K436"/>
      <c r="L436"/>
      <c r="M436"/>
      <c r="N436"/>
      <c r="O436"/>
      <c r="P436"/>
      <c r="Q436"/>
      <c r="R436"/>
      <c r="S436"/>
      <c r="T436"/>
    </row>
    <row r="437" spans="1:20" x14ac:dyDescent="0.25">
      <c r="A437" s="115">
        <v>436</v>
      </c>
      <c r="B437" s="145">
        <v>45363</v>
      </c>
      <c r="C437" s="146">
        <v>2024</v>
      </c>
      <c r="D437" s="118" t="s">
        <v>35</v>
      </c>
      <c r="E437" s="118" t="s">
        <v>932</v>
      </c>
      <c r="F437" s="147">
        <v>1</v>
      </c>
      <c r="G437" s="120" t="s">
        <v>759</v>
      </c>
      <c r="H437" s="148">
        <v>525000</v>
      </c>
      <c r="J437"/>
      <c r="K437"/>
      <c r="L437"/>
      <c r="M437"/>
      <c r="N437"/>
      <c r="O437"/>
      <c r="P437"/>
      <c r="Q437"/>
      <c r="R437"/>
      <c r="S437"/>
      <c r="T437"/>
    </row>
    <row r="438" spans="1:20" x14ac:dyDescent="0.25">
      <c r="A438" s="115">
        <v>437</v>
      </c>
      <c r="B438" s="145">
        <v>45363</v>
      </c>
      <c r="C438" s="146">
        <v>2024</v>
      </c>
      <c r="D438" s="118" t="s">
        <v>35</v>
      </c>
      <c r="E438" s="118" t="s">
        <v>933</v>
      </c>
      <c r="F438" s="147">
        <v>1</v>
      </c>
      <c r="G438" s="120" t="s">
        <v>759</v>
      </c>
      <c r="H438" s="148">
        <v>80000</v>
      </c>
      <c r="J438"/>
      <c r="K438"/>
      <c r="L438"/>
      <c r="M438"/>
      <c r="N438"/>
      <c r="O438"/>
      <c r="P438"/>
      <c r="Q438"/>
      <c r="R438"/>
      <c r="S438"/>
      <c r="T438"/>
    </row>
    <row r="439" spans="1:20" x14ac:dyDescent="0.25">
      <c r="A439" s="115">
        <v>438</v>
      </c>
      <c r="B439" s="145">
        <v>45363</v>
      </c>
      <c r="C439" s="146">
        <v>2024</v>
      </c>
      <c r="D439" s="118" t="s">
        <v>35</v>
      </c>
      <c r="E439" s="118" t="s">
        <v>934</v>
      </c>
      <c r="F439" s="147">
        <v>1</v>
      </c>
      <c r="G439" s="120" t="s">
        <v>759</v>
      </c>
      <c r="H439" s="148">
        <v>275000</v>
      </c>
      <c r="J439"/>
      <c r="K439"/>
      <c r="L439"/>
      <c r="M439"/>
      <c r="N439"/>
      <c r="O439"/>
      <c r="P439"/>
      <c r="Q439"/>
      <c r="R439"/>
      <c r="S439"/>
      <c r="T439"/>
    </row>
    <row r="440" spans="1:20" x14ac:dyDescent="0.25">
      <c r="A440" s="115">
        <v>439</v>
      </c>
      <c r="B440" s="145">
        <v>45363</v>
      </c>
      <c r="C440" s="146">
        <v>2024</v>
      </c>
      <c r="D440" s="118" t="s">
        <v>35</v>
      </c>
      <c r="E440" s="118" t="s">
        <v>935</v>
      </c>
      <c r="F440" s="147">
        <v>1</v>
      </c>
      <c r="G440" s="120" t="s">
        <v>759</v>
      </c>
      <c r="H440" s="148">
        <v>2000</v>
      </c>
      <c r="J440"/>
      <c r="K440"/>
      <c r="L440"/>
      <c r="M440"/>
      <c r="N440"/>
      <c r="O440"/>
      <c r="P440"/>
      <c r="Q440"/>
      <c r="R440"/>
      <c r="S440"/>
      <c r="T440"/>
    </row>
    <row r="441" spans="1:20" x14ac:dyDescent="0.25">
      <c r="A441" s="115">
        <v>440</v>
      </c>
      <c r="B441" s="145">
        <v>45363</v>
      </c>
      <c r="C441" s="146">
        <v>2024</v>
      </c>
      <c r="D441" s="118" t="s">
        <v>35</v>
      </c>
      <c r="E441" s="118" t="s">
        <v>252</v>
      </c>
      <c r="F441" s="147">
        <v>2</v>
      </c>
      <c r="G441" s="120" t="s">
        <v>759</v>
      </c>
      <c r="H441" s="148">
        <v>1740000</v>
      </c>
      <c r="J441"/>
      <c r="K441"/>
      <c r="L441"/>
      <c r="M441"/>
      <c r="N441"/>
      <c r="O441"/>
      <c r="P441"/>
      <c r="Q441"/>
      <c r="R441"/>
      <c r="S441"/>
      <c r="T441"/>
    </row>
    <row r="442" spans="1:20" x14ac:dyDescent="0.25">
      <c r="A442" s="115">
        <v>441</v>
      </c>
      <c r="B442" s="145">
        <v>45363</v>
      </c>
      <c r="C442" s="146">
        <v>2024</v>
      </c>
      <c r="D442" s="118" t="s">
        <v>35</v>
      </c>
      <c r="E442" s="118" t="s">
        <v>931</v>
      </c>
      <c r="F442" s="147">
        <v>1</v>
      </c>
      <c r="G442" s="120" t="s">
        <v>759</v>
      </c>
      <c r="H442" s="148">
        <v>60000</v>
      </c>
      <c r="J442"/>
      <c r="K442"/>
      <c r="L442"/>
      <c r="M442"/>
      <c r="N442"/>
      <c r="O442"/>
      <c r="P442"/>
      <c r="Q442"/>
      <c r="R442"/>
      <c r="S442"/>
      <c r="T442"/>
    </row>
    <row r="443" spans="1:20" x14ac:dyDescent="0.25">
      <c r="A443" s="115">
        <v>442</v>
      </c>
      <c r="B443" s="145">
        <v>45363</v>
      </c>
      <c r="C443" s="146">
        <v>2024</v>
      </c>
      <c r="D443" s="118" t="s">
        <v>35</v>
      </c>
      <c r="E443" s="118" t="s">
        <v>936</v>
      </c>
      <c r="F443" s="147">
        <v>1</v>
      </c>
      <c r="G443" s="120" t="s">
        <v>759</v>
      </c>
      <c r="H443" s="148">
        <v>4000</v>
      </c>
      <c r="J443"/>
      <c r="K443"/>
      <c r="L443"/>
      <c r="M443"/>
      <c r="N443"/>
      <c r="O443"/>
      <c r="P443"/>
      <c r="Q443"/>
      <c r="R443"/>
      <c r="S443"/>
      <c r="T443"/>
    </row>
    <row r="444" spans="1:20" x14ac:dyDescent="0.25">
      <c r="A444" s="115">
        <v>443</v>
      </c>
      <c r="B444" s="145">
        <v>45363</v>
      </c>
      <c r="C444" s="146">
        <v>2024</v>
      </c>
      <c r="D444" s="118" t="s">
        <v>35</v>
      </c>
      <c r="E444" s="118" t="s">
        <v>937</v>
      </c>
      <c r="F444" s="147">
        <v>1</v>
      </c>
      <c r="G444" s="120" t="s">
        <v>759</v>
      </c>
      <c r="H444" s="148">
        <v>37500</v>
      </c>
      <c r="J444"/>
      <c r="K444"/>
      <c r="L444"/>
      <c r="M444"/>
      <c r="N444"/>
      <c r="O444"/>
      <c r="P444"/>
      <c r="Q444"/>
      <c r="R444"/>
      <c r="S444"/>
      <c r="T444"/>
    </row>
    <row r="445" spans="1:20" x14ac:dyDescent="0.25">
      <c r="A445" s="115">
        <v>444</v>
      </c>
      <c r="B445" s="145">
        <v>45363</v>
      </c>
      <c r="C445" s="146">
        <v>2024</v>
      </c>
      <c r="D445" s="118" t="s">
        <v>35</v>
      </c>
      <c r="E445" s="118" t="s">
        <v>938</v>
      </c>
      <c r="F445" s="147">
        <v>1</v>
      </c>
      <c r="G445" s="120" t="s">
        <v>759</v>
      </c>
      <c r="H445" s="148">
        <v>330000</v>
      </c>
      <c r="J445"/>
      <c r="K445"/>
      <c r="L445"/>
      <c r="M445"/>
      <c r="N445"/>
      <c r="O445"/>
      <c r="P445"/>
      <c r="Q445"/>
      <c r="R445"/>
      <c r="S445"/>
      <c r="T445"/>
    </row>
    <row r="446" spans="1:20" x14ac:dyDescent="0.25">
      <c r="A446" s="115">
        <v>445</v>
      </c>
      <c r="B446" s="145">
        <v>45363</v>
      </c>
      <c r="C446" s="146">
        <v>2024</v>
      </c>
      <c r="D446" s="118" t="s">
        <v>35</v>
      </c>
      <c r="E446" s="118" t="s">
        <v>933</v>
      </c>
      <c r="F446" s="147">
        <v>1</v>
      </c>
      <c r="G446" s="120" t="s">
        <v>759</v>
      </c>
      <c r="H446" s="148">
        <v>80000</v>
      </c>
      <c r="J446"/>
      <c r="K446"/>
      <c r="L446"/>
      <c r="M446"/>
      <c r="N446"/>
      <c r="O446"/>
      <c r="P446"/>
      <c r="Q446"/>
      <c r="R446"/>
      <c r="S446"/>
      <c r="T446"/>
    </row>
    <row r="447" spans="1:20" x14ac:dyDescent="0.25">
      <c r="A447" s="115">
        <v>446</v>
      </c>
      <c r="B447" s="145">
        <v>45363</v>
      </c>
      <c r="C447" s="146">
        <v>2024</v>
      </c>
      <c r="D447" s="118" t="s">
        <v>35</v>
      </c>
      <c r="E447" s="118" t="s">
        <v>939</v>
      </c>
      <c r="F447" s="147">
        <v>1</v>
      </c>
      <c r="G447" s="120" t="s">
        <v>759</v>
      </c>
      <c r="H447" s="148">
        <v>50000</v>
      </c>
      <c r="J447"/>
      <c r="K447"/>
      <c r="L447"/>
      <c r="M447"/>
      <c r="N447"/>
      <c r="O447"/>
      <c r="P447"/>
      <c r="Q447"/>
      <c r="R447"/>
      <c r="S447"/>
      <c r="T447"/>
    </row>
    <row r="448" spans="1:20" x14ac:dyDescent="0.25">
      <c r="A448" s="115">
        <v>447</v>
      </c>
      <c r="B448" s="155">
        <v>45363</v>
      </c>
      <c r="C448" s="146">
        <v>2024</v>
      </c>
      <c r="D448" s="118" t="s">
        <v>35</v>
      </c>
      <c r="E448" s="118" t="s">
        <v>439</v>
      </c>
      <c r="F448" s="147">
        <v>1</v>
      </c>
      <c r="G448" s="120" t="s">
        <v>759</v>
      </c>
      <c r="H448" s="148">
        <v>7500</v>
      </c>
      <c r="J448"/>
      <c r="K448"/>
      <c r="L448"/>
      <c r="M448"/>
      <c r="N448"/>
      <c r="O448"/>
      <c r="P448"/>
      <c r="Q448"/>
      <c r="R448"/>
      <c r="S448"/>
      <c r="T448"/>
    </row>
    <row r="449" spans="1:20" x14ac:dyDescent="0.25">
      <c r="A449" s="115">
        <v>448</v>
      </c>
      <c r="B449" s="145">
        <v>45363</v>
      </c>
      <c r="C449" s="146">
        <v>2024</v>
      </c>
      <c r="D449" s="118" t="s">
        <v>35</v>
      </c>
      <c r="E449" s="118" t="s">
        <v>940</v>
      </c>
      <c r="F449" s="147">
        <v>1</v>
      </c>
      <c r="G449" s="120" t="s">
        <v>759</v>
      </c>
      <c r="H449" s="148">
        <v>57500</v>
      </c>
      <c r="J449"/>
      <c r="K449"/>
      <c r="L449"/>
      <c r="M449"/>
      <c r="N449"/>
      <c r="O449"/>
      <c r="P449"/>
      <c r="Q449"/>
      <c r="R449"/>
      <c r="S449"/>
      <c r="T449"/>
    </row>
    <row r="450" spans="1:20" x14ac:dyDescent="0.25">
      <c r="A450" s="115">
        <v>449</v>
      </c>
      <c r="B450" s="145">
        <v>45363</v>
      </c>
      <c r="C450" s="146">
        <v>2024</v>
      </c>
      <c r="D450" s="118" t="s">
        <v>35</v>
      </c>
      <c r="E450" s="118" t="s">
        <v>911</v>
      </c>
      <c r="F450" s="147">
        <v>1</v>
      </c>
      <c r="G450" s="120" t="s">
        <v>759</v>
      </c>
      <c r="H450" s="148">
        <v>10000</v>
      </c>
      <c r="J450"/>
      <c r="K450"/>
      <c r="L450"/>
      <c r="M450"/>
      <c r="N450"/>
      <c r="O450"/>
      <c r="P450"/>
      <c r="Q450"/>
      <c r="R450"/>
      <c r="S450"/>
      <c r="T450"/>
    </row>
    <row r="451" spans="1:20" x14ac:dyDescent="0.25">
      <c r="A451" s="115">
        <v>450</v>
      </c>
      <c r="B451" s="145">
        <v>45363</v>
      </c>
      <c r="C451" s="146">
        <v>2024</v>
      </c>
      <c r="D451" s="118" t="s">
        <v>35</v>
      </c>
      <c r="E451" s="118" t="s">
        <v>941</v>
      </c>
      <c r="F451" s="147">
        <v>1</v>
      </c>
      <c r="G451" s="120" t="s">
        <v>759</v>
      </c>
      <c r="H451" s="148">
        <v>75000</v>
      </c>
      <c r="J451"/>
      <c r="K451"/>
      <c r="L451"/>
      <c r="M451"/>
      <c r="N451"/>
      <c r="O451"/>
      <c r="P451"/>
      <c r="Q451"/>
      <c r="R451"/>
      <c r="S451"/>
      <c r="T451"/>
    </row>
    <row r="452" spans="1:20" x14ac:dyDescent="0.25">
      <c r="A452" s="115">
        <v>451</v>
      </c>
      <c r="B452" s="145">
        <v>45363</v>
      </c>
      <c r="C452" s="146">
        <v>2024</v>
      </c>
      <c r="D452" s="118" t="s">
        <v>35</v>
      </c>
      <c r="E452" s="118" t="s">
        <v>942</v>
      </c>
      <c r="F452" s="147">
        <v>1</v>
      </c>
      <c r="G452" s="120" t="s">
        <v>759</v>
      </c>
      <c r="H452" s="148">
        <v>170000</v>
      </c>
      <c r="J452"/>
      <c r="K452"/>
      <c r="L452"/>
      <c r="M452"/>
      <c r="N452"/>
      <c r="O452"/>
      <c r="P452"/>
      <c r="Q452"/>
      <c r="R452"/>
      <c r="S452"/>
      <c r="T452"/>
    </row>
    <row r="453" spans="1:20" x14ac:dyDescent="0.25">
      <c r="A453" s="115">
        <v>452</v>
      </c>
      <c r="B453" s="145">
        <v>45363</v>
      </c>
      <c r="C453" s="146">
        <v>2024</v>
      </c>
      <c r="D453" s="118" t="s">
        <v>35</v>
      </c>
      <c r="E453" s="118" t="s">
        <v>943</v>
      </c>
      <c r="F453" s="147">
        <v>1</v>
      </c>
      <c r="G453" s="120" t="s">
        <v>759</v>
      </c>
      <c r="H453" s="148">
        <v>170000</v>
      </c>
      <c r="J453"/>
      <c r="K453"/>
      <c r="L453"/>
      <c r="M453"/>
      <c r="N453"/>
      <c r="O453"/>
      <c r="P453"/>
      <c r="Q453"/>
      <c r="R453"/>
      <c r="S453"/>
      <c r="T453"/>
    </row>
    <row r="454" spans="1:20" x14ac:dyDescent="0.25">
      <c r="A454" s="115">
        <v>453</v>
      </c>
      <c r="B454" s="145">
        <v>45363</v>
      </c>
      <c r="C454" s="146">
        <v>2024</v>
      </c>
      <c r="D454" s="118" t="s">
        <v>35</v>
      </c>
      <c r="E454" s="118" t="s">
        <v>944</v>
      </c>
      <c r="F454" s="147">
        <v>1</v>
      </c>
      <c r="G454" s="120" t="s">
        <v>759</v>
      </c>
      <c r="H454" s="148">
        <v>45000</v>
      </c>
      <c r="J454"/>
      <c r="K454"/>
      <c r="L454"/>
      <c r="M454"/>
      <c r="N454"/>
      <c r="O454"/>
      <c r="P454"/>
      <c r="Q454"/>
      <c r="R454"/>
      <c r="S454"/>
      <c r="T454"/>
    </row>
    <row r="455" spans="1:20" x14ac:dyDescent="0.25">
      <c r="A455" s="115">
        <v>454</v>
      </c>
      <c r="B455" s="145">
        <v>45363</v>
      </c>
      <c r="C455" s="146">
        <v>2024</v>
      </c>
      <c r="D455" s="118" t="s">
        <v>35</v>
      </c>
      <c r="E455" s="118" t="s">
        <v>873</v>
      </c>
      <c r="F455" s="147">
        <v>1</v>
      </c>
      <c r="G455" s="120" t="s">
        <v>759</v>
      </c>
      <c r="H455" s="148">
        <v>77500</v>
      </c>
      <c r="J455"/>
      <c r="K455"/>
      <c r="L455"/>
      <c r="M455"/>
      <c r="N455"/>
      <c r="O455"/>
      <c r="P455"/>
      <c r="Q455"/>
      <c r="R455"/>
      <c r="S455"/>
      <c r="T455"/>
    </row>
    <row r="456" spans="1:20" x14ac:dyDescent="0.25">
      <c r="A456" s="115">
        <v>455</v>
      </c>
      <c r="B456" s="145">
        <v>45363</v>
      </c>
      <c r="C456" s="146">
        <v>2024</v>
      </c>
      <c r="D456" s="118" t="s">
        <v>35</v>
      </c>
      <c r="E456" s="118" t="s">
        <v>873</v>
      </c>
      <c r="F456" s="147">
        <v>1</v>
      </c>
      <c r="G456" s="120" t="s">
        <v>759</v>
      </c>
      <c r="H456" s="148">
        <v>72500</v>
      </c>
      <c r="J456"/>
      <c r="K456"/>
      <c r="L456"/>
      <c r="M456"/>
      <c r="N456"/>
      <c r="O456"/>
      <c r="P456"/>
      <c r="Q456"/>
      <c r="R456"/>
      <c r="S456"/>
      <c r="T456"/>
    </row>
    <row r="457" spans="1:20" x14ac:dyDescent="0.25">
      <c r="A457" s="115">
        <v>456</v>
      </c>
      <c r="B457" s="145">
        <v>45363</v>
      </c>
      <c r="C457" s="146">
        <v>2024</v>
      </c>
      <c r="D457" s="118" t="s">
        <v>35</v>
      </c>
      <c r="E457" s="118" t="s">
        <v>945</v>
      </c>
      <c r="F457" s="147">
        <v>1</v>
      </c>
      <c r="G457" s="120" t="s">
        <v>759</v>
      </c>
      <c r="H457" s="148">
        <v>47500</v>
      </c>
      <c r="J457"/>
      <c r="K457"/>
      <c r="L457"/>
      <c r="M457"/>
      <c r="N457"/>
      <c r="O457"/>
      <c r="P457"/>
      <c r="Q457"/>
      <c r="R457"/>
      <c r="S457"/>
      <c r="T457"/>
    </row>
    <row r="458" spans="1:20" x14ac:dyDescent="0.25">
      <c r="A458" s="115">
        <v>457</v>
      </c>
      <c r="B458" s="145">
        <v>45363</v>
      </c>
      <c r="C458" s="146">
        <v>2024</v>
      </c>
      <c r="D458" s="118" t="s">
        <v>35</v>
      </c>
      <c r="E458" s="118" t="s">
        <v>811</v>
      </c>
      <c r="F458" s="147">
        <v>1</v>
      </c>
      <c r="G458" s="120" t="s">
        <v>759</v>
      </c>
      <c r="H458" s="148">
        <v>220000</v>
      </c>
      <c r="J458"/>
      <c r="K458"/>
      <c r="L458"/>
      <c r="M458"/>
      <c r="N458"/>
      <c r="O458"/>
      <c r="P458"/>
      <c r="Q458"/>
      <c r="R458"/>
      <c r="S458"/>
      <c r="T458"/>
    </row>
    <row r="459" spans="1:20" x14ac:dyDescent="0.25">
      <c r="A459" s="115">
        <v>458</v>
      </c>
      <c r="B459" s="145">
        <v>45363</v>
      </c>
      <c r="C459" s="146">
        <v>2024</v>
      </c>
      <c r="D459" s="118" t="s">
        <v>35</v>
      </c>
      <c r="E459" s="118" t="s">
        <v>398</v>
      </c>
      <c r="F459" s="147">
        <v>1</v>
      </c>
      <c r="G459" s="120" t="s">
        <v>759</v>
      </c>
      <c r="H459" s="148">
        <v>6000</v>
      </c>
      <c r="J459"/>
      <c r="K459"/>
      <c r="L459"/>
      <c r="M459"/>
      <c r="N459"/>
      <c r="O459"/>
      <c r="P459"/>
      <c r="Q459"/>
      <c r="R459"/>
      <c r="S459"/>
      <c r="T459"/>
    </row>
    <row r="460" spans="1:20" x14ac:dyDescent="0.25">
      <c r="A460" s="115">
        <v>459</v>
      </c>
      <c r="B460" s="116">
        <v>45364</v>
      </c>
      <c r="C460" s="117">
        <v>2024</v>
      </c>
      <c r="D460" s="118" t="s">
        <v>833</v>
      </c>
      <c r="E460" s="119" t="s">
        <v>632</v>
      </c>
      <c r="F460" s="120">
        <v>20</v>
      </c>
      <c r="G460" s="120" t="s">
        <v>759</v>
      </c>
      <c r="H460" s="121">
        <v>156000</v>
      </c>
      <c r="J460"/>
      <c r="K460"/>
      <c r="L460"/>
      <c r="M460"/>
      <c r="N460"/>
      <c r="O460"/>
      <c r="P460"/>
      <c r="Q460"/>
      <c r="R460"/>
      <c r="S460"/>
      <c r="T460"/>
    </row>
    <row r="461" spans="1:20" x14ac:dyDescent="0.25">
      <c r="A461" s="115">
        <v>460</v>
      </c>
      <c r="B461" s="116">
        <v>45364</v>
      </c>
      <c r="C461" s="117">
        <v>2024</v>
      </c>
      <c r="D461" s="118" t="s">
        <v>833</v>
      </c>
      <c r="E461" s="119" t="s">
        <v>495</v>
      </c>
      <c r="F461" s="120">
        <v>4</v>
      </c>
      <c r="G461" s="120" t="s">
        <v>759</v>
      </c>
      <c r="H461" s="121">
        <v>348000</v>
      </c>
      <c r="J461"/>
      <c r="K461"/>
      <c r="L461"/>
      <c r="M461"/>
      <c r="N461"/>
      <c r="O461"/>
      <c r="P461"/>
      <c r="Q461"/>
      <c r="R461"/>
      <c r="S461"/>
      <c r="T461"/>
    </row>
    <row r="462" spans="1:20" x14ac:dyDescent="0.25">
      <c r="A462" s="115">
        <v>461</v>
      </c>
      <c r="B462" s="145">
        <v>45364</v>
      </c>
      <c r="C462" s="146">
        <v>2024</v>
      </c>
      <c r="D462" s="118" t="s">
        <v>35</v>
      </c>
      <c r="E462" s="118" t="s">
        <v>946</v>
      </c>
      <c r="F462" s="147">
        <v>1</v>
      </c>
      <c r="G462" s="120" t="s">
        <v>759</v>
      </c>
      <c r="H462" s="148">
        <v>360000</v>
      </c>
      <c r="J462"/>
      <c r="K462"/>
      <c r="L462"/>
      <c r="M462"/>
      <c r="N462"/>
      <c r="O462"/>
      <c r="P462"/>
      <c r="Q462"/>
      <c r="R462"/>
      <c r="S462"/>
      <c r="T462"/>
    </row>
    <row r="463" spans="1:20" x14ac:dyDescent="0.25">
      <c r="A463" s="115">
        <v>462</v>
      </c>
      <c r="B463" s="145">
        <v>45364</v>
      </c>
      <c r="C463" s="146">
        <v>2024</v>
      </c>
      <c r="D463" s="118" t="s">
        <v>35</v>
      </c>
      <c r="E463" s="118" t="s">
        <v>947</v>
      </c>
      <c r="F463" s="147">
        <v>1</v>
      </c>
      <c r="G463" s="120" t="s">
        <v>759</v>
      </c>
      <c r="H463" s="148">
        <v>2000</v>
      </c>
      <c r="J463"/>
      <c r="K463"/>
      <c r="L463"/>
      <c r="M463"/>
      <c r="N463"/>
      <c r="O463"/>
      <c r="P463"/>
      <c r="Q463"/>
      <c r="R463"/>
      <c r="S463"/>
      <c r="T463"/>
    </row>
    <row r="464" spans="1:20" x14ac:dyDescent="0.25">
      <c r="A464" s="115">
        <v>463</v>
      </c>
      <c r="B464" s="116">
        <v>45367</v>
      </c>
      <c r="C464" s="117">
        <v>2024</v>
      </c>
      <c r="D464" s="118" t="s">
        <v>35</v>
      </c>
      <c r="E464" s="119" t="s">
        <v>211</v>
      </c>
      <c r="F464" s="120">
        <v>1</v>
      </c>
      <c r="G464" s="120" t="s">
        <v>759</v>
      </c>
      <c r="H464" s="121">
        <v>17700</v>
      </c>
      <c r="J464"/>
      <c r="K464"/>
      <c r="L464"/>
      <c r="M464"/>
      <c r="N464"/>
      <c r="O464"/>
      <c r="P464"/>
      <c r="Q464"/>
      <c r="R464"/>
      <c r="S464"/>
      <c r="T464"/>
    </row>
    <row r="465" spans="1:20" x14ac:dyDescent="0.25">
      <c r="A465" s="115">
        <v>464</v>
      </c>
      <c r="B465" s="116">
        <v>45367</v>
      </c>
      <c r="C465" s="117">
        <v>2024</v>
      </c>
      <c r="D465" s="118" t="s">
        <v>259</v>
      </c>
      <c r="E465" s="119" t="s">
        <v>331</v>
      </c>
      <c r="F465" s="120">
        <v>3</v>
      </c>
      <c r="G465" s="120" t="s">
        <v>759</v>
      </c>
      <c r="H465" s="121">
        <v>501000</v>
      </c>
      <c r="J465"/>
      <c r="K465"/>
      <c r="L465"/>
      <c r="M465"/>
      <c r="N465"/>
      <c r="O465"/>
      <c r="P465"/>
      <c r="Q465"/>
      <c r="R465"/>
      <c r="S465"/>
      <c r="T465"/>
    </row>
    <row r="466" spans="1:20" x14ac:dyDescent="0.25">
      <c r="A466" s="115">
        <v>465</v>
      </c>
      <c r="B466" s="145">
        <v>45367</v>
      </c>
      <c r="C466" s="146">
        <v>2024</v>
      </c>
      <c r="D466" s="118" t="s">
        <v>35</v>
      </c>
      <c r="E466" s="118" t="s">
        <v>948</v>
      </c>
      <c r="F466" s="147">
        <v>1</v>
      </c>
      <c r="G466" s="120" t="s">
        <v>759</v>
      </c>
      <c r="H466" s="148">
        <v>140000</v>
      </c>
      <c r="J466"/>
      <c r="K466"/>
      <c r="L466"/>
      <c r="M466"/>
      <c r="N466"/>
      <c r="O466"/>
      <c r="P466"/>
      <c r="Q466"/>
      <c r="R466"/>
      <c r="S466"/>
      <c r="T466"/>
    </row>
    <row r="467" spans="1:20" x14ac:dyDescent="0.25">
      <c r="A467" s="115">
        <v>466</v>
      </c>
      <c r="B467" s="145">
        <v>45367</v>
      </c>
      <c r="C467" s="146">
        <v>2024</v>
      </c>
      <c r="D467" s="118" t="s">
        <v>35</v>
      </c>
      <c r="E467" s="118" t="s">
        <v>949</v>
      </c>
      <c r="F467" s="147">
        <v>1</v>
      </c>
      <c r="G467" s="120" t="s">
        <v>759</v>
      </c>
      <c r="H467" s="148">
        <v>750000</v>
      </c>
      <c r="J467"/>
      <c r="K467"/>
      <c r="L467"/>
      <c r="M467"/>
      <c r="N467"/>
      <c r="O467"/>
      <c r="P467"/>
      <c r="Q467"/>
      <c r="R467"/>
      <c r="S467"/>
      <c r="T467"/>
    </row>
    <row r="468" spans="1:20" x14ac:dyDescent="0.25">
      <c r="A468" s="115">
        <v>467</v>
      </c>
      <c r="B468" s="145">
        <v>45367</v>
      </c>
      <c r="C468" s="146">
        <v>2024</v>
      </c>
      <c r="D468" s="118" t="s">
        <v>35</v>
      </c>
      <c r="E468" s="118" t="s">
        <v>950</v>
      </c>
      <c r="F468" s="147">
        <v>1</v>
      </c>
      <c r="G468" s="120" t="s">
        <v>759</v>
      </c>
      <c r="H468" s="148">
        <v>425000</v>
      </c>
      <c r="J468"/>
      <c r="K468"/>
      <c r="L468"/>
      <c r="M468"/>
      <c r="N468"/>
      <c r="O468"/>
      <c r="P468"/>
      <c r="Q468"/>
      <c r="R468"/>
      <c r="S468"/>
      <c r="T468"/>
    </row>
    <row r="469" spans="1:20" x14ac:dyDescent="0.25">
      <c r="A469" s="115">
        <v>468</v>
      </c>
      <c r="B469" s="145">
        <v>45369</v>
      </c>
      <c r="C469" s="146">
        <v>2024</v>
      </c>
      <c r="D469" s="118" t="s">
        <v>35</v>
      </c>
      <c r="E469" s="118" t="s">
        <v>794</v>
      </c>
      <c r="F469" s="147">
        <v>1</v>
      </c>
      <c r="G469" s="120" t="s">
        <v>759</v>
      </c>
      <c r="H469" s="148">
        <v>166400</v>
      </c>
      <c r="J469"/>
      <c r="K469"/>
      <c r="L469"/>
      <c r="M469"/>
      <c r="N469"/>
      <c r="O469"/>
      <c r="P469"/>
      <c r="Q469"/>
      <c r="R469"/>
      <c r="S469"/>
      <c r="T469"/>
    </row>
    <row r="470" spans="1:20" x14ac:dyDescent="0.25">
      <c r="A470" s="115">
        <v>469</v>
      </c>
      <c r="B470" s="145">
        <v>45369</v>
      </c>
      <c r="C470" s="146">
        <v>2024</v>
      </c>
      <c r="D470" s="118" t="s">
        <v>35</v>
      </c>
      <c r="E470" s="118" t="s">
        <v>794</v>
      </c>
      <c r="F470" s="147">
        <v>1</v>
      </c>
      <c r="G470" s="120" t="s">
        <v>759</v>
      </c>
      <c r="H470" s="148">
        <v>166400</v>
      </c>
      <c r="J470"/>
      <c r="K470"/>
      <c r="L470"/>
      <c r="M470"/>
      <c r="N470"/>
      <c r="O470"/>
      <c r="P470"/>
      <c r="Q470"/>
      <c r="R470"/>
      <c r="S470"/>
      <c r="T470"/>
    </row>
    <row r="471" spans="1:20" x14ac:dyDescent="0.25">
      <c r="A471" s="115">
        <v>470</v>
      </c>
      <c r="B471" s="145">
        <v>45369</v>
      </c>
      <c r="C471" s="146">
        <v>2024</v>
      </c>
      <c r="D471" s="118" t="s">
        <v>35</v>
      </c>
      <c r="E471" s="118" t="s">
        <v>794</v>
      </c>
      <c r="F471" s="147">
        <v>1</v>
      </c>
      <c r="G471" s="120" t="s">
        <v>759</v>
      </c>
      <c r="H471" s="148">
        <v>166400</v>
      </c>
      <c r="J471"/>
      <c r="K471"/>
      <c r="L471"/>
      <c r="M471"/>
      <c r="N471"/>
      <c r="O471"/>
      <c r="P471"/>
      <c r="Q471"/>
      <c r="R471"/>
      <c r="S471"/>
      <c r="T471"/>
    </row>
    <row r="472" spans="1:20" x14ac:dyDescent="0.25">
      <c r="A472" s="115">
        <v>471</v>
      </c>
      <c r="B472" s="145">
        <v>45369</v>
      </c>
      <c r="C472" s="146">
        <v>2024</v>
      </c>
      <c r="D472" s="118" t="s">
        <v>35</v>
      </c>
      <c r="E472" s="118" t="s">
        <v>794</v>
      </c>
      <c r="F472" s="147">
        <v>1</v>
      </c>
      <c r="G472" s="120" t="s">
        <v>759</v>
      </c>
      <c r="H472" s="148">
        <v>166400</v>
      </c>
      <c r="J472"/>
      <c r="K472"/>
      <c r="L472"/>
      <c r="M472"/>
      <c r="N472"/>
      <c r="O472"/>
      <c r="P472"/>
      <c r="Q472"/>
      <c r="R472"/>
      <c r="S472"/>
      <c r="T472"/>
    </row>
    <row r="473" spans="1:20" x14ac:dyDescent="0.25">
      <c r="A473" s="115">
        <v>472</v>
      </c>
      <c r="B473" s="145">
        <v>45369</v>
      </c>
      <c r="C473" s="146">
        <v>2024</v>
      </c>
      <c r="D473" s="118" t="s">
        <v>35</v>
      </c>
      <c r="E473" s="118" t="s">
        <v>794</v>
      </c>
      <c r="F473" s="147">
        <v>1</v>
      </c>
      <c r="G473" s="120" t="s">
        <v>759</v>
      </c>
      <c r="H473" s="148">
        <v>166400</v>
      </c>
      <c r="J473"/>
      <c r="K473"/>
      <c r="L473"/>
      <c r="M473"/>
      <c r="N473"/>
      <c r="O473"/>
      <c r="P473"/>
      <c r="Q473"/>
      <c r="R473"/>
      <c r="S473"/>
      <c r="T473"/>
    </row>
    <row r="474" spans="1:20" x14ac:dyDescent="0.25">
      <c r="A474" s="115">
        <v>473</v>
      </c>
      <c r="B474" s="116">
        <v>45370</v>
      </c>
      <c r="C474" s="117">
        <v>2024</v>
      </c>
      <c r="D474" s="118" t="s">
        <v>259</v>
      </c>
      <c r="E474" s="119" t="s">
        <v>331</v>
      </c>
      <c r="F474" s="120">
        <v>3</v>
      </c>
      <c r="G474" s="120" t="s">
        <v>759</v>
      </c>
      <c r="H474" s="121">
        <v>740000</v>
      </c>
      <c r="J474"/>
      <c r="K474"/>
      <c r="L474"/>
      <c r="M474"/>
      <c r="N474"/>
      <c r="O474"/>
      <c r="P474"/>
      <c r="Q474"/>
      <c r="R474"/>
      <c r="S474"/>
      <c r="T474"/>
    </row>
    <row r="475" spans="1:20" x14ac:dyDescent="0.25">
      <c r="A475" s="115">
        <v>474</v>
      </c>
      <c r="B475" s="145">
        <v>45370</v>
      </c>
      <c r="C475" s="146">
        <v>2024</v>
      </c>
      <c r="D475" s="118" t="s">
        <v>35</v>
      </c>
      <c r="E475" s="118" t="s">
        <v>785</v>
      </c>
      <c r="F475" s="147">
        <v>1</v>
      </c>
      <c r="G475" s="120" t="s">
        <v>759</v>
      </c>
      <c r="H475" s="148">
        <v>105000</v>
      </c>
      <c r="J475"/>
      <c r="K475"/>
      <c r="L475"/>
      <c r="M475"/>
      <c r="N475"/>
      <c r="O475"/>
      <c r="P475"/>
      <c r="Q475"/>
      <c r="R475"/>
      <c r="S475"/>
      <c r="T475"/>
    </row>
    <row r="476" spans="1:20" x14ac:dyDescent="0.25">
      <c r="A476" s="115">
        <v>475</v>
      </c>
      <c r="B476" s="145">
        <v>45370</v>
      </c>
      <c r="C476" s="146">
        <v>2024</v>
      </c>
      <c r="D476" s="118" t="s">
        <v>35</v>
      </c>
      <c r="E476" s="118" t="s">
        <v>951</v>
      </c>
      <c r="F476" s="147">
        <v>1</v>
      </c>
      <c r="G476" s="120" t="s">
        <v>759</v>
      </c>
      <c r="H476" s="148">
        <v>85000</v>
      </c>
      <c r="J476"/>
      <c r="K476"/>
      <c r="L476"/>
      <c r="M476"/>
      <c r="N476"/>
      <c r="O476"/>
      <c r="P476"/>
      <c r="Q476"/>
      <c r="R476"/>
      <c r="S476"/>
      <c r="T476"/>
    </row>
    <row r="477" spans="1:20" x14ac:dyDescent="0.25">
      <c r="A477" s="115">
        <v>476</v>
      </c>
      <c r="B477" s="145">
        <v>45371</v>
      </c>
      <c r="C477" s="146">
        <v>2024</v>
      </c>
      <c r="D477" s="118" t="s">
        <v>35</v>
      </c>
      <c r="E477" s="118" t="s">
        <v>952</v>
      </c>
      <c r="F477" s="147">
        <v>1</v>
      </c>
      <c r="G477" s="120" t="s">
        <v>759</v>
      </c>
      <c r="H477" s="148">
        <v>400000</v>
      </c>
      <c r="J477"/>
      <c r="K477"/>
      <c r="L477"/>
      <c r="M477"/>
      <c r="N477"/>
      <c r="O477"/>
      <c r="P477"/>
      <c r="Q477"/>
      <c r="R477"/>
      <c r="S477"/>
      <c r="T477"/>
    </row>
    <row r="478" spans="1:20" x14ac:dyDescent="0.25">
      <c r="A478" s="115">
        <v>477</v>
      </c>
      <c r="B478" s="145">
        <v>45371</v>
      </c>
      <c r="C478" s="146">
        <v>2024</v>
      </c>
      <c r="D478" s="118" t="s">
        <v>35</v>
      </c>
      <c r="E478" s="118" t="s">
        <v>840</v>
      </c>
      <c r="F478" s="147">
        <v>1</v>
      </c>
      <c r="G478" s="120" t="s">
        <v>759</v>
      </c>
      <c r="H478" s="148">
        <v>223000</v>
      </c>
      <c r="J478"/>
      <c r="K478"/>
      <c r="L478"/>
      <c r="M478"/>
      <c r="N478"/>
      <c r="O478"/>
      <c r="P478"/>
      <c r="Q478"/>
      <c r="R478"/>
      <c r="S478"/>
      <c r="T478"/>
    </row>
    <row r="479" spans="1:20" x14ac:dyDescent="0.25">
      <c r="A479" s="115">
        <v>478</v>
      </c>
      <c r="B479" s="145">
        <v>45371</v>
      </c>
      <c r="C479" s="146">
        <v>2024</v>
      </c>
      <c r="D479" s="118" t="s">
        <v>35</v>
      </c>
      <c r="E479" s="118" t="s">
        <v>953</v>
      </c>
      <c r="F479" s="147">
        <v>1</v>
      </c>
      <c r="G479" s="120" t="s">
        <v>759</v>
      </c>
      <c r="H479" s="148">
        <v>400000</v>
      </c>
      <c r="J479"/>
      <c r="K479"/>
      <c r="L479"/>
      <c r="M479"/>
      <c r="N479"/>
      <c r="O479"/>
      <c r="P479"/>
      <c r="Q479"/>
      <c r="R479"/>
      <c r="S479"/>
      <c r="T479"/>
    </row>
    <row r="480" spans="1:20" x14ac:dyDescent="0.25">
      <c r="A480" s="115">
        <v>479</v>
      </c>
      <c r="B480" s="145">
        <v>45371</v>
      </c>
      <c r="C480" s="146">
        <v>2024</v>
      </c>
      <c r="D480" s="118" t="s">
        <v>35</v>
      </c>
      <c r="E480" s="118" t="s">
        <v>954</v>
      </c>
      <c r="F480" s="147">
        <v>1</v>
      </c>
      <c r="G480" s="120" t="s">
        <v>759</v>
      </c>
      <c r="H480" s="148">
        <v>140000</v>
      </c>
      <c r="J480"/>
      <c r="K480"/>
      <c r="L480"/>
      <c r="M480"/>
      <c r="N480"/>
      <c r="O480"/>
      <c r="P480"/>
      <c r="Q480"/>
      <c r="R480"/>
      <c r="S480"/>
      <c r="T480"/>
    </row>
    <row r="481" spans="1:20" x14ac:dyDescent="0.25">
      <c r="A481" s="115">
        <v>480</v>
      </c>
      <c r="B481" s="145">
        <v>45371</v>
      </c>
      <c r="C481" s="146">
        <v>2024</v>
      </c>
      <c r="D481" s="118" t="s">
        <v>35</v>
      </c>
      <c r="E481" s="118" t="s">
        <v>952</v>
      </c>
      <c r="F481" s="147">
        <v>1</v>
      </c>
      <c r="G481" s="120" t="s">
        <v>759</v>
      </c>
      <c r="H481" s="148">
        <v>50000</v>
      </c>
      <c r="J481"/>
      <c r="K481"/>
      <c r="L481"/>
      <c r="M481"/>
      <c r="N481"/>
      <c r="O481"/>
      <c r="P481"/>
      <c r="Q481"/>
      <c r="R481"/>
      <c r="S481"/>
      <c r="T481"/>
    </row>
    <row r="482" spans="1:20" x14ac:dyDescent="0.25">
      <c r="A482" s="115">
        <v>481</v>
      </c>
      <c r="B482" s="145">
        <v>45371</v>
      </c>
      <c r="C482" s="146">
        <v>2024</v>
      </c>
      <c r="D482" s="118" t="s">
        <v>35</v>
      </c>
      <c r="E482" s="118" t="s">
        <v>952</v>
      </c>
      <c r="F482" s="147">
        <v>1</v>
      </c>
      <c r="G482" s="120" t="s">
        <v>759</v>
      </c>
      <c r="H482" s="148">
        <v>400000</v>
      </c>
      <c r="J482"/>
      <c r="K482"/>
      <c r="L482"/>
      <c r="M482"/>
      <c r="N482"/>
      <c r="O482"/>
      <c r="P482"/>
      <c r="Q482"/>
      <c r="R482"/>
      <c r="S482"/>
      <c r="T482"/>
    </row>
    <row r="483" spans="1:20" x14ac:dyDescent="0.25">
      <c r="A483" s="115">
        <v>482</v>
      </c>
      <c r="B483" s="145">
        <v>45371</v>
      </c>
      <c r="C483" s="146">
        <v>2024</v>
      </c>
      <c r="D483" s="118" t="s">
        <v>35</v>
      </c>
      <c r="E483" s="118" t="s">
        <v>838</v>
      </c>
      <c r="F483" s="147">
        <v>1</v>
      </c>
      <c r="G483" s="120" t="s">
        <v>759</v>
      </c>
      <c r="H483" s="148">
        <v>75000</v>
      </c>
      <c r="J483"/>
      <c r="K483"/>
      <c r="L483"/>
      <c r="M483"/>
      <c r="N483"/>
      <c r="O483"/>
      <c r="P483"/>
      <c r="Q483"/>
      <c r="R483"/>
      <c r="S483"/>
      <c r="T483"/>
    </row>
    <row r="484" spans="1:20" x14ac:dyDescent="0.25">
      <c r="A484" s="115">
        <v>483</v>
      </c>
      <c r="B484" s="145">
        <v>45371</v>
      </c>
      <c r="C484" s="146">
        <v>2024</v>
      </c>
      <c r="D484" s="118" t="s">
        <v>35</v>
      </c>
      <c r="E484" s="118" t="s">
        <v>952</v>
      </c>
      <c r="F484" s="147">
        <v>1</v>
      </c>
      <c r="G484" s="120" t="s">
        <v>759</v>
      </c>
      <c r="H484" s="148">
        <v>400000</v>
      </c>
      <c r="J484"/>
      <c r="K484"/>
      <c r="L484"/>
      <c r="M484"/>
      <c r="N484"/>
      <c r="O484"/>
      <c r="P484"/>
      <c r="Q484"/>
      <c r="R484"/>
      <c r="S484"/>
      <c r="T484"/>
    </row>
    <row r="485" spans="1:20" x14ac:dyDescent="0.25">
      <c r="A485" s="115">
        <v>484</v>
      </c>
      <c r="B485" s="145">
        <v>45371</v>
      </c>
      <c r="C485" s="146">
        <v>2024</v>
      </c>
      <c r="D485" s="118" t="s">
        <v>35</v>
      </c>
      <c r="E485" s="118" t="s">
        <v>842</v>
      </c>
      <c r="F485" s="147">
        <v>1</v>
      </c>
      <c r="G485" s="120" t="s">
        <v>759</v>
      </c>
      <c r="H485" s="148">
        <v>223000</v>
      </c>
      <c r="J485"/>
      <c r="K485"/>
      <c r="L485"/>
      <c r="M485"/>
      <c r="N485"/>
      <c r="O485"/>
      <c r="P485"/>
      <c r="Q485"/>
      <c r="R485"/>
      <c r="S485"/>
      <c r="T485"/>
    </row>
    <row r="486" spans="1:20" x14ac:dyDescent="0.25">
      <c r="A486" s="115">
        <v>485</v>
      </c>
      <c r="B486" s="145">
        <v>45371</v>
      </c>
      <c r="C486" s="146">
        <v>2024</v>
      </c>
      <c r="D486" s="118" t="s">
        <v>35</v>
      </c>
      <c r="E486" s="118" t="s">
        <v>955</v>
      </c>
      <c r="F486" s="147">
        <v>1</v>
      </c>
      <c r="G486" s="120" t="s">
        <v>759</v>
      </c>
      <c r="H486" s="148">
        <v>184000</v>
      </c>
      <c r="J486"/>
      <c r="K486"/>
      <c r="L486"/>
      <c r="M486"/>
      <c r="N486"/>
      <c r="O486"/>
      <c r="P486"/>
      <c r="Q486"/>
      <c r="R486"/>
      <c r="S486"/>
      <c r="T486"/>
    </row>
    <row r="487" spans="1:20" x14ac:dyDescent="0.25">
      <c r="A487" s="115">
        <v>486</v>
      </c>
      <c r="B487" s="145">
        <v>45371</v>
      </c>
      <c r="C487" s="146">
        <v>2024</v>
      </c>
      <c r="D487" s="118" t="s">
        <v>35</v>
      </c>
      <c r="E487" s="118" t="s">
        <v>952</v>
      </c>
      <c r="F487" s="147">
        <v>1</v>
      </c>
      <c r="G487" s="120" t="s">
        <v>759</v>
      </c>
      <c r="H487" s="148">
        <v>400000</v>
      </c>
      <c r="J487"/>
      <c r="K487"/>
      <c r="L487"/>
      <c r="M487"/>
      <c r="N487"/>
      <c r="O487"/>
      <c r="P487"/>
      <c r="Q487"/>
      <c r="R487"/>
      <c r="S487"/>
      <c r="T487"/>
    </row>
    <row r="488" spans="1:20" x14ac:dyDescent="0.25">
      <c r="A488" s="115">
        <v>487</v>
      </c>
      <c r="B488" s="145">
        <v>45371</v>
      </c>
      <c r="C488" s="146">
        <v>2024</v>
      </c>
      <c r="D488" s="118" t="s">
        <v>35</v>
      </c>
      <c r="E488" s="118" t="s">
        <v>838</v>
      </c>
      <c r="F488" s="147">
        <v>1</v>
      </c>
      <c r="G488" s="120" t="s">
        <v>759</v>
      </c>
      <c r="H488" s="148">
        <v>75000</v>
      </c>
      <c r="J488"/>
      <c r="K488"/>
      <c r="L488"/>
      <c r="M488"/>
      <c r="N488"/>
      <c r="O488"/>
      <c r="P488"/>
      <c r="Q488"/>
      <c r="R488"/>
      <c r="S488"/>
      <c r="T488"/>
    </row>
    <row r="489" spans="1:20" x14ac:dyDescent="0.25">
      <c r="A489" s="115">
        <v>488</v>
      </c>
      <c r="B489" s="145">
        <v>45371</v>
      </c>
      <c r="C489" s="146">
        <v>2024</v>
      </c>
      <c r="D489" s="118" t="s">
        <v>35</v>
      </c>
      <c r="E489" s="118" t="s">
        <v>952</v>
      </c>
      <c r="F489" s="147">
        <v>1</v>
      </c>
      <c r="G489" s="120" t="s">
        <v>759</v>
      </c>
      <c r="H489" s="148">
        <v>400000</v>
      </c>
      <c r="J489"/>
      <c r="K489"/>
      <c r="L489"/>
      <c r="M489"/>
      <c r="N489"/>
      <c r="O489"/>
      <c r="P489"/>
      <c r="Q489"/>
      <c r="R489"/>
      <c r="S489"/>
      <c r="T489"/>
    </row>
    <row r="490" spans="1:20" x14ac:dyDescent="0.25">
      <c r="A490" s="115">
        <v>489</v>
      </c>
      <c r="B490" s="145">
        <v>45371</v>
      </c>
      <c r="C490" s="146">
        <v>2024</v>
      </c>
      <c r="D490" s="118" t="s">
        <v>35</v>
      </c>
      <c r="E490" s="118" t="s">
        <v>956</v>
      </c>
      <c r="F490" s="147">
        <v>1</v>
      </c>
      <c r="G490" s="120" t="s">
        <v>759</v>
      </c>
      <c r="H490" s="148">
        <v>40000</v>
      </c>
      <c r="J490"/>
      <c r="K490"/>
      <c r="L490"/>
      <c r="M490"/>
      <c r="N490"/>
      <c r="O490"/>
      <c r="P490"/>
      <c r="Q490"/>
      <c r="R490"/>
      <c r="S490"/>
      <c r="T490"/>
    </row>
    <row r="491" spans="1:20" x14ac:dyDescent="0.25">
      <c r="A491" s="115">
        <v>490</v>
      </c>
      <c r="B491" s="145">
        <v>45371</v>
      </c>
      <c r="C491" s="146">
        <v>2024</v>
      </c>
      <c r="D491" s="118" t="s">
        <v>35</v>
      </c>
      <c r="E491" s="118" t="s">
        <v>839</v>
      </c>
      <c r="F491" s="147">
        <v>1</v>
      </c>
      <c r="G491" s="120" t="s">
        <v>759</v>
      </c>
      <c r="H491" s="148">
        <v>85000</v>
      </c>
      <c r="J491"/>
      <c r="K491"/>
      <c r="L491"/>
      <c r="M491"/>
      <c r="N491"/>
      <c r="O491"/>
      <c r="P491"/>
      <c r="Q491"/>
      <c r="R491"/>
      <c r="S491"/>
      <c r="T491"/>
    </row>
    <row r="492" spans="1:20" x14ac:dyDescent="0.25">
      <c r="A492" s="115">
        <v>491</v>
      </c>
      <c r="B492" s="145">
        <v>45371</v>
      </c>
      <c r="C492" s="146">
        <v>2024</v>
      </c>
      <c r="D492" s="118" t="s">
        <v>35</v>
      </c>
      <c r="E492" s="118" t="s">
        <v>838</v>
      </c>
      <c r="F492" s="147">
        <v>1</v>
      </c>
      <c r="G492" s="120" t="s">
        <v>759</v>
      </c>
      <c r="H492" s="148">
        <v>50000</v>
      </c>
      <c r="J492"/>
      <c r="K492"/>
      <c r="L492"/>
      <c r="M492"/>
      <c r="N492"/>
      <c r="O492"/>
      <c r="P492"/>
      <c r="Q492"/>
      <c r="R492"/>
      <c r="S492"/>
      <c r="T492"/>
    </row>
    <row r="493" spans="1:20" x14ac:dyDescent="0.25">
      <c r="A493" s="115">
        <v>492</v>
      </c>
      <c r="B493" s="145">
        <v>45371</v>
      </c>
      <c r="C493" s="146">
        <v>2024</v>
      </c>
      <c r="D493" s="118" t="s">
        <v>35</v>
      </c>
      <c r="E493" s="118" t="s">
        <v>952</v>
      </c>
      <c r="F493" s="147">
        <v>1</v>
      </c>
      <c r="G493" s="120" t="s">
        <v>759</v>
      </c>
      <c r="H493" s="148">
        <v>400000</v>
      </c>
      <c r="J493"/>
      <c r="K493"/>
      <c r="L493"/>
      <c r="M493"/>
      <c r="N493"/>
      <c r="O493"/>
      <c r="P493"/>
      <c r="Q493"/>
      <c r="R493"/>
      <c r="S493"/>
      <c r="T493"/>
    </row>
    <row r="494" spans="1:20" x14ac:dyDescent="0.25">
      <c r="A494" s="115">
        <v>493</v>
      </c>
      <c r="B494" s="145">
        <v>45371</v>
      </c>
      <c r="C494" s="146">
        <v>2024</v>
      </c>
      <c r="D494" s="118" t="s">
        <v>35</v>
      </c>
      <c r="E494" s="118" t="s">
        <v>838</v>
      </c>
      <c r="F494" s="147">
        <v>1</v>
      </c>
      <c r="G494" s="120" t="s">
        <v>759</v>
      </c>
      <c r="H494" s="148">
        <v>75000</v>
      </c>
      <c r="J494"/>
      <c r="K494"/>
      <c r="L494"/>
      <c r="M494"/>
      <c r="N494"/>
      <c r="O494"/>
      <c r="P494"/>
      <c r="Q494"/>
      <c r="R494"/>
      <c r="S494"/>
      <c r="T494"/>
    </row>
    <row r="495" spans="1:20" x14ac:dyDescent="0.25">
      <c r="A495" s="115">
        <v>494</v>
      </c>
      <c r="B495" s="145">
        <v>45371</v>
      </c>
      <c r="C495" s="146">
        <v>2024</v>
      </c>
      <c r="D495" s="118" t="s">
        <v>35</v>
      </c>
      <c r="E495" s="118" t="s">
        <v>956</v>
      </c>
      <c r="F495" s="147">
        <v>1</v>
      </c>
      <c r="G495" s="120" t="s">
        <v>759</v>
      </c>
      <c r="H495" s="148">
        <v>85000</v>
      </c>
      <c r="J495"/>
      <c r="K495"/>
      <c r="L495"/>
      <c r="M495"/>
      <c r="N495"/>
      <c r="O495"/>
      <c r="P495"/>
      <c r="Q495"/>
      <c r="R495"/>
      <c r="S495"/>
      <c r="T495"/>
    </row>
    <row r="496" spans="1:20" x14ac:dyDescent="0.25">
      <c r="A496" s="115">
        <v>495</v>
      </c>
      <c r="B496" s="145">
        <v>45371</v>
      </c>
      <c r="C496" s="146">
        <v>2024</v>
      </c>
      <c r="D496" s="118" t="s">
        <v>35</v>
      </c>
      <c r="E496" s="118" t="s">
        <v>956</v>
      </c>
      <c r="F496" s="147">
        <v>1</v>
      </c>
      <c r="G496" s="120" t="s">
        <v>759</v>
      </c>
      <c r="H496" s="148">
        <v>95000</v>
      </c>
      <c r="J496"/>
      <c r="K496"/>
      <c r="L496"/>
      <c r="M496"/>
      <c r="N496"/>
      <c r="O496"/>
      <c r="P496"/>
      <c r="Q496"/>
      <c r="R496"/>
      <c r="S496"/>
      <c r="T496"/>
    </row>
    <row r="497" spans="1:20" x14ac:dyDescent="0.25">
      <c r="A497" s="115">
        <v>496</v>
      </c>
      <c r="B497" s="145">
        <v>45371</v>
      </c>
      <c r="C497" s="146">
        <v>2024</v>
      </c>
      <c r="D497" s="118" t="s">
        <v>35</v>
      </c>
      <c r="E497" s="118" t="s">
        <v>918</v>
      </c>
      <c r="F497" s="147">
        <v>1</v>
      </c>
      <c r="G497" s="120" t="s">
        <v>759</v>
      </c>
      <c r="H497" s="148">
        <v>140000</v>
      </c>
      <c r="J497"/>
      <c r="K497"/>
      <c r="L497"/>
      <c r="M497"/>
      <c r="N497"/>
      <c r="O497"/>
      <c r="P497"/>
      <c r="Q497"/>
      <c r="R497"/>
      <c r="S497"/>
      <c r="T497"/>
    </row>
    <row r="498" spans="1:20" x14ac:dyDescent="0.25">
      <c r="A498" s="115">
        <v>497</v>
      </c>
      <c r="B498" s="145">
        <v>45371</v>
      </c>
      <c r="C498" s="146">
        <v>2024</v>
      </c>
      <c r="D498" s="118" t="s">
        <v>35</v>
      </c>
      <c r="E498" s="118" t="s">
        <v>952</v>
      </c>
      <c r="F498" s="147">
        <v>1</v>
      </c>
      <c r="G498" s="120" t="s">
        <v>759</v>
      </c>
      <c r="H498" s="148">
        <v>400000</v>
      </c>
      <c r="J498"/>
      <c r="K498"/>
      <c r="L498"/>
      <c r="M498"/>
      <c r="N498"/>
      <c r="O498"/>
      <c r="P498"/>
      <c r="Q498"/>
      <c r="R498"/>
      <c r="S498"/>
      <c r="T498"/>
    </row>
    <row r="499" spans="1:20" x14ac:dyDescent="0.25">
      <c r="A499" s="115">
        <v>498</v>
      </c>
      <c r="B499" s="145">
        <v>45371</v>
      </c>
      <c r="C499" s="146">
        <v>2024</v>
      </c>
      <c r="D499" s="118" t="s">
        <v>35</v>
      </c>
      <c r="E499" s="118" t="s">
        <v>838</v>
      </c>
      <c r="F499" s="147">
        <v>1</v>
      </c>
      <c r="G499" s="120" t="s">
        <v>759</v>
      </c>
      <c r="H499" s="148">
        <v>75000</v>
      </c>
      <c r="J499"/>
      <c r="K499"/>
      <c r="L499"/>
      <c r="M499"/>
      <c r="N499"/>
      <c r="O499"/>
      <c r="P499"/>
      <c r="Q499"/>
      <c r="R499"/>
      <c r="S499"/>
      <c r="T499"/>
    </row>
    <row r="500" spans="1:20" x14ac:dyDescent="0.25">
      <c r="A500" s="115">
        <v>499</v>
      </c>
      <c r="B500" s="155">
        <v>45371</v>
      </c>
      <c r="C500" s="146">
        <v>2024</v>
      </c>
      <c r="D500" s="118" t="s">
        <v>35</v>
      </c>
      <c r="E500" s="118" t="s">
        <v>956</v>
      </c>
      <c r="F500" s="147">
        <v>1</v>
      </c>
      <c r="G500" s="120" t="s">
        <v>759</v>
      </c>
      <c r="H500" s="148">
        <v>85000</v>
      </c>
      <c r="J500"/>
      <c r="K500"/>
      <c r="L500"/>
      <c r="M500"/>
      <c r="N500"/>
      <c r="O500"/>
      <c r="P500"/>
      <c r="Q500"/>
      <c r="R500"/>
      <c r="S500"/>
      <c r="T500"/>
    </row>
    <row r="501" spans="1:20" x14ac:dyDescent="0.25">
      <c r="A501" s="115">
        <v>500</v>
      </c>
      <c r="B501" s="155">
        <v>45371</v>
      </c>
      <c r="C501" s="146">
        <v>2024</v>
      </c>
      <c r="D501" s="118" t="s">
        <v>35</v>
      </c>
      <c r="E501" s="118" t="s">
        <v>957</v>
      </c>
      <c r="F501" s="147">
        <v>1</v>
      </c>
      <c r="G501" s="120" t="s">
        <v>759</v>
      </c>
      <c r="H501" s="148">
        <v>95000</v>
      </c>
      <c r="J501"/>
      <c r="K501"/>
      <c r="L501"/>
      <c r="M501"/>
      <c r="N501"/>
      <c r="O501"/>
      <c r="P501"/>
      <c r="Q501"/>
      <c r="R501"/>
      <c r="S501"/>
      <c r="T501"/>
    </row>
    <row r="502" spans="1:20" x14ac:dyDescent="0.25">
      <c r="A502" s="115">
        <v>501</v>
      </c>
      <c r="B502" s="155">
        <v>45371</v>
      </c>
      <c r="C502" s="146">
        <v>2024</v>
      </c>
      <c r="D502" s="118" t="s">
        <v>35</v>
      </c>
      <c r="E502" s="118" t="s">
        <v>838</v>
      </c>
      <c r="F502" s="147">
        <v>1</v>
      </c>
      <c r="G502" s="120" t="s">
        <v>759</v>
      </c>
      <c r="H502" s="148">
        <v>50000</v>
      </c>
      <c r="J502"/>
      <c r="K502"/>
      <c r="L502"/>
      <c r="M502"/>
      <c r="N502"/>
      <c r="O502"/>
      <c r="P502"/>
      <c r="Q502"/>
      <c r="R502"/>
      <c r="S502"/>
      <c r="T502"/>
    </row>
    <row r="503" spans="1:20" x14ac:dyDescent="0.25">
      <c r="A503" s="115">
        <v>502</v>
      </c>
      <c r="B503" s="155">
        <v>45371</v>
      </c>
      <c r="C503" s="146">
        <v>2024</v>
      </c>
      <c r="D503" s="118" t="s">
        <v>35</v>
      </c>
      <c r="E503" s="118" t="s">
        <v>952</v>
      </c>
      <c r="F503" s="147">
        <v>1</v>
      </c>
      <c r="G503" s="120" t="s">
        <v>759</v>
      </c>
      <c r="H503" s="148">
        <v>400000</v>
      </c>
      <c r="J503"/>
      <c r="K503"/>
      <c r="L503"/>
      <c r="M503"/>
      <c r="N503"/>
      <c r="O503"/>
      <c r="P503"/>
      <c r="Q503"/>
      <c r="R503"/>
      <c r="S503"/>
      <c r="T503"/>
    </row>
    <row r="504" spans="1:20" x14ac:dyDescent="0.25">
      <c r="A504" s="115">
        <v>503</v>
      </c>
      <c r="B504" s="155">
        <v>45371</v>
      </c>
      <c r="C504" s="146">
        <v>2024</v>
      </c>
      <c r="D504" s="118" t="s">
        <v>35</v>
      </c>
      <c r="E504" s="118" t="s">
        <v>955</v>
      </c>
      <c r="F504" s="147">
        <v>1</v>
      </c>
      <c r="G504" s="120" t="s">
        <v>759</v>
      </c>
      <c r="H504" s="148">
        <v>223000</v>
      </c>
      <c r="J504"/>
      <c r="K504"/>
      <c r="L504"/>
      <c r="M504"/>
      <c r="N504"/>
      <c r="O504"/>
      <c r="P504"/>
      <c r="Q504"/>
      <c r="R504"/>
      <c r="S504"/>
      <c r="T504"/>
    </row>
    <row r="505" spans="1:20" x14ac:dyDescent="0.25">
      <c r="A505" s="115">
        <v>504</v>
      </c>
      <c r="B505" s="155">
        <v>45371</v>
      </c>
      <c r="C505" s="146">
        <v>2024</v>
      </c>
      <c r="D505" s="118" t="s">
        <v>35</v>
      </c>
      <c r="E505" s="118" t="s">
        <v>838</v>
      </c>
      <c r="F505" s="147">
        <v>1</v>
      </c>
      <c r="G505" s="120" t="s">
        <v>759</v>
      </c>
      <c r="H505" s="148">
        <v>75000</v>
      </c>
      <c r="J505"/>
      <c r="K505"/>
      <c r="L505"/>
      <c r="M505"/>
      <c r="N505"/>
      <c r="O505"/>
      <c r="P505"/>
      <c r="Q505"/>
      <c r="R505"/>
      <c r="S505"/>
      <c r="T505"/>
    </row>
    <row r="506" spans="1:20" x14ac:dyDescent="0.25">
      <c r="A506" s="115">
        <v>505</v>
      </c>
      <c r="B506" s="145">
        <v>45371</v>
      </c>
      <c r="C506" s="146">
        <v>2024</v>
      </c>
      <c r="D506" s="118" t="s">
        <v>35</v>
      </c>
      <c r="E506" s="118" t="s">
        <v>958</v>
      </c>
      <c r="F506" s="147">
        <v>1</v>
      </c>
      <c r="G506" s="120" t="s">
        <v>759</v>
      </c>
      <c r="H506" s="148">
        <v>140000</v>
      </c>
      <c r="J506"/>
      <c r="K506"/>
      <c r="L506"/>
      <c r="M506"/>
      <c r="N506"/>
      <c r="O506"/>
      <c r="P506"/>
      <c r="Q506"/>
      <c r="R506"/>
      <c r="S506"/>
      <c r="T506"/>
    </row>
    <row r="507" spans="1:20" x14ac:dyDescent="0.25">
      <c r="A507" s="115">
        <v>506</v>
      </c>
      <c r="B507" s="145">
        <v>45371</v>
      </c>
      <c r="C507" s="146">
        <v>2024</v>
      </c>
      <c r="D507" s="118" t="s">
        <v>35</v>
      </c>
      <c r="E507" s="118" t="s">
        <v>952</v>
      </c>
      <c r="F507" s="147">
        <v>1</v>
      </c>
      <c r="G507" s="120" t="s">
        <v>759</v>
      </c>
      <c r="H507" s="148">
        <v>400000</v>
      </c>
      <c r="J507"/>
      <c r="K507"/>
      <c r="L507"/>
      <c r="M507"/>
      <c r="N507"/>
      <c r="O507"/>
      <c r="P507"/>
      <c r="Q507"/>
      <c r="R507"/>
      <c r="S507"/>
      <c r="T507"/>
    </row>
    <row r="508" spans="1:20" x14ac:dyDescent="0.25">
      <c r="A508" s="115">
        <v>507</v>
      </c>
      <c r="B508" s="145">
        <v>45371</v>
      </c>
      <c r="C508" s="146">
        <v>2024</v>
      </c>
      <c r="D508" s="118" t="s">
        <v>35</v>
      </c>
      <c r="E508" s="118" t="s">
        <v>955</v>
      </c>
      <c r="F508" s="147">
        <v>1</v>
      </c>
      <c r="G508" s="120" t="s">
        <v>759</v>
      </c>
      <c r="H508" s="148">
        <v>223000</v>
      </c>
      <c r="J508"/>
      <c r="K508"/>
      <c r="L508"/>
      <c r="M508"/>
      <c r="N508"/>
      <c r="O508"/>
      <c r="P508"/>
      <c r="Q508"/>
      <c r="R508"/>
      <c r="S508"/>
      <c r="T508"/>
    </row>
    <row r="509" spans="1:20" x14ac:dyDescent="0.25">
      <c r="A509" s="115">
        <v>508</v>
      </c>
      <c r="B509" s="145">
        <v>45371</v>
      </c>
      <c r="C509" s="146">
        <v>2024</v>
      </c>
      <c r="D509" s="118" t="s">
        <v>35</v>
      </c>
      <c r="E509" s="118" t="s">
        <v>838</v>
      </c>
      <c r="F509" s="147">
        <v>1</v>
      </c>
      <c r="G509" s="120" t="s">
        <v>759</v>
      </c>
      <c r="H509" s="148">
        <v>75000</v>
      </c>
      <c r="J509"/>
      <c r="K509"/>
      <c r="L509"/>
      <c r="M509"/>
      <c r="N509"/>
      <c r="O509"/>
      <c r="P509"/>
      <c r="Q509"/>
      <c r="R509"/>
      <c r="S509"/>
      <c r="T509"/>
    </row>
    <row r="510" spans="1:20" x14ac:dyDescent="0.25">
      <c r="A510" s="115">
        <v>509</v>
      </c>
      <c r="B510" s="145">
        <v>45371</v>
      </c>
      <c r="C510" s="146">
        <v>2024</v>
      </c>
      <c r="D510" s="118" t="s">
        <v>35</v>
      </c>
      <c r="E510" s="118" t="s">
        <v>952</v>
      </c>
      <c r="F510" s="147">
        <v>1</v>
      </c>
      <c r="G510" s="120" t="s">
        <v>759</v>
      </c>
      <c r="H510" s="148">
        <v>400000</v>
      </c>
      <c r="J510"/>
      <c r="K510"/>
      <c r="L510"/>
      <c r="M510"/>
      <c r="N510"/>
      <c r="O510"/>
      <c r="P510"/>
      <c r="Q510"/>
      <c r="R510"/>
      <c r="S510"/>
      <c r="T510"/>
    </row>
    <row r="511" spans="1:20" x14ac:dyDescent="0.25">
      <c r="A511" s="115">
        <v>510</v>
      </c>
      <c r="B511" s="145">
        <v>45371</v>
      </c>
      <c r="C511" s="146">
        <v>2024</v>
      </c>
      <c r="D511" s="118" t="s">
        <v>35</v>
      </c>
      <c r="E511" s="118" t="s">
        <v>838</v>
      </c>
      <c r="F511" s="147">
        <v>1</v>
      </c>
      <c r="G511" s="120" t="s">
        <v>759</v>
      </c>
      <c r="H511" s="148">
        <v>75000</v>
      </c>
      <c r="J511"/>
      <c r="K511"/>
      <c r="L511"/>
      <c r="M511"/>
      <c r="N511"/>
      <c r="O511"/>
      <c r="P511"/>
      <c r="Q511"/>
      <c r="R511"/>
      <c r="S511"/>
      <c r="T511"/>
    </row>
    <row r="512" spans="1:20" x14ac:dyDescent="0.25">
      <c r="A512" s="115">
        <v>511</v>
      </c>
      <c r="B512" s="145">
        <v>45371</v>
      </c>
      <c r="C512" s="146">
        <v>2024</v>
      </c>
      <c r="D512" s="118" t="s">
        <v>35</v>
      </c>
      <c r="E512" s="118" t="s">
        <v>959</v>
      </c>
      <c r="F512" s="147">
        <v>1</v>
      </c>
      <c r="G512" s="120" t="s">
        <v>759</v>
      </c>
      <c r="H512" s="148">
        <v>132000</v>
      </c>
      <c r="J512"/>
      <c r="K512"/>
      <c r="L512"/>
      <c r="M512"/>
      <c r="N512"/>
      <c r="O512"/>
      <c r="P512"/>
      <c r="Q512"/>
      <c r="R512"/>
      <c r="S512"/>
      <c r="T512"/>
    </row>
    <row r="513" spans="1:20" x14ac:dyDescent="0.25">
      <c r="A513" s="115">
        <v>512</v>
      </c>
      <c r="B513" s="145">
        <v>45371</v>
      </c>
      <c r="C513" s="146">
        <v>2024</v>
      </c>
      <c r="D513" s="118" t="s">
        <v>35</v>
      </c>
      <c r="E513" s="118" t="s">
        <v>960</v>
      </c>
      <c r="F513" s="147">
        <v>1</v>
      </c>
      <c r="G513" s="120" t="s">
        <v>759</v>
      </c>
      <c r="H513" s="148">
        <v>190000</v>
      </c>
      <c r="J513"/>
      <c r="K513"/>
      <c r="L513"/>
      <c r="M513"/>
      <c r="N513"/>
      <c r="O513"/>
      <c r="P513"/>
      <c r="Q513"/>
      <c r="R513"/>
      <c r="S513"/>
      <c r="T513"/>
    </row>
    <row r="514" spans="1:20" x14ac:dyDescent="0.25">
      <c r="A514" s="115">
        <v>513</v>
      </c>
      <c r="B514" s="145">
        <v>45371</v>
      </c>
      <c r="C514" s="146">
        <v>2024</v>
      </c>
      <c r="D514" s="118" t="s">
        <v>35</v>
      </c>
      <c r="E514" s="118" t="s">
        <v>838</v>
      </c>
      <c r="F514" s="147">
        <v>1</v>
      </c>
      <c r="G514" s="120" t="s">
        <v>759</v>
      </c>
      <c r="H514" s="148">
        <v>50000</v>
      </c>
      <c r="J514"/>
      <c r="K514"/>
      <c r="L514"/>
      <c r="M514"/>
      <c r="N514"/>
      <c r="O514"/>
      <c r="P514"/>
      <c r="Q514"/>
      <c r="R514"/>
      <c r="S514"/>
      <c r="T514"/>
    </row>
    <row r="515" spans="1:20" x14ac:dyDescent="0.25">
      <c r="A515" s="115">
        <v>514</v>
      </c>
      <c r="B515" s="145">
        <v>45371</v>
      </c>
      <c r="C515" s="146">
        <v>2024</v>
      </c>
      <c r="D515" s="118" t="s">
        <v>35</v>
      </c>
      <c r="E515" s="118" t="s">
        <v>952</v>
      </c>
      <c r="F515" s="147">
        <v>1</v>
      </c>
      <c r="G515" s="120" t="s">
        <v>759</v>
      </c>
      <c r="H515" s="148">
        <v>400000</v>
      </c>
      <c r="J515"/>
      <c r="K515"/>
      <c r="L515"/>
      <c r="M515"/>
      <c r="N515"/>
      <c r="O515"/>
      <c r="P515"/>
      <c r="Q515"/>
      <c r="R515"/>
      <c r="S515"/>
      <c r="T515"/>
    </row>
    <row r="516" spans="1:20" x14ac:dyDescent="0.25">
      <c r="A516" s="115">
        <v>515</v>
      </c>
      <c r="B516" s="145">
        <v>45371</v>
      </c>
      <c r="C516" s="146">
        <v>2024</v>
      </c>
      <c r="D516" s="118" t="s">
        <v>35</v>
      </c>
      <c r="E516" s="118" t="s">
        <v>955</v>
      </c>
      <c r="F516" s="147">
        <v>1</v>
      </c>
      <c r="G516" s="120" t="s">
        <v>759</v>
      </c>
      <c r="H516" s="148">
        <v>223000</v>
      </c>
      <c r="J516"/>
      <c r="K516"/>
      <c r="L516"/>
      <c r="M516"/>
      <c r="N516"/>
      <c r="O516"/>
      <c r="P516"/>
      <c r="Q516"/>
      <c r="R516"/>
      <c r="S516"/>
      <c r="T516"/>
    </row>
    <row r="517" spans="1:20" x14ac:dyDescent="0.25">
      <c r="A517" s="115">
        <v>516</v>
      </c>
      <c r="B517" s="145">
        <v>45371</v>
      </c>
      <c r="C517" s="146">
        <v>2024</v>
      </c>
      <c r="D517" s="118" t="s">
        <v>35</v>
      </c>
      <c r="E517" s="118" t="s">
        <v>842</v>
      </c>
      <c r="F517" s="147">
        <v>1</v>
      </c>
      <c r="G517" s="120" t="s">
        <v>759</v>
      </c>
      <c r="H517" s="148">
        <v>184000</v>
      </c>
      <c r="J517"/>
      <c r="K517"/>
      <c r="L517"/>
      <c r="M517"/>
      <c r="N517"/>
      <c r="O517"/>
      <c r="P517"/>
      <c r="Q517"/>
      <c r="R517"/>
      <c r="S517"/>
      <c r="T517"/>
    </row>
    <row r="518" spans="1:20" x14ac:dyDescent="0.25">
      <c r="A518" s="115">
        <v>517</v>
      </c>
      <c r="B518" s="145">
        <v>45371</v>
      </c>
      <c r="C518" s="146">
        <v>2024</v>
      </c>
      <c r="D518" s="118" t="s">
        <v>35</v>
      </c>
      <c r="E518" s="118" t="s">
        <v>838</v>
      </c>
      <c r="F518" s="147">
        <v>1</v>
      </c>
      <c r="G518" s="120" t="s">
        <v>759</v>
      </c>
      <c r="H518" s="148">
        <v>75000</v>
      </c>
      <c r="J518"/>
      <c r="K518"/>
      <c r="L518"/>
      <c r="M518"/>
      <c r="N518"/>
      <c r="O518"/>
      <c r="P518"/>
      <c r="Q518"/>
      <c r="R518"/>
      <c r="S518"/>
      <c r="T518"/>
    </row>
    <row r="519" spans="1:20" x14ac:dyDescent="0.25">
      <c r="A519" s="115">
        <v>518</v>
      </c>
      <c r="B519" s="145">
        <v>45371</v>
      </c>
      <c r="C519" s="146">
        <v>2024</v>
      </c>
      <c r="D519" s="118" t="s">
        <v>35</v>
      </c>
      <c r="E519" s="118" t="s">
        <v>958</v>
      </c>
      <c r="F519" s="147">
        <v>1</v>
      </c>
      <c r="G519" s="120" t="s">
        <v>759</v>
      </c>
      <c r="H519" s="148">
        <v>140000</v>
      </c>
      <c r="J519"/>
      <c r="K519"/>
      <c r="L519"/>
      <c r="M519"/>
      <c r="N519"/>
      <c r="O519"/>
      <c r="P519"/>
      <c r="Q519"/>
      <c r="R519"/>
      <c r="S519"/>
      <c r="T519"/>
    </row>
    <row r="520" spans="1:20" x14ac:dyDescent="0.25">
      <c r="A520" s="115">
        <v>519</v>
      </c>
      <c r="B520" s="145">
        <v>45371</v>
      </c>
      <c r="C520" s="146">
        <v>2024</v>
      </c>
      <c r="D520" s="118" t="s">
        <v>35</v>
      </c>
      <c r="E520" s="118" t="s">
        <v>952</v>
      </c>
      <c r="F520" s="147">
        <v>1</v>
      </c>
      <c r="G520" s="120" t="s">
        <v>759</v>
      </c>
      <c r="H520" s="148">
        <v>400000</v>
      </c>
      <c r="J520"/>
      <c r="K520"/>
      <c r="L520"/>
      <c r="M520"/>
      <c r="N520"/>
      <c r="O520"/>
      <c r="P520"/>
      <c r="Q520"/>
      <c r="R520"/>
      <c r="S520"/>
      <c r="T520"/>
    </row>
    <row r="521" spans="1:20" x14ac:dyDescent="0.25">
      <c r="A521" s="115">
        <v>520</v>
      </c>
      <c r="B521" s="145">
        <v>45371</v>
      </c>
      <c r="C521" s="146">
        <v>2024</v>
      </c>
      <c r="D521" s="118" t="s">
        <v>35</v>
      </c>
      <c r="E521" s="118" t="s">
        <v>838</v>
      </c>
      <c r="F521" s="147">
        <v>1</v>
      </c>
      <c r="G521" s="120" t="s">
        <v>759</v>
      </c>
      <c r="H521" s="148">
        <v>75000</v>
      </c>
      <c r="J521"/>
      <c r="K521"/>
      <c r="L521"/>
      <c r="M521"/>
      <c r="N521"/>
      <c r="O521"/>
      <c r="P521"/>
      <c r="Q521"/>
      <c r="R521"/>
      <c r="S521"/>
      <c r="T521"/>
    </row>
    <row r="522" spans="1:20" x14ac:dyDescent="0.25">
      <c r="A522" s="115">
        <v>521</v>
      </c>
      <c r="B522" s="145">
        <v>45371</v>
      </c>
      <c r="C522" s="146">
        <v>2024</v>
      </c>
      <c r="D522" s="118" t="s">
        <v>35</v>
      </c>
      <c r="E522" s="118" t="s">
        <v>952</v>
      </c>
      <c r="F522" s="147">
        <v>1</v>
      </c>
      <c r="G522" s="120" t="s">
        <v>759</v>
      </c>
      <c r="H522" s="148">
        <v>400000</v>
      </c>
      <c r="J522"/>
      <c r="K522"/>
      <c r="L522"/>
      <c r="M522"/>
      <c r="N522"/>
      <c r="O522"/>
      <c r="P522"/>
      <c r="Q522"/>
      <c r="R522"/>
      <c r="S522"/>
      <c r="T522"/>
    </row>
    <row r="523" spans="1:20" x14ac:dyDescent="0.25">
      <c r="A523" s="115">
        <v>522</v>
      </c>
      <c r="B523" s="145">
        <v>45371</v>
      </c>
      <c r="C523" s="146">
        <v>2024</v>
      </c>
      <c r="D523" s="118" t="s">
        <v>35</v>
      </c>
      <c r="E523" s="118" t="s">
        <v>838</v>
      </c>
      <c r="F523" s="147">
        <v>1</v>
      </c>
      <c r="G523" s="120" t="s">
        <v>759</v>
      </c>
      <c r="H523" s="148">
        <v>75000</v>
      </c>
      <c r="J523"/>
      <c r="K523"/>
      <c r="L523"/>
      <c r="M523"/>
      <c r="N523"/>
      <c r="O523"/>
      <c r="P523"/>
      <c r="Q523"/>
      <c r="R523"/>
      <c r="S523"/>
      <c r="T523"/>
    </row>
    <row r="524" spans="1:20" x14ac:dyDescent="0.25">
      <c r="A524" s="115">
        <v>523</v>
      </c>
      <c r="B524" s="145">
        <v>45371</v>
      </c>
      <c r="C524" s="146">
        <v>2024</v>
      </c>
      <c r="D524" s="118" t="s">
        <v>35</v>
      </c>
      <c r="E524" s="118" t="s">
        <v>952</v>
      </c>
      <c r="F524" s="147">
        <v>1</v>
      </c>
      <c r="G524" s="120" t="s">
        <v>759</v>
      </c>
      <c r="H524" s="148">
        <v>400000</v>
      </c>
      <c r="J524"/>
      <c r="K524"/>
      <c r="L524"/>
      <c r="M524"/>
      <c r="N524"/>
      <c r="O524"/>
      <c r="P524"/>
      <c r="Q524"/>
      <c r="R524"/>
      <c r="S524"/>
      <c r="T524"/>
    </row>
    <row r="525" spans="1:20" x14ac:dyDescent="0.25">
      <c r="A525" s="115">
        <v>524</v>
      </c>
      <c r="B525" s="145">
        <v>45371</v>
      </c>
      <c r="C525" s="146">
        <v>2024</v>
      </c>
      <c r="D525" s="118" t="s">
        <v>35</v>
      </c>
      <c r="E525" s="118" t="s">
        <v>961</v>
      </c>
      <c r="F525" s="147">
        <v>1</v>
      </c>
      <c r="G525" s="120" t="s">
        <v>759</v>
      </c>
      <c r="H525" s="148">
        <v>85000</v>
      </c>
      <c r="J525"/>
      <c r="K525"/>
      <c r="L525"/>
      <c r="M525"/>
      <c r="N525"/>
      <c r="O525"/>
      <c r="P525"/>
      <c r="Q525"/>
      <c r="R525"/>
      <c r="S525"/>
      <c r="T525"/>
    </row>
    <row r="526" spans="1:20" x14ac:dyDescent="0.25">
      <c r="A526" s="115">
        <v>525</v>
      </c>
      <c r="B526" s="145">
        <v>45371</v>
      </c>
      <c r="C526" s="146">
        <v>2024</v>
      </c>
      <c r="D526" s="118" t="s">
        <v>35</v>
      </c>
      <c r="E526" s="118" t="s">
        <v>838</v>
      </c>
      <c r="F526" s="147">
        <v>1</v>
      </c>
      <c r="G526" s="120" t="s">
        <v>759</v>
      </c>
      <c r="H526" s="148">
        <v>50000</v>
      </c>
      <c r="J526"/>
      <c r="K526"/>
      <c r="L526"/>
      <c r="M526"/>
      <c r="N526"/>
      <c r="O526"/>
      <c r="P526"/>
      <c r="Q526"/>
      <c r="R526"/>
      <c r="S526"/>
      <c r="T526"/>
    </row>
    <row r="527" spans="1:20" x14ac:dyDescent="0.25">
      <c r="A527" s="115">
        <v>526</v>
      </c>
      <c r="B527" s="145">
        <v>45371</v>
      </c>
      <c r="C527" s="146">
        <v>2024</v>
      </c>
      <c r="D527" s="118" t="s">
        <v>35</v>
      </c>
      <c r="E527" s="118" t="s">
        <v>952</v>
      </c>
      <c r="F527" s="147">
        <v>1</v>
      </c>
      <c r="G527" s="120" t="s">
        <v>759</v>
      </c>
      <c r="H527" s="148">
        <v>400000</v>
      </c>
      <c r="J527"/>
      <c r="K527"/>
      <c r="L527"/>
      <c r="M527"/>
      <c r="N527"/>
      <c r="O527"/>
      <c r="P527"/>
      <c r="Q527"/>
      <c r="R527"/>
      <c r="S527"/>
      <c r="T527"/>
    </row>
    <row r="528" spans="1:20" x14ac:dyDescent="0.25">
      <c r="A528" s="115">
        <v>527</v>
      </c>
      <c r="B528" s="145">
        <v>45371</v>
      </c>
      <c r="C528" s="146">
        <v>2024</v>
      </c>
      <c r="D528" s="118" t="s">
        <v>35</v>
      </c>
      <c r="E528" s="118" t="s">
        <v>962</v>
      </c>
      <c r="F528" s="147">
        <v>1</v>
      </c>
      <c r="G528" s="120" t="s">
        <v>759</v>
      </c>
      <c r="H528" s="148">
        <v>140000</v>
      </c>
      <c r="J528"/>
      <c r="K528"/>
      <c r="L528"/>
      <c r="M528"/>
      <c r="N528"/>
      <c r="O528"/>
      <c r="P528"/>
      <c r="Q528"/>
      <c r="R528"/>
      <c r="S528"/>
      <c r="T528"/>
    </row>
    <row r="529" spans="1:20" x14ac:dyDescent="0.25">
      <c r="A529" s="115">
        <v>528</v>
      </c>
      <c r="B529" s="116">
        <v>45373</v>
      </c>
      <c r="C529" s="117">
        <v>2024</v>
      </c>
      <c r="D529" s="118" t="s">
        <v>35</v>
      </c>
      <c r="E529" s="119" t="s">
        <v>211</v>
      </c>
      <c r="F529" s="120">
        <v>1</v>
      </c>
      <c r="G529" s="120" t="s">
        <v>759</v>
      </c>
      <c r="H529" s="121">
        <v>17700</v>
      </c>
      <c r="J529"/>
      <c r="K529"/>
      <c r="L529"/>
      <c r="M529"/>
      <c r="N529"/>
      <c r="O529"/>
      <c r="P529"/>
      <c r="Q529"/>
      <c r="R529"/>
      <c r="S529"/>
      <c r="T529"/>
    </row>
    <row r="530" spans="1:20" x14ac:dyDescent="0.25">
      <c r="A530" s="115">
        <v>529</v>
      </c>
      <c r="B530" s="145">
        <v>45373</v>
      </c>
      <c r="C530" s="146">
        <v>2024</v>
      </c>
      <c r="D530" s="118" t="s">
        <v>35</v>
      </c>
      <c r="E530" s="118" t="s">
        <v>811</v>
      </c>
      <c r="F530" s="147">
        <v>1</v>
      </c>
      <c r="G530" s="120" t="s">
        <v>759</v>
      </c>
      <c r="H530" s="148">
        <v>20000</v>
      </c>
      <c r="J530"/>
      <c r="K530"/>
      <c r="L530"/>
      <c r="M530"/>
      <c r="N530"/>
      <c r="O530"/>
      <c r="P530"/>
      <c r="Q530"/>
      <c r="R530"/>
      <c r="S530"/>
      <c r="T530"/>
    </row>
    <row r="531" spans="1:20" x14ac:dyDescent="0.25">
      <c r="A531" s="115">
        <v>530</v>
      </c>
      <c r="B531" s="116">
        <v>45374</v>
      </c>
      <c r="C531" s="117">
        <v>2024</v>
      </c>
      <c r="D531" s="118" t="s">
        <v>35</v>
      </c>
      <c r="E531" s="119" t="s">
        <v>963</v>
      </c>
      <c r="F531" s="120">
        <v>4</v>
      </c>
      <c r="G531" s="120" t="s">
        <v>759</v>
      </c>
      <c r="H531" s="121">
        <v>572000</v>
      </c>
      <c r="J531"/>
      <c r="K531"/>
      <c r="L531"/>
      <c r="M531"/>
      <c r="N531"/>
      <c r="O531"/>
      <c r="P531"/>
      <c r="Q531"/>
      <c r="R531"/>
      <c r="S531"/>
      <c r="T531"/>
    </row>
    <row r="532" spans="1:20" x14ac:dyDescent="0.25">
      <c r="A532" s="115">
        <v>531</v>
      </c>
      <c r="B532" s="145">
        <v>45378</v>
      </c>
      <c r="C532" s="146">
        <v>2024</v>
      </c>
      <c r="D532" s="118" t="s">
        <v>35</v>
      </c>
      <c r="E532" s="118" t="s">
        <v>964</v>
      </c>
      <c r="F532" s="147">
        <v>1</v>
      </c>
      <c r="G532" s="120" t="s">
        <v>759</v>
      </c>
      <c r="H532" s="148">
        <v>64000</v>
      </c>
      <c r="J532"/>
      <c r="K532"/>
      <c r="L532"/>
      <c r="M532"/>
      <c r="N532"/>
      <c r="O532"/>
      <c r="P532"/>
      <c r="Q532"/>
      <c r="R532"/>
      <c r="S532"/>
      <c r="T532"/>
    </row>
    <row r="533" spans="1:20" x14ac:dyDescent="0.25">
      <c r="A533" s="115">
        <v>532</v>
      </c>
      <c r="B533" s="145">
        <v>45378</v>
      </c>
      <c r="C533" s="146">
        <v>2024</v>
      </c>
      <c r="D533" s="118" t="s">
        <v>35</v>
      </c>
      <c r="E533" s="118" t="s">
        <v>911</v>
      </c>
      <c r="F533" s="147">
        <v>1</v>
      </c>
      <c r="G533" s="120" t="s">
        <v>759</v>
      </c>
      <c r="H533" s="148">
        <v>25000</v>
      </c>
      <c r="J533"/>
      <c r="K533"/>
      <c r="L533"/>
      <c r="M533"/>
      <c r="N533"/>
      <c r="O533"/>
      <c r="P533"/>
      <c r="Q533"/>
      <c r="R533"/>
      <c r="S533"/>
      <c r="T533"/>
    </row>
    <row r="534" spans="1:20" x14ac:dyDescent="0.25">
      <c r="A534" s="115">
        <v>533</v>
      </c>
      <c r="B534" s="116">
        <v>45379</v>
      </c>
      <c r="C534" s="117">
        <v>2024</v>
      </c>
      <c r="D534" s="118" t="s">
        <v>259</v>
      </c>
      <c r="E534" s="119" t="s">
        <v>331</v>
      </c>
      <c r="F534" s="120">
        <v>1</v>
      </c>
      <c r="G534" s="120" t="s">
        <v>759</v>
      </c>
      <c r="H534" s="121">
        <v>246000</v>
      </c>
      <c r="J534"/>
      <c r="K534"/>
      <c r="L534"/>
      <c r="M534"/>
      <c r="N534"/>
      <c r="O534"/>
      <c r="P534"/>
      <c r="Q534"/>
      <c r="R534"/>
      <c r="S534"/>
      <c r="T534"/>
    </row>
    <row r="535" spans="1:20" x14ac:dyDescent="0.25">
      <c r="A535" s="115">
        <v>534</v>
      </c>
      <c r="B535" s="145">
        <v>45381</v>
      </c>
      <c r="C535" s="146">
        <v>2024</v>
      </c>
      <c r="D535" s="118" t="s">
        <v>35</v>
      </c>
      <c r="E535" s="118" t="s">
        <v>965</v>
      </c>
      <c r="F535" s="147">
        <v>1</v>
      </c>
      <c r="G535" s="120" t="s">
        <v>759</v>
      </c>
      <c r="H535" s="148">
        <v>97750</v>
      </c>
      <c r="J535"/>
      <c r="K535"/>
      <c r="L535"/>
      <c r="M535"/>
      <c r="N535"/>
      <c r="O535"/>
      <c r="P535"/>
      <c r="Q535"/>
      <c r="R535"/>
      <c r="S535"/>
      <c r="T535"/>
    </row>
    <row r="536" spans="1:20" x14ac:dyDescent="0.25">
      <c r="A536" s="115">
        <v>535</v>
      </c>
      <c r="B536" s="145">
        <v>45381</v>
      </c>
      <c r="C536" s="146">
        <v>2024</v>
      </c>
      <c r="D536" s="118" t="s">
        <v>35</v>
      </c>
      <c r="E536" s="118" t="s">
        <v>966</v>
      </c>
      <c r="F536" s="147">
        <v>1</v>
      </c>
      <c r="G536" s="120" t="s">
        <v>759</v>
      </c>
      <c r="H536" s="148">
        <v>153000</v>
      </c>
      <c r="J536"/>
      <c r="K536"/>
      <c r="L536"/>
      <c r="M536"/>
      <c r="N536"/>
      <c r="O536"/>
      <c r="P536"/>
      <c r="Q536"/>
      <c r="R536"/>
      <c r="S536"/>
      <c r="T536"/>
    </row>
    <row r="537" spans="1:20" x14ac:dyDescent="0.25">
      <c r="A537" s="115">
        <v>536</v>
      </c>
      <c r="B537" s="116">
        <v>45384</v>
      </c>
      <c r="C537" s="117">
        <v>2024</v>
      </c>
      <c r="D537" s="118" t="s">
        <v>833</v>
      </c>
      <c r="E537" s="119" t="s">
        <v>967</v>
      </c>
      <c r="F537" s="120">
        <v>100</v>
      </c>
      <c r="G537" s="120" t="s">
        <v>759</v>
      </c>
      <c r="H537" s="121">
        <v>1000000</v>
      </c>
      <c r="J537"/>
      <c r="K537"/>
      <c r="L537"/>
      <c r="M537"/>
      <c r="N537"/>
      <c r="O537"/>
      <c r="P537"/>
      <c r="Q537"/>
      <c r="R537"/>
      <c r="S537"/>
      <c r="T537"/>
    </row>
    <row r="538" spans="1:20" x14ac:dyDescent="0.25">
      <c r="A538" s="115">
        <v>537</v>
      </c>
      <c r="B538" s="145">
        <v>45385</v>
      </c>
      <c r="C538" s="146">
        <v>2024</v>
      </c>
      <c r="D538" s="118" t="s">
        <v>35</v>
      </c>
      <c r="E538" s="118" t="s">
        <v>968</v>
      </c>
      <c r="F538" s="147">
        <v>1</v>
      </c>
      <c r="G538" s="120" t="s">
        <v>759</v>
      </c>
      <c r="H538" s="148">
        <v>300000</v>
      </c>
      <c r="J538"/>
      <c r="K538"/>
      <c r="L538"/>
      <c r="M538"/>
      <c r="N538"/>
      <c r="O538"/>
      <c r="P538"/>
      <c r="Q538"/>
      <c r="R538"/>
      <c r="S538"/>
      <c r="T538"/>
    </row>
    <row r="539" spans="1:20" x14ac:dyDescent="0.25">
      <c r="A539" s="115">
        <v>538</v>
      </c>
      <c r="B539" s="116">
        <v>45386</v>
      </c>
      <c r="C539" s="117">
        <v>2024</v>
      </c>
      <c r="D539" s="118" t="s">
        <v>35</v>
      </c>
      <c r="E539" s="119" t="s">
        <v>211</v>
      </c>
      <c r="F539" s="120">
        <v>1</v>
      </c>
      <c r="G539" s="120" t="s">
        <v>759</v>
      </c>
      <c r="H539" s="121">
        <v>17700</v>
      </c>
      <c r="J539"/>
      <c r="K539"/>
      <c r="L539"/>
      <c r="M539"/>
      <c r="N539"/>
      <c r="O539"/>
      <c r="P539"/>
      <c r="Q539"/>
      <c r="R539"/>
      <c r="S539"/>
      <c r="T539"/>
    </row>
    <row r="540" spans="1:20" x14ac:dyDescent="0.25">
      <c r="A540" s="115">
        <v>539</v>
      </c>
      <c r="B540" s="116">
        <v>45386</v>
      </c>
      <c r="C540" s="117">
        <v>2024</v>
      </c>
      <c r="D540" s="118" t="s">
        <v>851</v>
      </c>
      <c r="E540" s="119" t="s">
        <v>290</v>
      </c>
      <c r="F540" s="120">
        <v>14</v>
      </c>
      <c r="G540" s="120" t="s">
        <v>759</v>
      </c>
      <c r="H540" s="121">
        <v>420000</v>
      </c>
      <c r="J540"/>
      <c r="K540"/>
      <c r="L540"/>
      <c r="M540"/>
      <c r="N540"/>
      <c r="O540"/>
      <c r="P540"/>
      <c r="Q540"/>
      <c r="R540"/>
      <c r="S540"/>
      <c r="T540"/>
    </row>
    <row r="541" spans="1:20" x14ac:dyDescent="0.25">
      <c r="A541" s="115">
        <v>540</v>
      </c>
      <c r="B541" s="145">
        <v>45386</v>
      </c>
      <c r="C541" s="146">
        <v>2024</v>
      </c>
      <c r="D541" s="118" t="s">
        <v>35</v>
      </c>
      <c r="E541" s="118" t="s">
        <v>873</v>
      </c>
      <c r="F541" s="147">
        <v>1</v>
      </c>
      <c r="G541" s="120" t="s">
        <v>759</v>
      </c>
      <c r="H541" s="148">
        <v>77500</v>
      </c>
      <c r="J541"/>
      <c r="K541"/>
      <c r="L541"/>
      <c r="M541"/>
      <c r="N541"/>
      <c r="O541"/>
      <c r="P541"/>
      <c r="Q541"/>
      <c r="R541"/>
      <c r="S541"/>
      <c r="T541"/>
    </row>
    <row r="542" spans="1:20" x14ac:dyDescent="0.25">
      <c r="A542" s="115">
        <v>541</v>
      </c>
      <c r="B542" s="145">
        <v>45386</v>
      </c>
      <c r="C542" s="146">
        <v>2024</v>
      </c>
      <c r="D542" s="118" t="s">
        <v>35</v>
      </c>
      <c r="E542" s="118" t="s">
        <v>969</v>
      </c>
      <c r="F542" s="147">
        <v>1</v>
      </c>
      <c r="G542" s="120" t="s">
        <v>759</v>
      </c>
      <c r="H542" s="148">
        <v>70000</v>
      </c>
      <c r="J542"/>
      <c r="K542"/>
      <c r="L542"/>
      <c r="M542"/>
      <c r="N542"/>
      <c r="O542"/>
      <c r="P542"/>
      <c r="Q542"/>
      <c r="R542"/>
      <c r="S542"/>
      <c r="T542"/>
    </row>
    <row r="543" spans="1:20" x14ac:dyDescent="0.25">
      <c r="A543" s="115">
        <v>542</v>
      </c>
      <c r="B543" s="145">
        <v>45386</v>
      </c>
      <c r="C543" s="146">
        <v>2024</v>
      </c>
      <c r="D543" s="118" t="s">
        <v>35</v>
      </c>
      <c r="E543" s="118" t="s">
        <v>970</v>
      </c>
      <c r="F543" s="147">
        <v>1</v>
      </c>
      <c r="G543" s="120" t="s">
        <v>759</v>
      </c>
      <c r="H543" s="148">
        <v>95000</v>
      </c>
      <c r="J543"/>
      <c r="K543"/>
      <c r="L543"/>
      <c r="M543"/>
      <c r="N543"/>
      <c r="O543"/>
      <c r="P543"/>
      <c r="Q543"/>
      <c r="R543"/>
      <c r="S543"/>
      <c r="T543"/>
    </row>
    <row r="544" spans="1:20" x14ac:dyDescent="0.25">
      <c r="A544" s="115">
        <v>543</v>
      </c>
      <c r="B544" s="145">
        <v>45386</v>
      </c>
      <c r="C544" s="146">
        <v>2024</v>
      </c>
      <c r="D544" s="118" t="s">
        <v>35</v>
      </c>
      <c r="E544" s="118" t="s">
        <v>971</v>
      </c>
      <c r="F544" s="147">
        <v>1</v>
      </c>
      <c r="G544" s="120" t="s">
        <v>759</v>
      </c>
      <c r="H544" s="148">
        <v>600000</v>
      </c>
      <c r="J544"/>
      <c r="K544"/>
      <c r="L544"/>
      <c r="M544"/>
      <c r="N544"/>
      <c r="O544"/>
      <c r="P544"/>
      <c r="Q544"/>
      <c r="R544"/>
      <c r="S544"/>
      <c r="T544"/>
    </row>
    <row r="545" spans="1:20" x14ac:dyDescent="0.25">
      <c r="A545" s="115">
        <v>544</v>
      </c>
      <c r="B545" s="145">
        <v>45386</v>
      </c>
      <c r="C545" s="146">
        <v>2024</v>
      </c>
      <c r="D545" s="118" t="s">
        <v>35</v>
      </c>
      <c r="E545" s="118" t="s">
        <v>972</v>
      </c>
      <c r="F545" s="147">
        <v>1</v>
      </c>
      <c r="G545" s="120" t="s">
        <v>759</v>
      </c>
      <c r="H545" s="148">
        <v>50000</v>
      </c>
      <c r="J545"/>
      <c r="K545"/>
      <c r="L545"/>
      <c r="M545"/>
      <c r="N545"/>
      <c r="O545"/>
      <c r="P545"/>
      <c r="Q545"/>
      <c r="R545"/>
      <c r="S545"/>
      <c r="T545"/>
    </row>
    <row r="546" spans="1:20" x14ac:dyDescent="0.25">
      <c r="A546" s="115">
        <v>545</v>
      </c>
      <c r="B546" s="145">
        <v>45386</v>
      </c>
      <c r="C546" s="146">
        <v>2024</v>
      </c>
      <c r="D546" s="118" t="s">
        <v>35</v>
      </c>
      <c r="E546" s="118" t="s">
        <v>437</v>
      </c>
      <c r="F546" s="147">
        <v>1</v>
      </c>
      <c r="G546" s="120" t="s">
        <v>759</v>
      </c>
      <c r="H546" s="148">
        <v>13000</v>
      </c>
      <c r="J546"/>
      <c r="K546"/>
      <c r="L546"/>
      <c r="M546"/>
      <c r="N546"/>
      <c r="O546"/>
      <c r="P546"/>
      <c r="Q546"/>
      <c r="R546"/>
      <c r="S546"/>
      <c r="T546"/>
    </row>
    <row r="547" spans="1:20" x14ac:dyDescent="0.25">
      <c r="A547" s="115">
        <v>546</v>
      </c>
      <c r="B547" s="145">
        <v>45386</v>
      </c>
      <c r="C547" s="146">
        <v>2024</v>
      </c>
      <c r="D547" s="118" t="s">
        <v>35</v>
      </c>
      <c r="E547" s="118" t="s">
        <v>973</v>
      </c>
      <c r="F547" s="147">
        <v>1</v>
      </c>
      <c r="G547" s="120" t="s">
        <v>759</v>
      </c>
      <c r="H547" s="148">
        <v>100000</v>
      </c>
      <c r="J547"/>
      <c r="K547"/>
      <c r="L547"/>
      <c r="M547"/>
      <c r="N547"/>
      <c r="O547"/>
      <c r="P547"/>
      <c r="Q547"/>
      <c r="R547"/>
      <c r="S547"/>
      <c r="T547"/>
    </row>
    <row r="548" spans="1:20" x14ac:dyDescent="0.25">
      <c r="A548" s="115">
        <v>547</v>
      </c>
      <c r="B548" s="145">
        <v>45386</v>
      </c>
      <c r="C548" s="146">
        <v>2024</v>
      </c>
      <c r="D548" s="118" t="s">
        <v>35</v>
      </c>
      <c r="E548" s="118" t="s">
        <v>873</v>
      </c>
      <c r="F548" s="147">
        <v>1</v>
      </c>
      <c r="G548" s="120" t="s">
        <v>759</v>
      </c>
      <c r="H548" s="148">
        <v>38500</v>
      </c>
      <c r="J548"/>
      <c r="K548"/>
      <c r="L548"/>
      <c r="M548"/>
      <c r="N548"/>
      <c r="O548"/>
      <c r="P548"/>
      <c r="Q548"/>
      <c r="R548"/>
      <c r="S548"/>
      <c r="T548"/>
    </row>
    <row r="549" spans="1:20" x14ac:dyDescent="0.25">
      <c r="A549" s="115">
        <v>548</v>
      </c>
      <c r="B549" s="145">
        <v>45386</v>
      </c>
      <c r="C549" s="146">
        <v>2024</v>
      </c>
      <c r="D549" s="118" t="s">
        <v>35</v>
      </c>
      <c r="E549" s="118" t="s">
        <v>974</v>
      </c>
      <c r="F549" s="147">
        <v>1</v>
      </c>
      <c r="G549" s="120" t="s">
        <v>759</v>
      </c>
      <c r="H549" s="148">
        <v>600000</v>
      </c>
      <c r="J549"/>
      <c r="K549"/>
      <c r="L549"/>
      <c r="M549"/>
      <c r="N549"/>
      <c r="O549"/>
      <c r="P549"/>
      <c r="Q549"/>
      <c r="R549"/>
      <c r="S549"/>
      <c r="T549"/>
    </row>
    <row r="550" spans="1:20" x14ac:dyDescent="0.25">
      <c r="A550" s="115">
        <v>549</v>
      </c>
      <c r="B550" s="145">
        <v>45386</v>
      </c>
      <c r="C550" s="146">
        <v>2024</v>
      </c>
      <c r="D550" s="118" t="s">
        <v>35</v>
      </c>
      <c r="E550" s="118" t="s">
        <v>823</v>
      </c>
      <c r="F550" s="147">
        <v>1</v>
      </c>
      <c r="G550" s="120" t="s">
        <v>759</v>
      </c>
      <c r="H550" s="148">
        <v>140000</v>
      </c>
      <c r="J550"/>
      <c r="K550"/>
      <c r="L550"/>
      <c r="M550"/>
      <c r="N550"/>
      <c r="O550"/>
      <c r="P550"/>
      <c r="Q550"/>
      <c r="R550"/>
      <c r="S550"/>
      <c r="T550"/>
    </row>
    <row r="551" spans="1:20" x14ac:dyDescent="0.25">
      <c r="A551" s="115">
        <v>550</v>
      </c>
      <c r="B551" s="145">
        <v>45386</v>
      </c>
      <c r="C551" s="146">
        <v>2024</v>
      </c>
      <c r="D551" s="118" t="s">
        <v>35</v>
      </c>
      <c r="E551" s="118" t="s">
        <v>122</v>
      </c>
      <c r="F551" s="147">
        <v>1</v>
      </c>
      <c r="G551" s="120" t="s">
        <v>759</v>
      </c>
      <c r="H551" s="148">
        <v>38500</v>
      </c>
      <c r="J551"/>
      <c r="K551"/>
      <c r="L551"/>
      <c r="M551"/>
      <c r="N551"/>
      <c r="O551"/>
      <c r="P551"/>
      <c r="Q551"/>
      <c r="R551"/>
      <c r="S551"/>
      <c r="T551"/>
    </row>
    <row r="552" spans="1:20" x14ac:dyDescent="0.25">
      <c r="A552" s="115">
        <v>551</v>
      </c>
      <c r="B552" s="145">
        <v>45386</v>
      </c>
      <c r="C552" s="146">
        <v>2024</v>
      </c>
      <c r="D552" s="118" t="s">
        <v>35</v>
      </c>
      <c r="E552" s="118" t="s">
        <v>975</v>
      </c>
      <c r="F552" s="147">
        <v>1</v>
      </c>
      <c r="G552" s="120" t="s">
        <v>759</v>
      </c>
      <c r="H552" s="148">
        <v>55000</v>
      </c>
      <c r="J552"/>
      <c r="K552"/>
      <c r="L552"/>
      <c r="M552"/>
      <c r="N552"/>
      <c r="O552"/>
      <c r="P552"/>
      <c r="Q552"/>
      <c r="R552"/>
      <c r="S552"/>
      <c r="T552"/>
    </row>
    <row r="553" spans="1:20" x14ac:dyDescent="0.25">
      <c r="A553" s="115">
        <v>552</v>
      </c>
      <c r="B553" s="145">
        <v>45386</v>
      </c>
      <c r="C553" s="146">
        <v>2024</v>
      </c>
      <c r="D553" s="118" t="s">
        <v>35</v>
      </c>
      <c r="E553" s="118" t="s">
        <v>873</v>
      </c>
      <c r="F553" s="147">
        <v>1</v>
      </c>
      <c r="G553" s="120" t="s">
        <v>759</v>
      </c>
      <c r="H553" s="148">
        <v>170000</v>
      </c>
      <c r="J553"/>
      <c r="K553"/>
      <c r="L553"/>
      <c r="M553"/>
      <c r="N553"/>
      <c r="O553"/>
      <c r="P553"/>
      <c r="Q553"/>
      <c r="R553"/>
      <c r="S553"/>
      <c r="T553"/>
    </row>
    <row r="554" spans="1:20" x14ac:dyDescent="0.25">
      <c r="A554" s="115">
        <v>553</v>
      </c>
      <c r="B554" s="145">
        <v>45386</v>
      </c>
      <c r="C554" s="146">
        <v>2024</v>
      </c>
      <c r="D554" s="118" t="s">
        <v>35</v>
      </c>
      <c r="E554" s="118" t="s">
        <v>976</v>
      </c>
      <c r="F554" s="147">
        <v>1</v>
      </c>
      <c r="G554" s="120" t="s">
        <v>759</v>
      </c>
      <c r="H554" s="148">
        <v>137500</v>
      </c>
      <c r="J554"/>
      <c r="K554"/>
      <c r="L554"/>
      <c r="M554"/>
      <c r="N554"/>
      <c r="O554"/>
      <c r="P554"/>
      <c r="Q554"/>
      <c r="R554"/>
      <c r="S554"/>
      <c r="T554"/>
    </row>
    <row r="555" spans="1:20" x14ac:dyDescent="0.25">
      <c r="A555" s="115">
        <v>554</v>
      </c>
      <c r="B555" s="145">
        <v>45386</v>
      </c>
      <c r="C555" s="146">
        <v>2024</v>
      </c>
      <c r="D555" s="118" t="s">
        <v>35</v>
      </c>
      <c r="E555" s="118" t="s">
        <v>863</v>
      </c>
      <c r="F555" s="147">
        <v>1</v>
      </c>
      <c r="G555" s="120" t="s">
        <v>759</v>
      </c>
      <c r="H555" s="148">
        <v>21000</v>
      </c>
      <c r="J555"/>
      <c r="K555"/>
      <c r="L555"/>
      <c r="M555"/>
      <c r="N555"/>
      <c r="O555"/>
      <c r="P555"/>
      <c r="Q555"/>
      <c r="R555"/>
      <c r="S555"/>
      <c r="T555"/>
    </row>
    <row r="556" spans="1:20" x14ac:dyDescent="0.25">
      <c r="A556" s="115">
        <v>555</v>
      </c>
      <c r="B556" s="145">
        <v>45386</v>
      </c>
      <c r="C556" s="146">
        <v>2024</v>
      </c>
      <c r="D556" s="118" t="s">
        <v>35</v>
      </c>
      <c r="E556" s="118" t="s">
        <v>977</v>
      </c>
      <c r="F556" s="147">
        <v>1</v>
      </c>
      <c r="G556" s="120" t="s">
        <v>759</v>
      </c>
      <c r="H556" s="148">
        <v>3500</v>
      </c>
      <c r="J556"/>
      <c r="K556"/>
      <c r="L556"/>
      <c r="M556"/>
      <c r="N556"/>
      <c r="O556"/>
      <c r="P556"/>
      <c r="Q556"/>
      <c r="R556"/>
      <c r="S556"/>
      <c r="T556"/>
    </row>
    <row r="557" spans="1:20" x14ac:dyDescent="0.25">
      <c r="A557" s="115">
        <v>556</v>
      </c>
      <c r="B557" s="145">
        <v>45386</v>
      </c>
      <c r="C557" s="146">
        <v>2024</v>
      </c>
      <c r="D557" s="118" t="s">
        <v>35</v>
      </c>
      <c r="E557" s="118" t="s">
        <v>978</v>
      </c>
      <c r="F557" s="147">
        <v>1</v>
      </c>
      <c r="G557" s="120" t="s">
        <v>759</v>
      </c>
      <c r="H557" s="148">
        <v>10000</v>
      </c>
      <c r="J557"/>
      <c r="K557"/>
      <c r="L557"/>
      <c r="M557"/>
      <c r="N557"/>
      <c r="O557"/>
      <c r="P557"/>
      <c r="Q557"/>
      <c r="R557"/>
      <c r="S557"/>
      <c r="T557"/>
    </row>
    <row r="558" spans="1:20" x14ac:dyDescent="0.25">
      <c r="A558" s="115">
        <v>557</v>
      </c>
      <c r="B558" s="145">
        <v>45386</v>
      </c>
      <c r="C558" s="146">
        <v>2024</v>
      </c>
      <c r="D558" s="118" t="s">
        <v>35</v>
      </c>
      <c r="E558" s="118" t="s">
        <v>979</v>
      </c>
      <c r="F558" s="147">
        <v>1</v>
      </c>
      <c r="G558" s="120" t="s">
        <v>759</v>
      </c>
      <c r="H558" s="148">
        <v>150000</v>
      </c>
      <c r="J558"/>
      <c r="K558"/>
      <c r="L558"/>
      <c r="M558"/>
      <c r="N558"/>
      <c r="O558"/>
      <c r="P558"/>
      <c r="Q558"/>
      <c r="R558"/>
      <c r="S558"/>
      <c r="T558"/>
    </row>
    <row r="559" spans="1:20" x14ac:dyDescent="0.25">
      <c r="A559" s="115">
        <v>558</v>
      </c>
      <c r="B559" s="145">
        <v>45386</v>
      </c>
      <c r="C559" s="146">
        <v>2024</v>
      </c>
      <c r="D559" s="118" t="s">
        <v>35</v>
      </c>
      <c r="E559" s="118" t="s">
        <v>980</v>
      </c>
      <c r="F559" s="147">
        <v>1</v>
      </c>
      <c r="G559" s="120" t="s">
        <v>759</v>
      </c>
      <c r="H559" s="148">
        <v>200000</v>
      </c>
      <c r="J559"/>
      <c r="K559"/>
      <c r="L559"/>
      <c r="M559"/>
      <c r="N559"/>
      <c r="O559"/>
      <c r="P559"/>
      <c r="Q559"/>
      <c r="R559"/>
      <c r="S559"/>
      <c r="T559"/>
    </row>
    <row r="560" spans="1:20" x14ac:dyDescent="0.25">
      <c r="A560" s="115">
        <v>559</v>
      </c>
      <c r="B560" s="145">
        <v>45386</v>
      </c>
      <c r="C560" s="146">
        <v>2024</v>
      </c>
      <c r="D560" s="118" t="s">
        <v>35</v>
      </c>
      <c r="E560" s="118" t="s">
        <v>981</v>
      </c>
      <c r="F560" s="147">
        <v>1</v>
      </c>
      <c r="G560" s="120" t="s">
        <v>759</v>
      </c>
      <c r="H560" s="148">
        <v>450000</v>
      </c>
      <c r="J560"/>
      <c r="K560"/>
      <c r="L560"/>
      <c r="M560"/>
      <c r="N560"/>
      <c r="O560"/>
      <c r="P560"/>
      <c r="Q560"/>
      <c r="R560"/>
      <c r="S560"/>
      <c r="T560"/>
    </row>
    <row r="561" spans="1:20" x14ac:dyDescent="0.25">
      <c r="A561" s="115">
        <v>560</v>
      </c>
      <c r="B561" s="145">
        <v>45386</v>
      </c>
      <c r="C561" s="146">
        <v>2024</v>
      </c>
      <c r="D561" s="118" t="s">
        <v>35</v>
      </c>
      <c r="E561" s="118" t="s">
        <v>982</v>
      </c>
      <c r="F561" s="147">
        <v>1</v>
      </c>
      <c r="G561" s="120" t="s">
        <v>759</v>
      </c>
      <c r="H561" s="148">
        <v>25000</v>
      </c>
      <c r="J561"/>
      <c r="K561"/>
      <c r="L561"/>
      <c r="M561"/>
      <c r="N561"/>
      <c r="O561"/>
      <c r="P561"/>
      <c r="Q561"/>
      <c r="R561"/>
      <c r="S561"/>
      <c r="T561"/>
    </row>
    <row r="562" spans="1:20" x14ac:dyDescent="0.25">
      <c r="A562" s="115">
        <v>561</v>
      </c>
      <c r="B562" s="145">
        <v>45386</v>
      </c>
      <c r="C562" s="146">
        <v>2024</v>
      </c>
      <c r="D562" s="118" t="s">
        <v>35</v>
      </c>
      <c r="E562" s="118" t="s">
        <v>252</v>
      </c>
      <c r="F562" s="147">
        <v>1</v>
      </c>
      <c r="G562" s="120" t="s">
        <v>759</v>
      </c>
      <c r="H562" s="148">
        <v>1670000</v>
      </c>
      <c r="J562"/>
      <c r="K562"/>
      <c r="L562"/>
      <c r="M562"/>
      <c r="N562"/>
      <c r="O562"/>
      <c r="P562"/>
      <c r="Q562"/>
      <c r="R562"/>
      <c r="S562"/>
      <c r="T562"/>
    </row>
    <row r="563" spans="1:20" x14ac:dyDescent="0.25">
      <c r="A563" s="115">
        <v>562</v>
      </c>
      <c r="B563" s="145">
        <v>45386</v>
      </c>
      <c r="C563" s="146">
        <v>2024</v>
      </c>
      <c r="D563" s="118" t="s">
        <v>35</v>
      </c>
      <c r="E563" s="118" t="s">
        <v>972</v>
      </c>
      <c r="F563" s="147">
        <v>1</v>
      </c>
      <c r="G563" s="120" t="s">
        <v>759</v>
      </c>
      <c r="H563" s="148">
        <v>50000</v>
      </c>
      <c r="J563"/>
      <c r="K563"/>
      <c r="L563"/>
      <c r="M563"/>
      <c r="N563"/>
      <c r="O563"/>
      <c r="P563"/>
      <c r="Q563"/>
      <c r="R563"/>
      <c r="S563"/>
      <c r="T563"/>
    </row>
    <row r="564" spans="1:20" x14ac:dyDescent="0.25">
      <c r="A564" s="115">
        <v>563</v>
      </c>
      <c r="B564" s="145">
        <v>45386</v>
      </c>
      <c r="C564" s="146">
        <v>2024</v>
      </c>
      <c r="D564" s="118" t="s">
        <v>35</v>
      </c>
      <c r="E564" s="118" t="s">
        <v>983</v>
      </c>
      <c r="F564" s="147">
        <v>1</v>
      </c>
      <c r="G564" s="120" t="s">
        <v>759</v>
      </c>
      <c r="H564" s="148">
        <v>25000</v>
      </c>
      <c r="J564"/>
      <c r="K564"/>
      <c r="L564"/>
      <c r="M564"/>
      <c r="N564"/>
      <c r="O564"/>
      <c r="P564"/>
      <c r="Q564"/>
      <c r="R564"/>
      <c r="S564"/>
      <c r="T564"/>
    </row>
    <row r="565" spans="1:20" x14ac:dyDescent="0.25">
      <c r="A565" s="115">
        <v>564</v>
      </c>
      <c r="B565" s="145">
        <v>45386</v>
      </c>
      <c r="C565" s="146">
        <v>2024</v>
      </c>
      <c r="D565" s="118" t="s">
        <v>35</v>
      </c>
      <c r="E565" s="118" t="s">
        <v>984</v>
      </c>
      <c r="F565" s="147">
        <v>1</v>
      </c>
      <c r="G565" s="120" t="s">
        <v>759</v>
      </c>
      <c r="H565" s="148">
        <v>455000</v>
      </c>
      <c r="J565"/>
      <c r="K565"/>
      <c r="L565"/>
      <c r="M565"/>
      <c r="N565"/>
      <c r="O565"/>
      <c r="P565"/>
      <c r="Q565"/>
      <c r="R565"/>
      <c r="S565"/>
      <c r="T565"/>
    </row>
    <row r="566" spans="1:20" x14ac:dyDescent="0.25">
      <c r="A566" s="115">
        <v>565</v>
      </c>
      <c r="B566" s="145">
        <v>45386</v>
      </c>
      <c r="C566" s="146">
        <v>2024</v>
      </c>
      <c r="D566" s="118" t="s">
        <v>35</v>
      </c>
      <c r="E566" s="118" t="s">
        <v>985</v>
      </c>
      <c r="F566" s="147">
        <v>1</v>
      </c>
      <c r="G566" s="120" t="s">
        <v>759</v>
      </c>
      <c r="H566" s="148">
        <v>455000</v>
      </c>
      <c r="J566"/>
      <c r="K566"/>
      <c r="L566"/>
      <c r="M566"/>
      <c r="N566"/>
      <c r="O566"/>
      <c r="P566"/>
      <c r="Q566"/>
      <c r="R566"/>
      <c r="S566"/>
      <c r="T566"/>
    </row>
    <row r="567" spans="1:20" x14ac:dyDescent="0.25">
      <c r="A567" s="115">
        <v>566</v>
      </c>
      <c r="B567" s="145">
        <v>45386</v>
      </c>
      <c r="C567" s="146">
        <v>2024</v>
      </c>
      <c r="D567" s="118" t="s">
        <v>35</v>
      </c>
      <c r="E567" s="118" t="s">
        <v>986</v>
      </c>
      <c r="F567" s="147">
        <v>1</v>
      </c>
      <c r="G567" s="120" t="s">
        <v>759</v>
      </c>
      <c r="H567" s="148">
        <v>140000</v>
      </c>
      <c r="J567"/>
      <c r="K567"/>
      <c r="L567"/>
      <c r="M567"/>
      <c r="N567"/>
      <c r="O567"/>
      <c r="P567"/>
      <c r="Q567"/>
      <c r="R567"/>
      <c r="S567"/>
      <c r="T567"/>
    </row>
    <row r="568" spans="1:20" x14ac:dyDescent="0.25">
      <c r="A568" s="115">
        <v>567</v>
      </c>
      <c r="B568" s="145">
        <v>45386</v>
      </c>
      <c r="C568" s="146">
        <v>2024</v>
      </c>
      <c r="D568" s="118" t="s">
        <v>35</v>
      </c>
      <c r="E568" s="118" t="s">
        <v>971</v>
      </c>
      <c r="F568" s="147">
        <v>1</v>
      </c>
      <c r="G568" s="120" t="s">
        <v>759</v>
      </c>
      <c r="H568" s="148">
        <v>600000</v>
      </c>
      <c r="J568"/>
      <c r="K568"/>
      <c r="L568"/>
      <c r="M568"/>
      <c r="N568"/>
      <c r="O568"/>
      <c r="P568"/>
      <c r="Q568"/>
      <c r="R568"/>
      <c r="S568"/>
      <c r="T568"/>
    </row>
    <row r="569" spans="1:20" x14ac:dyDescent="0.25">
      <c r="A569" s="115">
        <v>568</v>
      </c>
      <c r="B569" s="145">
        <v>45386</v>
      </c>
      <c r="C569" s="146">
        <v>2024</v>
      </c>
      <c r="D569" s="118" t="s">
        <v>35</v>
      </c>
      <c r="E569" s="118" t="s">
        <v>987</v>
      </c>
      <c r="F569" s="147">
        <v>1</v>
      </c>
      <c r="G569" s="120" t="s">
        <v>759</v>
      </c>
      <c r="H569" s="148">
        <v>140000</v>
      </c>
      <c r="J569"/>
      <c r="K569"/>
      <c r="L569"/>
      <c r="M569"/>
      <c r="N569"/>
      <c r="O569"/>
      <c r="P569"/>
      <c r="Q569"/>
      <c r="R569"/>
      <c r="S569"/>
      <c r="T569"/>
    </row>
    <row r="570" spans="1:20" x14ac:dyDescent="0.25">
      <c r="A570" s="115">
        <v>569</v>
      </c>
      <c r="B570" s="145">
        <v>45386</v>
      </c>
      <c r="C570" s="146">
        <v>2024</v>
      </c>
      <c r="D570" s="118" t="s">
        <v>35</v>
      </c>
      <c r="E570" s="118" t="s">
        <v>987</v>
      </c>
      <c r="F570" s="147">
        <v>1</v>
      </c>
      <c r="G570" s="120" t="s">
        <v>759</v>
      </c>
      <c r="H570" s="148">
        <v>140000</v>
      </c>
      <c r="J570"/>
      <c r="K570"/>
      <c r="L570"/>
      <c r="M570"/>
      <c r="N570"/>
      <c r="O570"/>
      <c r="P570"/>
      <c r="Q570"/>
      <c r="R570"/>
      <c r="S570"/>
      <c r="T570"/>
    </row>
    <row r="571" spans="1:20" x14ac:dyDescent="0.25">
      <c r="A571" s="115">
        <v>570</v>
      </c>
      <c r="B571" s="145">
        <v>45386</v>
      </c>
      <c r="C571" s="146">
        <v>2024</v>
      </c>
      <c r="D571" s="118" t="s">
        <v>35</v>
      </c>
      <c r="E571" s="118" t="s">
        <v>972</v>
      </c>
      <c r="F571" s="147">
        <v>1</v>
      </c>
      <c r="G571" s="120" t="s">
        <v>759</v>
      </c>
      <c r="H571" s="148">
        <v>50000</v>
      </c>
      <c r="J571"/>
      <c r="K571"/>
      <c r="L571"/>
      <c r="M571"/>
      <c r="N571"/>
      <c r="O571"/>
      <c r="P571"/>
      <c r="Q571"/>
      <c r="R571"/>
      <c r="S571"/>
      <c r="T571"/>
    </row>
    <row r="572" spans="1:20" x14ac:dyDescent="0.25">
      <c r="A572" s="115">
        <v>571</v>
      </c>
      <c r="B572" s="145">
        <v>45386</v>
      </c>
      <c r="C572" s="146">
        <v>2024</v>
      </c>
      <c r="D572" s="118" t="s">
        <v>35</v>
      </c>
      <c r="E572" s="118" t="s">
        <v>988</v>
      </c>
      <c r="F572" s="147">
        <v>1</v>
      </c>
      <c r="G572" s="120" t="s">
        <v>759</v>
      </c>
      <c r="H572" s="148">
        <v>2200000</v>
      </c>
      <c r="J572"/>
      <c r="K572"/>
      <c r="L572"/>
      <c r="M572"/>
      <c r="N572"/>
      <c r="O572"/>
      <c r="P572"/>
      <c r="Q572"/>
      <c r="R572"/>
      <c r="S572"/>
      <c r="T572"/>
    </row>
    <row r="573" spans="1:20" x14ac:dyDescent="0.25">
      <c r="A573" s="115">
        <v>572</v>
      </c>
      <c r="B573" s="145">
        <v>45386</v>
      </c>
      <c r="C573" s="146">
        <v>2024</v>
      </c>
      <c r="D573" s="118" t="s">
        <v>35</v>
      </c>
      <c r="E573" s="118" t="s">
        <v>988</v>
      </c>
      <c r="F573" s="147">
        <v>1</v>
      </c>
      <c r="G573" s="120" t="s">
        <v>759</v>
      </c>
      <c r="H573" s="148">
        <v>2200000</v>
      </c>
      <c r="J573"/>
      <c r="K573"/>
      <c r="L573"/>
      <c r="M573"/>
      <c r="N573"/>
      <c r="O573"/>
      <c r="P573"/>
      <c r="Q573"/>
      <c r="R573"/>
      <c r="S573"/>
      <c r="T573"/>
    </row>
    <row r="574" spans="1:20" x14ac:dyDescent="0.25">
      <c r="A574" s="115">
        <v>573</v>
      </c>
      <c r="B574" s="145">
        <v>45386</v>
      </c>
      <c r="C574" s="146">
        <v>2024</v>
      </c>
      <c r="D574" s="118" t="s">
        <v>35</v>
      </c>
      <c r="E574" s="118" t="s">
        <v>988</v>
      </c>
      <c r="F574" s="147">
        <v>1</v>
      </c>
      <c r="G574" s="120" t="s">
        <v>759</v>
      </c>
      <c r="H574" s="148">
        <v>2200000</v>
      </c>
      <c r="J574"/>
      <c r="K574"/>
      <c r="L574"/>
      <c r="M574"/>
      <c r="N574"/>
      <c r="O574"/>
      <c r="P574"/>
      <c r="Q574"/>
      <c r="R574"/>
      <c r="S574"/>
      <c r="T574"/>
    </row>
    <row r="575" spans="1:20" x14ac:dyDescent="0.25">
      <c r="A575" s="115">
        <v>574</v>
      </c>
      <c r="B575" s="145">
        <v>45386</v>
      </c>
      <c r="C575" s="146">
        <v>2024</v>
      </c>
      <c r="D575" s="118" t="s">
        <v>35</v>
      </c>
      <c r="E575" s="118" t="s">
        <v>988</v>
      </c>
      <c r="F575" s="147">
        <v>1</v>
      </c>
      <c r="G575" s="120" t="s">
        <v>759</v>
      </c>
      <c r="H575" s="148">
        <v>2200000</v>
      </c>
      <c r="J575"/>
      <c r="K575"/>
      <c r="L575"/>
      <c r="M575"/>
      <c r="N575"/>
      <c r="O575"/>
      <c r="P575"/>
      <c r="Q575"/>
      <c r="R575"/>
      <c r="S575"/>
      <c r="T575"/>
    </row>
    <row r="576" spans="1:20" x14ac:dyDescent="0.25">
      <c r="A576" s="115">
        <v>575</v>
      </c>
      <c r="B576" s="116">
        <v>45387</v>
      </c>
      <c r="C576" s="117">
        <v>2024</v>
      </c>
      <c r="D576" s="118" t="s">
        <v>259</v>
      </c>
      <c r="E576" s="119" t="s">
        <v>989</v>
      </c>
      <c r="F576" s="120">
        <v>1</v>
      </c>
      <c r="G576" s="120" t="s">
        <v>759</v>
      </c>
      <c r="H576" s="121">
        <v>140000</v>
      </c>
      <c r="J576"/>
      <c r="K576"/>
      <c r="L576"/>
      <c r="M576"/>
      <c r="N576"/>
      <c r="O576"/>
      <c r="P576"/>
      <c r="Q576"/>
      <c r="R576"/>
      <c r="S576"/>
      <c r="T576"/>
    </row>
    <row r="577" spans="1:20" x14ac:dyDescent="0.25">
      <c r="A577" s="115">
        <v>576</v>
      </c>
      <c r="B577" s="116">
        <v>45387</v>
      </c>
      <c r="C577" s="117">
        <v>2024</v>
      </c>
      <c r="D577" s="118" t="s">
        <v>259</v>
      </c>
      <c r="E577" s="119" t="s">
        <v>990</v>
      </c>
      <c r="F577" s="120">
        <v>1</v>
      </c>
      <c r="G577" s="120" t="s">
        <v>759</v>
      </c>
      <c r="H577" s="121">
        <v>375000</v>
      </c>
      <c r="J577"/>
      <c r="K577"/>
      <c r="L577"/>
      <c r="M577"/>
      <c r="N577"/>
      <c r="O577"/>
      <c r="P577"/>
      <c r="Q577"/>
      <c r="R577"/>
      <c r="S577"/>
      <c r="T577"/>
    </row>
    <row r="578" spans="1:20" x14ac:dyDescent="0.25">
      <c r="A578" s="115">
        <v>577</v>
      </c>
      <c r="B578" s="145">
        <v>45388</v>
      </c>
      <c r="C578" s="146">
        <v>2024</v>
      </c>
      <c r="D578" s="118" t="s">
        <v>35</v>
      </c>
      <c r="E578" s="118" t="s">
        <v>991</v>
      </c>
      <c r="F578" s="147">
        <v>1</v>
      </c>
      <c r="G578" s="120" t="s">
        <v>759</v>
      </c>
      <c r="H578" s="148">
        <v>150000</v>
      </c>
      <c r="J578"/>
      <c r="K578"/>
      <c r="L578"/>
      <c r="M578"/>
      <c r="N578"/>
      <c r="O578"/>
      <c r="P578"/>
      <c r="Q578"/>
      <c r="R578"/>
      <c r="S578"/>
      <c r="T578"/>
    </row>
    <row r="579" spans="1:20" x14ac:dyDescent="0.25">
      <c r="A579" s="115">
        <v>578</v>
      </c>
      <c r="B579" s="145">
        <v>45388</v>
      </c>
      <c r="C579" s="146">
        <v>2024</v>
      </c>
      <c r="D579" s="118" t="s">
        <v>35</v>
      </c>
      <c r="E579" s="118" t="s">
        <v>907</v>
      </c>
      <c r="F579" s="147">
        <v>1</v>
      </c>
      <c r="G579" s="120" t="s">
        <v>759</v>
      </c>
      <c r="H579" s="148">
        <v>250000</v>
      </c>
      <c r="J579"/>
      <c r="K579"/>
      <c r="L579"/>
      <c r="M579"/>
      <c r="N579"/>
      <c r="O579"/>
      <c r="P579"/>
      <c r="Q579"/>
      <c r="R579"/>
      <c r="S579"/>
      <c r="T579"/>
    </row>
    <row r="580" spans="1:20" x14ac:dyDescent="0.25">
      <c r="A580" s="115">
        <v>579</v>
      </c>
      <c r="B580" s="145">
        <v>45388</v>
      </c>
      <c r="C580" s="146">
        <v>2024</v>
      </c>
      <c r="D580" s="118" t="s">
        <v>35</v>
      </c>
      <c r="E580" s="118" t="s">
        <v>992</v>
      </c>
      <c r="F580" s="147">
        <v>1</v>
      </c>
      <c r="G580" s="120" t="s">
        <v>759</v>
      </c>
      <c r="H580" s="148">
        <v>395000</v>
      </c>
      <c r="J580"/>
      <c r="K580"/>
      <c r="L580"/>
      <c r="M580"/>
      <c r="N580"/>
      <c r="O580"/>
      <c r="P580"/>
      <c r="Q580"/>
      <c r="R580"/>
      <c r="S580"/>
      <c r="T580"/>
    </row>
    <row r="581" spans="1:20" x14ac:dyDescent="0.25">
      <c r="A581" s="115">
        <v>580</v>
      </c>
      <c r="B581" s="145">
        <v>45388</v>
      </c>
      <c r="C581" s="146">
        <v>2024</v>
      </c>
      <c r="D581" s="118" t="s">
        <v>35</v>
      </c>
      <c r="E581" s="118" t="s">
        <v>993</v>
      </c>
      <c r="F581" s="147">
        <v>1</v>
      </c>
      <c r="G581" s="120" t="s">
        <v>759</v>
      </c>
      <c r="H581" s="148">
        <v>20000</v>
      </c>
      <c r="J581"/>
      <c r="K581"/>
      <c r="L581"/>
      <c r="M581"/>
      <c r="N581"/>
      <c r="O581"/>
      <c r="P581"/>
      <c r="Q581"/>
      <c r="R581"/>
      <c r="S581"/>
      <c r="T581"/>
    </row>
    <row r="582" spans="1:20" x14ac:dyDescent="0.25">
      <c r="A582" s="115">
        <v>581</v>
      </c>
      <c r="B582" s="145">
        <v>45388</v>
      </c>
      <c r="C582" s="146">
        <v>2024</v>
      </c>
      <c r="D582" s="118" t="s">
        <v>35</v>
      </c>
      <c r="E582" s="118" t="s">
        <v>994</v>
      </c>
      <c r="F582" s="147">
        <v>1</v>
      </c>
      <c r="G582" s="120" t="s">
        <v>759</v>
      </c>
      <c r="H582" s="148">
        <v>40000</v>
      </c>
      <c r="J582"/>
      <c r="K582"/>
      <c r="L582"/>
      <c r="M582"/>
      <c r="N582"/>
      <c r="O582"/>
      <c r="P582"/>
      <c r="Q582"/>
      <c r="R582"/>
      <c r="S582"/>
      <c r="T582"/>
    </row>
    <row r="583" spans="1:20" x14ac:dyDescent="0.25">
      <c r="A583" s="115">
        <v>582</v>
      </c>
      <c r="B583" s="145">
        <v>45388</v>
      </c>
      <c r="C583" s="146">
        <v>2024</v>
      </c>
      <c r="D583" s="118" t="s">
        <v>35</v>
      </c>
      <c r="E583" s="118" t="s">
        <v>995</v>
      </c>
      <c r="F583" s="147">
        <v>1</v>
      </c>
      <c r="G583" s="120" t="s">
        <v>759</v>
      </c>
      <c r="H583" s="148">
        <v>115000</v>
      </c>
      <c r="J583"/>
      <c r="K583"/>
      <c r="L583"/>
      <c r="M583"/>
      <c r="N583"/>
      <c r="O583"/>
      <c r="P583"/>
      <c r="Q583"/>
      <c r="R583"/>
      <c r="S583"/>
      <c r="T583"/>
    </row>
    <row r="584" spans="1:20" x14ac:dyDescent="0.25">
      <c r="A584" s="115">
        <v>583</v>
      </c>
      <c r="B584" s="145">
        <v>45388</v>
      </c>
      <c r="C584" s="146">
        <v>2024</v>
      </c>
      <c r="D584" s="118" t="s">
        <v>35</v>
      </c>
      <c r="E584" s="118" t="s">
        <v>996</v>
      </c>
      <c r="F584" s="147">
        <v>1</v>
      </c>
      <c r="G584" s="120" t="s">
        <v>759</v>
      </c>
      <c r="H584" s="148">
        <v>350000</v>
      </c>
      <c r="J584"/>
      <c r="K584"/>
      <c r="L584"/>
      <c r="M584"/>
      <c r="N584"/>
      <c r="O584"/>
      <c r="P584"/>
      <c r="Q584"/>
      <c r="R584"/>
      <c r="S584"/>
      <c r="T584"/>
    </row>
    <row r="585" spans="1:20" x14ac:dyDescent="0.25">
      <c r="A585" s="115">
        <v>584</v>
      </c>
      <c r="B585" s="145">
        <v>45388</v>
      </c>
      <c r="C585" s="146">
        <v>2024</v>
      </c>
      <c r="D585" s="118" t="s">
        <v>35</v>
      </c>
      <c r="E585" s="118" t="s">
        <v>876</v>
      </c>
      <c r="F585" s="147">
        <v>1</v>
      </c>
      <c r="G585" s="120" t="s">
        <v>759</v>
      </c>
      <c r="H585" s="148">
        <v>40000</v>
      </c>
      <c r="J585"/>
      <c r="K585"/>
      <c r="L585"/>
      <c r="M585"/>
      <c r="N585"/>
      <c r="O585"/>
      <c r="P585"/>
      <c r="Q585"/>
      <c r="R585"/>
      <c r="S585"/>
      <c r="T585"/>
    </row>
    <row r="586" spans="1:20" x14ac:dyDescent="0.25">
      <c r="A586" s="115">
        <v>585</v>
      </c>
      <c r="B586" s="145">
        <v>45388</v>
      </c>
      <c r="C586" s="146">
        <v>2024</v>
      </c>
      <c r="D586" s="118" t="s">
        <v>35</v>
      </c>
      <c r="E586" s="118" t="s">
        <v>794</v>
      </c>
      <c r="F586" s="147">
        <v>1</v>
      </c>
      <c r="G586" s="120" t="s">
        <v>759</v>
      </c>
      <c r="H586" s="148">
        <v>166500</v>
      </c>
      <c r="J586"/>
      <c r="K586"/>
      <c r="L586"/>
      <c r="M586"/>
      <c r="N586"/>
      <c r="O586"/>
      <c r="P586"/>
      <c r="Q586"/>
      <c r="R586"/>
      <c r="S586"/>
      <c r="T586"/>
    </row>
    <row r="587" spans="1:20" x14ac:dyDescent="0.25">
      <c r="A587" s="115">
        <v>586</v>
      </c>
      <c r="B587" s="145">
        <v>45388</v>
      </c>
      <c r="C587" s="146">
        <v>2024</v>
      </c>
      <c r="D587" s="118" t="s">
        <v>35</v>
      </c>
      <c r="E587" s="118" t="s">
        <v>997</v>
      </c>
      <c r="F587" s="147">
        <v>1</v>
      </c>
      <c r="G587" s="120" t="s">
        <v>759</v>
      </c>
      <c r="H587" s="148">
        <v>475000</v>
      </c>
      <c r="J587"/>
      <c r="K587"/>
      <c r="L587"/>
      <c r="M587"/>
      <c r="N587"/>
      <c r="O587"/>
      <c r="P587"/>
      <c r="Q587"/>
      <c r="R587"/>
      <c r="S587"/>
      <c r="T587"/>
    </row>
    <row r="588" spans="1:20" x14ac:dyDescent="0.25">
      <c r="A588" s="115">
        <v>587</v>
      </c>
      <c r="B588" s="145">
        <v>45388</v>
      </c>
      <c r="C588" s="146">
        <v>2024</v>
      </c>
      <c r="D588" s="118" t="s">
        <v>35</v>
      </c>
      <c r="E588" s="118" t="s">
        <v>998</v>
      </c>
      <c r="F588" s="147">
        <v>1</v>
      </c>
      <c r="G588" s="120" t="s">
        <v>759</v>
      </c>
      <c r="H588" s="148">
        <v>265000</v>
      </c>
      <c r="J588"/>
      <c r="K588"/>
      <c r="L588"/>
      <c r="M588"/>
      <c r="N588"/>
      <c r="O588"/>
      <c r="P588"/>
      <c r="Q588"/>
      <c r="R588"/>
      <c r="S588"/>
      <c r="T588"/>
    </row>
    <row r="589" spans="1:20" x14ac:dyDescent="0.25">
      <c r="A589" s="115">
        <v>588</v>
      </c>
      <c r="B589" s="145">
        <v>45388</v>
      </c>
      <c r="C589" s="146">
        <v>2024</v>
      </c>
      <c r="D589" s="118" t="s">
        <v>35</v>
      </c>
      <c r="E589" s="118" t="s">
        <v>999</v>
      </c>
      <c r="F589" s="147">
        <v>1</v>
      </c>
      <c r="G589" s="120" t="s">
        <v>759</v>
      </c>
      <c r="H589" s="148">
        <v>10000</v>
      </c>
      <c r="J589"/>
      <c r="K589"/>
      <c r="L589"/>
      <c r="M589"/>
      <c r="N589"/>
      <c r="O589"/>
      <c r="P589"/>
      <c r="Q589"/>
      <c r="R589"/>
      <c r="S589"/>
      <c r="T589"/>
    </row>
    <row r="590" spans="1:20" x14ac:dyDescent="0.25">
      <c r="A590" s="115">
        <v>589</v>
      </c>
      <c r="B590" s="145">
        <v>45388</v>
      </c>
      <c r="C590" s="146">
        <v>2024</v>
      </c>
      <c r="D590" s="118" t="s">
        <v>35</v>
      </c>
      <c r="E590" s="118" t="s">
        <v>1000</v>
      </c>
      <c r="F590" s="147">
        <v>1</v>
      </c>
      <c r="G590" s="120" t="s">
        <v>759</v>
      </c>
      <c r="H590" s="148">
        <v>90000</v>
      </c>
      <c r="J590"/>
      <c r="K590"/>
      <c r="L590"/>
      <c r="M590"/>
      <c r="N590"/>
      <c r="O590"/>
      <c r="P590"/>
      <c r="Q590"/>
      <c r="R590"/>
      <c r="S590"/>
      <c r="T590"/>
    </row>
    <row r="591" spans="1:20" x14ac:dyDescent="0.25">
      <c r="A591" s="115">
        <v>590</v>
      </c>
      <c r="B591" s="145">
        <v>45388</v>
      </c>
      <c r="C591" s="146">
        <v>2024</v>
      </c>
      <c r="D591" s="118" t="s">
        <v>35</v>
      </c>
      <c r="E591" s="118" t="s">
        <v>794</v>
      </c>
      <c r="F591" s="147">
        <v>1</v>
      </c>
      <c r="G591" s="120" t="s">
        <v>759</v>
      </c>
      <c r="H591" s="148">
        <v>166500</v>
      </c>
      <c r="J591"/>
      <c r="K591"/>
      <c r="L591"/>
      <c r="M591"/>
      <c r="N591"/>
      <c r="O591"/>
      <c r="P591"/>
      <c r="Q591"/>
      <c r="R591"/>
      <c r="S591"/>
      <c r="T591"/>
    </row>
    <row r="592" spans="1:20" x14ac:dyDescent="0.25">
      <c r="A592" s="115">
        <v>591</v>
      </c>
      <c r="B592" s="145">
        <v>45388</v>
      </c>
      <c r="C592" s="146">
        <v>2024</v>
      </c>
      <c r="D592" s="118" t="s">
        <v>35</v>
      </c>
      <c r="E592" s="118" t="s">
        <v>1001</v>
      </c>
      <c r="F592" s="147">
        <v>1</v>
      </c>
      <c r="G592" s="120" t="s">
        <v>759</v>
      </c>
      <c r="H592" s="148">
        <v>90000</v>
      </c>
      <c r="J592"/>
      <c r="K592"/>
      <c r="L592"/>
      <c r="M592"/>
      <c r="N592"/>
      <c r="O592"/>
      <c r="P592"/>
      <c r="Q592"/>
      <c r="R592"/>
      <c r="S592"/>
      <c r="T592"/>
    </row>
    <row r="593" spans="1:20" x14ac:dyDescent="0.25">
      <c r="A593" s="115">
        <v>592</v>
      </c>
      <c r="B593" s="145">
        <v>45388</v>
      </c>
      <c r="C593" s="146">
        <v>2024</v>
      </c>
      <c r="D593" s="118" t="s">
        <v>35</v>
      </c>
      <c r="E593" s="118" t="s">
        <v>1002</v>
      </c>
      <c r="F593" s="147">
        <v>1</v>
      </c>
      <c r="G593" s="120" t="s">
        <v>759</v>
      </c>
      <c r="H593" s="148">
        <v>275000</v>
      </c>
      <c r="J593"/>
      <c r="K593"/>
      <c r="L593"/>
      <c r="M593"/>
      <c r="N593"/>
      <c r="O593"/>
      <c r="P593"/>
      <c r="Q593"/>
      <c r="R593"/>
      <c r="S593"/>
      <c r="T593"/>
    </row>
    <row r="594" spans="1:20" x14ac:dyDescent="0.25">
      <c r="A594" s="115">
        <v>593</v>
      </c>
      <c r="B594" s="145">
        <v>45388</v>
      </c>
      <c r="C594" s="146">
        <v>2024</v>
      </c>
      <c r="D594" s="118" t="s">
        <v>35</v>
      </c>
      <c r="E594" s="118" t="s">
        <v>794</v>
      </c>
      <c r="F594" s="147">
        <v>1</v>
      </c>
      <c r="G594" s="120" t="s">
        <v>759</v>
      </c>
      <c r="H594" s="148">
        <v>166500</v>
      </c>
      <c r="J594"/>
      <c r="K594"/>
      <c r="L594"/>
      <c r="M594"/>
      <c r="N594"/>
      <c r="O594"/>
      <c r="P594"/>
      <c r="Q594"/>
      <c r="R594"/>
      <c r="S594"/>
      <c r="T594"/>
    </row>
    <row r="595" spans="1:20" x14ac:dyDescent="0.25">
      <c r="A595" s="115">
        <v>594</v>
      </c>
      <c r="B595" s="145">
        <v>45388</v>
      </c>
      <c r="C595" s="146">
        <v>2024</v>
      </c>
      <c r="D595" s="118" t="s">
        <v>35</v>
      </c>
      <c r="E595" s="118" t="s">
        <v>1003</v>
      </c>
      <c r="F595" s="147">
        <v>1</v>
      </c>
      <c r="G595" s="120" t="s">
        <v>759</v>
      </c>
      <c r="H595" s="148">
        <v>100000</v>
      </c>
      <c r="J595"/>
      <c r="K595"/>
      <c r="L595"/>
      <c r="M595"/>
      <c r="N595"/>
      <c r="O595"/>
      <c r="P595"/>
      <c r="Q595"/>
      <c r="R595"/>
      <c r="S595"/>
      <c r="T595"/>
    </row>
    <row r="596" spans="1:20" x14ac:dyDescent="0.25">
      <c r="A596" s="115">
        <v>595</v>
      </c>
      <c r="B596" s="145">
        <v>45388</v>
      </c>
      <c r="C596" s="146">
        <v>2024</v>
      </c>
      <c r="D596" s="118" t="s">
        <v>35</v>
      </c>
      <c r="E596" s="118" t="s">
        <v>1004</v>
      </c>
      <c r="F596" s="147">
        <v>1</v>
      </c>
      <c r="G596" s="120" t="s">
        <v>759</v>
      </c>
      <c r="H596" s="148">
        <v>225000</v>
      </c>
      <c r="J596"/>
      <c r="K596"/>
      <c r="L596"/>
      <c r="M596"/>
      <c r="N596"/>
      <c r="O596"/>
      <c r="P596"/>
      <c r="Q596"/>
      <c r="R596"/>
      <c r="S596"/>
      <c r="T596"/>
    </row>
    <row r="597" spans="1:20" x14ac:dyDescent="0.25">
      <c r="A597" s="115">
        <v>596</v>
      </c>
      <c r="B597" s="145">
        <v>45388</v>
      </c>
      <c r="C597" s="146">
        <v>2024</v>
      </c>
      <c r="D597" s="118" t="s">
        <v>35</v>
      </c>
      <c r="E597" s="118" t="s">
        <v>1005</v>
      </c>
      <c r="F597" s="147">
        <v>1</v>
      </c>
      <c r="G597" s="120" t="s">
        <v>759</v>
      </c>
      <c r="H597" s="148">
        <v>275000</v>
      </c>
      <c r="J597"/>
      <c r="K597"/>
      <c r="L597"/>
      <c r="M597"/>
      <c r="N597"/>
      <c r="O597"/>
      <c r="P597"/>
      <c r="Q597"/>
      <c r="R597"/>
      <c r="S597"/>
      <c r="T597"/>
    </row>
    <row r="598" spans="1:20" x14ac:dyDescent="0.25">
      <c r="A598" s="115">
        <v>597</v>
      </c>
      <c r="B598" s="145">
        <v>45388</v>
      </c>
      <c r="C598" s="146">
        <v>2024</v>
      </c>
      <c r="D598" s="118" t="s">
        <v>35</v>
      </c>
      <c r="E598" s="118" t="s">
        <v>1006</v>
      </c>
      <c r="F598" s="147">
        <v>1</v>
      </c>
      <c r="G598" s="120" t="s">
        <v>759</v>
      </c>
      <c r="H598" s="148">
        <v>100000</v>
      </c>
      <c r="J598"/>
      <c r="K598"/>
      <c r="L598"/>
      <c r="M598"/>
      <c r="N598"/>
      <c r="O598"/>
      <c r="P598"/>
      <c r="Q598"/>
      <c r="R598"/>
      <c r="S598"/>
      <c r="T598"/>
    </row>
    <row r="599" spans="1:20" x14ac:dyDescent="0.25">
      <c r="A599" s="115">
        <v>598</v>
      </c>
      <c r="B599" s="145">
        <v>45388</v>
      </c>
      <c r="C599" s="146">
        <v>2024</v>
      </c>
      <c r="D599" s="118" t="s">
        <v>35</v>
      </c>
      <c r="E599" s="118" t="s">
        <v>1007</v>
      </c>
      <c r="F599" s="147">
        <v>1</v>
      </c>
      <c r="G599" s="120" t="s">
        <v>759</v>
      </c>
      <c r="H599" s="148">
        <v>275000</v>
      </c>
      <c r="J599"/>
      <c r="K599"/>
      <c r="L599"/>
      <c r="M599"/>
      <c r="N599"/>
      <c r="O599"/>
      <c r="P599"/>
      <c r="Q599"/>
      <c r="R599"/>
      <c r="S599"/>
      <c r="T599"/>
    </row>
    <row r="600" spans="1:20" x14ac:dyDescent="0.25">
      <c r="A600" s="115">
        <v>599</v>
      </c>
      <c r="B600" s="145">
        <v>45388</v>
      </c>
      <c r="C600" s="146">
        <v>2024</v>
      </c>
      <c r="D600" s="118" t="s">
        <v>35</v>
      </c>
      <c r="E600" s="118" t="s">
        <v>1008</v>
      </c>
      <c r="F600" s="147">
        <v>1</v>
      </c>
      <c r="G600" s="120" t="s">
        <v>759</v>
      </c>
      <c r="H600" s="148">
        <v>300000</v>
      </c>
      <c r="J600"/>
      <c r="K600"/>
      <c r="L600"/>
      <c r="M600"/>
      <c r="N600"/>
      <c r="O600"/>
      <c r="P600"/>
      <c r="Q600"/>
      <c r="R600"/>
      <c r="S600"/>
      <c r="T600"/>
    </row>
    <row r="601" spans="1:20" x14ac:dyDescent="0.25">
      <c r="A601" s="115">
        <v>600</v>
      </c>
      <c r="B601" s="145">
        <v>45388</v>
      </c>
      <c r="C601" s="146">
        <v>2024</v>
      </c>
      <c r="D601" s="118" t="s">
        <v>35</v>
      </c>
      <c r="E601" s="118" t="s">
        <v>1009</v>
      </c>
      <c r="F601" s="147">
        <v>1</v>
      </c>
      <c r="G601" s="120" t="s">
        <v>759</v>
      </c>
      <c r="H601" s="148">
        <v>40000</v>
      </c>
      <c r="J601"/>
      <c r="K601"/>
      <c r="L601"/>
      <c r="M601"/>
      <c r="N601"/>
      <c r="O601"/>
      <c r="P601"/>
      <c r="Q601"/>
      <c r="R601"/>
      <c r="S601"/>
      <c r="T601"/>
    </row>
    <row r="602" spans="1:20" x14ac:dyDescent="0.25">
      <c r="A602" s="115">
        <v>601</v>
      </c>
      <c r="B602" s="145">
        <v>45388</v>
      </c>
      <c r="C602" s="146">
        <v>2024</v>
      </c>
      <c r="D602" s="118" t="s">
        <v>35</v>
      </c>
      <c r="E602" s="118" t="s">
        <v>1010</v>
      </c>
      <c r="F602" s="147">
        <v>1</v>
      </c>
      <c r="G602" s="120" t="s">
        <v>759</v>
      </c>
      <c r="H602" s="148">
        <v>250000</v>
      </c>
      <c r="J602"/>
      <c r="K602"/>
      <c r="L602"/>
      <c r="M602"/>
      <c r="N602"/>
      <c r="O602"/>
      <c r="P602"/>
      <c r="Q602"/>
      <c r="R602"/>
      <c r="S602"/>
      <c r="T602"/>
    </row>
    <row r="603" spans="1:20" x14ac:dyDescent="0.25">
      <c r="A603" s="115">
        <v>602</v>
      </c>
      <c r="B603" s="145">
        <v>45388</v>
      </c>
      <c r="C603" s="146">
        <v>2024</v>
      </c>
      <c r="D603" s="118" t="s">
        <v>35</v>
      </c>
      <c r="E603" s="118" t="s">
        <v>1001</v>
      </c>
      <c r="F603" s="147">
        <v>1</v>
      </c>
      <c r="G603" s="120" t="s">
        <v>759</v>
      </c>
      <c r="H603" s="148">
        <v>90000</v>
      </c>
      <c r="J603"/>
      <c r="K603"/>
      <c r="L603"/>
      <c r="M603"/>
      <c r="N603"/>
      <c r="O603"/>
      <c r="P603"/>
      <c r="Q603"/>
      <c r="R603"/>
      <c r="S603"/>
      <c r="T603"/>
    </row>
    <row r="604" spans="1:20" x14ac:dyDescent="0.25">
      <c r="A604" s="115">
        <v>603</v>
      </c>
      <c r="B604" s="145">
        <v>45388</v>
      </c>
      <c r="C604" s="146">
        <v>2024</v>
      </c>
      <c r="D604" s="118" t="s">
        <v>35</v>
      </c>
      <c r="E604" s="118" t="s">
        <v>794</v>
      </c>
      <c r="F604" s="147">
        <v>1</v>
      </c>
      <c r="G604" s="120" t="s">
        <v>759</v>
      </c>
      <c r="H604" s="148">
        <v>166500</v>
      </c>
      <c r="J604"/>
      <c r="K604"/>
      <c r="L604"/>
      <c r="M604"/>
      <c r="N604"/>
      <c r="O604"/>
      <c r="P604"/>
      <c r="Q604"/>
      <c r="R604"/>
      <c r="S604"/>
      <c r="T604"/>
    </row>
    <row r="605" spans="1:20" x14ac:dyDescent="0.25">
      <c r="A605" s="115">
        <v>604</v>
      </c>
      <c r="B605" s="145">
        <v>45388</v>
      </c>
      <c r="C605" s="146">
        <v>2024</v>
      </c>
      <c r="D605" s="118" t="s">
        <v>35</v>
      </c>
      <c r="E605" s="118" t="s">
        <v>1010</v>
      </c>
      <c r="F605" s="147">
        <v>1</v>
      </c>
      <c r="G605" s="120" t="s">
        <v>759</v>
      </c>
      <c r="H605" s="148">
        <v>250000</v>
      </c>
      <c r="J605"/>
      <c r="K605"/>
      <c r="L605"/>
      <c r="M605"/>
      <c r="N605"/>
      <c r="O605"/>
      <c r="P605"/>
      <c r="Q605"/>
      <c r="R605"/>
      <c r="S605"/>
      <c r="T605"/>
    </row>
    <row r="606" spans="1:20" x14ac:dyDescent="0.25">
      <c r="A606" s="115">
        <v>605</v>
      </c>
      <c r="B606" s="145">
        <v>45388</v>
      </c>
      <c r="C606" s="146">
        <v>2024</v>
      </c>
      <c r="D606" s="118" t="s">
        <v>35</v>
      </c>
      <c r="E606" s="118" t="s">
        <v>1011</v>
      </c>
      <c r="F606" s="147">
        <v>1</v>
      </c>
      <c r="G606" s="120" t="s">
        <v>759</v>
      </c>
      <c r="H606" s="148">
        <v>300000</v>
      </c>
      <c r="J606"/>
      <c r="K606"/>
      <c r="L606"/>
      <c r="M606"/>
      <c r="N606"/>
      <c r="O606"/>
      <c r="P606"/>
      <c r="Q606"/>
      <c r="R606"/>
      <c r="S606"/>
      <c r="T606"/>
    </row>
    <row r="607" spans="1:20" x14ac:dyDescent="0.25">
      <c r="A607" s="115">
        <v>606</v>
      </c>
      <c r="B607" s="145">
        <v>45388</v>
      </c>
      <c r="C607" s="146">
        <v>2024</v>
      </c>
      <c r="D607" s="118" t="s">
        <v>35</v>
      </c>
      <c r="E607" s="118" t="s">
        <v>907</v>
      </c>
      <c r="F607" s="147">
        <v>1</v>
      </c>
      <c r="G607" s="120" t="s">
        <v>759</v>
      </c>
      <c r="H607" s="148">
        <v>475000</v>
      </c>
      <c r="J607"/>
      <c r="K607"/>
      <c r="L607"/>
      <c r="M607"/>
      <c r="N607"/>
      <c r="O607"/>
      <c r="P607"/>
      <c r="Q607"/>
      <c r="R607"/>
      <c r="S607"/>
      <c r="T607"/>
    </row>
    <row r="608" spans="1:20" x14ac:dyDescent="0.25">
      <c r="A608" s="115">
        <v>607</v>
      </c>
      <c r="B608" s="145">
        <v>45388</v>
      </c>
      <c r="C608" s="146">
        <v>2024</v>
      </c>
      <c r="D608" s="118" t="s">
        <v>35</v>
      </c>
      <c r="E608" s="118" t="s">
        <v>993</v>
      </c>
      <c r="F608" s="147">
        <v>1</v>
      </c>
      <c r="G608" s="120" t="s">
        <v>759</v>
      </c>
      <c r="H608" s="148">
        <v>40000</v>
      </c>
      <c r="J608"/>
      <c r="K608"/>
      <c r="L608"/>
      <c r="M608"/>
      <c r="N608"/>
      <c r="O608"/>
      <c r="P608"/>
      <c r="Q608"/>
      <c r="R608"/>
      <c r="S608"/>
      <c r="T608"/>
    </row>
    <row r="609" spans="1:20" x14ac:dyDescent="0.25">
      <c r="A609" s="115">
        <v>608</v>
      </c>
      <c r="B609" s="145">
        <v>45388</v>
      </c>
      <c r="C609" s="146">
        <v>2024</v>
      </c>
      <c r="D609" s="118" t="s">
        <v>35</v>
      </c>
      <c r="E609" s="118" t="s">
        <v>1010</v>
      </c>
      <c r="F609" s="147">
        <v>1</v>
      </c>
      <c r="G609" s="120" t="s">
        <v>759</v>
      </c>
      <c r="H609" s="148">
        <v>250000</v>
      </c>
      <c r="J609"/>
      <c r="K609"/>
      <c r="L609"/>
      <c r="M609"/>
      <c r="N609"/>
      <c r="O609"/>
      <c r="P609"/>
      <c r="Q609"/>
      <c r="R609"/>
      <c r="S609"/>
      <c r="T609"/>
    </row>
    <row r="610" spans="1:20" x14ac:dyDescent="0.25">
      <c r="A610" s="115">
        <v>609</v>
      </c>
      <c r="B610" s="145">
        <v>45388</v>
      </c>
      <c r="C610" s="146">
        <v>2024</v>
      </c>
      <c r="D610" s="118" t="s">
        <v>35</v>
      </c>
      <c r="E610" s="118" t="s">
        <v>1012</v>
      </c>
      <c r="F610" s="147">
        <v>1</v>
      </c>
      <c r="G610" s="120" t="s">
        <v>759</v>
      </c>
      <c r="H610" s="148">
        <v>875000</v>
      </c>
      <c r="J610"/>
      <c r="K610"/>
      <c r="L610"/>
      <c r="M610"/>
      <c r="N610"/>
      <c r="O610"/>
      <c r="P610"/>
      <c r="Q610"/>
      <c r="R610"/>
      <c r="S610"/>
      <c r="T610"/>
    </row>
    <row r="611" spans="1:20" x14ac:dyDescent="0.25">
      <c r="A611" s="115">
        <v>610</v>
      </c>
      <c r="B611" s="145">
        <v>45388</v>
      </c>
      <c r="C611" s="146">
        <v>2024</v>
      </c>
      <c r="D611" s="118" t="s">
        <v>35</v>
      </c>
      <c r="E611" s="118" t="s">
        <v>1013</v>
      </c>
      <c r="F611" s="147">
        <v>1</v>
      </c>
      <c r="G611" s="120" t="s">
        <v>759</v>
      </c>
      <c r="H611" s="148">
        <v>645000</v>
      </c>
      <c r="J611"/>
      <c r="K611"/>
      <c r="L611"/>
      <c r="M611"/>
      <c r="N611"/>
      <c r="O611"/>
      <c r="P611"/>
      <c r="Q611"/>
      <c r="R611"/>
      <c r="S611"/>
      <c r="T611"/>
    </row>
    <row r="612" spans="1:20" x14ac:dyDescent="0.25">
      <c r="A612" s="115">
        <v>611</v>
      </c>
      <c r="B612" s="145">
        <v>45388</v>
      </c>
      <c r="C612" s="146">
        <v>2024</v>
      </c>
      <c r="D612" s="118" t="s">
        <v>35</v>
      </c>
      <c r="E612" s="118" t="s">
        <v>1014</v>
      </c>
      <c r="F612" s="147">
        <v>1</v>
      </c>
      <c r="G612" s="120" t="s">
        <v>759</v>
      </c>
      <c r="H612" s="148">
        <v>200000</v>
      </c>
      <c r="J612"/>
      <c r="K612"/>
      <c r="L612"/>
      <c r="M612"/>
      <c r="N612"/>
      <c r="O612"/>
      <c r="P612"/>
      <c r="Q612"/>
      <c r="R612"/>
      <c r="S612"/>
      <c r="T612"/>
    </row>
    <row r="613" spans="1:20" x14ac:dyDescent="0.25">
      <c r="A613" s="115">
        <v>612</v>
      </c>
      <c r="B613" s="145">
        <v>45388</v>
      </c>
      <c r="C613" s="146">
        <v>2024</v>
      </c>
      <c r="D613" s="118" t="s">
        <v>35</v>
      </c>
      <c r="E613" s="118" t="s">
        <v>1012</v>
      </c>
      <c r="F613" s="147">
        <v>1</v>
      </c>
      <c r="G613" s="120" t="s">
        <v>759</v>
      </c>
      <c r="H613" s="148">
        <v>390000</v>
      </c>
      <c r="J613"/>
      <c r="K613"/>
      <c r="L613"/>
      <c r="M613"/>
      <c r="N613"/>
      <c r="O613"/>
      <c r="P613"/>
      <c r="Q613"/>
      <c r="R613"/>
      <c r="S613"/>
      <c r="T613"/>
    </row>
    <row r="614" spans="1:20" x14ac:dyDescent="0.25">
      <c r="A614" s="115">
        <v>613</v>
      </c>
      <c r="B614" s="145">
        <v>45388</v>
      </c>
      <c r="C614" s="146">
        <v>2024</v>
      </c>
      <c r="D614" s="118" t="s">
        <v>35</v>
      </c>
      <c r="E614" s="118" t="s">
        <v>1013</v>
      </c>
      <c r="F614" s="147">
        <v>1</v>
      </c>
      <c r="G614" s="120" t="s">
        <v>759</v>
      </c>
      <c r="H614" s="148">
        <v>650000</v>
      </c>
      <c r="J614"/>
      <c r="K614"/>
      <c r="L614"/>
      <c r="M614"/>
      <c r="N614"/>
      <c r="O614"/>
      <c r="P614"/>
      <c r="Q614"/>
      <c r="R614"/>
      <c r="S614"/>
      <c r="T614"/>
    </row>
    <row r="615" spans="1:20" x14ac:dyDescent="0.25">
      <c r="A615" s="115">
        <v>614</v>
      </c>
      <c r="B615" s="145">
        <v>45388</v>
      </c>
      <c r="C615" s="146">
        <v>2024</v>
      </c>
      <c r="D615" s="118" t="s">
        <v>35</v>
      </c>
      <c r="E615" s="118" t="s">
        <v>1014</v>
      </c>
      <c r="F615" s="147">
        <v>1</v>
      </c>
      <c r="G615" s="120" t="s">
        <v>759</v>
      </c>
      <c r="H615" s="148">
        <v>600000</v>
      </c>
      <c r="J615"/>
      <c r="K615"/>
      <c r="L615"/>
      <c r="M615"/>
      <c r="N615"/>
      <c r="O615"/>
      <c r="P615"/>
      <c r="Q615"/>
      <c r="R615"/>
      <c r="S615"/>
      <c r="T615"/>
    </row>
    <row r="616" spans="1:20" x14ac:dyDescent="0.25">
      <c r="A616" s="115">
        <v>615</v>
      </c>
      <c r="B616" s="145">
        <v>45388</v>
      </c>
      <c r="C616" s="146">
        <v>2024</v>
      </c>
      <c r="D616" s="118" t="s">
        <v>35</v>
      </c>
      <c r="E616" s="118" t="s">
        <v>907</v>
      </c>
      <c r="F616" s="147">
        <v>1</v>
      </c>
      <c r="G616" s="120" t="s">
        <v>759</v>
      </c>
      <c r="H616" s="148">
        <v>250000</v>
      </c>
      <c r="J616"/>
      <c r="K616"/>
      <c r="L616"/>
      <c r="M616"/>
      <c r="N616"/>
      <c r="O616"/>
      <c r="P616"/>
      <c r="Q616"/>
      <c r="R616"/>
      <c r="S616"/>
      <c r="T616"/>
    </row>
    <row r="617" spans="1:20" x14ac:dyDescent="0.25">
      <c r="A617" s="115">
        <v>616</v>
      </c>
      <c r="B617" s="145">
        <v>45388</v>
      </c>
      <c r="C617" s="146">
        <v>2024</v>
      </c>
      <c r="D617" s="118" t="s">
        <v>35</v>
      </c>
      <c r="E617" s="118" t="s">
        <v>993</v>
      </c>
      <c r="F617" s="147">
        <v>1</v>
      </c>
      <c r="G617" s="120" t="s">
        <v>759</v>
      </c>
      <c r="H617" s="148">
        <v>40000</v>
      </c>
      <c r="J617"/>
      <c r="K617"/>
      <c r="L617"/>
      <c r="M617"/>
      <c r="N617"/>
      <c r="O617"/>
      <c r="P617"/>
      <c r="Q617"/>
      <c r="R617"/>
      <c r="S617"/>
      <c r="T617"/>
    </row>
    <row r="618" spans="1:20" x14ac:dyDescent="0.25">
      <c r="A618" s="115">
        <v>617</v>
      </c>
      <c r="B618" s="145">
        <v>45388</v>
      </c>
      <c r="C618" s="146">
        <v>2024</v>
      </c>
      <c r="D618" s="118" t="s">
        <v>35</v>
      </c>
      <c r="E618" s="118" t="s">
        <v>1015</v>
      </c>
      <c r="F618" s="147">
        <v>1</v>
      </c>
      <c r="G618" s="120" t="s">
        <v>759</v>
      </c>
      <c r="H618" s="148">
        <v>40000</v>
      </c>
      <c r="J618"/>
      <c r="K618"/>
      <c r="L618"/>
      <c r="M618"/>
      <c r="N618"/>
      <c r="O618"/>
      <c r="P618"/>
      <c r="Q618"/>
      <c r="R618"/>
      <c r="S618"/>
      <c r="T618"/>
    </row>
    <row r="619" spans="1:20" x14ac:dyDescent="0.25">
      <c r="A619" s="115">
        <v>618</v>
      </c>
      <c r="B619" s="145">
        <v>45388</v>
      </c>
      <c r="C619" s="146">
        <v>2024</v>
      </c>
      <c r="D619" s="118" t="s">
        <v>35</v>
      </c>
      <c r="E619" s="118" t="s">
        <v>115</v>
      </c>
      <c r="F619" s="147">
        <v>1</v>
      </c>
      <c r="G619" s="120" t="s">
        <v>759</v>
      </c>
      <c r="H619" s="148">
        <v>45000</v>
      </c>
      <c r="J619"/>
      <c r="K619"/>
      <c r="L619"/>
      <c r="M619"/>
      <c r="N619"/>
      <c r="O619"/>
      <c r="P619"/>
      <c r="Q619"/>
      <c r="R619"/>
      <c r="S619"/>
      <c r="T619"/>
    </row>
    <row r="620" spans="1:20" x14ac:dyDescent="0.25">
      <c r="A620" s="115">
        <v>619</v>
      </c>
      <c r="B620" s="145">
        <v>45388</v>
      </c>
      <c r="C620" s="146">
        <v>2024</v>
      </c>
      <c r="D620" s="118" t="s">
        <v>35</v>
      </c>
      <c r="E620" s="118" t="s">
        <v>794</v>
      </c>
      <c r="F620" s="147">
        <v>1</v>
      </c>
      <c r="G620" s="120" t="s">
        <v>759</v>
      </c>
      <c r="H620" s="148">
        <v>166500</v>
      </c>
      <c r="J620"/>
      <c r="K620"/>
      <c r="L620"/>
      <c r="M620"/>
      <c r="N620"/>
      <c r="O620"/>
      <c r="P620"/>
      <c r="Q620"/>
      <c r="R620"/>
      <c r="S620"/>
      <c r="T620"/>
    </row>
    <row r="621" spans="1:20" x14ac:dyDescent="0.25">
      <c r="A621" s="115">
        <v>620</v>
      </c>
      <c r="B621" s="145">
        <v>45388</v>
      </c>
      <c r="C621" s="146">
        <v>2024</v>
      </c>
      <c r="D621" s="118" t="s">
        <v>35</v>
      </c>
      <c r="E621" s="118" t="s">
        <v>1016</v>
      </c>
      <c r="F621" s="147">
        <v>1</v>
      </c>
      <c r="G621" s="120" t="s">
        <v>759</v>
      </c>
      <c r="H621" s="148">
        <v>85000</v>
      </c>
      <c r="J621"/>
      <c r="K621"/>
      <c r="L621"/>
      <c r="M621"/>
      <c r="N621"/>
      <c r="O621"/>
      <c r="P621"/>
      <c r="Q621"/>
      <c r="R621"/>
      <c r="S621"/>
      <c r="T621"/>
    </row>
    <row r="622" spans="1:20" x14ac:dyDescent="0.25">
      <c r="A622" s="115">
        <v>621</v>
      </c>
      <c r="B622" s="145">
        <v>45388</v>
      </c>
      <c r="C622" s="146">
        <v>2024</v>
      </c>
      <c r="D622" s="118" t="s">
        <v>35</v>
      </c>
      <c r="E622" s="118" t="s">
        <v>1016</v>
      </c>
      <c r="F622" s="147">
        <v>1</v>
      </c>
      <c r="G622" s="120" t="s">
        <v>759</v>
      </c>
      <c r="H622" s="148">
        <v>150000</v>
      </c>
      <c r="J622"/>
      <c r="K622"/>
      <c r="L622"/>
      <c r="M622"/>
      <c r="N622"/>
      <c r="O622"/>
      <c r="P622"/>
      <c r="Q622"/>
      <c r="R622"/>
      <c r="S622"/>
      <c r="T622"/>
    </row>
    <row r="623" spans="1:20" x14ac:dyDescent="0.25">
      <c r="A623" s="115">
        <v>622</v>
      </c>
      <c r="B623" s="145">
        <v>45388</v>
      </c>
      <c r="C623" s="146">
        <v>2024</v>
      </c>
      <c r="D623" s="118" t="s">
        <v>35</v>
      </c>
      <c r="E623" s="118" t="s">
        <v>1017</v>
      </c>
      <c r="F623" s="147">
        <v>1</v>
      </c>
      <c r="G623" s="120" t="s">
        <v>759</v>
      </c>
      <c r="H623" s="148">
        <v>1225000</v>
      </c>
      <c r="J623"/>
      <c r="K623"/>
      <c r="L623"/>
      <c r="M623"/>
      <c r="N623"/>
      <c r="O623"/>
      <c r="P623"/>
      <c r="Q623"/>
      <c r="R623"/>
      <c r="S623"/>
      <c r="T623"/>
    </row>
    <row r="624" spans="1:20" x14ac:dyDescent="0.25">
      <c r="A624" s="115">
        <v>623</v>
      </c>
      <c r="B624" s="145">
        <v>45388</v>
      </c>
      <c r="C624" s="146">
        <v>2024</v>
      </c>
      <c r="D624" s="118" t="s">
        <v>35</v>
      </c>
      <c r="E624" s="118" t="s">
        <v>1018</v>
      </c>
      <c r="F624" s="147">
        <v>1</v>
      </c>
      <c r="G624" s="120" t="s">
        <v>759</v>
      </c>
      <c r="H624" s="148">
        <v>1775000</v>
      </c>
      <c r="J624"/>
      <c r="K624"/>
      <c r="L624"/>
      <c r="M624"/>
      <c r="N624"/>
      <c r="O624"/>
      <c r="P624"/>
      <c r="Q624"/>
      <c r="R624"/>
      <c r="S624"/>
      <c r="T624"/>
    </row>
    <row r="625" spans="1:20" x14ac:dyDescent="0.25">
      <c r="A625" s="115">
        <v>624</v>
      </c>
      <c r="B625" s="145">
        <v>45388</v>
      </c>
      <c r="C625" s="146">
        <v>2024</v>
      </c>
      <c r="D625" s="118" t="s">
        <v>35</v>
      </c>
      <c r="E625" s="118" t="s">
        <v>1019</v>
      </c>
      <c r="F625" s="147">
        <v>1</v>
      </c>
      <c r="G625" s="120" t="s">
        <v>759</v>
      </c>
      <c r="H625" s="148">
        <v>140000</v>
      </c>
      <c r="J625"/>
      <c r="K625"/>
      <c r="L625"/>
      <c r="M625"/>
      <c r="N625"/>
      <c r="O625"/>
      <c r="P625"/>
      <c r="Q625"/>
      <c r="R625"/>
      <c r="S625"/>
      <c r="T625"/>
    </row>
    <row r="626" spans="1:20" x14ac:dyDescent="0.25">
      <c r="A626" s="115">
        <v>625</v>
      </c>
      <c r="B626" s="145">
        <v>45388</v>
      </c>
      <c r="C626" s="146">
        <v>2024</v>
      </c>
      <c r="D626" s="118" t="s">
        <v>35</v>
      </c>
      <c r="E626" s="118" t="s">
        <v>1020</v>
      </c>
      <c r="F626" s="147">
        <v>1</v>
      </c>
      <c r="G626" s="120" t="s">
        <v>759</v>
      </c>
      <c r="H626" s="148">
        <v>50000</v>
      </c>
      <c r="J626"/>
      <c r="K626"/>
      <c r="L626"/>
      <c r="M626"/>
      <c r="N626"/>
      <c r="O626"/>
      <c r="P626"/>
      <c r="Q626"/>
      <c r="R626"/>
      <c r="S626"/>
      <c r="T626"/>
    </row>
    <row r="627" spans="1:20" x14ac:dyDescent="0.25">
      <c r="A627" s="115">
        <v>626</v>
      </c>
      <c r="B627" s="145">
        <v>45388</v>
      </c>
      <c r="C627" s="146">
        <v>2024</v>
      </c>
      <c r="D627" s="118" t="s">
        <v>35</v>
      </c>
      <c r="E627" s="118" t="s">
        <v>1021</v>
      </c>
      <c r="F627" s="147">
        <v>1</v>
      </c>
      <c r="G627" s="120" t="s">
        <v>759</v>
      </c>
      <c r="H627" s="148">
        <v>175000</v>
      </c>
      <c r="J627"/>
      <c r="K627"/>
      <c r="L627"/>
      <c r="M627"/>
      <c r="N627"/>
      <c r="O627"/>
      <c r="P627"/>
      <c r="Q627"/>
      <c r="R627"/>
      <c r="S627"/>
      <c r="T627"/>
    </row>
    <row r="628" spans="1:20" x14ac:dyDescent="0.25">
      <c r="A628" s="115">
        <v>627</v>
      </c>
      <c r="B628" s="145">
        <v>45401</v>
      </c>
      <c r="C628" s="146">
        <v>2024</v>
      </c>
      <c r="D628" s="118" t="s">
        <v>35</v>
      </c>
      <c r="E628" s="118" t="s">
        <v>1022</v>
      </c>
      <c r="F628" s="147">
        <v>1</v>
      </c>
      <c r="G628" s="120" t="s">
        <v>759</v>
      </c>
      <c r="H628" s="148">
        <v>185000</v>
      </c>
      <c r="J628"/>
      <c r="K628"/>
      <c r="L628"/>
      <c r="M628"/>
      <c r="N628"/>
      <c r="O628"/>
      <c r="P628"/>
      <c r="Q628"/>
      <c r="R628"/>
      <c r="S628"/>
      <c r="T628"/>
    </row>
    <row r="629" spans="1:20" x14ac:dyDescent="0.25">
      <c r="A629" s="115">
        <v>628</v>
      </c>
      <c r="B629" s="145">
        <v>45401</v>
      </c>
      <c r="C629" s="146">
        <v>2024</v>
      </c>
      <c r="D629" s="118" t="s">
        <v>35</v>
      </c>
      <c r="E629" s="118" t="s">
        <v>116</v>
      </c>
      <c r="F629" s="147">
        <v>1</v>
      </c>
      <c r="G629" s="120" t="s">
        <v>759</v>
      </c>
      <c r="H629" s="148">
        <v>30000</v>
      </c>
      <c r="J629"/>
      <c r="K629"/>
      <c r="L629"/>
      <c r="M629"/>
      <c r="N629"/>
      <c r="O629"/>
      <c r="P629"/>
      <c r="Q629"/>
      <c r="R629"/>
      <c r="S629"/>
      <c r="T629"/>
    </row>
    <row r="630" spans="1:20" x14ac:dyDescent="0.25">
      <c r="A630" s="115">
        <v>629</v>
      </c>
      <c r="B630" s="116">
        <v>45402</v>
      </c>
      <c r="C630" s="117">
        <v>2024</v>
      </c>
      <c r="D630" s="118" t="s">
        <v>35</v>
      </c>
      <c r="E630" s="119" t="s">
        <v>211</v>
      </c>
      <c r="F630" s="120">
        <v>1</v>
      </c>
      <c r="G630" s="120" t="s">
        <v>759</v>
      </c>
      <c r="H630" s="121">
        <v>17700</v>
      </c>
      <c r="J630"/>
      <c r="K630"/>
      <c r="L630"/>
      <c r="M630"/>
      <c r="N630"/>
      <c r="O630"/>
      <c r="P630"/>
      <c r="Q630"/>
      <c r="R630"/>
      <c r="S630"/>
      <c r="T630"/>
    </row>
    <row r="631" spans="1:20" x14ac:dyDescent="0.25">
      <c r="A631" s="115">
        <v>630</v>
      </c>
      <c r="B631" s="145">
        <v>45402</v>
      </c>
      <c r="C631" s="146">
        <v>2024</v>
      </c>
      <c r="D631" s="118" t="s">
        <v>35</v>
      </c>
      <c r="E631" s="118" t="s">
        <v>1023</v>
      </c>
      <c r="F631" s="147">
        <v>1</v>
      </c>
      <c r="G631" s="120" t="s">
        <v>759</v>
      </c>
      <c r="H631" s="148">
        <v>90000</v>
      </c>
      <c r="J631"/>
      <c r="K631"/>
      <c r="L631"/>
      <c r="M631"/>
      <c r="N631"/>
      <c r="O631"/>
      <c r="P631"/>
      <c r="Q631"/>
      <c r="R631"/>
      <c r="S631"/>
      <c r="T631"/>
    </row>
    <row r="632" spans="1:20" x14ac:dyDescent="0.25">
      <c r="A632" s="115">
        <v>631</v>
      </c>
      <c r="B632" s="145">
        <v>45402</v>
      </c>
      <c r="C632" s="146">
        <v>2024</v>
      </c>
      <c r="D632" s="118" t="s">
        <v>35</v>
      </c>
      <c r="E632" s="118" t="s">
        <v>1023</v>
      </c>
      <c r="F632" s="147">
        <v>1</v>
      </c>
      <c r="G632" s="120" t="s">
        <v>759</v>
      </c>
      <c r="H632" s="148">
        <v>130000</v>
      </c>
      <c r="J632"/>
      <c r="K632"/>
      <c r="L632"/>
      <c r="M632"/>
      <c r="N632"/>
      <c r="O632"/>
      <c r="P632"/>
      <c r="Q632"/>
      <c r="R632"/>
      <c r="S632"/>
      <c r="T632"/>
    </row>
    <row r="633" spans="1:20" x14ac:dyDescent="0.25">
      <c r="A633" s="115">
        <v>632</v>
      </c>
      <c r="B633" s="145">
        <v>45402</v>
      </c>
      <c r="C633" s="146">
        <v>2024</v>
      </c>
      <c r="D633" s="118" t="s">
        <v>35</v>
      </c>
      <c r="E633" s="118" t="s">
        <v>1024</v>
      </c>
      <c r="F633" s="147">
        <v>1</v>
      </c>
      <c r="G633" s="120" t="s">
        <v>759</v>
      </c>
      <c r="H633" s="148">
        <v>91000</v>
      </c>
      <c r="J633"/>
      <c r="K633"/>
      <c r="L633"/>
      <c r="M633"/>
      <c r="N633"/>
      <c r="O633"/>
      <c r="P633"/>
      <c r="Q633"/>
      <c r="R633"/>
      <c r="S633"/>
      <c r="T633"/>
    </row>
    <row r="634" spans="1:20" x14ac:dyDescent="0.25">
      <c r="A634" s="115">
        <v>633</v>
      </c>
      <c r="B634" s="116">
        <v>45404</v>
      </c>
      <c r="C634" s="117">
        <v>2024</v>
      </c>
      <c r="D634" s="118" t="s">
        <v>833</v>
      </c>
      <c r="E634" s="119" t="s">
        <v>175</v>
      </c>
      <c r="F634" s="120">
        <v>5</v>
      </c>
      <c r="G634" s="120" t="s">
        <v>759</v>
      </c>
      <c r="H634" s="121">
        <v>39250</v>
      </c>
      <c r="J634"/>
      <c r="K634"/>
      <c r="L634"/>
      <c r="M634"/>
      <c r="N634"/>
      <c r="O634"/>
      <c r="P634"/>
      <c r="Q634"/>
      <c r="R634"/>
      <c r="S634"/>
      <c r="T634"/>
    </row>
    <row r="635" spans="1:20" x14ac:dyDescent="0.25">
      <c r="A635" s="115">
        <v>634</v>
      </c>
      <c r="B635" s="116">
        <v>45404</v>
      </c>
      <c r="C635" s="117">
        <v>2024</v>
      </c>
      <c r="D635" s="118" t="s">
        <v>833</v>
      </c>
      <c r="E635" s="119" t="s">
        <v>175</v>
      </c>
      <c r="F635" s="120">
        <v>20</v>
      </c>
      <c r="G635" s="120" t="s">
        <v>759</v>
      </c>
      <c r="H635" s="121">
        <v>230000</v>
      </c>
      <c r="J635"/>
      <c r="K635"/>
      <c r="L635"/>
      <c r="M635"/>
      <c r="N635"/>
      <c r="O635"/>
      <c r="P635"/>
      <c r="Q635"/>
      <c r="R635"/>
      <c r="S635"/>
      <c r="T635"/>
    </row>
    <row r="636" spans="1:20" x14ac:dyDescent="0.25">
      <c r="A636" s="115">
        <v>635</v>
      </c>
      <c r="B636" s="116">
        <v>45404</v>
      </c>
      <c r="C636" s="117">
        <v>2024</v>
      </c>
      <c r="D636" s="118" t="s">
        <v>833</v>
      </c>
      <c r="E636" s="119" t="s">
        <v>847</v>
      </c>
      <c r="F636" s="120">
        <v>100</v>
      </c>
      <c r="G636" s="120" t="s">
        <v>759</v>
      </c>
      <c r="H636" s="121">
        <v>50000</v>
      </c>
      <c r="J636"/>
      <c r="K636"/>
      <c r="L636"/>
      <c r="M636"/>
      <c r="N636"/>
      <c r="O636"/>
      <c r="P636"/>
      <c r="Q636"/>
      <c r="R636"/>
      <c r="S636"/>
      <c r="T636"/>
    </row>
    <row r="637" spans="1:20" x14ac:dyDescent="0.25">
      <c r="A637" s="115">
        <v>636</v>
      </c>
      <c r="B637" s="116">
        <v>45404</v>
      </c>
      <c r="C637" s="117">
        <v>2024</v>
      </c>
      <c r="D637" s="118" t="s">
        <v>833</v>
      </c>
      <c r="E637" s="119" t="s">
        <v>924</v>
      </c>
      <c r="F637" s="120">
        <v>12</v>
      </c>
      <c r="G637" s="120" t="s">
        <v>759</v>
      </c>
      <c r="H637" s="121">
        <v>27600</v>
      </c>
      <c r="J637"/>
      <c r="K637"/>
      <c r="L637"/>
      <c r="M637"/>
      <c r="N637"/>
      <c r="O637"/>
      <c r="P637"/>
      <c r="Q637"/>
      <c r="R637"/>
      <c r="S637"/>
      <c r="T637"/>
    </row>
    <row r="638" spans="1:20" x14ac:dyDescent="0.25">
      <c r="A638" s="115">
        <v>637</v>
      </c>
      <c r="B638" s="116">
        <v>45404</v>
      </c>
      <c r="C638" s="117">
        <v>2024</v>
      </c>
      <c r="D638" s="118" t="s">
        <v>833</v>
      </c>
      <c r="E638" s="119" t="s">
        <v>924</v>
      </c>
      <c r="F638" s="120">
        <v>6</v>
      </c>
      <c r="G638" s="120" t="s">
        <v>759</v>
      </c>
      <c r="H638" s="121">
        <v>60000</v>
      </c>
      <c r="J638"/>
      <c r="K638"/>
      <c r="L638"/>
      <c r="M638"/>
      <c r="N638"/>
      <c r="O638"/>
      <c r="P638"/>
      <c r="Q638"/>
      <c r="R638"/>
      <c r="S638"/>
      <c r="T638"/>
    </row>
    <row r="639" spans="1:20" x14ac:dyDescent="0.25">
      <c r="A639" s="115">
        <v>638</v>
      </c>
      <c r="B639" s="116">
        <v>45404</v>
      </c>
      <c r="C639" s="117">
        <v>2024</v>
      </c>
      <c r="D639" s="118" t="s">
        <v>833</v>
      </c>
      <c r="E639" s="119" t="s">
        <v>511</v>
      </c>
      <c r="F639" s="120">
        <v>6</v>
      </c>
      <c r="G639" s="120" t="s">
        <v>759</v>
      </c>
      <c r="H639" s="121">
        <v>177000</v>
      </c>
      <c r="J639"/>
      <c r="K639"/>
      <c r="L639"/>
      <c r="M639"/>
      <c r="N639"/>
      <c r="O639"/>
      <c r="P639"/>
      <c r="Q639"/>
      <c r="R639"/>
      <c r="S639"/>
      <c r="T639"/>
    </row>
    <row r="640" spans="1:20" x14ac:dyDescent="0.25">
      <c r="A640" s="115">
        <v>639</v>
      </c>
      <c r="B640" s="116">
        <v>45404</v>
      </c>
      <c r="C640" s="117">
        <v>2024</v>
      </c>
      <c r="D640" s="118" t="s">
        <v>833</v>
      </c>
      <c r="E640" s="119" t="s">
        <v>87</v>
      </c>
      <c r="F640" s="120">
        <v>12</v>
      </c>
      <c r="G640" s="120" t="s">
        <v>759</v>
      </c>
      <c r="H640" s="121">
        <v>18600</v>
      </c>
      <c r="J640"/>
      <c r="K640"/>
      <c r="L640"/>
      <c r="M640"/>
      <c r="N640"/>
      <c r="O640"/>
      <c r="P640"/>
      <c r="Q640"/>
      <c r="R640"/>
      <c r="S640"/>
      <c r="T640"/>
    </row>
    <row r="641" spans="1:20" x14ac:dyDescent="0.25">
      <c r="A641" s="115">
        <v>640</v>
      </c>
      <c r="B641" s="116">
        <v>45404</v>
      </c>
      <c r="C641" s="117">
        <v>2024</v>
      </c>
      <c r="D641" s="118" t="s">
        <v>833</v>
      </c>
      <c r="E641" s="119" t="s">
        <v>87</v>
      </c>
      <c r="F641" s="120">
        <v>12</v>
      </c>
      <c r="G641" s="120" t="s">
        <v>759</v>
      </c>
      <c r="H641" s="121">
        <v>18000</v>
      </c>
      <c r="J641"/>
      <c r="K641"/>
      <c r="L641"/>
      <c r="M641"/>
      <c r="N641"/>
      <c r="O641"/>
      <c r="P641"/>
      <c r="Q641"/>
      <c r="R641"/>
      <c r="S641"/>
      <c r="T641"/>
    </row>
    <row r="642" spans="1:20" x14ac:dyDescent="0.25">
      <c r="A642" s="115">
        <v>641</v>
      </c>
      <c r="B642" s="116">
        <v>45404</v>
      </c>
      <c r="C642" s="117">
        <v>2024</v>
      </c>
      <c r="D642" s="118" t="s">
        <v>833</v>
      </c>
      <c r="E642" s="119" t="s">
        <v>87</v>
      </c>
      <c r="F642" s="120">
        <v>12</v>
      </c>
      <c r="G642" s="120" t="s">
        <v>759</v>
      </c>
      <c r="H642" s="121">
        <v>18000</v>
      </c>
      <c r="J642"/>
      <c r="K642"/>
      <c r="L642"/>
      <c r="M642"/>
      <c r="N642"/>
      <c r="O642"/>
      <c r="P642"/>
      <c r="Q642"/>
      <c r="R642"/>
      <c r="S642"/>
      <c r="T642"/>
    </row>
    <row r="643" spans="1:20" x14ac:dyDescent="0.25">
      <c r="A643" s="115">
        <v>642</v>
      </c>
      <c r="B643" s="116">
        <v>45404</v>
      </c>
      <c r="C643" s="117">
        <v>2024</v>
      </c>
      <c r="D643" s="118" t="s">
        <v>833</v>
      </c>
      <c r="E643" s="119" t="s">
        <v>103</v>
      </c>
      <c r="F643" s="120">
        <v>12</v>
      </c>
      <c r="G643" s="120" t="s">
        <v>759</v>
      </c>
      <c r="H643" s="121">
        <v>11500</v>
      </c>
      <c r="J643"/>
      <c r="K643"/>
      <c r="L643"/>
      <c r="M643"/>
      <c r="N643"/>
      <c r="O643"/>
      <c r="P643"/>
      <c r="Q643"/>
      <c r="R643"/>
      <c r="S643"/>
      <c r="T643"/>
    </row>
    <row r="644" spans="1:20" x14ac:dyDescent="0.25">
      <c r="A644" s="115">
        <v>643</v>
      </c>
      <c r="B644" s="116">
        <v>45404</v>
      </c>
      <c r="C644" s="117">
        <v>2024</v>
      </c>
      <c r="D644" s="118" t="s">
        <v>833</v>
      </c>
      <c r="E644" s="119" t="s">
        <v>103</v>
      </c>
      <c r="F644" s="120">
        <v>24</v>
      </c>
      <c r="G644" s="120" t="s">
        <v>759</v>
      </c>
      <c r="H644" s="121">
        <v>28000</v>
      </c>
      <c r="J644"/>
      <c r="K644"/>
      <c r="L644"/>
      <c r="M644"/>
      <c r="N644"/>
      <c r="O644"/>
      <c r="P644"/>
      <c r="Q644"/>
      <c r="R644"/>
      <c r="S644"/>
      <c r="T644"/>
    </row>
    <row r="645" spans="1:20" x14ac:dyDescent="0.25">
      <c r="A645" s="115">
        <v>644</v>
      </c>
      <c r="B645" s="116">
        <v>45404</v>
      </c>
      <c r="C645" s="117">
        <v>2024</v>
      </c>
      <c r="D645" s="118" t="s">
        <v>833</v>
      </c>
      <c r="E645" s="119" t="s">
        <v>535</v>
      </c>
      <c r="F645" s="120">
        <v>20</v>
      </c>
      <c r="G645" s="120" t="s">
        <v>759</v>
      </c>
      <c r="H645" s="121">
        <v>54000</v>
      </c>
      <c r="J645"/>
      <c r="K645"/>
      <c r="L645"/>
      <c r="M645"/>
      <c r="N645"/>
      <c r="O645"/>
      <c r="P645"/>
      <c r="Q645"/>
      <c r="R645"/>
      <c r="S645"/>
      <c r="T645"/>
    </row>
    <row r="646" spans="1:20" x14ac:dyDescent="0.25">
      <c r="A646" s="115">
        <v>645</v>
      </c>
      <c r="B646" s="116">
        <v>45404</v>
      </c>
      <c r="C646" s="117">
        <v>2024</v>
      </c>
      <c r="D646" s="118" t="s">
        <v>833</v>
      </c>
      <c r="E646" s="119" t="s">
        <v>620</v>
      </c>
      <c r="F646" s="120">
        <v>1</v>
      </c>
      <c r="G646" s="120" t="s">
        <v>759</v>
      </c>
      <c r="H646" s="121">
        <v>31000</v>
      </c>
      <c r="J646"/>
      <c r="K646"/>
      <c r="L646"/>
      <c r="M646"/>
      <c r="N646"/>
      <c r="O646"/>
      <c r="P646"/>
      <c r="Q646"/>
      <c r="R646"/>
      <c r="S646"/>
      <c r="T646"/>
    </row>
    <row r="647" spans="1:20" x14ac:dyDescent="0.25">
      <c r="A647" s="115">
        <v>646</v>
      </c>
      <c r="B647" s="116">
        <v>45404</v>
      </c>
      <c r="C647" s="117">
        <v>2024</v>
      </c>
      <c r="D647" s="118" t="s">
        <v>833</v>
      </c>
      <c r="E647" s="119" t="s">
        <v>589</v>
      </c>
      <c r="F647" s="120">
        <v>5</v>
      </c>
      <c r="G647" s="120" t="s">
        <v>759</v>
      </c>
      <c r="H647" s="121">
        <v>223750</v>
      </c>
      <c r="J647"/>
      <c r="K647"/>
      <c r="L647"/>
      <c r="M647"/>
      <c r="N647"/>
      <c r="O647"/>
      <c r="P647"/>
      <c r="Q647"/>
      <c r="R647"/>
      <c r="S647"/>
      <c r="T647"/>
    </row>
    <row r="648" spans="1:20" x14ac:dyDescent="0.25">
      <c r="A648" s="115">
        <v>647</v>
      </c>
      <c r="B648" s="116">
        <v>45404</v>
      </c>
      <c r="C648" s="117">
        <v>2024</v>
      </c>
      <c r="D648" s="118" t="s">
        <v>833</v>
      </c>
      <c r="E648" s="119" t="s">
        <v>589</v>
      </c>
      <c r="F648" s="120">
        <v>2</v>
      </c>
      <c r="G648" s="120" t="s">
        <v>759</v>
      </c>
      <c r="H648" s="121">
        <v>666000</v>
      </c>
      <c r="J648"/>
      <c r="K648"/>
      <c r="L648"/>
      <c r="M648"/>
      <c r="N648"/>
      <c r="O648"/>
      <c r="P648"/>
      <c r="Q648"/>
      <c r="R648"/>
      <c r="S648"/>
      <c r="T648"/>
    </row>
    <row r="649" spans="1:20" x14ac:dyDescent="0.25">
      <c r="A649" s="115">
        <v>648</v>
      </c>
      <c r="B649" s="116">
        <v>45404</v>
      </c>
      <c r="C649" s="117">
        <v>2024</v>
      </c>
      <c r="D649" s="118" t="s">
        <v>833</v>
      </c>
      <c r="E649" s="119" t="s">
        <v>589</v>
      </c>
      <c r="F649" s="120">
        <v>1</v>
      </c>
      <c r="G649" s="120" t="s">
        <v>759</v>
      </c>
      <c r="H649" s="121">
        <v>244000</v>
      </c>
      <c r="J649"/>
      <c r="K649"/>
      <c r="L649"/>
      <c r="M649"/>
      <c r="N649"/>
      <c r="O649"/>
      <c r="P649"/>
      <c r="Q649"/>
      <c r="R649"/>
      <c r="S649"/>
      <c r="T649"/>
    </row>
    <row r="650" spans="1:20" x14ac:dyDescent="0.25">
      <c r="A650" s="115">
        <v>649</v>
      </c>
      <c r="B650" s="116">
        <v>45404</v>
      </c>
      <c r="C650" s="117">
        <v>2024</v>
      </c>
      <c r="D650" s="118" t="s">
        <v>833</v>
      </c>
      <c r="E650" s="119" t="s">
        <v>589</v>
      </c>
      <c r="F650" s="120">
        <v>5</v>
      </c>
      <c r="G650" s="120" t="s">
        <v>759</v>
      </c>
      <c r="H650" s="121">
        <v>198500</v>
      </c>
      <c r="J650"/>
      <c r="K650"/>
      <c r="L650"/>
      <c r="M650"/>
      <c r="N650"/>
      <c r="O650"/>
      <c r="P650"/>
      <c r="Q650"/>
      <c r="R650"/>
      <c r="S650"/>
      <c r="T650"/>
    </row>
    <row r="651" spans="1:20" x14ac:dyDescent="0.25">
      <c r="A651" s="115">
        <v>650</v>
      </c>
      <c r="B651" s="116">
        <v>45404</v>
      </c>
      <c r="C651" s="117">
        <v>2024</v>
      </c>
      <c r="D651" s="118" t="s">
        <v>851</v>
      </c>
      <c r="E651" s="119" t="s">
        <v>299</v>
      </c>
      <c r="F651" s="120">
        <v>3</v>
      </c>
      <c r="G651" s="120" t="s">
        <v>759</v>
      </c>
      <c r="H651" s="121">
        <v>49500</v>
      </c>
      <c r="J651"/>
      <c r="K651"/>
      <c r="L651"/>
      <c r="M651"/>
      <c r="N651"/>
      <c r="O651"/>
      <c r="P651"/>
      <c r="Q651"/>
      <c r="R651"/>
      <c r="S651"/>
      <c r="T651"/>
    </row>
    <row r="652" spans="1:20" x14ac:dyDescent="0.25">
      <c r="A652" s="115">
        <v>651</v>
      </c>
      <c r="B652" s="116">
        <v>45404</v>
      </c>
      <c r="C652" s="117">
        <v>2024</v>
      </c>
      <c r="D652" s="118" t="s">
        <v>851</v>
      </c>
      <c r="E652" s="119" t="s">
        <v>299</v>
      </c>
      <c r="F652" s="120">
        <v>6</v>
      </c>
      <c r="G652" s="120" t="s">
        <v>759</v>
      </c>
      <c r="H652" s="121">
        <v>109800</v>
      </c>
      <c r="J652"/>
      <c r="K652"/>
      <c r="L652"/>
      <c r="M652"/>
      <c r="N652"/>
      <c r="O652"/>
      <c r="P652"/>
      <c r="Q652"/>
      <c r="R652"/>
      <c r="S652"/>
      <c r="T652"/>
    </row>
    <row r="653" spans="1:20" x14ac:dyDescent="0.25">
      <c r="A653" s="115">
        <v>652</v>
      </c>
      <c r="B653" s="116">
        <v>45404</v>
      </c>
      <c r="C653" s="117">
        <v>2024</v>
      </c>
      <c r="D653" s="118" t="s">
        <v>851</v>
      </c>
      <c r="E653" s="119" t="s">
        <v>299</v>
      </c>
      <c r="F653" s="120">
        <v>18</v>
      </c>
      <c r="G653" s="120" t="s">
        <v>759</v>
      </c>
      <c r="H653" s="121">
        <v>121500</v>
      </c>
      <c r="J653"/>
      <c r="K653"/>
      <c r="L653"/>
      <c r="M653"/>
      <c r="N653"/>
      <c r="O653"/>
      <c r="P653"/>
      <c r="Q653"/>
      <c r="R653"/>
      <c r="S653"/>
      <c r="T653"/>
    </row>
    <row r="654" spans="1:20" x14ac:dyDescent="0.25">
      <c r="A654" s="115">
        <v>653</v>
      </c>
      <c r="B654" s="116">
        <v>45404</v>
      </c>
      <c r="C654" s="117">
        <v>2024</v>
      </c>
      <c r="D654" s="118" t="s">
        <v>851</v>
      </c>
      <c r="E654" s="119" t="s">
        <v>299</v>
      </c>
      <c r="F654" s="120">
        <v>18</v>
      </c>
      <c r="G654" s="120" t="s">
        <v>759</v>
      </c>
      <c r="H654" s="121">
        <v>135000</v>
      </c>
      <c r="J654"/>
      <c r="K654"/>
      <c r="L654"/>
      <c r="M654"/>
      <c r="N654"/>
      <c r="O654"/>
      <c r="P654"/>
      <c r="Q654"/>
      <c r="R654"/>
      <c r="S654"/>
      <c r="T654"/>
    </row>
    <row r="655" spans="1:20" x14ac:dyDescent="0.25">
      <c r="A655" s="115">
        <v>654</v>
      </c>
      <c r="B655" s="116">
        <v>45404</v>
      </c>
      <c r="C655" s="117">
        <v>2024</v>
      </c>
      <c r="D655" s="118" t="s">
        <v>833</v>
      </c>
      <c r="E655" s="119" t="s">
        <v>632</v>
      </c>
      <c r="F655" s="120">
        <v>1</v>
      </c>
      <c r="G655" s="120" t="s">
        <v>759</v>
      </c>
      <c r="H655" s="121">
        <v>9000</v>
      </c>
      <c r="J655"/>
      <c r="K655"/>
      <c r="L655"/>
      <c r="M655"/>
      <c r="N655"/>
      <c r="O655"/>
      <c r="P655"/>
      <c r="Q655"/>
      <c r="R655"/>
      <c r="S655"/>
      <c r="T655"/>
    </row>
    <row r="656" spans="1:20" x14ac:dyDescent="0.25">
      <c r="A656" s="115">
        <v>655</v>
      </c>
      <c r="B656" s="116">
        <v>45404</v>
      </c>
      <c r="C656" s="117">
        <v>2024</v>
      </c>
      <c r="D656" s="118" t="s">
        <v>833</v>
      </c>
      <c r="E656" s="119" t="s">
        <v>632</v>
      </c>
      <c r="F656" s="120">
        <v>12</v>
      </c>
      <c r="G656" s="120" t="s">
        <v>759</v>
      </c>
      <c r="H656" s="121">
        <v>19500</v>
      </c>
      <c r="J656"/>
      <c r="K656"/>
      <c r="L656"/>
      <c r="M656"/>
      <c r="N656"/>
      <c r="O656"/>
      <c r="P656"/>
      <c r="Q656"/>
      <c r="R656"/>
      <c r="S656"/>
      <c r="T656"/>
    </row>
    <row r="657" spans="1:20" x14ac:dyDescent="0.25">
      <c r="A657" s="115">
        <v>656</v>
      </c>
      <c r="B657" s="116">
        <v>45404</v>
      </c>
      <c r="C657" s="117">
        <v>2024</v>
      </c>
      <c r="D657" s="118" t="s">
        <v>833</v>
      </c>
      <c r="E657" s="119" t="s">
        <v>1025</v>
      </c>
      <c r="F657" s="120">
        <v>2</v>
      </c>
      <c r="G657" s="120" t="s">
        <v>759</v>
      </c>
      <c r="H657" s="121">
        <v>14000</v>
      </c>
      <c r="J657"/>
      <c r="K657"/>
      <c r="L657"/>
      <c r="M657"/>
      <c r="N657"/>
      <c r="O657"/>
      <c r="P657"/>
      <c r="Q657"/>
      <c r="R657"/>
      <c r="S657"/>
      <c r="T657"/>
    </row>
    <row r="658" spans="1:20" x14ac:dyDescent="0.25">
      <c r="A658" s="115">
        <v>657</v>
      </c>
      <c r="B658" s="116">
        <v>45404</v>
      </c>
      <c r="C658" s="117">
        <v>2024</v>
      </c>
      <c r="D658" s="118" t="s">
        <v>833</v>
      </c>
      <c r="E658" s="119" t="s">
        <v>493</v>
      </c>
      <c r="F658" s="120">
        <v>10</v>
      </c>
      <c r="G658" s="120" t="s">
        <v>759</v>
      </c>
      <c r="H658" s="121">
        <v>90000</v>
      </c>
      <c r="J658"/>
      <c r="K658"/>
      <c r="L658"/>
      <c r="M658"/>
      <c r="N658"/>
      <c r="O658"/>
      <c r="P658"/>
      <c r="Q658"/>
      <c r="R658"/>
      <c r="S658"/>
      <c r="T658"/>
    </row>
    <row r="659" spans="1:20" x14ac:dyDescent="0.25">
      <c r="A659" s="115">
        <v>658</v>
      </c>
      <c r="B659" s="116">
        <v>45404</v>
      </c>
      <c r="C659" s="117">
        <v>2024</v>
      </c>
      <c r="D659" s="118" t="s">
        <v>833</v>
      </c>
      <c r="E659" s="119" t="s">
        <v>572</v>
      </c>
      <c r="F659" s="120">
        <v>1</v>
      </c>
      <c r="G659" s="120" t="s">
        <v>759</v>
      </c>
      <c r="H659" s="121">
        <v>8500</v>
      </c>
      <c r="J659"/>
      <c r="K659"/>
      <c r="L659"/>
      <c r="M659"/>
      <c r="N659"/>
      <c r="O659"/>
      <c r="P659"/>
      <c r="Q659"/>
      <c r="R659"/>
      <c r="S659"/>
      <c r="T659"/>
    </row>
    <row r="660" spans="1:20" x14ac:dyDescent="0.25">
      <c r="A660" s="115">
        <v>659</v>
      </c>
      <c r="B660" s="116">
        <v>45404</v>
      </c>
      <c r="C660" s="117">
        <v>2024</v>
      </c>
      <c r="D660" s="118" t="s">
        <v>833</v>
      </c>
      <c r="E660" s="119" t="s">
        <v>572</v>
      </c>
      <c r="F660" s="120">
        <v>1</v>
      </c>
      <c r="G660" s="120" t="s">
        <v>759</v>
      </c>
      <c r="H660" s="121">
        <v>8500</v>
      </c>
      <c r="J660"/>
      <c r="K660"/>
      <c r="L660"/>
      <c r="M660"/>
      <c r="N660"/>
      <c r="O660"/>
      <c r="P660"/>
      <c r="Q660"/>
      <c r="R660"/>
      <c r="S660"/>
      <c r="T660"/>
    </row>
    <row r="661" spans="1:20" x14ac:dyDescent="0.25">
      <c r="A661" s="115">
        <v>660</v>
      </c>
      <c r="B661" s="116">
        <v>45404</v>
      </c>
      <c r="C661" s="117">
        <v>2024</v>
      </c>
      <c r="D661" s="118" t="s">
        <v>833</v>
      </c>
      <c r="E661" s="119" t="s">
        <v>306</v>
      </c>
      <c r="F661" s="120">
        <v>1</v>
      </c>
      <c r="G661" s="120" t="s">
        <v>759</v>
      </c>
      <c r="H661" s="121">
        <v>22500</v>
      </c>
      <c r="J661"/>
      <c r="K661"/>
      <c r="L661"/>
      <c r="M661"/>
      <c r="N661"/>
      <c r="O661"/>
      <c r="P661"/>
      <c r="Q661"/>
      <c r="R661"/>
      <c r="S661"/>
      <c r="T661"/>
    </row>
    <row r="662" spans="1:20" x14ac:dyDescent="0.25">
      <c r="A662" s="115">
        <v>661</v>
      </c>
      <c r="B662" s="116">
        <v>45404</v>
      </c>
      <c r="C662" s="117">
        <v>2024</v>
      </c>
      <c r="D662" s="118" t="s">
        <v>833</v>
      </c>
      <c r="E662" s="119" t="s">
        <v>306</v>
      </c>
      <c r="F662" s="120">
        <v>1</v>
      </c>
      <c r="G662" s="120" t="s">
        <v>759</v>
      </c>
      <c r="H662" s="121">
        <v>68400</v>
      </c>
      <c r="J662"/>
      <c r="K662"/>
      <c r="L662"/>
      <c r="M662"/>
      <c r="N662"/>
      <c r="O662"/>
      <c r="P662"/>
      <c r="Q662"/>
      <c r="R662"/>
      <c r="S662"/>
      <c r="T662"/>
    </row>
    <row r="663" spans="1:20" x14ac:dyDescent="0.25">
      <c r="A663" s="115">
        <v>662</v>
      </c>
      <c r="B663" s="116">
        <v>45404</v>
      </c>
      <c r="C663" s="117">
        <v>2024</v>
      </c>
      <c r="D663" s="118" t="s">
        <v>35</v>
      </c>
      <c r="E663" s="119" t="s">
        <v>1026</v>
      </c>
      <c r="F663" s="120">
        <v>1</v>
      </c>
      <c r="G663" s="120" t="s">
        <v>759</v>
      </c>
      <c r="H663" s="121">
        <v>43000</v>
      </c>
      <c r="J663"/>
      <c r="K663"/>
      <c r="L663"/>
      <c r="M663"/>
      <c r="N663"/>
      <c r="O663"/>
      <c r="P663"/>
      <c r="Q663"/>
      <c r="R663"/>
      <c r="S663"/>
      <c r="T663"/>
    </row>
    <row r="664" spans="1:20" x14ac:dyDescent="0.25">
      <c r="A664" s="115">
        <v>663</v>
      </c>
      <c r="B664" s="116">
        <v>45404</v>
      </c>
      <c r="C664" s="117">
        <v>2024</v>
      </c>
      <c r="D664" s="118" t="s">
        <v>833</v>
      </c>
      <c r="E664" s="119" t="s">
        <v>495</v>
      </c>
      <c r="F664" s="120">
        <v>2</v>
      </c>
      <c r="G664" s="120" t="s">
        <v>759</v>
      </c>
      <c r="H664" s="121">
        <v>180000</v>
      </c>
      <c r="J664"/>
      <c r="K664"/>
      <c r="L664"/>
      <c r="M664"/>
      <c r="N664"/>
      <c r="O664"/>
      <c r="P664"/>
      <c r="Q664"/>
      <c r="R664"/>
      <c r="S664"/>
      <c r="T664"/>
    </row>
    <row r="665" spans="1:20" x14ac:dyDescent="0.25">
      <c r="A665" s="115">
        <v>664</v>
      </c>
      <c r="B665" s="116">
        <v>45407</v>
      </c>
      <c r="C665" s="117">
        <v>2024</v>
      </c>
      <c r="D665" s="118" t="s">
        <v>35</v>
      </c>
      <c r="E665" s="119" t="s">
        <v>211</v>
      </c>
      <c r="F665" s="120">
        <v>4</v>
      </c>
      <c r="G665" s="120" t="s">
        <v>759</v>
      </c>
      <c r="H665" s="121">
        <v>92000</v>
      </c>
      <c r="J665"/>
      <c r="K665"/>
      <c r="L665"/>
      <c r="M665"/>
      <c r="N665"/>
      <c r="O665"/>
      <c r="P665"/>
      <c r="Q665"/>
      <c r="R665"/>
      <c r="S665"/>
      <c r="T665"/>
    </row>
    <row r="666" spans="1:20" x14ac:dyDescent="0.25">
      <c r="A666" s="115">
        <v>665</v>
      </c>
      <c r="B666" s="116">
        <v>45408</v>
      </c>
      <c r="C666" s="117">
        <v>2024</v>
      </c>
      <c r="D666" s="118" t="s">
        <v>851</v>
      </c>
      <c r="E666" s="119" t="s">
        <v>1027</v>
      </c>
      <c r="F666" s="120">
        <v>1</v>
      </c>
      <c r="G666" s="120" t="s">
        <v>759</v>
      </c>
      <c r="H666" s="121">
        <v>40000</v>
      </c>
      <c r="J666"/>
      <c r="K666"/>
      <c r="L666"/>
      <c r="M666"/>
      <c r="N666"/>
      <c r="O666"/>
      <c r="P666"/>
      <c r="Q666"/>
      <c r="R666"/>
      <c r="S666"/>
      <c r="T666"/>
    </row>
    <row r="667" spans="1:20" x14ac:dyDescent="0.25">
      <c r="A667" s="115">
        <v>666</v>
      </c>
      <c r="B667" s="145">
        <v>45409</v>
      </c>
      <c r="C667" s="146">
        <v>2024</v>
      </c>
      <c r="D667" s="118" t="s">
        <v>35</v>
      </c>
      <c r="E667" s="118" t="s">
        <v>1023</v>
      </c>
      <c r="F667" s="147">
        <v>1</v>
      </c>
      <c r="G667" s="120" t="s">
        <v>759</v>
      </c>
      <c r="H667" s="148">
        <v>70000</v>
      </c>
      <c r="J667"/>
      <c r="K667"/>
      <c r="L667"/>
      <c r="M667"/>
      <c r="N667"/>
      <c r="O667"/>
      <c r="P667"/>
      <c r="Q667"/>
      <c r="R667"/>
      <c r="S667"/>
      <c r="T667"/>
    </row>
    <row r="668" spans="1:20" x14ac:dyDescent="0.25">
      <c r="A668" s="115">
        <v>667</v>
      </c>
      <c r="B668" s="116">
        <v>45414</v>
      </c>
      <c r="C668" s="117">
        <v>2024</v>
      </c>
      <c r="D668" s="118" t="s">
        <v>35</v>
      </c>
      <c r="E668" s="119" t="s">
        <v>1028</v>
      </c>
      <c r="F668" s="120">
        <v>1</v>
      </c>
      <c r="G668" s="120" t="s">
        <v>759</v>
      </c>
      <c r="H668" s="121">
        <v>28000</v>
      </c>
      <c r="J668"/>
      <c r="K668"/>
      <c r="L668"/>
      <c r="M668"/>
      <c r="N668"/>
      <c r="O668"/>
      <c r="P668"/>
      <c r="Q668"/>
      <c r="R668"/>
      <c r="S668"/>
      <c r="T668"/>
    </row>
    <row r="669" spans="1:20" x14ac:dyDescent="0.25">
      <c r="A669" s="115">
        <v>668</v>
      </c>
      <c r="B669" s="116">
        <v>45414</v>
      </c>
      <c r="C669" s="117">
        <v>2024</v>
      </c>
      <c r="D669" s="118" t="s">
        <v>35</v>
      </c>
      <c r="E669" s="119" t="s">
        <v>1029</v>
      </c>
      <c r="F669" s="120">
        <v>3</v>
      </c>
      <c r="G669" s="120" t="s">
        <v>759</v>
      </c>
      <c r="H669" s="121">
        <v>46500</v>
      </c>
      <c r="J669"/>
      <c r="K669"/>
      <c r="L669"/>
      <c r="M669"/>
      <c r="N669"/>
      <c r="O669"/>
      <c r="P669"/>
      <c r="Q669"/>
      <c r="R669"/>
      <c r="S669"/>
      <c r="T669"/>
    </row>
    <row r="670" spans="1:20" x14ac:dyDescent="0.25">
      <c r="A670" s="115">
        <v>669</v>
      </c>
      <c r="B670" s="116">
        <v>45414</v>
      </c>
      <c r="C670" s="117">
        <v>2024</v>
      </c>
      <c r="D670" s="118" t="s">
        <v>35</v>
      </c>
      <c r="E670" s="119" t="s">
        <v>675</v>
      </c>
      <c r="F670" s="120">
        <v>1</v>
      </c>
      <c r="G670" s="120" t="s">
        <v>759</v>
      </c>
      <c r="H670" s="121">
        <v>39600</v>
      </c>
      <c r="J670"/>
      <c r="K670"/>
      <c r="L670"/>
      <c r="M670"/>
      <c r="N670"/>
      <c r="O670"/>
      <c r="P670"/>
      <c r="Q670"/>
      <c r="R670"/>
      <c r="S670"/>
      <c r="T670"/>
    </row>
    <row r="671" spans="1:20" x14ac:dyDescent="0.25">
      <c r="A671" s="115">
        <v>670</v>
      </c>
      <c r="B671" s="116">
        <v>45414</v>
      </c>
      <c r="C671" s="117">
        <v>2024</v>
      </c>
      <c r="D671" s="118" t="s">
        <v>259</v>
      </c>
      <c r="E671" s="119" t="s">
        <v>639</v>
      </c>
      <c r="F671" s="120">
        <v>5</v>
      </c>
      <c r="G671" s="120" t="s">
        <v>759</v>
      </c>
      <c r="H671" s="121">
        <v>350000</v>
      </c>
      <c r="J671"/>
      <c r="K671"/>
      <c r="L671"/>
      <c r="M671"/>
      <c r="N671"/>
      <c r="O671"/>
      <c r="P671"/>
      <c r="Q671"/>
      <c r="R671"/>
      <c r="S671"/>
      <c r="T671"/>
    </row>
    <row r="672" spans="1:20" x14ac:dyDescent="0.25">
      <c r="A672" s="115">
        <v>671</v>
      </c>
      <c r="B672" s="116">
        <v>45414</v>
      </c>
      <c r="C672" s="117">
        <v>2024</v>
      </c>
      <c r="D672" s="118" t="s">
        <v>35</v>
      </c>
      <c r="E672" s="119" t="s">
        <v>1030</v>
      </c>
      <c r="F672" s="120">
        <v>4</v>
      </c>
      <c r="G672" s="120" t="s">
        <v>759</v>
      </c>
      <c r="H672" s="121">
        <v>24000</v>
      </c>
      <c r="J672"/>
      <c r="K672"/>
      <c r="L672"/>
      <c r="M672"/>
      <c r="N672"/>
      <c r="O672"/>
      <c r="P672"/>
      <c r="Q672"/>
      <c r="R672"/>
      <c r="S672"/>
      <c r="T672"/>
    </row>
    <row r="673" spans="1:20" x14ac:dyDescent="0.25">
      <c r="A673" s="115">
        <v>672</v>
      </c>
      <c r="B673" s="116">
        <v>45414</v>
      </c>
      <c r="C673" s="117">
        <v>2024</v>
      </c>
      <c r="D673" s="118" t="s">
        <v>35</v>
      </c>
      <c r="E673" s="119" t="s">
        <v>393</v>
      </c>
      <c r="F673" s="120">
        <v>2</v>
      </c>
      <c r="G673" s="120" t="s">
        <v>759</v>
      </c>
      <c r="H673" s="121">
        <v>22000</v>
      </c>
      <c r="J673"/>
      <c r="K673"/>
      <c r="L673"/>
      <c r="M673"/>
      <c r="N673"/>
      <c r="O673"/>
      <c r="P673"/>
      <c r="Q673"/>
      <c r="R673"/>
      <c r="S673"/>
      <c r="T673"/>
    </row>
    <row r="674" spans="1:20" x14ac:dyDescent="0.25">
      <c r="A674" s="115">
        <v>673</v>
      </c>
      <c r="B674" s="116">
        <v>45414</v>
      </c>
      <c r="C674" s="117">
        <v>2024</v>
      </c>
      <c r="D674" s="118" t="s">
        <v>35</v>
      </c>
      <c r="E674" s="119" t="s">
        <v>1031</v>
      </c>
      <c r="F674" s="120">
        <v>1</v>
      </c>
      <c r="G674" s="120" t="s">
        <v>759</v>
      </c>
      <c r="H674" s="121">
        <v>10500</v>
      </c>
      <c r="J674"/>
      <c r="K674"/>
      <c r="L674"/>
      <c r="M674"/>
      <c r="N674"/>
      <c r="O674"/>
      <c r="P674"/>
      <c r="Q674"/>
      <c r="R674"/>
      <c r="S674"/>
      <c r="T674"/>
    </row>
    <row r="675" spans="1:20" x14ac:dyDescent="0.25">
      <c r="A675" s="115">
        <v>674</v>
      </c>
      <c r="B675" s="116">
        <v>45414</v>
      </c>
      <c r="C675" s="117">
        <v>2024</v>
      </c>
      <c r="D675" s="118" t="s">
        <v>35</v>
      </c>
      <c r="E675" s="119" t="s">
        <v>687</v>
      </c>
      <c r="F675" s="120">
        <v>3</v>
      </c>
      <c r="G675" s="120" t="s">
        <v>759</v>
      </c>
      <c r="H675" s="121">
        <v>29500</v>
      </c>
      <c r="J675"/>
      <c r="K675"/>
      <c r="L675"/>
      <c r="M675"/>
      <c r="N675"/>
      <c r="O675"/>
      <c r="P675"/>
      <c r="Q675"/>
      <c r="R675"/>
      <c r="S675"/>
      <c r="T675"/>
    </row>
    <row r="676" spans="1:20" x14ac:dyDescent="0.25">
      <c r="A676" s="115">
        <v>675</v>
      </c>
      <c r="B676" s="116">
        <v>45415</v>
      </c>
      <c r="C676" s="117">
        <v>2024</v>
      </c>
      <c r="D676" s="118" t="s">
        <v>35</v>
      </c>
      <c r="E676" s="119" t="s">
        <v>211</v>
      </c>
      <c r="F676" s="120">
        <v>1</v>
      </c>
      <c r="G676" s="120" t="s">
        <v>759</v>
      </c>
      <c r="H676" s="121">
        <v>17700</v>
      </c>
      <c r="J676"/>
      <c r="K676"/>
      <c r="L676"/>
      <c r="M676"/>
      <c r="N676"/>
      <c r="O676"/>
      <c r="P676"/>
      <c r="Q676"/>
      <c r="R676"/>
      <c r="S676"/>
      <c r="T676"/>
    </row>
    <row r="677" spans="1:20" x14ac:dyDescent="0.25">
      <c r="A677" s="115">
        <v>676</v>
      </c>
      <c r="B677" s="145">
        <v>45415</v>
      </c>
      <c r="C677" s="146">
        <v>2024</v>
      </c>
      <c r="D677" s="118" t="s">
        <v>35</v>
      </c>
      <c r="E677" s="118" t="s">
        <v>1032</v>
      </c>
      <c r="F677" s="147">
        <v>1</v>
      </c>
      <c r="G677" s="120" t="s">
        <v>759</v>
      </c>
      <c r="H677" s="148">
        <v>22000</v>
      </c>
      <c r="J677"/>
      <c r="K677"/>
      <c r="L677"/>
      <c r="M677"/>
      <c r="N677"/>
      <c r="O677"/>
      <c r="P677"/>
      <c r="Q677"/>
      <c r="R677"/>
      <c r="S677"/>
      <c r="T677"/>
    </row>
    <row r="678" spans="1:20" x14ac:dyDescent="0.25">
      <c r="A678" s="115">
        <v>677</v>
      </c>
      <c r="B678" s="145">
        <v>45416</v>
      </c>
      <c r="C678" s="146">
        <v>2024</v>
      </c>
      <c r="D678" s="118" t="s">
        <v>35</v>
      </c>
      <c r="E678" s="118" t="s">
        <v>794</v>
      </c>
      <c r="F678" s="147">
        <v>1</v>
      </c>
      <c r="G678" s="120" t="s">
        <v>759</v>
      </c>
      <c r="H678" s="148">
        <v>166500</v>
      </c>
      <c r="J678"/>
      <c r="K678"/>
      <c r="L678"/>
      <c r="M678"/>
      <c r="N678"/>
      <c r="O678"/>
      <c r="P678"/>
      <c r="Q678"/>
      <c r="R678"/>
      <c r="S678"/>
      <c r="T678"/>
    </row>
    <row r="679" spans="1:20" x14ac:dyDescent="0.25">
      <c r="A679" s="115">
        <v>678</v>
      </c>
      <c r="B679" s="145">
        <v>45416</v>
      </c>
      <c r="C679" s="146">
        <v>2024</v>
      </c>
      <c r="D679" s="118" t="s">
        <v>35</v>
      </c>
      <c r="E679" s="118" t="s">
        <v>794</v>
      </c>
      <c r="F679" s="147">
        <v>1</v>
      </c>
      <c r="G679" s="120" t="s">
        <v>759</v>
      </c>
      <c r="H679" s="148">
        <v>166500</v>
      </c>
      <c r="J679"/>
      <c r="K679"/>
      <c r="L679"/>
      <c r="M679"/>
      <c r="N679"/>
      <c r="O679"/>
      <c r="P679"/>
      <c r="Q679"/>
      <c r="R679"/>
      <c r="S679"/>
      <c r="T679"/>
    </row>
    <row r="680" spans="1:20" x14ac:dyDescent="0.25">
      <c r="A680" s="115">
        <v>679</v>
      </c>
      <c r="B680" s="145">
        <v>45416</v>
      </c>
      <c r="C680" s="146">
        <v>2024</v>
      </c>
      <c r="D680" s="118" t="s">
        <v>35</v>
      </c>
      <c r="E680" s="118" t="s">
        <v>794</v>
      </c>
      <c r="F680" s="147">
        <v>1</v>
      </c>
      <c r="G680" s="120" t="s">
        <v>759</v>
      </c>
      <c r="H680" s="148">
        <v>166500</v>
      </c>
      <c r="J680"/>
      <c r="K680"/>
      <c r="L680"/>
      <c r="M680"/>
      <c r="N680"/>
      <c r="O680"/>
      <c r="P680"/>
      <c r="Q680"/>
      <c r="R680"/>
      <c r="S680"/>
      <c r="T680"/>
    </row>
    <row r="681" spans="1:20" x14ac:dyDescent="0.25">
      <c r="A681" s="115">
        <v>680</v>
      </c>
      <c r="B681" s="145">
        <v>45416</v>
      </c>
      <c r="C681" s="146">
        <v>2024</v>
      </c>
      <c r="D681" s="118" t="s">
        <v>35</v>
      </c>
      <c r="E681" s="118" t="s">
        <v>794</v>
      </c>
      <c r="F681" s="147">
        <v>1</v>
      </c>
      <c r="G681" s="120" t="s">
        <v>759</v>
      </c>
      <c r="H681" s="148">
        <v>166500</v>
      </c>
      <c r="J681"/>
      <c r="K681"/>
      <c r="L681"/>
      <c r="M681"/>
      <c r="N681"/>
      <c r="O681"/>
      <c r="P681"/>
      <c r="Q681"/>
      <c r="R681"/>
      <c r="S681"/>
      <c r="T681"/>
    </row>
    <row r="682" spans="1:20" x14ac:dyDescent="0.25">
      <c r="A682" s="115">
        <v>681</v>
      </c>
      <c r="B682" s="145">
        <v>45416</v>
      </c>
      <c r="C682" s="146">
        <v>2024</v>
      </c>
      <c r="D682" s="118" t="s">
        <v>35</v>
      </c>
      <c r="E682" s="118" t="s">
        <v>794</v>
      </c>
      <c r="F682" s="147">
        <v>1</v>
      </c>
      <c r="G682" s="120" t="s">
        <v>759</v>
      </c>
      <c r="H682" s="148">
        <v>166500</v>
      </c>
      <c r="J682"/>
      <c r="K682"/>
      <c r="L682"/>
      <c r="M682"/>
      <c r="N682"/>
      <c r="O682"/>
      <c r="P682"/>
      <c r="Q682"/>
      <c r="R682"/>
      <c r="S682"/>
      <c r="T682"/>
    </row>
    <row r="683" spans="1:20" x14ac:dyDescent="0.25">
      <c r="A683" s="115">
        <v>682</v>
      </c>
      <c r="B683" s="116">
        <v>45419</v>
      </c>
      <c r="C683" s="117">
        <v>2024</v>
      </c>
      <c r="D683" s="118" t="s">
        <v>259</v>
      </c>
      <c r="E683" s="119" t="s">
        <v>990</v>
      </c>
      <c r="F683" s="120">
        <v>1</v>
      </c>
      <c r="G683" s="120" t="s">
        <v>759</v>
      </c>
      <c r="H683" s="121">
        <v>375000</v>
      </c>
      <c r="J683"/>
      <c r="K683"/>
      <c r="L683"/>
      <c r="M683"/>
      <c r="N683"/>
      <c r="O683"/>
      <c r="P683"/>
      <c r="Q683"/>
      <c r="R683"/>
      <c r="S683"/>
      <c r="T683"/>
    </row>
    <row r="684" spans="1:20" x14ac:dyDescent="0.25">
      <c r="A684" s="115">
        <v>683</v>
      </c>
      <c r="B684" s="116">
        <v>45425</v>
      </c>
      <c r="C684" s="117">
        <v>2024</v>
      </c>
      <c r="D684" s="118" t="s">
        <v>35</v>
      </c>
      <c r="E684" s="119" t="s">
        <v>670</v>
      </c>
      <c r="F684" s="120">
        <v>10</v>
      </c>
      <c r="G684" s="120" t="s">
        <v>759</v>
      </c>
      <c r="H684" s="121">
        <v>27500</v>
      </c>
      <c r="J684"/>
      <c r="K684"/>
      <c r="L684"/>
      <c r="M684"/>
      <c r="N684"/>
      <c r="O684"/>
      <c r="P684"/>
      <c r="Q684"/>
      <c r="R684"/>
      <c r="S684"/>
      <c r="T684"/>
    </row>
    <row r="685" spans="1:20" x14ac:dyDescent="0.25">
      <c r="A685" s="115">
        <v>684</v>
      </c>
      <c r="B685" s="116">
        <v>45425</v>
      </c>
      <c r="C685" s="117">
        <v>2024</v>
      </c>
      <c r="D685" s="118" t="s">
        <v>35</v>
      </c>
      <c r="E685" s="119" t="s">
        <v>1033</v>
      </c>
      <c r="F685" s="120">
        <v>1</v>
      </c>
      <c r="G685" s="120" t="s">
        <v>759</v>
      </c>
      <c r="H685" s="121">
        <v>17500</v>
      </c>
      <c r="J685"/>
      <c r="K685"/>
      <c r="L685"/>
      <c r="M685"/>
      <c r="N685"/>
      <c r="O685"/>
      <c r="P685"/>
      <c r="Q685"/>
      <c r="R685"/>
      <c r="S685"/>
      <c r="T685"/>
    </row>
    <row r="686" spans="1:20" x14ac:dyDescent="0.25">
      <c r="A686" s="115">
        <v>685</v>
      </c>
      <c r="B686" s="116">
        <v>45425</v>
      </c>
      <c r="C686" s="117">
        <v>2024</v>
      </c>
      <c r="D686" s="118" t="s">
        <v>35</v>
      </c>
      <c r="E686" s="119" t="s">
        <v>675</v>
      </c>
      <c r="F686" s="120">
        <v>1</v>
      </c>
      <c r="G686" s="120" t="s">
        <v>759</v>
      </c>
      <c r="H686" s="121">
        <v>30500</v>
      </c>
      <c r="J686"/>
      <c r="K686"/>
      <c r="L686"/>
      <c r="M686"/>
      <c r="N686"/>
      <c r="O686"/>
      <c r="P686"/>
      <c r="Q686"/>
      <c r="R686"/>
      <c r="S686"/>
      <c r="T686"/>
    </row>
    <row r="687" spans="1:20" x14ac:dyDescent="0.25">
      <c r="A687" s="115">
        <v>686</v>
      </c>
      <c r="B687" s="116">
        <v>45425</v>
      </c>
      <c r="C687" s="117">
        <v>2024</v>
      </c>
      <c r="D687" s="118" t="s">
        <v>35</v>
      </c>
      <c r="E687" s="119" t="s">
        <v>1034</v>
      </c>
      <c r="F687" s="120">
        <v>2</v>
      </c>
      <c r="G687" s="120" t="s">
        <v>759</v>
      </c>
      <c r="H687" s="121">
        <v>12000</v>
      </c>
      <c r="J687"/>
      <c r="K687"/>
      <c r="L687"/>
      <c r="M687"/>
      <c r="N687"/>
      <c r="O687"/>
      <c r="P687"/>
      <c r="Q687"/>
      <c r="R687"/>
      <c r="S687"/>
      <c r="T687"/>
    </row>
    <row r="688" spans="1:20" x14ac:dyDescent="0.25">
      <c r="A688" s="115">
        <v>687</v>
      </c>
      <c r="B688" s="116">
        <v>45425</v>
      </c>
      <c r="C688" s="117">
        <v>2024</v>
      </c>
      <c r="D688" s="118" t="s">
        <v>35</v>
      </c>
      <c r="E688" s="119" t="s">
        <v>553</v>
      </c>
      <c r="F688" s="120">
        <v>1</v>
      </c>
      <c r="G688" s="120" t="s">
        <v>759</v>
      </c>
      <c r="H688" s="121">
        <v>15000</v>
      </c>
      <c r="J688"/>
      <c r="K688"/>
      <c r="L688"/>
      <c r="M688"/>
      <c r="N688"/>
      <c r="O688"/>
      <c r="P688"/>
      <c r="Q688"/>
      <c r="R688"/>
      <c r="S688"/>
      <c r="T688"/>
    </row>
    <row r="689" spans="1:20" x14ac:dyDescent="0.25">
      <c r="A689" s="115">
        <v>688</v>
      </c>
      <c r="B689" s="116">
        <v>45425</v>
      </c>
      <c r="C689" s="117">
        <v>2024</v>
      </c>
      <c r="D689" s="118" t="s">
        <v>35</v>
      </c>
      <c r="E689" s="119" t="s">
        <v>553</v>
      </c>
      <c r="F689" s="120">
        <v>1</v>
      </c>
      <c r="G689" s="120" t="s">
        <v>759</v>
      </c>
      <c r="H689" s="121">
        <v>4000</v>
      </c>
      <c r="J689"/>
      <c r="K689"/>
      <c r="L689"/>
      <c r="M689"/>
      <c r="N689"/>
      <c r="O689"/>
      <c r="P689"/>
      <c r="Q689"/>
      <c r="R689"/>
      <c r="S689"/>
      <c r="T689"/>
    </row>
    <row r="690" spans="1:20" x14ac:dyDescent="0.25">
      <c r="A690" s="115">
        <v>689</v>
      </c>
      <c r="B690" s="145">
        <v>45426</v>
      </c>
      <c r="C690" s="146">
        <v>2024</v>
      </c>
      <c r="D690" s="118" t="s">
        <v>35</v>
      </c>
      <c r="E690" s="118" t="s">
        <v>1035</v>
      </c>
      <c r="F690" s="147">
        <v>1</v>
      </c>
      <c r="G690" s="120" t="s">
        <v>759</v>
      </c>
      <c r="H690" s="148">
        <v>80000</v>
      </c>
      <c r="J690"/>
      <c r="K690"/>
      <c r="L690"/>
      <c r="M690"/>
      <c r="N690"/>
      <c r="O690"/>
      <c r="P690"/>
      <c r="Q690"/>
      <c r="R690"/>
      <c r="S690"/>
      <c r="T690"/>
    </row>
    <row r="691" spans="1:20" x14ac:dyDescent="0.25">
      <c r="A691" s="115">
        <v>690</v>
      </c>
      <c r="B691" s="145">
        <v>45426</v>
      </c>
      <c r="C691" s="146">
        <v>2024</v>
      </c>
      <c r="D691" s="118" t="s">
        <v>35</v>
      </c>
      <c r="E691" s="118" t="s">
        <v>1036</v>
      </c>
      <c r="F691" s="147">
        <v>1</v>
      </c>
      <c r="G691" s="120" t="s">
        <v>759</v>
      </c>
      <c r="H691" s="148">
        <v>40000</v>
      </c>
      <c r="J691"/>
      <c r="K691"/>
      <c r="L691"/>
      <c r="M691"/>
      <c r="N691"/>
      <c r="O691"/>
      <c r="P691"/>
      <c r="Q691"/>
      <c r="R691"/>
      <c r="S691"/>
      <c r="T691"/>
    </row>
    <row r="692" spans="1:20" x14ac:dyDescent="0.25">
      <c r="A692" s="115">
        <v>691</v>
      </c>
      <c r="B692" s="145">
        <v>45426</v>
      </c>
      <c r="C692" s="146">
        <v>2024</v>
      </c>
      <c r="D692" s="118" t="s">
        <v>35</v>
      </c>
      <c r="E692" s="118" t="s">
        <v>1037</v>
      </c>
      <c r="F692" s="147">
        <v>1</v>
      </c>
      <c r="G692" s="120" t="s">
        <v>759</v>
      </c>
      <c r="H692" s="148">
        <v>12500</v>
      </c>
      <c r="J692"/>
      <c r="K692"/>
      <c r="L692"/>
      <c r="M692"/>
      <c r="N692"/>
      <c r="O692"/>
      <c r="P692"/>
      <c r="Q692"/>
      <c r="R692"/>
      <c r="S692"/>
      <c r="T692"/>
    </row>
    <row r="693" spans="1:20" x14ac:dyDescent="0.25">
      <c r="A693" s="115">
        <v>692</v>
      </c>
      <c r="B693" s="145">
        <v>45426</v>
      </c>
      <c r="C693" s="146">
        <v>2024</v>
      </c>
      <c r="D693" s="118" t="s">
        <v>35</v>
      </c>
      <c r="E693" s="118" t="s">
        <v>1038</v>
      </c>
      <c r="F693" s="147">
        <v>1</v>
      </c>
      <c r="G693" s="120" t="s">
        <v>759</v>
      </c>
      <c r="H693" s="148">
        <v>7500</v>
      </c>
      <c r="J693"/>
      <c r="K693"/>
      <c r="L693"/>
      <c r="M693"/>
      <c r="N693"/>
      <c r="O693"/>
      <c r="P693"/>
      <c r="Q693"/>
      <c r="R693"/>
      <c r="S693"/>
      <c r="T693"/>
    </row>
    <row r="694" spans="1:20" x14ac:dyDescent="0.25">
      <c r="A694" s="115">
        <v>693</v>
      </c>
      <c r="B694" s="145">
        <v>45426</v>
      </c>
      <c r="C694" s="146">
        <v>2024</v>
      </c>
      <c r="D694" s="118" t="s">
        <v>35</v>
      </c>
      <c r="E694" s="118" t="s">
        <v>992</v>
      </c>
      <c r="F694" s="147">
        <v>1</v>
      </c>
      <c r="G694" s="120" t="s">
        <v>759</v>
      </c>
      <c r="H694" s="148">
        <v>575000</v>
      </c>
      <c r="J694"/>
      <c r="K694"/>
      <c r="L694"/>
      <c r="M694"/>
      <c r="N694"/>
      <c r="O694"/>
      <c r="P694"/>
      <c r="Q694"/>
      <c r="R694"/>
      <c r="S694"/>
      <c r="T694"/>
    </row>
    <row r="695" spans="1:20" x14ac:dyDescent="0.25">
      <c r="A695" s="115">
        <v>694</v>
      </c>
      <c r="B695" s="145">
        <v>45426</v>
      </c>
      <c r="C695" s="146">
        <v>2024</v>
      </c>
      <c r="D695" s="118" t="s">
        <v>35</v>
      </c>
      <c r="E695" s="118" t="s">
        <v>1039</v>
      </c>
      <c r="F695" s="147">
        <v>1</v>
      </c>
      <c r="G695" s="120" t="s">
        <v>759</v>
      </c>
      <c r="H695" s="148">
        <v>35000</v>
      </c>
      <c r="J695"/>
      <c r="K695"/>
      <c r="L695"/>
      <c r="M695"/>
      <c r="N695"/>
      <c r="O695"/>
      <c r="P695"/>
      <c r="Q695"/>
      <c r="R695"/>
      <c r="S695"/>
      <c r="T695"/>
    </row>
    <row r="696" spans="1:20" x14ac:dyDescent="0.25">
      <c r="A696" s="115">
        <v>695</v>
      </c>
      <c r="B696" s="145">
        <v>45426</v>
      </c>
      <c r="C696" s="146">
        <v>2024</v>
      </c>
      <c r="D696" s="118" t="s">
        <v>35</v>
      </c>
      <c r="E696" s="118" t="s">
        <v>1040</v>
      </c>
      <c r="F696" s="147">
        <v>1</v>
      </c>
      <c r="G696" s="120" t="s">
        <v>759</v>
      </c>
      <c r="H696" s="148">
        <v>350000</v>
      </c>
      <c r="J696"/>
      <c r="K696"/>
      <c r="L696"/>
      <c r="M696"/>
      <c r="N696"/>
      <c r="O696"/>
      <c r="P696"/>
      <c r="Q696"/>
      <c r="R696"/>
      <c r="S696"/>
      <c r="T696"/>
    </row>
    <row r="697" spans="1:20" x14ac:dyDescent="0.25">
      <c r="A697" s="115">
        <v>696</v>
      </c>
      <c r="B697" s="145">
        <v>45426</v>
      </c>
      <c r="C697" s="146">
        <v>2024</v>
      </c>
      <c r="D697" s="118" t="s">
        <v>35</v>
      </c>
      <c r="E697" s="118" t="s">
        <v>1041</v>
      </c>
      <c r="F697" s="147">
        <v>1</v>
      </c>
      <c r="G697" s="120" t="s">
        <v>759</v>
      </c>
      <c r="H697" s="148">
        <v>40000</v>
      </c>
      <c r="J697"/>
      <c r="K697"/>
      <c r="L697"/>
      <c r="M697"/>
      <c r="N697"/>
      <c r="O697"/>
      <c r="P697"/>
      <c r="Q697"/>
      <c r="R697"/>
      <c r="S697"/>
      <c r="T697"/>
    </row>
    <row r="698" spans="1:20" x14ac:dyDescent="0.25">
      <c r="A698" s="115">
        <v>697</v>
      </c>
      <c r="B698" s="145">
        <v>45426</v>
      </c>
      <c r="C698" s="146">
        <v>2024</v>
      </c>
      <c r="D698" s="118" t="s">
        <v>35</v>
      </c>
      <c r="E698" s="118" t="s">
        <v>1041</v>
      </c>
      <c r="F698" s="147">
        <v>1</v>
      </c>
      <c r="G698" s="120" t="s">
        <v>759</v>
      </c>
      <c r="H698" s="148">
        <v>20000</v>
      </c>
      <c r="J698"/>
      <c r="K698"/>
      <c r="L698"/>
      <c r="M698"/>
      <c r="N698"/>
      <c r="O698"/>
      <c r="P698"/>
      <c r="Q698"/>
      <c r="R698"/>
      <c r="S698"/>
      <c r="T698"/>
    </row>
    <row r="699" spans="1:20" x14ac:dyDescent="0.25">
      <c r="A699" s="115">
        <v>698</v>
      </c>
      <c r="B699" s="145">
        <v>45426</v>
      </c>
      <c r="C699" s="146">
        <v>2024</v>
      </c>
      <c r="D699" s="118" t="s">
        <v>35</v>
      </c>
      <c r="E699" s="118" t="s">
        <v>1042</v>
      </c>
      <c r="F699" s="147">
        <v>1</v>
      </c>
      <c r="G699" s="120" t="s">
        <v>759</v>
      </c>
      <c r="H699" s="148">
        <v>38500</v>
      </c>
      <c r="J699"/>
      <c r="K699"/>
      <c r="L699"/>
      <c r="M699"/>
      <c r="N699"/>
      <c r="O699"/>
      <c r="P699"/>
      <c r="Q699"/>
      <c r="R699"/>
      <c r="S699"/>
      <c r="T699"/>
    </row>
    <row r="700" spans="1:20" x14ac:dyDescent="0.25">
      <c r="A700" s="115">
        <v>699</v>
      </c>
      <c r="B700" s="145">
        <v>45426</v>
      </c>
      <c r="C700" s="146">
        <v>2024</v>
      </c>
      <c r="D700" s="118" t="s">
        <v>35</v>
      </c>
      <c r="E700" s="118" t="s">
        <v>1043</v>
      </c>
      <c r="F700" s="147">
        <v>1</v>
      </c>
      <c r="G700" s="120" t="s">
        <v>759</v>
      </c>
      <c r="H700" s="148">
        <v>20000</v>
      </c>
      <c r="J700"/>
      <c r="K700"/>
      <c r="L700"/>
      <c r="M700"/>
      <c r="N700"/>
      <c r="O700"/>
      <c r="P700"/>
      <c r="Q700"/>
      <c r="R700"/>
      <c r="S700"/>
      <c r="T700"/>
    </row>
    <row r="701" spans="1:20" x14ac:dyDescent="0.25">
      <c r="A701" s="115">
        <v>700</v>
      </c>
      <c r="B701" s="145">
        <v>45426</v>
      </c>
      <c r="C701" s="146">
        <v>2024</v>
      </c>
      <c r="D701" s="118" t="s">
        <v>35</v>
      </c>
      <c r="E701" s="118" t="s">
        <v>836</v>
      </c>
      <c r="F701" s="147">
        <v>1</v>
      </c>
      <c r="G701" s="120" t="s">
        <v>759</v>
      </c>
      <c r="H701" s="148">
        <v>75000</v>
      </c>
      <c r="J701"/>
      <c r="K701"/>
      <c r="L701"/>
      <c r="M701"/>
      <c r="N701"/>
      <c r="O701"/>
      <c r="P701"/>
      <c r="Q701"/>
      <c r="R701"/>
      <c r="S701"/>
      <c r="T701"/>
    </row>
    <row r="702" spans="1:20" x14ac:dyDescent="0.25">
      <c r="A702" s="115">
        <v>701</v>
      </c>
      <c r="B702" s="145">
        <v>45426</v>
      </c>
      <c r="C702" s="146">
        <v>2024</v>
      </c>
      <c r="D702" s="118" t="s">
        <v>35</v>
      </c>
      <c r="E702" s="118" t="s">
        <v>1044</v>
      </c>
      <c r="F702" s="147">
        <v>1</v>
      </c>
      <c r="G702" s="120" t="s">
        <v>759</v>
      </c>
      <c r="H702" s="148">
        <v>20000</v>
      </c>
      <c r="J702"/>
      <c r="K702"/>
      <c r="L702"/>
      <c r="M702"/>
      <c r="N702"/>
      <c r="O702"/>
      <c r="P702"/>
      <c r="Q702"/>
      <c r="R702"/>
      <c r="S702"/>
      <c r="T702"/>
    </row>
    <row r="703" spans="1:20" x14ac:dyDescent="0.25">
      <c r="A703" s="115">
        <v>702</v>
      </c>
      <c r="B703" s="145">
        <v>45426</v>
      </c>
      <c r="C703" s="146">
        <v>2024</v>
      </c>
      <c r="D703" s="118" t="s">
        <v>35</v>
      </c>
      <c r="E703" s="118" t="s">
        <v>115</v>
      </c>
      <c r="F703" s="147">
        <v>1</v>
      </c>
      <c r="G703" s="120" t="s">
        <v>759</v>
      </c>
      <c r="H703" s="148">
        <v>40000</v>
      </c>
      <c r="J703"/>
      <c r="K703"/>
      <c r="L703"/>
      <c r="M703"/>
      <c r="N703"/>
      <c r="O703"/>
      <c r="P703"/>
      <c r="Q703"/>
      <c r="R703"/>
      <c r="S703"/>
      <c r="T703"/>
    </row>
    <row r="704" spans="1:20" x14ac:dyDescent="0.25">
      <c r="A704" s="115">
        <v>703</v>
      </c>
      <c r="B704" s="145">
        <v>45426</v>
      </c>
      <c r="C704" s="146">
        <v>2024</v>
      </c>
      <c r="D704" s="118" t="s">
        <v>35</v>
      </c>
      <c r="E704" s="118" t="s">
        <v>801</v>
      </c>
      <c r="F704" s="147">
        <v>1</v>
      </c>
      <c r="G704" s="120" t="s">
        <v>759</v>
      </c>
      <c r="H704" s="148">
        <v>190000</v>
      </c>
      <c r="J704"/>
      <c r="K704"/>
      <c r="L704"/>
      <c r="M704"/>
      <c r="N704"/>
      <c r="O704"/>
      <c r="P704"/>
      <c r="Q704"/>
      <c r="R704"/>
      <c r="S704"/>
      <c r="T704"/>
    </row>
    <row r="705" spans="1:20" x14ac:dyDescent="0.25">
      <c r="A705" s="115">
        <v>704</v>
      </c>
      <c r="B705" s="145">
        <v>45426</v>
      </c>
      <c r="C705" s="146">
        <v>2024</v>
      </c>
      <c r="D705" s="118" t="s">
        <v>35</v>
      </c>
      <c r="E705" s="118" t="s">
        <v>1045</v>
      </c>
      <c r="F705" s="147">
        <v>1</v>
      </c>
      <c r="G705" s="120" t="s">
        <v>759</v>
      </c>
      <c r="H705" s="148">
        <v>10000</v>
      </c>
      <c r="J705"/>
      <c r="K705"/>
      <c r="L705"/>
      <c r="M705"/>
      <c r="N705"/>
      <c r="O705"/>
      <c r="P705"/>
      <c r="Q705"/>
      <c r="R705"/>
      <c r="S705"/>
      <c r="T705"/>
    </row>
    <row r="706" spans="1:20" x14ac:dyDescent="0.25">
      <c r="A706" s="115">
        <v>705</v>
      </c>
      <c r="B706" s="145">
        <v>45426</v>
      </c>
      <c r="C706" s="146">
        <v>2024</v>
      </c>
      <c r="D706" s="118" t="s">
        <v>35</v>
      </c>
      <c r="E706" s="118" t="s">
        <v>1046</v>
      </c>
      <c r="F706" s="147">
        <v>1</v>
      </c>
      <c r="G706" s="120" t="s">
        <v>759</v>
      </c>
      <c r="H706" s="148">
        <v>150000</v>
      </c>
      <c r="J706"/>
      <c r="K706"/>
      <c r="L706"/>
      <c r="M706"/>
      <c r="N706"/>
      <c r="O706"/>
      <c r="P706"/>
      <c r="Q706"/>
      <c r="R706"/>
      <c r="S706"/>
      <c r="T706"/>
    </row>
    <row r="707" spans="1:20" x14ac:dyDescent="0.25">
      <c r="A707" s="115">
        <v>706</v>
      </c>
      <c r="B707" s="145">
        <v>45426</v>
      </c>
      <c r="C707" s="146">
        <v>2024</v>
      </c>
      <c r="D707" s="118" t="s">
        <v>35</v>
      </c>
      <c r="E707" s="118" t="s">
        <v>1047</v>
      </c>
      <c r="F707" s="147">
        <v>1</v>
      </c>
      <c r="G707" s="120" t="s">
        <v>759</v>
      </c>
      <c r="H707" s="148">
        <v>50000</v>
      </c>
      <c r="J707"/>
      <c r="K707"/>
      <c r="L707"/>
      <c r="M707"/>
      <c r="N707"/>
      <c r="O707"/>
      <c r="P707"/>
      <c r="Q707"/>
      <c r="R707"/>
      <c r="S707"/>
      <c r="T707"/>
    </row>
    <row r="708" spans="1:20" x14ac:dyDescent="0.25">
      <c r="A708" s="115">
        <v>707</v>
      </c>
      <c r="B708" s="145">
        <v>45426</v>
      </c>
      <c r="C708" s="146">
        <v>2024</v>
      </c>
      <c r="D708" s="118" t="s">
        <v>35</v>
      </c>
      <c r="E708" s="118" t="s">
        <v>1048</v>
      </c>
      <c r="F708" s="147">
        <v>1</v>
      </c>
      <c r="G708" s="120" t="s">
        <v>759</v>
      </c>
      <c r="H708" s="148">
        <v>7500</v>
      </c>
      <c r="J708"/>
      <c r="K708"/>
      <c r="L708"/>
      <c r="M708"/>
      <c r="N708"/>
      <c r="O708"/>
      <c r="P708"/>
      <c r="Q708"/>
      <c r="R708"/>
      <c r="S708"/>
      <c r="T708"/>
    </row>
    <row r="709" spans="1:20" x14ac:dyDescent="0.25">
      <c r="A709" s="115">
        <v>708</v>
      </c>
      <c r="B709" s="145">
        <v>45426</v>
      </c>
      <c r="C709" s="146">
        <v>2024</v>
      </c>
      <c r="D709" s="118" t="s">
        <v>35</v>
      </c>
      <c r="E709" s="118" t="s">
        <v>1049</v>
      </c>
      <c r="F709" s="147">
        <v>1</v>
      </c>
      <c r="G709" s="120" t="s">
        <v>759</v>
      </c>
      <c r="H709" s="148">
        <v>10000</v>
      </c>
      <c r="J709"/>
      <c r="K709"/>
      <c r="L709"/>
      <c r="M709"/>
      <c r="N709"/>
      <c r="O709"/>
      <c r="P709"/>
      <c r="Q709"/>
      <c r="R709"/>
      <c r="S709"/>
      <c r="T709"/>
    </row>
    <row r="710" spans="1:20" x14ac:dyDescent="0.25">
      <c r="A710" s="115">
        <v>709</v>
      </c>
      <c r="B710" s="145">
        <v>45426</v>
      </c>
      <c r="C710" s="146">
        <v>2024</v>
      </c>
      <c r="D710" s="118" t="s">
        <v>35</v>
      </c>
      <c r="E710" s="118" t="s">
        <v>1050</v>
      </c>
      <c r="F710" s="147">
        <v>1</v>
      </c>
      <c r="G710" s="120" t="s">
        <v>759</v>
      </c>
      <c r="H710" s="148">
        <v>77500</v>
      </c>
      <c r="J710"/>
      <c r="K710"/>
      <c r="L710"/>
      <c r="M710"/>
      <c r="N710"/>
      <c r="O710"/>
      <c r="P710"/>
      <c r="Q710"/>
      <c r="R710"/>
      <c r="S710"/>
      <c r="T710"/>
    </row>
    <row r="711" spans="1:20" x14ac:dyDescent="0.25">
      <c r="A711" s="115">
        <v>710</v>
      </c>
      <c r="B711" s="145">
        <v>45426</v>
      </c>
      <c r="C711" s="146">
        <v>2024</v>
      </c>
      <c r="D711" s="118" t="s">
        <v>35</v>
      </c>
      <c r="E711" s="118" t="s">
        <v>398</v>
      </c>
      <c r="F711" s="147">
        <v>1</v>
      </c>
      <c r="G711" s="120" t="s">
        <v>759</v>
      </c>
      <c r="H711" s="148">
        <v>6000</v>
      </c>
      <c r="J711"/>
      <c r="K711"/>
      <c r="L711"/>
      <c r="M711"/>
      <c r="N711"/>
      <c r="O711"/>
      <c r="P711"/>
      <c r="Q711"/>
      <c r="R711"/>
      <c r="S711"/>
      <c r="T711"/>
    </row>
    <row r="712" spans="1:20" x14ac:dyDescent="0.25">
      <c r="A712" s="115">
        <v>711</v>
      </c>
      <c r="B712" s="145">
        <v>45426</v>
      </c>
      <c r="C712" s="146">
        <v>2024</v>
      </c>
      <c r="D712" s="118" t="s">
        <v>35</v>
      </c>
      <c r="E712" s="118" t="s">
        <v>1051</v>
      </c>
      <c r="F712" s="147">
        <v>1</v>
      </c>
      <c r="G712" s="120" t="s">
        <v>759</v>
      </c>
      <c r="H712" s="148">
        <v>150000</v>
      </c>
      <c r="J712"/>
      <c r="K712"/>
      <c r="L712"/>
      <c r="M712"/>
      <c r="N712"/>
      <c r="O712"/>
      <c r="P712"/>
      <c r="Q712"/>
      <c r="R712"/>
      <c r="S712"/>
      <c r="T712"/>
    </row>
    <row r="713" spans="1:20" x14ac:dyDescent="0.25">
      <c r="A713" s="115">
        <v>712</v>
      </c>
      <c r="B713" s="145">
        <v>45426</v>
      </c>
      <c r="C713" s="146">
        <v>2024</v>
      </c>
      <c r="D713" s="118" t="s">
        <v>35</v>
      </c>
      <c r="E713" s="118" t="s">
        <v>1052</v>
      </c>
      <c r="F713" s="147">
        <v>1</v>
      </c>
      <c r="G713" s="120" t="s">
        <v>759</v>
      </c>
      <c r="H713" s="148">
        <v>70000</v>
      </c>
      <c r="J713"/>
      <c r="K713"/>
      <c r="L713"/>
      <c r="M713"/>
      <c r="N713"/>
      <c r="O713"/>
      <c r="P713"/>
      <c r="Q713"/>
      <c r="R713"/>
      <c r="S713"/>
      <c r="T713"/>
    </row>
    <row r="714" spans="1:20" x14ac:dyDescent="0.25">
      <c r="A714" s="115">
        <v>713</v>
      </c>
      <c r="B714" s="145">
        <v>45426</v>
      </c>
      <c r="C714" s="146">
        <v>2024</v>
      </c>
      <c r="D714" s="118" t="s">
        <v>35</v>
      </c>
      <c r="E714" s="118" t="s">
        <v>1053</v>
      </c>
      <c r="F714" s="147">
        <v>1</v>
      </c>
      <c r="G714" s="120" t="s">
        <v>759</v>
      </c>
      <c r="H714" s="148">
        <v>45000</v>
      </c>
      <c r="J714"/>
      <c r="K714"/>
      <c r="L714"/>
      <c r="M714"/>
      <c r="N714"/>
      <c r="O714"/>
      <c r="P714"/>
      <c r="Q714"/>
      <c r="R714"/>
      <c r="S714"/>
      <c r="T714"/>
    </row>
    <row r="715" spans="1:20" x14ac:dyDescent="0.25">
      <c r="A715" s="115">
        <v>714</v>
      </c>
      <c r="B715" s="145">
        <v>45426</v>
      </c>
      <c r="C715" s="146">
        <v>2024</v>
      </c>
      <c r="D715" s="118" t="s">
        <v>35</v>
      </c>
      <c r="E715" s="118" t="s">
        <v>977</v>
      </c>
      <c r="F715" s="147">
        <v>1</v>
      </c>
      <c r="G715" s="120" t="s">
        <v>759</v>
      </c>
      <c r="H715" s="148">
        <v>3500</v>
      </c>
      <c r="J715"/>
      <c r="K715"/>
      <c r="L715"/>
      <c r="M715"/>
      <c r="N715"/>
      <c r="O715"/>
      <c r="P715"/>
      <c r="Q715"/>
      <c r="R715"/>
      <c r="S715"/>
      <c r="T715"/>
    </row>
    <row r="716" spans="1:20" x14ac:dyDescent="0.25">
      <c r="A716" s="115">
        <v>715</v>
      </c>
      <c r="B716" s="145">
        <v>45426</v>
      </c>
      <c r="C716" s="146">
        <v>2024</v>
      </c>
      <c r="D716" s="118" t="s">
        <v>35</v>
      </c>
      <c r="E716" s="118" t="s">
        <v>876</v>
      </c>
      <c r="F716" s="147">
        <v>1</v>
      </c>
      <c r="G716" s="120" t="s">
        <v>759</v>
      </c>
      <c r="H716" s="148">
        <v>50000</v>
      </c>
      <c r="J716"/>
      <c r="K716"/>
      <c r="L716"/>
      <c r="M716"/>
      <c r="N716"/>
      <c r="O716"/>
      <c r="P716"/>
      <c r="Q716"/>
      <c r="R716"/>
      <c r="S716"/>
      <c r="T716"/>
    </row>
    <row r="717" spans="1:20" x14ac:dyDescent="0.25">
      <c r="A717" s="115">
        <v>716</v>
      </c>
      <c r="B717" s="145">
        <v>45426</v>
      </c>
      <c r="C717" s="146">
        <v>2024</v>
      </c>
      <c r="D717" s="118" t="s">
        <v>35</v>
      </c>
      <c r="E717" s="118" t="s">
        <v>1008</v>
      </c>
      <c r="F717" s="147">
        <v>1</v>
      </c>
      <c r="G717" s="120" t="s">
        <v>759</v>
      </c>
      <c r="H717" s="148">
        <v>575000</v>
      </c>
      <c r="J717"/>
      <c r="K717"/>
      <c r="L717"/>
      <c r="M717"/>
      <c r="N717"/>
      <c r="O717"/>
      <c r="P717"/>
      <c r="Q717"/>
      <c r="R717"/>
      <c r="S717"/>
      <c r="T717"/>
    </row>
    <row r="718" spans="1:20" x14ac:dyDescent="0.25">
      <c r="A718" s="115">
        <v>717</v>
      </c>
      <c r="B718" s="145">
        <v>45426</v>
      </c>
      <c r="C718" s="146">
        <v>2024</v>
      </c>
      <c r="D718" s="118" t="s">
        <v>35</v>
      </c>
      <c r="E718" s="118" t="s">
        <v>1039</v>
      </c>
      <c r="F718" s="147">
        <v>1</v>
      </c>
      <c r="G718" s="120" t="s">
        <v>759</v>
      </c>
      <c r="H718" s="148">
        <v>35000</v>
      </c>
      <c r="J718"/>
      <c r="K718"/>
      <c r="L718"/>
      <c r="M718"/>
      <c r="N718"/>
      <c r="O718"/>
      <c r="P718"/>
      <c r="Q718"/>
      <c r="R718"/>
      <c r="S718"/>
      <c r="T718"/>
    </row>
    <row r="719" spans="1:20" x14ac:dyDescent="0.25">
      <c r="A719" s="115">
        <v>718</v>
      </c>
      <c r="B719" s="145">
        <v>45426</v>
      </c>
      <c r="C719" s="146">
        <v>2024</v>
      </c>
      <c r="D719" s="118" t="s">
        <v>35</v>
      </c>
      <c r="E719" s="118" t="s">
        <v>1054</v>
      </c>
      <c r="F719" s="147">
        <v>1</v>
      </c>
      <c r="G719" s="120" t="s">
        <v>759</v>
      </c>
      <c r="H719" s="148">
        <v>85000</v>
      </c>
      <c r="J719"/>
      <c r="K719"/>
      <c r="L719"/>
      <c r="M719"/>
      <c r="N719"/>
      <c r="O719"/>
      <c r="P719"/>
      <c r="Q719"/>
      <c r="R719"/>
      <c r="S719"/>
      <c r="T719"/>
    </row>
    <row r="720" spans="1:20" x14ac:dyDescent="0.25">
      <c r="A720" s="115">
        <v>719</v>
      </c>
      <c r="B720" s="145">
        <v>45426</v>
      </c>
      <c r="C720" s="146">
        <v>2024</v>
      </c>
      <c r="D720" s="118" t="s">
        <v>35</v>
      </c>
      <c r="E720" s="118" t="s">
        <v>1054</v>
      </c>
      <c r="F720" s="147">
        <v>1</v>
      </c>
      <c r="G720" s="120" t="s">
        <v>759</v>
      </c>
      <c r="H720" s="148">
        <v>100000</v>
      </c>
      <c r="J720"/>
      <c r="K720"/>
      <c r="L720"/>
      <c r="M720"/>
      <c r="N720"/>
      <c r="O720"/>
      <c r="P720"/>
      <c r="Q720"/>
      <c r="R720"/>
      <c r="S720"/>
      <c r="T720"/>
    </row>
    <row r="721" spans="1:20" x14ac:dyDescent="0.25">
      <c r="A721" s="115">
        <v>720</v>
      </c>
      <c r="B721" s="145">
        <v>45426</v>
      </c>
      <c r="C721" s="146">
        <v>2024</v>
      </c>
      <c r="D721" s="118" t="s">
        <v>35</v>
      </c>
      <c r="E721" s="118" t="s">
        <v>1055</v>
      </c>
      <c r="F721" s="147">
        <v>1</v>
      </c>
      <c r="G721" s="120" t="s">
        <v>759</v>
      </c>
      <c r="H721" s="148">
        <v>300000</v>
      </c>
      <c r="J721"/>
      <c r="K721"/>
      <c r="L721"/>
      <c r="M721"/>
      <c r="N721"/>
      <c r="O721"/>
      <c r="P721"/>
      <c r="Q721"/>
      <c r="R721"/>
      <c r="S721"/>
      <c r="T721"/>
    </row>
    <row r="722" spans="1:20" x14ac:dyDescent="0.25">
      <c r="A722" s="115">
        <v>721</v>
      </c>
      <c r="B722" s="116">
        <v>45427</v>
      </c>
      <c r="C722" s="117">
        <v>2024</v>
      </c>
      <c r="D722" s="118" t="s">
        <v>35</v>
      </c>
      <c r="E722" s="119" t="s">
        <v>211</v>
      </c>
      <c r="F722" s="120">
        <v>1</v>
      </c>
      <c r="G722" s="120" t="s">
        <v>759</v>
      </c>
      <c r="H722" s="121">
        <v>17700</v>
      </c>
      <c r="J722"/>
      <c r="K722"/>
      <c r="L722"/>
      <c r="M722"/>
      <c r="N722"/>
      <c r="O722"/>
      <c r="P722"/>
      <c r="Q722"/>
      <c r="R722"/>
      <c r="S722"/>
      <c r="T722"/>
    </row>
    <row r="723" spans="1:20" x14ac:dyDescent="0.25">
      <c r="A723" s="115">
        <v>722</v>
      </c>
      <c r="B723" s="116">
        <v>45428</v>
      </c>
      <c r="C723" s="117">
        <v>2024</v>
      </c>
      <c r="D723" s="118" t="s">
        <v>35</v>
      </c>
      <c r="E723" s="119" t="s">
        <v>1056</v>
      </c>
      <c r="F723" s="120">
        <v>8</v>
      </c>
      <c r="G723" s="120" t="s">
        <v>759</v>
      </c>
      <c r="H723" s="121">
        <v>70000</v>
      </c>
      <c r="J723"/>
      <c r="K723"/>
      <c r="L723"/>
      <c r="M723"/>
      <c r="N723"/>
      <c r="O723"/>
      <c r="P723"/>
      <c r="Q723"/>
      <c r="R723"/>
      <c r="S723"/>
      <c r="T723"/>
    </row>
    <row r="724" spans="1:20" x14ac:dyDescent="0.25">
      <c r="A724" s="115">
        <v>723</v>
      </c>
      <c r="B724" s="116">
        <v>45428</v>
      </c>
      <c r="C724" s="117">
        <v>2024</v>
      </c>
      <c r="D724" s="118" t="s">
        <v>259</v>
      </c>
      <c r="E724" s="119" t="s">
        <v>760</v>
      </c>
      <c r="F724" s="120">
        <v>1</v>
      </c>
      <c r="G724" s="120" t="s">
        <v>759</v>
      </c>
      <c r="H724" s="121">
        <v>882700</v>
      </c>
      <c r="J724"/>
      <c r="K724"/>
      <c r="L724"/>
      <c r="M724"/>
      <c r="N724"/>
      <c r="O724"/>
      <c r="P724"/>
      <c r="Q724"/>
      <c r="R724"/>
      <c r="S724"/>
      <c r="T724"/>
    </row>
    <row r="725" spans="1:20" x14ac:dyDescent="0.25">
      <c r="A725" s="115">
        <v>724</v>
      </c>
      <c r="B725" s="116">
        <v>45428</v>
      </c>
      <c r="C725" s="117">
        <v>2024</v>
      </c>
      <c r="D725" s="118" t="s">
        <v>35</v>
      </c>
      <c r="E725" s="119" t="s">
        <v>1057</v>
      </c>
      <c r="F725" s="120">
        <v>7</v>
      </c>
      <c r="G725" s="120" t="s">
        <v>759</v>
      </c>
      <c r="H725" s="121">
        <v>80000</v>
      </c>
      <c r="J725"/>
      <c r="K725"/>
      <c r="L725"/>
      <c r="M725"/>
      <c r="N725"/>
      <c r="O725"/>
      <c r="P725"/>
      <c r="Q725"/>
      <c r="R725"/>
      <c r="S725"/>
      <c r="T725"/>
    </row>
    <row r="726" spans="1:20" x14ac:dyDescent="0.25">
      <c r="A726" s="115">
        <v>725</v>
      </c>
      <c r="B726" s="116">
        <v>45430</v>
      </c>
      <c r="C726" s="117">
        <v>2024</v>
      </c>
      <c r="D726" s="118" t="s">
        <v>35</v>
      </c>
      <c r="E726" s="119" t="s">
        <v>211</v>
      </c>
      <c r="F726" s="120">
        <v>3</v>
      </c>
      <c r="G726" s="120" t="s">
        <v>759</v>
      </c>
      <c r="H726" s="121">
        <v>90000</v>
      </c>
      <c r="J726"/>
      <c r="K726"/>
      <c r="L726"/>
      <c r="M726"/>
      <c r="N726"/>
      <c r="O726"/>
      <c r="P726"/>
      <c r="Q726"/>
      <c r="R726"/>
      <c r="S726"/>
      <c r="T726"/>
    </row>
    <row r="727" spans="1:20" x14ac:dyDescent="0.25">
      <c r="A727" s="115">
        <v>726</v>
      </c>
      <c r="B727" s="116">
        <v>45430</v>
      </c>
      <c r="C727" s="117">
        <v>2024</v>
      </c>
      <c r="D727" s="118" t="s">
        <v>35</v>
      </c>
      <c r="E727" s="119" t="s">
        <v>211</v>
      </c>
      <c r="F727" s="120">
        <v>1</v>
      </c>
      <c r="G727" s="120" t="s">
        <v>759</v>
      </c>
      <c r="H727" s="121">
        <v>19500</v>
      </c>
      <c r="J727"/>
      <c r="K727"/>
      <c r="L727"/>
      <c r="M727"/>
      <c r="N727"/>
      <c r="O727"/>
      <c r="P727"/>
      <c r="Q727"/>
      <c r="R727"/>
      <c r="S727"/>
      <c r="T727"/>
    </row>
    <row r="728" spans="1:20" x14ac:dyDescent="0.25">
      <c r="A728" s="115">
        <v>727</v>
      </c>
      <c r="B728" s="116">
        <v>45430</v>
      </c>
      <c r="C728" s="117">
        <v>2024</v>
      </c>
      <c r="D728" s="118" t="s">
        <v>35</v>
      </c>
      <c r="E728" s="119" t="s">
        <v>211</v>
      </c>
      <c r="F728" s="120">
        <v>6</v>
      </c>
      <c r="G728" s="120" t="s">
        <v>759</v>
      </c>
      <c r="H728" s="121">
        <v>126000</v>
      </c>
      <c r="J728"/>
      <c r="K728"/>
      <c r="L728"/>
      <c r="M728"/>
      <c r="N728"/>
      <c r="O728"/>
      <c r="P728"/>
      <c r="Q728"/>
      <c r="R728"/>
      <c r="S728"/>
      <c r="T728"/>
    </row>
    <row r="729" spans="1:20" x14ac:dyDescent="0.25">
      <c r="A729" s="115">
        <v>728</v>
      </c>
      <c r="B729" s="116">
        <v>45430</v>
      </c>
      <c r="C729" s="117">
        <v>2024</v>
      </c>
      <c r="D729" s="118" t="s">
        <v>259</v>
      </c>
      <c r="E729" s="119" t="s">
        <v>760</v>
      </c>
      <c r="F729" s="120">
        <v>1</v>
      </c>
      <c r="G729" s="120" t="s">
        <v>759</v>
      </c>
      <c r="H729" s="121">
        <v>315100</v>
      </c>
      <c r="J729"/>
      <c r="K729"/>
      <c r="L729"/>
      <c r="M729"/>
      <c r="N729"/>
      <c r="O729"/>
      <c r="P729"/>
      <c r="Q729"/>
      <c r="R729"/>
      <c r="S729"/>
      <c r="T729"/>
    </row>
    <row r="730" spans="1:20" x14ac:dyDescent="0.25">
      <c r="A730" s="115">
        <v>729</v>
      </c>
      <c r="B730" s="145">
        <v>45432</v>
      </c>
      <c r="C730" s="146">
        <v>2024</v>
      </c>
      <c r="D730" s="118" t="s">
        <v>35</v>
      </c>
      <c r="E730" s="118" t="s">
        <v>1058</v>
      </c>
      <c r="F730" s="147">
        <v>1</v>
      </c>
      <c r="G730" s="120" t="s">
        <v>759</v>
      </c>
      <c r="H730" s="148">
        <v>55500</v>
      </c>
      <c r="J730"/>
      <c r="K730"/>
      <c r="L730"/>
      <c r="M730"/>
      <c r="N730"/>
      <c r="O730"/>
      <c r="P730"/>
      <c r="Q730"/>
      <c r="R730"/>
      <c r="S730"/>
      <c r="T730"/>
    </row>
    <row r="731" spans="1:20" x14ac:dyDescent="0.25">
      <c r="A731" s="115">
        <v>730</v>
      </c>
      <c r="B731" s="116">
        <v>45433</v>
      </c>
      <c r="C731" s="117">
        <v>2024</v>
      </c>
      <c r="D731" s="118" t="s">
        <v>35</v>
      </c>
      <c r="E731" s="119" t="s">
        <v>1059</v>
      </c>
      <c r="F731" s="120">
        <v>1</v>
      </c>
      <c r="G731" s="120" t="s">
        <v>759</v>
      </c>
      <c r="H731" s="121">
        <v>69473</v>
      </c>
      <c r="J731"/>
      <c r="K731"/>
      <c r="L731"/>
      <c r="M731"/>
      <c r="N731"/>
      <c r="O731"/>
      <c r="P731"/>
      <c r="Q731"/>
      <c r="R731"/>
      <c r="S731"/>
      <c r="T731"/>
    </row>
    <row r="732" spans="1:20" x14ac:dyDescent="0.25">
      <c r="A732" s="115">
        <v>731</v>
      </c>
      <c r="B732" s="116">
        <v>45433</v>
      </c>
      <c r="C732" s="117">
        <v>2024</v>
      </c>
      <c r="D732" s="118" t="s">
        <v>35</v>
      </c>
      <c r="E732" s="119" t="s">
        <v>1060</v>
      </c>
      <c r="F732" s="120">
        <v>5</v>
      </c>
      <c r="G732" s="120" t="s">
        <v>759</v>
      </c>
      <c r="H732" s="121">
        <v>42500</v>
      </c>
      <c r="J732"/>
      <c r="K732"/>
      <c r="L732"/>
      <c r="M732"/>
      <c r="N732"/>
      <c r="O732"/>
      <c r="P732"/>
      <c r="Q732"/>
      <c r="R732"/>
      <c r="S732"/>
      <c r="T732"/>
    </row>
    <row r="733" spans="1:20" x14ac:dyDescent="0.25">
      <c r="A733" s="115">
        <v>732</v>
      </c>
      <c r="B733" s="116">
        <v>45434</v>
      </c>
      <c r="C733" s="117">
        <v>2024</v>
      </c>
      <c r="D733" s="118" t="s">
        <v>35</v>
      </c>
      <c r="E733" s="119" t="s">
        <v>1031</v>
      </c>
      <c r="F733" s="120">
        <v>1</v>
      </c>
      <c r="G733" s="120" t="s">
        <v>759</v>
      </c>
      <c r="H733" s="121">
        <v>25000</v>
      </c>
      <c r="J733"/>
      <c r="K733"/>
      <c r="L733"/>
      <c r="M733"/>
      <c r="N733"/>
      <c r="O733"/>
      <c r="P733"/>
      <c r="Q733"/>
      <c r="R733"/>
      <c r="S733"/>
      <c r="T733"/>
    </row>
    <row r="734" spans="1:20" x14ac:dyDescent="0.25">
      <c r="A734" s="115">
        <v>733</v>
      </c>
      <c r="B734" s="145">
        <v>45434</v>
      </c>
      <c r="C734" s="146">
        <v>2024</v>
      </c>
      <c r="D734" s="118" t="s">
        <v>35</v>
      </c>
      <c r="E734" s="118" t="s">
        <v>1061</v>
      </c>
      <c r="F734" s="147">
        <v>1</v>
      </c>
      <c r="G734" s="120" t="s">
        <v>759</v>
      </c>
      <c r="H734" s="148">
        <v>140000</v>
      </c>
      <c r="J734"/>
      <c r="K734"/>
      <c r="L734"/>
      <c r="M734"/>
      <c r="N734"/>
      <c r="O734"/>
      <c r="P734"/>
      <c r="Q734"/>
      <c r="R734"/>
      <c r="S734"/>
      <c r="T734"/>
    </row>
    <row r="735" spans="1:20" x14ac:dyDescent="0.25">
      <c r="A735" s="115">
        <v>734</v>
      </c>
      <c r="B735" s="145">
        <v>45434</v>
      </c>
      <c r="C735" s="146">
        <v>2024</v>
      </c>
      <c r="D735" s="118" t="s">
        <v>35</v>
      </c>
      <c r="E735" s="118" t="s">
        <v>839</v>
      </c>
      <c r="F735" s="147">
        <v>1</v>
      </c>
      <c r="G735" s="120" t="s">
        <v>759</v>
      </c>
      <c r="H735" s="148">
        <v>85000</v>
      </c>
      <c r="J735"/>
      <c r="K735"/>
      <c r="L735"/>
      <c r="M735"/>
      <c r="N735"/>
      <c r="O735"/>
      <c r="P735"/>
      <c r="Q735"/>
      <c r="R735"/>
      <c r="S735"/>
      <c r="T735"/>
    </row>
    <row r="736" spans="1:20" x14ac:dyDescent="0.25">
      <c r="A736" s="115">
        <v>735</v>
      </c>
      <c r="B736" s="145">
        <v>45434</v>
      </c>
      <c r="C736" s="146">
        <v>2024</v>
      </c>
      <c r="D736" s="118" t="s">
        <v>35</v>
      </c>
      <c r="E736" s="118" t="s">
        <v>953</v>
      </c>
      <c r="F736" s="147">
        <v>1</v>
      </c>
      <c r="G736" s="120" t="s">
        <v>759</v>
      </c>
      <c r="H736" s="148">
        <v>50000</v>
      </c>
      <c r="J736"/>
      <c r="K736"/>
      <c r="L736"/>
      <c r="M736"/>
      <c r="N736"/>
      <c r="O736"/>
      <c r="P736"/>
      <c r="Q736"/>
      <c r="R736"/>
      <c r="S736"/>
      <c r="T736"/>
    </row>
    <row r="737" spans="1:20" x14ac:dyDescent="0.25">
      <c r="A737" s="115">
        <v>736</v>
      </c>
      <c r="B737" s="145">
        <v>45434</v>
      </c>
      <c r="C737" s="146">
        <v>2024</v>
      </c>
      <c r="D737" s="118" t="s">
        <v>35</v>
      </c>
      <c r="E737" s="118" t="s">
        <v>953</v>
      </c>
      <c r="F737" s="147">
        <v>1</v>
      </c>
      <c r="G737" s="120" t="s">
        <v>759</v>
      </c>
      <c r="H737" s="148">
        <v>400000</v>
      </c>
      <c r="J737"/>
      <c r="K737"/>
      <c r="L737"/>
      <c r="M737"/>
      <c r="N737"/>
      <c r="O737"/>
      <c r="P737"/>
      <c r="Q737"/>
      <c r="R737"/>
      <c r="S737"/>
      <c r="T737"/>
    </row>
    <row r="738" spans="1:20" x14ac:dyDescent="0.25">
      <c r="A738" s="115">
        <v>737</v>
      </c>
      <c r="B738" s="145">
        <v>45434</v>
      </c>
      <c r="C738" s="146">
        <v>2024</v>
      </c>
      <c r="D738" s="118" t="s">
        <v>35</v>
      </c>
      <c r="E738" s="118" t="s">
        <v>1062</v>
      </c>
      <c r="F738" s="147">
        <v>1</v>
      </c>
      <c r="G738" s="120" t="s">
        <v>759</v>
      </c>
      <c r="H738" s="148">
        <v>184000</v>
      </c>
      <c r="J738"/>
      <c r="K738"/>
      <c r="L738"/>
      <c r="M738"/>
      <c r="N738"/>
      <c r="O738"/>
      <c r="P738"/>
      <c r="Q738"/>
      <c r="R738"/>
      <c r="S738"/>
      <c r="T738"/>
    </row>
    <row r="739" spans="1:20" x14ac:dyDescent="0.25">
      <c r="A739" s="115">
        <v>738</v>
      </c>
      <c r="B739" s="145">
        <v>45434</v>
      </c>
      <c r="C739" s="146">
        <v>2024</v>
      </c>
      <c r="D739" s="118" t="s">
        <v>35</v>
      </c>
      <c r="E739" s="118" t="s">
        <v>838</v>
      </c>
      <c r="F739" s="147">
        <v>1</v>
      </c>
      <c r="G739" s="120" t="s">
        <v>759</v>
      </c>
      <c r="H739" s="148">
        <v>75000</v>
      </c>
      <c r="J739"/>
      <c r="K739"/>
      <c r="L739"/>
      <c r="M739"/>
      <c r="N739"/>
      <c r="O739"/>
      <c r="P739"/>
      <c r="Q739"/>
      <c r="R739"/>
      <c r="S739"/>
      <c r="T739"/>
    </row>
    <row r="740" spans="1:20" x14ac:dyDescent="0.25">
      <c r="A740" s="115">
        <v>739</v>
      </c>
      <c r="B740" s="145">
        <v>45434</v>
      </c>
      <c r="C740" s="146">
        <v>2024</v>
      </c>
      <c r="D740" s="118" t="s">
        <v>35</v>
      </c>
      <c r="E740" s="118" t="s">
        <v>953</v>
      </c>
      <c r="F740" s="147">
        <v>1</v>
      </c>
      <c r="G740" s="120" t="s">
        <v>759</v>
      </c>
      <c r="H740" s="148">
        <v>400000</v>
      </c>
      <c r="J740"/>
      <c r="K740"/>
      <c r="L740"/>
      <c r="M740"/>
      <c r="N740"/>
      <c r="O740"/>
      <c r="P740"/>
      <c r="Q740"/>
      <c r="R740"/>
      <c r="S740"/>
      <c r="T740"/>
    </row>
    <row r="741" spans="1:20" x14ac:dyDescent="0.25">
      <c r="A741" s="115">
        <v>740</v>
      </c>
      <c r="B741" s="145">
        <v>45434</v>
      </c>
      <c r="C741" s="146">
        <v>2024</v>
      </c>
      <c r="D741" s="118" t="s">
        <v>35</v>
      </c>
      <c r="E741" s="118" t="s">
        <v>838</v>
      </c>
      <c r="F741" s="147">
        <v>1</v>
      </c>
      <c r="G741" s="120" t="s">
        <v>759</v>
      </c>
      <c r="H741" s="148">
        <v>75000</v>
      </c>
      <c r="J741"/>
      <c r="K741"/>
      <c r="L741"/>
      <c r="M741"/>
      <c r="N741"/>
      <c r="O741"/>
      <c r="P741"/>
      <c r="Q741"/>
      <c r="R741"/>
      <c r="S741"/>
      <c r="T741"/>
    </row>
    <row r="742" spans="1:20" x14ac:dyDescent="0.25">
      <c r="A742" s="115">
        <v>741</v>
      </c>
      <c r="B742" s="145">
        <v>45434</v>
      </c>
      <c r="C742" s="146">
        <v>2024</v>
      </c>
      <c r="D742" s="118" t="s">
        <v>35</v>
      </c>
      <c r="E742" s="118" t="s">
        <v>953</v>
      </c>
      <c r="F742" s="147">
        <v>1</v>
      </c>
      <c r="G742" s="120" t="s">
        <v>759</v>
      </c>
      <c r="H742" s="148">
        <v>400000</v>
      </c>
      <c r="J742"/>
      <c r="K742"/>
      <c r="L742"/>
      <c r="M742"/>
      <c r="N742"/>
      <c r="O742"/>
      <c r="P742"/>
      <c r="Q742"/>
      <c r="R742"/>
      <c r="S742"/>
      <c r="T742"/>
    </row>
    <row r="743" spans="1:20" x14ac:dyDescent="0.25">
      <c r="A743" s="115">
        <v>742</v>
      </c>
      <c r="B743" s="145">
        <v>45434</v>
      </c>
      <c r="C743" s="146">
        <v>2024</v>
      </c>
      <c r="D743" s="118" t="s">
        <v>35</v>
      </c>
      <c r="E743" s="118" t="s">
        <v>1062</v>
      </c>
      <c r="F743" s="147">
        <v>1</v>
      </c>
      <c r="G743" s="120" t="s">
        <v>759</v>
      </c>
      <c r="H743" s="148">
        <v>400000</v>
      </c>
      <c r="J743"/>
      <c r="K743"/>
      <c r="L743"/>
      <c r="M743"/>
      <c r="N743"/>
      <c r="O743"/>
      <c r="P743"/>
      <c r="Q743"/>
      <c r="R743"/>
      <c r="S743"/>
      <c r="T743"/>
    </row>
    <row r="744" spans="1:20" x14ac:dyDescent="0.25">
      <c r="A744" s="115">
        <v>743</v>
      </c>
      <c r="B744" s="145">
        <v>45434</v>
      </c>
      <c r="C744" s="146">
        <v>2024</v>
      </c>
      <c r="D744" s="118" t="s">
        <v>35</v>
      </c>
      <c r="E744" s="118" t="s">
        <v>953</v>
      </c>
      <c r="F744" s="147">
        <v>1</v>
      </c>
      <c r="G744" s="120" t="s">
        <v>759</v>
      </c>
      <c r="H744" s="148">
        <v>184000</v>
      </c>
      <c r="J744"/>
      <c r="K744"/>
      <c r="L744"/>
      <c r="M744"/>
      <c r="N744"/>
      <c r="O744"/>
      <c r="P744"/>
      <c r="Q744"/>
      <c r="R744"/>
      <c r="S744"/>
      <c r="T744"/>
    </row>
    <row r="745" spans="1:20" x14ac:dyDescent="0.25">
      <c r="A745" s="115">
        <v>744</v>
      </c>
      <c r="B745" s="145">
        <v>45434</v>
      </c>
      <c r="C745" s="146">
        <v>2024</v>
      </c>
      <c r="D745" s="118" t="s">
        <v>35</v>
      </c>
      <c r="E745" s="118" t="s">
        <v>836</v>
      </c>
      <c r="F745" s="147">
        <v>1</v>
      </c>
      <c r="G745" s="120" t="s">
        <v>759</v>
      </c>
      <c r="H745" s="148">
        <v>132000</v>
      </c>
      <c r="J745"/>
      <c r="K745"/>
      <c r="L745"/>
      <c r="M745"/>
      <c r="N745"/>
      <c r="O745"/>
      <c r="P745"/>
      <c r="Q745"/>
      <c r="R745"/>
      <c r="S745"/>
      <c r="T745"/>
    </row>
    <row r="746" spans="1:20" x14ac:dyDescent="0.25">
      <c r="A746" s="115">
        <v>745</v>
      </c>
      <c r="B746" s="145">
        <v>45434</v>
      </c>
      <c r="C746" s="146">
        <v>2024</v>
      </c>
      <c r="D746" s="118" t="s">
        <v>35</v>
      </c>
      <c r="E746" s="118" t="s">
        <v>124</v>
      </c>
      <c r="F746" s="147">
        <v>1</v>
      </c>
      <c r="G746" s="120" t="s">
        <v>759</v>
      </c>
      <c r="H746" s="148">
        <v>190000</v>
      </c>
      <c r="J746"/>
      <c r="K746"/>
      <c r="L746"/>
      <c r="M746"/>
      <c r="N746"/>
      <c r="O746"/>
      <c r="P746"/>
      <c r="Q746"/>
      <c r="R746"/>
      <c r="S746"/>
      <c r="T746"/>
    </row>
    <row r="747" spans="1:20" x14ac:dyDescent="0.25">
      <c r="A747" s="115">
        <v>746</v>
      </c>
      <c r="B747" s="145">
        <v>45434</v>
      </c>
      <c r="C747" s="146">
        <v>2024</v>
      </c>
      <c r="D747" s="118" t="s">
        <v>35</v>
      </c>
      <c r="E747" s="118" t="s">
        <v>953</v>
      </c>
      <c r="F747" s="147">
        <v>1</v>
      </c>
      <c r="G747" s="120" t="s">
        <v>759</v>
      </c>
      <c r="H747" s="148">
        <v>400000</v>
      </c>
      <c r="J747"/>
      <c r="K747"/>
      <c r="L747"/>
      <c r="M747"/>
      <c r="N747"/>
      <c r="O747"/>
      <c r="P747"/>
      <c r="Q747"/>
      <c r="R747"/>
      <c r="S747"/>
      <c r="T747"/>
    </row>
    <row r="748" spans="1:20" x14ac:dyDescent="0.25">
      <c r="A748" s="115">
        <v>747</v>
      </c>
      <c r="B748" s="145">
        <v>45434</v>
      </c>
      <c r="C748" s="146">
        <v>2024</v>
      </c>
      <c r="D748" s="118" t="s">
        <v>35</v>
      </c>
      <c r="E748" s="118" t="s">
        <v>836</v>
      </c>
      <c r="F748" s="147">
        <v>1</v>
      </c>
      <c r="G748" s="120" t="s">
        <v>759</v>
      </c>
      <c r="H748" s="148">
        <v>132000</v>
      </c>
      <c r="J748"/>
      <c r="K748"/>
      <c r="L748"/>
      <c r="M748"/>
      <c r="N748"/>
      <c r="O748"/>
      <c r="P748"/>
      <c r="Q748"/>
      <c r="R748"/>
      <c r="S748"/>
      <c r="T748"/>
    </row>
    <row r="749" spans="1:20" x14ac:dyDescent="0.25">
      <c r="A749" s="115">
        <v>748</v>
      </c>
      <c r="B749" s="145">
        <v>45434</v>
      </c>
      <c r="C749" s="146">
        <v>2024</v>
      </c>
      <c r="D749" s="118" t="s">
        <v>35</v>
      </c>
      <c r="E749" s="118" t="s">
        <v>124</v>
      </c>
      <c r="F749" s="147">
        <v>1</v>
      </c>
      <c r="G749" s="120" t="s">
        <v>759</v>
      </c>
      <c r="H749" s="148">
        <v>190000</v>
      </c>
      <c r="J749"/>
      <c r="K749"/>
      <c r="L749"/>
      <c r="M749"/>
      <c r="N749"/>
      <c r="O749"/>
      <c r="P749"/>
      <c r="Q749"/>
      <c r="R749"/>
      <c r="S749"/>
      <c r="T749"/>
    </row>
    <row r="750" spans="1:20" x14ac:dyDescent="0.25">
      <c r="A750" s="115">
        <v>749</v>
      </c>
      <c r="B750" s="145">
        <v>45434</v>
      </c>
      <c r="C750" s="146">
        <v>2024</v>
      </c>
      <c r="D750" s="118" t="s">
        <v>35</v>
      </c>
      <c r="E750" s="118" t="s">
        <v>953</v>
      </c>
      <c r="F750" s="147">
        <v>1</v>
      </c>
      <c r="G750" s="120" t="s">
        <v>759</v>
      </c>
      <c r="H750" s="148">
        <v>400000</v>
      </c>
      <c r="J750"/>
      <c r="K750"/>
      <c r="L750"/>
      <c r="M750"/>
      <c r="N750"/>
      <c r="O750"/>
      <c r="P750"/>
      <c r="Q750"/>
      <c r="R750"/>
      <c r="S750"/>
      <c r="T750"/>
    </row>
    <row r="751" spans="1:20" x14ac:dyDescent="0.25">
      <c r="A751" s="115">
        <v>750</v>
      </c>
      <c r="B751" s="145">
        <v>45434</v>
      </c>
      <c r="C751" s="146">
        <v>2024</v>
      </c>
      <c r="D751" s="118" t="s">
        <v>35</v>
      </c>
      <c r="E751" s="118" t="s">
        <v>838</v>
      </c>
      <c r="F751" s="147">
        <v>1</v>
      </c>
      <c r="G751" s="120" t="s">
        <v>759</v>
      </c>
      <c r="H751" s="148">
        <v>75000</v>
      </c>
      <c r="J751"/>
      <c r="K751"/>
      <c r="L751"/>
      <c r="M751"/>
      <c r="N751"/>
      <c r="O751"/>
      <c r="P751"/>
      <c r="Q751"/>
      <c r="R751"/>
      <c r="S751"/>
      <c r="T751"/>
    </row>
    <row r="752" spans="1:20" x14ac:dyDescent="0.25">
      <c r="A752" s="115">
        <v>751</v>
      </c>
      <c r="B752" s="145">
        <v>45434</v>
      </c>
      <c r="C752" s="146">
        <v>2024</v>
      </c>
      <c r="D752" s="118" t="s">
        <v>35</v>
      </c>
      <c r="E752" s="118" t="s">
        <v>839</v>
      </c>
      <c r="F752" s="147">
        <v>1</v>
      </c>
      <c r="G752" s="120" t="s">
        <v>759</v>
      </c>
      <c r="H752" s="148">
        <v>180000</v>
      </c>
      <c r="J752"/>
      <c r="K752"/>
      <c r="L752"/>
      <c r="M752"/>
      <c r="N752"/>
      <c r="O752"/>
      <c r="P752"/>
      <c r="Q752"/>
      <c r="R752"/>
      <c r="S752"/>
      <c r="T752"/>
    </row>
    <row r="753" spans="1:20" x14ac:dyDescent="0.25">
      <c r="A753" s="115">
        <v>752</v>
      </c>
      <c r="B753" s="145">
        <v>45434</v>
      </c>
      <c r="C753" s="146">
        <v>2024</v>
      </c>
      <c r="D753" s="118" t="s">
        <v>35</v>
      </c>
      <c r="E753" s="118" t="s">
        <v>839</v>
      </c>
      <c r="F753" s="147">
        <v>1</v>
      </c>
      <c r="G753" s="120" t="s">
        <v>759</v>
      </c>
      <c r="H753" s="148">
        <v>118000</v>
      </c>
      <c r="J753"/>
      <c r="K753"/>
      <c r="L753"/>
      <c r="M753"/>
      <c r="N753"/>
      <c r="O753"/>
      <c r="P753"/>
      <c r="Q753"/>
      <c r="R753"/>
      <c r="S753"/>
      <c r="T753"/>
    </row>
    <row r="754" spans="1:20" x14ac:dyDescent="0.25">
      <c r="A754" s="115">
        <v>753</v>
      </c>
      <c r="B754" s="145">
        <v>45434</v>
      </c>
      <c r="C754" s="146">
        <v>2024</v>
      </c>
      <c r="D754" s="118" t="s">
        <v>35</v>
      </c>
      <c r="E754" s="118" t="s">
        <v>953</v>
      </c>
      <c r="F754" s="147">
        <v>1</v>
      </c>
      <c r="G754" s="120" t="s">
        <v>759</v>
      </c>
      <c r="H754" s="148">
        <v>400000</v>
      </c>
      <c r="J754"/>
      <c r="K754"/>
      <c r="L754"/>
      <c r="M754"/>
      <c r="N754"/>
      <c r="O754"/>
      <c r="P754"/>
      <c r="Q754"/>
      <c r="R754"/>
      <c r="S754"/>
      <c r="T754"/>
    </row>
    <row r="755" spans="1:20" x14ac:dyDescent="0.25">
      <c r="A755" s="115">
        <v>754</v>
      </c>
      <c r="B755" s="145">
        <v>45434</v>
      </c>
      <c r="C755" s="146">
        <v>2024</v>
      </c>
      <c r="D755" s="118" t="s">
        <v>35</v>
      </c>
      <c r="E755" s="118" t="s">
        <v>838</v>
      </c>
      <c r="F755" s="147">
        <v>1</v>
      </c>
      <c r="G755" s="120" t="s">
        <v>759</v>
      </c>
      <c r="H755" s="148">
        <v>75000</v>
      </c>
      <c r="J755"/>
      <c r="K755"/>
      <c r="L755"/>
      <c r="M755"/>
      <c r="N755"/>
      <c r="O755"/>
      <c r="P755"/>
      <c r="Q755"/>
      <c r="R755"/>
      <c r="S755"/>
      <c r="T755"/>
    </row>
    <row r="756" spans="1:20" x14ac:dyDescent="0.25">
      <c r="A756" s="115">
        <v>755</v>
      </c>
      <c r="B756" s="145">
        <v>45434</v>
      </c>
      <c r="C756" s="146">
        <v>2024</v>
      </c>
      <c r="D756" s="118" t="s">
        <v>35</v>
      </c>
      <c r="E756" s="118" t="s">
        <v>953</v>
      </c>
      <c r="F756" s="147">
        <v>1</v>
      </c>
      <c r="G756" s="120" t="s">
        <v>759</v>
      </c>
      <c r="H756" s="148">
        <v>400000</v>
      </c>
      <c r="J756"/>
      <c r="K756"/>
      <c r="L756"/>
      <c r="M756"/>
      <c r="N756"/>
      <c r="O756"/>
      <c r="P756"/>
      <c r="Q756"/>
      <c r="R756"/>
      <c r="S756"/>
      <c r="T756"/>
    </row>
    <row r="757" spans="1:20" x14ac:dyDescent="0.25">
      <c r="A757" s="115">
        <v>756</v>
      </c>
      <c r="B757" s="145">
        <v>45434</v>
      </c>
      <c r="C757" s="146">
        <v>2024</v>
      </c>
      <c r="D757" s="118" t="s">
        <v>35</v>
      </c>
      <c r="E757" s="118" t="s">
        <v>838</v>
      </c>
      <c r="F757" s="147">
        <v>1</v>
      </c>
      <c r="G757" s="120" t="s">
        <v>759</v>
      </c>
      <c r="H757" s="148">
        <v>75000</v>
      </c>
      <c r="J757"/>
      <c r="K757"/>
      <c r="L757"/>
      <c r="M757"/>
      <c r="N757"/>
      <c r="O757"/>
      <c r="P757"/>
      <c r="Q757"/>
      <c r="R757"/>
      <c r="S757"/>
      <c r="T757"/>
    </row>
    <row r="758" spans="1:20" x14ac:dyDescent="0.25">
      <c r="A758" s="115">
        <v>757</v>
      </c>
      <c r="B758" s="145">
        <v>45434</v>
      </c>
      <c r="C758" s="146">
        <v>2024</v>
      </c>
      <c r="D758" s="118" t="s">
        <v>35</v>
      </c>
      <c r="E758" s="118" t="s">
        <v>839</v>
      </c>
      <c r="F758" s="147">
        <v>1</v>
      </c>
      <c r="G758" s="120" t="s">
        <v>759</v>
      </c>
      <c r="H758" s="148">
        <v>118000</v>
      </c>
      <c r="J758"/>
      <c r="K758"/>
      <c r="L758"/>
      <c r="M758"/>
      <c r="N758"/>
      <c r="O758"/>
      <c r="P758"/>
      <c r="Q758"/>
      <c r="R758"/>
      <c r="S758"/>
      <c r="T758"/>
    </row>
    <row r="759" spans="1:20" x14ac:dyDescent="0.25">
      <c r="A759" s="115">
        <v>758</v>
      </c>
      <c r="B759" s="145">
        <v>45434</v>
      </c>
      <c r="C759" s="146">
        <v>2024</v>
      </c>
      <c r="D759" s="118" t="s">
        <v>35</v>
      </c>
      <c r="E759" s="118" t="s">
        <v>839</v>
      </c>
      <c r="F759" s="147">
        <v>1</v>
      </c>
      <c r="G759" s="120" t="s">
        <v>759</v>
      </c>
      <c r="H759" s="148">
        <v>180000</v>
      </c>
      <c r="J759"/>
      <c r="K759"/>
      <c r="L759"/>
      <c r="M759"/>
      <c r="N759"/>
      <c r="O759"/>
      <c r="P759"/>
      <c r="Q759"/>
      <c r="R759"/>
      <c r="S759"/>
      <c r="T759"/>
    </row>
    <row r="760" spans="1:20" x14ac:dyDescent="0.25">
      <c r="A760" s="115">
        <v>759</v>
      </c>
      <c r="B760" s="145">
        <v>45434</v>
      </c>
      <c r="C760" s="146">
        <v>2024</v>
      </c>
      <c r="D760" s="118" t="s">
        <v>35</v>
      </c>
      <c r="E760" s="118" t="s">
        <v>953</v>
      </c>
      <c r="F760" s="147">
        <v>1</v>
      </c>
      <c r="G760" s="120" t="s">
        <v>759</v>
      </c>
      <c r="H760" s="148">
        <v>200000</v>
      </c>
      <c r="J760"/>
      <c r="K760"/>
      <c r="L760"/>
      <c r="M760"/>
      <c r="N760"/>
      <c r="O760"/>
      <c r="P760"/>
      <c r="Q760"/>
      <c r="R760"/>
      <c r="S760"/>
      <c r="T760"/>
    </row>
    <row r="761" spans="1:20" x14ac:dyDescent="0.25">
      <c r="A761" s="115">
        <v>760</v>
      </c>
      <c r="B761" s="145">
        <v>45434</v>
      </c>
      <c r="C761" s="146">
        <v>2024</v>
      </c>
      <c r="D761" s="118" t="s">
        <v>35</v>
      </c>
      <c r="E761" s="118" t="s">
        <v>1062</v>
      </c>
      <c r="F761" s="147">
        <v>1</v>
      </c>
      <c r="G761" s="120" t="s">
        <v>759</v>
      </c>
      <c r="H761" s="148">
        <v>200000</v>
      </c>
      <c r="J761"/>
      <c r="K761"/>
      <c r="L761"/>
      <c r="M761"/>
      <c r="N761"/>
      <c r="O761"/>
      <c r="P761"/>
      <c r="Q761"/>
      <c r="R761"/>
      <c r="S761"/>
      <c r="T761"/>
    </row>
    <row r="762" spans="1:20" x14ac:dyDescent="0.25">
      <c r="A762" s="115">
        <v>761</v>
      </c>
      <c r="B762" s="145">
        <v>45434</v>
      </c>
      <c r="C762" s="146">
        <v>2024</v>
      </c>
      <c r="D762" s="118" t="s">
        <v>35</v>
      </c>
      <c r="E762" s="118" t="s">
        <v>953</v>
      </c>
      <c r="F762" s="147">
        <v>1</v>
      </c>
      <c r="G762" s="120" t="s">
        <v>759</v>
      </c>
      <c r="H762" s="148">
        <v>184000</v>
      </c>
      <c r="J762"/>
      <c r="K762"/>
      <c r="L762"/>
      <c r="M762"/>
      <c r="N762"/>
      <c r="O762"/>
      <c r="P762"/>
      <c r="Q762"/>
      <c r="R762"/>
      <c r="S762"/>
      <c r="T762"/>
    </row>
    <row r="763" spans="1:20" x14ac:dyDescent="0.25">
      <c r="A763" s="115">
        <v>762</v>
      </c>
      <c r="B763" s="145">
        <v>45434</v>
      </c>
      <c r="C763" s="146">
        <v>2024</v>
      </c>
      <c r="D763" s="118" t="s">
        <v>35</v>
      </c>
      <c r="E763" s="118" t="s">
        <v>1063</v>
      </c>
      <c r="F763" s="147">
        <v>1</v>
      </c>
      <c r="G763" s="120" t="s">
        <v>759</v>
      </c>
      <c r="H763" s="148">
        <v>223000</v>
      </c>
      <c r="J763"/>
      <c r="K763"/>
      <c r="L763"/>
      <c r="M763"/>
      <c r="N763"/>
      <c r="O763"/>
      <c r="P763"/>
      <c r="Q763"/>
      <c r="R763"/>
      <c r="S763"/>
      <c r="T763"/>
    </row>
    <row r="764" spans="1:20" x14ac:dyDescent="0.25">
      <c r="A764" s="115">
        <v>763</v>
      </c>
      <c r="B764" s="145">
        <v>45434</v>
      </c>
      <c r="C764" s="146">
        <v>2024</v>
      </c>
      <c r="D764" s="118" t="s">
        <v>35</v>
      </c>
      <c r="E764" s="118" t="s">
        <v>839</v>
      </c>
      <c r="F764" s="147">
        <v>1</v>
      </c>
      <c r="G764" s="120" t="s">
        <v>759</v>
      </c>
      <c r="H764" s="148">
        <v>85000</v>
      </c>
      <c r="J764"/>
      <c r="K764"/>
      <c r="L764"/>
      <c r="M764"/>
      <c r="N764"/>
      <c r="O764"/>
      <c r="P764"/>
      <c r="Q764"/>
      <c r="R764"/>
      <c r="S764"/>
      <c r="T764"/>
    </row>
    <row r="765" spans="1:20" x14ac:dyDescent="0.25">
      <c r="A765" s="115">
        <v>764</v>
      </c>
      <c r="B765" s="145">
        <v>45434</v>
      </c>
      <c r="C765" s="146">
        <v>2024</v>
      </c>
      <c r="D765" s="118" t="s">
        <v>35</v>
      </c>
      <c r="E765" s="118" t="s">
        <v>953</v>
      </c>
      <c r="F765" s="147">
        <v>1</v>
      </c>
      <c r="G765" s="120" t="s">
        <v>759</v>
      </c>
      <c r="H765" s="148">
        <v>400000</v>
      </c>
      <c r="J765"/>
      <c r="K765"/>
      <c r="L765"/>
      <c r="M765"/>
      <c r="N765"/>
      <c r="O765"/>
      <c r="P765"/>
      <c r="Q765"/>
      <c r="R765"/>
      <c r="S765"/>
      <c r="T765"/>
    </row>
    <row r="766" spans="1:20" x14ac:dyDescent="0.25">
      <c r="A766" s="115">
        <v>765</v>
      </c>
      <c r="B766" s="145">
        <v>45434</v>
      </c>
      <c r="C766" s="146">
        <v>2024</v>
      </c>
      <c r="D766" s="118" t="s">
        <v>35</v>
      </c>
      <c r="E766" s="118" t="s">
        <v>838</v>
      </c>
      <c r="F766" s="147">
        <v>1</v>
      </c>
      <c r="G766" s="120" t="s">
        <v>759</v>
      </c>
      <c r="H766" s="148">
        <v>75000</v>
      </c>
      <c r="J766"/>
      <c r="K766"/>
      <c r="L766"/>
      <c r="M766"/>
      <c r="N766"/>
      <c r="O766"/>
      <c r="P766"/>
      <c r="Q766"/>
      <c r="R766"/>
      <c r="S766"/>
      <c r="T766"/>
    </row>
    <row r="767" spans="1:20" x14ac:dyDescent="0.25">
      <c r="A767" s="115">
        <v>766</v>
      </c>
      <c r="B767" s="145">
        <v>45434</v>
      </c>
      <c r="C767" s="146">
        <v>2024</v>
      </c>
      <c r="D767" s="118" t="s">
        <v>35</v>
      </c>
      <c r="E767" s="118" t="s">
        <v>953</v>
      </c>
      <c r="F767" s="147">
        <v>1</v>
      </c>
      <c r="G767" s="120" t="s">
        <v>759</v>
      </c>
      <c r="H767" s="148">
        <v>400000</v>
      </c>
      <c r="J767"/>
      <c r="K767"/>
      <c r="L767"/>
      <c r="M767"/>
      <c r="N767"/>
      <c r="O767"/>
      <c r="P767"/>
      <c r="Q767"/>
      <c r="R767"/>
      <c r="S767"/>
      <c r="T767"/>
    </row>
    <row r="768" spans="1:20" x14ac:dyDescent="0.25">
      <c r="A768" s="115">
        <v>767</v>
      </c>
      <c r="B768" s="145">
        <v>45434</v>
      </c>
      <c r="C768" s="146">
        <v>2024</v>
      </c>
      <c r="D768" s="118" t="s">
        <v>35</v>
      </c>
      <c r="E768" s="118" t="s">
        <v>953</v>
      </c>
      <c r="F768" s="147">
        <v>1</v>
      </c>
      <c r="G768" s="120" t="s">
        <v>759</v>
      </c>
      <c r="H768" s="148">
        <v>50000</v>
      </c>
      <c r="J768"/>
      <c r="K768"/>
      <c r="L768"/>
      <c r="M768"/>
      <c r="N768"/>
      <c r="O768"/>
      <c r="P768"/>
      <c r="Q768"/>
      <c r="R768"/>
      <c r="S768"/>
      <c r="T768"/>
    </row>
    <row r="769" spans="1:20" x14ac:dyDescent="0.25">
      <c r="A769" s="115">
        <v>768</v>
      </c>
      <c r="B769" s="145">
        <v>45434</v>
      </c>
      <c r="C769" s="146">
        <v>2024</v>
      </c>
      <c r="D769" s="118" t="s">
        <v>35</v>
      </c>
      <c r="E769" s="118" t="s">
        <v>785</v>
      </c>
      <c r="F769" s="147">
        <v>1</v>
      </c>
      <c r="G769" s="120" t="s">
        <v>759</v>
      </c>
      <c r="H769" s="148">
        <v>140000</v>
      </c>
      <c r="J769"/>
      <c r="K769"/>
      <c r="L769"/>
      <c r="M769"/>
      <c r="N769"/>
      <c r="O769"/>
      <c r="P769"/>
      <c r="Q769"/>
      <c r="R769"/>
      <c r="S769"/>
      <c r="T769"/>
    </row>
    <row r="770" spans="1:20" x14ac:dyDescent="0.25">
      <c r="A770" s="115">
        <v>769</v>
      </c>
      <c r="B770" s="145">
        <v>45434</v>
      </c>
      <c r="C770" s="146">
        <v>2024</v>
      </c>
      <c r="D770" s="118" t="s">
        <v>35</v>
      </c>
      <c r="E770" s="118" t="s">
        <v>1064</v>
      </c>
      <c r="F770" s="147">
        <v>1</v>
      </c>
      <c r="G770" s="120" t="s">
        <v>759</v>
      </c>
      <c r="H770" s="148">
        <v>95000</v>
      </c>
      <c r="J770"/>
      <c r="K770"/>
      <c r="L770"/>
      <c r="M770"/>
      <c r="N770"/>
      <c r="O770"/>
      <c r="P770"/>
      <c r="Q770"/>
      <c r="R770"/>
      <c r="S770"/>
      <c r="T770"/>
    </row>
    <row r="771" spans="1:20" x14ac:dyDescent="0.25">
      <c r="A771" s="115">
        <v>770</v>
      </c>
      <c r="B771" s="145">
        <v>45434</v>
      </c>
      <c r="C771" s="146">
        <v>2024</v>
      </c>
      <c r="D771" s="118" t="s">
        <v>35</v>
      </c>
      <c r="E771" s="118" t="s">
        <v>839</v>
      </c>
      <c r="F771" s="147">
        <v>1</v>
      </c>
      <c r="G771" s="120" t="s">
        <v>759</v>
      </c>
      <c r="H771" s="148">
        <v>140000</v>
      </c>
      <c r="J771"/>
      <c r="K771"/>
      <c r="L771"/>
      <c r="M771"/>
      <c r="N771"/>
      <c r="O771"/>
      <c r="P771"/>
      <c r="Q771"/>
      <c r="R771"/>
      <c r="S771"/>
      <c r="T771"/>
    </row>
    <row r="772" spans="1:20" x14ac:dyDescent="0.25">
      <c r="A772" s="115">
        <v>771</v>
      </c>
      <c r="B772" s="145">
        <v>45434</v>
      </c>
      <c r="C772" s="146">
        <v>2024</v>
      </c>
      <c r="D772" s="118" t="s">
        <v>35</v>
      </c>
      <c r="E772" s="118" t="s">
        <v>839</v>
      </c>
      <c r="F772" s="147">
        <v>1</v>
      </c>
      <c r="G772" s="120" t="s">
        <v>759</v>
      </c>
      <c r="H772" s="148">
        <v>85000</v>
      </c>
      <c r="J772"/>
      <c r="K772"/>
      <c r="L772"/>
      <c r="M772"/>
      <c r="N772"/>
      <c r="O772"/>
      <c r="P772"/>
      <c r="Q772"/>
      <c r="R772"/>
      <c r="S772"/>
      <c r="T772"/>
    </row>
    <row r="773" spans="1:20" x14ac:dyDescent="0.25">
      <c r="A773" s="115">
        <v>772</v>
      </c>
      <c r="B773" s="145">
        <v>45434</v>
      </c>
      <c r="C773" s="146">
        <v>2024</v>
      </c>
      <c r="D773" s="118" t="s">
        <v>35</v>
      </c>
      <c r="E773" s="118" t="s">
        <v>953</v>
      </c>
      <c r="F773" s="147">
        <v>1</v>
      </c>
      <c r="G773" s="120" t="s">
        <v>759</v>
      </c>
      <c r="H773" s="148">
        <v>50000</v>
      </c>
      <c r="J773"/>
      <c r="K773"/>
      <c r="L773"/>
      <c r="M773"/>
      <c r="N773"/>
      <c r="O773"/>
      <c r="P773"/>
      <c r="Q773"/>
      <c r="R773"/>
      <c r="S773"/>
      <c r="T773"/>
    </row>
    <row r="774" spans="1:20" x14ac:dyDescent="0.25">
      <c r="A774" s="115">
        <v>773</v>
      </c>
      <c r="B774" s="145">
        <v>45434</v>
      </c>
      <c r="C774" s="146">
        <v>2024</v>
      </c>
      <c r="D774" s="118" t="s">
        <v>35</v>
      </c>
      <c r="E774" s="118" t="s">
        <v>953</v>
      </c>
      <c r="F774" s="147">
        <v>1</v>
      </c>
      <c r="G774" s="120" t="s">
        <v>759</v>
      </c>
      <c r="H774" s="148">
        <v>400000</v>
      </c>
      <c r="J774"/>
      <c r="K774"/>
      <c r="L774"/>
      <c r="M774"/>
      <c r="N774"/>
      <c r="O774"/>
      <c r="P774"/>
      <c r="Q774"/>
      <c r="R774"/>
      <c r="S774"/>
      <c r="T774"/>
    </row>
    <row r="775" spans="1:20" x14ac:dyDescent="0.25">
      <c r="A775" s="115">
        <v>774</v>
      </c>
      <c r="B775" s="145">
        <v>45434</v>
      </c>
      <c r="C775" s="146">
        <v>2024</v>
      </c>
      <c r="D775" s="118" t="s">
        <v>35</v>
      </c>
      <c r="E775" s="118" t="s">
        <v>1062</v>
      </c>
      <c r="F775" s="147">
        <v>1</v>
      </c>
      <c r="G775" s="120" t="s">
        <v>759</v>
      </c>
      <c r="H775" s="148">
        <v>223000</v>
      </c>
      <c r="J775"/>
      <c r="K775"/>
      <c r="L775"/>
      <c r="M775"/>
      <c r="N775"/>
      <c r="O775"/>
      <c r="P775"/>
      <c r="Q775"/>
      <c r="R775"/>
      <c r="S775"/>
      <c r="T775"/>
    </row>
    <row r="776" spans="1:20" x14ac:dyDescent="0.25">
      <c r="A776" s="115">
        <v>775</v>
      </c>
      <c r="B776" s="145">
        <v>45434</v>
      </c>
      <c r="C776" s="146">
        <v>2024</v>
      </c>
      <c r="D776" s="118" t="s">
        <v>35</v>
      </c>
      <c r="E776" s="118" t="s">
        <v>1063</v>
      </c>
      <c r="F776" s="147">
        <v>1</v>
      </c>
      <c r="G776" s="120" t="s">
        <v>759</v>
      </c>
      <c r="H776" s="148">
        <v>184000</v>
      </c>
      <c r="J776"/>
      <c r="K776"/>
      <c r="L776"/>
      <c r="M776"/>
      <c r="N776"/>
      <c r="O776"/>
      <c r="P776"/>
      <c r="Q776"/>
      <c r="R776"/>
      <c r="S776"/>
      <c r="T776"/>
    </row>
    <row r="777" spans="1:20" x14ac:dyDescent="0.25">
      <c r="A777" s="115">
        <v>776</v>
      </c>
      <c r="B777" s="145">
        <v>45434</v>
      </c>
      <c r="C777" s="146">
        <v>2024</v>
      </c>
      <c r="D777" s="118" t="s">
        <v>35</v>
      </c>
      <c r="E777" s="118" t="s">
        <v>838</v>
      </c>
      <c r="F777" s="147">
        <v>1</v>
      </c>
      <c r="G777" s="120" t="s">
        <v>759</v>
      </c>
      <c r="H777" s="148">
        <v>75000</v>
      </c>
      <c r="J777"/>
      <c r="K777"/>
      <c r="L777"/>
      <c r="M777"/>
      <c r="N777"/>
      <c r="O777"/>
      <c r="P777"/>
      <c r="Q777"/>
      <c r="R777"/>
      <c r="S777"/>
      <c r="T777"/>
    </row>
    <row r="778" spans="1:20" x14ac:dyDescent="0.25">
      <c r="A778" s="115">
        <v>777</v>
      </c>
      <c r="B778" s="145">
        <v>45434</v>
      </c>
      <c r="C778" s="146">
        <v>2024</v>
      </c>
      <c r="D778" s="118" t="s">
        <v>35</v>
      </c>
      <c r="E778" s="118" t="s">
        <v>953</v>
      </c>
      <c r="F778" s="147">
        <v>1</v>
      </c>
      <c r="G778" s="120" t="s">
        <v>759</v>
      </c>
      <c r="H778" s="148">
        <v>400000</v>
      </c>
      <c r="J778"/>
      <c r="K778"/>
      <c r="L778"/>
      <c r="M778"/>
      <c r="N778"/>
      <c r="O778"/>
      <c r="P778"/>
      <c r="Q778"/>
      <c r="R778"/>
      <c r="S778"/>
      <c r="T778"/>
    </row>
    <row r="779" spans="1:20" x14ac:dyDescent="0.25">
      <c r="A779" s="115">
        <v>778</v>
      </c>
      <c r="B779" s="145">
        <v>45434</v>
      </c>
      <c r="C779" s="146">
        <v>2024</v>
      </c>
      <c r="D779" s="118" t="s">
        <v>35</v>
      </c>
      <c r="E779" s="118" t="s">
        <v>838</v>
      </c>
      <c r="F779" s="147">
        <v>1</v>
      </c>
      <c r="G779" s="120" t="s">
        <v>759</v>
      </c>
      <c r="H779" s="148">
        <v>75000</v>
      </c>
      <c r="J779"/>
      <c r="K779"/>
      <c r="L779"/>
      <c r="M779"/>
      <c r="N779"/>
      <c r="O779"/>
      <c r="P779"/>
      <c r="Q779"/>
      <c r="R779"/>
      <c r="S779"/>
      <c r="T779"/>
    </row>
    <row r="780" spans="1:20" x14ac:dyDescent="0.25">
      <c r="A780" s="115">
        <v>779</v>
      </c>
      <c r="B780" s="145">
        <v>45434</v>
      </c>
      <c r="C780" s="146">
        <v>2024</v>
      </c>
      <c r="D780" s="118" t="s">
        <v>35</v>
      </c>
      <c r="E780" s="118" t="s">
        <v>953</v>
      </c>
      <c r="F780" s="147">
        <v>1</v>
      </c>
      <c r="G780" s="120" t="s">
        <v>759</v>
      </c>
      <c r="H780" s="148">
        <v>400000</v>
      </c>
      <c r="J780"/>
      <c r="K780"/>
      <c r="L780"/>
      <c r="M780"/>
      <c r="N780"/>
      <c r="O780"/>
      <c r="P780"/>
      <c r="Q780"/>
      <c r="R780"/>
      <c r="S780"/>
      <c r="T780"/>
    </row>
    <row r="781" spans="1:20" x14ac:dyDescent="0.25">
      <c r="A781" s="115">
        <v>780</v>
      </c>
      <c r="B781" s="145">
        <v>45434</v>
      </c>
      <c r="C781" s="146">
        <v>2024</v>
      </c>
      <c r="D781" s="118" t="s">
        <v>35</v>
      </c>
      <c r="E781" s="118" t="s">
        <v>953</v>
      </c>
      <c r="F781" s="147">
        <v>1</v>
      </c>
      <c r="G781" s="120" t="s">
        <v>759</v>
      </c>
      <c r="H781" s="148">
        <v>400000</v>
      </c>
      <c r="J781"/>
      <c r="K781"/>
      <c r="L781"/>
      <c r="M781"/>
      <c r="N781"/>
      <c r="O781"/>
      <c r="P781"/>
      <c r="Q781"/>
      <c r="R781"/>
      <c r="S781"/>
      <c r="T781"/>
    </row>
    <row r="782" spans="1:20" x14ac:dyDescent="0.25">
      <c r="A782" s="115">
        <v>781</v>
      </c>
      <c r="B782" s="145">
        <v>45434</v>
      </c>
      <c r="C782" s="146">
        <v>2024</v>
      </c>
      <c r="D782" s="118" t="s">
        <v>35</v>
      </c>
      <c r="E782" s="118" t="s">
        <v>1062</v>
      </c>
      <c r="F782" s="147">
        <v>1</v>
      </c>
      <c r="G782" s="120" t="s">
        <v>759</v>
      </c>
      <c r="H782" s="148">
        <v>223000</v>
      </c>
      <c r="J782"/>
      <c r="K782"/>
      <c r="L782"/>
      <c r="M782"/>
      <c r="N782"/>
      <c r="O782"/>
      <c r="P782"/>
      <c r="Q782"/>
      <c r="R782"/>
      <c r="S782"/>
      <c r="T782"/>
    </row>
    <row r="783" spans="1:20" x14ac:dyDescent="0.25">
      <c r="A783" s="115">
        <v>782</v>
      </c>
      <c r="B783" s="145">
        <v>45434</v>
      </c>
      <c r="C783" s="146">
        <v>2024</v>
      </c>
      <c r="D783" s="118" t="s">
        <v>35</v>
      </c>
      <c r="E783" s="118" t="s">
        <v>838</v>
      </c>
      <c r="F783" s="147">
        <v>1</v>
      </c>
      <c r="G783" s="120" t="s">
        <v>759</v>
      </c>
      <c r="H783" s="148">
        <v>75000</v>
      </c>
      <c r="J783"/>
      <c r="K783"/>
      <c r="L783"/>
      <c r="M783"/>
      <c r="N783"/>
      <c r="O783"/>
      <c r="P783"/>
      <c r="Q783"/>
      <c r="R783"/>
      <c r="S783"/>
      <c r="T783"/>
    </row>
    <row r="784" spans="1:20" x14ac:dyDescent="0.25">
      <c r="A784" s="115">
        <v>783</v>
      </c>
      <c r="B784" s="145">
        <v>45434</v>
      </c>
      <c r="C784" s="146">
        <v>2024</v>
      </c>
      <c r="D784" s="118" t="s">
        <v>35</v>
      </c>
      <c r="E784" s="118" t="s">
        <v>953</v>
      </c>
      <c r="F784" s="147">
        <v>1</v>
      </c>
      <c r="G784" s="120" t="s">
        <v>759</v>
      </c>
      <c r="H784" s="148">
        <v>400000</v>
      </c>
      <c r="J784"/>
      <c r="K784"/>
      <c r="L784"/>
      <c r="M784"/>
      <c r="N784"/>
      <c r="O784"/>
      <c r="P784"/>
      <c r="Q784"/>
      <c r="R784"/>
      <c r="S784"/>
      <c r="T784"/>
    </row>
    <row r="785" spans="1:20" x14ac:dyDescent="0.25">
      <c r="A785" s="115">
        <v>784</v>
      </c>
      <c r="B785" s="145">
        <v>45434</v>
      </c>
      <c r="C785" s="146">
        <v>2024</v>
      </c>
      <c r="D785" s="118" t="s">
        <v>35</v>
      </c>
      <c r="E785" s="118" t="s">
        <v>1062</v>
      </c>
      <c r="F785" s="147">
        <v>1</v>
      </c>
      <c r="G785" s="120" t="s">
        <v>759</v>
      </c>
      <c r="H785" s="148">
        <v>184000</v>
      </c>
      <c r="J785"/>
      <c r="K785"/>
      <c r="L785"/>
      <c r="M785"/>
      <c r="N785"/>
      <c r="O785"/>
      <c r="P785"/>
      <c r="Q785"/>
      <c r="R785"/>
      <c r="S785"/>
      <c r="T785"/>
    </row>
    <row r="786" spans="1:20" x14ac:dyDescent="0.25">
      <c r="A786" s="115">
        <v>785</v>
      </c>
      <c r="B786" s="145">
        <v>45434</v>
      </c>
      <c r="C786" s="146">
        <v>2024</v>
      </c>
      <c r="D786" s="118" t="s">
        <v>35</v>
      </c>
      <c r="E786" s="118" t="s">
        <v>838</v>
      </c>
      <c r="F786" s="147">
        <v>1</v>
      </c>
      <c r="G786" s="120" t="s">
        <v>759</v>
      </c>
      <c r="H786" s="148">
        <v>75000</v>
      </c>
      <c r="J786"/>
      <c r="K786"/>
      <c r="L786"/>
      <c r="M786"/>
      <c r="N786"/>
      <c r="O786"/>
      <c r="P786"/>
      <c r="Q786"/>
      <c r="R786"/>
      <c r="S786"/>
      <c r="T786"/>
    </row>
    <row r="787" spans="1:20" x14ac:dyDescent="0.25">
      <c r="A787" s="115">
        <v>786</v>
      </c>
      <c r="B787" s="145">
        <v>45434</v>
      </c>
      <c r="C787" s="146">
        <v>2024</v>
      </c>
      <c r="D787" s="118" t="s">
        <v>35</v>
      </c>
      <c r="E787" s="118" t="s">
        <v>953</v>
      </c>
      <c r="F787" s="147">
        <v>1</v>
      </c>
      <c r="G787" s="120" t="s">
        <v>759</v>
      </c>
      <c r="H787" s="148">
        <v>400000</v>
      </c>
      <c r="J787"/>
      <c r="K787"/>
      <c r="L787"/>
      <c r="M787"/>
      <c r="N787"/>
      <c r="O787"/>
      <c r="P787"/>
      <c r="Q787"/>
      <c r="R787"/>
      <c r="S787"/>
      <c r="T787"/>
    </row>
    <row r="788" spans="1:20" x14ac:dyDescent="0.25">
      <c r="A788" s="115">
        <v>787</v>
      </c>
      <c r="B788" s="145">
        <v>45434</v>
      </c>
      <c r="C788" s="146">
        <v>2024</v>
      </c>
      <c r="D788" s="118" t="s">
        <v>35</v>
      </c>
      <c r="E788" s="118" t="s">
        <v>839</v>
      </c>
      <c r="F788" s="147">
        <v>1</v>
      </c>
      <c r="G788" s="120" t="s">
        <v>759</v>
      </c>
      <c r="H788" s="148">
        <v>85000</v>
      </c>
      <c r="J788"/>
      <c r="K788"/>
      <c r="L788"/>
      <c r="M788"/>
      <c r="N788"/>
      <c r="O788"/>
      <c r="P788"/>
      <c r="Q788"/>
      <c r="R788"/>
      <c r="S788"/>
      <c r="T788"/>
    </row>
    <row r="789" spans="1:20" x14ac:dyDescent="0.25">
      <c r="A789" s="115">
        <v>788</v>
      </c>
      <c r="B789" s="145">
        <v>45434</v>
      </c>
      <c r="C789" s="146">
        <v>2024</v>
      </c>
      <c r="D789" s="118" t="s">
        <v>35</v>
      </c>
      <c r="E789" s="118" t="s">
        <v>953</v>
      </c>
      <c r="F789" s="147">
        <v>1</v>
      </c>
      <c r="G789" s="120" t="s">
        <v>759</v>
      </c>
      <c r="H789" s="148">
        <v>400000</v>
      </c>
      <c r="J789"/>
      <c r="K789"/>
      <c r="L789"/>
      <c r="M789"/>
      <c r="N789"/>
      <c r="O789"/>
      <c r="P789"/>
      <c r="Q789"/>
      <c r="R789"/>
      <c r="S789"/>
      <c r="T789"/>
    </row>
    <row r="790" spans="1:20" x14ac:dyDescent="0.25">
      <c r="A790" s="115">
        <v>789</v>
      </c>
      <c r="B790" s="145">
        <v>45434</v>
      </c>
      <c r="C790" s="146">
        <v>2024</v>
      </c>
      <c r="D790" s="118" t="s">
        <v>35</v>
      </c>
      <c r="E790" s="118" t="s">
        <v>1062</v>
      </c>
      <c r="F790" s="147">
        <v>1</v>
      </c>
      <c r="G790" s="120" t="s">
        <v>759</v>
      </c>
      <c r="H790" s="148">
        <v>223000</v>
      </c>
      <c r="J790"/>
      <c r="K790"/>
      <c r="L790"/>
      <c r="M790"/>
      <c r="N790"/>
      <c r="O790"/>
      <c r="P790"/>
      <c r="Q790"/>
      <c r="R790"/>
      <c r="S790"/>
      <c r="T790"/>
    </row>
    <row r="791" spans="1:20" x14ac:dyDescent="0.25">
      <c r="A791" s="115">
        <v>790</v>
      </c>
      <c r="B791" s="145">
        <v>45434</v>
      </c>
      <c r="C791" s="146">
        <v>2024</v>
      </c>
      <c r="D791" s="118" t="s">
        <v>35</v>
      </c>
      <c r="E791" s="118" t="s">
        <v>1063</v>
      </c>
      <c r="F791" s="147">
        <v>1</v>
      </c>
      <c r="G791" s="120" t="s">
        <v>759</v>
      </c>
      <c r="H791" s="148">
        <v>184000</v>
      </c>
      <c r="J791"/>
      <c r="K791"/>
      <c r="L791"/>
      <c r="M791"/>
      <c r="N791"/>
      <c r="O791"/>
      <c r="P791"/>
      <c r="Q791"/>
      <c r="R791"/>
      <c r="S791"/>
      <c r="T791"/>
    </row>
    <row r="792" spans="1:20" x14ac:dyDescent="0.25">
      <c r="A792" s="115">
        <v>791</v>
      </c>
      <c r="B792" s="145">
        <v>45434</v>
      </c>
      <c r="C792" s="146">
        <v>2024</v>
      </c>
      <c r="D792" s="118" t="s">
        <v>35</v>
      </c>
      <c r="E792" s="118" t="s">
        <v>839</v>
      </c>
      <c r="F792" s="147">
        <v>1</v>
      </c>
      <c r="G792" s="120" t="s">
        <v>759</v>
      </c>
      <c r="H792" s="148">
        <v>85000</v>
      </c>
      <c r="J792"/>
      <c r="K792"/>
      <c r="L792"/>
      <c r="M792"/>
      <c r="N792"/>
      <c r="O792"/>
      <c r="P792"/>
      <c r="Q792"/>
      <c r="R792"/>
      <c r="S792"/>
      <c r="T792"/>
    </row>
    <row r="793" spans="1:20" x14ac:dyDescent="0.25">
      <c r="A793" s="115">
        <v>792</v>
      </c>
      <c r="B793" s="145">
        <v>45434</v>
      </c>
      <c r="C793" s="146">
        <v>2024</v>
      </c>
      <c r="D793" s="118" t="s">
        <v>35</v>
      </c>
      <c r="E793" s="118" t="s">
        <v>1064</v>
      </c>
      <c r="F793" s="147">
        <v>1</v>
      </c>
      <c r="G793" s="120" t="s">
        <v>759</v>
      </c>
      <c r="H793" s="148">
        <v>95000</v>
      </c>
      <c r="J793"/>
      <c r="K793"/>
      <c r="L793"/>
      <c r="M793"/>
      <c r="N793"/>
      <c r="O793"/>
      <c r="P793"/>
      <c r="Q793"/>
      <c r="R793"/>
      <c r="S793"/>
      <c r="T793"/>
    </row>
    <row r="794" spans="1:20" x14ac:dyDescent="0.25">
      <c r="A794" s="115">
        <v>793</v>
      </c>
      <c r="B794" s="145">
        <v>45434</v>
      </c>
      <c r="C794" s="146">
        <v>2024</v>
      </c>
      <c r="D794" s="118" t="s">
        <v>35</v>
      </c>
      <c r="E794" s="118" t="s">
        <v>1062</v>
      </c>
      <c r="F794" s="147">
        <v>1</v>
      </c>
      <c r="G794" s="120" t="s">
        <v>759</v>
      </c>
      <c r="H794" s="148">
        <v>195000</v>
      </c>
      <c r="J794"/>
      <c r="K794"/>
      <c r="L794"/>
      <c r="M794"/>
      <c r="N794"/>
      <c r="O794"/>
      <c r="P794"/>
      <c r="Q794"/>
      <c r="R794"/>
      <c r="S794"/>
      <c r="T794"/>
    </row>
    <row r="795" spans="1:20" x14ac:dyDescent="0.25">
      <c r="A795" s="115">
        <v>794</v>
      </c>
      <c r="B795" s="145">
        <v>45434</v>
      </c>
      <c r="C795" s="146">
        <v>2024</v>
      </c>
      <c r="D795" s="118" t="s">
        <v>35</v>
      </c>
      <c r="E795" s="118" t="s">
        <v>953</v>
      </c>
      <c r="F795" s="147">
        <v>1</v>
      </c>
      <c r="G795" s="120" t="s">
        <v>759</v>
      </c>
      <c r="H795" s="148">
        <v>400000</v>
      </c>
      <c r="J795"/>
      <c r="K795"/>
      <c r="L795"/>
      <c r="M795"/>
      <c r="N795"/>
      <c r="O795"/>
      <c r="P795"/>
      <c r="Q795"/>
      <c r="R795"/>
      <c r="S795"/>
      <c r="T795"/>
    </row>
    <row r="796" spans="1:20" x14ac:dyDescent="0.25">
      <c r="A796" s="115">
        <v>795</v>
      </c>
      <c r="B796" s="145">
        <v>45434</v>
      </c>
      <c r="C796" s="146">
        <v>2024</v>
      </c>
      <c r="D796" s="118" t="s">
        <v>35</v>
      </c>
      <c r="E796" s="118" t="s">
        <v>953</v>
      </c>
      <c r="F796" s="147">
        <v>1</v>
      </c>
      <c r="G796" s="120" t="s">
        <v>759</v>
      </c>
      <c r="H796" s="148">
        <v>400000</v>
      </c>
      <c r="J796"/>
      <c r="K796"/>
      <c r="L796"/>
      <c r="M796"/>
      <c r="N796"/>
      <c r="O796"/>
      <c r="P796"/>
      <c r="Q796"/>
      <c r="R796"/>
      <c r="S796"/>
      <c r="T796"/>
    </row>
    <row r="797" spans="1:20" x14ac:dyDescent="0.25">
      <c r="A797" s="115">
        <v>796</v>
      </c>
      <c r="B797" s="145">
        <v>45434</v>
      </c>
      <c r="C797" s="146">
        <v>2024</v>
      </c>
      <c r="D797" s="118" t="s">
        <v>35</v>
      </c>
      <c r="E797" s="118" t="s">
        <v>953</v>
      </c>
      <c r="F797" s="147">
        <v>1</v>
      </c>
      <c r="G797" s="120" t="s">
        <v>759</v>
      </c>
      <c r="H797" s="148">
        <v>400000</v>
      </c>
      <c r="J797"/>
      <c r="K797"/>
      <c r="L797"/>
      <c r="M797"/>
      <c r="N797"/>
      <c r="O797"/>
      <c r="P797"/>
      <c r="Q797"/>
      <c r="R797"/>
      <c r="S797"/>
      <c r="T797"/>
    </row>
    <row r="798" spans="1:20" x14ac:dyDescent="0.25">
      <c r="A798" s="115">
        <v>797</v>
      </c>
      <c r="B798" s="145">
        <v>45434</v>
      </c>
      <c r="C798" s="146">
        <v>2024</v>
      </c>
      <c r="D798" s="118" t="s">
        <v>35</v>
      </c>
      <c r="E798" s="118" t="s">
        <v>1062</v>
      </c>
      <c r="F798" s="147">
        <v>1</v>
      </c>
      <c r="G798" s="120" t="s">
        <v>759</v>
      </c>
      <c r="H798" s="148">
        <v>184000</v>
      </c>
      <c r="J798"/>
      <c r="K798"/>
      <c r="L798"/>
      <c r="M798"/>
      <c r="N798"/>
      <c r="O798"/>
      <c r="P798"/>
      <c r="Q798"/>
      <c r="R798"/>
      <c r="S798"/>
      <c r="T798"/>
    </row>
    <row r="799" spans="1:20" x14ac:dyDescent="0.25">
      <c r="A799" s="115">
        <v>798</v>
      </c>
      <c r="B799" s="145">
        <v>45434</v>
      </c>
      <c r="C799" s="146">
        <v>2024</v>
      </c>
      <c r="D799" s="118" t="s">
        <v>35</v>
      </c>
      <c r="E799" s="118" t="s">
        <v>838</v>
      </c>
      <c r="F799" s="147">
        <v>1</v>
      </c>
      <c r="G799" s="120" t="s">
        <v>759</v>
      </c>
      <c r="H799" s="148">
        <v>75000</v>
      </c>
      <c r="J799"/>
      <c r="K799"/>
      <c r="L799"/>
      <c r="M799"/>
      <c r="N799"/>
      <c r="O799"/>
      <c r="P799"/>
      <c r="Q799"/>
      <c r="R799"/>
      <c r="S799"/>
      <c r="T799"/>
    </row>
    <row r="800" spans="1:20" x14ac:dyDescent="0.25">
      <c r="A800" s="115">
        <v>799</v>
      </c>
      <c r="B800" s="145">
        <v>45434</v>
      </c>
      <c r="C800" s="146">
        <v>2024</v>
      </c>
      <c r="D800" s="118" t="s">
        <v>35</v>
      </c>
      <c r="E800" s="118" t="s">
        <v>953</v>
      </c>
      <c r="F800" s="147">
        <v>1</v>
      </c>
      <c r="G800" s="120" t="s">
        <v>759</v>
      </c>
      <c r="H800" s="148">
        <v>400000</v>
      </c>
      <c r="J800"/>
      <c r="K800"/>
      <c r="L800"/>
      <c r="M800"/>
      <c r="N800"/>
      <c r="O800"/>
      <c r="P800"/>
      <c r="Q800"/>
      <c r="R800"/>
      <c r="S800"/>
      <c r="T800"/>
    </row>
    <row r="801" spans="1:20" x14ac:dyDescent="0.25">
      <c r="A801" s="115">
        <v>800</v>
      </c>
      <c r="B801" s="145">
        <v>45434</v>
      </c>
      <c r="C801" s="146">
        <v>2024</v>
      </c>
      <c r="D801" s="118" t="s">
        <v>35</v>
      </c>
      <c r="E801" s="118" t="s">
        <v>953</v>
      </c>
      <c r="F801" s="147">
        <v>1</v>
      </c>
      <c r="G801" s="120" t="s">
        <v>759</v>
      </c>
      <c r="H801" s="148">
        <v>50000</v>
      </c>
      <c r="J801"/>
      <c r="K801"/>
      <c r="L801"/>
      <c r="M801"/>
      <c r="N801"/>
      <c r="O801"/>
      <c r="P801"/>
      <c r="Q801"/>
      <c r="R801"/>
      <c r="S801"/>
      <c r="T801"/>
    </row>
    <row r="802" spans="1:20" x14ac:dyDescent="0.25">
      <c r="A802" s="115">
        <v>801</v>
      </c>
      <c r="B802" s="145">
        <v>45434</v>
      </c>
      <c r="C802" s="146">
        <v>2024</v>
      </c>
      <c r="D802" s="118" t="s">
        <v>35</v>
      </c>
      <c r="E802" s="118" t="s">
        <v>953</v>
      </c>
      <c r="F802" s="147">
        <v>1</v>
      </c>
      <c r="G802" s="120" t="s">
        <v>759</v>
      </c>
      <c r="H802" s="148">
        <v>223000</v>
      </c>
      <c r="J802"/>
      <c r="K802"/>
      <c r="L802"/>
      <c r="M802"/>
      <c r="N802"/>
      <c r="O802"/>
      <c r="P802"/>
      <c r="Q802"/>
      <c r="R802"/>
      <c r="S802"/>
      <c r="T802"/>
    </row>
    <row r="803" spans="1:20" x14ac:dyDescent="0.25">
      <c r="A803" s="115">
        <v>802</v>
      </c>
      <c r="B803" s="145">
        <v>45434</v>
      </c>
      <c r="C803" s="146">
        <v>2024</v>
      </c>
      <c r="D803" s="118" t="s">
        <v>35</v>
      </c>
      <c r="E803" s="118" t="s">
        <v>955</v>
      </c>
      <c r="F803" s="147">
        <v>1</v>
      </c>
      <c r="G803" s="120" t="s">
        <v>759</v>
      </c>
      <c r="H803" s="148">
        <v>140000</v>
      </c>
      <c r="J803"/>
      <c r="K803"/>
      <c r="L803"/>
      <c r="M803"/>
      <c r="N803"/>
      <c r="O803"/>
      <c r="P803"/>
      <c r="Q803"/>
      <c r="R803"/>
      <c r="S803"/>
      <c r="T803"/>
    </row>
    <row r="804" spans="1:20" x14ac:dyDescent="0.25">
      <c r="A804" s="115">
        <v>803</v>
      </c>
      <c r="B804" s="145">
        <v>45434</v>
      </c>
      <c r="C804" s="146">
        <v>2024</v>
      </c>
      <c r="D804" s="118" t="s">
        <v>35</v>
      </c>
      <c r="E804" s="118" t="s">
        <v>839</v>
      </c>
      <c r="F804" s="147">
        <v>1</v>
      </c>
      <c r="G804" s="120" t="s">
        <v>759</v>
      </c>
      <c r="H804" s="148">
        <v>40000</v>
      </c>
      <c r="J804"/>
      <c r="K804"/>
      <c r="L804"/>
      <c r="M804"/>
      <c r="N804"/>
      <c r="O804"/>
      <c r="P804"/>
      <c r="Q804"/>
      <c r="R804"/>
      <c r="S804"/>
      <c r="T804"/>
    </row>
    <row r="805" spans="1:20" x14ac:dyDescent="0.25">
      <c r="A805" s="115">
        <v>804</v>
      </c>
      <c r="B805" s="145">
        <v>45434</v>
      </c>
      <c r="C805" s="146">
        <v>2024</v>
      </c>
      <c r="D805" s="118" t="s">
        <v>35</v>
      </c>
      <c r="E805" s="118" t="s">
        <v>839</v>
      </c>
      <c r="F805" s="147">
        <v>1</v>
      </c>
      <c r="G805" s="120" t="s">
        <v>759</v>
      </c>
      <c r="H805" s="148">
        <v>85000</v>
      </c>
      <c r="J805"/>
      <c r="K805"/>
      <c r="L805"/>
      <c r="M805"/>
      <c r="N805"/>
      <c r="O805"/>
      <c r="P805"/>
      <c r="Q805"/>
      <c r="R805"/>
      <c r="S805"/>
      <c r="T805"/>
    </row>
    <row r="806" spans="1:20" x14ac:dyDescent="0.25">
      <c r="A806" s="115">
        <v>805</v>
      </c>
      <c r="B806" s="145">
        <v>45434</v>
      </c>
      <c r="C806" s="146">
        <v>2024</v>
      </c>
      <c r="D806" s="118" t="s">
        <v>35</v>
      </c>
      <c r="E806" s="118" t="s">
        <v>838</v>
      </c>
      <c r="F806" s="147">
        <v>1</v>
      </c>
      <c r="G806" s="120" t="s">
        <v>759</v>
      </c>
      <c r="H806" s="148">
        <v>75000</v>
      </c>
      <c r="J806"/>
      <c r="K806"/>
      <c r="L806"/>
      <c r="M806"/>
      <c r="N806"/>
      <c r="O806"/>
      <c r="P806"/>
      <c r="Q806"/>
      <c r="R806"/>
      <c r="S806"/>
      <c r="T806"/>
    </row>
    <row r="807" spans="1:20" x14ac:dyDescent="0.25">
      <c r="A807" s="115">
        <v>806</v>
      </c>
      <c r="B807" s="145">
        <v>45434</v>
      </c>
      <c r="C807" s="146">
        <v>2024</v>
      </c>
      <c r="D807" s="118" t="s">
        <v>35</v>
      </c>
      <c r="E807" s="118" t="s">
        <v>953</v>
      </c>
      <c r="F807" s="147">
        <v>1</v>
      </c>
      <c r="G807" s="120" t="s">
        <v>759</v>
      </c>
      <c r="H807" s="148">
        <v>50000</v>
      </c>
      <c r="J807"/>
      <c r="K807"/>
      <c r="L807"/>
      <c r="M807"/>
      <c r="N807"/>
      <c r="O807"/>
      <c r="P807"/>
      <c r="Q807"/>
      <c r="R807"/>
      <c r="S807"/>
      <c r="T807"/>
    </row>
    <row r="808" spans="1:20" x14ac:dyDescent="0.25">
      <c r="A808" s="115">
        <v>807</v>
      </c>
      <c r="B808" s="145">
        <v>45434</v>
      </c>
      <c r="C808" s="146">
        <v>2024</v>
      </c>
      <c r="D808" s="118" t="s">
        <v>35</v>
      </c>
      <c r="E808" s="118" t="s">
        <v>953</v>
      </c>
      <c r="F808" s="147">
        <v>1</v>
      </c>
      <c r="G808" s="120" t="s">
        <v>759</v>
      </c>
      <c r="H808" s="148">
        <v>400000</v>
      </c>
      <c r="J808"/>
      <c r="K808"/>
      <c r="L808"/>
      <c r="M808"/>
      <c r="N808"/>
      <c r="O808"/>
      <c r="P808"/>
      <c r="Q808"/>
      <c r="R808"/>
      <c r="S808"/>
      <c r="T808"/>
    </row>
    <row r="809" spans="1:20" x14ac:dyDescent="0.25">
      <c r="A809" s="115">
        <v>808</v>
      </c>
      <c r="B809" s="145">
        <v>45434</v>
      </c>
      <c r="C809" s="146">
        <v>2024</v>
      </c>
      <c r="D809" s="118" t="s">
        <v>35</v>
      </c>
      <c r="E809" s="118" t="s">
        <v>1064</v>
      </c>
      <c r="F809" s="147">
        <v>1</v>
      </c>
      <c r="G809" s="120" t="s">
        <v>759</v>
      </c>
      <c r="H809" s="148">
        <v>95000</v>
      </c>
      <c r="J809"/>
      <c r="K809"/>
      <c r="L809"/>
      <c r="M809"/>
      <c r="N809"/>
      <c r="O809"/>
      <c r="P809"/>
      <c r="Q809"/>
      <c r="R809"/>
      <c r="S809"/>
      <c r="T809"/>
    </row>
    <row r="810" spans="1:20" x14ac:dyDescent="0.25">
      <c r="A810" s="115">
        <v>809</v>
      </c>
      <c r="B810" s="145">
        <v>45434</v>
      </c>
      <c r="C810" s="146">
        <v>2024</v>
      </c>
      <c r="D810" s="118" t="s">
        <v>35</v>
      </c>
      <c r="E810" s="118" t="s">
        <v>839</v>
      </c>
      <c r="F810" s="147">
        <v>1</v>
      </c>
      <c r="G810" s="120" t="s">
        <v>759</v>
      </c>
      <c r="H810" s="148">
        <v>140000</v>
      </c>
      <c r="J810"/>
      <c r="K810"/>
      <c r="L810"/>
      <c r="M810"/>
      <c r="N810"/>
      <c r="O810"/>
      <c r="P810"/>
      <c r="Q810"/>
      <c r="R810"/>
      <c r="S810"/>
      <c r="T810"/>
    </row>
    <row r="811" spans="1:20" x14ac:dyDescent="0.25">
      <c r="A811" s="115">
        <v>810</v>
      </c>
      <c r="B811" s="145">
        <v>45434</v>
      </c>
      <c r="C811" s="146">
        <v>2024</v>
      </c>
      <c r="D811" s="118" t="s">
        <v>35</v>
      </c>
      <c r="E811" s="118" t="s">
        <v>953</v>
      </c>
      <c r="F811" s="147">
        <v>1</v>
      </c>
      <c r="G811" s="120" t="s">
        <v>759</v>
      </c>
      <c r="H811" s="148">
        <v>400000</v>
      </c>
      <c r="J811"/>
      <c r="K811"/>
      <c r="L811"/>
      <c r="M811"/>
      <c r="N811"/>
      <c r="O811"/>
      <c r="P811"/>
      <c r="Q811"/>
      <c r="R811"/>
      <c r="S811"/>
      <c r="T811"/>
    </row>
    <row r="812" spans="1:20" x14ac:dyDescent="0.25">
      <c r="A812" s="115">
        <v>811</v>
      </c>
      <c r="B812" s="145">
        <v>45434</v>
      </c>
      <c r="C812" s="146">
        <v>2024</v>
      </c>
      <c r="D812" s="118" t="s">
        <v>35</v>
      </c>
      <c r="E812" s="118" t="s">
        <v>838</v>
      </c>
      <c r="F812" s="147">
        <v>1</v>
      </c>
      <c r="G812" s="120" t="s">
        <v>759</v>
      </c>
      <c r="H812" s="148">
        <v>75000</v>
      </c>
      <c r="J812"/>
      <c r="K812"/>
      <c r="L812"/>
      <c r="M812"/>
      <c r="N812"/>
      <c r="O812"/>
      <c r="P812"/>
      <c r="Q812"/>
      <c r="R812"/>
      <c r="S812"/>
      <c r="T812"/>
    </row>
    <row r="813" spans="1:20" x14ac:dyDescent="0.25">
      <c r="A813" s="115">
        <v>812</v>
      </c>
      <c r="B813" s="155">
        <v>45434</v>
      </c>
      <c r="C813" s="146">
        <v>2024</v>
      </c>
      <c r="D813" s="118" t="s">
        <v>35</v>
      </c>
      <c r="E813" s="118" t="s">
        <v>953</v>
      </c>
      <c r="F813" s="147">
        <v>1</v>
      </c>
      <c r="G813" s="120" t="s">
        <v>759</v>
      </c>
      <c r="H813" s="148">
        <v>400000</v>
      </c>
      <c r="J813"/>
      <c r="K813"/>
      <c r="L813"/>
      <c r="M813"/>
      <c r="N813"/>
      <c r="O813"/>
      <c r="P813"/>
      <c r="Q813"/>
      <c r="R813"/>
      <c r="S813"/>
      <c r="T813"/>
    </row>
    <row r="814" spans="1:20" x14ac:dyDescent="0.25">
      <c r="A814" s="115">
        <v>813</v>
      </c>
      <c r="B814" s="155">
        <v>45434</v>
      </c>
      <c r="C814" s="146">
        <v>2024</v>
      </c>
      <c r="D814" s="118" t="s">
        <v>35</v>
      </c>
      <c r="E814" s="118" t="s">
        <v>839</v>
      </c>
      <c r="F814" s="147">
        <v>1</v>
      </c>
      <c r="G814" s="120" t="s">
        <v>759</v>
      </c>
      <c r="H814" s="148">
        <v>85000</v>
      </c>
      <c r="J814"/>
      <c r="K814"/>
      <c r="L814"/>
      <c r="M814"/>
      <c r="N814"/>
      <c r="O814"/>
      <c r="P814"/>
      <c r="Q814"/>
      <c r="R814"/>
      <c r="S814"/>
      <c r="T814"/>
    </row>
    <row r="815" spans="1:20" x14ac:dyDescent="0.25">
      <c r="A815" s="115">
        <v>814</v>
      </c>
      <c r="B815" s="155">
        <v>45434</v>
      </c>
      <c r="C815" s="146">
        <v>2024</v>
      </c>
      <c r="D815" s="118" t="s">
        <v>35</v>
      </c>
      <c r="E815" s="118" t="s">
        <v>1064</v>
      </c>
      <c r="F815" s="147">
        <v>1</v>
      </c>
      <c r="G815" s="120" t="s">
        <v>759</v>
      </c>
      <c r="H815" s="148">
        <v>95000</v>
      </c>
      <c r="J815"/>
      <c r="K815"/>
      <c r="L815"/>
      <c r="M815"/>
      <c r="N815"/>
      <c r="O815"/>
      <c r="P815"/>
      <c r="Q815"/>
      <c r="R815"/>
      <c r="S815"/>
      <c r="T815"/>
    </row>
    <row r="816" spans="1:20" x14ac:dyDescent="0.25">
      <c r="A816" s="115">
        <v>815</v>
      </c>
      <c r="B816" s="155">
        <v>45434</v>
      </c>
      <c r="C816" s="146">
        <v>2024</v>
      </c>
      <c r="D816" s="118" t="s">
        <v>35</v>
      </c>
      <c r="E816" s="118" t="s">
        <v>839</v>
      </c>
      <c r="F816" s="147">
        <v>1</v>
      </c>
      <c r="G816" s="120" t="s">
        <v>759</v>
      </c>
      <c r="H816" s="148">
        <v>140000</v>
      </c>
      <c r="J816"/>
      <c r="K816"/>
      <c r="L816"/>
      <c r="M816"/>
      <c r="N816"/>
      <c r="O816"/>
      <c r="P816"/>
      <c r="Q816"/>
      <c r="R816"/>
      <c r="S816"/>
      <c r="T816"/>
    </row>
    <row r="817" spans="1:20" x14ac:dyDescent="0.25">
      <c r="A817" s="115">
        <v>816</v>
      </c>
      <c r="B817" s="155">
        <v>45434</v>
      </c>
      <c r="C817" s="146">
        <v>2024</v>
      </c>
      <c r="D817" s="118" t="s">
        <v>35</v>
      </c>
      <c r="E817" s="118" t="s">
        <v>953</v>
      </c>
      <c r="F817" s="147">
        <v>1</v>
      </c>
      <c r="G817" s="120" t="s">
        <v>759</v>
      </c>
      <c r="H817" s="148">
        <v>50000</v>
      </c>
      <c r="J817"/>
      <c r="K817"/>
      <c r="L817"/>
      <c r="M817"/>
      <c r="N817"/>
      <c r="O817"/>
      <c r="P817"/>
      <c r="Q817"/>
      <c r="R817"/>
      <c r="S817"/>
      <c r="T817"/>
    </row>
    <row r="818" spans="1:20" x14ac:dyDescent="0.25">
      <c r="A818" s="115">
        <v>817</v>
      </c>
      <c r="B818" s="155">
        <v>45434</v>
      </c>
      <c r="C818" s="146">
        <v>2024</v>
      </c>
      <c r="D818" s="118" t="s">
        <v>35</v>
      </c>
      <c r="E818" s="118" t="s">
        <v>953</v>
      </c>
      <c r="F818" s="147">
        <v>1</v>
      </c>
      <c r="G818" s="120" t="s">
        <v>759</v>
      </c>
      <c r="H818" s="148">
        <v>400000</v>
      </c>
      <c r="J818"/>
      <c r="K818"/>
      <c r="L818"/>
      <c r="M818"/>
      <c r="N818"/>
      <c r="O818"/>
      <c r="P818"/>
      <c r="Q818"/>
      <c r="R818"/>
      <c r="S818"/>
      <c r="T818"/>
    </row>
    <row r="819" spans="1:20" x14ac:dyDescent="0.25">
      <c r="A819" s="115">
        <v>818</v>
      </c>
      <c r="B819" s="116">
        <v>45436</v>
      </c>
      <c r="C819" s="117">
        <v>2024</v>
      </c>
      <c r="D819" s="118" t="s">
        <v>833</v>
      </c>
      <c r="E819" s="119" t="s">
        <v>175</v>
      </c>
      <c r="F819" s="120">
        <v>5</v>
      </c>
      <c r="G819" s="120" t="s">
        <v>759</v>
      </c>
      <c r="H819" s="121">
        <v>100000</v>
      </c>
      <c r="J819"/>
      <c r="K819"/>
      <c r="L819"/>
      <c r="M819"/>
      <c r="N819"/>
      <c r="O819"/>
      <c r="P819"/>
      <c r="Q819"/>
      <c r="R819"/>
      <c r="S819"/>
      <c r="T819"/>
    </row>
    <row r="820" spans="1:20" x14ac:dyDescent="0.25">
      <c r="A820" s="115">
        <v>819</v>
      </c>
      <c r="B820" s="116">
        <v>45436</v>
      </c>
      <c r="C820" s="117">
        <v>2024</v>
      </c>
      <c r="D820" s="118" t="s">
        <v>833</v>
      </c>
      <c r="E820" s="119" t="s">
        <v>1065</v>
      </c>
      <c r="F820" s="120">
        <v>20</v>
      </c>
      <c r="G820" s="120" t="s">
        <v>759</v>
      </c>
      <c r="H820" s="121">
        <v>230000</v>
      </c>
      <c r="J820"/>
      <c r="K820"/>
      <c r="L820"/>
      <c r="M820"/>
      <c r="N820"/>
      <c r="O820"/>
      <c r="P820"/>
      <c r="Q820"/>
      <c r="R820"/>
      <c r="S820"/>
      <c r="T820"/>
    </row>
    <row r="821" spans="1:20" x14ac:dyDescent="0.25">
      <c r="A821" s="115">
        <v>820</v>
      </c>
      <c r="B821" s="116">
        <v>45436</v>
      </c>
      <c r="C821" s="117">
        <v>2024</v>
      </c>
      <c r="D821" s="118" t="s">
        <v>833</v>
      </c>
      <c r="E821" s="119" t="s">
        <v>847</v>
      </c>
      <c r="F821" s="120">
        <v>200</v>
      </c>
      <c r="G821" s="120" t="s">
        <v>759</v>
      </c>
      <c r="H821" s="121">
        <v>18000</v>
      </c>
      <c r="J821"/>
      <c r="K821"/>
      <c r="L821"/>
      <c r="M821"/>
      <c r="N821"/>
      <c r="O821"/>
      <c r="P821"/>
      <c r="Q821"/>
      <c r="R821"/>
      <c r="S821"/>
      <c r="T821"/>
    </row>
    <row r="822" spans="1:20" x14ac:dyDescent="0.25">
      <c r="A822" s="115">
        <v>821</v>
      </c>
      <c r="B822" s="116">
        <v>45436</v>
      </c>
      <c r="C822" s="117">
        <v>2024</v>
      </c>
      <c r="D822" s="118" t="s">
        <v>833</v>
      </c>
      <c r="E822" s="119" t="s">
        <v>689</v>
      </c>
      <c r="F822" s="120">
        <v>5</v>
      </c>
      <c r="G822" s="120" t="s">
        <v>759</v>
      </c>
      <c r="H822" s="121">
        <v>82500</v>
      </c>
      <c r="J822"/>
      <c r="K822"/>
      <c r="L822"/>
      <c r="M822"/>
      <c r="N822"/>
      <c r="O822"/>
      <c r="P822"/>
      <c r="Q822"/>
      <c r="R822"/>
      <c r="S822"/>
      <c r="T822"/>
    </row>
    <row r="823" spans="1:20" x14ac:dyDescent="0.25">
      <c r="A823" s="115">
        <v>822</v>
      </c>
      <c r="B823" s="116">
        <v>45436</v>
      </c>
      <c r="C823" s="117">
        <v>2024</v>
      </c>
      <c r="D823" s="118" t="s">
        <v>833</v>
      </c>
      <c r="E823" s="119" t="s">
        <v>1066</v>
      </c>
      <c r="F823" s="120">
        <v>2</v>
      </c>
      <c r="G823" s="120" t="s">
        <v>759</v>
      </c>
      <c r="H823" s="121">
        <v>13000</v>
      </c>
      <c r="J823"/>
      <c r="K823"/>
      <c r="L823"/>
      <c r="M823"/>
      <c r="N823"/>
      <c r="O823"/>
      <c r="P823"/>
      <c r="Q823"/>
      <c r="R823"/>
      <c r="S823"/>
      <c r="T823"/>
    </row>
    <row r="824" spans="1:20" x14ac:dyDescent="0.25">
      <c r="A824" s="115">
        <v>823</v>
      </c>
      <c r="B824" s="116">
        <v>45436</v>
      </c>
      <c r="C824" s="117">
        <v>2024</v>
      </c>
      <c r="D824" s="118" t="s">
        <v>833</v>
      </c>
      <c r="E824" s="119" t="s">
        <v>91</v>
      </c>
      <c r="F824" s="120">
        <v>1</v>
      </c>
      <c r="G824" s="120" t="s">
        <v>759</v>
      </c>
      <c r="H824" s="121">
        <v>5500</v>
      </c>
      <c r="J824"/>
      <c r="K824"/>
      <c r="L824"/>
      <c r="M824"/>
      <c r="N824"/>
      <c r="O824"/>
      <c r="P824"/>
      <c r="Q824"/>
      <c r="R824"/>
      <c r="S824"/>
      <c r="T824"/>
    </row>
    <row r="825" spans="1:20" x14ac:dyDescent="0.25">
      <c r="A825" s="115">
        <v>824</v>
      </c>
      <c r="B825" s="116">
        <v>45436</v>
      </c>
      <c r="C825" s="117">
        <v>2024</v>
      </c>
      <c r="D825" s="118" t="s">
        <v>833</v>
      </c>
      <c r="E825" s="119" t="s">
        <v>620</v>
      </c>
      <c r="F825" s="120">
        <v>1</v>
      </c>
      <c r="G825" s="120" t="s">
        <v>759</v>
      </c>
      <c r="H825" s="121">
        <v>28500</v>
      </c>
      <c r="J825"/>
      <c r="K825"/>
      <c r="L825"/>
      <c r="M825"/>
      <c r="N825"/>
      <c r="O825"/>
      <c r="P825"/>
      <c r="Q825"/>
      <c r="R825"/>
      <c r="S825"/>
      <c r="T825"/>
    </row>
    <row r="826" spans="1:20" x14ac:dyDescent="0.25">
      <c r="A826" s="115">
        <v>825</v>
      </c>
      <c r="B826" s="116">
        <v>45436</v>
      </c>
      <c r="C826" s="117">
        <v>2024</v>
      </c>
      <c r="D826" s="118" t="s">
        <v>833</v>
      </c>
      <c r="E826" s="119" t="s">
        <v>589</v>
      </c>
      <c r="F826" s="120">
        <v>2</v>
      </c>
      <c r="G826" s="120" t="s">
        <v>759</v>
      </c>
      <c r="H826" s="121">
        <v>666000</v>
      </c>
      <c r="J826"/>
      <c r="K826"/>
      <c r="L826"/>
      <c r="M826"/>
      <c r="N826"/>
      <c r="O826"/>
      <c r="P826"/>
      <c r="Q826"/>
      <c r="R826"/>
      <c r="S826"/>
      <c r="T826"/>
    </row>
    <row r="827" spans="1:20" x14ac:dyDescent="0.25">
      <c r="A827" s="115">
        <v>826</v>
      </c>
      <c r="B827" s="116">
        <v>45436</v>
      </c>
      <c r="C827" s="117">
        <v>2024</v>
      </c>
      <c r="D827" s="118" t="s">
        <v>833</v>
      </c>
      <c r="E827" s="119" t="s">
        <v>589</v>
      </c>
      <c r="F827" s="120">
        <v>1</v>
      </c>
      <c r="G827" s="120" t="s">
        <v>759</v>
      </c>
      <c r="H827" s="121">
        <v>41000</v>
      </c>
      <c r="J827"/>
      <c r="K827"/>
      <c r="L827"/>
      <c r="M827"/>
      <c r="N827"/>
      <c r="O827"/>
      <c r="P827"/>
      <c r="Q827"/>
      <c r="R827"/>
      <c r="S827"/>
      <c r="T827"/>
    </row>
    <row r="828" spans="1:20" x14ac:dyDescent="0.25">
      <c r="A828" s="115">
        <v>827</v>
      </c>
      <c r="B828" s="116">
        <v>45436</v>
      </c>
      <c r="C828" s="117">
        <v>2024</v>
      </c>
      <c r="D828" s="118" t="s">
        <v>833</v>
      </c>
      <c r="E828" s="119" t="s">
        <v>478</v>
      </c>
      <c r="F828" s="120">
        <v>5</v>
      </c>
      <c r="G828" s="120" t="s">
        <v>759</v>
      </c>
      <c r="H828" s="121">
        <v>227500</v>
      </c>
      <c r="J828"/>
      <c r="K828"/>
      <c r="L828"/>
      <c r="M828"/>
      <c r="N828"/>
      <c r="O828"/>
      <c r="P828"/>
      <c r="Q828"/>
      <c r="R828"/>
      <c r="S828"/>
      <c r="T828"/>
    </row>
    <row r="829" spans="1:20" x14ac:dyDescent="0.25">
      <c r="A829" s="115">
        <v>828</v>
      </c>
      <c r="B829" s="116">
        <v>45436</v>
      </c>
      <c r="C829" s="117">
        <v>2024</v>
      </c>
      <c r="D829" s="118" t="s">
        <v>851</v>
      </c>
      <c r="E829" s="119" t="s">
        <v>290</v>
      </c>
      <c r="F829" s="120">
        <v>1</v>
      </c>
      <c r="G829" s="120" t="s">
        <v>759</v>
      </c>
      <c r="H829" s="121">
        <v>17000</v>
      </c>
      <c r="J829"/>
      <c r="K829"/>
      <c r="L829"/>
      <c r="M829"/>
      <c r="N829"/>
      <c r="O829"/>
      <c r="P829"/>
      <c r="Q829"/>
      <c r="R829"/>
      <c r="S829"/>
      <c r="T829"/>
    </row>
    <row r="830" spans="1:20" x14ac:dyDescent="0.25">
      <c r="A830" s="115">
        <v>829</v>
      </c>
      <c r="B830" s="116">
        <v>45436</v>
      </c>
      <c r="C830" s="117">
        <v>2024</v>
      </c>
      <c r="D830" s="118" t="s">
        <v>851</v>
      </c>
      <c r="E830" s="119" t="s">
        <v>299</v>
      </c>
      <c r="F830" s="120">
        <v>78</v>
      </c>
      <c r="G830" s="120" t="s">
        <v>759</v>
      </c>
      <c r="H830" s="121">
        <v>421200</v>
      </c>
      <c r="J830"/>
      <c r="K830"/>
      <c r="L830"/>
      <c r="M830"/>
      <c r="N830"/>
      <c r="O830"/>
      <c r="P830"/>
      <c r="Q830"/>
      <c r="R830"/>
      <c r="S830"/>
      <c r="T830"/>
    </row>
    <row r="831" spans="1:20" x14ac:dyDescent="0.25">
      <c r="A831" s="115">
        <v>830</v>
      </c>
      <c r="B831" s="116">
        <v>45436</v>
      </c>
      <c r="C831" s="117">
        <v>2024</v>
      </c>
      <c r="D831" s="118" t="s">
        <v>851</v>
      </c>
      <c r="E831" s="119" t="s">
        <v>299</v>
      </c>
      <c r="F831" s="120">
        <v>12</v>
      </c>
      <c r="G831" s="120" t="s">
        <v>759</v>
      </c>
      <c r="H831" s="121">
        <v>219600</v>
      </c>
      <c r="J831"/>
      <c r="K831"/>
      <c r="L831"/>
      <c r="M831"/>
      <c r="N831"/>
      <c r="O831"/>
      <c r="P831"/>
      <c r="Q831"/>
      <c r="R831"/>
      <c r="S831"/>
      <c r="T831"/>
    </row>
    <row r="832" spans="1:20" x14ac:dyDescent="0.25">
      <c r="A832" s="115">
        <v>831</v>
      </c>
      <c r="B832" s="116">
        <v>45436</v>
      </c>
      <c r="C832" s="117">
        <v>2024</v>
      </c>
      <c r="D832" s="118" t="s">
        <v>851</v>
      </c>
      <c r="E832" s="119" t="s">
        <v>299</v>
      </c>
      <c r="F832" s="120">
        <v>1</v>
      </c>
      <c r="G832" s="120" t="s">
        <v>759</v>
      </c>
      <c r="H832" s="121">
        <v>15000</v>
      </c>
      <c r="J832"/>
      <c r="K832"/>
      <c r="L832"/>
      <c r="M832"/>
      <c r="N832"/>
      <c r="O832"/>
      <c r="P832"/>
      <c r="Q832"/>
      <c r="R832"/>
      <c r="S832"/>
      <c r="T832"/>
    </row>
    <row r="833" spans="1:20" x14ac:dyDescent="0.25">
      <c r="A833" s="115">
        <v>832</v>
      </c>
      <c r="B833" s="116">
        <v>45436</v>
      </c>
      <c r="C833" s="117">
        <v>2024</v>
      </c>
      <c r="D833" s="118" t="s">
        <v>851</v>
      </c>
      <c r="E833" s="119" t="s">
        <v>159</v>
      </c>
      <c r="F833" s="120">
        <v>72</v>
      </c>
      <c r="G833" s="120" t="s">
        <v>759</v>
      </c>
      <c r="H833" s="121">
        <v>388800</v>
      </c>
      <c r="J833"/>
      <c r="K833"/>
      <c r="L833"/>
      <c r="M833"/>
      <c r="N833"/>
      <c r="O833"/>
      <c r="P833"/>
      <c r="Q833"/>
      <c r="R833"/>
      <c r="S833"/>
      <c r="T833"/>
    </row>
    <row r="834" spans="1:20" x14ac:dyDescent="0.25">
      <c r="A834" s="115">
        <v>833</v>
      </c>
      <c r="B834" s="116">
        <v>45436</v>
      </c>
      <c r="C834" s="117">
        <v>2024</v>
      </c>
      <c r="D834" s="118" t="s">
        <v>833</v>
      </c>
      <c r="E834" s="119" t="s">
        <v>101</v>
      </c>
      <c r="F834" s="120">
        <v>1</v>
      </c>
      <c r="G834" s="120" t="s">
        <v>759</v>
      </c>
      <c r="H834" s="121">
        <v>5000</v>
      </c>
      <c r="J834"/>
      <c r="K834"/>
      <c r="L834"/>
      <c r="M834"/>
      <c r="N834"/>
      <c r="O834"/>
      <c r="P834"/>
      <c r="Q834"/>
      <c r="R834"/>
      <c r="S834"/>
      <c r="T834"/>
    </row>
    <row r="835" spans="1:20" x14ac:dyDescent="0.25">
      <c r="A835" s="115">
        <v>834</v>
      </c>
      <c r="B835" s="116">
        <v>45436</v>
      </c>
      <c r="C835" s="117">
        <v>2024</v>
      </c>
      <c r="D835" s="118" t="s">
        <v>833</v>
      </c>
      <c r="E835" s="119" t="s">
        <v>491</v>
      </c>
      <c r="F835" s="120">
        <v>11</v>
      </c>
      <c r="G835" s="120" t="s">
        <v>759</v>
      </c>
      <c r="H835" s="121">
        <v>96250</v>
      </c>
      <c r="J835"/>
      <c r="K835"/>
      <c r="L835"/>
      <c r="M835"/>
      <c r="N835"/>
      <c r="O835"/>
      <c r="P835"/>
      <c r="Q835"/>
      <c r="R835"/>
      <c r="S835"/>
      <c r="T835"/>
    </row>
    <row r="836" spans="1:20" x14ac:dyDescent="0.25">
      <c r="A836" s="115">
        <v>835</v>
      </c>
      <c r="B836" s="116">
        <v>45436</v>
      </c>
      <c r="C836" s="117">
        <v>2024</v>
      </c>
      <c r="D836" s="118" t="s">
        <v>833</v>
      </c>
      <c r="E836" s="119" t="s">
        <v>561</v>
      </c>
      <c r="F836" s="120">
        <v>40</v>
      </c>
      <c r="G836" s="120" t="s">
        <v>759</v>
      </c>
      <c r="H836" s="121">
        <v>76000</v>
      </c>
      <c r="J836"/>
      <c r="K836"/>
      <c r="L836"/>
      <c r="M836"/>
      <c r="N836"/>
      <c r="O836"/>
      <c r="P836" s="104"/>
      <c r="Q836"/>
      <c r="R836"/>
      <c r="S836"/>
      <c r="T836"/>
    </row>
    <row r="837" spans="1:20" x14ac:dyDescent="0.25">
      <c r="A837" s="115">
        <v>836</v>
      </c>
      <c r="B837" s="116">
        <v>45436</v>
      </c>
      <c r="C837" s="117">
        <v>2024</v>
      </c>
      <c r="D837" s="118" t="s">
        <v>833</v>
      </c>
      <c r="E837" s="119" t="s">
        <v>1067</v>
      </c>
      <c r="F837" s="120">
        <v>1</v>
      </c>
      <c r="G837" s="120" t="s">
        <v>759</v>
      </c>
      <c r="H837" s="121">
        <v>9600</v>
      </c>
      <c r="J837"/>
      <c r="K837"/>
      <c r="L837"/>
      <c r="M837"/>
      <c r="N837"/>
      <c r="O837"/>
      <c r="P837" s="104"/>
      <c r="Q837"/>
      <c r="R837"/>
      <c r="S837"/>
      <c r="T837"/>
    </row>
    <row r="838" spans="1:20" x14ac:dyDescent="0.25">
      <c r="A838" s="115">
        <v>837</v>
      </c>
      <c r="B838" s="116">
        <v>45436</v>
      </c>
      <c r="C838" s="117">
        <v>2024</v>
      </c>
      <c r="D838" s="118" t="s">
        <v>833</v>
      </c>
      <c r="E838" s="119" t="s">
        <v>84</v>
      </c>
      <c r="F838" s="120">
        <v>1</v>
      </c>
      <c r="G838" s="120" t="s">
        <v>759</v>
      </c>
      <c r="H838" s="121">
        <v>17500</v>
      </c>
      <c r="J838"/>
      <c r="K838"/>
      <c r="L838"/>
      <c r="M838"/>
      <c r="N838"/>
      <c r="O838"/>
      <c r="P838" s="104"/>
      <c r="Q838"/>
      <c r="R838"/>
      <c r="S838"/>
      <c r="T838"/>
    </row>
    <row r="839" spans="1:20" x14ac:dyDescent="0.25">
      <c r="A839" s="115">
        <v>838</v>
      </c>
      <c r="B839" s="116">
        <v>45436</v>
      </c>
      <c r="C839" s="117">
        <v>2024</v>
      </c>
      <c r="D839" s="118" t="s">
        <v>833</v>
      </c>
      <c r="E839" s="119" t="s">
        <v>588</v>
      </c>
      <c r="F839" s="120">
        <v>12</v>
      </c>
      <c r="G839" s="120" t="s">
        <v>759</v>
      </c>
      <c r="H839" s="121">
        <v>57000</v>
      </c>
      <c r="J839"/>
      <c r="K839"/>
      <c r="L839"/>
      <c r="M839"/>
      <c r="N839"/>
      <c r="O839"/>
      <c r="P839" s="104"/>
      <c r="Q839"/>
      <c r="R839"/>
      <c r="S839"/>
      <c r="T839"/>
    </row>
    <row r="840" spans="1:20" x14ac:dyDescent="0.25">
      <c r="A840" s="115">
        <v>839</v>
      </c>
      <c r="B840" s="116">
        <v>45440</v>
      </c>
      <c r="C840" s="117">
        <v>2024</v>
      </c>
      <c r="D840" s="118" t="s">
        <v>35</v>
      </c>
      <c r="E840" s="119" t="s">
        <v>1068</v>
      </c>
      <c r="F840" s="120">
        <v>1</v>
      </c>
      <c r="G840" s="120" t="s">
        <v>759</v>
      </c>
      <c r="H840" s="121">
        <v>18000</v>
      </c>
      <c r="J840"/>
      <c r="K840"/>
      <c r="L840"/>
      <c r="M840"/>
      <c r="N840"/>
      <c r="O840"/>
      <c r="P840" s="104"/>
      <c r="Q840"/>
      <c r="R840"/>
      <c r="S840"/>
      <c r="T840"/>
    </row>
    <row r="841" spans="1:20" x14ac:dyDescent="0.25">
      <c r="A841" s="115">
        <v>840</v>
      </c>
      <c r="B841" s="116">
        <v>45440</v>
      </c>
      <c r="C841" s="117">
        <v>2024</v>
      </c>
      <c r="D841" s="118" t="s">
        <v>35</v>
      </c>
      <c r="E841" s="119" t="s">
        <v>476</v>
      </c>
      <c r="F841" s="120">
        <v>2</v>
      </c>
      <c r="G841" s="120" t="s">
        <v>759</v>
      </c>
      <c r="H841" s="121">
        <v>319996</v>
      </c>
      <c r="J841"/>
      <c r="K841"/>
      <c r="L841"/>
      <c r="M841"/>
      <c r="N841"/>
      <c r="O841"/>
      <c r="P841" s="104"/>
      <c r="Q841"/>
      <c r="R841"/>
      <c r="S841"/>
      <c r="T841"/>
    </row>
    <row r="842" spans="1:20" x14ac:dyDescent="0.25">
      <c r="A842" s="115">
        <v>841</v>
      </c>
      <c r="B842" s="116">
        <v>45440</v>
      </c>
      <c r="C842" s="117">
        <v>2024</v>
      </c>
      <c r="D842" s="118" t="s">
        <v>851</v>
      </c>
      <c r="E842" s="119" t="s">
        <v>541</v>
      </c>
      <c r="F842" s="120">
        <v>20</v>
      </c>
      <c r="G842" s="120" t="s">
        <v>759</v>
      </c>
      <c r="H842" s="121">
        <v>25000</v>
      </c>
      <c r="J842"/>
      <c r="K842"/>
      <c r="L842"/>
      <c r="M842"/>
      <c r="N842"/>
      <c r="O842"/>
      <c r="P842" s="104"/>
      <c r="Q842"/>
      <c r="R842"/>
      <c r="S842"/>
      <c r="T842"/>
    </row>
    <row r="843" spans="1:20" x14ac:dyDescent="0.25">
      <c r="A843" s="115">
        <v>842</v>
      </c>
      <c r="B843" s="116">
        <v>45440</v>
      </c>
      <c r="C843" s="117">
        <v>2024</v>
      </c>
      <c r="D843" s="118" t="s">
        <v>35</v>
      </c>
      <c r="E843" s="119" t="s">
        <v>224</v>
      </c>
      <c r="F843" s="120">
        <v>1</v>
      </c>
      <c r="G843" s="120" t="s">
        <v>759</v>
      </c>
      <c r="H843" s="121">
        <v>95000</v>
      </c>
      <c r="J843"/>
      <c r="K843"/>
      <c r="L843"/>
      <c r="M843"/>
      <c r="N843"/>
      <c r="O843"/>
      <c r="P843" s="104"/>
      <c r="Q843"/>
      <c r="R843"/>
      <c r="S843"/>
      <c r="T843"/>
    </row>
    <row r="844" spans="1:20" x14ac:dyDescent="0.25">
      <c r="A844" s="115">
        <v>843</v>
      </c>
      <c r="B844" s="116">
        <v>45440</v>
      </c>
      <c r="C844" s="117">
        <v>2024</v>
      </c>
      <c r="D844" s="118" t="s">
        <v>851</v>
      </c>
      <c r="E844" s="119" t="s">
        <v>290</v>
      </c>
      <c r="F844" s="120">
        <v>4</v>
      </c>
      <c r="G844" s="120" t="s">
        <v>759</v>
      </c>
      <c r="H844" s="121">
        <v>120000</v>
      </c>
      <c r="J844"/>
      <c r="K844"/>
      <c r="L844"/>
      <c r="M844"/>
      <c r="N844"/>
      <c r="O844"/>
      <c r="P844" s="104"/>
      <c r="Q844"/>
      <c r="R844"/>
      <c r="S844"/>
      <c r="T844"/>
    </row>
    <row r="845" spans="1:20" x14ac:dyDescent="0.25">
      <c r="A845" s="115">
        <v>844</v>
      </c>
      <c r="B845" s="116">
        <v>45440</v>
      </c>
      <c r="C845" s="117">
        <v>2024</v>
      </c>
      <c r="D845" s="118" t="s">
        <v>851</v>
      </c>
      <c r="E845" s="119" t="s">
        <v>481</v>
      </c>
      <c r="F845" s="120">
        <v>4</v>
      </c>
      <c r="G845" s="120" t="s">
        <v>759</v>
      </c>
      <c r="H845" s="121">
        <v>120000</v>
      </c>
      <c r="J845"/>
      <c r="K845"/>
      <c r="L845"/>
      <c r="M845"/>
      <c r="N845"/>
      <c r="O845"/>
      <c r="P845" s="104"/>
      <c r="Q845"/>
      <c r="R845"/>
      <c r="S845"/>
      <c r="T845"/>
    </row>
    <row r="846" spans="1:20" x14ac:dyDescent="0.25">
      <c r="A846" s="115">
        <v>845</v>
      </c>
      <c r="B846" s="116">
        <v>45440</v>
      </c>
      <c r="C846" s="117">
        <v>2024</v>
      </c>
      <c r="D846" s="118" t="s">
        <v>35</v>
      </c>
      <c r="E846" s="119" t="s">
        <v>1069</v>
      </c>
      <c r="F846" s="120">
        <v>1</v>
      </c>
      <c r="G846" s="120" t="s">
        <v>759</v>
      </c>
      <c r="H846" s="121">
        <v>9998</v>
      </c>
      <c r="J846"/>
      <c r="K846"/>
      <c r="L846"/>
      <c r="M846"/>
      <c r="N846"/>
      <c r="O846"/>
      <c r="P846" s="104"/>
      <c r="Q846"/>
      <c r="R846"/>
      <c r="S846"/>
      <c r="T846"/>
    </row>
    <row r="847" spans="1:20" x14ac:dyDescent="0.25">
      <c r="A847" s="115">
        <v>846</v>
      </c>
      <c r="B847" s="145">
        <v>45441</v>
      </c>
      <c r="C847" s="146">
        <v>2024</v>
      </c>
      <c r="D847" s="118" t="s">
        <v>35</v>
      </c>
      <c r="E847" s="118" t="s">
        <v>1070</v>
      </c>
      <c r="F847" s="147">
        <v>1</v>
      </c>
      <c r="G847" s="120" t="s">
        <v>759</v>
      </c>
      <c r="H847" s="148">
        <v>503075</v>
      </c>
      <c r="J847"/>
      <c r="K847"/>
      <c r="L847"/>
      <c r="M847"/>
      <c r="N847"/>
      <c r="O847"/>
      <c r="P847" s="104"/>
      <c r="Q847"/>
      <c r="R847"/>
      <c r="S847"/>
      <c r="T847"/>
    </row>
    <row r="848" spans="1:20" x14ac:dyDescent="0.25">
      <c r="A848" s="115">
        <v>847</v>
      </c>
      <c r="B848" s="116">
        <v>45443</v>
      </c>
      <c r="C848" s="117">
        <v>2024</v>
      </c>
      <c r="D848" s="118" t="s">
        <v>851</v>
      </c>
      <c r="E848" s="119" t="s">
        <v>1071</v>
      </c>
      <c r="F848" s="120">
        <v>4</v>
      </c>
      <c r="G848" s="120" t="s">
        <v>759</v>
      </c>
      <c r="H848" s="121">
        <v>46104</v>
      </c>
      <c r="J848"/>
      <c r="K848"/>
      <c r="L848"/>
      <c r="M848"/>
      <c r="N848"/>
      <c r="O848"/>
      <c r="P848" s="104"/>
      <c r="Q848"/>
      <c r="R848"/>
      <c r="S848"/>
      <c r="T848"/>
    </row>
    <row r="849" spans="1:20" x14ac:dyDescent="0.25">
      <c r="A849" s="115">
        <v>848</v>
      </c>
      <c r="B849" s="155">
        <v>45446</v>
      </c>
      <c r="C849" s="146">
        <v>2024</v>
      </c>
      <c r="D849" s="118" t="s">
        <v>35</v>
      </c>
      <c r="E849" s="118" t="s">
        <v>1072</v>
      </c>
      <c r="F849" s="147">
        <v>1</v>
      </c>
      <c r="G849" s="120" t="s">
        <v>759</v>
      </c>
      <c r="H849" s="148">
        <v>575000</v>
      </c>
      <c r="J849"/>
      <c r="K849"/>
      <c r="L849"/>
      <c r="M849"/>
      <c r="N849"/>
      <c r="O849"/>
      <c r="P849" s="104"/>
      <c r="Q849"/>
      <c r="R849"/>
      <c r="S849"/>
      <c r="T849"/>
    </row>
    <row r="850" spans="1:20" x14ac:dyDescent="0.25">
      <c r="A850" s="115">
        <v>849</v>
      </c>
      <c r="B850" s="155">
        <v>45446</v>
      </c>
      <c r="C850" s="146">
        <v>2024</v>
      </c>
      <c r="D850" s="118" t="s">
        <v>35</v>
      </c>
      <c r="E850" s="118" t="s">
        <v>1072</v>
      </c>
      <c r="F850" s="147">
        <v>1</v>
      </c>
      <c r="G850" s="120" t="s">
        <v>759</v>
      </c>
      <c r="H850" s="148">
        <v>575000</v>
      </c>
      <c r="J850"/>
      <c r="K850"/>
      <c r="L850"/>
      <c r="M850"/>
      <c r="N850"/>
      <c r="O850"/>
      <c r="P850" s="104"/>
      <c r="Q850"/>
      <c r="R850"/>
      <c r="S850"/>
      <c r="T850"/>
    </row>
    <row r="851" spans="1:20" x14ac:dyDescent="0.25">
      <c r="A851" s="115">
        <v>850</v>
      </c>
      <c r="B851" s="145">
        <v>45446</v>
      </c>
      <c r="C851" s="146">
        <v>2024</v>
      </c>
      <c r="D851" s="118" t="s">
        <v>35</v>
      </c>
      <c r="E851" s="118" t="s">
        <v>1073</v>
      </c>
      <c r="F851" s="147">
        <v>1</v>
      </c>
      <c r="G851" s="120" t="s">
        <v>759</v>
      </c>
      <c r="H851" s="148">
        <v>55000</v>
      </c>
      <c r="J851"/>
      <c r="K851"/>
      <c r="L851"/>
      <c r="M851"/>
      <c r="N851"/>
      <c r="O851"/>
      <c r="P851" s="104"/>
      <c r="Q851"/>
      <c r="R851"/>
      <c r="S851"/>
      <c r="T851"/>
    </row>
    <row r="852" spans="1:20" x14ac:dyDescent="0.25">
      <c r="A852" s="115">
        <v>851</v>
      </c>
      <c r="B852" s="145">
        <v>45446</v>
      </c>
      <c r="C852" s="146">
        <v>2024</v>
      </c>
      <c r="D852" s="118" t="s">
        <v>35</v>
      </c>
      <c r="E852" s="118" t="s">
        <v>1074</v>
      </c>
      <c r="F852" s="147">
        <v>1</v>
      </c>
      <c r="G852" s="120" t="s">
        <v>759</v>
      </c>
      <c r="H852" s="148">
        <v>35000</v>
      </c>
      <c r="J852"/>
      <c r="K852"/>
      <c r="L852"/>
      <c r="M852"/>
      <c r="N852"/>
      <c r="O852"/>
      <c r="P852" s="104"/>
      <c r="Q852"/>
      <c r="R852"/>
      <c r="S852"/>
      <c r="T852"/>
    </row>
    <row r="853" spans="1:20" x14ac:dyDescent="0.25">
      <c r="A853" s="115">
        <v>852</v>
      </c>
      <c r="B853" s="145">
        <v>45446</v>
      </c>
      <c r="C853" s="146">
        <v>2024</v>
      </c>
      <c r="D853" s="118" t="s">
        <v>35</v>
      </c>
      <c r="E853" s="118" t="s">
        <v>761</v>
      </c>
      <c r="F853" s="147">
        <v>1</v>
      </c>
      <c r="G853" s="120" t="s">
        <v>759</v>
      </c>
      <c r="H853" s="148">
        <v>1550000</v>
      </c>
      <c r="J853"/>
      <c r="K853"/>
      <c r="L853"/>
      <c r="M853"/>
      <c r="N853"/>
      <c r="O853"/>
      <c r="P853" s="104"/>
      <c r="Q853"/>
      <c r="R853"/>
      <c r="S853"/>
      <c r="T853"/>
    </row>
    <row r="854" spans="1:20" x14ac:dyDescent="0.25">
      <c r="A854" s="115">
        <v>853</v>
      </c>
      <c r="B854" s="145">
        <v>45446</v>
      </c>
      <c r="C854" s="146">
        <v>2024</v>
      </c>
      <c r="D854" s="118" t="s">
        <v>35</v>
      </c>
      <c r="E854" s="118" t="s">
        <v>761</v>
      </c>
      <c r="F854" s="147">
        <v>1</v>
      </c>
      <c r="G854" s="120" t="s">
        <v>759</v>
      </c>
      <c r="H854" s="148">
        <v>1550000</v>
      </c>
      <c r="J854"/>
      <c r="K854"/>
      <c r="L854"/>
      <c r="M854"/>
      <c r="N854"/>
      <c r="O854"/>
      <c r="P854" s="104"/>
      <c r="Q854"/>
      <c r="R854"/>
      <c r="S854"/>
      <c r="T854"/>
    </row>
    <row r="855" spans="1:20" x14ac:dyDescent="0.25">
      <c r="A855" s="115">
        <v>854</v>
      </c>
      <c r="B855" s="145">
        <v>45446</v>
      </c>
      <c r="C855" s="146">
        <v>2024</v>
      </c>
      <c r="D855" s="118" t="s">
        <v>35</v>
      </c>
      <c r="E855" s="118" t="s">
        <v>827</v>
      </c>
      <c r="F855" s="147">
        <v>1</v>
      </c>
      <c r="G855" s="120" t="s">
        <v>759</v>
      </c>
      <c r="H855" s="148">
        <v>140000</v>
      </c>
      <c r="J855"/>
      <c r="K855"/>
      <c r="L855"/>
      <c r="M855"/>
      <c r="N855"/>
      <c r="O855"/>
      <c r="P855" s="104"/>
      <c r="Q855"/>
      <c r="R855"/>
      <c r="S855"/>
      <c r="T855"/>
    </row>
    <row r="856" spans="1:20" x14ac:dyDescent="0.25">
      <c r="A856" s="115">
        <v>855</v>
      </c>
      <c r="B856" s="145">
        <v>45446</v>
      </c>
      <c r="C856" s="146">
        <v>2024</v>
      </c>
      <c r="D856" s="118" t="s">
        <v>35</v>
      </c>
      <c r="E856" s="118" t="s">
        <v>823</v>
      </c>
      <c r="F856" s="147">
        <v>1</v>
      </c>
      <c r="G856" s="120" t="s">
        <v>759</v>
      </c>
      <c r="H856" s="148">
        <v>65000</v>
      </c>
      <c r="J856"/>
      <c r="K856"/>
      <c r="L856"/>
      <c r="M856"/>
      <c r="N856"/>
      <c r="O856"/>
      <c r="P856" s="104"/>
      <c r="Q856"/>
      <c r="R856"/>
      <c r="S856"/>
      <c r="T856"/>
    </row>
    <row r="857" spans="1:20" x14ac:dyDescent="0.25">
      <c r="A857" s="115">
        <v>856</v>
      </c>
      <c r="B857" s="145">
        <v>45446</v>
      </c>
      <c r="C857" s="146">
        <v>2024</v>
      </c>
      <c r="D857" s="118" t="s">
        <v>35</v>
      </c>
      <c r="E857" s="118" t="s">
        <v>761</v>
      </c>
      <c r="F857" s="147">
        <v>1</v>
      </c>
      <c r="G857" s="120" t="s">
        <v>759</v>
      </c>
      <c r="H857" s="148">
        <v>1250000</v>
      </c>
      <c r="J857"/>
      <c r="K857"/>
      <c r="L857"/>
      <c r="M857"/>
      <c r="N857"/>
      <c r="O857"/>
      <c r="P857" s="104"/>
      <c r="Q857"/>
      <c r="R857"/>
      <c r="S857"/>
      <c r="T857"/>
    </row>
    <row r="858" spans="1:20" x14ac:dyDescent="0.25">
      <c r="A858" s="115">
        <v>857</v>
      </c>
      <c r="B858" s="145">
        <v>45446</v>
      </c>
      <c r="C858" s="146">
        <v>2024</v>
      </c>
      <c r="D858" s="118" t="s">
        <v>35</v>
      </c>
      <c r="E858" s="118" t="s">
        <v>761</v>
      </c>
      <c r="F858" s="147">
        <v>1</v>
      </c>
      <c r="G858" s="120" t="s">
        <v>759</v>
      </c>
      <c r="H858" s="148">
        <v>1250000</v>
      </c>
      <c r="J858"/>
      <c r="K858"/>
      <c r="L858"/>
      <c r="M858"/>
      <c r="N858"/>
      <c r="O858"/>
      <c r="P858" s="104"/>
      <c r="Q858"/>
      <c r="R858"/>
      <c r="S858"/>
      <c r="T858"/>
    </row>
    <row r="859" spans="1:20" x14ac:dyDescent="0.25">
      <c r="A859" s="115">
        <v>858</v>
      </c>
      <c r="B859" s="145">
        <v>45446</v>
      </c>
      <c r="C859" s="146">
        <v>2024</v>
      </c>
      <c r="D859" s="118" t="s">
        <v>35</v>
      </c>
      <c r="E859" s="118" t="s">
        <v>1075</v>
      </c>
      <c r="F859" s="147">
        <v>1</v>
      </c>
      <c r="G859" s="120" t="s">
        <v>759</v>
      </c>
      <c r="H859" s="148">
        <v>65000</v>
      </c>
      <c r="J859"/>
      <c r="K859"/>
      <c r="L859"/>
      <c r="M859"/>
      <c r="N859"/>
      <c r="O859"/>
      <c r="P859" s="104"/>
      <c r="Q859"/>
      <c r="R859"/>
      <c r="S859"/>
      <c r="T859"/>
    </row>
    <row r="860" spans="1:20" x14ac:dyDescent="0.25">
      <c r="A860" s="115">
        <v>859</v>
      </c>
      <c r="B860" s="145">
        <v>45446</v>
      </c>
      <c r="C860" s="146">
        <v>2024</v>
      </c>
      <c r="D860" s="118" t="s">
        <v>35</v>
      </c>
      <c r="E860" s="118" t="s">
        <v>827</v>
      </c>
      <c r="F860" s="147">
        <v>1</v>
      </c>
      <c r="G860" s="120" t="s">
        <v>759</v>
      </c>
      <c r="H860" s="148">
        <v>140000</v>
      </c>
      <c r="J860"/>
      <c r="K860"/>
      <c r="L860"/>
      <c r="M860"/>
      <c r="N860"/>
      <c r="O860"/>
      <c r="P860" s="104"/>
      <c r="Q860"/>
      <c r="R860"/>
      <c r="S860"/>
      <c r="T860"/>
    </row>
    <row r="861" spans="1:20" x14ac:dyDescent="0.25">
      <c r="A861" s="115">
        <v>860</v>
      </c>
      <c r="B861" s="145">
        <v>45446</v>
      </c>
      <c r="C861" s="146">
        <v>2024</v>
      </c>
      <c r="D861" s="118" t="s">
        <v>35</v>
      </c>
      <c r="E861" s="118" t="s">
        <v>761</v>
      </c>
      <c r="F861" s="147">
        <v>1</v>
      </c>
      <c r="G861" s="120" t="s">
        <v>759</v>
      </c>
      <c r="H861" s="148">
        <v>1550000</v>
      </c>
      <c r="J861"/>
      <c r="K861"/>
      <c r="L861"/>
      <c r="M861"/>
      <c r="N861"/>
      <c r="O861"/>
      <c r="P861" s="104"/>
      <c r="Q861"/>
      <c r="R861"/>
      <c r="S861"/>
      <c r="T861"/>
    </row>
    <row r="862" spans="1:20" x14ac:dyDescent="0.25">
      <c r="A862" s="115">
        <v>861</v>
      </c>
      <c r="B862" s="145">
        <v>45446</v>
      </c>
      <c r="C862" s="146">
        <v>2024</v>
      </c>
      <c r="D862" s="118" t="s">
        <v>35</v>
      </c>
      <c r="E862" s="118" t="s">
        <v>761</v>
      </c>
      <c r="F862" s="147">
        <v>1</v>
      </c>
      <c r="G862" s="120" t="s">
        <v>759</v>
      </c>
      <c r="H862" s="148">
        <v>1550000</v>
      </c>
      <c r="J862"/>
      <c r="K862"/>
      <c r="L862"/>
      <c r="M862"/>
      <c r="N862"/>
      <c r="O862"/>
      <c r="P862" s="104"/>
      <c r="Q862"/>
      <c r="R862"/>
      <c r="S862"/>
      <c r="T862"/>
    </row>
    <row r="863" spans="1:20" x14ac:dyDescent="0.25">
      <c r="A863" s="115">
        <v>862</v>
      </c>
      <c r="B863" s="145">
        <v>45446</v>
      </c>
      <c r="C863" s="146">
        <v>2024</v>
      </c>
      <c r="D863" s="118" t="s">
        <v>35</v>
      </c>
      <c r="E863" s="118" t="s">
        <v>823</v>
      </c>
      <c r="F863" s="147">
        <v>1</v>
      </c>
      <c r="G863" s="120" t="s">
        <v>759</v>
      </c>
      <c r="H863" s="148">
        <v>35000</v>
      </c>
      <c r="J863"/>
      <c r="K863"/>
      <c r="L863"/>
      <c r="M863"/>
      <c r="N863"/>
      <c r="O863"/>
      <c r="P863" s="104"/>
      <c r="Q863"/>
      <c r="R863"/>
      <c r="S863"/>
      <c r="T863"/>
    </row>
    <row r="864" spans="1:20" x14ac:dyDescent="0.25">
      <c r="A864" s="115">
        <v>863</v>
      </c>
      <c r="B864" s="145">
        <v>45446</v>
      </c>
      <c r="C864" s="146">
        <v>2024</v>
      </c>
      <c r="D864" s="118" t="s">
        <v>35</v>
      </c>
      <c r="E864" s="118" t="s">
        <v>761</v>
      </c>
      <c r="F864" s="147">
        <v>1</v>
      </c>
      <c r="G864" s="120" t="s">
        <v>759</v>
      </c>
      <c r="H864" s="148">
        <v>1550000</v>
      </c>
      <c r="J864"/>
      <c r="K864"/>
      <c r="L864"/>
      <c r="M864"/>
      <c r="N864"/>
      <c r="O864"/>
      <c r="P864" s="104"/>
      <c r="Q864"/>
      <c r="R864"/>
      <c r="S864"/>
      <c r="T864"/>
    </row>
    <row r="865" spans="1:20" x14ac:dyDescent="0.25">
      <c r="A865" s="115">
        <v>864</v>
      </c>
      <c r="B865" s="145">
        <v>45446</v>
      </c>
      <c r="C865" s="146">
        <v>2024</v>
      </c>
      <c r="D865" s="118" t="s">
        <v>35</v>
      </c>
      <c r="E865" s="118" t="s">
        <v>761</v>
      </c>
      <c r="F865" s="147">
        <v>1</v>
      </c>
      <c r="G865" s="120" t="s">
        <v>759</v>
      </c>
      <c r="H865" s="148">
        <v>1550000</v>
      </c>
      <c r="J865"/>
      <c r="K865"/>
      <c r="L865"/>
      <c r="M865"/>
      <c r="N865"/>
      <c r="O865"/>
      <c r="P865" s="104"/>
      <c r="Q865"/>
      <c r="R865"/>
      <c r="S865"/>
      <c r="T865"/>
    </row>
    <row r="866" spans="1:20" x14ac:dyDescent="0.25">
      <c r="A866" s="115">
        <v>865</v>
      </c>
      <c r="B866" s="145">
        <v>45446</v>
      </c>
      <c r="C866" s="146">
        <v>2024</v>
      </c>
      <c r="D866" s="118" t="s">
        <v>35</v>
      </c>
      <c r="E866" s="118" t="s">
        <v>827</v>
      </c>
      <c r="F866" s="147">
        <v>1</v>
      </c>
      <c r="G866" s="120" t="s">
        <v>759</v>
      </c>
      <c r="H866" s="148">
        <v>205000</v>
      </c>
      <c r="J866"/>
      <c r="K866"/>
      <c r="L866"/>
      <c r="M866"/>
      <c r="N866"/>
      <c r="O866"/>
      <c r="P866" s="104"/>
      <c r="Q866"/>
      <c r="R866"/>
      <c r="S866"/>
      <c r="T866"/>
    </row>
    <row r="867" spans="1:20" x14ac:dyDescent="0.25">
      <c r="A867" s="115">
        <v>866</v>
      </c>
      <c r="B867" s="145">
        <v>45446</v>
      </c>
      <c r="C867" s="146">
        <v>2024</v>
      </c>
      <c r="D867" s="118" t="s">
        <v>35</v>
      </c>
      <c r="E867" s="118" t="s">
        <v>1076</v>
      </c>
      <c r="F867" s="147">
        <v>1</v>
      </c>
      <c r="G867" s="120" t="s">
        <v>759</v>
      </c>
      <c r="H867" s="148">
        <v>1550000</v>
      </c>
      <c r="J867"/>
      <c r="K867"/>
      <c r="L867"/>
      <c r="M867"/>
      <c r="N867"/>
      <c r="O867"/>
      <c r="P867" s="104"/>
      <c r="Q867"/>
      <c r="R867"/>
      <c r="S867"/>
      <c r="T867"/>
    </row>
    <row r="868" spans="1:20" x14ac:dyDescent="0.25">
      <c r="A868" s="115">
        <v>867</v>
      </c>
      <c r="B868" s="145">
        <v>45446</v>
      </c>
      <c r="C868" s="146">
        <v>2024</v>
      </c>
      <c r="D868" s="118" t="s">
        <v>35</v>
      </c>
      <c r="E868" s="118" t="s">
        <v>1076</v>
      </c>
      <c r="F868" s="147">
        <v>1</v>
      </c>
      <c r="G868" s="120" t="s">
        <v>759</v>
      </c>
      <c r="H868" s="148">
        <v>1550000</v>
      </c>
      <c r="J868"/>
      <c r="K868"/>
      <c r="L868"/>
      <c r="M868"/>
      <c r="N868"/>
      <c r="O868"/>
      <c r="P868" s="104"/>
      <c r="Q868"/>
      <c r="R868"/>
      <c r="S868"/>
      <c r="T868"/>
    </row>
    <row r="869" spans="1:20" x14ac:dyDescent="0.25">
      <c r="A869" s="115">
        <v>868</v>
      </c>
      <c r="B869" s="145">
        <v>45446</v>
      </c>
      <c r="C869" s="146">
        <v>2024</v>
      </c>
      <c r="D869" s="118" t="s">
        <v>35</v>
      </c>
      <c r="E869" s="118" t="s">
        <v>1076</v>
      </c>
      <c r="F869" s="147">
        <v>1</v>
      </c>
      <c r="G869" s="120" t="s">
        <v>759</v>
      </c>
      <c r="H869" s="148">
        <v>205000</v>
      </c>
      <c r="J869"/>
      <c r="K869"/>
      <c r="L869"/>
      <c r="M869"/>
      <c r="N869"/>
      <c r="O869"/>
      <c r="P869" s="104"/>
      <c r="Q869"/>
      <c r="R869"/>
      <c r="S869"/>
      <c r="T869"/>
    </row>
    <row r="870" spans="1:20" x14ac:dyDescent="0.25">
      <c r="A870" s="115">
        <v>869</v>
      </c>
      <c r="B870" s="145">
        <v>45446</v>
      </c>
      <c r="C870" s="146">
        <v>2024</v>
      </c>
      <c r="D870" s="118" t="s">
        <v>35</v>
      </c>
      <c r="E870" s="118" t="s">
        <v>823</v>
      </c>
      <c r="F870" s="147">
        <v>1</v>
      </c>
      <c r="G870" s="120" t="s">
        <v>759</v>
      </c>
      <c r="H870" s="148">
        <v>65000</v>
      </c>
      <c r="J870"/>
      <c r="K870"/>
      <c r="L870"/>
      <c r="M870"/>
      <c r="N870"/>
      <c r="O870"/>
      <c r="P870" s="104"/>
      <c r="Q870"/>
      <c r="R870"/>
      <c r="S870"/>
      <c r="T870"/>
    </row>
    <row r="871" spans="1:20" x14ac:dyDescent="0.25">
      <c r="A871" s="115">
        <v>870</v>
      </c>
      <c r="B871" s="145">
        <v>45446</v>
      </c>
      <c r="C871" s="146">
        <v>2024</v>
      </c>
      <c r="D871" s="118" t="s">
        <v>35</v>
      </c>
      <c r="E871" s="118" t="s">
        <v>827</v>
      </c>
      <c r="F871" s="147">
        <v>1</v>
      </c>
      <c r="G871" s="120" t="s">
        <v>759</v>
      </c>
      <c r="H871" s="148">
        <v>140000</v>
      </c>
      <c r="J871"/>
      <c r="K871"/>
      <c r="L871"/>
      <c r="M871"/>
      <c r="N871"/>
      <c r="O871"/>
      <c r="P871" s="104"/>
      <c r="Q871"/>
      <c r="R871"/>
      <c r="S871"/>
      <c r="T871"/>
    </row>
    <row r="872" spans="1:20" x14ac:dyDescent="0.25">
      <c r="A872" s="115">
        <v>871</v>
      </c>
      <c r="B872" s="145">
        <v>45446</v>
      </c>
      <c r="C872" s="146">
        <v>2024</v>
      </c>
      <c r="D872" s="118" t="s">
        <v>35</v>
      </c>
      <c r="E872" s="118" t="s">
        <v>823</v>
      </c>
      <c r="F872" s="147">
        <v>1</v>
      </c>
      <c r="G872" s="120" t="s">
        <v>759</v>
      </c>
      <c r="H872" s="148">
        <v>65000</v>
      </c>
      <c r="J872"/>
      <c r="K872"/>
      <c r="L872"/>
      <c r="M872"/>
      <c r="N872"/>
      <c r="O872"/>
      <c r="P872" s="104"/>
      <c r="Q872"/>
      <c r="R872"/>
      <c r="S872"/>
      <c r="T872"/>
    </row>
    <row r="873" spans="1:20" x14ac:dyDescent="0.25">
      <c r="A873" s="115">
        <v>872</v>
      </c>
      <c r="B873" s="145">
        <v>45446</v>
      </c>
      <c r="C873" s="146">
        <v>2024</v>
      </c>
      <c r="D873" s="118" t="s">
        <v>35</v>
      </c>
      <c r="E873" s="118" t="s">
        <v>885</v>
      </c>
      <c r="F873" s="147">
        <v>1</v>
      </c>
      <c r="G873" s="120" t="s">
        <v>759</v>
      </c>
      <c r="H873" s="148">
        <v>1805000</v>
      </c>
      <c r="J873"/>
      <c r="K873"/>
      <c r="L873"/>
      <c r="M873"/>
      <c r="N873"/>
      <c r="O873"/>
      <c r="P873" s="104"/>
      <c r="Q873"/>
      <c r="R873"/>
      <c r="S873"/>
      <c r="T873"/>
    </row>
    <row r="874" spans="1:20" x14ac:dyDescent="0.25">
      <c r="A874" s="115">
        <v>873</v>
      </c>
      <c r="B874" s="145">
        <v>45446</v>
      </c>
      <c r="C874" s="146">
        <v>2024</v>
      </c>
      <c r="D874" s="118" t="s">
        <v>35</v>
      </c>
      <c r="E874" s="118" t="s">
        <v>885</v>
      </c>
      <c r="F874" s="147">
        <v>1</v>
      </c>
      <c r="G874" s="120" t="s">
        <v>759</v>
      </c>
      <c r="H874" s="148">
        <v>1208000</v>
      </c>
      <c r="J874"/>
      <c r="K874"/>
      <c r="L874"/>
      <c r="M874"/>
      <c r="N874"/>
      <c r="O874"/>
      <c r="P874" s="104"/>
      <c r="Q874"/>
      <c r="R874"/>
      <c r="S874"/>
      <c r="T874"/>
    </row>
    <row r="875" spans="1:20" x14ac:dyDescent="0.25">
      <c r="A875" s="115">
        <v>874</v>
      </c>
      <c r="B875" s="145">
        <v>45446</v>
      </c>
      <c r="C875" s="146">
        <v>2024</v>
      </c>
      <c r="D875" s="118" t="s">
        <v>35</v>
      </c>
      <c r="E875" s="118" t="s">
        <v>761</v>
      </c>
      <c r="F875" s="147">
        <v>1</v>
      </c>
      <c r="G875" s="120" t="s">
        <v>759</v>
      </c>
      <c r="H875" s="148">
        <v>1550000</v>
      </c>
      <c r="J875"/>
      <c r="K875"/>
      <c r="L875"/>
      <c r="M875"/>
      <c r="N875"/>
      <c r="O875"/>
    </row>
    <row r="876" spans="1:20" x14ac:dyDescent="0.25">
      <c r="A876" s="115">
        <v>875</v>
      </c>
      <c r="B876" s="145">
        <v>45446</v>
      </c>
      <c r="C876" s="146">
        <v>2024</v>
      </c>
      <c r="D876" s="118" t="s">
        <v>35</v>
      </c>
      <c r="E876" s="118" t="s">
        <v>761</v>
      </c>
      <c r="F876" s="147">
        <v>1</v>
      </c>
      <c r="G876" s="120" t="s">
        <v>759</v>
      </c>
      <c r="H876" s="148">
        <v>1550000</v>
      </c>
      <c r="J876"/>
      <c r="K876"/>
      <c r="L876"/>
      <c r="M876"/>
      <c r="N876"/>
      <c r="O876"/>
    </row>
    <row r="877" spans="1:20" x14ac:dyDescent="0.25">
      <c r="A877" s="115">
        <v>876</v>
      </c>
      <c r="B877" s="145">
        <v>45446</v>
      </c>
      <c r="C877" s="146">
        <v>2024</v>
      </c>
      <c r="D877" s="118" t="s">
        <v>35</v>
      </c>
      <c r="E877" s="118" t="s">
        <v>1075</v>
      </c>
      <c r="F877" s="147">
        <v>1</v>
      </c>
      <c r="G877" s="120" t="s">
        <v>759</v>
      </c>
      <c r="H877" s="148">
        <v>65000</v>
      </c>
      <c r="J877"/>
      <c r="K877"/>
      <c r="L877"/>
      <c r="M877"/>
      <c r="N877"/>
      <c r="O877"/>
    </row>
    <row r="878" spans="1:20" x14ac:dyDescent="0.25">
      <c r="A878" s="115">
        <v>877</v>
      </c>
      <c r="B878" s="145">
        <v>45446</v>
      </c>
      <c r="C878" s="146">
        <v>2024</v>
      </c>
      <c r="D878" s="118" t="s">
        <v>35</v>
      </c>
      <c r="E878" s="118" t="s">
        <v>761</v>
      </c>
      <c r="F878" s="147">
        <v>1</v>
      </c>
      <c r="G878" s="120" t="s">
        <v>759</v>
      </c>
      <c r="H878" s="148">
        <v>1550000</v>
      </c>
      <c r="J878"/>
      <c r="K878"/>
      <c r="L878"/>
      <c r="M878"/>
      <c r="N878"/>
      <c r="O878"/>
    </row>
    <row r="879" spans="1:20" x14ac:dyDescent="0.25">
      <c r="A879" s="115">
        <v>878</v>
      </c>
      <c r="B879" s="145">
        <v>45446</v>
      </c>
      <c r="C879" s="146">
        <v>2024</v>
      </c>
      <c r="D879" s="118" t="s">
        <v>35</v>
      </c>
      <c r="E879" s="118" t="s">
        <v>761</v>
      </c>
      <c r="F879" s="147">
        <v>1</v>
      </c>
      <c r="G879" s="120" t="s">
        <v>759</v>
      </c>
      <c r="H879" s="148">
        <v>1550000</v>
      </c>
      <c r="J879"/>
      <c r="K879"/>
      <c r="L879"/>
      <c r="M879"/>
      <c r="N879"/>
      <c r="O879"/>
    </row>
    <row r="880" spans="1:20" x14ac:dyDescent="0.25">
      <c r="A880" s="115">
        <v>879</v>
      </c>
      <c r="B880" s="145">
        <v>45447</v>
      </c>
      <c r="C880" s="146">
        <v>2024</v>
      </c>
      <c r="D880" s="118" t="s">
        <v>35</v>
      </c>
      <c r="E880" s="118" t="s">
        <v>1077</v>
      </c>
      <c r="F880" s="147">
        <v>1</v>
      </c>
      <c r="G880" s="120" t="s">
        <v>759</v>
      </c>
      <c r="H880" s="148">
        <v>150000</v>
      </c>
      <c r="J880"/>
      <c r="K880"/>
      <c r="L880"/>
      <c r="M880"/>
      <c r="N880"/>
      <c r="O880"/>
    </row>
    <row r="881" spans="1:15" x14ac:dyDescent="0.25">
      <c r="A881" s="115">
        <v>880</v>
      </c>
      <c r="B881" s="116">
        <v>45448</v>
      </c>
      <c r="C881" s="117">
        <v>2024</v>
      </c>
      <c r="D881" s="118" t="s">
        <v>35</v>
      </c>
      <c r="E881" s="119" t="s">
        <v>211</v>
      </c>
      <c r="F881" s="120">
        <v>5</v>
      </c>
      <c r="G881" s="120" t="s">
        <v>759</v>
      </c>
      <c r="H881" s="121">
        <v>97500</v>
      </c>
      <c r="J881"/>
      <c r="K881"/>
      <c r="L881"/>
      <c r="M881"/>
      <c r="N881"/>
      <c r="O881"/>
    </row>
    <row r="882" spans="1:15" x14ac:dyDescent="0.25">
      <c r="A882" s="115">
        <v>881</v>
      </c>
      <c r="B882" s="116">
        <v>45448</v>
      </c>
      <c r="C882" s="117">
        <v>2024</v>
      </c>
      <c r="D882" s="118" t="s">
        <v>35</v>
      </c>
      <c r="E882" s="119" t="s">
        <v>673</v>
      </c>
      <c r="F882" s="120">
        <v>1</v>
      </c>
      <c r="G882" s="120" t="s">
        <v>759</v>
      </c>
      <c r="H882" s="121">
        <v>116000</v>
      </c>
      <c r="J882"/>
      <c r="K882"/>
      <c r="L882"/>
      <c r="M882"/>
      <c r="N882"/>
      <c r="O882"/>
    </row>
    <row r="883" spans="1:15" x14ac:dyDescent="0.25">
      <c r="A883" s="115">
        <v>882</v>
      </c>
      <c r="B883" s="116">
        <v>45448</v>
      </c>
      <c r="C883" s="117">
        <v>2024</v>
      </c>
      <c r="D883" s="118" t="s">
        <v>35</v>
      </c>
      <c r="E883" s="119" t="s">
        <v>1078</v>
      </c>
      <c r="F883" s="120">
        <v>2</v>
      </c>
      <c r="G883" s="120" t="s">
        <v>759</v>
      </c>
      <c r="H883" s="121">
        <v>73500</v>
      </c>
      <c r="J883"/>
      <c r="K883"/>
      <c r="L883"/>
      <c r="M883"/>
      <c r="N883"/>
      <c r="O883"/>
    </row>
    <row r="884" spans="1:15" x14ac:dyDescent="0.25">
      <c r="A884" s="115">
        <v>883</v>
      </c>
      <c r="B884" s="116">
        <v>45448</v>
      </c>
      <c r="C884" s="117">
        <v>2024</v>
      </c>
      <c r="D884" s="118" t="s">
        <v>35</v>
      </c>
      <c r="E884" s="119" t="s">
        <v>1079</v>
      </c>
      <c r="F884" s="120">
        <v>1</v>
      </c>
      <c r="G884" s="120" t="s">
        <v>759</v>
      </c>
      <c r="H884" s="121">
        <v>32670</v>
      </c>
      <c r="J884"/>
      <c r="K884"/>
      <c r="L884"/>
      <c r="M884"/>
      <c r="N884"/>
      <c r="O884"/>
    </row>
    <row r="885" spans="1:15" x14ac:dyDescent="0.25">
      <c r="A885" s="115">
        <v>884</v>
      </c>
      <c r="B885" s="145">
        <v>45449</v>
      </c>
      <c r="C885" s="146">
        <v>2024</v>
      </c>
      <c r="D885" s="118" t="s">
        <v>35</v>
      </c>
      <c r="E885" s="118" t="s">
        <v>1080</v>
      </c>
      <c r="F885" s="147">
        <v>1</v>
      </c>
      <c r="G885" s="120" t="s">
        <v>759</v>
      </c>
      <c r="H885" s="148">
        <v>150000</v>
      </c>
      <c r="J885"/>
      <c r="K885"/>
      <c r="L885"/>
      <c r="M885"/>
      <c r="N885"/>
      <c r="O885"/>
    </row>
    <row r="886" spans="1:15" x14ac:dyDescent="0.25">
      <c r="A886" s="115">
        <v>885</v>
      </c>
      <c r="B886" s="145">
        <v>45449</v>
      </c>
      <c r="C886" s="146">
        <v>2024</v>
      </c>
      <c r="D886" s="118" t="s">
        <v>35</v>
      </c>
      <c r="E886" s="118" t="s">
        <v>1080</v>
      </c>
      <c r="F886" s="147">
        <v>1</v>
      </c>
      <c r="G886" s="120" t="s">
        <v>759</v>
      </c>
      <c r="H886" s="148">
        <v>150000</v>
      </c>
      <c r="J886"/>
      <c r="K886"/>
      <c r="L886"/>
      <c r="M886"/>
      <c r="N886"/>
      <c r="O886"/>
    </row>
    <row r="887" spans="1:15" x14ac:dyDescent="0.25">
      <c r="A887" s="115">
        <v>886</v>
      </c>
      <c r="B887" s="145">
        <v>45449</v>
      </c>
      <c r="C887" s="146">
        <v>2024</v>
      </c>
      <c r="D887" s="118" t="s">
        <v>35</v>
      </c>
      <c r="E887" s="118" t="s">
        <v>811</v>
      </c>
      <c r="F887" s="147">
        <v>1</v>
      </c>
      <c r="G887" s="120" t="s">
        <v>759</v>
      </c>
      <c r="H887" s="148">
        <v>35000</v>
      </c>
      <c r="J887"/>
      <c r="K887"/>
      <c r="L887"/>
      <c r="M887"/>
      <c r="N887"/>
      <c r="O887"/>
    </row>
    <row r="888" spans="1:15" x14ac:dyDescent="0.25">
      <c r="A888" s="115">
        <v>887</v>
      </c>
      <c r="B888" s="145">
        <v>45449</v>
      </c>
      <c r="C888" s="146">
        <v>2024</v>
      </c>
      <c r="D888" s="118" t="s">
        <v>35</v>
      </c>
      <c r="E888" s="118" t="s">
        <v>808</v>
      </c>
      <c r="F888" s="147">
        <v>1</v>
      </c>
      <c r="G888" s="120" t="s">
        <v>759</v>
      </c>
      <c r="H888" s="148">
        <v>125000</v>
      </c>
      <c r="J888"/>
      <c r="K888"/>
      <c r="L888"/>
      <c r="M888"/>
      <c r="N888"/>
      <c r="O888"/>
    </row>
    <row r="889" spans="1:15" x14ac:dyDescent="0.25">
      <c r="A889" s="115">
        <v>888</v>
      </c>
      <c r="B889" s="145">
        <v>45449</v>
      </c>
      <c r="C889" s="146">
        <v>2024</v>
      </c>
      <c r="D889" s="118" t="s">
        <v>35</v>
      </c>
      <c r="E889" s="118" t="s">
        <v>811</v>
      </c>
      <c r="F889" s="147">
        <v>1</v>
      </c>
      <c r="G889" s="120" t="s">
        <v>759</v>
      </c>
      <c r="H889" s="148">
        <v>40000</v>
      </c>
      <c r="J889"/>
      <c r="K889"/>
      <c r="L889"/>
      <c r="M889"/>
      <c r="N889"/>
      <c r="O889"/>
    </row>
    <row r="890" spans="1:15" x14ac:dyDescent="0.25">
      <c r="A890" s="115">
        <v>889</v>
      </c>
      <c r="B890" s="145">
        <v>45449</v>
      </c>
      <c r="C890" s="146">
        <v>2024</v>
      </c>
      <c r="D890" s="118" t="s">
        <v>35</v>
      </c>
      <c r="E890" s="118" t="s">
        <v>799</v>
      </c>
      <c r="F890" s="147">
        <v>1</v>
      </c>
      <c r="G890" s="120" t="s">
        <v>759</v>
      </c>
      <c r="H890" s="148">
        <v>175000</v>
      </c>
      <c r="J890"/>
      <c r="K890"/>
      <c r="L890"/>
      <c r="M890"/>
      <c r="N890"/>
      <c r="O890"/>
    </row>
    <row r="891" spans="1:15" x14ac:dyDescent="0.25">
      <c r="A891" s="115">
        <v>890</v>
      </c>
      <c r="B891" s="145">
        <v>45449</v>
      </c>
      <c r="C891" s="146">
        <v>2024</v>
      </c>
      <c r="D891" s="118" t="s">
        <v>35</v>
      </c>
      <c r="E891" s="118" t="s">
        <v>794</v>
      </c>
      <c r="F891" s="147">
        <v>1</v>
      </c>
      <c r="G891" s="120" t="s">
        <v>759</v>
      </c>
      <c r="H891" s="148">
        <v>166500</v>
      </c>
      <c r="J891"/>
      <c r="K891"/>
      <c r="L891"/>
      <c r="M891"/>
      <c r="N891"/>
      <c r="O891"/>
    </row>
    <row r="892" spans="1:15" x14ac:dyDescent="0.25">
      <c r="A892" s="115">
        <v>891</v>
      </c>
      <c r="B892" s="145">
        <v>45449</v>
      </c>
      <c r="C892" s="146">
        <v>2024</v>
      </c>
      <c r="D892" s="118" t="s">
        <v>35</v>
      </c>
      <c r="E892" s="118" t="s">
        <v>794</v>
      </c>
      <c r="F892" s="147">
        <v>1</v>
      </c>
      <c r="G892" s="120" t="s">
        <v>759</v>
      </c>
      <c r="H892" s="148">
        <v>166500</v>
      </c>
      <c r="J892"/>
      <c r="K892"/>
      <c r="L892"/>
      <c r="M892"/>
      <c r="N892"/>
      <c r="O892"/>
    </row>
    <row r="893" spans="1:15" x14ac:dyDescent="0.25">
      <c r="A893" s="115">
        <v>892</v>
      </c>
      <c r="B893" s="145">
        <v>45449</v>
      </c>
      <c r="C893" s="146">
        <v>2024</v>
      </c>
      <c r="D893" s="118" t="s">
        <v>35</v>
      </c>
      <c r="E893" s="118" t="s">
        <v>794</v>
      </c>
      <c r="F893" s="147">
        <v>1</v>
      </c>
      <c r="G893" s="120" t="s">
        <v>759</v>
      </c>
      <c r="H893" s="148">
        <v>166500</v>
      </c>
      <c r="J893"/>
      <c r="K893"/>
      <c r="L893"/>
      <c r="M893"/>
      <c r="N893"/>
      <c r="O893"/>
    </row>
    <row r="894" spans="1:15" x14ac:dyDescent="0.25">
      <c r="A894" s="115">
        <v>893</v>
      </c>
      <c r="B894" s="145">
        <v>45449</v>
      </c>
      <c r="C894" s="146">
        <v>2024</v>
      </c>
      <c r="D894" s="118" t="s">
        <v>35</v>
      </c>
      <c r="E894" s="118" t="s">
        <v>1081</v>
      </c>
      <c r="F894" s="147">
        <v>1</v>
      </c>
      <c r="G894" s="120" t="s">
        <v>759</v>
      </c>
      <c r="H894" s="148">
        <v>350000</v>
      </c>
      <c r="J894"/>
      <c r="K894"/>
      <c r="L894"/>
      <c r="M894"/>
      <c r="N894"/>
      <c r="O894"/>
    </row>
    <row r="895" spans="1:15" x14ac:dyDescent="0.25">
      <c r="A895" s="115">
        <v>894</v>
      </c>
      <c r="B895" s="145">
        <v>45449</v>
      </c>
      <c r="C895" s="146">
        <v>2024</v>
      </c>
      <c r="D895" s="118" t="s">
        <v>35</v>
      </c>
      <c r="E895" s="118" t="s">
        <v>1082</v>
      </c>
      <c r="F895" s="147">
        <v>1</v>
      </c>
      <c r="G895" s="120" t="s">
        <v>759</v>
      </c>
      <c r="H895" s="148">
        <v>75000</v>
      </c>
      <c r="J895"/>
      <c r="K895"/>
      <c r="L895"/>
      <c r="M895"/>
      <c r="N895"/>
      <c r="O895"/>
    </row>
    <row r="896" spans="1:15" x14ac:dyDescent="0.25">
      <c r="A896" s="115">
        <v>895</v>
      </c>
      <c r="B896" s="145">
        <v>45449</v>
      </c>
      <c r="C896" s="146">
        <v>2024</v>
      </c>
      <c r="D896" s="118" t="s">
        <v>35</v>
      </c>
      <c r="E896" s="118" t="s">
        <v>808</v>
      </c>
      <c r="F896" s="147">
        <v>1</v>
      </c>
      <c r="G896" s="120" t="s">
        <v>759</v>
      </c>
      <c r="H896" s="148">
        <v>135000</v>
      </c>
      <c r="J896"/>
      <c r="K896"/>
      <c r="L896"/>
      <c r="M896"/>
      <c r="N896"/>
      <c r="O896"/>
    </row>
    <row r="897" spans="1:15" x14ac:dyDescent="0.25">
      <c r="A897" s="115">
        <v>896</v>
      </c>
      <c r="B897" s="145">
        <v>45449</v>
      </c>
      <c r="C897" s="146">
        <v>2024</v>
      </c>
      <c r="D897" s="118" t="s">
        <v>35</v>
      </c>
      <c r="E897" s="118" t="s">
        <v>794</v>
      </c>
      <c r="F897" s="147">
        <v>1</v>
      </c>
      <c r="G897" s="120" t="s">
        <v>759</v>
      </c>
      <c r="H897" s="148">
        <v>166500</v>
      </c>
      <c r="J897"/>
      <c r="K897"/>
      <c r="L897"/>
      <c r="M897"/>
      <c r="N897"/>
      <c r="O897"/>
    </row>
    <row r="898" spans="1:15" x14ac:dyDescent="0.25">
      <c r="A898" s="115">
        <v>897</v>
      </c>
      <c r="B898" s="145">
        <v>45449</v>
      </c>
      <c r="C898" s="146">
        <v>2024</v>
      </c>
      <c r="D898" s="118" t="s">
        <v>35</v>
      </c>
      <c r="E898" s="118" t="s">
        <v>1083</v>
      </c>
      <c r="F898" s="147">
        <v>1</v>
      </c>
      <c r="G898" s="120" t="s">
        <v>759</v>
      </c>
      <c r="H898" s="148">
        <v>100000</v>
      </c>
      <c r="J898"/>
      <c r="K898"/>
      <c r="L898"/>
      <c r="M898"/>
      <c r="N898"/>
      <c r="O898"/>
    </row>
    <row r="899" spans="1:15" x14ac:dyDescent="0.25">
      <c r="A899" s="115">
        <v>898</v>
      </c>
      <c r="B899" s="145">
        <v>45449</v>
      </c>
      <c r="C899" s="146">
        <v>2024</v>
      </c>
      <c r="D899" s="118" t="s">
        <v>35</v>
      </c>
      <c r="E899" s="118" t="s">
        <v>794</v>
      </c>
      <c r="F899" s="147">
        <v>1</v>
      </c>
      <c r="G899" s="120" t="s">
        <v>759</v>
      </c>
      <c r="H899" s="148">
        <v>166500</v>
      </c>
      <c r="J899"/>
      <c r="K899"/>
      <c r="L899"/>
      <c r="M899"/>
      <c r="N899"/>
      <c r="O899"/>
    </row>
    <row r="900" spans="1:15" x14ac:dyDescent="0.25">
      <c r="A900" s="115">
        <v>899</v>
      </c>
      <c r="B900" s="145">
        <v>45449</v>
      </c>
      <c r="C900" s="146">
        <v>2024</v>
      </c>
      <c r="D900" s="118" t="s">
        <v>35</v>
      </c>
      <c r="E900" s="118" t="s">
        <v>1084</v>
      </c>
      <c r="F900" s="147">
        <v>1</v>
      </c>
      <c r="G900" s="120" t="s">
        <v>759</v>
      </c>
      <c r="H900" s="148">
        <v>250000</v>
      </c>
      <c r="J900"/>
      <c r="K900"/>
      <c r="L900"/>
      <c r="M900"/>
      <c r="N900"/>
      <c r="O900"/>
    </row>
    <row r="901" spans="1:15" x14ac:dyDescent="0.25">
      <c r="A901" s="115">
        <v>900</v>
      </c>
      <c r="B901" s="145">
        <v>45449</v>
      </c>
      <c r="C901" s="146">
        <v>2024</v>
      </c>
      <c r="D901" s="118" t="s">
        <v>35</v>
      </c>
      <c r="E901" s="118" t="s">
        <v>799</v>
      </c>
      <c r="F901" s="147">
        <v>1</v>
      </c>
      <c r="G901" s="120" t="s">
        <v>759</v>
      </c>
      <c r="H901" s="148">
        <v>200000</v>
      </c>
      <c r="J901"/>
      <c r="K901"/>
      <c r="L901"/>
      <c r="M901"/>
      <c r="N901"/>
      <c r="O901"/>
    </row>
    <row r="902" spans="1:15" x14ac:dyDescent="0.25">
      <c r="A902" s="115">
        <v>901</v>
      </c>
      <c r="B902" s="145">
        <v>45449</v>
      </c>
      <c r="C902" s="146">
        <v>2024</v>
      </c>
      <c r="D902" s="118" t="s">
        <v>35</v>
      </c>
      <c r="E902" s="118" t="s">
        <v>992</v>
      </c>
      <c r="F902" s="147">
        <v>1</v>
      </c>
      <c r="G902" s="120" t="s">
        <v>759</v>
      </c>
      <c r="H902" s="148">
        <v>215000</v>
      </c>
      <c r="J902"/>
      <c r="K902"/>
      <c r="L902"/>
      <c r="M902"/>
      <c r="N902"/>
      <c r="O902"/>
    </row>
    <row r="903" spans="1:15" x14ac:dyDescent="0.25">
      <c r="A903" s="115">
        <v>902</v>
      </c>
      <c r="B903" s="145">
        <v>45449</v>
      </c>
      <c r="C903" s="146">
        <v>2024</v>
      </c>
      <c r="D903" s="118" t="s">
        <v>35</v>
      </c>
      <c r="E903" s="118" t="s">
        <v>1039</v>
      </c>
      <c r="F903" s="147">
        <v>1</v>
      </c>
      <c r="G903" s="120" t="s">
        <v>759</v>
      </c>
      <c r="H903" s="148">
        <v>25000</v>
      </c>
      <c r="J903"/>
      <c r="K903"/>
      <c r="L903"/>
      <c r="M903"/>
      <c r="N903"/>
      <c r="O903"/>
    </row>
    <row r="904" spans="1:15" x14ac:dyDescent="0.25">
      <c r="A904" s="115">
        <v>903</v>
      </c>
      <c r="B904" s="145">
        <v>45449</v>
      </c>
      <c r="C904" s="146">
        <v>2024</v>
      </c>
      <c r="D904" s="118" t="s">
        <v>35</v>
      </c>
      <c r="E904" s="118" t="s">
        <v>992</v>
      </c>
      <c r="F904" s="147">
        <v>1</v>
      </c>
      <c r="G904" s="120" t="s">
        <v>759</v>
      </c>
      <c r="H904" s="148">
        <v>100000</v>
      </c>
      <c r="J904"/>
      <c r="K904"/>
      <c r="L904"/>
      <c r="M904"/>
      <c r="N904"/>
      <c r="O904"/>
    </row>
    <row r="905" spans="1:15" x14ac:dyDescent="0.25">
      <c r="A905" s="115">
        <v>904</v>
      </c>
      <c r="B905" s="145">
        <v>45449</v>
      </c>
      <c r="C905" s="146">
        <v>2024</v>
      </c>
      <c r="D905" s="118" t="s">
        <v>35</v>
      </c>
      <c r="E905" s="118" t="s">
        <v>785</v>
      </c>
      <c r="F905" s="147">
        <v>1</v>
      </c>
      <c r="G905" s="120" t="s">
        <v>759</v>
      </c>
      <c r="H905" s="148">
        <v>350000</v>
      </c>
      <c r="J905"/>
      <c r="K905"/>
      <c r="L905"/>
      <c r="M905"/>
      <c r="N905"/>
      <c r="O905"/>
    </row>
    <row r="906" spans="1:15" x14ac:dyDescent="0.25">
      <c r="A906" s="115">
        <v>905</v>
      </c>
      <c r="B906" s="145">
        <v>45449</v>
      </c>
      <c r="C906" s="146">
        <v>2024</v>
      </c>
      <c r="D906" s="118" t="s">
        <v>35</v>
      </c>
      <c r="E906" s="118" t="s">
        <v>785</v>
      </c>
      <c r="F906" s="147">
        <v>1</v>
      </c>
      <c r="G906" s="120" t="s">
        <v>759</v>
      </c>
      <c r="H906" s="148">
        <v>375000</v>
      </c>
      <c r="J906"/>
      <c r="K906"/>
      <c r="L906"/>
      <c r="M906"/>
      <c r="N906"/>
      <c r="O906"/>
    </row>
    <row r="907" spans="1:15" x14ac:dyDescent="0.25">
      <c r="A907" s="115">
        <v>906</v>
      </c>
      <c r="B907" s="145">
        <v>45449</v>
      </c>
      <c r="C907" s="146">
        <v>2024</v>
      </c>
      <c r="D907" s="118" t="s">
        <v>35</v>
      </c>
      <c r="E907" s="118" t="s">
        <v>785</v>
      </c>
      <c r="F907" s="147">
        <v>1</v>
      </c>
      <c r="G907" s="120" t="s">
        <v>759</v>
      </c>
      <c r="H907" s="148">
        <v>420000</v>
      </c>
      <c r="J907"/>
      <c r="K907"/>
      <c r="L907"/>
      <c r="M907"/>
      <c r="N907"/>
      <c r="O907"/>
    </row>
    <row r="908" spans="1:15" x14ac:dyDescent="0.25">
      <c r="A908" s="115">
        <v>907</v>
      </c>
      <c r="B908" s="145">
        <v>45449</v>
      </c>
      <c r="C908" s="146">
        <v>2024</v>
      </c>
      <c r="D908" s="118" t="s">
        <v>35</v>
      </c>
      <c r="E908" s="118" t="s">
        <v>115</v>
      </c>
      <c r="F908" s="147">
        <v>1</v>
      </c>
      <c r="G908" s="120" t="s">
        <v>759</v>
      </c>
      <c r="H908" s="148">
        <v>110000</v>
      </c>
      <c r="J908"/>
      <c r="K908"/>
      <c r="L908"/>
      <c r="M908"/>
      <c r="N908"/>
      <c r="O908"/>
    </row>
    <row r="909" spans="1:15" x14ac:dyDescent="0.25">
      <c r="A909" s="115">
        <v>908</v>
      </c>
      <c r="B909" s="145">
        <v>45449</v>
      </c>
      <c r="C909" s="146">
        <v>2024</v>
      </c>
      <c r="D909" s="118" t="s">
        <v>35</v>
      </c>
      <c r="E909" s="118" t="s">
        <v>1085</v>
      </c>
      <c r="F909" s="147">
        <v>1</v>
      </c>
      <c r="G909" s="120" t="s">
        <v>759</v>
      </c>
      <c r="H909" s="148">
        <v>185000</v>
      </c>
      <c r="J909"/>
      <c r="K909"/>
      <c r="L909"/>
      <c r="M909"/>
      <c r="N909"/>
      <c r="O909"/>
    </row>
    <row r="910" spans="1:15" x14ac:dyDescent="0.25">
      <c r="A910" s="115">
        <v>909</v>
      </c>
      <c r="B910" s="145">
        <v>45449</v>
      </c>
      <c r="C910" s="146">
        <v>2024</v>
      </c>
      <c r="D910" s="118" t="s">
        <v>35</v>
      </c>
      <c r="E910" s="118" t="s">
        <v>1053</v>
      </c>
      <c r="F910" s="147">
        <v>1</v>
      </c>
      <c r="G910" s="120" t="s">
        <v>759</v>
      </c>
      <c r="H910" s="148">
        <v>95000</v>
      </c>
      <c r="J910"/>
      <c r="K910"/>
      <c r="L910"/>
      <c r="M910"/>
      <c r="N910"/>
      <c r="O910"/>
    </row>
    <row r="911" spans="1:15" x14ac:dyDescent="0.25">
      <c r="A911" s="115">
        <v>910</v>
      </c>
      <c r="B911" s="145">
        <v>45449</v>
      </c>
      <c r="C911" s="146">
        <v>2024</v>
      </c>
      <c r="D911" s="118" t="s">
        <v>35</v>
      </c>
      <c r="E911" s="118" t="s">
        <v>1053</v>
      </c>
      <c r="F911" s="147">
        <v>1</v>
      </c>
      <c r="G911" s="120" t="s">
        <v>759</v>
      </c>
      <c r="H911" s="148">
        <v>100000</v>
      </c>
      <c r="J911"/>
      <c r="K911"/>
      <c r="L911"/>
      <c r="M911"/>
      <c r="N911"/>
      <c r="O911"/>
    </row>
    <row r="912" spans="1:15" x14ac:dyDescent="0.25">
      <c r="A912" s="115">
        <v>911</v>
      </c>
      <c r="B912" s="145">
        <v>45449</v>
      </c>
      <c r="C912" s="146">
        <v>2024</v>
      </c>
      <c r="D912" s="118" t="s">
        <v>35</v>
      </c>
      <c r="E912" s="118" t="s">
        <v>1086</v>
      </c>
      <c r="F912" s="147">
        <v>1</v>
      </c>
      <c r="G912" s="120" t="s">
        <v>759</v>
      </c>
      <c r="H912" s="148">
        <v>650000</v>
      </c>
      <c r="J912"/>
      <c r="K912"/>
      <c r="L912"/>
      <c r="M912"/>
      <c r="N912"/>
      <c r="O912"/>
    </row>
    <row r="913" spans="1:15" x14ac:dyDescent="0.25">
      <c r="A913" s="115">
        <v>912</v>
      </c>
      <c r="B913" s="145">
        <v>45449</v>
      </c>
      <c r="C913" s="146">
        <v>2024</v>
      </c>
      <c r="D913" s="118" t="s">
        <v>35</v>
      </c>
      <c r="E913" s="118" t="s">
        <v>1087</v>
      </c>
      <c r="F913" s="147">
        <v>1</v>
      </c>
      <c r="G913" s="120" t="s">
        <v>759</v>
      </c>
      <c r="H913" s="148">
        <v>50000</v>
      </c>
      <c r="J913"/>
      <c r="K913"/>
      <c r="L913"/>
      <c r="M913"/>
      <c r="N913"/>
      <c r="O913"/>
    </row>
    <row r="914" spans="1:15" x14ac:dyDescent="0.25">
      <c r="A914" s="115">
        <v>913</v>
      </c>
      <c r="B914" s="145">
        <v>45449</v>
      </c>
      <c r="C914" s="146">
        <v>2024</v>
      </c>
      <c r="D914" s="118" t="s">
        <v>35</v>
      </c>
      <c r="E914" s="118" t="s">
        <v>1088</v>
      </c>
      <c r="F914" s="147">
        <v>1</v>
      </c>
      <c r="G914" s="120" t="s">
        <v>759</v>
      </c>
      <c r="H914" s="148">
        <v>225000</v>
      </c>
      <c r="J914"/>
      <c r="K914"/>
      <c r="L914"/>
      <c r="M914"/>
      <c r="N914"/>
      <c r="O914"/>
    </row>
    <row r="915" spans="1:15" x14ac:dyDescent="0.25">
      <c r="A915" s="115">
        <v>914</v>
      </c>
      <c r="B915" s="145">
        <v>45449</v>
      </c>
      <c r="C915" s="146">
        <v>2024</v>
      </c>
      <c r="D915" s="118" t="s">
        <v>35</v>
      </c>
      <c r="E915" s="118" t="s">
        <v>122</v>
      </c>
      <c r="F915" s="147">
        <v>1</v>
      </c>
      <c r="G915" s="120" t="s">
        <v>759</v>
      </c>
      <c r="H915" s="148">
        <v>85000</v>
      </c>
      <c r="J915"/>
      <c r="K915"/>
      <c r="L915"/>
      <c r="M915"/>
      <c r="N915"/>
      <c r="O915"/>
    </row>
    <row r="916" spans="1:15" x14ac:dyDescent="0.25">
      <c r="A916" s="115">
        <v>915</v>
      </c>
      <c r="B916" s="145">
        <v>45449</v>
      </c>
      <c r="C916" s="146">
        <v>2024</v>
      </c>
      <c r="D916" s="118" t="s">
        <v>35</v>
      </c>
      <c r="E916" s="118" t="s">
        <v>1083</v>
      </c>
      <c r="F916" s="147">
        <v>1</v>
      </c>
      <c r="G916" s="120" t="s">
        <v>759</v>
      </c>
      <c r="H916" s="148">
        <v>90000</v>
      </c>
      <c r="J916"/>
      <c r="K916"/>
      <c r="L916"/>
      <c r="M916"/>
      <c r="N916"/>
      <c r="O916"/>
    </row>
    <row r="917" spans="1:15" x14ac:dyDescent="0.25">
      <c r="A917" s="115">
        <v>916</v>
      </c>
      <c r="B917" s="145">
        <v>45449</v>
      </c>
      <c r="C917" s="146">
        <v>2024</v>
      </c>
      <c r="D917" s="118" t="s">
        <v>35</v>
      </c>
      <c r="E917" s="118" t="s">
        <v>1087</v>
      </c>
      <c r="F917" s="147">
        <v>1</v>
      </c>
      <c r="G917" s="120" t="s">
        <v>759</v>
      </c>
      <c r="H917" s="148">
        <v>225000</v>
      </c>
      <c r="J917"/>
      <c r="K917"/>
      <c r="L917"/>
      <c r="M917"/>
      <c r="N917"/>
      <c r="O917"/>
    </row>
    <row r="918" spans="1:15" x14ac:dyDescent="0.25">
      <c r="A918" s="115">
        <v>917</v>
      </c>
      <c r="B918" s="116">
        <v>45450</v>
      </c>
      <c r="C918" s="117">
        <v>2024</v>
      </c>
      <c r="D918" s="118" t="s">
        <v>35</v>
      </c>
      <c r="E918" s="119" t="s">
        <v>673</v>
      </c>
      <c r="F918" s="120">
        <v>1</v>
      </c>
      <c r="G918" s="120" t="s">
        <v>759</v>
      </c>
      <c r="H918" s="121">
        <v>82350</v>
      </c>
      <c r="J918"/>
      <c r="K918"/>
      <c r="L918"/>
      <c r="M918"/>
      <c r="N918"/>
      <c r="O918"/>
    </row>
    <row r="919" spans="1:15" x14ac:dyDescent="0.25">
      <c r="A919" s="115">
        <v>918</v>
      </c>
      <c r="B919" s="116">
        <v>45451</v>
      </c>
      <c r="C919" s="117">
        <v>2024</v>
      </c>
      <c r="D919" s="118" t="s">
        <v>35</v>
      </c>
      <c r="E919" s="119" t="s">
        <v>1089</v>
      </c>
      <c r="F919" s="120">
        <v>1</v>
      </c>
      <c r="G919" s="120" t="s">
        <v>759</v>
      </c>
      <c r="H919" s="121">
        <v>117810</v>
      </c>
      <c r="J919"/>
      <c r="K919"/>
      <c r="L919"/>
      <c r="M919"/>
      <c r="N919"/>
      <c r="O919"/>
    </row>
    <row r="920" spans="1:15" x14ac:dyDescent="0.25">
      <c r="A920" s="115">
        <v>919</v>
      </c>
      <c r="B920" s="145">
        <v>45451</v>
      </c>
      <c r="C920" s="146">
        <v>2024</v>
      </c>
      <c r="D920" s="118" t="s">
        <v>35</v>
      </c>
      <c r="E920" s="118" t="s">
        <v>789</v>
      </c>
      <c r="F920" s="147">
        <v>1</v>
      </c>
      <c r="G920" s="120" t="s">
        <v>759</v>
      </c>
      <c r="H920" s="148">
        <v>100000</v>
      </c>
      <c r="J920"/>
      <c r="K920"/>
      <c r="L920"/>
      <c r="M920"/>
      <c r="N920"/>
      <c r="O920"/>
    </row>
    <row r="921" spans="1:15" x14ac:dyDescent="0.25">
      <c r="A921" s="115">
        <v>920</v>
      </c>
      <c r="B921" s="116">
        <v>45453</v>
      </c>
      <c r="C921" s="117">
        <v>2024</v>
      </c>
      <c r="D921" s="118" t="s">
        <v>35</v>
      </c>
      <c r="E921" s="119" t="s">
        <v>567</v>
      </c>
      <c r="F921" s="120">
        <v>1</v>
      </c>
      <c r="G921" s="120" t="s">
        <v>759</v>
      </c>
      <c r="H921" s="121">
        <v>19400</v>
      </c>
      <c r="J921"/>
      <c r="K921"/>
      <c r="L921"/>
      <c r="M921"/>
      <c r="N921"/>
      <c r="O921"/>
    </row>
    <row r="922" spans="1:15" x14ac:dyDescent="0.25">
      <c r="A922" s="115">
        <v>921</v>
      </c>
      <c r="B922" s="116">
        <v>45453</v>
      </c>
      <c r="C922" s="117">
        <v>2024</v>
      </c>
      <c r="D922" s="118" t="s">
        <v>259</v>
      </c>
      <c r="E922" s="119" t="s">
        <v>1090</v>
      </c>
      <c r="F922" s="120">
        <v>1</v>
      </c>
      <c r="G922" s="120" t="s">
        <v>759</v>
      </c>
      <c r="H922" s="121">
        <v>158400</v>
      </c>
      <c r="J922"/>
      <c r="K922"/>
      <c r="L922"/>
      <c r="M922"/>
      <c r="N922"/>
      <c r="O922"/>
    </row>
    <row r="923" spans="1:15" x14ac:dyDescent="0.25">
      <c r="A923" s="115">
        <v>922</v>
      </c>
      <c r="B923" s="145">
        <v>45453</v>
      </c>
      <c r="C923" s="146">
        <v>2024</v>
      </c>
      <c r="D923" s="118" t="s">
        <v>35</v>
      </c>
      <c r="E923" s="118" t="s">
        <v>1091</v>
      </c>
      <c r="F923" s="147">
        <v>1</v>
      </c>
      <c r="G923" s="120" t="s">
        <v>759</v>
      </c>
      <c r="H923" s="148">
        <v>60000</v>
      </c>
      <c r="J923"/>
      <c r="K923"/>
      <c r="L923"/>
      <c r="M923"/>
      <c r="N923"/>
      <c r="O923"/>
    </row>
    <row r="924" spans="1:15" x14ac:dyDescent="0.25">
      <c r="A924" s="115">
        <v>923</v>
      </c>
      <c r="B924" s="145">
        <v>45453</v>
      </c>
      <c r="C924" s="146">
        <v>2024</v>
      </c>
      <c r="D924" s="118" t="s">
        <v>35</v>
      </c>
      <c r="E924" s="118" t="s">
        <v>811</v>
      </c>
      <c r="F924" s="147">
        <v>1</v>
      </c>
      <c r="G924" s="120" t="s">
        <v>759</v>
      </c>
      <c r="H924" s="148">
        <v>40000</v>
      </c>
      <c r="J924"/>
      <c r="K924"/>
      <c r="L924"/>
      <c r="M924"/>
      <c r="N924"/>
      <c r="O924"/>
    </row>
    <row r="925" spans="1:15" x14ac:dyDescent="0.25">
      <c r="A925" s="115">
        <v>924</v>
      </c>
      <c r="B925" s="145">
        <v>45453</v>
      </c>
      <c r="C925" s="146">
        <v>2024</v>
      </c>
      <c r="D925" s="118" t="s">
        <v>35</v>
      </c>
      <c r="E925" s="118" t="s">
        <v>1092</v>
      </c>
      <c r="F925" s="147">
        <v>1</v>
      </c>
      <c r="G925" s="120" t="s">
        <v>759</v>
      </c>
      <c r="H925" s="148">
        <v>75000</v>
      </c>
      <c r="J925"/>
      <c r="K925"/>
      <c r="L925"/>
      <c r="M925"/>
      <c r="N925"/>
      <c r="O925"/>
    </row>
    <row r="926" spans="1:15" x14ac:dyDescent="0.25">
      <c r="A926" s="115">
        <v>925</v>
      </c>
      <c r="B926" s="145">
        <v>45453</v>
      </c>
      <c r="C926" s="146">
        <v>2024</v>
      </c>
      <c r="D926" s="118" t="s">
        <v>35</v>
      </c>
      <c r="E926" s="118" t="s">
        <v>1093</v>
      </c>
      <c r="F926" s="147">
        <v>1</v>
      </c>
      <c r="G926" s="120" t="s">
        <v>759</v>
      </c>
      <c r="H926" s="148">
        <v>250000</v>
      </c>
      <c r="J926"/>
      <c r="K926"/>
      <c r="L926"/>
      <c r="M926"/>
      <c r="N926"/>
      <c r="O926"/>
    </row>
    <row r="927" spans="1:15" x14ac:dyDescent="0.25">
      <c r="A927" s="115">
        <v>926</v>
      </c>
      <c r="B927" s="145">
        <v>45453</v>
      </c>
      <c r="C927" s="146">
        <v>2024</v>
      </c>
      <c r="D927" s="118" t="s">
        <v>35</v>
      </c>
      <c r="E927" s="118" t="s">
        <v>1094</v>
      </c>
      <c r="F927" s="147">
        <v>1</v>
      </c>
      <c r="G927" s="120" t="s">
        <v>759</v>
      </c>
      <c r="H927" s="148">
        <v>30000</v>
      </c>
      <c r="J927"/>
      <c r="K927"/>
      <c r="L927"/>
      <c r="M927"/>
      <c r="N927"/>
      <c r="O927"/>
    </row>
    <row r="928" spans="1:15" x14ac:dyDescent="0.25">
      <c r="A928" s="115">
        <v>927</v>
      </c>
      <c r="B928" s="145">
        <v>45453</v>
      </c>
      <c r="C928" s="146">
        <v>2024</v>
      </c>
      <c r="D928" s="118" t="s">
        <v>35</v>
      </c>
      <c r="E928" s="118" t="s">
        <v>778</v>
      </c>
      <c r="F928" s="147">
        <v>1</v>
      </c>
      <c r="G928" s="120" t="s">
        <v>759</v>
      </c>
      <c r="H928" s="148">
        <v>75000</v>
      </c>
      <c r="J928"/>
      <c r="K928"/>
      <c r="L928"/>
      <c r="M928"/>
      <c r="N928"/>
      <c r="O928"/>
    </row>
    <row r="929" spans="1:15" x14ac:dyDescent="0.25">
      <c r="A929" s="115">
        <v>928</v>
      </c>
      <c r="B929" s="145">
        <v>45453</v>
      </c>
      <c r="C929" s="146">
        <v>2024</v>
      </c>
      <c r="D929" s="118" t="s">
        <v>35</v>
      </c>
      <c r="E929" s="118" t="s">
        <v>1095</v>
      </c>
      <c r="F929" s="147">
        <v>1</v>
      </c>
      <c r="G929" s="120" t="s">
        <v>759</v>
      </c>
      <c r="H929" s="148">
        <v>90000</v>
      </c>
      <c r="J929"/>
      <c r="K929"/>
      <c r="L929"/>
      <c r="M929"/>
      <c r="N929"/>
      <c r="O929"/>
    </row>
    <row r="930" spans="1:15" x14ac:dyDescent="0.25">
      <c r="A930" s="115">
        <v>929</v>
      </c>
      <c r="B930" s="145">
        <v>45453</v>
      </c>
      <c r="C930" s="146">
        <v>2024</v>
      </c>
      <c r="D930" s="118" t="s">
        <v>35</v>
      </c>
      <c r="E930" s="118" t="s">
        <v>1096</v>
      </c>
      <c r="F930" s="147">
        <v>1</v>
      </c>
      <c r="G930" s="120" t="s">
        <v>759</v>
      </c>
      <c r="H930" s="148">
        <v>635000</v>
      </c>
      <c r="J930"/>
      <c r="K930"/>
      <c r="L930"/>
      <c r="M930"/>
      <c r="N930"/>
      <c r="O930"/>
    </row>
    <row r="931" spans="1:15" x14ac:dyDescent="0.25">
      <c r="A931" s="115">
        <v>930</v>
      </c>
      <c r="B931" s="145">
        <v>45453</v>
      </c>
      <c r="C931" s="146">
        <v>2024</v>
      </c>
      <c r="D931" s="118" t="s">
        <v>35</v>
      </c>
      <c r="E931" s="118" t="s">
        <v>1097</v>
      </c>
      <c r="F931" s="147">
        <v>1</v>
      </c>
      <c r="G931" s="120" t="s">
        <v>759</v>
      </c>
      <c r="H931" s="148">
        <v>105000</v>
      </c>
      <c r="J931"/>
      <c r="K931"/>
      <c r="L931"/>
      <c r="M931"/>
      <c r="N931"/>
      <c r="O931"/>
    </row>
    <row r="932" spans="1:15" x14ac:dyDescent="0.25">
      <c r="A932" s="115">
        <v>931</v>
      </c>
      <c r="B932" s="145">
        <v>45453</v>
      </c>
      <c r="C932" s="146">
        <v>2024</v>
      </c>
      <c r="D932" s="118" t="s">
        <v>35</v>
      </c>
      <c r="E932" s="118" t="s">
        <v>1097</v>
      </c>
      <c r="F932" s="147">
        <v>1</v>
      </c>
      <c r="G932" s="120" t="s">
        <v>759</v>
      </c>
      <c r="H932" s="148">
        <v>50000</v>
      </c>
      <c r="J932"/>
      <c r="K932"/>
      <c r="L932"/>
      <c r="M932"/>
      <c r="N932"/>
      <c r="O932"/>
    </row>
    <row r="933" spans="1:15" x14ac:dyDescent="0.25">
      <c r="A933" s="115">
        <v>932</v>
      </c>
      <c r="B933" s="145">
        <v>45453</v>
      </c>
      <c r="C933" s="146">
        <v>2024</v>
      </c>
      <c r="D933" s="118" t="s">
        <v>35</v>
      </c>
      <c r="E933" s="118" t="s">
        <v>1098</v>
      </c>
      <c r="F933" s="147">
        <v>1</v>
      </c>
      <c r="G933" s="120" t="s">
        <v>759</v>
      </c>
      <c r="H933" s="148">
        <v>450000</v>
      </c>
      <c r="J933"/>
      <c r="K933"/>
      <c r="L933"/>
      <c r="M933"/>
      <c r="N933"/>
      <c r="O933"/>
    </row>
    <row r="934" spans="1:15" x14ac:dyDescent="0.25">
      <c r="A934" s="115">
        <v>933</v>
      </c>
      <c r="B934" s="145">
        <v>45453</v>
      </c>
      <c r="C934" s="146">
        <v>2024</v>
      </c>
      <c r="D934" s="118" t="s">
        <v>35</v>
      </c>
      <c r="E934" s="118" t="s">
        <v>1099</v>
      </c>
      <c r="F934" s="147">
        <v>1</v>
      </c>
      <c r="G934" s="120" t="s">
        <v>759</v>
      </c>
      <c r="H934" s="148">
        <v>80000</v>
      </c>
      <c r="J934"/>
      <c r="K934"/>
      <c r="L934"/>
      <c r="M934"/>
      <c r="N934"/>
      <c r="O934"/>
    </row>
    <row r="935" spans="1:15" x14ac:dyDescent="0.25">
      <c r="A935" s="115">
        <v>934</v>
      </c>
      <c r="B935" s="145">
        <v>45453</v>
      </c>
      <c r="C935" s="146">
        <v>2024</v>
      </c>
      <c r="D935" s="118" t="s">
        <v>35</v>
      </c>
      <c r="E935" s="118" t="s">
        <v>1100</v>
      </c>
      <c r="F935" s="147">
        <v>1</v>
      </c>
      <c r="G935" s="120" t="s">
        <v>759</v>
      </c>
      <c r="H935" s="148">
        <v>30000</v>
      </c>
      <c r="J935"/>
      <c r="K935"/>
      <c r="L935"/>
      <c r="M935"/>
      <c r="N935"/>
      <c r="O935"/>
    </row>
    <row r="936" spans="1:15" x14ac:dyDescent="0.25">
      <c r="A936" s="115">
        <v>935</v>
      </c>
      <c r="B936" s="145">
        <v>45453</v>
      </c>
      <c r="C936" s="146">
        <v>2024</v>
      </c>
      <c r="D936" s="118" t="s">
        <v>35</v>
      </c>
      <c r="E936" s="118" t="s">
        <v>811</v>
      </c>
      <c r="F936" s="147">
        <v>1</v>
      </c>
      <c r="G936" s="120" t="s">
        <v>759</v>
      </c>
      <c r="H936" s="148">
        <v>80000</v>
      </c>
      <c r="J936"/>
      <c r="K936"/>
      <c r="L936"/>
      <c r="M936"/>
      <c r="N936"/>
      <c r="O936"/>
    </row>
    <row r="937" spans="1:15" x14ac:dyDescent="0.25">
      <c r="A937" s="115">
        <v>936</v>
      </c>
      <c r="B937" s="145">
        <v>45453</v>
      </c>
      <c r="C937" s="146">
        <v>2024</v>
      </c>
      <c r="D937" s="118" t="s">
        <v>35</v>
      </c>
      <c r="E937" s="118" t="s">
        <v>1101</v>
      </c>
      <c r="F937" s="147">
        <v>1</v>
      </c>
      <c r="G937" s="120" t="s">
        <v>759</v>
      </c>
      <c r="H937" s="148">
        <v>100000</v>
      </c>
      <c r="J937"/>
      <c r="K937"/>
      <c r="L937"/>
      <c r="M937"/>
      <c r="N937"/>
      <c r="O937"/>
    </row>
    <row r="938" spans="1:15" x14ac:dyDescent="0.25">
      <c r="A938" s="115">
        <v>937</v>
      </c>
      <c r="B938" s="145">
        <v>45453</v>
      </c>
      <c r="C938" s="146">
        <v>2024</v>
      </c>
      <c r="D938" s="118" t="s">
        <v>35</v>
      </c>
      <c r="E938" s="118" t="s">
        <v>1102</v>
      </c>
      <c r="F938" s="147">
        <v>1</v>
      </c>
      <c r="G938" s="120" t="s">
        <v>759</v>
      </c>
      <c r="H938" s="148">
        <v>10000</v>
      </c>
      <c r="J938"/>
      <c r="K938"/>
      <c r="L938"/>
      <c r="M938"/>
      <c r="N938"/>
      <c r="O938"/>
    </row>
    <row r="939" spans="1:15" x14ac:dyDescent="0.25">
      <c r="A939" s="115">
        <v>938</v>
      </c>
      <c r="B939" s="145">
        <v>45453</v>
      </c>
      <c r="C939" s="146">
        <v>2024</v>
      </c>
      <c r="D939" s="118" t="s">
        <v>35</v>
      </c>
      <c r="E939" s="118" t="s">
        <v>72</v>
      </c>
      <c r="F939" s="147">
        <v>1</v>
      </c>
      <c r="G939" s="120" t="s">
        <v>759</v>
      </c>
      <c r="H939" s="148">
        <v>30000</v>
      </c>
      <c r="J939"/>
      <c r="K939"/>
      <c r="L939"/>
      <c r="M939"/>
      <c r="N939"/>
      <c r="O939"/>
    </row>
    <row r="940" spans="1:15" x14ac:dyDescent="0.25">
      <c r="A940" s="115">
        <v>939</v>
      </c>
      <c r="B940" s="145">
        <v>45453</v>
      </c>
      <c r="C940" s="146">
        <v>2024</v>
      </c>
      <c r="D940" s="118" t="s">
        <v>35</v>
      </c>
      <c r="E940" s="118" t="s">
        <v>1103</v>
      </c>
      <c r="F940" s="147">
        <v>1</v>
      </c>
      <c r="G940" s="120" t="s">
        <v>759</v>
      </c>
      <c r="H940" s="148">
        <v>15000</v>
      </c>
      <c r="J940"/>
      <c r="K940"/>
      <c r="L940"/>
      <c r="M940"/>
      <c r="N940"/>
      <c r="O940"/>
    </row>
    <row r="941" spans="1:15" x14ac:dyDescent="0.25">
      <c r="A941" s="115">
        <v>940</v>
      </c>
      <c r="B941" s="145">
        <v>45453</v>
      </c>
      <c r="C941" s="146">
        <v>2024</v>
      </c>
      <c r="D941" s="118" t="s">
        <v>35</v>
      </c>
      <c r="E941" s="118" t="s">
        <v>1104</v>
      </c>
      <c r="F941" s="147">
        <v>1</v>
      </c>
      <c r="G941" s="120" t="s">
        <v>759</v>
      </c>
      <c r="H941" s="148">
        <v>72500</v>
      </c>
      <c r="J941"/>
      <c r="K941"/>
      <c r="L941"/>
      <c r="M941"/>
      <c r="N941"/>
      <c r="O941"/>
    </row>
    <row r="942" spans="1:15" x14ac:dyDescent="0.25">
      <c r="A942" s="115">
        <v>941</v>
      </c>
      <c r="B942" s="155">
        <v>45453</v>
      </c>
      <c r="C942" s="146">
        <v>2024</v>
      </c>
      <c r="D942" s="118" t="s">
        <v>35</v>
      </c>
      <c r="E942" s="118" t="s">
        <v>122</v>
      </c>
      <c r="F942" s="147">
        <v>1</v>
      </c>
      <c r="G942" s="120" t="s">
        <v>759</v>
      </c>
      <c r="H942" s="148">
        <v>170000</v>
      </c>
      <c r="J942"/>
      <c r="K942"/>
      <c r="L942"/>
      <c r="M942"/>
      <c r="N942"/>
      <c r="O942"/>
    </row>
    <row r="943" spans="1:15" x14ac:dyDescent="0.25">
      <c r="A943" s="115">
        <v>942</v>
      </c>
      <c r="B943" s="145">
        <v>45453</v>
      </c>
      <c r="C943" s="146">
        <v>2024</v>
      </c>
      <c r="D943" s="118" t="s">
        <v>35</v>
      </c>
      <c r="E943" s="118" t="s">
        <v>1105</v>
      </c>
      <c r="F943" s="147">
        <v>1</v>
      </c>
      <c r="G943" s="120" t="s">
        <v>759</v>
      </c>
      <c r="H943" s="148">
        <v>100000</v>
      </c>
      <c r="J943"/>
      <c r="K943"/>
      <c r="L943"/>
      <c r="M943"/>
      <c r="N943"/>
      <c r="O943"/>
    </row>
    <row r="944" spans="1:15" x14ac:dyDescent="0.25">
      <c r="A944" s="115">
        <v>943</v>
      </c>
      <c r="B944" s="145">
        <v>45453</v>
      </c>
      <c r="C944" s="146">
        <v>2024</v>
      </c>
      <c r="D944" s="118" t="s">
        <v>35</v>
      </c>
      <c r="E944" s="118" t="s">
        <v>1106</v>
      </c>
      <c r="F944" s="147">
        <v>1</v>
      </c>
      <c r="G944" s="120" t="s">
        <v>759</v>
      </c>
      <c r="H944" s="148">
        <v>165000</v>
      </c>
      <c r="J944"/>
      <c r="K944"/>
      <c r="L944"/>
      <c r="M944"/>
      <c r="N944"/>
      <c r="O944"/>
    </row>
    <row r="945" spans="1:15" x14ac:dyDescent="0.25">
      <c r="A945" s="115">
        <v>944</v>
      </c>
      <c r="B945" s="145">
        <v>45453</v>
      </c>
      <c r="C945" s="146">
        <v>2024</v>
      </c>
      <c r="D945" s="118" t="s">
        <v>35</v>
      </c>
      <c r="E945" s="118" t="s">
        <v>1099</v>
      </c>
      <c r="F945" s="147">
        <v>1</v>
      </c>
      <c r="G945" s="120" t="s">
        <v>759</v>
      </c>
      <c r="H945" s="148">
        <v>80000</v>
      </c>
      <c r="J945"/>
      <c r="K945"/>
      <c r="L945"/>
      <c r="M945"/>
      <c r="N945"/>
      <c r="O945"/>
    </row>
    <row r="946" spans="1:15" x14ac:dyDescent="0.25">
      <c r="A946" s="115">
        <v>945</v>
      </c>
      <c r="B946" s="145">
        <v>45453</v>
      </c>
      <c r="C946" s="146">
        <v>2024</v>
      </c>
      <c r="D946" s="118" t="s">
        <v>35</v>
      </c>
      <c r="E946" s="118" t="s">
        <v>1099</v>
      </c>
      <c r="F946" s="147">
        <v>1</v>
      </c>
      <c r="G946" s="120" t="s">
        <v>759</v>
      </c>
      <c r="H946" s="148">
        <v>75000</v>
      </c>
      <c r="J946"/>
      <c r="K946"/>
      <c r="L946"/>
      <c r="M946"/>
      <c r="N946"/>
      <c r="O946"/>
    </row>
    <row r="947" spans="1:15" x14ac:dyDescent="0.25">
      <c r="A947" s="115">
        <v>946</v>
      </c>
      <c r="B947" s="155">
        <v>45456</v>
      </c>
      <c r="C947" s="146">
        <v>2024</v>
      </c>
      <c r="D947" s="118" t="s">
        <v>35</v>
      </c>
      <c r="E947" s="118" t="s">
        <v>827</v>
      </c>
      <c r="F947" s="147">
        <v>1</v>
      </c>
      <c r="G947" s="120" t="s">
        <v>759</v>
      </c>
      <c r="H947" s="148">
        <v>30000</v>
      </c>
      <c r="J947"/>
      <c r="K947"/>
      <c r="L947"/>
      <c r="M947"/>
      <c r="N947"/>
      <c r="O947"/>
    </row>
    <row r="948" spans="1:15" x14ac:dyDescent="0.25">
      <c r="A948" s="115">
        <v>947</v>
      </c>
      <c r="B948" s="155">
        <v>45456</v>
      </c>
      <c r="C948" s="146">
        <v>2024</v>
      </c>
      <c r="D948" s="118" t="s">
        <v>35</v>
      </c>
      <c r="E948" s="118" t="s">
        <v>1072</v>
      </c>
      <c r="F948" s="147">
        <v>1</v>
      </c>
      <c r="G948" s="120" t="s">
        <v>759</v>
      </c>
      <c r="H948" s="148">
        <v>195000</v>
      </c>
      <c r="J948"/>
      <c r="K948"/>
      <c r="L948"/>
      <c r="M948"/>
      <c r="N948"/>
      <c r="O948"/>
    </row>
    <row r="949" spans="1:15" x14ac:dyDescent="0.25">
      <c r="A949" s="115">
        <v>948</v>
      </c>
      <c r="B949" s="155">
        <v>45456</v>
      </c>
      <c r="C949" s="146">
        <v>2024</v>
      </c>
      <c r="D949" s="118" t="s">
        <v>35</v>
      </c>
      <c r="E949" s="118" t="s">
        <v>785</v>
      </c>
      <c r="F949" s="147">
        <v>1</v>
      </c>
      <c r="G949" s="120" t="s">
        <v>759</v>
      </c>
      <c r="H949" s="148">
        <v>30000</v>
      </c>
      <c r="J949"/>
      <c r="K949"/>
      <c r="L949"/>
      <c r="M949"/>
      <c r="N949"/>
      <c r="O949"/>
    </row>
    <row r="950" spans="1:15" x14ac:dyDescent="0.25">
      <c r="A950" s="115">
        <v>949</v>
      </c>
      <c r="B950" s="145">
        <v>45456</v>
      </c>
      <c r="C950" s="146">
        <v>2024</v>
      </c>
      <c r="D950" s="118" t="s">
        <v>35</v>
      </c>
      <c r="E950" s="118" t="s">
        <v>953</v>
      </c>
      <c r="F950" s="147">
        <v>1</v>
      </c>
      <c r="G950" s="120" t="s">
        <v>759</v>
      </c>
      <c r="H950" s="148">
        <v>400000</v>
      </c>
      <c r="J950"/>
      <c r="K950"/>
      <c r="L950"/>
      <c r="M950"/>
      <c r="N950"/>
      <c r="O950"/>
    </row>
    <row r="951" spans="1:15" x14ac:dyDescent="0.25">
      <c r="A951" s="115">
        <v>950</v>
      </c>
      <c r="B951" s="145">
        <v>45456</v>
      </c>
      <c r="C951" s="146">
        <v>2024</v>
      </c>
      <c r="D951" s="118" t="s">
        <v>35</v>
      </c>
      <c r="E951" s="118" t="s">
        <v>955</v>
      </c>
      <c r="F951" s="147">
        <v>1</v>
      </c>
      <c r="G951" s="120" t="s">
        <v>759</v>
      </c>
      <c r="H951" s="148">
        <v>200000</v>
      </c>
      <c r="J951"/>
      <c r="K951"/>
      <c r="L951"/>
      <c r="M951"/>
      <c r="N951"/>
      <c r="O951"/>
    </row>
    <row r="952" spans="1:15" x14ac:dyDescent="0.25">
      <c r="A952" s="115">
        <v>951</v>
      </c>
      <c r="B952" s="145">
        <v>45456</v>
      </c>
      <c r="C952" s="146">
        <v>2024</v>
      </c>
      <c r="D952" s="118" t="s">
        <v>35</v>
      </c>
      <c r="E952" s="118" t="s">
        <v>955</v>
      </c>
      <c r="F952" s="147">
        <v>1</v>
      </c>
      <c r="G952" s="120" t="s">
        <v>759</v>
      </c>
      <c r="H952" s="148">
        <v>200000</v>
      </c>
      <c r="J952"/>
      <c r="K952"/>
      <c r="L952"/>
      <c r="M952"/>
      <c r="N952"/>
      <c r="O952"/>
    </row>
    <row r="953" spans="1:15" x14ac:dyDescent="0.25">
      <c r="A953" s="115">
        <v>952</v>
      </c>
      <c r="B953" s="145">
        <v>45456</v>
      </c>
      <c r="C953" s="146">
        <v>2024</v>
      </c>
      <c r="D953" s="118" t="s">
        <v>35</v>
      </c>
      <c r="E953" s="118" t="s">
        <v>839</v>
      </c>
      <c r="F953" s="147">
        <v>1</v>
      </c>
      <c r="G953" s="120" t="s">
        <v>759</v>
      </c>
      <c r="H953" s="148">
        <v>122500</v>
      </c>
      <c r="J953"/>
      <c r="K953"/>
      <c r="L953"/>
      <c r="M953"/>
      <c r="N953"/>
      <c r="O953"/>
    </row>
    <row r="954" spans="1:15" x14ac:dyDescent="0.25">
      <c r="A954" s="115">
        <v>953</v>
      </c>
      <c r="B954" s="145">
        <v>45456</v>
      </c>
      <c r="C954" s="146">
        <v>2024</v>
      </c>
      <c r="D954" s="118" t="s">
        <v>35</v>
      </c>
      <c r="E954" s="118" t="s">
        <v>839</v>
      </c>
      <c r="F954" s="147">
        <v>1</v>
      </c>
      <c r="G954" s="120" t="s">
        <v>759</v>
      </c>
      <c r="H954" s="148">
        <v>180000</v>
      </c>
      <c r="J954"/>
      <c r="K954"/>
      <c r="L954"/>
      <c r="M954"/>
      <c r="N954"/>
      <c r="O954"/>
    </row>
    <row r="955" spans="1:15" x14ac:dyDescent="0.25">
      <c r="A955" s="115">
        <v>954</v>
      </c>
      <c r="B955" s="145">
        <v>45456</v>
      </c>
      <c r="C955" s="146">
        <v>2024</v>
      </c>
      <c r="D955" s="118" t="s">
        <v>35</v>
      </c>
      <c r="E955" s="118" t="s">
        <v>1107</v>
      </c>
      <c r="F955" s="147">
        <v>1</v>
      </c>
      <c r="G955" s="120" t="s">
        <v>759</v>
      </c>
      <c r="H955" s="148">
        <v>184000</v>
      </c>
      <c r="J955"/>
      <c r="K955"/>
      <c r="L955"/>
      <c r="M955"/>
      <c r="N955"/>
      <c r="O955"/>
    </row>
    <row r="956" spans="1:15" x14ac:dyDescent="0.25">
      <c r="A956" s="115">
        <v>955</v>
      </c>
      <c r="B956" s="145">
        <v>45456</v>
      </c>
      <c r="C956" s="146">
        <v>2024</v>
      </c>
      <c r="D956" s="118" t="s">
        <v>35</v>
      </c>
      <c r="E956" s="118" t="s">
        <v>842</v>
      </c>
      <c r="F956" s="147">
        <v>1</v>
      </c>
      <c r="G956" s="120" t="s">
        <v>759</v>
      </c>
      <c r="H956" s="148">
        <v>200000</v>
      </c>
      <c r="J956"/>
      <c r="K956"/>
      <c r="L956"/>
      <c r="M956"/>
      <c r="N956"/>
      <c r="O956"/>
    </row>
    <row r="957" spans="1:15" x14ac:dyDescent="0.25">
      <c r="A957" s="115">
        <v>956</v>
      </c>
      <c r="B957" s="145">
        <v>45456</v>
      </c>
      <c r="C957" s="146">
        <v>2024</v>
      </c>
      <c r="D957" s="118" t="s">
        <v>35</v>
      </c>
      <c r="E957" s="118" t="s">
        <v>873</v>
      </c>
      <c r="F957" s="147">
        <v>1</v>
      </c>
      <c r="G957" s="120" t="s">
        <v>759</v>
      </c>
      <c r="H957" s="148">
        <v>122500</v>
      </c>
      <c r="J957"/>
      <c r="K957"/>
      <c r="L957"/>
      <c r="M957"/>
      <c r="N957"/>
      <c r="O957"/>
    </row>
    <row r="958" spans="1:15" x14ac:dyDescent="0.25">
      <c r="A958" s="115">
        <v>957</v>
      </c>
      <c r="B958" s="145">
        <v>45456</v>
      </c>
      <c r="C958" s="146">
        <v>2024</v>
      </c>
      <c r="D958" s="118" t="s">
        <v>35</v>
      </c>
      <c r="E958" s="118" t="s">
        <v>873</v>
      </c>
      <c r="F958" s="147">
        <v>1</v>
      </c>
      <c r="G958" s="120" t="s">
        <v>759</v>
      </c>
      <c r="H958" s="148">
        <v>180000</v>
      </c>
      <c r="J958"/>
      <c r="K958"/>
      <c r="L958"/>
      <c r="M958"/>
      <c r="N958"/>
      <c r="O958"/>
    </row>
    <row r="959" spans="1:15" x14ac:dyDescent="0.25">
      <c r="A959" s="115">
        <v>958</v>
      </c>
      <c r="B959" s="145">
        <v>45456</v>
      </c>
      <c r="C959" s="146">
        <v>2024</v>
      </c>
      <c r="D959" s="118" t="s">
        <v>35</v>
      </c>
      <c r="E959" s="118" t="s">
        <v>1108</v>
      </c>
      <c r="F959" s="147">
        <v>1</v>
      </c>
      <c r="G959" s="120" t="s">
        <v>759</v>
      </c>
      <c r="H959" s="148">
        <v>400000</v>
      </c>
      <c r="J959"/>
      <c r="K959"/>
      <c r="L959"/>
      <c r="M959"/>
      <c r="N959"/>
      <c r="O959"/>
    </row>
    <row r="960" spans="1:15" x14ac:dyDescent="0.25">
      <c r="A960" s="115">
        <v>959</v>
      </c>
      <c r="B960" s="145">
        <v>45456</v>
      </c>
      <c r="C960" s="146">
        <v>2024</v>
      </c>
      <c r="D960" s="118" t="s">
        <v>35</v>
      </c>
      <c r="E960" s="118" t="s">
        <v>839</v>
      </c>
      <c r="F960" s="147">
        <v>1</v>
      </c>
      <c r="G960" s="120" t="s">
        <v>759</v>
      </c>
      <c r="H960" s="148">
        <v>122500</v>
      </c>
      <c r="J960"/>
      <c r="K960"/>
      <c r="L960"/>
      <c r="M960"/>
      <c r="N960"/>
      <c r="O960"/>
    </row>
    <row r="961" spans="1:15" x14ac:dyDescent="0.25">
      <c r="A961" s="115">
        <v>960</v>
      </c>
      <c r="B961" s="145">
        <v>45456</v>
      </c>
      <c r="C961" s="146">
        <v>2024</v>
      </c>
      <c r="D961" s="118" t="s">
        <v>35</v>
      </c>
      <c r="E961" s="118" t="s">
        <v>839</v>
      </c>
      <c r="F961" s="147">
        <v>1</v>
      </c>
      <c r="G961" s="120" t="s">
        <v>759</v>
      </c>
      <c r="H961" s="148">
        <v>180000</v>
      </c>
      <c r="J961"/>
      <c r="K961"/>
      <c r="L961"/>
      <c r="M961"/>
      <c r="N961"/>
      <c r="O961"/>
    </row>
    <row r="962" spans="1:15" x14ac:dyDescent="0.25">
      <c r="A962" s="115">
        <v>961</v>
      </c>
      <c r="B962" s="145">
        <v>45456</v>
      </c>
      <c r="C962" s="146">
        <v>2024</v>
      </c>
      <c r="D962" s="118" t="s">
        <v>35</v>
      </c>
      <c r="E962" s="118" t="s">
        <v>953</v>
      </c>
      <c r="F962" s="147">
        <v>1</v>
      </c>
      <c r="G962" s="120" t="s">
        <v>759</v>
      </c>
      <c r="H962" s="148">
        <v>50000</v>
      </c>
      <c r="J962"/>
      <c r="K962"/>
      <c r="L962"/>
      <c r="M962"/>
      <c r="N962"/>
      <c r="O962"/>
    </row>
    <row r="963" spans="1:15" x14ac:dyDescent="0.25">
      <c r="A963" s="115">
        <v>962</v>
      </c>
      <c r="B963" s="145">
        <v>45456</v>
      </c>
      <c r="C963" s="146">
        <v>2024</v>
      </c>
      <c r="D963" s="118" t="s">
        <v>35</v>
      </c>
      <c r="E963" s="118" t="s">
        <v>953</v>
      </c>
      <c r="F963" s="147">
        <v>1</v>
      </c>
      <c r="G963" s="120" t="s">
        <v>759</v>
      </c>
      <c r="H963" s="148">
        <v>400000</v>
      </c>
      <c r="J963"/>
      <c r="K963"/>
      <c r="L963"/>
      <c r="M963"/>
      <c r="N963"/>
      <c r="O963"/>
    </row>
    <row r="964" spans="1:15" x14ac:dyDescent="0.25">
      <c r="A964" s="115">
        <v>963</v>
      </c>
      <c r="B964" s="145">
        <v>45456</v>
      </c>
      <c r="C964" s="146">
        <v>2024</v>
      </c>
      <c r="D964" s="118" t="s">
        <v>35</v>
      </c>
      <c r="E964" s="118" t="s">
        <v>918</v>
      </c>
      <c r="F964" s="147">
        <v>1</v>
      </c>
      <c r="G964" s="120" t="s">
        <v>759</v>
      </c>
      <c r="H964" s="148">
        <v>140000</v>
      </c>
      <c r="J964"/>
      <c r="K964"/>
      <c r="L964"/>
      <c r="M964"/>
      <c r="N964"/>
      <c r="O964"/>
    </row>
    <row r="965" spans="1:15" x14ac:dyDescent="0.25">
      <c r="A965" s="115">
        <v>964</v>
      </c>
      <c r="B965" s="145">
        <v>45456</v>
      </c>
      <c r="C965" s="146">
        <v>2024</v>
      </c>
      <c r="D965" s="118" t="s">
        <v>35</v>
      </c>
      <c r="E965" s="118" t="s">
        <v>953</v>
      </c>
      <c r="F965" s="147">
        <v>1</v>
      </c>
      <c r="G965" s="120" t="s">
        <v>759</v>
      </c>
      <c r="H965" s="148">
        <v>50000</v>
      </c>
      <c r="J965"/>
      <c r="K965"/>
      <c r="L965"/>
      <c r="M965"/>
      <c r="N965"/>
      <c r="O965"/>
    </row>
    <row r="966" spans="1:15" x14ac:dyDescent="0.25">
      <c r="A966" s="115">
        <v>965</v>
      </c>
      <c r="B966" s="145">
        <v>45456</v>
      </c>
      <c r="C966" s="146">
        <v>2024</v>
      </c>
      <c r="D966" s="118" t="s">
        <v>35</v>
      </c>
      <c r="E966" s="118" t="s">
        <v>953</v>
      </c>
      <c r="F966" s="147">
        <v>1</v>
      </c>
      <c r="G966" s="120" t="s">
        <v>759</v>
      </c>
      <c r="H966" s="148">
        <v>400000</v>
      </c>
      <c r="J966"/>
      <c r="K966"/>
      <c r="L966"/>
      <c r="M966"/>
      <c r="N966"/>
      <c r="O966"/>
    </row>
    <row r="967" spans="1:15" x14ac:dyDescent="0.25">
      <c r="A967" s="115">
        <v>966</v>
      </c>
      <c r="B967" s="145">
        <v>45456</v>
      </c>
      <c r="C967" s="146">
        <v>2024</v>
      </c>
      <c r="D967" s="118" t="s">
        <v>35</v>
      </c>
      <c r="E967" s="118" t="s">
        <v>1107</v>
      </c>
      <c r="F967" s="147">
        <v>1</v>
      </c>
      <c r="G967" s="120" t="s">
        <v>759</v>
      </c>
      <c r="H967" s="148">
        <v>185500</v>
      </c>
      <c r="J967"/>
      <c r="K967"/>
      <c r="L967"/>
      <c r="M967"/>
      <c r="N967"/>
      <c r="O967"/>
    </row>
    <row r="968" spans="1:15" x14ac:dyDescent="0.25">
      <c r="A968" s="115">
        <v>967</v>
      </c>
      <c r="B968" s="145">
        <v>45456</v>
      </c>
      <c r="C968" s="146">
        <v>2024</v>
      </c>
      <c r="D968" s="118" t="s">
        <v>35</v>
      </c>
      <c r="E968" s="118" t="s">
        <v>955</v>
      </c>
      <c r="F968" s="147">
        <v>1</v>
      </c>
      <c r="G968" s="120" t="s">
        <v>759</v>
      </c>
      <c r="H968" s="148">
        <v>184000</v>
      </c>
      <c r="J968"/>
      <c r="K968"/>
      <c r="L968"/>
      <c r="M968"/>
      <c r="N968"/>
      <c r="O968"/>
    </row>
    <row r="969" spans="1:15" x14ac:dyDescent="0.25">
      <c r="A969" s="115">
        <v>968</v>
      </c>
      <c r="B969" s="145">
        <v>45456</v>
      </c>
      <c r="C969" s="146">
        <v>2024</v>
      </c>
      <c r="D969" s="118" t="s">
        <v>35</v>
      </c>
      <c r="E969" s="118" t="s">
        <v>918</v>
      </c>
      <c r="F969" s="147">
        <v>1</v>
      </c>
      <c r="G969" s="120" t="s">
        <v>759</v>
      </c>
      <c r="H969" s="148">
        <v>100000</v>
      </c>
      <c r="J969"/>
      <c r="K969"/>
      <c r="L969"/>
      <c r="M969"/>
      <c r="N969"/>
      <c r="O969"/>
    </row>
    <row r="970" spans="1:15" x14ac:dyDescent="0.25">
      <c r="A970" s="115">
        <v>969</v>
      </c>
      <c r="B970" s="145">
        <v>45456</v>
      </c>
      <c r="C970" s="146">
        <v>2024</v>
      </c>
      <c r="D970" s="118" t="s">
        <v>35</v>
      </c>
      <c r="E970" s="118" t="s">
        <v>953</v>
      </c>
      <c r="F970" s="147">
        <v>1</v>
      </c>
      <c r="G970" s="120" t="s">
        <v>759</v>
      </c>
      <c r="H970" s="148">
        <v>400000</v>
      </c>
      <c r="J970"/>
      <c r="K970"/>
      <c r="L970"/>
      <c r="M970"/>
      <c r="N970"/>
      <c r="O970"/>
    </row>
    <row r="971" spans="1:15" x14ac:dyDescent="0.25">
      <c r="A971" s="115">
        <v>970</v>
      </c>
      <c r="B971" s="145">
        <v>45456</v>
      </c>
      <c r="C971" s="146">
        <v>2024</v>
      </c>
      <c r="D971" s="118" t="s">
        <v>35</v>
      </c>
      <c r="E971" s="118" t="s">
        <v>1107</v>
      </c>
      <c r="F971" s="147">
        <v>1</v>
      </c>
      <c r="G971" s="120" t="s">
        <v>759</v>
      </c>
      <c r="H971" s="148">
        <v>184000</v>
      </c>
      <c r="J971"/>
      <c r="K971"/>
      <c r="L971"/>
      <c r="M971"/>
      <c r="N971"/>
      <c r="O971"/>
    </row>
    <row r="972" spans="1:15" x14ac:dyDescent="0.25">
      <c r="A972" s="115">
        <v>971</v>
      </c>
      <c r="B972" s="145">
        <v>45456</v>
      </c>
      <c r="C972" s="146">
        <v>2024</v>
      </c>
      <c r="D972" s="118" t="s">
        <v>35</v>
      </c>
      <c r="E972" s="118" t="s">
        <v>838</v>
      </c>
      <c r="F972" s="147">
        <v>1</v>
      </c>
      <c r="G972" s="120" t="s">
        <v>759</v>
      </c>
      <c r="H972" s="148">
        <v>75000</v>
      </c>
      <c r="J972"/>
      <c r="K972"/>
      <c r="L972"/>
      <c r="M972"/>
      <c r="N972"/>
      <c r="O972"/>
    </row>
    <row r="973" spans="1:15" x14ac:dyDescent="0.25">
      <c r="A973" s="115">
        <v>972</v>
      </c>
      <c r="B973" s="145">
        <v>45456</v>
      </c>
      <c r="C973" s="146">
        <v>2024</v>
      </c>
      <c r="D973" s="118" t="s">
        <v>35</v>
      </c>
      <c r="E973" s="118" t="s">
        <v>124</v>
      </c>
      <c r="F973" s="147">
        <v>1</v>
      </c>
      <c r="G973" s="120" t="s">
        <v>759</v>
      </c>
      <c r="H973" s="148">
        <v>300000</v>
      </c>
      <c r="J973"/>
      <c r="K973"/>
      <c r="L973"/>
      <c r="M973"/>
      <c r="N973"/>
      <c r="O973"/>
    </row>
    <row r="974" spans="1:15" x14ac:dyDescent="0.25">
      <c r="A974" s="115">
        <v>973</v>
      </c>
      <c r="B974" s="145">
        <v>45456</v>
      </c>
      <c r="C974" s="146">
        <v>2024</v>
      </c>
      <c r="D974" s="118" t="s">
        <v>35</v>
      </c>
      <c r="E974" s="118" t="s">
        <v>953</v>
      </c>
      <c r="F974" s="147">
        <v>1</v>
      </c>
      <c r="G974" s="120" t="s">
        <v>759</v>
      </c>
      <c r="H974" s="148">
        <v>400000</v>
      </c>
      <c r="J974"/>
      <c r="K974"/>
      <c r="L974"/>
      <c r="M974"/>
      <c r="N974"/>
      <c r="O974"/>
    </row>
    <row r="975" spans="1:15" x14ac:dyDescent="0.25">
      <c r="A975" s="115">
        <v>974</v>
      </c>
      <c r="B975" s="145">
        <v>45456</v>
      </c>
      <c r="C975" s="146">
        <v>2024</v>
      </c>
      <c r="D975" s="118" t="s">
        <v>35</v>
      </c>
      <c r="E975" s="118" t="s">
        <v>953</v>
      </c>
      <c r="F975" s="147">
        <v>1</v>
      </c>
      <c r="G975" s="120" t="s">
        <v>759</v>
      </c>
      <c r="H975" s="148">
        <v>50000</v>
      </c>
      <c r="J975"/>
      <c r="K975"/>
      <c r="L975"/>
      <c r="M975"/>
      <c r="N975"/>
      <c r="O975"/>
    </row>
    <row r="976" spans="1:15" x14ac:dyDescent="0.25">
      <c r="A976" s="115">
        <v>975</v>
      </c>
      <c r="B976" s="145">
        <v>45456</v>
      </c>
      <c r="C976" s="146">
        <v>2024</v>
      </c>
      <c r="D976" s="118" t="s">
        <v>35</v>
      </c>
      <c r="E976" s="118" t="s">
        <v>1107</v>
      </c>
      <c r="F976" s="147">
        <v>1</v>
      </c>
      <c r="G976" s="120" t="s">
        <v>759</v>
      </c>
      <c r="H976" s="148">
        <v>184000</v>
      </c>
      <c r="J976"/>
      <c r="K976"/>
      <c r="L976"/>
      <c r="M976"/>
      <c r="N976"/>
      <c r="O976"/>
    </row>
    <row r="977" spans="1:15" x14ac:dyDescent="0.25">
      <c r="A977" s="115">
        <v>976</v>
      </c>
      <c r="B977" s="145">
        <v>45456</v>
      </c>
      <c r="C977" s="146">
        <v>2024</v>
      </c>
      <c r="D977" s="118" t="s">
        <v>35</v>
      </c>
      <c r="E977" s="118" t="s">
        <v>918</v>
      </c>
      <c r="F977" s="147">
        <v>1</v>
      </c>
      <c r="G977" s="120" t="s">
        <v>759</v>
      </c>
      <c r="H977" s="148">
        <v>100000</v>
      </c>
      <c r="J977"/>
      <c r="K977"/>
      <c r="L977"/>
      <c r="M977"/>
      <c r="N977"/>
      <c r="O977"/>
    </row>
    <row r="978" spans="1:15" x14ac:dyDescent="0.25">
      <c r="A978" s="115">
        <v>977</v>
      </c>
      <c r="B978" s="145">
        <v>45456</v>
      </c>
      <c r="C978" s="146">
        <v>2024</v>
      </c>
      <c r="D978" s="118" t="s">
        <v>35</v>
      </c>
      <c r="E978" s="118" t="s">
        <v>953</v>
      </c>
      <c r="F978" s="147">
        <v>1</v>
      </c>
      <c r="G978" s="120" t="s">
        <v>759</v>
      </c>
      <c r="H978" s="148">
        <v>400000</v>
      </c>
      <c r="J978"/>
      <c r="K978"/>
      <c r="L978"/>
      <c r="M978"/>
      <c r="N978"/>
      <c r="O978"/>
    </row>
    <row r="979" spans="1:15" x14ac:dyDescent="0.25">
      <c r="A979" s="115">
        <v>978</v>
      </c>
      <c r="B979" s="145">
        <v>45456</v>
      </c>
      <c r="C979" s="146">
        <v>2024</v>
      </c>
      <c r="D979" s="118" t="s">
        <v>35</v>
      </c>
      <c r="E979" s="118" t="s">
        <v>838</v>
      </c>
      <c r="F979" s="147">
        <v>1</v>
      </c>
      <c r="G979" s="120" t="s">
        <v>759</v>
      </c>
      <c r="H979" s="148">
        <v>75000</v>
      </c>
      <c r="J979"/>
      <c r="K979"/>
      <c r="L979"/>
      <c r="M979"/>
      <c r="N979"/>
      <c r="O979"/>
    </row>
    <row r="980" spans="1:15" x14ac:dyDescent="0.25">
      <c r="A980" s="115">
        <v>979</v>
      </c>
      <c r="B980" s="145">
        <v>45456</v>
      </c>
      <c r="C980" s="146">
        <v>2024</v>
      </c>
      <c r="D980" s="118" t="s">
        <v>35</v>
      </c>
      <c r="E980" s="118" t="s">
        <v>953</v>
      </c>
      <c r="F980" s="147">
        <v>1</v>
      </c>
      <c r="G980" s="120" t="s">
        <v>759</v>
      </c>
      <c r="H980" s="148">
        <v>400000</v>
      </c>
      <c r="J980"/>
      <c r="K980"/>
      <c r="L980"/>
      <c r="M980"/>
      <c r="N980"/>
      <c r="O980"/>
    </row>
    <row r="981" spans="1:15" x14ac:dyDescent="0.25">
      <c r="A981" s="115">
        <v>980</v>
      </c>
      <c r="B981" s="145">
        <v>45456</v>
      </c>
      <c r="C981" s="146">
        <v>2024</v>
      </c>
      <c r="D981" s="118" t="s">
        <v>35</v>
      </c>
      <c r="E981" s="118" t="s">
        <v>838</v>
      </c>
      <c r="F981" s="147">
        <v>1</v>
      </c>
      <c r="G981" s="120" t="s">
        <v>759</v>
      </c>
      <c r="H981" s="148">
        <v>75000</v>
      </c>
      <c r="J981"/>
      <c r="K981"/>
      <c r="L981"/>
      <c r="M981"/>
      <c r="N981"/>
      <c r="O981"/>
    </row>
    <row r="982" spans="1:15" x14ac:dyDescent="0.25">
      <c r="A982" s="115">
        <v>981</v>
      </c>
      <c r="B982" s="145">
        <v>45456</v>
      </c>
      <c r="C982" s="146">
        <v>2024</v>
      </c>
      <c r="D982" s="118" t="s">
        <v>35</v>
      </c>
      <c r="E982" s="118" t="s">
        <v>1109</v>
      </c>
      <c r="F982" s="147">
        <v>1</v>
      </c>
      <c r="G982" s="120" t="s">
        <v>759</v>
      </c>
      <c r="H982" s="148">
        <v>40000</v>
      </c>
      <c r="J982"/>
      <c r="K982"/>
      <c r="L982"/>
      <c r="M982"/>
      <c r="N982"/>
      <c r="O982"/>
    </row>
    <row r="983" spans="1:15" x14ac:dyDescent="0.25">
      <c r="A983" s="115">
        <v>982</v>
      </c>
      <c r="B983" s="145">
        <v>45456</v>
      </c>
      <c r="C983" s="146">
        <v>2024</v>
      </c>
      <c r="D983" s="118" t="s">
        <v>35</v>
      </c>
      <c r="E983" s="118" t="s">
        <v>1110</v>
      </c>
      <c r="F983" s="147">
        <v>1</v>
      </c>
      <c r="G983" s="120" t="s">
        <v>759</v>
      </c>
      <c r="H983" s="148">
        <v>85000</v>
      </c>
      <c r="J983"/>
      <c r="K983"/>
      <c r="L983"/>
      <c r="M983"/>
      <c r="N983"/>
      <c r="O983"/>
    </row>
    <row r="984" spans="1:15" x14ac:dyDescent="0.25">
      <c r="A984" s="115">
        <v>983</v>
      </c>
      <c r="B984" s="155">
        <v>45456</v>
      </c>
      <c r="C984" s="146">
        <v>2024</v>
      </c>
      <c r="D984" s="118" t="s">
        <v>35</v>
      </c>
      <c r="E984" s="118" t="s">
        <v>953</v>
      </c>
      <c r="F984" s="147">
        <v>1</v>
      </c>
      <c r="G984" s="120" t="s">
        <v>759</v>
      </c>
      <c r="H984" s="148">
        <v>400000</v>
      </c>
      <c r="J984"/>
      <c r="K984"/>
      <c r="L984"/>
      <c r="M984"/>
      <c r="N984"/>
      <c r="O984"/>
    </row>
    <row r="985" spans="1:15" x14ac:dyDescent="0.25">
      <c r="A985" s="115">
        <v>984</v>
      </c>
      <c r="B985" s="155">
        <v>45456</v>
      </c>
      <c r="C985" s="146">
        <v>2024</v>
      </c>
      <c r="D985" s="118" t="s">
        <v>35</v>
      </c>
      <c r="E985" s="118" t="s">
        <v>1107</v>
      </c>
      <c r="F985" s="147">
        <v>1</v>
      </c>
      <c r="G985" s="120" t="s">
        <v>759</v>
      </c>
      <c r="H985" s="148">
        <v>184000</v>
      </c>
      <c r="J985"/>
      <c r="K985"/>
      <c r="L985"/>
      <c r="M985"/>
      <c r="N985"/>
      <c r="O985"/>
    </row>
    <row r="986" spans="1:15" x14ac:dyDescent="0.25">
      <c r="A986" s="115">
        <v>985</v>
      </c>
      <c r="B986" s="155">
        <v>45456</v>
      </c>
      <c r="C986" s="146">
        <v>2024</v>
      </c>
      <c r="D986" s="118" t="s">
        <v>35</v>
      </c>
      <c r="E986" s="118" t="s">
        <v>953</v>
      </c>
      <c r="F986" s="147">
        <v>1</v>
      </c>
      <c r="G986" s="120" t="s">
        <v>759</v>
      </c>
      <c r="H986" s="148">
        <v>223000</v>
      </c>
      <c r="J986"/>
      <c r="K986"/>
      <c r="L986"/>
      <c r="M986"/>
      <c r="N986"/>
      <c r="O986"/>
    </row>
    <row r="987" spans="1:15" x14ac:dyDescent="0.25">
      <c r="A987" s="115">
        <v>986</v>
      </c>
      <c r="B987" s="155">
        <v>45456</v>
      </c>
      <c r="C987" s="146">
        <v>2024</v>
      </c>
      <c r="D987" s="118" t="s">
        <v>35</v>
      </c>
      <c r="E987" s="118" t="s">
        <v>838</v>
      </c>
      <c r="F987" s="147">
        <v>1</v>
      </c>
      <c r="G987" s="120" t="s">
        <v>759</v>
      </c>
      <c r="H987" s="148">
        <v>75000</v>
      </c>
      <c r="J987"/>
      <c r="K987"/>
      <c r="L987"/>
      <c r="M987"/>
      <c r="N987"/>
      <c r="O987"/>
    </row>
    <row r="988" spans="1:15" x14ac:dyDescent="0.25">
      <c r="A988" s="115">
        <v>987</v>
      </c>
      <c r="B988" s="145">
        <v>45456</v>
      </c>
      <c r="C988" s="146">
        <v>2024</v>
      </c>
      <c r="D988" s="118" t="s">
        <v>35</v>
      </c>
      <c r="E988" s="118" t="s">
        <v>953</v>
      </c>
      <c r="F988" s="147">
        <v>1</v>
      </c>
      <c r="G988" s="120" t="s">
        <v>759</v>
      </c>
      <c r="H988" s="148">
        <v>50000</v>
      </c>
      <c r="J988"/>
      <c r="K988"/>
      <c r="L988"/>
      <c r="M988"/>
      <c r="N988"/>
      <c r="O988"/>
    </row>
    <row r="989" spans="1:15" x14ac:dyDescent="0.25">
      <c r="A989" s="115">
        <v>988</v>
      </c>
      <c r="B989" s="145">
        <v>45456</v>
      </c>
      <c r="C989" s="146">
        <v>2024</v>
      </c>
      <c r="D989" s="118" t="s">
        <v>35</v>
      </c>
      <c r="E989" s="118" t="s">
        <v>953</v>
      </c>
      <c r="F989" s="147">
        <v>1</v>
      </c>
      <c r="G989" s="120" t="s">
        <v>759</v>
      </c>
      <c r="H989" s="148">
        <v>400000</v>
      </c>
      <c r="J989"/>
      <c r="K989"/>
      <c r="L989"/>
      <c r="M989"/>
      <c r="N989"/>
      <c r="O989"/>
    </row>
    <row r="990" spans="1:15" x14ac:dyDescent="0.25">
      <c r="A990" s="115">
        <v>989</v>
      </c>
      <c r="B990" s="145">
        <v>45456</v>
      </c>
      <c r="C990" s="146">
        <v>2024</v>
      </c>
      <c r="D990" s="118" t="s">
        <v>35</v>
      </c>
      <c r="E990" s="118" t="s">
        <v>1111</v>
      </c>
      <c r="F990" s="147">
        <v>1</v>
      </c>
      <c r="G990" s="120" t="s">
        <v>759</v>
      </c>
      <c r="H990" s="148">
        <v>184000</v>
      </c>
      <c r="J990"/>
      <c r="K990"/>
      <c r="L990"/>
      <c r="M990"/>
      <c r="N990"/>
      <c r="O990"/>
    </row>
    <row r="991" spans="1:15" x14ac:dyDescent="0.25">
      <c r="A991" s="115">
        <v>990</v>
      </c>
      <c r="B991" s="145">
        <v>45456</v>
      </c>
      <c r="C991" s="146">
        <v>2024</v>
      </c>
      <c r="D991" s="118" t="s">
        <v>35</v>
      </c>
      <c r="E991" s="118" t="s">
        <v>918</v>
      </c>
      <c r="F991" s="147">
        <v>1</v>
      </c>
      <c r="G991" s="120" t="s">
        <v>759</v>
      </c>
      <c r="H991" s="148">
        <v>140000</v>
      </c>
      <c r="J991"/>
      <c r="K991"/>
      <c r="L991"/>
      <c r="M991"/>
      <c r="N991"/>
      <c r="O991"/>
    </row>
    <row r="992" spans="1:15" x14ac:dyDescent="0.25">
      <c r="A992" s="115">
        <v>991</v>
      </c>
      <c r="B992" s="145">
        <v>45456</v>
      </c>
      <c r="C992" s="146">
        <v>2024</v>
      </c>
      <c r="D992" s="118" t="s">
        <v>35</v>
      </c>
      <c r="E992" s="118" t="s">
        <v>839</v>
      </c>
      <c r="F992" s="147">
        <v>1</v>
      </c>
      <c r="G992" s="120" t="s">
        <v>759</v>
      </c>
      <c r="H992" s="148">
        <v>85000</v>
      </c>
      <c r="J992"/>
      <c r="K992"/>
      <c r="L992"/>
      <c r="M992"/>
      <c r="N992"/>
      <c r="O992"/>
    </row>
    <row r="993" spans="1:15" x14ac:dyDescent="0.25">
      <c r="A993" s="115">
        <v>992</v>
      </c>
      <c r="B993" s="145">
        <v>45456</v>
      </c>
      <c r="C993" s="146">
        <v>2024</v>
      </c>
      <c r="D993" s="118" t="s">
        <v>35</v>
      </c>
      <c r="E993" s="118" t="s">
        <v>839</v>
      </c>
      <c r="F993" s="147">
        <v>1</v>
      </c>
      <c r="G993" s="120" t="s">
        <v>759</v>
      </c>
      <c r="H993" s="148">
        <v>40000</v>
      </c>
      <c r="J993"/>
      <c r="K993"/>
      <c r="L993"/>
      <c r="M993"/>
      <c r="N993"/>
      <c r="O993"/>
    </row>
    <row r="994" spans="1:15" x14ac:dyDescent="0.25">
      <c r="A994" s="115">
        <v>993</v>
      </c>
      <c r="B994" s="145">
        <v>45456</v>
      </c>
      <c r="C994" s="146">
        <v>2024</v>
      </c>
      <c r="D994" s="118" t="s">
        <v>35</v>
      </c>
      <c r="E994" s="118" t="s">
        <v>953</v>
      </c>
      <c r="F994" s="147">
        <v>1</v>
      </c>
      <c r="G994" s="120" t="s">
        <v>759</v>
      </c>
      <c r="H994" s="148">
        <v>400000</v>
      </c>
      <c r="J994"/>
      <c r="K994"/>
      <c r="L994"/>
      <c r="M994"/>
      <c r="N994"/>
      <c r="O994"/>
    </row>
    <row r="995" spans="1:15" x14ac:dyDescent="0.25">
      <c r="A995" s="115">
        <v>994</v>
      </c>
      <c r="B995" s="116">
        <v>45461</v>
      </c>
      <c r="C995" s="117">
        <v>2024</v>
      </c>
      <c r="D995" s="118" t="s">
        <v>833</v>
      </c>
      <c r="E995" s="119" t="s">
        <v>175</v>
      </c>
      <c r="F995" s="120">
        <v>5</v>
      </c>
      <c r="G995" s="120" t="s">
        <v>759</v>
      </c>
      <c r="H995" s="121">
        <v>39250</v>
      </c>
      <c r="J995"/>
      <c r="K995"/>
      <c r="L995"/>
      <c r="M995"/>
      <c r="N995"/>
      <c r="O995"/>
    </row>
    <row r="996" spans="1:15" x14ac:dyDescent="0.25">
      <c r="A996" s="115">
        <v>995</v>
      </c>
      <c r="B996" s="116">
        <v>45461</v>
      </c>
      <c r="C996" s="117">
        <v>2024</v>
      </c>
      <c r="D996" s="118" t="s">
        <v>833</v>
      </c>
      <c r="E996" s="119" t="s">
        <v>175</v>
      </c>
      <c r="F996" s="120">
        <v>10</v>
      </c>
      <c r="G996" s="120" t="s">
        <v>759</v>
      </c>
      <c r="H996" s="121">
        <v>115000</v>
      </c>
      <c r="J996"/>
      <c r="K996"/>
      <c r="L996"/>
      <c r="M996"/>
      <c r="N996"/>
      <c r="O996"/>
    </row>
    <row r="997" spans="1:15" x14ac:dyDescent="0.25">
      <c r="A997" s="115">
        <v>996</v>
      </c>
      <c r="B997" s="116">
        <v>45461</v>
      </c>
      <c r="C997" s="117">
        <v>2024</v>
      </c>
      <c r="D997" s="118" t="s">
        <v>833</v>
      </c>
      <c r="E997" s="119" t="s">
        <v>1112</v>
      </c>
      <c r="F997" s="120">
        <v>12</v>
      </c>
      <c r="G997" s="120" t="s">
        <v>759</v>
      </c>
      <c r="H997" s="121">
        <v>10020</v>
      </c>
      <c r="J997"/>
      <c r="K997"/>
      <c r="L997"/>
      <c r="M997"/>
      <c r="N997"/>
      <c r="O997"/>
    </row>
    <row r="998" spans="1:15" x14ac:dyDescent="0.25">
      <c r="A998" s="115">
        <v>997</v>
      </c>
      <c r="B998" s="116">
        <v>45461</v>
      </c>
      <c r="C998" s="117">
        <v>2024</v>
      </c>
      <c r="D998" s="118" t="s">
        <v>833</v>
      </c>
      <c r="E998" s="119" t="s">
        <v>511</v>
      </c>
      <c r="F998" s="120">
        <v>2</v>
      </c>
      <c r="G998" s="120" t="s">
        <v>759</v>
      </c>
      <c r="H998" s="121">
        <v>33000</v>
      </c>
      <c r="J998"/>
      <c r="K998"/>
      <c r="L998"/>
      <c r="M998"/>
      <c r="N998"/>
      <c r="O998"/>
    </row>
    <row r="999" spans="1:15" x14ac:dyDescent="0.25">
      <c r="A999" s="115">
        <v>998</v>
      </c>
      <c r="B999" s="116">
        <v>45461</v>
      </c>
      <c r="C999" s="117">
        <v>2024</v>
      </c>
      <c r="D999" s="118" t="s">
        <v>833</v>
      </c>
      <c r="E999" s="119" t="s">
        <v>87</v>
      </c>
      <c r="F999" s="120">
        <v>12</v>
      </c>
      <c r="G999" s="120" t="s">
        <v>759</v>
      </c>
      <c r="H999" s="121">
        <v>18600</v>
      </c>
      <c r="J999"/>
      <c r="K999"/>
      <c r="L999"/>
      <c r="M999"/>
      <c r="N999"/>
      <c r="O999"/>
    </row>
    <row r="1000" spans="1:15" x14ac:dyDescent="0.25">
      <c r="A1000" s="115">
        <v>999</v>
      </c>
      <c r="B1000" s="116">
        <v>45461</v>
      </c>
      <c r="C1000" s="117">
        <v>2024</v>
      </c>
      <c r="D1000" s="118" t="s">
        <v>833</v>
      </c>
      <c r="E1000" s="119" t="s">
        <v>645</v>
      </c>
      <c r="F1000" s="120">
        <v>3</v>
      </c>
      <c r="G1000" s="120" t="s">
        <v>759</v>
      </c>
      <c r="H1000" s="121">
        <v>6600</v>
      </c>
      <c r="J1000"/>
      <c r="K1000"/>
      <c r="L1000"/>
      <c r="M1000"/>
      <c r="N1000"/>
      <c r="O1000"/>
    </row>
    <row r="1001" spans="1:15" x14ac:dyDescent="0.25">
      <c r="A1001" s="115">
        <v>1000</v>
      </c>
      <c r="B1001" s="116">
        <v>45461</v>
      </c>
      <c r="C1001" s="117">
        <v>2024</v>
      </c>
      <c r="D1001" s="118" t="s">
        <v>833</v>
      </c>
      <c r="E1001" s="119" t="s">
        <v>91</v>
      </c>
      <c r="F1001" s="120">
        <v>1</v>
      </c>
      <c r="G1001" s="120" t="s">
        <v>759</v>
      </c>
      <c r="H1001" s="121">
        <v>6000</v>
      </c>
      <c r="J1001"/>
      <c r="K1001"/>
      <c r="L1001"/>
      <c r="M1001"/>
      <c r="N1001"/>
      <c r="O1001"/>
    </row>
    <row r="1002" spans="1:15" x14ac:dyDescent="0.25">
      <c r="A1002" s="115">
        <v>1001</v>
      </c>
      <c r="B1002" s="116">
        <v>45461</v>
      </c>
      <c r="C1002" s="117">
        <v>2024</v>
      </c>
      <c r="D1002" s="118" t="s">
        <v>833</v>
      </c>
      <c r="E1002" s="119" t="s">
        <v>398</v>
      </c>
      <c r="F1002" s="120">
        <v>12</v>
      </c>
      <c r="G1002" s="120" t="s">
        <v>759</v>
      </c>
      <c r="H1002" s="121">
        <v>19500</v>
      </c>
      <c r="J1002"/>
      <c r="K1002"/>
      <c r="L1002"/>
      <c r="M1002"/>
      <c r="N1002"/>
      <c r="O1002"/>
    </row>
    <row r="1003" spans="1:15" x14ac:dyDescent="0.25">
      <c r="A1003" s="115">
        <v>1002</v>
      </c>
      <c r="B1003" s="116">
        <v>45461</v>
      </c>
      <c r="C1003" s="117">
        <v>2024</v>
      </c>
      <c r="D1003" s="118" t="s">
        <v>833</v>
      </c>
      <c r="E1003" s="119" t="s">
        <v>620</v>
      </c>
      <c r="F1003" s="120">
        <v>1</v>
      </c>
      <c r="G1003" s="120" t="s">
        <v>759</v>
      </c>
      <c r="H1003" s="121">
        <v>28500</v>
      </c>
      <c r="J1003"/>
      <c r="K1003"/>
      <c r="L1003"/>
      <c r="M1003"/>
      <c r="N1003"/>
      <c r="O1003"/>
    </row>
    <row r="1004" spans="1:15" x14ac:dyDescent="0.25">
      <c r="A1004" s="115">
        <v>1003</v>
      </c>
      <c r="B1004" s="116">
        <v>45461</v>
      </c>
      <c r="C1004" s="117">
        <v>2024</v>
      </c>
      <c r="D1004" s="118" t="s">
        <v>833</v>
      </c>
      <c r="E1004" s="119" t="s">
        <v>478</v>
      </c>
      <c r="F1004" s="120">
        <v>6</v>
      </c>
      <c r="G1004" s="120" t="s">
        <v>759</v>
      </c>
      <c r="H1004" s="121">
        <v>271500</v>
      </c>
      <c r="J1004"/>
      <c r="K1004"/>
      <c r="L1004"/>
      <c r="M1004"/>
      <c r="N1004"/>
      <c r="O1004"/>
    </row>
    <row r="1005" spans="1:15" x14ac:dyDescent="0.25">
      <c r="A1005" s="115">
        <v>1004</v>
      </c>
      <c r="B1005" s="116">
        <v>45461</v>
      </c>
      <c r="C1005" s="117">
        <v>2024</v>
      </c>
      <c r="D1005" s="118" t="s">
        <v>833</v>
      </c>
      <c r="E1005" s="119" t="s">
        <v>478</v>
      </c>
      <c r="F1005" s="120">
        <v>50</v>
      </c>
      <c r="G1005" s="120" t="s">
        <v>759</v>
      </c>
      <c r="H1005" s="121">
        <v>36500</v>
      </c>
      <c r="J1005"/>
      <c r="K1005"/>
      <c r="L1005"/>
      <c r="M1005"/>
      <c r="N1005"/>
      <c r="O1005"/>
    </row>
    <row r="1006" spans="1:15" x14ac:dyDescent="0.25">
      <c r="A1006" s="115">
        <v>1005</v>
      </c>
      <c r="B1006" s="116">
        <v>45461</v>
      </c>
      <c r="C1006" s="117">
        <v>2024</v>
      </c>
      <c r="D1006" s="118" t="s">
        <v>833</v>
      </c>
      <c r="E1006" s="119" t="s">
        <v>478</v>
      </c>
      <c r="F1006" s="120">
        <v>2</v>
      </c>
      <c r="G1006" s="120" t="s">
        <v>759</v>
      </c>
      <c r="H1006" s="121">
        <v>666000</v>
      </c>
      <c r="J1006"/>
      <c r="K1006"/>
      <c r="L1006"/>
      <c r="M1006"/>
      <c r="N1006"/>
      <c r="O1006"/>
    </row>
    <row r="1007" spans="1:15" x14ac:dyDescent="0.25">
      <c r="A1007" s="115">
        <v>1006</v>
      </c>
      <c r="B1007" s="116">
        <v>45461</v>
      </c>
      <c r="C1007" s="117">
        <v>2024</v>
      </c>
      <c r="D1007" s="118" t="s">
        <v>851</v>
      </c>
      <c r="E1007" s="119" t="s">
        <v>299</v>
      </c>
      <c r="F1007" s="120">
        <v>30</v>
      </c>
      <c r="G1007" s="120" t="s">
        <v>759</v>
      </c>
      <c r="H1007" s="121">
        <v>202500</v>
      </c>
      <c r="J1007"/>
      <c r="K1007"/>
      <c r="L1007"/>
      <c r="M1007"/>
      <c r="N1007"/>
      <c r="O1007"/>
    </row>
    <row r="1008" spans="1:15" x14ac:dyDescent="0.25">
      <c r="A1008" s="115">
        <v>1007</v>
      </c>
      <c r="B1008" s="116">
        <v>45461</v>
      </c>
      <c r="C1008" s="117">
        <v>2024</v>
      </c>
      <c r="D1008" s="118" t="s">
        <v>851</v>
      </c>
      <c r="E1008" s="119" t="s">
        <v>299</v>
      </c>
      <c r="F1008" s="120">
        <v>30</v>
      </c>
      <c r="G1008" s="120" t="s">
        <v>759</v>
      </c>
      <c r="H1008" s="121">
        <v>202500</v>
      </c>
      <c r="J1008"/>
      <c r="K1008"/>
      <c r="L1008"/>
      <c r="M1008"/>
      <c r="N1008"/>
      <c r="O1008"/>
    </row>
    <row r="1009" spans="1:15" x14ac:dyDescent="0.25">
      <c r="A1009" s="115">
        <v>1008</v>
      </c>
      <c r="B1009" s="116">
        <v>45461</v>
      </c>
      <c r="C1009" s="117">
        <v>2024</v>
      </c>
      <c r="D1009" s="118" t="s">
        <v>851</v>
      </c>
      <c r="E1009" s="119" t="s">
        <v>159</v>
      </c>
      <c r="F1009" s="120">
        <v>2</v>
      </c>
      <c r="G1009" s="120" t="s">
        <v>759</v>
      </c>
      <c r="H1009" s="121">
        <v>30000</v>
      </c>
      <c r="J1009"/>
      <c r="K1009"/>
      <c r="L1009"/>
      <c r="M1009"/>
      <c r="N1009"/>
      <c r="O1009"/>
    </row>
    <row r="1010" spans="1:15" x14ac:dyDescent="0.25">
      <c r="A1010" s="115">
        <v>1009</v>
      </c>
      <c r="B1010" s="116">
        <v>45461</v>
      </c>
      <c r="C1010" s="117">
        <v>2024</v>
      </c>
      <c r="D1010" s="118" t="s">
        <v>833</v>
      </c>
      <c r="E1010" s="119" t="s">
        <v>632</v>
      </c>
      <c r="F1010" s="120">
        <v>30</v>
      </c>
      <c r="G1010" s="120" t="s">
        <v>759</v>
      </c>
      <c r="H1010" s="121">
        <v>54000</v>
      </c>
      <c r="J1010"/>
      <c r="K1010"/>
      <c r="L1010"/>
      <c r="M1010"/>
      <c r="N1010"/>
      <c r="O1010"/>
    </row>
    <row r="1011" spans="1:15" x14ac:dyDescent="0.25">
      <c r="A1011" s="115">
        <v>1010</v>
      </c>
      <c r="B1011" s="116">
        <v>45461</v>
      </c>
      <c r="C1011" s="117">
        <v>2024</v>
      </c>
      <c r="D1011" s="118" t="s">
        <v>833</v>
      </c>
      <c r="E1011" s="119" t="s">
        <v>1113</v>
      </c>
      <c r="F1011" s="120">
        <v>10</v>
      </c>
      <c r="G1011" s="120" t="s">
        <v>759</v>
      </c>
      <c r="H1011" s="121">
        <v>14750</v>
      </c>
      <c r="J1011"/>
      <c r="K1011"/>
      <c r="L1011"/>
      <c r="M1011"/>
      <c r="N1011"/>
      <c r="O1011"/>
    </row>
    <row r="1012" spans="1:15" x14ac:dyDescent="0.25">
      <c r="A1012" s="115">
        <v>1011</v>
      </c>
      <c r="B1012" s="116">
        <v>45461</v>
      </c>
      <c r="C1012" s="117">
        <v>2024</v>
      </c>
      <c r="D1012" s="118" t="s">
        <v>833</v>
      </c>
      <c r="E1012" s="119" t="s">
        <v>491</v>
      </c>
      <c r="F1012" s="120">
        <v>2</v>
      </c>
      <c r="G1012" s="120" t="s">
        <v>759</v>
      </c>
      <c r="H1012" s="121">
        <v>16000</v>
      </c>
      <c r="J1012"/>
      <c r="K1012"/>
      <c r="L1012"/>
      <c r="M1012"/>
      <c r="N1012"/>
      <c r="O1012"/>
    </row>
    <row r="1013" spans="1:15" x14ac:dyDescent="0.25">
      <c r="A1013" s="115">
        <v>1012</v>
      </c>
      <c r="B1013" s="116">
        <v>45461</v>
      </c>
      <c r="C1013" s="117">
        <v>2024</v>
      </c>
      <c r="D1013" s="118" t="s">
        <v>833</v>
      </c>
      <c r="E1013" s="119" t="s">
        <v>1114</v>
      </c>
      <c r="F1013" s="120">
        <v>1</v>
      </c>
      <c r="G1013" s="120" t="s">
        <v>759</v>
      </c>
      <c r="H1013" s="121">
        <v>15000</v>
      </c>
      <c r="J1013"/>
      <c r="K1013"/>
      <c r="L1013"/>
      <c r="M1013"/>
      <c r="N1013"/>
      <c r="O1013"/>
    </row>
    <row r="1014" spans="1:15" x14ac:dyDescent="0.25">
      <c r="A1014" s="115">
        <v>1013</v>
      </c>
      <c r="B1014" s="116">
        <v>45461</v>
      </c>
      <c r="C1014" s="117">
        <v>2024</v>
      </c>
      <c r="D1014" s="118" t="s">
        <v>833</v>
      </c>
      <c r="E1014" s="119" t="s">
        <v>834</v>
      </c>
      <c r="F1014" s="120">
        <v>3</v>
      </c>
      <c r="G1014" s="120" t="s">
        <v>759</v>
      </c>
      <c r="H1014" s="121">
        <v>10500</v>
      </c>
      <c r="J1014"/>
      <c r="K1014"/>
      <c r="L1014"/>
      <c r="M1014"/>
      <c r="N1014"/>
      <c r="O1014"/>
    </row>
    <row r="1015" spans="1:15" x14ac:dyDescent="0.25">
      <c r="A1015" s="115">
        <v>1014</v>
      </c>
      <c r="B1015" s="116">
        <v>45461</v>
      </c>
      <c r="C1015" s="117">
        <v>2024</v>
      </c>
      <c r="D1015" s="118" t="s">
        <v>833</v>
      </c>
      <c r="E1015" s="119" t="s">
        <v>306</v>
      </c>
      <c r="F1015" s="120">
        <v>1</v>
      </c>
      <c r="G1015" s="120" t="s">
        <v>759</v>
      </c>
      <c r="H1015" s="121">
        <v>9500</v>
      </c>
      <c r="J1015"/>
      <c r="K1015"/>
      <c r="L1015"/>
      <c r="M1015"/>
      <c r="N1015"/>
      <c r="O1015"/>
    </row>
    <row r="1016" spans="1:15" x14ac:dyDescent="0.25">
      <c r="A1016" s="115">
        <v>1015</v>
      </c>
      <c r="B1016" s="116">
        <v>45461</v>
      </c>
      <c r="C1016" s="117">
        <v>2024</v>
      </c>
      <c r="D1016" s="118" t="s">
        <v>35</v>
      </c>
      <c r="E1016" s="119" t="s">
        <v>84</v>
      </c>
      <c r="F1016" s="120">
        <v>1</v>
      </c>
      <c r="G1016" s="120" t="s">
        <v>759</v>
      </c>
      <c r="H1016" s="121">
        <v>17500</v>
      </c>
      <c r="J1016"/>
      <c r="K1016"/>
      <c r="L1016"/>
      <c r="M1016"/>
      <c r="N1016"/>
      <c r="O1016"/>
    </row>
    <row r="1017" spans="1:15" x14ac:dyDescent="0.25">
      <c r="A1017" s="115">
        <v>1016</v>
      </c>
      <c r="B1017" s="116">
        <v>45461</v>
      </c>
      <c r="C1017" s="117">
        <v>2024</v>
      </c>
      <c r="D1017" s="118" t="s">
        <v>833</v>
      </c>
      <c r="E1017" s="119" t="s">
        <v>586</v>
      </c>
      <c r="F1017" s="120">
        <v>1</v>
      </c>
      <c r="G1017" s="120" t="s">
        <v>759</v>
      </c>
      <c r="H1017" s="121">
        <v>50000</v>
      </c>
      <c r="J1017"/>
      <c r="K1017"/>
      <c r="L1017"/>
      <c r="M1017"/>
      <c r="N1017"/>
      <c r="O1017"/>
    </row>
    <row r="1018" spans="1:15" x14ac:dyDescent="0.25">
      <c r="A1018" s="115">
        <v>1017</v>
      </c>
      <c r="B1018" s="116">
        <v>45462</v>
      </c>
      <c r="C1018" s="117">
        <v>2024</v>
      </c>
      <c r="D1018" s="118" t="s">
        <v>35</v>
      </c>
      <c r="E1018" s="119" t="s">
        <v>211</v>
      </c>
      <c r="F1018" s="120">
        <v>7</v>
      </c>
      <c r="G1018" s="120" t="s">
        <v>759</v>
      </c>
      <c r="H1018" s="121">
        <v>147000</v>
      </c>
      <c r="J1018"/>
      <c r="K1018"/>
      <c r="L1018"/>
      <c r="M1018"/>
      <c r="N1018"/>
      <c r="O1018"/>
    </row>
    <row r="1019" spans="1:15" x14ac:dyDescent="0.25">
      <c r="A1019" s="115">
        <v>1018</v>
      </c>
      <c r="B1019" s="116">
        <v>45462</v>
      </c>
      <c r="C1019" s="117">
        <v>2024</v>
      </c>
      <c r="D1019" s="118" t="s">
        <v>35</v>
      </c>
      <c r="E1019" s="119" t="s">
        <v>211</v>
      </c>
      <c r="F1019" s="120">
        <v>4</v>
      </c>
      <c r="G1019" s="120" t="s">
        <v>759</v>
      </c>
      <c r="H1019" s="121">
        <v>78000</v>
      </c>
      <c r="J1019"/>
      <c r="K1019"/>
      <c r="L1019"/>
      <c r="M1019"/>
      <c r="N1019"/>
      <c r="O1019"/>
    </row>
    <row r="1020" spans="1:15" x14ac:dyDescent="0.25">
      <c r="A1020" s="115">
        <v>1019</v>
      </c>
      <c r="B1020" s="116">
        <v>45463</v>
      </c>
      <c r="C1020" s="117">
        <v>2024</v>
      </c>
      <c r="D1020" s="118" t="s">
        <v>35</v>
      </c>
      <c r="E1020" s="119" t="s">
        <v>1115</v>
      </c>
      <c r="F1020" s="120">
        <v>1</v>
      </c>
      <c r="G1020" s="120" t="s">
        <v>759</v>
      </c>
      <c r="H1020" s="121">
        <v>10000</v>
      </c>
      <c r="J1020"/>
      <c r="K1020"/>
      <c r="L1020"/>
      <c r="M1020"/>
      <c r="N1020"/>
      <c r="O1020"/>
    </row>
    <row r="1021" spans="1:15" x14ac:dyDescent="0.25">
      <c r="A1021" s="115">
        <v>1020</v>
      </c>
      <c r="B1021" s="116">
        <v>45463</v>
      </c>
      <c r="C1021" s="117">
        <v>2024</v>
      </c>
      <c r="D1021" s="118" t="s">
        <v>851</v>
      </c>
      <c r="E1021" s="119" t="s">
        <v>192</v>
      </c>
      <c r="F1021" s="120">
        <v>3</v>
      </c>
      <c r="G1021" s="120" t="s">
        <v>759</v>
      </c>
      <c r="H1021" s="121">
        <v>285000</v>
      </c>
      <c r="J1021"/>
      <c r="K1021"/>
      <c r="L1021"/>
      <c r="M1021"/>
      <c r="N1021"/>
      <c r="O1021"/>
    </row>
    <row r="1022" spans="1:15" x14ac:dyDescent="0.25">
      <c r="A1022" s="115">
        <v>1021</v>
      </c>
      <c r="B1022" s="116">
        <v>45463</v>
      </c>
      <c r="C1022" s="117">
        <v>2024</v>
      </c>
      <c r="D1022" s="118" t="s">
        <v>35</v>
      </c>
      <c r="E1022" s="119" t="s">
        <v>1116</v>
      </c>
      <c r="F1022" s="120">
        <v>1</v>
      </c>
      <c r="G1022" s="120" t="s">
        <v>759</v>
      </c>
      <c r="H1022" s="121">
        <v>55429</v>
      </c>
      <c r="J1022"/>
      <c r="K1022"/>
      <c r="L1022"/>
      <c r="M1022"/>
      <c r="N1022"/>
      <c r="O1022"/>
    </row>
    <row r="1023" spans="1:15" x14ac:dyDescent="0.25">
      <c r="A1023" s="115">
        <v>1022</v>
      </c>
      <c r="B1023" s="116">
        <v>45463</v>
      </c>
      <c r="C1023" s="117">
        <v>2024</v>
      </c>
      <c r="D1023" s="118" t="s">
        <v>35</v>
      </c>
      <c r="E1023" s="119" t="s">
        <v>829</v>
      </c>
      <c r="F1023" s="120">
        <v>1</v>
      </c>
      <c r="G1023" s="120" t="s">
        <v>759</v>
      </c>
      <c r="H1023" s="121">
        <v>2103500</v>
      </c>
      <c r="J1023"/>
      <c r="K1023"/>
      <c r="L1023"/>
      <c r="M1023"/>
      <c r="N1023"/>
      <c r="O1023"/>
    </row>
    <row r="1024" spans="1:15" x14ac:dyDescent="0.25">
      <c r="A1024" s="115">
        <v>1023</v>
      </c>
      <c r="B1024" s="116">
        <v>45463</v>
      </c>
      <c r="C1024" s="117">
        <v>2024</v>
      </c>
      <c r="D1024" s="118" t="s">
        <v>35</v>
      </c>
      <c r="E1024" s="119" t="s">
        <v>1117</v>
      </c>
      <c r="F1024" s="120">
        <v>1</v>
      </c>
      <c r="G1024" s="120" t="s">
        <v>759</v>
      </c>
      <c r="H1024" s="121">
        <v>41990</v>
      </c>
      <c r="J1024"/>
      <c r="K1024"/>
      <c r="L1024"/>
      <c r="M1024"/>
      <c r="N1024"/>
      <c r="O1024"/>
    </row>
    <row r="1025" spans="1:15" x14ac:dyDescent="0.25">
      <c r="A1025" s="115">
        <v>1024</v>
      </c>
      <c r="B1025" s="116">
        <v>45464</v>
      </c>
      <c r="C1025" s="117">
        <v>2024</v>
      </c>
      <c r="D1025" s="118" t="s">
        <v>851</v>
      </c>
      <c r="E1025" s="119" t="s">
        <v>290</v>
      </c>
      <c r="F1025" s="120">
        <v>14</v>
      </c>
      <c r="G1025" s="120" t="s">
        <v>759</v>
      </c>
      <c r="H1025" s="121">
        <v>365000</v>
      </c>
      <c r="J1025"/>
      <c r="K1025"/>
      <c r="L1025"/>
      <c r="M1025"/>
      <c r="N1025"/>
      <c r="O1025"/>
    </row>
    <row r="1026" spans="1:15" x14ac:dyDescent="0.25">
      <c r="A1026" s="115">
        <v>1025</v>
      </c>
      <c r="B1026" s="116">
        <v>45471</v>
      </c>
      <c r="C1026" s="117">
        <v>2024</v>
      </c>
      <c r="D1026" s="118" t="s">
        <v>35</v>
      </c>
      <c r="E1026" s="119" t="s">
        <v>211</v>
      </c>
      <c r="F1026" s="120">
        <v>5</v>
      </c>
      <c r="G1026" s="120" t="s">
        <v>759</v>
      </c>
      <c r="H1026" s="121">
        <v>97500</v>
      </c>
      <c r="J1026"/>
      <c r="K1026"/>
      <c r="L1026"/>
      <c r="M1026"/>
      <c r="N1026"/>
      <c r="O1026"/>
    </row>
    <row r="1027" spans="1:15" x14ac:dyDescent="0.25">
      <c r="A1027" s="115">
        <v>1026</v>
      </c>
      <c r="B1027" s="116">
        <v>45471</v>
      </c>
      <c r="C1027" s="117">
        <v>2024</v>
      </c>
      <c r="D1027" s="118" t="s">
        <v>851</v>
      </c>
      <c r="E1027" s="119" t="s">
        <v>544</v>
      </c>
      <c r="F1027" s="120">
        <v>10</v>
      </c>
      <c r="G1027" s="120" t="s">
        <v>759</v>
      </c>
      <c r="H1027" s="121">
        <v>75000</v>
      </c>
      <c r="J1027"/>
      <c r="K1027"/>
      <c r="L1027"/>
      <c r="M1027"/>
      <c r="N1027"/>
      <c r="O1027"/>
    </row>
    <row r="1028" spans="1:15" x14ac:dyDescent="0.25">
      <c r="A1028" s="115">
        <v>1027</v>
      </c>
      <c r="B1028" s="116">
        <v>45471</v>
      </c>
      <c r="C1028" s="117">
        <v>2024</v>
      </c>
      <c r="D1028" s="118" t="s">
        <v>1118</v>
      </c>
      <c r="E1028" s="119" t="s">
        <v>589</v>
      </c>
      <c r="F1028" s="120">
        <v>80</v>
      </c>
      <c r="G1028" s="120" t="s">
        <v>759</v>
      </c>
      <c r="H1028" s="121">
        <v>30991000</v>
      </c>
      <c r="J1028"/>
      <c r="K1028"/>
      <c r="L1028"/>
      <c r="M1028"/>
      <c r="N1028"/>
      <c r="O1028"/>
    </row>
    <row r="1029" spans="1:15" x14ac:dyDescent="0.25">
      <c r="A1029" s="115">
        <v>1028</v>
      </c>
      <c r="B1029" s="116">
        <v>45471</v>
      </c>
      <c r="C1029" s="117">
        <v>2024</v>
      </c>
      <c r="D1029" s="118" t="s">
        <v>851</v>
      </c>
      <c r="E1029" s="119" t="s">
        <v>299</v>
      </c>
      <c r="F1029" s="120">
        <v>5</v>
      </c>
      <c r="G1029" s="120" t="s">
        <v>759</v>
      </c>
      <c r="H1029" s="121">
        <v>245000</v>
      </c>
      <c r="J1029"/>
      <c r="K1029"/>
      <c r="L1029"/>
      <c r="M1029"/>
      <c r="N1029"/>
      <c r="O1029"/>
    </row>
    <row r="1030" spans="1:15" x14ac:dyDescent="0.25">
      <c r="A1030" s="115">
        <v>1029</v>
      </c>
      <c r="B1030" s="145">
        <v>45477</v>
      </c>
      <c r="C1030" s="146">
        <v>2024</v>
      </c>
      <c r="D1030" s="118" t="s">
        <v>35</v>
      </c>
      <c r="E1030" s="118" t="s">
        <v>794</v>
      </c>
      <c r="F1030" s="147">
        <v>1</v>
      </c>
      <c r="G1030" s="120" t="s">
        <v>759</v>
      </c>
      <c r="H1030" s="148">
        <v>166500</v>
      </c>
      <c r="J1030"/>
      <c r="K1030"/>
      <c r="L1030"/>
      <c r="M1030"/>
      <c r="N1030"/>
      <c r="O1030"/>
    </row>
    <row r="1031" spans="1:15" x14ac:dyDescent="0.25">
      <c r="A1031" s="115">
        <v>1030</v>
      </c>
      <c r="B1031" s="145">
        <v>45477</v>
      </c>
      <c r="C1031" s="146">
        <v>2024</v>
      </c>
      <c r="D1031" s="118" t="s">
        <v>35</v>
      </c>
      <c r="E1031" s="118" t="s">
        <v>794</v>
      </c>
      <c r="F1031" s="147">
        <v>1</v>
      </c>
      <c r="G1031" s="120" t="s">
        <v>759</v>
      </c>
      <c r="H1031" s="148">
        <v>166500</v>
      </c>
      <c r="J1031"/>
      <c r="K1031"/>
      <c r="L1031"/>
      <c r="M1031"/>
      <c r="N1031"/>
      <c r="O1031"/>
    </row>
    <row r="1032" spans="1:15" x14ac:dyDescent="0.25">
      <c r="A1032" s="115">
        <v>1031</v>
      </c>
      <c r="B1032" s="145">
        <v>45477</v>
      </c>
      <c r="C1032" s="146">
        <v>2024</v>
      </c>
      <c r="D1032" s="118" t="s">
        <v>35</v>
      </c>
      <c r="E1032" s="118" t="s">
        <v>794</v>
      </c>
      <c r="F1032" s="147">
        <v>1</v>
      </c>
      <c r="G1032" s="120" t="s">
        <v>759</v>
      </c>
      <c r="H1032" s="148">
        <v>166500</v>
      </c>
      <c r="J1032"/>
      <c r="K1032"/>
      <c r="L1032"/>
      <c r="M1032"/>
      <c r="N1032"/>
      <c r="O1032"/>
    </row>
    <row r="1033" spans="1:15" x14ac:dyDescent="0.25">
      <c r="A1033" s="115">
        <v>1032</v>
      </c>
      <c r="B1033" s="145">
        <v>45477</v>
      </c>
      <c r="C1033" s="146">
        <v>2024</v>
      </c>
      <c r="D1033" s="118" t="s">
        <v>35</v>
      </c>
      <c r="E1033" s="118" t="s">
        <v>794</v>
      </c>
      <c r="F1033" s="147">
        <v>1</v>
      </c>
      <c r="G1033" s="120" t="s">
        <v>759</v>
      </c>
      <c r="H1033" s="148">
        <v>166500</v>
      </c>
      <c r="J1033"/>
      <c r="K1033"/>
      <c r="L1033"/>
      <c r="M1033"/>
      <c r="N1033"/>
      <c r="O1033"/>
    </row>
    <row r="1034" spans="1:15" x14ac:dyDescent="0.25">
      <c r="A1034" s="115">
        <v>1033</v>
      </c>
      <c r="B1034" s="145">
        <v>45477</v>
      </c>
      <c r="C1034" s="146">
        <v>2024</v>
      </c>
      <c r="D1034" s="118" t="s">
        <v>35</v>
      </c>
      <c r="E1034" s="118" t="s">
        <v>794</v>
      </c>
      <c r="F1034" s="147">
        <v>1</v>
      </c>
      <c r="G1034" s="120" t="s">
        <v>759</v>
      </c>
      <c r="H1034" s="148">
        <v>166500</v>
      </c>
      <c r="J1034"/>
      <c r="K1034"/>
      <c r="L1034"/>
      <c r="M1034"/>
      <c r="N1034"/>
      <c r="O1034"/>
    </row>
    <row r="1035" spans="1:15" x14ac:dyDescent="0.25">
      <c r="A1035" s="115">
        <v>1034</v>
      </c>
      <c r="B1035" s="116">
        <v>45479</v>
      </c>
      <c r="C1035" s="117">
        <v>2024</v>
      </c>
      <c r="D1035" s="118" t="s">
        <v>35</v>
      </c>
      <c r="E1035" s="119" t="s">
        <v>1119</v>
      </c>
      <c r="F1035" s="120">
        <v>1</v>
      </c>
      <c r="G1035" s="120" t="s">
        <v>759</v>
      </c>
      <c r="H1035" s="121">
        <v>315000</v>
      </c>
      <c r="J1035"/>
      <c r="K1035"/>
      <c r="L1035"/>
      <c r="M1035"/>
      <c r="N1035"/>
      <c r="O1035"/>
    </row>
    <row r="1036" spans="1:15" x14ac:dyDescent="0.25">
      <c r="A1036" s="115">
        <v>1035</v>
      </c>
      <c r="B1036" s="116">
        <v>45482</v>
      </c>
      <c r="C1036" s="117">
        <v>2024</v>
      </c>
      <c r="D1036" s="118" t="s">
        <v>259</v>
      </c>
      <c r="E1036" s="119" t="s">
        <v>1120</v>
      </c>
      <c r="F1036" s="120">
        <v>1</v>
      </c>
      <c r="G1036" s="120" t="s">
        <v>759</v>
      </c>
      <c r="H1036" s="121">
        <v>2050000</v>
      </c>
      <c r="J1036"/>
      <c r="K1036"/>
      <c r="L1036"/>
      <c r="M1036"/>
      <c r="N1036"/>
      <c r="O1036"/>
    </row>
    <row r="1037" spans="1:15" x14ac:dyDescent="0.25">
      <c r="A1037" s="115">
        <v>1036</v>
      </c>
      <c r="B1037" s="145">
        <v>45483</v>
      </c>
      <c r="C1037" s="146">
        <v>2024</v>
      </c>
      <c r="D1037" s="118" t="s">
        <v>35</v>
      </c>
      <c r="E1037" s="118" t="s">
        <v>252</v>
      </c>
      <c r="F1037" s="147">
        <v>1</v>
      </c>
      <c r="G1037" s="120" t="s">
        <v>759</v>
      </c>
      <c r="H1037" s="148">
        <v>635000</v>
      </c>
      <c r="J1037"/>
      <c r="K1037"/>
      <c r="L1037"/>
      <c r="M1037"/>
      <c r="N1037"/>
      <c r="O1037"/>
    </row>
    <row r="1038" spans="1:15" x14ac:dyDescent="0.25">
      <c r="A1038" s="115">
        <v>1037</v>
      </c>
      <c r="B1038" s="145">
        <v>45483</v>
      </c>
      <c r="C1038" s="146">
        <v>2024</v>
      </c>
      <c r="D1038" s="118" t="s">
        <v>35</v>
      </c>
      <c r="E1038" s="118" t="s">
        <v>1121</v>
      </c>
      <c r="F1038" s="147">
        <v>1</v>
      </c>
      <c r="G1038" s="120" t="s">
        <v>759</v>
      </c>
      <c r="H1038" s="148">
        <v>37500</v>
      </c>
      <c r="J1038"/>
      <c r="K1038"/>
      <c r="L1038"/>
      <c r="M1038"/>
      <c r="N1038"/>
      <c r="O1038"/>
    </row>
    <row r="1039" spans="1:15" x14ac:dyDescent="0.25">
      <c r="A1039" s="115">
        <v>1038</v>
      </c>
      <c r="B1039" s="145">
        <v>45483</v>
      </c>
      <c r="C1039" s="146">
        <v>2024</v>
      </c>
      <c r="D1039" s="118" t="s">
        <v>35</v>
      </c>
      <c r="E1039" s="118" t="s">
        <v>992</v>
      </c>
      <c r="F1039" s="147">
        <v>1</v>
      </c>
      <c r="G1039" s="120" t="s">
        <v>759</v>
      </c>
      <c r="H1039" s="148">
        <v>425000</v>
      </c>
      <c r="J1039"/>
      <c r="K1039"/>
      <c r="L1039"/>
      <c r="M1039"/>
      <c r="N1039"/>
      <c r="O1039"/>
    </row>
    <row r="1040" spans="1:15" x14ac:dyDescent="0.25">
      <c r="A1040" s="115">
        <v>1039</v>
      </c>
      <c r="B1040" s="145">
        <v>45483</v>
      </c>
      <c r="C1040" s="146">
        <v>2024</v>
      </c>
      <c r="D1040" s="118" t="s">
        <v>35</v>
      </c>
      <c r="E1040" s="118" t="s">
        <v>1122</v>
      </c>
      <c r="F1040" s="147">
        <v>1</v>
      </c>
      <c r="G1040" s="120" t="s">
        <v>759</v>
      </c>
      <c r="H1040" s="148">
        <v>20000</v>
      </c>
      <c r="J1040"/>
      <c r="K1040"/>
      <c r="L1040"/>
      <c r="M1040"/>
      <c r="N1040"/>
      <c r="O1040"/>
    </row>
    <row r="1041" spans="1:15" x14ac:dyDescent="0.25">
      <c r="A1041" s="115">
        <v>1040</v>
      </c>
      <c r="B1041" s="145">
        <v>45483</v>
      </c>
      <c r="C1041" s="146">
        <v>2024</v>
      </c>
      <c r="D1041" s="118" t="s">
        <v>35</v>
      </c>
      <c r="E1041" s="118" t="s">
        <v>941</v>
      </c>
      <c r="F1041" s="147">
        <v>1</v>
      </c>
      <c r="G1041" s="120" t="s">
        <v>759</v>
      </c>
      <c r="H1041" s="148">
        <v>75000</v>
      </c>
      <c r="J1041"/>
      <c r="K1041"/>
      <c r="L1041"/>
      <c r="M1041"/>
      <c r="N1041"/>
      <c r="O1041"/>
    </row>
    <row r="1042" spans="1:15" x14ac:dyDescent="0.25">
      <c r="A1042" s="115">
        <v>1041</v>
      </c>
      <c r="B1042" s="145">
        <v>45483</v>
      </c>
      <c r="C1042" s="146">
        <v>2024</v>
      </c>
      <c r="D1042" s="118" t="s">
        <v>35</v>
      </c>
      <c r="E1042" s="118" t="s">
        <v>1123</v>
      </c>
      <c r="F1042" s="147">
        <v>1</v>
      </c>
      <c r="G1042" s="120" t="s">
        <v>759</v>
      </c>
      <c r="H1042" s="148">
        <v>85000</v>
      </c>
      <c r="J1042"/>
      <c r="K1042"/>
      <c r="L1042"/>
      <c r="M1042"/>
      <c r="N1042"/>
      <c r="O1042"/>
    </row>
    <row r="1043" spans="1:15" x14ac:dyDescent="0.25">
      <c r="A1043" s="115">
        <v>1042</v>
      </c>
      <c r="B1043" s="145">
        <v>45483</v>
      </c>
      <c r="C1043" s="146">
        <v>2024</v>
      </c>
      <c r="D1043" s="118" t="s">
        <v>35</v>
      </c>
      <c r="E1043" s="118" t="s">
        <v>1124</v>
      </c>
      <c r="F1043" s="147">
        <v>1</v>
      </c>
      <c r="G1043" s="120" t="s">
        <v>759</v>
      </c>
      <c r="H1043" s="148">
        <v>250000</v>
      </c>
      <c r="J1043"/>
      <c r="K1043"/>
      <c r="L1043"/>
      <c r="M1043"/>
      <c r="N1043"/>
      <c r="O1043"/>
    </row>
    <row r="1044" spans="1:15" x14ac:dyDescent="0.25">
      <c r="A1044" s="115">
        <v>1043</v>
      </c>
      <c r="B1044" s="145">
        <v>45483</v>
      </c>
      <c r="C1044" s="146">
        <v>2024</v>
      </c>
      <c r="D1044" s="118" t="s">
        <v>35</v>
      </c>
      <c r="E1044" s="118" t="s">
        <v>1125</v>
      </c>
      <c r="F1044" s="147">
        <v>1</v>
      </c>
      <c r="G1044" s="120" t="s">
        <v>759</v>
      </c>
      <c r="H1044" s="148">
        <v>42500</v>
      </c>
      <c r="J1044"/>
      <c r="K1044"/>
      <c r="L1044"/>
      <c r="M1044"/>
      <c r="N1044"/>
      <c r="O1044"/>
    </row>
    <row r="1045" spans="1:15" x14ac:dyDescent="0.25">
      <c r="A1045" s="115">
        <v>1044</v>
      </c>
      <c r="B1045" s="145">
        <v>45483</v>
      </c>
      <c r="C1045" s="146">
        <v>2024</v>
      </c>
      <c r="D1045" s="118" t="s">
        <v>35</v>
      </c>
      <c r="E1045" s="118" t="s">
        <v>252</v>
      </c>
      <c r="F1045" s="147">
        <v>1</v>
      </c>
      <c r="G1045" s="120" t="s">
        <v>759</v>
      </c>
      <c r="H1045" s="148">
        <v>1740000</v>
      </c>
      <c r="J1045"/>
      <c r="K1045"/>
      <c r="L1045"/>
      <c r="M1045"/>
      <c r="N1045"/>
      <c r="O1045"/>
    </row>
    <row r="1046" spans="1:15" x14ac:dyDescent="0.25">
      <c r="A1046" s="115">
        <v>1045</v>
      </c>
      <c r="B1046" s="145">
        <v>45483</v>
      </c>
      <c r="C1046" s="146">
        <v>2024</v>
      </c>
      <c r="D1046" s="118" t="s">
        <v>35</v>
      </c>
      <c r="E1046" s="118" t="s">
        <v>252</v>
      </c>
      <c r="F1046" s="147">
        <v>1</v>
      </c>
      <c r="G1046" s="120" t="s">
        <v>759</v>
      </c>
      <c r="H1046" s="148">
        <v>60000</v>
      </c>
      <c r="J1046"/>
      <c r="K1046"/>
      <c r="L1046"/>
      <c r="M1046"/>
      <c r="N1046"/>
      <c r="O1046"/>
    </row>
    <row r="1047" spans="1:15" x14ac:dyDescent="0.25">
      <c r="A1047" s="115">
        <v>1046</v>
      </c>
      <c r="B1047" s="145">
        <v>45483</v>
      </c>
      <c r="C1047" s="146">
        <v>2024</v>
      </c>
      <c r="D1047" s="118" t="s">
        <v>35</v>
      </c>
      <c r="E1047" s="118" t="s">
        <v>778</v>
      </c>
      <c r="F1047" s="147">
        <v>1</v>
      </c>
      <c r="G1047" s="120" t="s">
        <v>759</v>
      </c>
      <c r="H1047" s="148">
        <v>75000</v>
      </c>
      <c r="J1047"/>
      <c r="K1047"/>
      <c r="L1047"/>
      <c r="M1047"/>
      <c r="N1047"/>
      <c r="O1047"/>
    </row>
    <row r="1048" spans="1:15" x14ac:dyDescent="0.25">
      <c r="A1048" s="115">
        <v>1047</v>
      </c>
      <c r="B1048" s="145">
        <v>45483</v>
      </c>
      <c r="C1048" s="146">
        <v>2024</v>
      </c>
      <c r="D1048" s="118" t="s">
        <v>35</v>
      </c>
      <c r="E1048" s="118" t="s">
        <v>1017</v>
      </c>
      <c r="F1048" s="147">
        <v>1</v>
      </c>
      <c r="G1048" s="120" t="s">
        <v>759</v>
      </c>
      <c r="H1048" s="148">
        <v>1275000</v>
      </c>
      <c r="J1048"/>
      <c r="K1048"/>
      <c r="L1048"/>
      <c r="M1048"/>
      <c r="N1048"/>
      <c r="O1048"/>
    </row>
    <row r="1049" spans="1:15" x14ac:dyDescent="0.25">
      <c r="A1049" s="115">
        <v>1048</v>
      </c>
      <c r="B1049" s="145">
        <v>45483</v>
      </c>
      <c r="C1049" s="146">
        <v>2024</v>
      </c>
      <c r="D1049" s="118" t="s">
        <v>35</v>
      </c>
      <c r="E1049" s="118" t="s">
        <v>325</v>
      </c>
      <c r="F1049" s="147">
        <v>1</v>
      </c>
      <c r="G1049" s="120" t="s">
        <v>759</v>
      </c>
      <c r="H1049" s="148">
        <v>1775000</v>
      </c>
      <c r="J1049"/>
      <c r="K1049"/>
      <c r="L1049"/>
      <c r="M1049"/>
      <c r="N1049"/>
      <c r="O1049"/>
    </row>
    <row r="1050" spans="1:15" x14ac:dyDescent="0.25">
      <c r="A1050" s="115">
        <v>1049</v>
      </c>
      <c r="B1050" s="145">
        <v>45483</v>
      </c>
      <c r="C1050" s="146">
        <v>2024</v>
      </c>
      <c r="D1050" s="118" t="s">
        <v>35</v>
      </c>
      <c r="E1050" s="118" t="s">
        <v>862</v>
      </c>
      <c r="F1050" s="147">
        <v>1</v>
      </c>
      <c r="G1050" s="120" t="s">
        <v>759</v>
      </c>
      <c r="H1050" s="148">
        <v>75000</v>
      </c>
      <c r="J1050"/>
      <c r="K1050"/>
      <c r="L1050"/>
      <c r="M1050"/>
      <c r="N1050"/>
      <c r="O1050"/>
    </row>
    <row r="1051" spans="1:15" x14ac:dyDescent="0.25">
      <c r="A1051" s="115">
        <v>1050</v>
      </c>
      <c r="B1051" s="145">
        <v>45483</v>
      </c>
      <c r="C1051" s="146">
        <v>2024</v>
      </c>
      <c r="D1051" s="118" t="s">
        <v>35</v>
      </c>
      <c r="E1051" s="118" t="s">
        <v>1126</v>
      </c>
      <c r="F1051" s="147">
        <v>1</v>
      </c>
      <c r="G1051" s="120" t="s">
        <v>759</v>
      </c>
      <c r="H1051" s="148">
        <v>200000</v>
      </c>
      <c r="J1051"/>
      <c r="K1051"/>
      <c r="L1051"/>
      <c r="M1051"/>
      <c r="N1051"/>
      <c r="O1051"/>
    </row>
    <row r="1052" spans="1:15" x14ac:dyDescent="0.25">
      <c r="A1052" s="115">
        <v>1051</v>
      </c>
      <c r="B1052" s="145">
        <v>45483</v>
      </c>
      <c r="C1052" s="146">
        <v>2024</v>
      </c>
      <c r="D1052" s="118" t="s">
        <v>35</v>
      </c>
      <c r="E1052" s="118" t="s">
        <v>252</v>
      </c>
      <c r="F1052" s="147">
        <v>1</v>
      </c>
      <c r="G1052" s="120" t="s">
        <v>759</v>
      </c>
      <c r="H1052" s="148">
        <v>1740000</v>
      </c>
      <c r="J1052"/>
      <c r="K1052"/>
      <c r="L1052"/>
      <c r="M1052"/>
      <c r="N1052"/>
      <c r="O1052"/>
    </row>
    <row r="1053" spans="1:15" x14ac:dyDescent="0.25">
      <c r="A1053" s="115">
        <v>1052</v>
      </c>
      <c r="B1053" s="145">
        <v>45483</v>
      </c>
      <c r="C1053" s="146">
        <v>2024</v>
      </c>
      <c r="D1053" s="118" t="s">
        <v>35</v>
      </c>
      <c r="E1053" s="118" t="s">
        <v>1127</v>
      </c>
      <c r="F1053" s="147">
        <v>1</v>
      </c>
      <c r="G1053" s="120" t="s">
        <v>759</v>
      </c>
      <c r="H1053" s="148">
        <v>115000</v>
      </c>
      <c r="J1053"/>
      <c r="K1053"/>
      <c r="L1053"/>
      <c r="M1053"/>
      <c r="N1053"/>
      <c r="O1053"/>
    </row>
    <row r="1054" spans="1:15" x14ac:dyDescent="0.25">
      <c r="A1054" s="115">
        <v>1053</v>
      </c>
      <c r="B1054" s="145">
        <v>45483</v>
      </c>
      <c r="C1054" s="146">
        <v>2024</v>
      </c>
      <c r="D1054" s="118" t="s">
        <v>35</v>
      </c>
      <c r="E1054" s="118" t="s">
        <v>1128</v>
      </c>
      <c r="F1054" s="147">
        <v>1</v>
      </c>
      <c r="G1054" s="120" t="s">
        <v>759</v>
      </c>
      <c r="H1054" s="148">
        <v>135000</v>
      </c>
      <c r="J1054"/>
      <c r="K1054"/>
      <c r="L1054"/>
      <c r="M1054"/>
      <c r="N1054"/>
      <c r="O1054"/>
    </row>
    <row r="1055" spans="1:15" x14ac:dyDescent="0.25">
      <c r="A1055" s="115">
        <v>1054</v>
      </c>
      <c r="B1055" s="145">
        <v>45483</v>
      </c>
      <c r="C1055" s="146">
        <v>2024</v>
      </c>
      <c r="D1055" s="118" t="s">
        <v>35</v>
      </c>
      <c r="E1055" s="118" t="s">
        <v>1129</v>
      </c>
      <c r="F1055" s="147">
        <v>1</v>
      </c>
      <c r="G1055" s="120" t="s">
        <v>759</v>
      </c>
      <c r="H1055" s="148">
        <v>25000</v>
      </c>
      <c r="J1055"/>
      <c r="K1055"/>
      <c r="L1055"/>
      <c r="M1055"/>
      <c r="N1055"/>
      <c r="O1055"/>
    </row>
    <row r="1056" spans="1:15" x14ac:dyDescent="0.25">
      <c r="A1056" s="115">
        <v>1055</v>
      </c>
      <c r="B1056" s="145">
        <v>45483</v>
      </c>
      <c r="C1056" s="146">
        <v>2024</v>
      </c>
      <c r="D1056" s="118" t="s">
        <v>35</v>
      </c>
      <c r="E1056" s="118" t="s">
        <v>1130</v>
      </c>
      <c r="F1056" s="147">
        <v>1</v>
      </c>
      <c r="G1056" s="120" t="s">
        <v>759</v>
      </c>
      <c r="H1056" s="148">
        <v>100000</v>
      </c>
      <c r="J1056"/>
      <c r="K1056"/>
      <c r="L1056"/>
      <c r="M1056"/>
      <c r="N1056"/>
      <c r="O1056"/>
    </row>
    <row r="1057" spans="1:15" x14ac:dyDescent="0.25">
      <c r="A1057" s="115">
        <v>1056</v>
      </c>
      <c r="B1057" s="145">
        <v>45483</v>
      </c>
      <c r="C1057" s="146">
        <v>2024</v>
      </c>
      <c r="D1057" s="118" t="s">
        <v>35</v>
      </c>
      <c r="E1057" s="118" t="s">
        <v>252</v>
      </c>
      <c r="F1057" s="147">
        <v>1</v>
      </c>
      <c r="G1057" s="120" t="s">
        <v>759</v>
      </c>
      <c r="H1057" s="148">
        <v>1740000</v>
      </c>
      <c r="J1057"/>
      <c r="K1057"/>
      <c r="L1057"/>
      <c r="M1057"/>
      <c r="N1057"/>
      <c r="O1057"/>
    </row>
    <row r="1058" spans="1:15" x14ac:dyDescent="0.25">
      <c r="A1058" s="115">
        <v>1057</v>
      </c>
      <c r="B1058" s="145">
        <v>45483</v>
      </c>
      <c r="C1058" s="146">
        <v>2024</v>
      </c>
      <c r="D1058" s="118" t="s">
        <v>35</v>
      </c>
      <c r="E1058" s="118" t="s">
        <v>72</v>
      </c>
      <c r="F1058" s="147">
        <v>1</v>
      </c>
      <c r="G1058" s="120" t="s">
        <v>759</v>
      </c>
      <c r="H1058" s="148">
        <v>30000</v>
      </c>
      <c r="J1058"/>
      <c r="K1058"/>
      <c r="L1058"/>
      <c r="M1058"/>
      <c r="N1058"/>
      <c r="O1058"/>
    </row>
    <row r="1059" spans="1:15" x14ac:dyDescent="0.25">
      <c r="A1059" s="115">
        <v>1058</v>
      </c>
      <c r="B1059" s="145">
        <v>45483</v>
      </c>
      <c r="C1059" s="146">
        <v>2024</v>
      </c>
      <c r="D1059" s="118" t="s">
        <v>35</v>
      </c>
      <c r="E1059" s="118" t="s">
        <v>799</v>
      </c>
      <c r="F1059" s="147">
        <v>1</v>
      </c>
      <c r="G1059" s="120" t="s">
        <v>759</v>
      </c>
      <c r="H1059" s="148">
        <v>200000</v>
      </c>
      <c r="J1059"/>
      <c r="K1059"/>
      <c r="L1059"/>
      <c r="M1059"/>
      <c r="N1059"/>
      <c r="O1059"/>
    </row>
    <row r="1060" spans="1:15" x14ac:dyDescent="0.25">
      <c r="A1060" s="115">
        <v>1059</v>
      </c>
      <c r="B1060" s="145">
        <v>45483</v>
      </c>
      <c r="C1060" s="146">
        <v>2024</v>
      </c>
      <c r="D1060" s="118" t="s">
        <v>35</v>
      </c>
      <c r="E1060" s="118" t="s">
        <v>1131</v>
      </c>
      <c r="F1060" s="147">
        <v>1</v>
      </c>
      <c r="G1060" s="120" t="s">
        <v>759</v>
      </c>
      <c r="H1060" s="148">
        <v>215000</v>
      </c>
      <c r="J1060"/>
      <c r="K1060"/>
      <c r="L1060"/>
      <c r="M1060"/>
      <c r="N1060"/>
      <c r="O1060"/>
    </row>
    <row r="1061" spans="1:15" x14ac:dyDescent="0.25">
      <c r="A1061" s="115">
        <v>1060</v>
      </c>
      <c r="B1061" s="116">
        <v>45486</v>
      </c>
      <c r="C1061" s="117">
        <v>2024</v>
      </c>
      <c r="D1061" s="118" t="s">
        <v>35</v>
      </c>
      <c r="E1061" s="119" t="s">
        <v>1132</v>
      </c>
      <c r="F1061" s="120">
        <v>1</v>
      </c>
      <c r="G1061" s="120" t="s">
        <v>759</v>
      </c>
      <c r="H1061" s="121">
        <v>91180</v>
      </c>
      <c r="J1061"/>
      <c r="K1061"/>
      <c r="L1061"/>
      <c r="M1061"/>
      <c r="N1061"/>
      <c r="O1061"/>
    </row>
    <row r="1062" spans="1:15" x14ac:dyDescent="0.25">
      <c r="A1062" s="115">
        <v>1061</v>
      </c>
      <c r="B1062" s="116">
        <v>45486</v>
      </c>
      <c r="C1062" s="117">
        <v>2024</v>
      </c>
      <c r="D1062" s="118" t="s">
        <v>35</v>
      </c>
      <c r="E1062" s="119" t="s">
        <v>1133</v>
      </c>
      <c r="F1062" s="120">
        <v>1</v>
      </c>
      <c r="G1062" s="120" t="s">
        <v>759</v>
      </c>
      <c r="H1062" s="121">
        <v>7900</v>
      </c>
      <c r="J1062"/>
      <c r="K1062"/>
      <c r="L1062"/>
      <c r="M1062"/>
      <c r="N1062"/>
      <c r="O1062"/>
    </row>
    <row r="1063" spans="1:15" x14ac:dyDescent="0.25">
      <c r="A1063" s="115">
        <v>1062</v>
      </c>
      <c r="B1063" s="116">
        <v>45486</v>
      </c>
      <c r="C1063" s="117">
        <v>2024</v>
      </c>
      <c r="D1063" s="118" t="s">
        <v>35</v>
      </c>
      <c r="E1063" s="119" t="s">
        <v>1056</v>
      </c>
      <c r="F1063" s="120">
        <v>2</v>
      </c>
      <c r="G1063" s="120" t="s">
        <v>759</v>
      </c>
      <c r="H1063" s="121">
        <v>25000</v>
      </c>
      <c r="J1063"/>
      <c r="K1063"/>
      <c r="L1063"/>
      <c r="M1063"/>
      <c r="N1063"/>
      <c r="O1063"/>
    </row>
    <row r="1064" spans="1:15" x14ac:dyDescent="0.25">
      <c r="A1064" s="115">
        <v>1063</v>
      </c>
      <c r="B1064" s="116">
        <v>45486</v>
      </c>
      <c r="C1064" s="117">
        <v>2024</v>
      </c>
      <c r="D1064" s="118" t="s">
        <v>35</v>
      </c>
      <c r="E1064" s="119" t="s">
        <v>1134</v>
      </c>
      <c r="F1064" s="120">
        <v>1</v>
      </c>
      <c r="G1064" s="120" t="s">
        <v>759</v>
      </c>
      <c r="H1064" s="121">
        <v>41000</v>
      </c>
      <c r="J1064"/>
      <c r="K1064"/>
      <c r="L1064"/>
      <c r="M1064"/>
      <c r="N1064"/>
      <c r="O1064"/>
    </row>
    <row r="1065" spans="1:15" x14ac:dyDescent="0.25">
      <c r="A1065" s="115">
        <v>1064</v>
      </c>
      <c r="B1065" s="116">
        <v>45486</v>
      </c>
      <c r="C1065" s="117">
        <v>2024</v>
      </c>
      <c r="D1065" s="118" t="s">
        <v>35</v>
      </c>
      <c r="E1065" s="119" t="s">
        <v>1057</v>
      </c>
      <c r="F1065" s="120">
        <v>1</v>
      </c>
      <c r="G1065" s="120" t="s">
        <v>759</v>
      </c>
      <c r="H1065" s="121">
        <v>22000</v>
      </c>
      <c r="J1065"/>
      <c r="K1065"/>
      <c r="L1065"/>
      <c r="M1065"/>
      <c r="N1065"/>
      <c r="O1065"/>
    </row>
    <row r="1066" spans="1:15" x14ac:dyDescent="0.25">
      <c r="A1066" s="115">
        <v>1065</v>
      </c>
      <c r="B1066" s="116">
        <v>45488</v>
      </c>
      <c r="C1066" s="117">
        <v>2024</v>
      </c>
      <c r="D1066" s="118" t="s">
        <v>35</v>
      </c>
      <c r="E1066" s="119" t="s">
        <v>1089</v>
      </c>
      <c r="F1066" s="120">
        <v>2</v>
      </c>
      <c r="G1066" s="120" t="s">
        <v>759</v>
      </c>
      <c r="H1066" s="121">
        <v>85500</v>
      </c>
      <c r="J1066"/>
      <c r="K1066"/>
      <c r="L1066"/>
      <c r="M1066"/>
      <c r="N1066"/>
      <c r="O1066"/>
    </row>
    <row r="1067" spans="1:15" x14ac:dyDescent="0.25">
      <c r="A1067" s="115">
        <v>1066</v>
      </c>
      <c r="B1067" s="145">
        <v>45489</v>
      </c>
      <c r="C1067" s="146">
        <v>2024</v>
      </c>
      <c r="D1067" s="118" t="s">
        <v>35</v>
      </c>
      <c r="E1067" s="118" t="s">
        <v>1135</v>
      </c>
      <c r="F1067" s="147">
        <v>1</v>
      </c>
      <c r="G1067" s="120" t="s">
        <v>759</v>
      </c>
      <c r="H1067" s="148">
        <v>175000</v>
      </c>
      <c r="J1067"/>
      <c r="K1067"/>
      <c r="L1067"/>
      <c r="M1067"/>
      <c r="N1067"/>
      <c r="O1067"/>
    </row>
    <row r="1068" spans="1:15" x14ac:dyDescent="0.25">
      <c r="A1068" s="115">
        <v>1067</v>
      </c>
      <c r="B1068" s="145">
        <v>45489</v>
      </c>
      <c r="C1068" s="146">
        <v>2024</v>
      </c>
      <c r="D1068" s="118" t="s">
        <v>35</v>
      </c>
      <c r="E1068" s="118" t="s">
        <v>953</v>
      </c>
      <c r="F1068" s="147">
        <v>1</v>
      </c>
      <c r="G1068" s="120" t="s">
        <v>759</v>
      </c>
      <c r="H1068" s="148">
        <v>400000</v>
      </c>
      <c r="J1068"/>
      <c r="K1068"/>
      <c r="L1068"/>
      <c r="M1068"/>
      <c r="N1068"/>
      <c r="O1068"/>
    </row>
    <row r="1069" spans="1:15" x14ac:dyDescent="0.25">
      <c r="A1069" s="115">
        <v>1068</v>
      </c>
      <c r="B1069" s="145">
        <v>45489</v>
      </c>
      <c r="C1069" s="146">
        <v>2024</v>
      </c>
      <c r="D1069" s="118" t="s">
        <v>35</v>
      </c>
      <c r="E1069" s="118" t="s">
        <v>838</v>
      </c>
      <c r="F1069" s="147">
        <v>1</v>
      </c>
      <c r="G1069" s="120" t="s">
        <v>759</v>
      </c>
      <c r="H1069" s="148">
        <v>75000</v>
      </c>
      <c r="J1069"/>
      <c r="K1069"/>
      <c r="L1069"/>
      <c r="M1069"/>
      <c r="N1069"/>
      <c r="O1069"/>
    </row>
    <row r="1070" spans="1:15" x14ac:dyDescent="0.25">
      <c r="A1070" s="115">
        <v>1069</v>
      </c>
      <c r="B1070" s="145">
        <v>45489</v>
      </c>
      <c r="C1070" s="146">
        <v>2024</v>
      </c>
      <c r="D1070" s="118" t="s">
        <v>35</v>
      </c>
      <c r="E1070" s="118" t="s">
        <v>873</v>
      </c>
      <c r="F1070" s="147">
        <v>1</v>
      </c>
      <c r="G1070" s="120" t="s">
        <v>759</v>
      </c>
      <c r="H1070" s="148">
        <v>40000</v>
      </c>
      <c r="J1070"/>
      <c r="K1070"/>
      <c r="L1070"/>
      <c r="M1070"/>
      <c r="N1070"/>
      <c r="O1070"/>
    </row>
    <row r="1071" spans="1:15" x14ac:dyDescent="0.25">
      <c r="A1071" s="115">
        <v>1070</v>
      </c>
      <c r="B1071" s="145">
        <v>45489</v>
      </c>
      <c r="C1071" s="146">
        <v>2024</v>
      </c>
      <c r="D1071" s="118" t="s">
        <v>35</v>
      </c>
      <c r="E1071" s="118" t="s">
        <v>953</v>
      </c>
      <c r="F1071" s="147">
        <v>1</v>
      </c>
      <c r="G1071" s="120" t="s">
        <v>759</v>
      </c>
      <c r="H1071" s="148">
        <v>400000</v>
      </c>
      <c r="J1071"/>
      <c r="K1071"/>
      <c r="L1071"/>
      <c r="M1071"/>
      <c r="N1071"/>
      <c r="O1071"/>
    </row>
    <row r="1072" spans="1:15" x14ac:dyDescent="0.25">
      <c r="A1072" s="115">
        <v>1071</v>
      </c>
      <c r="B1072" s="145">
        <v>45489</v>
      </c>
      <c r="C1072" s="146">
        <v>2024</v>
      </c>
      <c r="D1072" s="118" t="s">
        <v>35</v>
      </c>
      <c r="E1072" s="118" t="s">
        <v>842</v>
      </c>
      <c r="F1072" s="147">
        <v>1</v>
      </c>
      <c r="G1072" s="120" t="s">
        <v>759</v>
      </c>
      <c r="H1072" s="148">
        <v>400000</v>
      </c>
      <c r="J1072"/>
      <c r="K1072"/>
      <c r="L1072"/>
      <c r="M1072"/>
      <c r="N1072"/>
      <c r="O1072"/>
    </row>
    <row r="1073" spans="1:15" x14ac:dyDescent="0.25">
      <c r="A1073" s="115">
        <v>1072</v>
      </c>
      <c r="B1073" s="145">
        <v>45489</v>
      </c>
      <c r="C1073" s="146">
        <v>2024</v>
      </c>
      <c r="D1073" s="118" t="s">
        <v>35</v>
      </c>
      <c r="E1073" s="118" t="s">
        <v>955</v>
      </c>
      <c r="F1073" s="147">
        <v>1</v>
      </c>
      <c r="G1073" s="120" t="s">
        <v>759</v>
      </c>
      <c r="H1073" s="148">
        <v>184000</v>
      </c>
      <c r="J1073"/>
      <c r="K1073"/>
      <c r="L1073"/>
      <c r="M1073"/>
      <c r="N1073"/>
      <c r="O1073"/>
    </row>
    <row r="1074" spans="1:15" x14ac:dyDescent="0.25">
      <c r="A1074" s="115">
        <v>1073</v>
      </c>
      <c r="B1074" s="145">
        <v>45489</v>
      </c>
      <c r="C1074" s="146">
        <v>2024</v>
      </c>
      <c r="D1074" s="118" t="s">
        <v>35</v>
      </c>
      <c r="E1074" s="118" t="s">
        <v>953</v>
      </c>
      <c r="F1074" s="147">
        <v>1</v>
      </c>
      <c r="G1074" s="120" t="s">
        <v>759</v>
      </c>
      <c r="H1074" s="148">
        <v>400000</v>
      </c>
      <c r="J1074"/>
      <c r="K1074"/>
      <c r="L1074"/>
      <c r="M1074"/>
      <c r="N1074"/>
      <c r="O1074"/>
    </row>
    <row r="1075" spans="1:15" x14ac:dyDescent="0.25">
      <c r="A1075" s="115">
        <v>1074</v>
      </c>
      <c r="B1075" s="145">
        <v>45489</v>
      </c>
      <c r="C1075" s="146">
        <v>2024</v>
      </c>
      <c r="D1075" s="118" t="s">
        <v>35</v>
      </c>
      <c r="E1075" s="118" t="s">
        <v>838</v>
      </c>
      <c r="F1075" s="147">
        <v>1</v>
      </c>
      <c r="G1075" s="120" t="s">
        <v>759</v>
      </c>
      <c r="H1075" s="148">
        <v>75000</v>
      </c>
      <c r="J1075"/>
      <c r="K1075"/>
      <c r="L1075"/>
      <c r="M1075"/>
      <c r="N1075"/>
      <c r="O1075"/>
    </row>
    <row r="1076" spans="1:15" x14ac:dyDescent="0.25">
      <c r="A1076" s="115">
        <v>1075</v>
      </c>
      <c r="B1076" s="145">
        <v>45489</v>
      </c>
      <c r="C1076" s="146">
        <v>2024</v>
      </c>
      <c r="D1076" s="118" t="s">
        <v>35</v>
      </c>
      <c r="E1076" s="118" t="s">
        <v>873</v>
      </c>
      <c r="F1076" s="147">
        <v>1</v>
      </c>
      <c r="G1076" s="120" t="s">
        <v>759</v>
      </c>
      <c r="H1076" s="148">
        <v>122500</v>
      </c>
      <c r="J1076"/>
      <c r="K1076"/>
      <c r="L1076"/>
      <c r="M1076"/>
      <c r="N1076"/>
      <c r="O1076"/>
    </row>
    <row r="1077" spans="1:15" x14ac:dyDescent="0.25">
      <c r="A1077" s="115">
        <v>1076</v>
      </c>
      <c r="B1077" s="145">
        <v>45489</v>
      </c>
      <c r="C1077" s="146">
        <v>2024</v>
      </c>
      <c r="D1077" s="118" t="s">
        <v>35</v>
      </c>
      <c r="E1077" s="118" t="s">
        <v>975</v>
      </c>
      <c r="F1077" s="147">
        <v>1</v>
      </c>
      <c r="G1077" s="120" t="s">
        <v>759</v>
      </c>
      <c r="H1077" s="148">
        <v>180000</v>
      </c>
      <c r="J1077"/>
      <c r="K1077"/>
      <c r="L1077"/>
      <c r="M1077"/>
      <c r="N1077"/>
      <c r="O1077"/>
    </row>
    <row r="1078" spans="1:15" x14ac:dyDescent="0.25">
      <c r="A1078" s="115">
        <v>1077</v>
      </c>
      <c r="B1078" s="145">
        <v>45489</v>
      </c>
      <c r="C1078" s="146">
        <v>2024</v>
      </c>
      <c r="D1078" s="118" t="s">
        <v>35</v>
      </c>
      <c r="E1078" s="118" t="s">
        <v>953</v>
      </c>
      <c r="F1078" s="147">
        <v>1</v>
      </c>
      <c r="G1078" s="120" t="s">
        <v>759</v>
      </c>
      <c r="H1078" s="148">
        <v>400000</v>
      </c>
      <c r="J1078"/>
      <c r="K1078"/>
      <c r="L1078"/>
      <c r="M1078"/>
      <c r="N1078"/>
      <c r="O1078"/>
    </row>
    <row r="1079" spans="1:15" x14ac:dyDescent="0.25">
      <c r="A1079" s="115">
        <v>1078</v>
      </c>
      <c r="B1079" s="145">
        <v>45489</v>
      </c>
      <c r="C1079" s="146">
        <v>2024</v>
      </c>
      <c r="D1079" s="118" t="s">
        <v>35</v>
      </c>
      <c r="E1079" s="118" t="s">
        <v>953</v>
      </c>
      <c r="F1079" s="147">
        <v>1</v>
      </c>
      <c r="G1079" s="120" t="s">
        <v>759</v>
      </c>
      <c r="H1079" s="148">
        <v>400000</v>
      </c>
      <c r="J1079"/>
      <c r="K1079"/>
      <c r="L1079"/>
      <c r="M1079"/>
      <c r="N1079"/>
      <c r="O1079"/>
    </row>
    <row r="1080" spans="1:15" x14ac:dyDescent="0.25">
      <c r="A1080" s="115">
        <v>1079</v>
      </c>
      <c r="B1080" s="145">
        <v>45489</v>
      </c>
      <c r="C1080" s="146">
        <v>2024</v>
      </c>
      <c r="D1080" s="118" t="s">
        <v>35</v>
      </c>
      <c r="E1080" s="118" t="s">
        <v>838</v>
      </c>
      <c r="F1080" s="147">
        <v>1</v>
      </c>
      <c r="G1080" s="120" t="s">
        <v>759</v>
      </c>
      <c r="H1080" s="148">
        <v>75000</v>
      </c>
      <c r="J1080"/>
      <c r="K1080"/>
      <c r="L1080"/>
      <c r="M1080"/>
      <c r="N1080"/>
      <c r="O1080"/>
    </row>
    <row r="1081" spans="1:15" x14ac:dyDescent="0.25">
      <c r="A1081" s="115">
        <v>1080</v>
      </c>
      <c r="B1081" s="145">
        <v>45489</v>
      </c>
      <c r="C1081" s="146">
        <v>2024</v>
      </c>
      <c r="D1081" s="118" t="s">
        <v>35</v>
      </c>
      <c r="E1081" s="118" t="s">
        <v>953</v>
      </c>
      <c r="F1081" s="147">
        <v>1</v>
      </c>
      <c r="G1081" s="120" t="s">
        <v>759</v>
      </c>
      <c r="H1081" s="148">
        <v>400000</v>
      </c>
      <c r="J1081"/>
      <c r="K1081"/>
      <c r="L1081"/>
      <c r="M1081"/>
      <c r="N1081"/>
      <c r="O1081"/>
    </row>
    <row r="1082" spans="1:15" x14ac:dyDescent="0.25">
      <c r="A1082" s="115">
        <v>1081</v>
      </c>
      <c r="B1082" s="145">
        <v>45489</v>
      </c>
      <c r="C1082" s="146">
        <v>2024</v>
      </c>
      <c r="D1082" s="118" t="s">
        <v>35</v>
      </c>
      <c r="E1082" s="118" t="s">
        <v>955</v>
      </c>
      <c r="F1082" s="147">
        <v>1</v>
      </c>
      <c r="G1082" s="120" t="s">
        <v>759</v>
      </c>
      <c r="H1082" s="148">
        <v>223000</v>
      </c>
      <c r="J1082"/>
      <c r="K1082"/>
      <c r="L1082"/>
      <c r="M1082"/>
      <c r="N1082"/>
      <c r="O1082"/>
    </row>
    <row r="1083" spans="1:15" x14ac:dyDescent="0.25">
      <c r="A1083" s="115">
        <v>1082</v>
      </c>
      <c r="B1083" s="145">
        <v>45489</v>
      </c>
      <c r="C1083" s="146">
        <v>2024</v>
      </c>
      <c r="D1083" s="118" t="s">
        <v>35</v>
      </c>
      <c r="E1083" s="118" t="s">
        <v>838</v>
      </c>
      <c r="F1083" s="147">
        <v>1</v>
      </c>
      <c r="G1083" s="120" t="s">
        <v>759</v>
      </c>
      <c r="H1083" s="148">
        <v>75000</v>
      </c>
      <c r="J1083"/>
      <c r="K1083"/>
      <c r="L1083"/>
      <c r="M1083"/>
      <c r="N1083"/>
      <c r="O1083"/>
    </row>
    <row r="1084" spans="1:15" x14ac:dyDescent="0.25">
      <c r="A1084" s="115">
        <v>1083</v>
      </c>
      <c r="B1084" s="145">
        <v>45489</v>
      </c>
      <c r="C1084" s="146">
        <v>2024</v>
      </c>
      <c r="D1084" s="118" t="s">
        <v>35</v>
      </c>
      <c r="E1084" s="118" t="s">
        <v>873</v>
      </c>
      <c r="F1084" s="147">
        <v>1</v>
      </c>
      <c r="G1084" s="120" t="s">
        <v>759</v>
      </c>
      <c r="H1084" s="148">
        <v>40000</v>
      </c>
      <c r="J1084"/>
      <c r="K1084"/>
      <c r="L1084"/>
      <c r="M1084"/>
      <c r="N1084"/>
      <c r="O1084"/>
    </row>
    <row r="1085" spans="1:15" x14ac:dyDescent="0.25">
      <c r="A1085" s="115">
        <v>1084</v>
      </c>
      <c r="B1085" s="145">
        <v>45489</v>
      </c>
      <c r="C1085" s="146">
        <v>2024</v>
      </c>
      <c r="D1085" s="118" t="s">
        <v>35</v>
      </c>
      <c r="E1085" s="118" t="s">
        <v>975</v>
      </c>
      <c r="F1085" s="147">
        <v>1</v>
      </c>
      <c r="G1085" s="120" t="s">
        <v>759</v>
      </c>
      <c r="H1085" s="148">
        <v>85000</v>
      </c>
      <c r="J1085"/>
      <c r="K1085"/>
      <c r="L1085"/>
      <c r="M1085"/>
      <c r="N1085"/>
      <c r="O1085"/>
    </row>
    <row r="1086" spans="1:15" x14ac:dyDescent="0.25">
      <c r="A1086" s="115">
        <v>1085</v>
      </c>
      <c r="B1086" s="145">
        <v>45489</v>
      </c>
      <c r="C1086" s="146">
        <v>2024</v>
      </c>
      <c r="D1086" s="118" t="s">
        <v>35</v>
      </c>
      <c r="E1086" s="118" t="s">
        <v>953</v>
      </c>
      <c r="F1086" s="147">
        <v>1</v>
      </c>
      <c r="G1086" s="120" t="s">
        <v>759</v>
      </c>
      <c r="H1086" s="148">
        <v>50000</v>
      </c>
      <c r="J1086"/>
      <c r="K1086"/>
      <c r="L1086"/>
      <c r="M1086"/>
      <c r="N1086"/>
      <c r="O1086"/>
    </row>
    <row r="1087" spans="1:15" x14ac:dyDescent="0.25">
      <c r="A1087" s="115">
        <v>1086</v>
      </c>
      <c r="B1087" s="145">
        <v>45489</v>
      </c>
      <c r="C1087" s="146">
        <v>2024</v>
      </c>
      <c r="D1087" s="118" t="s">
        <v>35</v>
      </c>
      <c r="E1087" s="118" t="s">
        <v>953</v>
      </c>
      <c r="F1087" s="147">
        <v>1</v>
      </c>
      <c r="G1087" s="120" t="s">
        <v>759</v>
      </c>
      <c r="H1087" s="148">
        <v>400000</v>
      </c>
      <c r="J1087"/>
      <c r="K1087"/>
      <c r="L1087"/>
      <c r="M1087"/>
      <c r="N1087"/>
      <c r="O1087"/>
    </row>
    <row r="1088" spans="1:15" x14ac:dyDescent="0.25">
      <c r="A1088" s="115">
        <v>1087</v>
      </c>
      <c r="B1088" s="145">
        <v>45489</v>
      </c>
      <c r="C1088" s="146">
        <v>2024</v>
      </c>
      <c r="D1088" s="118" t="s">
        <v>35</v>
      </c>
      <c r="E1088" s="118" t="s">
        <v>955</v>
      </c>
      <c r="F1088" s="147">
        <v>1</v>
      </c>
      <c r="G1088" s="120" t="s">
        <v>759</v>
      </c>
      <c r="H1088" s="148">
        <v>223000</v>
      </c>
      <c r="J1088"/>
      <c r="K1088"/>
      <c r="L1088"/>
      <c r="M1088"/>
      <c r="N1088"/>
      <c r="O1088"/>
    </row>
    <row r="1089" spans="1:15" x14ac:dyDescent="0.25">
      <c r="A1089" s="115">
        <v>1088</v>
      </c>
      <c r="B1089" s="145">
        <v>45489</v>
      </c>
      <c r="C1089" s="146">
        <v>2024</v>
      </c>
      <c r="D1089" s="118" t="s">
        <v>35</v>
      </c>
      <c r="E1089" s="118" t="s">
        <v>838</v>
      </c>
      <c r="F1089" s="147">
        <v>1</v>
      </c>
      <c r="G1089" s="120" t="s">
        <v>759</v>
      </c>
      <c r="H1089" s="148">
        <v>75000</v>
      </c>
      <c r="J1089"/>
      <c r="K1089"/>
      <c r="L1089"/>
      <c r="M1089"/>
      <c r="N1089"/>
      <c r="O1089"/>
    </row>
    <row r="1090" spans="1:15" x14ac:dyDescent="0.25">
      <c r="A1090" s="115">
        <v>1089</v>
      </c>
      <c r="B1090" s="145">
        <v>45489</v>
      </c>
      <c r="C1090" s="146">
        <v>2024</v>
      </c>
      <c r="D1090" s="118" t="s">
        <v>35</v>
      </c>
      <c r="E1090" s="118" t="s">
        <v>873</v>
      </c>
      <c r="F1090" s="147">
        <v>1</v>
      </c>
      <c r="G1090" s="120" t="s">
        <v>759</v>
      </c>
      <c r="H1090" s="148">
        <v>140000</v>
      </c>
      <c r="J1090"/>
      <c r="K1090"/>
      <c r="L1090"/>
      <c r="M1090"/>
      <c r="N1090"/>
      <c r="O1090"/>
    </row>
    <row r="1091" spans="1:15" x14ac:dyDescent="0.25">
      <c r="A1091" s="115">
        <v>1090</v>
      </c>
      <c r="B1091" s="145">
        <v>45489</v>
      </c>
      <c r="C1091" s="146">
        <v>2024</v>
      </c>
      <c r="D1091" s="118" t="s">
        <v>35</v>
      </c>
      <c r="E1091" s="118" t="s">
        <v>975</v>
      </c>
      <c r="F1091" s="147">
        <v>1</v>
      </c>
      <c r="G1091" s="120" t="s">
        <v>759</v>
      </c>
      <c r="H1091" s="148">
        <v>85000</v>
      </c>
      <c r="J1091"/>
      <c r="K1091"/>
      <c r="L1091"/>
      <c r="M1091"/>
      <c r="N1091"/>
      <c r="O1091"/>
    </row>
    <row r="1092" spans="1:15" x14ac:dyDescent="0.25">
      <c r="A1092" s="115">
        <v>1091</v>
      </c>
      <c r="B1092" s="145">
        <v>45489</v>
      </c>
      <c r="C1092" s="146">
        <v>2024</v>
      </c>
      <c r="D1092" s="118" t="s">
        <v>35</v>
      </c>
      <c r="E1092" s="118" t="s">
        <v>955</v>
      </c>
      <c r="F1092" s="147">
        <v>1</v>
      </c>
      <c r="G1092" s="120" t="s">
        <v>759</v>
      </c>
      <c r="H1092" s="148">
        <v>50000</v>
      </c>
      <c r="J1092"/>
      <c r="K1092"/>
      <c r="L1092"/>
      <c r="M1092"/>
      <c r="N1092"/>
      <c r="O1092"/>
    </row>
    <row r="1093" spans="1:15" x14ac:dyDescent="0.25">
      <c r="A1093" s="115">
        <v>1092</v>
      </c>
      <c r="B1093" s="145">
        <v>45489</v>
      </c>
      <c r="C1093" s="146">
        <v>2024</v>
      </c>
      <c r="D1093" s="118" t="s">
        <v>35</v>
      </c>
      <c r="E1093" s="118" t="s">
        <v>953</v>
      </c>
      <c r="F1093" s="147">
        <v>1</v>
      </c>
      <c r="G1093" s="120" t="s">
        <v>759</v>
      </c>
      <c r="H1093" s="148">
        <v>400000</v>
      </c>
      <c r="J1093"/>
      <c r="K1093"/>
      <c r="L1093"/>
      <c r="M1093"/>
      <c r="N1093"/>
      <c r="O1093"/>
    </row>
    <row r="1094" spans="1:15" x14ac:dyDescent="0.25">
      <c r="A1094" s="115">
        <v>1093</v>
      </c>
      <c r="B1094" s="145">
        <v>45489</v>
      </c>
      <c r="C1094" s="146">
        <v>2024</v>
      </c>
      <c r="D1094" s="118" t="s">
        <v>35</v>
      </c>
      <c r="E1094" s="118" t="s">
        <v>842</v>
      </c>
      <c r="F1094" s="147">
        <v>1</v>
      </c>
      <c r="G1094" s="120" t="s">
        <v>759</v>
      </c>
      <c r="H1094" s="148">
        <v>184000</v>
      </c>
      <c r="J1094"/>
      <c r="K1094"/>
      <c r="L1094"/>
      <c r="M1094"/>
      <c r="N1094"/>
      <c r="O1094"/>
    </row>
    <row r="1095" spans="1:15" x14ac:dyDescent="0.25">
      <c r="A1095" s="115">
        <v>1094</v>
      </c>
      <c r="B1095" s="145">
        <v>45489</v>
      </c>
      <c r="C1095" s="146">
        <v>2024</v>
      </c>
      <c r="D1095" s="118" t="s">
        <v>35</v>
      </c>
      <c r="E1095" s="118" t="s">
        <v>955</v>
      </c>
      <c r="F1095" s="147">
        <v>1</v>
      </c>
      <c r="G1095" s="120" t="s">
        <v>759</v>
      </c>
      <c r="H1095" s="148">
        <v>223000</v>
      </c>
      <c r="J1095"/>
      <c r="K1095"/>
      <c r="L1095"/>
      <c r="M1095"/>
      <c r="N1095"/>
      <c r="O1095"/>
    </row>
    <row r="1096" spans="1:15" x14ac:dyDescent="0.25">
      <c r="A1096" s="115">
        <v>1095</v>
      </c>
      <c r="B1096" s="145">
        <v>45489</v>
      </c>
      <c r="C1096" s="146">
        <v>2024</v>
      </c>
      <c r="D1096" s="118" t="s">
        <v>35</v>
      </c>
      <c r="E1096" s="118" t="s">
        <v>838</v>
      </c>
      <c r="F1096" s="147">
        <v>1</v>
      </c>
      <c r="G1096" s="120" t="s">
        <v>759</v>
      </c>
      <c r="H1096" s="148">
        <v>75000</v>
      </c>
      <c r="J1096"/>
      <c r="K1096"/>
      <c r="L1096"/>
      <c r="M1096"/>
      <c r="N1096"/>
      <c r="O1096"/>
    </row>
    <row r="1097" spans="1:15" x14ac:dyDescent="0.25">
      <c r="A1097" s="115">
        <v>1096</v>
      </c>
      <c r="B1097" s="145">
        <v>45489</v>
      </c>
      <c r="C1097" s="146">
        <v>2024</v>
      </c>
      <c r="D1097" s="118" t="s">
        <v>35</v>
      </c>
      <c r="E1097" s="118" t="s">
        <v>918</v>
      </c>
      <c r="F1097" s="147">
        <v>1</v>
      </c>
      <c r="G1097" s="120" t="s">
        <v>759</v>
      </c>
      <c r="H1097" s="148">
        <v>140000</v>
      </c>
      <c r="J1097"/>
      <c r="K1097"/>
      <c r="L1097"/>
      <c r="M1097"/>
      <c r="N1097"/>
      <c r="O1097"/>
    </row>
    <row r="1098" spans="1:15" x14ac:dyDescent="0.25">
      <c r="A1098" s="115">
        <v>1097</v>
      </c>
      <c r="B1098" s="145">
        <v>45489</v>
      </c>
      <c r="C1098" s="146">
        <v>2024</v>
      </c>
      <c r="D1098" s="118" t="s">
        <v>35</v>
      </c>
      <c r="E1098" s="118" t="s">
        <v>953</v>
      </c>
      <c r="F1098" s="147">
        <v>1</v>
      </c>
      <c r="G1098" s="120" t="s">
        <v>759</v>
      </c>
      <c r="H1098" s="148">
        <v>400000</v>
      </c>
      <c r="J1098"/>
      <c r="K1098"/>
      <c r="L1098"/>
      <c r="M1098"/>
      <c r="N1098"/>
      <c r="O1098"/>
    </row>
    <row r="1099" spans="1:15" x14ac:dyDescent="0.25">
      <c r="A1099" s="115">
        <v>1098</v>
      </c>
      <c r="B1099" s="145">
        <v>45489</v>
      </c>
      <c r="C1099" s="146">
        <v>2024</v>
      </c>
      <c r="D1099" s="118" t="s">
        <v>35</v>
      </c>
      <c r="E1099" s="118" t="s">
        <v>838</v>
      </c>
      <c r="F1099" s="147">
        <v>1</v>
      </c>
      <c r="G1099" s="120" t="s">
        <v>759</v>
      </c>
      <c r="H1099" s="148">
        <v>75000</v>
      </c>
      <c r="J1099"/>
      <c r="K1099"/>
      <c r="L1099"/>
      <c r="M1099"/>
      <c r="N1099"/>
      <c r="O1099"/>
    </row>
    <row r="1100" spans="1:15" x14ac:dyDescent="0.25">
      <c r="A1100" s="115">
        <v>1099</v>
      </c>
      <c r="B1100" s="145">
        <v>45489</v>
      </c>
      <c r="C1100" s="146">
        <v>2024</v>
      </c>
      <c r="D1100" s="118" t="s">
        <v>35</v>
      </c>
      <c r="E1100" s="118" t="s">
        <v>953</v>
      </c>
      <c r="F1100" s="147">
        <v>1</v>
      </c>
      <c r="G1100" s="120" t="s">
        <v>759</v>
      </c>
      <c r="H1100" s="148">
        <v>400000</v>
      </c>
      <c r="J1100"/>
      <c r="K1100"/>
      <c r="L1100"/>
      <c r="M1100"/>
      <c r="N1100"/>
      <c r="O1100"/>
    </row>
    <row r="1101" spans="1:15" x14ac:dyDescent="0.25">
      <c r="A1101" s="115">
        <v>1100</v>
      </c>
      <c r="B1101" s="145">
        <v>45489</v>
      </c>
      <c r="C1101" s="146">
        <v>2024</v>
      </c>
      <c r="D1101" s="118" t="s">
        <v>35</v>
      </c>
      <c r="E1101" s="118" t="s">
        <v>122</v>
      </c>
      <c r="F1101" s="147">
        <v>1</v>
      </c>
      <c r="G1101" s="120" t="s">
        <v>759</v>
      </c>
      <c r="H1101" s="148">
        <v>195000</v>
      </c>
      <c r="J1101"/>
      <c r="K1101"/>
      <c r="L1101"/>
      <c r="M1101"/>
      <c r="N1101"/>
      <c r="O1101"/>
    </row>
    <row r="1102" spans="1:15" x14ac:dyDescent="0.25">
      <c r="A1102" s="115">
        <v>1101</v>
      </c>
      <c r="B1102" s="116">
        <v>45491</v>
      </c>
      <c r="C1102" s="117">
        <v>2024</v>
      </c>
      <c r="D1102" s="118" t="s">
        <v>833</v>
      </c>
      <c r="E1102" s="119" t="s">
        <v>967</v>
      </c>
      <c r="F1102" s="120">
        <v>100</v>
      </c>
      <c r="G1102" s="120" t="s">
        <v>759</v>
      </c>
      <c r="H1102" s="121">
        <v>1000000</v>
      </c>
      <c r="J1102"/>
      <c r="K1102"/>
      <c r="L1102"/>
      <c r="M1102"/>
      <c r="N1102"/>
      <c r="O1102"/>
    </row>
    <row r="1103" spans="1:15" x14ac:dyDescent="0.25">
      <c r="A1103" s="115">
        <v>1102</v>
      </c>
      <c r="B1103" s="116">
        <v>45493</v>
      </c>
      <c r="C1103" s="117">
        <v>2024</v>
      </c>
      <c r="D1103" s="118" t="s">
        <v>35</v>
      </c>
      <c r="E1103" s="119" t="s">
        <v>211</v>
      </c>
      <c r="F1103" s="120">
        <v>3</v>
      </c>
      <c r="G1103" s="120" t="s">
        <v>759</v>
      </c>
      <c r="H1103" s="121">
        <v>58500</v>
      </c>
      <c r="J1103"/>
      <c r="K1103"/>
      <c r="L1103"/>
      <c r="M1103"/>
      <c r="N1103"/>
      <c r="O1103"/>
    </row>
    <row r="1104" spans="1:15" x14ac:dyDescent="0.25">
      <c r="A1104" s="115">
        <v>1103</v>
      </c>
      <c r="B1104" s="116">
        <v>45493</v>
      </c>
      <c r="C1104" s="117">
        <v>2024</v>
      </c>
      <c r="D1104" s="118" t="s">
        <v>35</v>
      </c>
      <c r="E1104" s="119" t="s">
        <v>211</v>
      </c>
      <c r="F1104" s="120">
        <v>3</v>
      </c>
      <c r="G1104" s="120" t="s">
        <v>759</v>
      </c>
      <c r="H1104" s="121">
        <v>63000</v>
      </c>
      <c r="J1104"/>
      <c r="K1104"/>
      <c r="L1104"/>
      <c r="M1104"/>
      <c r="N1104"/>
      <c r="O1104"/>
    </row>
    <row r="1105" spans="1:15" x14ac:dyDescent="0.25">
      <c r="A1105" s="115">
        <v>1104</v>
      </c>
      <c r="B1105" s="116">
        <v>45493</v>
      </c>
      <c r="C1105" s="117">
        <v>2024</v>
      </c>
      <c r="D1105" s="118" t="s">
        <v>35</v>
      </c>
      <c r="E1105" s="119" t="s">
        <v>643</v>
      </c>
      <c r="F1105" s="120">
        <v>1</v>
      </c>
      <c r="G1105" s="120" t="s">
        <v>759</v>
      </c>
      <c r="H1105" s="121">
        <v>38500</v>
      </c>
      <c r="J1105"/>
      <c r="K1105"/>
      <c r="L1105"/>
      <c r="M1105"/>
      <c r="N1105"/>
      <c r="O1105"/>
    </row>
    <row r="1106" spans="1:15" x14ac:dyDescent="0.25">
      <c r="A1106" s="115">
        <v>1105</v>
      </c>
      <c r="B1106" s="116">
        <v>45497</v>
      </c>
      <c r="C1106" s="117">
        <v>2024</v>
      </c>
      <c r="D1106" s="118" t="s">
        <v>35</v>
      </c>
      <c r="E1106" s="119" t="s">
        <v>567</v>
      </c>
      <c r="F1106" s="120">
        <v>100</v>
      </c>
      <c r="G1106" s="120" t="s">
        <v>759</v>
      </c>
      <c r="H1106" s="121">
        <v>55000</v>
      </c>
      <c r="J1106"/>
      <c r="K1106"/>
      <c r="L1106"/>
      <c r="M1106"/>
      <c r="N1106"/>
      <c r="O1106"/>
    </row>
    <row r="1107" spans="1:15" x14ac:dyDescent="0.25">
      <c r="A1107" s="115">
        <v>1106</v>
      </c>
      <c r="B1107" s="116">
        <v>45498</v>
      </c>
      <c r="C1107" s="117">
        <v>2024</v>
      </c>
      <c r="D1107" s="118" t="s">
        <v>833</v>
      </c>
      <c r="E1107" s="119" t="s">
        <v>175</v>
      </c>
      <c r="F1107" s="120">
        <v>5</v>
      </c>
      <c r="G1107" s="120" t="s">
        <v>759</v>
      </c>
      <c r="H1107" s="121">
        <v>57500</v>
      </c>
      <c r="J1107"/>
      <c r="K1107"/>
      <c r="L1107"/>
      <c r="M1107"/>
      <c r="N1107"/>
      <c r="O1107"/>
    </row>
    <row r="1108" spans="1:15" x14ac:dyDescent="0.25">
      <c r="A1108" s="115">
        <v>1107</v>
      </c>
      <c r="B1108" s="116">
        <v>45498</v>
      </c>
      <c r="C1108" s="117">
        <v>2024</v>
      </c>
      <c r="D1108" s="118" t="s">
        <v>833</v>
      </c>
      <c r="E1108" s="119" t="s">
        <v>175</v>
      </c>
      <c r="F1108" s="120">
        <v>1</v>
      </c>
      <c r="G1108" s="120" t="s">
        <v>759</v>
      </c>
      <c r="H1108" s="121">
        <v>38500</v>
      </c>
      <c r="J1108"/>
      <c r="K1108"/>
      <c r="L1108"/>
      <c r="M1108"/>
      <c r="N1108"/>
      <c r="O1108"/>
    </row>
    <row r="1109" spans="1:15" x14ac:dyDescent="0.25">
      <c r="A1109" s="115">
        <v>1108</v>
      </c>
      <c r="B1109" s="116">
        <v>45498</v>
      </c>
      <c r="C1109" s="117">
        <v>2024</v>
      </c>
      <c r="D1109" s="118" t="s">
        <v>833</v>
      </c>
      <c r="E1109" s="119" t="s">
        <v>1065</v>
      </c>
      <c r="F1109" s="120">
        <v>20</v>
      </c>
      <c r="G1109" s="120" t="s">
        <v>759</v>
      </c>
      <c r="H1109" s="121">
        <v>157000</v>
      </c>
      <c r="J1109"/>
      <c r="K1109"/>
      <c r="L1109"/>
      <c r="M1109"/>
      <c r="N1109"/>
      <c r="O1109"/>
    </row>
    <row r="1110" spans="1:15" x14ac:dyDescent="0.25">
      <c r="A1110" s="115">
        <v>1109</v>
      </c>
      <c r="B1110" s="116">
        <v>45498</v>
      </c>
      <c r="C1110" s="117">
        <v>2024</v>
      </c>
      <c r="D1110" s="118" t="s">
        <v>833</v>
      </c>
      <c r="E1110" s="119" t="s">
        <v>1065</v>
      </c>
      <c r="F1110" s="120">
        <v>15</v>
      </c>
      <c r="G1110" s="120" t="s">
        <v>759</v>
      </c>
      <c r="H1110" s="121">
        <v>172500</v>
      </c>
      <c r="J1110"/>
      <c r="K1110"/>
      <c r="L1110"/>
      <c r="M1110"/>
      <c r="N1110"/>
      <c r="O1110"/>
    </row>
    <row r="1111" spans="1:15" x14ac:dyDescent="0.25">
      <c r="A1111" s="115">
        <v>1110</v>
      </c>
      <c r="B1111" s="116">
        <v>45498</v>
      </c>
      <c r="C1111" s="117">
        <v>2024</v>
      </c>
      <c r="D1111" s="118" t="s">
        <v>833</v>
      </c>
      <c r="E1111" s="119" t="s">
        <v>1065</v>
      </c>
      <c r="F1111" s="120">
        <v>25</v>
      </c>
      <c r="G1111" s="120" t="s">
        <v>759</v>
      </c>
      <c r="H1111" s="121">
        <v>500000</v>
      </c>
      <c r="J1111"/>
      <c r="K1111"/>
      <c r="L1111"/>
      <c r="M1111"/>
      <c r="N1111"/>
      <c r="O1111"/>
    </row>
    <row r="1112" spans="1:15" x14ac:dyDescent="0.25">
      <c r="A1112" s="115">
        <v>1111</v>
      </c>
      <c r="B1112" s="116">
        <v>45498</v>
      </c>
      <c r="C1112" s="117">
        <v>2024</v>
      </c>
      <c r="D1112" s="118" t="s">
        <v>833</v>
      </c>
      <c r="E1112" s="119" t="s">
        <v>1065</v>
      </c>
      <c r="F1112" s="120">
        <v>5</v>
      </c>
      <c r="G1112" s="120" t="s">
        <v>759</v>
      </c>
      <c r="H1112" s="121">
        <v>86250</v>
      </c>
      <c r="J1112"/>
      <c r="K1112"/>
      <c r="L1112"/>
      <c r="M1112"/>
      <c r="N1112"/>
      <c r="O1112"/>
    </row>
    <row r="1113" spans="1:15" x14ac:dyDescent="0.25">
      <c r="A1113" s="115">
        <v>1112</v>
      </c>
      <c r="B1113" s="116">
        <v>45498</v>
      </c>
      <c r="C1113" s="117">
        <v>2024</v>
      </c>
      <c r="D1113" s="118" t="s">
        <v>833</v>
      </c>
      <c r="E1113" s="119" t="s">
        <v>847</v>
      </c>
      <c r="F1113" s="120">
        <v>5</v>
      </c>
      <c r="G1113" s="120" t="s">
        <v>759</v>
      </c>
      <c r="H1113" s="121">
        <v>45000</v>
      </c>
      <c r="J1113"/>
      <c r="K1113"/>
      <c r="L1113"/>
      <c r="M1113"/>
      <c r="N1113"/>
      <c r="O1113"/>
    </row>
    <row r="1114" spans="1:15" x14ac:dyDescent="0.25">
      <c r="A1114" s="115">
        <v>1113</v>
      </c>
      <c r="B1114" s="116">
        <v>45498</v>
      </c>
      <c r="C1114" s="117">
        <v>2024</v>
      </c>
      <c r="D1114" s="118" t="s">
        <v>833</v>
      </c>
      <c r="E1114" s="119" t="s">
        <v>87</v>
      </c>
      <c r="F1114" s="120">
        <v>12</v>
      </c>
      <c r="G1114" s="120" t="s">
        <v>759</v>
      </c>
      <c r="H1114" s="121">
        <v>18600</v>
      </c>
      <c r="J1114"/>
      <c r="K1114"/>
      <c r="L1114"/>
      <c r="M1114"/>
      <c r="N1114"/>
      <c r="O1114"/>
    </row>
    <row r="1115" spans="1:15" x14ac:dyDescent="0.25">
      <c r="A1115" s="115">
        <v>1114</v>
      </c>
      <c r="B1115" s="116">
        <v>45498</v>
      </c>
      <c r="C1115" s="117">
        <v>2024</v>
      </c>
      <c r="D1115" s="118" t="s">
        <v>833</v>
      </c>
      <c r="E1115" s="119" t="s">
        <v>1136</v>
      </c>
      <c r="F1115" s="120">
        <v>2</v>
      </c>
      <c r="G1115" s="120" t="s">
        <v>759</v>
      </c>
      <c r="H1115" s="121">
        <v>25000</v>
      </c>
      <c r="J1115"/>
      <c r="K1115"/>
      <c r="L1115"/>
      <c r="M1115"/>
      <c r="N1115"/>
      <c r="O1115"/>
    </row>
    <row r="1116" spans="1:15" x14ac:dyDescent="0.25">
      <c r="A1116" s="115">
        <v>1115</v>
      </c>
      <c r="B1116" s="116">
        <v>45498</v>
      </c>
      <c r="C1116" s="117">
        <v>2024</v>
      </c>
      <c r="D1116" s="118" t="s">
        <v>833</v>
      </c>
      <c r="E1116" s="119" t="s">
        <v>103</v>
      </c>
      <c r="F1116" s="120">
        <v>1</v>
      </c>
      <c r="G1116" s="120" t="s">
        <v>759</v>
      </c>
      <c r="H1116" s="121">
        <v>11500</v>
      </c>
      <c r="J1116"/>
      <c r="K1116"/>
      <c r="L1116"/>
      <c r="M1116"/>
      <c r="N1116"/>
      <c r="O1116"/>
    </row>
    <row r="1117" spans="1:15" x14ac:dyDescent="0.25">
      <c r="A1117" s="115">
        <v>1116</v>
      </c>
      <c r="B1117" s="116">
        <v>45498</v>
      </c>
      <c r="C1117" s="117">
        <v>2024</v>
      </c>
      <c r="D1117" s="118" t="s">
        <v>833</v>
      </c>
      <c r="E1117" s="119" t="s">
        <v>103</v>
      </c>
      <c r="F1117" s="120">
        <v>1</v>
      </c>
      <c r="G1117" s="120" t="s">
        <v>759</v>
      </c>
      <c r="H1117" s="121">
        <v>11000</v>
      </c>
      <c r="J1117"/>
      <c r="K1117"/>
      <c r="L1117"/>
      <c r="M1117"/>
      <c r="N1117"/>
      <c r="O1117"/>
    </row>
    <row r="1118" spans="1:15" x14ac:dyDescent="0.25">
      <c r="A1118" s="115">
        <v>1117</v>
      </c>
      <c r="B1118" s="116">
        <v>45498</v>
      </c>
      <c r="C1118" s="117">
        <v>2024</v>
      </c>
      <c r="D1118" s="118" t="s">
        <v>833</v>
      </c>
      <c r="E1118" s="119" t="s">
        <v>535</v>
      </c>
      <c r="F1118" s="120">
        <v>20</v>
      </c>
      <c r="G1118" s="120" t="s">
        <v>759</v>
      </c>
      <c r="H1118" s="121">
        <v>52000</v>
      </c>
      <c r="J1118"/>
      <c r="K1118"/>
      <c r="L1118"/>
      <c r="M1118"/>
      <c r="N1118"/>
      <c r="O1118"/>
    </row>
    <row r="1119" spans="1:15" x14ac:dyDescent="0.25">
      <c r="A1119" s="115">
        <v>1118</v>
      </c>
      <c r="B1119" s="116">
        <v>45498</v>
      </c>
      <c r="C1119" s="117">
        <v>2024</v>
      </c>
      <c r="D1119" s="118" t="s">
        <v>833</v>
      </c>
      <c r="E1119" s="119" t="s">
        <v>848</v>
      </c>
      <c r="F1119" s="120">
        <v>12</v>
      </c>
      <c r="G1119" s="120" t="s">
        <v>759</v>
      </c>
      <c r="H1119" s="121">
        <v>19500</v>
      </c>
      <c r="J1119"/>
      <c r="K1119"/>
      <c r="L1119"/>
      <c r="M1119"/>
      <c r="N1119"/>
      <c r="O1119"/>
    </row>
    <row r="1120" spans="1:15" x14ac:dyDescent="0.25">
      <c r="A1120" s="115">
        <v>1119</v>
      </c>
      <c r="B1120" s="116">
        <v>45498</v>
      </c>
      <c r="C1120" s="117">
        <v>2024</v>
      </c>
      <c r="D1120" s="118" t="s">
        <v>833</v>
      </c>
      <c r="E1120" s="119" t="s">
        <v>620</v>
      </c>
      <c r="F1120" s="120">
        <v>3</v>
      </c>
      <c r="G1120" s="120" t="s">
        <v>759</v>
      </c>
      <c r="H1120" s="121">
        <v>93000</v>
      </c>
      <c r="J1120"/>
      <c r="K1120"/>
      <c r="L1120"/>
      <c r="M1120"/>
      <c r="N1120"/>
      <c r="O1120"/>
    </row>
    <row r="1121" spans="1:15" x14ac:dyDescent="0.25">
      <c r="A1121" s="115">
        <v>1120</v>
      </c>
      <c r="B1121" s="116">
        <v>45498</v>
      </c>
      <c r="C1121" s="117">
        <v>2024</v>
      </c>
      <c r="D1121" s="118" t="s">
        <v>833</v>
      </c>
      <c r="E1121" s="119" t="s">
        <v>589</v>
      </c>
      <c r="F1121" s="120">
        <v>10</v>
      </c>
      <c r="G1121" s="120" t="s">
        <v>759</v>
      </c>
      <c r="H1121" s="121">
        <v>420000</v>
      </c>
      <c r="J1121"/>
      <c r="K1121"/>
      <c r="L1121"/>
      <c r="M1121"/>
      <c r="N1121"/>
      <c r="O1121"/>
    </row>
    <row r="1122" spans="1:15" x14ac:dyDescent="0.25">
      <c r="A1122" s="115">
        <v>1121</v>
      </c>
      <c r="B1122" s="116">
        <v>45498</v>
      </c>
      <c r="C1122" s="117">
        <v>2024</v>
      </c>
      <c r="D1122" s="118" t="s">
        <v>833</v>
      </c>
      <c r="E1122" s="119" t="s">
        <v>589</v>
      </c>
      <c r="F1122" s="120">
        <v>3</v>
      </c>
      <c r="G1122" s="120" t="s">
        <v>759</v>
      </c>
      <c r="H1122" s="121">
        <v>999000</v>
      </c>
      <c r="J1122"/>
      <c r="K1122"/>
      <c r="L1122"/>
      <c r="M1122"/>
      <c r="N1122"/>
      <c r="O1122"/>
    </row>
    <row r="1123" spans="1:15" x14ac:dyDescent="0.25">
      <c r="A1123" s="115">
        <v>1122</v>
      </c>
      <c r="B1123" s="116">
        <v>45498</v>
      </c>
      <c r="C1123" s="117">
        <v>2024</v>
      </c>
      <c r="D1123" s="118" t="s">
        <v>833</v>
      </c>
      <c r="E1123" s="119" t="s">
        <v>589</v>
      </c>
      <c r="F1123" s="120">
        <v>6</v>
      </c>
      <c r="G1123" s="120" t="s">
        <v>759</v>
      </c>
      <c r="H1123" s="121">
        <v>1434000</v>
      </c>
      <c r="J1123"/>
      <c r="K1123"/>
      <c r="L1123"/>
      <c r="M1123"/>
      <c r="N1123"/>
      <c r="O1123"/>
    </row>
    <row r="1124" spans="1:15" x14ac:dyDescent="0.25">
      <c r="A1124" s="115">
        <v>1123</v>
      </c>
      <c r="B1124" s="116">
        <v>45498</v>
      </c>
      <c r="C1124" s="117">
        <v>2024</v>
      </c>
      <c r="D1124" s="118" t="s">
        <v>833</v>
      </c>
      <c r="E1124" s="119" t="s">
        <v>589</v>
      </c>
      <c r="F1124" s="120">
        <v>30</v>
      </c>
      <c r="G1124" s="120" t="s">
        <v>759</v>
      </c>
      <c r="H1124" s="121">
        <v>1357500</v>
      </c>
      <c r="J1124"/>
      <c r="K1124"/>
      <c r="L1124"/>
      <c r="M1124"/>
      <c r="N1124"/>
      <c r="O1124"/>
    </row>
    <row r="1125" spans="1:15" x14ac:dyDescent="0.25">
      <c r="A1125" s="115">
        <v>1124</v>
      </c>
      <c r="B1125" s="116">
        <v>45498</v>
      </c>
      <c r="C1125" s="117">
        <v>2024</v>
      </c>
      <c r="D1125" s="118" t="s">
        <v>833</v>
      </c>
      <c r="E1125" s="119" t="s">
        <v>589</v>
      </c>
      <c r="F1125" s="120">
        <v>50</v>
      </c>
      <c r="G1125" s="120" t="s">
        <v>759</v>
      </c>
      <c r="H1125" s="121">
        <v>36500</v>
      </c>
      <c r="J1125"/>
      <c r="K1125"/>
      <c r="L1125"/>
      <c r="M1125"/>
      <c r="N1125"/>
      <c r="O1125"/>
    </row>
    <row r="1126" spans="1:15" x14ac:dyDescent="0.25">
      <c r="A1126" s="115">
        <v>1125</v>
      </c>
      <c r="B1126" s="116">
        <v>45498</v>
      </c>
      <c r="C1126" s="117">
        <v>2024</v>
      </c>
      <c r="D1126" s="118" t="s">
        <v>851</v>
      </c>
      <c r="E1126" s="119" t="s">
        <v>299</v>
      </c>
      <c r="F1126" s="120">
        <v>72</v>
      </c>
      <c r="G1126" s="120" t="s">
        <v>759</v>
      </c>
      <c r="H1126" s="121">
        <v>388800</v>
      </c>
      <c r="J1126"/>
      <c r="K1126"/>
      <c r="L1126"/>
      <c r="M1126"/>
      <c r="N1126"/>
      <c r="O1126"/>
    </row>
    <row r="1127" spans="1:15" x14ac:dyDescent="0.25">
      <c r="A1127" s="115">
        <v>1126</v>
      </c>
      <c r="B1127" s="116">
        <v>45498</v>
      </c>
      <c r="C1127" s="117">
        <v>2024</v>
      </c>
      <c r="D1127" s="118" t="s">
        <v>851</v>
      </c>
      <c r="E1127" s="119" t="s">
        <v>299</v>
      </c>
      <c r="F1127" s="120">
        <v>72</v>
      </c>
      <c r="G1127" s="120" t="s">
        <v>759</v>
      </c>
      <c r="H1127" s="121">
        <v>388800</v>
      </c>
      <c r="J1127"/>
      <c r="K1127"/>
      <c r="L1127"/>
      <c r="M1127"/>
      <c r="N1127"/>
      <c r="O1127"/>
    </row>
    <row r="1128" spans="1:15" x14ac:dyDescent="0.25">
      <c r="A1128" s="115">
        <v>1127</v>
      </c>
      <c r="B1128" s="116">
        <v>45498</v>
      </c>
      <c r="C1128" s="117">
        <v>2024</v>
      </c>
      <c r="D1128" s="118" t="s">
        <v>833</v>
      </c>
      <c r="E1128" s="119" t="s">
        <v>632</v>
      </c>
      <c r="F1128" s="120">
        <v>30</v>
      </c>
      <c r="G1128" s="120" t="s">
        <v>759</v>
      </c>
      <c r="H1128" s="121">
        <v>54000</v>
      </c>
      <c r="J1128"/>
      <c r="K1128"/>
      <c r="L1128"/>
      <c r="M1128"/>
      <c r="N1128"/>
      <c r="O1128"/>
    </row>
    <row r="1129" spans="1:15" x14ac:dyDescent="0.25">
      <c r="A1129" s="115">
        <v>1128</v>
      </c>
      <c r="B1129" s="116">
        <v>45498</v>
      </c>
      <c r="C1129" s="117">
        <v>2024</v>
      </c>
      <c r="D1129" s="118" t="s">
        <v>35</v>
      </c>
      <c r="E1129" s="119" t="s">
        <v>677</v>
      </c>
      <c r="F1129" s="120">
        <v>1</v>
      </c>
      <c r="G1129" s="120" t="s">
        <v>759</v>
      </c>
      <c r="H1129" s="121">
        <v>6500</v>
      </c>
      <c r="J1129"/>
      <c r="K1129"/>
      <c r="L1129"/>
      <c r="M1129"/>
      <c r="N1129"/>
      <c r="O1129"/>
    </row>
    <row r="1130" spans="1:15" x14ac:dyDescent="0.25">
      <c r="A1130" s="115">
        <v>1129</v>
      </c>
      <c r="B1130" s="116">
        <v>45498</v>
      </c>
      <c r="C1130" s="117">
        <v>2024</v>
      </c>
      <c r="D1130" s="118" t="s">
        <v>833</v>
      </c>
      <c r="E1130" s="119" t="s">
        <v>855</v>
      </c>
      <c r="F1130" s="120">
        <v>1</v>
      </c>
      <c r="G1130" s="120" t="s">
        <v>759</v>
      </c>
      <c r="H1130" s="121">
        <v>62000</v>
      </c>
      <c r="J1130"/>
      <c r="K1130"/>
      <c r="L1130"/>
      <c r="M1130"/>
      <c r="N1130"/>
      <c r="O1130"/>
    </row>
    <row r="1131" spans="1:15" x14ac:dyDescent="0.25">
      <c r="A1131" s="115">
        <v>1130</v>
      </c>
      <c r="B1131" s="116">
        <v>45498</v>
      </c>
      <c r="C1131" s="117">
        <v>2024</v>
      </c>
      <c r="D1131" s="118" t="s">
        <v>833</v>
      </c>
      <c r="E1131" s="119" t="s">
        <v>588</v>
      </c>
      <c r="F1131" s="120">
        <v>12</v>
      </c>
      <c r="G1131" s="120" t="s">
        <v>759</v>
      </c>
      <c r="H1131" s="121">
        <v>57600</v>
      </c>
      <c r="J1131"/>
      <c r="K1131"/>
      <c r="L1131"/>
      <c r="M1131"/>
      <c r="N1131"/>
      <c r="O1131"/>
    </row>
    <row r="1132" spans="1:15" x14ac:dyDescent="0.25">
      <c r="A1132" s="115">
        <v>1131</v>
      </c>
      <c r="B1132" s="116">
        <v>45499</v>
      </c>
      <c r="C1132" s="117">
        <v>2024</v>
      </c>
      <c r="D1132" s="118" t="s">
        <v>35</v>
      </c>
      <c r="E1132" s="119" t="s">
        <v>1137</v>
      </c>
      <c r="F1132" s="120">
        <v>1</v>
      </c>
      <c r="G1132" s="120" t="s">
        <v>759</v>
      </c>
      <c r="H1132" s="121">
        <v>55000</v>
      </c>
      <c r="J1132"/>
      <c r="K1132"/>
      <c r="L1132"/>
      <c r="M1132"/>
      <c r="N1132"/>
      <c r="O1132"/>
    </row>
    <row r="1133" spans="1:15" x14ac:dyDescent="0.25">
      <c r="A1133" s="115">
        <v>1132</v>
      </c>
      <c r="B1133" s="116">
        <v>45500</v>
      </c>
      <c r="C1133" s="117">
        <v>2024</v>
      </c>
      <c r="D1133" s="118" t="s">
        <v>35</v>
      </c>
      <c r="E1133" s="119" t="s">
        <v>1089</v>
      </c>
      <c r="F1133" s="120">
        <v>1</v>
      </c>
      <c r="G1133" s="120" t="s">
        <v>759</v>
      </c>
      <c r="H1133" s="121">
        <v>85900</v>
      </c>
      <c r="J1133"/>
      <c r="K1133"/>
      <c r="L1133"/>
      <c r="M1133"/>
      <c r="N1133"/>
      <c r="O1133"/>
    </row>
    <row r="1134" spans="1:15" x14ac:dyDescent="0.25">
      <c r="A1134" s="115">
        <v>1133</v>
      </c>
      <c r="B1134" s="116">
        <v>45502</v>
      </c>
      <c r="C1134" s="117">
        <v>2024</v>
      </c>
      <c r="D1134" s="118" t="s">
        <v>35</v>
      </c>
      <c r="E1134" s="119" t="s">
        <v>1068</v>
      </c>
      <c r="F1134" s="120">
        <v>1</v>
      </c>
      <c r="G1134" s="120" t="s">
        <v>759</v>
      </c>
      <c r="H1134" s="121">
        <v>32500</v>
      </c>
      <c r="J1134"/>
      <c r="K1134"/>
      <c r="L1134"/>
      <c r="M1134"/>
      <c r="N1134"/>
      <c r="O1134"/>
    </row>
    <row r="1135" spans="1:15" x14ac:dyDescent="0.25">
      <c r="A1135" s="115">
        <v>1134</v>
      </c>
      <c r="B1135" s="145">
        <v>45505</v>
      </c>
      <c r="C1135" s="146">
        <v>2024</v>
      </c>
      <c r="D1135" s="118" t="s">
        <v>35</v>
      </c>
      <c r="E1135" s="118" t="s">
        <v>1138</v>
      </c>
      <c r="F1135" s="147">
        <v>1</v>
      </c>
      <c r="G1135" s="120" t="s">
        <v>759</v>
      </c>
      <c r="H1135" s="148">
        <v>84443</v>
      </c>
      <c r="J1135"/>
      <c r="K1135"/>
      <c r="L1135"/>
      <c r="M1135"/>
      <c r="N1135"/>
      <c r="O1135"/>
    </row>
    <row r="1136" spans="1:15" x14ac:dyDescent="0.25">
      <c r="A1136" s="115">
        <v>1135</v>
      </c>
      <c r="B1136" s="116">
        <v>45506</v>
      </c>
      <c r="C1136" s="117">
        <v>2024</v>
      </c>
      <c r="D1136" s="118" t="s">
        <v>833</v>
      </c>
      <c r="E1136" s="119" t="s">
        <v>589</v>
      </c>
      <c r="F1136" s="120">
        <v>55</v>
      </c>
      <c r="G1136" s="120" t="s">
        <v>759</v>
      </c>
      <c r="H1136" s="121">
        <v>99000</v>
      </c>
      <c r="J1136"/>
      <c r="K1136"/>
      <c r="L1136"/>
      <c r="M1136"/>
      <c r="N1136"/>
      <c r="O1136"/>
    </row>
    <row r="1137" spans="1:15" x14ac:dyDescent="0.25">
      <c r="A1137" s="115">
        <v>1136</v>
      </c>
      <c r="B1137" s="145">
        <v>45510</v>
      </c>
      <c r="C1137" s="146">
        <v>2024</v>
      </c>
      <c r="D1137" s="118" t="s">
        <v>35</v>
      </c>
      <c r="E1137" s="118" t="s">
        <v>770</v>
      </c>
      <c r="F1137" s="147">
        <v>1</v>
      </c>
      <c r="G1137" s="120" t="s">
        <v>759</v>
      </c>
      <c r="H1137" s="148">
        <v>100000</v>
      </c>
      <c r="J1137"/>
      <c r="K1137"/>
      <c r="L1137"/>
      <c r="M1137"/>
      <c r="N1137"/>
      <c r="O1137"/>
    </row>
    <row r="1138" spans="1:15" x14ac:dyDescent="0.25">
      <c r="A1138" s="115">
        <v>1137</v>
      </c>
      <c r="B1138" s="116">
        <v>45512</v>
      </c>
      <c r="C1138" s="117">
        <v>2024</v>
      </c>
      <c r="D1138" s="118" t="s">
        <v>35</v>
      </c>
      <c r="E1138" s="119" t="s">
        <v>211</v>
      </c>
      <c r="F1138" s="120">
        <v>7</v>
      </c>
      <c r="G1138" s="120" t="s">
        <v>759</v>
      </c>
      <c r="H1138" s="121">
        <v>147000</v>
      </c>
      <c r="J1138"/>
      <c r="K1138"/>
      <c r="L1138"/>
      <c r="M1138"/>
      <c r="N1138"/>
      <c r="O1138"/>
    </row>
    <row r="1139" spans="1:15" x14ac:dyDescent="0.25">
      <c r="A1139" s="115">
        <v>1138</v>
      </c>
      <c r="B1139" s="116">
        <v>45512</v>
      </c>
      <c r="C1139" s="117">
        <v>2024</v>
      </c>
      <c r="D1139" s="118" t="s">
        <v>35</v>
      </c>
      <c r="E1139" s="119" t="s">
        <v>211</v>
      </c>
      <c r="F1139" s="120">
        <v>3</v>
      </c>
      <c r="G1139" s="120" t="s">
        <v>759</v>
      </c>
      <c r="H1139" s="121">
        <v>58500</v>
      </c>
      <c r="J1139"/>
      <c r="K1139"/>
      <c r="L1139"/>
      <c r="M1139"/>
      <c r="N1139"/>
      <c r="O1139"/>
    </row>
    <row r="1140" spans="1:15" x14ac:dyDescent="0.25">
      <c r="A1140" s="115">
        <v>1139</v>
      </c>
      <c r="B1140" s="116">
        <v>45512</v>
      </c>
      <c r="C1140" s="117">
        <v>2024</v>
      </c>
      <c r="D1140" s="118" t="s">
        <v>35</v>
      </c>
      <c r="E1140" s="119" t="s">
        <v>211</v>
      </c>
      <c r="F1140" s="120">
        <v>3</v>
      </c>
      <c r="G1140" s="120" t="s">
        <v>759</v>
      </c>
      <c r="H1140" s="121">
        <v>58500</v>
      </c>
      <c r="J1140"/>
      <c r="K1140"/>
      <c r="L1140"/>
      <c r="M1140"/>
      <c r="N1140"/>
      <c r="O1140"/>
    </row>
    <row r="1141" spans="1:15" x14ac:dyDescent="0.25">
      <c r="A1141" s="115">
        <v>1140</v>
      </c>
      <c r="B1141" s="116">
        <v>45512</v>
      </c>
      <c r="C1141" s="117">
        <v>2024</v>
      </c>
      <c r="D1141" s="118" t="s">
        <v>35</v>
      </c>
      <c r="E1141" s="119" t="s">
        <v>1139</v>
      </c>
      <c r="F1141" s="120">
        <v>1</v>
      </c>
      <c r="G1141" s="120" t="s">
        <v>759</v>
      </c>
      <c r="H1141" s="121">
        <v>84500</v>
      </c>
      <c r="J1141"/>
      <c r="K1141"/>
      <c r="L1141"/>
      <c r="M1141"/>
      <c r="N1141"/>
      <c r="O1141"/>
    </row>
    <row r="1142" spans="1:15" x14ac:dyDescent="0.25">
      <c r="A1142" s="115">
        <v>1141</v>
      </c>
      <c r="B1142" s="116">
        <v>45512</v>
      </c>
      <c r="C1142" s="117">
        <v>2024</v>
      </c>
      <c r="D1142" s="118" t="s">
        <v>833</v>
      </c>
      <c r="E1142" s="119" t="s">
        <v>589</v>
      </c>
      <c r="F1142" s="120">
        <v>100</v>
      </c>
      <c r="G1142" s="120" t="s">
        <v>759</v>
      </c>
      <c r="H1142" s="121">
        <v>34000</v>
      </c>
      <c r="J1142"/>
      <c r="K1142"/>
      <c r="L1142"/>
      <c r="M1142"/>
      <c r="N1142"/>
      <c r="O1142"/>
    </row>
    <row r="1143" spans="1:15" x14ac:dyDescent="0.25">
      <c r="A1143" s="115">
        <v>1142</v>
      </c>
      <c r="B1143" s="116">
        <v>45512</v>
      </c>
      <c r="C1143" s="117">
        <v>2024</v>
      </c>
      <c r="D1143" s="118" t="s">
        <v>35</v>
      </c>
      <c r="E1143" s="119" t="s">
        <v>1140</v>
      </c>
      <c r="F1143" s="120">
        <v>1</v>
      </c>
      <c r="G1143" s="120" t="s">
        <v>759</v>
      </c>
      <c r="H1143" s="121">
        <v>35000</v>
      </c>
      <c r="J1143"/>
      <c r="K1143"/>
      <c r="L1143"/>
      <c r="M1143"/>
      <c r="N1143"/>
      <c r="O1143"/>
    </row>
    <row r="1144" spans="1:15" x14ac:dyDescent="0.25">
      <c r="A1144" s="115">
        <v>1143</v>
      </c>
      <c r="B1144" s="145">
        <v>45512</v>
      </c>
      <c r="C1144" s="146">
        <v>2024</v>
      </c>
      <c r="D1144" s="118" t="s">
        <v>35</v>
      </c>
      <c r="E1144" s="118" t="s">
        <v>794</v>
      </c>
      <c r="F1144" s="147">
        <v>1</v>
      </c>
      <c r="G1144" s="120" t="s">
        <v>759</v>
      </c>
      <c r="H1144" s="148">
        <v>166500</v>
      </c>
      <c r="J1144"/>
      <c r="K1144"/>
      <c r="L1144"/>
      <c r="M1144"/>
      <c r="N1144"/>
      <c r="O1144"/>
    </row>
    <row r="1145" spans="1:15" x14ac:dyDescent="0.25">
      <c r="A1145" s="115">
        <v>1144</v>
      </c>
      <c r="B1145" s="145">
        <v>45512</v>
      </c>
      <c r="C1145" s="146">
        <v>2024</v>
      </c>
      <c r="D1145" s="118" t="s">
        <v>35</v>
      </c>
      <c r="E1145" s="118" t="s">
        <v>794</v>
      </c>
      <c r="F1145" s="147">
        <v>1</v>
      </c>
      <c r="G1145" s="120" t="s">
        <v>759</v>
      </c>
      <c r="H1145" s="148">
        <v>166500</v>
      </c>
      <c r="J1145"/>
      <c r="K1145"/>
      <c r="L1145"/>
      <c r="M1145"/>
      <c r="N1145"/>
      <c r="O1145"/>
    </row>
    <row r="1146" spans="1:15" x14ac:dyDescent="0.25">
      <c r="A1146" s="115">
        <v>1145</v>
      </c>
      <c r="B1146" s="145">
        <v>45512</v>
      </c>
      <c r="C1146" s="146">
        <v>2024</v>
      </c>
      <c r="D1146" s="118" t="s">
        <v>35</v>
      </c>
      <c r="E1146" s="118" t="s">
        <v>794</v>
      </c>
      <c r="F1146" s="147">
        <v>1</v>
      </c>
      <c r="G1146" s="120" t="s">
        <v>759</v>
      </c>
      <c r="H1146" s="148">
        <v>166500</v>
      </c>
      <c r="J1146"/>
      <c r="K1146"/>
      <c r="L1146"/>
      <c r="M1146"/>
      <c r="N1146"/>
      <c r="O1146"/>
    </row>
    <row r="1147" spans="1:15" x14ac:dyDescent="0.25">
      <c r="A1147" s="115">
        <v>1146</v>
      </c>
      <c r="B1147" s="145">
        <v>45512</v>
      </c>
      <c r="C1147" s="146">
        <v>2024</v>
      </c>
      <c r="D1147" s="118" t="s">
        <v>35</v>
      </c>
      <c r="E1147" s="118" t="s">
        <v>794</v>
      </c>
      <c r="F1147" s="147">
        <v>1</v>
      </c>
      <c r="G1147" s="120" t="s">
        <v>759</v>
      </c>
      <c r="H1147" s="148">
        <v>166500</v>
      </c>
      <c r="J1147"/>
      <c r="K1147"/>
      <c r="L1147"/>
      <c r="M1147"/>
      <c r="N1147"/>
      <c r="O1147"/>
    </row>
    <row r="1148" spans="1:15" x14ac:dyDescent="0.25">
      <c r="A1148" s="115">
        <v>1147</v>
      </c>
      <c r="B1148" s="145">
        <v>45512</v>
      </c>
      <c r="C1148" s="146">
        <v>2024</v>
      </c>
      <c r="D1148" s="118" t="s">
        <v>35</v>
      </c>
      <c r="E1148" s="118" t="s">
        <v>794</v>
      </c>
      <c r="F1148" s="147">
        <v>1</v>
      </c>
      <c r="G1148" s="120" t="s">
        <v>759</v>
      </c>
      <c r="H1148" s="148">
        <v>166500</v>
      </c>
      <c r="J1148"/>
      <c r="K1148"/>
      <c r="L1148"/>
      <c r="M1148"/>
      <c r="N1148"/>
      <c r="O1148"/>
    </row>
    <row r="1149" spans="1:15" x14ac:dyDescent="0.25">
      <c r="A1149" s="115">
        <v>1148</v>
      </c>
      <c r="B1149" s="116">
        <v>45513</v>
      </c>
      <c r="C1149" s="117">
        <v>2024</v>
      </c>
      <c r="D1149" s="118" t="s">
        <v>1118</v>
      </c>
      <c r="E1149" s="119" t="s">
        <v>855</v>
      </c>
      <c r="F1149" s="120">
        <v>1</v>
      </c>
      <c r="G1149" s="120" t="s">
        <v>759</v>
      </c>
      <c r="H1149" s="121">
        <v>114090</v>
      </c>
      <c r="J1149"/>
      <c r="K1149"/>
      <c r="L1149"/>
      <c r="M1149"/>
      <c r="N1149"/>
      <c r="O1149"/>
    </row>
    <row r="1150" spans="1:15" x14ac:dyDescent="0.25">
      <c r="A1150" s="115">
        <v>1149</v>
      </c>
      <c r="B1150" s="116">
        <v>45513</v>
      </c>
      <c r="C1150" s="117">
        <v>2024</v>
      </c>
      <c r="D1150" s="118" t="s">
        <v>1118</v>
      </c>
      <c r="E1150" s="119" t="s">
        <v>855</v>
      </c>
      <c r="F1150" s="120">
        <v>1</v>
      </c>
      <c r="G1150" s="120" t="s">
        <v>759</v>
      </c>
      <c r="H1150" s="121">
        <v>68400</v>
      </c>
      <c r="J1150"/>
      <c r="K1150"/>
      <c r="L1150"/>
      <c r="M1150"/>
      <c r="N1150"/>
      <c r="O1150"/>
    </row>
    <row r="1151" spans="1:15" x14ac:dyDescent="0.25">
      <c r="A1151" s="115">
        <v>1150</v>
      </c>
      <c r="B1151" s="116">
        <v>45513</v>
      </c>
      <c r="C1151" s="117">
        <v>2024</v>
      </c>
      <c r="D1151" s="118" t="s">
        <v>259</v>
      </c>
      <c r="E1151" s="119" t="s">
        <v>1141</v>
      </c>
      <c r="F1151" s="120">
        <v>1</v>
      </c>
      <c r="G1151" s="120" t="s">
        <v>759</v>
      </c>
      <c r="H1151" s="121">
        <v>193300</v>
      </c>
      <c r="J1151"/>
      <c r="K1151"/>
      <c r="L1151"/>
      <c r="M1151"/>
      <c r="N1151"/>
      <c r="O1151"/>
    </row>
    <row r="1152" spans="1:15" x14ac:dyDescent="0.25">
      <c r="A1152" s="115">
        <v>1151</v>
      </c>
      <c r="B1152" s="145">
        <v>45513</v>
      </c>
      <c r="C1152" s="146">
        <v>2024</v>
      </c>
      <c r="D1152" s="118" t="s">
        <v>35</v>
      </c>
      <c r="E1152" s="118" t="s">
        <v>770</v>
      </c>
      <c r="F1152" s="147">
        <v>1</v>
      </c>
      <c r="G1152" s="120" t="s">
        <v>759</v>
      </c>
      <c r="H1152" s="148">
        <v>363000</v>
      </c>
      <c r="J1152"/>
      <c r="K1152"/>
      <c r="L1152"/>
      <c r="M1152"/>
      <c r="N1152"/>
      <c r="O1152"/>
    </row>
    <row r="1153" spans="1:15" x14ac:dyDescent="0.25">
      <c r="A1153" s="115">
        <v>1152</v>
      </c>
      <c r="B1153" s="145">
        <v>45513</v>
      </c>
      <c r="C1153" s="146">
        <v>2024</v>
      </c>
      <c r="D1153" s="118" t="s">
        <v>35</v>
      </c>
      <c r="E1153" s="118" t="s">
        <v>1142</v>
      </c>
      <c r="F1153" s="147">
        <v>1</v>
      </c>
      <c r="G1153" s="120" t="s">
        <v>759</v>
      </c>
      <c r="H1153" s="148">
        <v>900000</v>
      </c>
      <c r="J1153"/>
      <c r="K1153"/>
      <c r="L1153"/>
      <c r="M1153"/>
      <c r="N1153"/>
      <c r="O1153"/>
    </row>
    <row r="1154" spans="1:15" x14ac:dyDescent="0.25">
      <c r="A1154" s="115">
        <v>1153</v>
      </c>
      <c r="B1154" s="145">
        <v>45513</v>
      </c>
      <c r="C1154" s="146">
        <v>2024</v>
      </c>
      <c r="D1154" s="118" t="s">
        <v>35</v>
      </c>
      <c r="E1154" s="118" t="s">
        <v>1143</v>
      </c>
      <c r="F1154" s="147">
        <v>1</v>
      </c>
      <c r="G1154" s="120" t="s">
        <v>759</v>
      </c>
      <c r="H1154" s="148">
        <v>120000</v>
      </c>
      <c r="J1154"/>
      <c r="K1154"/>
      <c r="L1154"/>
      <c r="M1154"/>
      <c r="N1154"/>
      <c r="O1154"/>
    </row>
    <row r="1155" spans="1:15" x14ac:dyDescent="0.25">
      <c r="A1155" s="115">
        <v>1154</v>
      </c>
      <c r="B1155" s="145">
        <v>45513</v>
      </c>
      <c r="C1155" s="146">
        <v>2024</v>
      </c>
      <c r="D1155" s="118" t="s">
        <v>35</v>
      </c>
      <c r="E1155" s="118" t="s">
        <v>799</v>
      </c>
      <c r="F1155" s="147">
        <v>1</v>
      </c>
      <c r="G1155" s="120" t="s">
        <v>759</v>
      </c>
      <c r="H1155" s="148">
        <v>400000</v>
      </c>
      <c r="J1155"/>
      <c r="K1155"/>
      <c r="L1155"/>
      <c r="M1155"/>
      <c r="N1155"/>
      <c r="O1155"/>
    </row>
    <row r="1156" spans="1:15" x14ac:dyDescent="0.25">
      <c r="A1156" s="115">
        <v>1155</v>
      </c>
      <c r="B1156" s="145">
        <v>45513</v>
      </c>
      <c r="C1156" s="146">
        <v>2024</v>
      </c>
      <c r="D1156" s="118" t="s">
        <v>35</v>
      </c>
      <c r="E1156" s="118" t="s">
        <v>184</v>
      </c>
      <c r="F1156" s="147">
        <v>1</v>
      </c>
      <c r="G1156" s="120" t="s">
        <v>759</v>
      </c>
      <c r="H1156" s="148">
        <v>100000</v>
      </c>
      <c r="J1156"/>
      <c r="K1156"/>
      <c r="L1156"/>
      <c r="M1156"/>
      <c r="N1156"/>
      <c r="O1156"/>
    </row>
    <row r="1157" spans="1:15" x14ac:dyDescent="0.25">
      <c r="A1157" s="115">
        <v>1156</v>
      </c>
      <c r="B1157" s="145">
        <v>45513</v>
      </c>
      <c r="C1157" s="146">
        <v>2024</v>
      </c>
      <c r="D1157" s="118" t="s">
        <v>35</v>
      </c>
      <c r="E1157" s="118" t="s">
        <v>1144</v>
      </c>
      <c r="F1157" s="147">
        <v>1</v>
      </c>
      <c r="G1157" s="120" t="s">
        <v>759</v>
      </c>
      <c r="H1157" s="148">
        <v>115000</v>
      </c>
      <c r="J1157"/>
      <c r="K1157"/>
      <c r="L1157"/>
      <c r="M1157"/>
      <c r="N1157"/>
      <c r="O1157"/>
    </row>
    <row r="1158" spans="1:15" x14ac:dyDescent="0.25">
      <c r="A1158" s="115">
        <v>1157</v>
      </c>
      <c r="B1158" s="145">
        <v>45513</v>
      </c>
      <c r="C1158" s="146">
        <v>2024</v>
      </c>
      <c r="D1158" s="118" t="s">
        <v>35</v>
      </c>
      <c r="E1158" s="118" t="s">
        <v>1145</v>
      </c>
      <c r="F1158" s="147">
        <v>1</v>
      </c>
      <c r="G1158" s="120" t="s">
        <v>759</v>
      </c>
      <c r="H1158" s="148">
        <v>85000</v>
      </c>
      <c r="J1158"/>
      <c r="K1158"/>
      <c r="L1158"/>
      <c r="M1158"/>
      <c r="N1158"/>
      <c r="O1158"/>
    </row>
    <row r="1159" spans="1:15" x14ac:dyDescent="0.25">
      <c r="A1159" s="115">
        <v>1158</v>
      </c>
      <c r="B1159" s="145">
        <v>45513</v>
      </c>
      <c r="C1159" s="146">
        <v>2024</v>
      </c>
      <c r="D1159" s="118" t="s">
        <v>35</v>
      </c>
      <c r="E1159" s="118" t="s">
        <v>1142</v>
      </c>
      <c r="F1159" s="147">
        <v>1</v>
      </c>
      <c r="G1159" s="120" t="s">
        <v>759</v>
      </c>
      <c r="H1159" s="148">
        <v>900000</v>
      </c>
      <c r="J1159"/>
      <c r="K1159"/>
      <c r="L1159"/>
      <c r="M1159"/>
      <c r="N1159"/>
      <c r="O1159"/>
    </row>
    <row r="1160" spans="1:15" x14ac:dyDescent="0.25">
      <c r="A1160" s="115">
        <v>1159</v>
      </c>
      <c r="B1160" s="145">
        <v>45513</v>
      </c>
      <c r="C1160" s="146">
        <v>2024</v>
      </c>
      <c r="D1160" s="118" t="s">
        <v>35</v>
      </c>
      <c r="E1160" s="118" t="s">
        <v>1143</v>
      </c>
      <c r="F1160" s="147">
        <v>1</v>
      </c>
      <c r="G1160" s="120" t="s">
        <v>759</v>
      </c>
      <c r="H1160" s="148">
        <v>120000</v>
      </c>
      <c r="J1160"/>
      <c r="K1160"/>
      <c r="L1160"/>
      <c r="M1160"/>
      <c r="N1160"/>
      <c r="O1160"/>
    </row>
    <row r="1161" spans="1:15" x14ac:dyDescent="0.25">
      <c r="A1161" s="115">
        <v>1160</v>
      </c>
      <c r="B1161" s="145">
        <v>45513</v>
      </c>
      <c r="C1161" s="146">
        <v>2024</v>
      </c>
      <c r="D1161" s="118" t="s">
        <v>35</v>
      </c>
      <c r="E1161" s="118" t="s">
        <v>1146</v>
      </c>
      <c r="F1161" s="147">
        <v>1</v>
      </c>
      <c r="G1161" s="120" t="s">
        <v>759</v>
      </c>
      <c r="H1161" s="148">
        <v>150000</v>
      </c>
      <c r="J1161"/>
      <c r="K1161"/>
      <c r="L1161"/>
      <c r="M1161"/>
      <c r="N1161"/>
      <c r="O1161"/>
    </row>
    <row r="1162" spans="1:15" x14ac:dyDescent="0.25">
      <c r="A1162" s="115">
        <v>1161</v>
      </c>
      <c r="B1162" s="145">
        <v>45513</v>
      </c>
      <c r="C1162" s="146">
        <v>2024</v>
      </c>
      <c r="D1162" s="118" t="s">
        <v>35</v>
      </c>
      <c r="E1162" s="118" t="s">
        <v>791</v>
      </c>
      <c r="F1162" s="147">
        <v>1</v>
      </c>
      <c r="G1162" s="120" t="s">
        <v>759</v>
      </c>
      <c r="H1162" s="148">
        <v>135000</v>
      </c>
      <c r="J1162"/>
      <c r="K1162"/>
      <c r="L1162"/>
      <c r="M1162"/>
      <c r="N1162"/>
      <c r="O1162"/>
    </row>
    <row r="1163" spans="1:15" x14ac:dyDescent="0.25">
      <c r="A1163" s="115">
        <v>1162</v>
      </c>
      <c r="B1163" s="145">
        <v>45513</v>
      </c>
      <c r="C1163" s="146">
        <v>2024</v>
      </c>
      <c r="D1163" s="118" t="s">
        <v>35</v>
      </c>
      <c r="E1163" s="118" t="s">
        <v>1147</v>
      </c>
      <c r="F1163" s="147">
        <v>1</v>
      </c>
      <c r="G1163" s="120" t="s">
        <v>759</v>
      </c>
      <c r="H1163" s="148">
        <v>135000</v>
      </c>
      <c r="J1163"/>
      <c r="K1163"/>
      <c r="L1163"/>
      <c r="M1163"/>
      <c r="N1163"/>
      <c r="O1163"/>
    </row>
    <row r="1164" spans="1:15" x14ac:dyDescent="0.25">
      <c r="A1164" s="115">
        <v>1163</v>
      </c>
      <c r="B1164" s="116">
        <v>45518</v>
      </c>
      <c r="C1164" s="117">
        <v>2024</v>
      </c>
      <c r="D1164" s="118" t="s">
        <v>35</v>
      </c>
      <c r="E1164" s="119" t="s">
        <v>1068</v>
      </c>
      <c r="F1164" s="120">
        <v>1</v>
      </c>
      <c r="G1164" s="120" t="s">
        <v>759</v>
      </c>
      <c r="H1164" s="121">
        <v>24000</v>
      </c>
      <c r="J1164"/>
      <c r="K1164"/>
      <c r="L1164"/>
      <c r="M1164"/>
      <c r="N1164"/>
      <c r="O1164"/>
    </row>
    <row r="1165" spans="1:15" x14ac:dyDescent="0.25">
      <c r="A1165" s="115">
        <v>1164</v>
      </c>
      <c r="B1165" s="116">
        <v>45518</v>
      </c>
      <c r="C1165" s="117">
        <v>2024</v>
      </c>
      <c r="D1165" s="118" t="s">
        <v>35</v>
      </c>
      <c r="E1165" s="119" t="s">
        <v>1119</v>
      </c>
      <c r="F1165" s="120">
        <v>1</v>
      </c>
      <c r="G1165" s="120" t="s">
        <v>759</v>
      </c>
      <c r="H1165" s="121">
        <v>315000</v>
      </c>
      <c r="J1165"/>
      <c r="K1165"/>
      <c r="L1165"/>
      <c r="M1165"/>
      <c r="N1165"/>
      <c r="O1165"/>
    </row>
    <row r="1166" spans="1:15" x14ac:dyDescent="0.25">
      <c r="A1166" s="115">
        <v>1165</v>
      </c>
      <c r="B1166" s="116">
        <v>45518</v>
      </c>
      <c r="C1166" s="117">
        <v>2024</v>
      </c>
      <c r="D1166" s="118" t="s">
        <v>35</v>
      </c>
      <c r="E1166" s="119" t="s">
        <v>1148</v>
      </c>
      <c r="F1166" s="120">
        <v>1</v>
      </c>
      <c r="G1166" s="120" t="s">
        <v>759</v>
      </c>
      <c r="H1166" s="121">
        <v>20000</v>
      </c>
      <c r="J1166"/>
      <c r="K1166"/>
      <c r="L1166"/>
      <c r="M1166"/>
      <c r="N1166"/>
      <c r="O1166"/>
    </row>
    <row r="1167" spans="1:15" x14ac:dyDescent="0.25">
      <c r="A1167" s="115">
        <v>1166</v>
      </c>
      <c r="B1167" s="116">
        <v>45523</v>
      </c>
      <c r="C1167" s="117">
        <v>2024</v>
      </c>
      <c r="D1167" s="118" t="s">
        <v>259</v>
      </c>
      <c r="E1167" s="119" t="s">
        <v>1149</v>
      </c>
      <c r="F1167" s="120">
        <v>1</v>
      </c>
      <c r="G1167" s="120" t="s">
        <v>759</v>
      </c>
      <c r="H1167" s="121">
        <v>175609</v>
      </c>
      <c r="J1167"/>
      <c r="K1167"/>
      <c r="L1167"/>
      <c r="M1167"/>
      <c r="N1167"/>
      <c r="O1167"/>
    </row>
    <row r="1168" spans="1:15" x14ac:dyDescent="0.25">
      <c r="A1168" s="115">
        <v>1167</v>
      </c>
      <c r="B1168" s="116">
        <v>45524</v>
      </c>
      <c r="C1168" s="117">
        <v>2024</v>
      </c>
      <c r="D1168" s="118" t="s">
        <v>35</v>
      </c>
      <c r="E1168" s="119" t="s">
        <v>1034</v>
      </c>
      <c r="F1168" s="120">
        <v>1</v>
      </c>
      <c r="G1168" s="120" t="s">
        <v>759</v>
      </c>
      <c r="H1168" s="121">
        <v>128000</v>
      </c>
      <c r="J1168"/>
      <c r="K1168"/>
      <c r="L1168"/>
      <c r="M1168"/>
      <c r="N1168"/>
      <c r="O1168"/>
    </row>
    <row r="1169" spans="1:15" x14ac:dyDescent="0.25">
      <c r="A1169" s="115">
        <v>1168</v>
      </c>
      <c r="B1169" s="145">
        <v>45524</v>
      </c>
      <c r="C1169" s="146">
        <v>2024</v>
      </c>
      <c r="D1169" s="118" t="s">
        <v>35</v>
      </c>
      <c r="E1169" s="118" t="s">
        <v>1150</v>
      </c>
      <c r="F1169" s="147">
        <v>1</v>
      </c>
      <c r="G1169" s="120" t="s">
        <v>759</v>
      </c>
      <c r="H1169" s="148">
        <v>200000</v>
      </c>
      <c r="J1169"/>
      <c r="K1169"/>
      <c r="L1169"/>
      <c r="M1169"/>
      <c r="N1169"/>
      <c r="O1169"/>
    </row>
    <row r="1170" spans="1:15" x14ac:dyDescent="0.25">
      <c r="A1170" s="115">
        <v>1169</v>
      </c>
      <c r="B1170" s="145">
        <v>45525</v>
      </c>
      <c r="C1170" s="146">
        <v>2024</v>
      </c>
      <c r="D1170" s="118" t="s">
        <v>35</v>
      </c>
      <c r="E1170" s="118" t="s">
        <v>827</v>
      </c>
      <c r="F1170" s="147">
        <v>1</v>
      </c>
      <c r="G1170" s="120" t="s">
        <v>759</v>
      </c>
      <c r="H1170" s="148">
        <v>45000</v>
      </c>
      <c r="J1170"/>
      <c r="K1170"/>
      <c r="L1170"/>
      <c r="M1170"/>
      <c r="N1170"/>
      <c r="O1170"/>
    </row>
    <row r="1171" spans="1:15" x14ac:dyDescent="0.25">
      <c r="A1171" s="115">
        <v>1170</v>
      </c>
      <c r="B1171" s="145">
        <v>45527</v>
      </c>
      <c r="C1171" s="146">
        <v>2024</v>
      </c>
      <c r="D1171" s="118" t="s">
        <v>35</v>
      </c>
      <c r="E1171" s="118" t="s">
        <v>801</v>
      </c>
      <c r="F1171" s="147">
        <v>1</v>
      </c>
      <c r="G1171" s="120" t="s">
        <v>759</v>
      </c>
      <c r="H1171" s="148">
        <v>140000</v>
      </c>
      <c r="J1171"/>
      <c r="K1171"/>
      <c r="L1171"/>
      <c r="M1171"/>
      <c r="N1171"/>
      <c r="O1171"/>
    </row>
    <row r="1172" spans="1:15" x14ac:dyDescent="0.25">
      <c r="A1172" s="115">
        <v>1171</v>
      </c>
      <c r="B1172" s="145">
        <v>45527</v>
      </c>
      <c r="C1172" s="146">
        <v>2024</v>
      </c>
      <c r="D1172" s="118" t="s">
        <v>35</v>
      </c>
      <c r="E1172" s="118" t="s">
        <v>823</v>
      </c>
      <c r="F1172" s="147">
        <v>1</v>
      </c>
      <c r="G1172" s="120" t="s">
        <v>759</v>
      </c>
      <c r="H1172" s="148">
        <v>65000</v>
      </c>
      <c r="J1172"/>
      <c r="K1172"/>
      <c r="L1172"/>
      <c r="M1172"/>
      <c r="N1172"/>
      <c r="O1172"/>
    </row>
    <row r="1173" spans="1:15" x14ac:dyDescent="0.25">
      <c r="A1173" s="115">
        <v>1172</v>
      </c>
      <c r="B1173" s="145">
        <v>45527</v>
      </c>
      <c r="C1173" s="146">
        <v>2024</v>
      </c>
      <c r="D1173" s="118" t="s">
        <v>35</v>
      </c>
      <c r="E1173" s="118" t="s">
        <v>1151</v>
      </c>
      <c r="F1173" s="147">
        <v>1</v>
      </c>
      <c r="G1173" s="120" t="s">
        <v>759</v>
      </c>
      <c r="H1173" s="148">
        <v>3100000</v>
      </c>
      <c r="J1173"/>
      <c r="K1173"/>
      <c r="L1173"/>
      <c r="M1173"/>
      <c r="N1173"/>
      <c r="O1173"/>
    </row>
    <row r="1174" spans="1:15" x14ac:dyDescent="0.25">
      <c r="A1174" s="115">
        <v>1173</v>
      </c>
      <c r="B1174" s="145">
        <v>45527</v>
      </c>
      <c r="C1174" s="146">
        <v>2024</v>
      </c>
      <c r="D1174" s="118" t="s">
        <v>35</v>
      </c>
      <c r="E1174" s="118" t="s">
        <v>1152</v>
      </c>
      <c r="F1174" s="147">
        <v>1</v>
      </c>
      <c r="G1174" s="120" t="s">
        <v>759</v>
      </c>
      <c r="H1174" s="148">
        <v>1200000</v>
      </c>
      <c r="J1174"/>
      <c r="K1174"/>
      <c r="L1174"/>
      <c r="M1174"/>
      <c r="N1174"/>
      <c r="O1174"/>
    </row>
    <row r="1175" spans="1:15" x14ac:dyDescent="0.25">
      <c r="A1175" s="115">
        <v>1174</v>
      </c>
      <c r="B1175" s="145">
        <v>45527</v>
      </c>
      <c r="C1175" s="146">
        <v>2024</v>
      </c>
      <c r="D1175" s="118" t="s">
        <v>35</v>
      </c>
      <c r="E1175" s="118" t="s">
        <v>827</v>
      </c>
      <c r="F1175" s="147">
        <v>1</v>
      </c>
      <c r="G1175" s="120" t="s">
        <v>759</v>
      </c>
      <c r="H1175" s="148">
        <v>140000</v>
      </c>
      <c r="J1175"/>
      <c r="K1175"/>
      <c r="L1175"/>
      <c r="M1175"/>
      <c r="N1175"/>
      <c r="O1175"/>
    </row>
    <row r="1176" spans="1:15" x14ac:dyDescent="0.25">
      <c r="A1176" s="115">
        <v>1175</v>
      </c>
      <c r="B1176" s="145">
        <v>45527</v>
      </c>
      <c r="C1176" s="146">
        <v>2024</v>
      </c>
      <c r="D1176" s="118" t="s">
        <v>35</v>
      </c>
      <c r="E1176" s="118" t="s">
        <v>1152</v>
      </c>
      <c r="F1176" s="147">
        <v>1</v>
      </c>
      <c r="G1176" s="120" t="s">
        <v>759</v>
      </c>
      <c r="H1176" s="148">
        <v>1224000</v>
      </c>
      <c r="J1176"/>
      <c r="K1176"/>
      <c r="L1176"/>
      <c r="M1176"/>
      <c r="N1176"/>
      <c r="O1176"/>
    </row>
    <row r="1177" spans="1:15" x14ac:dyDescent="0.25">
      <c r="A1177" s="115">
        <v>1176</v>
      </c>
      <c r="B1177" s="145">
        <v>45527</v>
      </c>
      <c r="C1177" s="146">
        <v>2024</v>
      </c>
      <c r="D1177" s="118" t="s">
        <v>35</v>
      </c>
      <c r="E1177" s="118" t="s">
        <v>823</v>
      </c>
      <c r="F1177" s="147">
        <v>1</v>
      </c>
      <c r="G1177" s="120" t="s">
        <v>759</v>
      </c>
      <c r="H1177" s="148">
        <v>65000</v>
      </c>
      <c r="J1177"/>
      <c r="K1177"/>
      <c r="L1177"/>
      <c r="M1177"/>
      <c r="N1177"/>
      <c r="O1177"/>
    </row>
    <row r="1178" spans="1:15" x14ac:dyDescent="0.25">
      <c r="A1178" s="115">
        <v>1177</v>
      </c>
      <c r="B1178" s="145">
        <v>45527</v>
      </c>
      <c r="C1178" s="146">
        <v>2024</v>
      </c>
      <c r="D1178" s="118" t="s">
        <v>35</v>
      </c>
      <c r="E1178" s="118" t="s">
        <v>801</v>
      </c>
      <c r="F1178" s="147">
        <v>1</v>
      </c>
      <c r="G1178" s="120" t="s">
        <v>759</v>
      </c>
      <c r="H1178" s="148">
        <v>140000</v>
      </c>
      <c r="J1178"/>
      <c r="K1178"/>
      <c r="L1178"/>
      <c r="M1178"/>
      <c r="N1178"/>
      <c r="O1178"/>
    </row>
    <row r="1179" spans="1:15" x14ac:dyDescent="0.25">
      <c r="A1179" s="115">
        <v>1178</v>
      </c>
      <c r="B1179" s="145">
        <v>45527</v>
      </c>
      <c r="C1179" s="146">
        <v>2024</v>
      </c>
      <c r="D1179" s="118" t="s">
        <v>35</v>
      </c>
      <c r="E1179" s="118" t="s">
        <v>823</v>
      </c>
      <c r="F1179" s="147">
        <v>1</v>
      </c>
      <c r="G1179" s="120" t="s">
        <v>759</v>
      </c>
      <c r="H1179" s="148">
        <v>65000</v>
      </c>
      <c r="J1179"/>
      <c r="K1179"/>
      <c r="L1179"/>
      <c r="M1179"/>
      <c r="N1179"/>
      <c r="O1179"/>
    </row>
    <row r="1180" spans="1:15" x14ac:dyDescent="0.25">
      <c r="A1180" s="115">
        <v>1179</v>
      </c>
      <c r="B1180" s="145">
        <v>45527</v>
      </c>
      <c r="C1180" s="146">
        <v>2024</v>
      </c>
      <c r="D1180" s="118" t="s">
        <v>35</v>
      </c>
      <c r="E1180" s="118" t="s">
        <v>1151</v>
      </c>
      <c r="F1180" s="147">
        <v>1</v>
      </c>
      <c r="G1180" s="120" t="s">
        <v>759</v>
      </c>
      <c r="H1180" s="148">
        <v>3100000</v>
      </c>
      <c r="J1180"/>
      <c r="K1180"/>
      <c r="L1180"/>
      <c r="M1180"/>
      <c r="N1180"/>
      <c r="O1180"/>
    </row>
    <row r="1181" spans="1:15" x14ac:dyDescent="0.25">
      <c r="A1181" s="115">
        <v>1180</v>
      </c>
      <c r="B1181" s="145">
        <v>45527</v>
      </c>
      <c r="C1181" s="146">
        <v>2024</v>
      </c>
      <c r="D1181" s="118" t="s">
        <v>35</v>
      </c>
      <c r="E1181" s="118" t="s">
        <v>1151</v>
      </c>
      <c r="F1181" s="147">
        <v>1</v>
      </c>
      <c r="G1181" s="120" t="s">
        <v>759</v>
      </c>
      <c r="H1181" s="148">
        <v>3100000</v>
      </c>
      <c r="J1181"/>
      <c r="K1181"/>
      <c r="L1181"/>
      <c r="M1181"/>
      <c r="N1181"/>
      <c r="O1181"/>
    </row>
    <row r="1182" spans="1:15" x14ac:dyDescent="0.25">
      <c r="A1182" s="115">
        <v>1181</v>
      </c>
      <c r="B1182" s="145">
        <v>45527</v>
      </c>
      <c r="C1182" s="146">
        <v>2024</v>
      </c>
      <c r="D1182" s="118" t="s">
        <v>35</v>
      </c>
      <c r="E1182" s="118" t="s">
        <v>801</v>
      </c>
      <c r="F1182" s="147">
        <v>1</v>
      </c>
      <c r="G1182" s="120" t="s">
        <v>759</v>
      </c>
      <c r="H1182" s="148">
        <v>140000</v>
      </c>
      <c r="J1182"/>
      <c r="K1182"/>
      <c r="L1182"/>
      <c r="M1182"/>
      <c r="N1182"/>
      <c r="O1182"/>
    </row>
    <row r="1183" spans="1:15" x14ac:dyDescent="0.25">
      <c r="A1183" s="115">
        <v>1182</v>
      </c>
      <c r="B1183" s="145">
        <v>45527</v>
      </c>
      <c r="C1183" s="146">
        <v>2024</v>
      </c>
      <c r="D1183" s="118" t="s">
        <v>35</v>
      </c>
      <c r="E1183" s="118" t="s">
        <v>823</v>
      </c>
      <c r="F1183" s="147">
        <v>1</v>
      </c>
      <c r="G1183" s="120" t="s">
        <v>759</v>
      </c>
      <c r="H1183" s="148">
        <v>65000</v>
      </c>
      <c r="J1183"/>
      <c r="K1183"/>
      <c r="L1183"/>
      <c r="M1183"/>
      <c r="N1183"/>
      <c r="O1183"/>
    </row>
    <row r="1184" spans="1:15" x14ac:dyDescent="0.25">
      <c r="A1184" s="115">
        <v>1183</v>
      </c>
      <c r="B1184" s="145">
        <v>45527</v>
      </c>
      <c r="C1184" s="146">
        <v>2024</v>
      </c>
      <c r="D1184" s="118" t="s">
        <v>35</v>
      </c>
      <c r="E1184" s="118" t="s">
        <v>1151</v>
      </c>
      <c r="F1184" s="147">
        <v>1</v>
      </c>
      <c r="G1184" s="120" t="s">
        <v>759</v>
      </c>
      <c r="H1184" s="148">
        <v>3100000</v>
      </c>
      <c r="J1184"/>
      <c r="K1184"/>
      <c r="L1184"/>
      <c r="M1184"/>
      <c r="N1184"/>
      <c r="O1184"/>
    </row>
    <row r="1185" spans="1:15" x14ac:dyDescent="0.25">
      <c r="A1185" s="115">
        <v>1184</v>
      </c>
      <c r="B1185" s="145">
        <v>45527</v>
      </c>
      <c r="C1185" s="146">
        <v>2024</v>
      </c>
      <c r="D1185" s="118" t="s">
        <v>35</v>
      </c>
      <c r="E1185" s="118" t="s">
        <v>1153</v>
      </c>
      <c r="F1185" s="147">
        <v>1</v>
      </c>
      <c r="G1185" s="120" t="s">
        <v>759</v>
      </c>
      <c r="H1185" s="148">
        <v>612000</v>
      </c>
      <c r="J1185"/>
      <c r="K1185"/>
      <c r="L1185"/>
      <c r="M1185"/>
      <c r="N1185"/>
      <c r="O1185"/>
    </row>
    <row r="1186" spans="1:15" x14ac:dyDescent="0.25">
      <c r="A1186" s="115">
        <v>1185</v>
      </c>
      <c r="B1186" s="116">
        <v>45530</v>
      </c>
      <c r="C1186" s="117">
        <v>2024</v>
      </c>
      <c r="D1186" s="118" t="s">
        <v>1118</v>
      </c>
      <c r="E1186" s="119" t="s">
        <v>855</v>
      </c>
      <c r="F1186" s="120">
        <v>1</v>
      </c>
      <c r="G1186" s="120" t="s">
        <v>759</v>
      </c>
      <c r="H1186" s="121">
        <v>117992</v>
      </c>
      <c r="J1186"/>
      <c r="K1186"/>
      <c r="L1186"/>
      <c r="M1186"/>
      <c r="N1186"/>
      <c r="O1186"/>
    </row>
    <row r="1187" spans="1:15" x14ac:dyDescent="0.25">
      <c r="A1187" s="115">
        <v>1186</v>
      </c>
      <c r="B1187" s="116">
        <v>45530</v>
      </c>
      <c r="C1187" s="117">
        <v>2024</v>
      </c>
      <c r="D1187" s="118" t="s">
        <v>1118</v>
      </c>
      <c r="E1187" s="119" t="s">
        <v>855</v>
      </c>
      <c r="F1187" s="120">
        <v>1</v>
      </c>
      <c r="G1187" s="120" t="s">
        <v>759</v>
      </c>
      <c r="H1187" s="121">
        <v>71700</v>
      </c>
      <c r="J1187"/>
      <c r="K1187"/>
      <c r="L1187"/>
      <c r="M1187"/>
      <c r="N1187"/>
      <c r="O1187"/>
    </row>
    <row r="1188" spans="1:15" x14ac:dyDescent="0.25">
      <c r="A1188" s="115">
        <v>1187</v>
      </c>
      <c r="B1188" s="145">
        <v>45537</v>
      </c>
      <c r="C1188" s="146">
        <v>2024</v>
      </c>
      <c r="D1188" s="118" t="s">
        <v>35</v>
      </c>
      <c r="E1188" s="118" t="s">
        <v>1154</v>
      </c>
      <c r="F1188" s="147">
        <v>1</v>
      </c>
      <c r="G1188" s="120" t="s">
        <v>759</v>
      </c>
      <c r="H1188" s="148">
        <v>400000</v>
      </c>
      <c r="J1188"/>
      <c r="K1188"/>
      <c r="L1188"/>
      <c r="M1188"/>
      <c r="N1188"/>
      <c r="O1188"/>
    </row>
    <row r="1189" spans="1:15" x14ac:dyDescent="0.25">
      <c r="A1189" s="115">
        <v>1188</v>
      </c>
      <c r="B1189" s="145">
        <v>45537</v>
      </c>
      <c r="C1189" s="146">
        <v>2024</v>
      </c>
      <c r="D1189" s="118" t="s">
        <v>35</v>
      </c>
      <c r="E1189" s="118" t="s">
        <v>955</v>
      </c>
      <c r="F1189" s="147">
        <v>1</v>
      </c>
      <c r="G1189" s="120" t="s">
        <v>759</v>
      </c>
      <c r="H1189" s="148">
        <v>223000</v>
      </c>
      <c r="J1189"/>
      <c r="K1189"/>
      <c r="L1189"/>
      <c r="M1189"/>
      <c r="N1189"/>
      <c r="O1189"/>
    </row>
    <row r="1190" spans="1:15" x14ac:dyDescent="0.25">
      <c r="A1190" s="115">
        <v>1189</v>
      </c>
      <c r="B1190" s="145">
        <v>45537</v>
      </c>
      <c r="C1190" s="146">
        <v>2024</v>
      </c>
      <c r="D1190" s="118" t="s">
        <v>35</v>
      </c>
      <c r="E1190" s="118" t="s">
        <v>1155</v>
      </c>
      <c r="F1190" s="147">
        <v>1</v>
      </c>
      <c r="G1190" s="120" t="s">
        <v>759</v>
      </c>
      <c r="H1190" s="148">
        <v>400000</v>
      </c>
      <c r="J1190"/>
      <c r="K1190"/>
      <c r="L1190"/>
      <c r="M1190"/>
      <c r="N1190"/>
      <c r="O1190"/>
    </row>
    <row r="1191" spans="1:15" x14ac:dyDescent="0.25">
      <c r="A1191" s="115">
        <v>1190</v>
      </c>
      <c r="B1191" s="145">
        <v>45537</v>
      </c>
      <c r="C1191" s="146">
        <v>2024</v>
      </c>
      <c r="D1191" s="118" t="s">
        <v>35</v>
      </c>
      <c r="E1191" s="118" t="s">
        <v>953</v>
      </c>
      <c r="F1191" s="147">
        <v>1</v>
      </c>
      <c r="G1191" s="120" t="s">
        <v>759</v>
      </c>
      <c r="H1191" s="148">
        <v>400000</v>
      </c>
      <c r="J1191"/>
      <c r="K1191"/>
      <c r="L1191"/>
      <c r="M1191"/>
      <c r="N1191"/>
      <c r="O1191"/>
    </row>
    <row r="1192" spans="1:15" x14ac:dyDescent="0.25">
      <c r="A1192" s="115">
        <v>1191</v>
      </c>
      <c r="B1192" s="145">
        <v>45537</v>
      </c>
      <c r="C1192" s="146">
        <v>2024</v>
      </c>
      <c r="D1192" s="118" t="s">
        <v>35</v>
      </c>
      <c r="E1192" s="118" t="s">
        <v>953</v>
      </c>
      <c r="F1192" s="147">
        <v>1</v>
      </c>
      <c r="G1192" s="120" t="s">
        <v>759</v>
      </c>
      <c r="H1192" s="148">
        <v>400000</v>
      </c>
      <c r="J1192"/>
      <c r="K1192"/>
      <c r="L1192"/>
      <c r="M1192"/>
      <c r="N1192"/>
      <c r="O1192"/>
    </row>
    <row r="1193" spans="1:15" x14ac:dyDescent="0.25">
      <c r="A1193" s="115">
        <v>1192</v>
      </c>
      <c r="B1193" s="145">
        <v>45537</v>
      </c>
      <c r="C1193" s="146">
        <v>2024</v>
      </c>
      <c r="D1193" s="118" t="s">
        <v>35</v>
      </c>
      <c r="E1193" s="118" t="s">
        <v>838</v>
      </c>
      <c r="F1193" s="147">
        <v>1</v>
      </c>
      <c r="G1193" s="120" t="s">
        <v>759</v>
      </c>
      <c r="H1193" s="148">
        <v>75000</v>
      </c>
      <c r="J1193"/>
      <c r="K1193"/>
      <c r="L1193"/>
      <c r="M1193"/>
      <c r="N1193"/>
      <c r="O1193"/>
    </row>
    <row r="1194" spans="1:15" x14ac:dyDescent="0.25">
      <c r="A1194" s="115">
        <v>1193</v>
      </c>
      <c r="B1194" s="145">
        <v>45537</v>
      </c>
      <c r="C1194" s="146">
        <v>2024</v>
      </c>
      <c r="D1194" s="118" t="s">
        <v>35</v>
      </c>
      <c r="E1194" s="118" t="s">
        <v>975</v>
      </c>
      <c r="F1194" s="147">
        <v>1</v>
      </c>
      <c r="G1194" s="120" t="s">
        <v>759</v>
      </c>
      <c r="H1194" s="148">
        <v>85000</v>
      </c>
      <c r="J1194"/>
      <c r="K1194"/>
      <c r="L1194"/>
      <c r="M1194"/>
      <c r="N1194"/>
      <c r="O1194"/>
    </row>
    <row r="1195" spans="1:15" x14ac:dyDescent="0.25">
      <c r="A1195" s="115">
        <v>1194</v>
      </c>
      <c r="B1195" s="145">
        <v>45537</v>
      </c>
      <c r="C1195" s="146">
        <v>2024</v>
      </c>
      <c r="D1195" s="118" t="s">
        <v>35</v>
      </c>
      <c r="E1195" s="118" t="s">
        <v>873</v>
      </c>
      <c r="F1195" s="147">
        <v>1</v>
      </c>
      <c r="G1195" s="120" t="s">
        <v>759</v>
      </c>
      <c r="H1195" s="148">
        <v>40000</v>
      </c>
      <c r="J1195"/>
      <c r="K1195"/>
      <c r="L1195"/>
      <c r="M1195"/>
      <c r="N1195"/>
      <c r="O1195"/>
    </row>
    <row r="1196" spans="1:15" x14ac:dyDescent="0.25">
      <c r="A1196" s="115">
        <v>1195</v>
      </c>
      <c r="B1196" s="145">
        <v>45537</v>
      </c>
      <c r="C1196" s="146">
        <v>2024</v>
      </c>
      <c r="D1196" s="118" t="s">
        <v>35</v>
      </c>
      <c r="E1196" s="118" t="s">
        <v>953</v>
      </c>
      <c r="F1196" s="147">
        <v>1</v>
      </c>
      <c r="G1196" s="120" t="s">
        <v>759</v>
      </c>
      <c r="H1196" s="148">
        <v>400000</v>
      </c>
      <c r="J1196"/>
      <c r="K1196"/>
      <c r="L1196"/>
      <c r="M1196"/>
      <c r="N1196"/>
      <c r="O1196"/>
    </row>
    <row r="1197" spans="1:15" x14ac:dyDescent="0.25">
      <c r="A1197" s="115">
        <v>1196</v>
      </c>
      <c r="B1197" s="145">
        <v>45537</v>
      </c>
      <c r="C1197" s="146">
        <v>2024</v>
      </c>
      <c r="D1197" s="118" t="s">
        <v>35</v>
      </c>
      <c r="E1197" s="118" t="s">
        <v>955</v>
      </c>
      <c r="F1197" s="147">
        <v>1</v>
      </c>
      <c r="G1197" s="120" t="s">
        <v>759</v>
      </c>
      <c r="H1197" s="148">
        <v>184000</v>
      </c>
      <c r="J1197"/>
      <c r="K1197"/>
      <c r="L1197"/>
      <c r="M1197"/>
      <c r="N1197"/>
      <c r="O1197"/>
    </row>
    <row r="1198" spans="1:15" x14ac:dyDescent="0.25">
      <c r="A1198" s="115">
        <v>1197</v>
      </c>
      <c r="B1198" s="145">
        <v>45537</v>
      </c>
      <c r="C1198" s="146">
        <v>2024</v>
      </c>
      <c r="D1198" s="118" t="s">
        <v>35</v>
      </c>
      <c r="E1198" s="118" t="s">
        <v>122</v>
      </c>
      <c r="F1198" s="147">
        <v>1</v>
      </c>
      <c r="G1198" s="120" t="s">
        <v>759</v>
      </c>
      <c r="H1198" s="148">
        <v>195000</v>
      </c>
      <c r="J1198"/>
      <c r="K1198"/>
      <c r="L1198"/>
      <c r="M1198"/>
      <c r="N1198"/>
      <c r="O1198"/>
    </row>
    <row r="1199" spans="1:15" x14ac:dyDescent="0.25">
      <c r="A1199" s="115">
        <v>1198</v>
      </c>
      <c r="B1199" s="145">
        <v>45537</v>
      </c>
      <c r="C1199" s="146">
        <v>2024</v>
      </c>
      <c r="D1199" s="118" t="s">
        <v>35</v>
      </c>
      <c r="E1199" s="118" t="s">
        <v>953</v>
      </c>
      <c r="F1199" s="147">
        <v>1</v>
      </c>
      <c r="G1199" s="120" t="s">
        <v>759</v>
      </c>
      <c r="H1199" s="148">
        <v>400000</v>
      </c>
      <c r="J1199"/>
      <c r="K1199"/>
      <c r="L1199"/>
      <c r="M1199"/>
      <c r="N1199"/>
      <c r="O1199"/>
    </row>
    <row r="1200" spans="1:15" x14ac:dyDescent="0.25">
      <c r="A1200" s="115">
        <v>1199</v>
      </c>
      <c r="B1200" s="145">
        <v>45537</v>
      </c>
      <c r="C1200" s="146">
        <v>2024</v>
      </c>
      <c r="D1200" s="118" t="s">
        <v>35</v>
      </c>
      <c r="E1200" s="118" t="s">
        <v>953</v>
      </c>
      <c r="F1200" s="147">
        <v>1</v>
      </c>
      <c r="G1200" s="120" t="s">
        <v>759</v>
      </c>
      <c r="H1200" s="148">
        <v>400000</v>
      </c>
      <c r="J1200"/>
      <c r="K1200"/>
      <c r="L1200"/>
      <c r="M1200"/>
      <c r="N1200"/>
      <c r="O1200"/>
    </row>
    <row r="1201" spans="1:15" x14ac:dyDescent="0.25">
      <c r="A1201" s="115">
        <v>1200</v>
      </c>
      <c r="B1201" s="145">
        <v>45537</v>
      </c>
      <c r="C1201" s="146">
        <v>2024</v>
      </c>
      <c r="D1201" s="118" t="s">
        <v>35</v>
      </c>
      <c r="E1201" s="118" t="s">
        <v>838</v>
      </c>
      <c r="F1201" s="147">
        <v>1</v>
      </c>
      <c r="G1201" s="120" t="s">
        <v>759</v>
      </c>
      <c r="H1201" s="148">
        <v>75000</v>
      </c>
      <c r="J1201"/>
      <c r="K1201"/>
      <c r="L1201"/>
      <c r="M1201"/>
      <c r="N1201"/>
      <c r="O1201"/>
    </row>
    <row r="1202" spans="1:15" x14ac:dyDescent="0.25">
      <c r="A1202" s="115">
        <v>1201</v>
      </c>
      <c r="B1202" s="145">
        <v>45537</v>
      </c>
      <c r="C1202" s="146">
        <v>2024</v>
      </c>
      <c r="D1202" s="118" t="s">
        <v>35</v>
      </c>
      <c r="E1202" s="118" t="s">
        <v>953</v>
      </c>
      <c r="F1202" s="147">
        <v>1</v>
      </c>
      <c r="G1202" s="120" t="s">
        <v>759</v>
      </c>
      <c r="H1202" s="148">
        <v>400000</v>
      </c>
      <c r="J1202"/>
      <c r="K1202"/>
      <c r="L1202"/>
      <c r="M1202"/>
      <c r="N1202"/>
      <c r="O1202"/>
    </row>
    <row r="1203" spans="1:15" x14ac:dyDescent="0.25">
      <c r="A1203" s="115">
        <v>1202</v>
      </c>
      <c r="B1203" s="145">
        <v>45537</v>
      </c>
      <c r="C1203" s="146">
        <v>2024</v>
      </c>
      <c r="D1203" s="118" t="s">
        <v>35</v>
      </c>
      <c r="E1203" s="118" t="s">
        <v>842</v>
      </c>
      <c r="F1203" s="147">
        <v>1</v>
      </c>
      <c r="G1203" s="120" t="s">
        <v>759</v>
      </c>
      <c r="H1203" s="148">
        <v>223000</v>
      </c>
      <c r="J1203"/>
      <c r="K1203"/>
      <c r="L1203"/>
      <c r="M1203"/>
      <c r="N1203"/>
      <c r="O1203"/>
    </row>
    <row r="1204" spans="1:15" x14ac:dyDescent="0.25">
      <c r="A1204" s="115">
        <v>1203</v>
      </c>
      <c r="B1204" s="145">
        <v>45537</v>
      </c>
      <c r="C1204" s="146">
        <v>2024</v>
      </c>
      <c r="D1204" s="118" t="s">
        <v>35</v>
      </c>
      <c r="E1204" s="118" t="s">
        <v>955</v>
      </c>
      <c r="F1204" s="147">
        <v>1</v>
      </c>
      <c r="G1204" s="120" t="s">
        <v>759</v>
      </c>
      <c r="H1204" s="148">
        <v>184000</v>
      </c>
      <c r="J1204"/>
      <c r="K1204"/>
      <c r="L1204"/>
      <c r="M1204"/>
      <c r="N1204"/>
      <c r="O1204"/>
    </row>
    <row r="1205" spans="1:15" x14ac:dyDescent="0.25">
      <c r="A1205" s="115">
        <v>1204</v>
      </c>
      <c r="B1205" s="116">
        <v>45539</v>
      </c>
      <c r="C1205" s="117">
        <v>2024</v>
      </c>
      <c r="D1205" s="118" t="s">
        <v>851</v>
      </c>
      <c r="E1205" s="119" t="s">
        <v>481</v>
      </c>
      <c r="F1205" s="120">
        <v>19</v>
      </c>
      <c r="G1205" s="120" t="s">
        <v>759</v>
      </c>
      <c r="H1205" s="121">
        <v>420000</v>
      </c>
      <c r="J1205"/>
      <c r="K1205"/>
      <c r="L1205"/>
      <c r="M1205"/>
      <c r="N1205"/>
      <c r="O1205"/>
    </row>
    <row r="1206" spans="1:15" x14ac:dyDescent="0.25">
      <c r="A1206" s="115">
        <v>1205</v>
      </c>
      <c r="B1206" s="116">
        <v>45540</v>
      </c>
      <c r="C1206" s="117">
        <v>2024</v>
      </c>
      <c r="D1206" s="118" t="s">
        <v>35</v>
      </c>
      <c r="E1206" s="119" t="s">
        <v>211</v>
      </c>
      <c r="F1206" s="120">
        <v>3</v>
      </c>
      <c r="G1206" s="120" t="s">
        <v>759</v>
      </c>
      <c r="H1206" s="121">
        <v>58500</v>
      </c>
      <c r="J1206"/>
      <c r="K1206"/>
      <c r="L1206"/>
      <c r="M1206"/>
      <c r="N1206"/>
      <c r="O1206"/>
    </row>
    <row r="1207" spans="1:15" x14ac:dyDescent="0.25">
      <c r="A1207" s="115">
        <v>1206</v>
      </c>
      <c r="B1207" s="116">
        <v>45540</v>
      </c>
      <c r="C1207" s="117">
        <v>2024</v>
      </c>
      <c r="D1207" s="118" t="s">
        <v>35</v>
      </c>
      <c r="E1207" s="119" t="s">
        <v>211</v>
      </c>
      <c r="F1207" s="120">
        <v>5</v>
      </c>
      <c r="G1207" s="120" t="s">
        <v>759</v>
      </c>
      <c r="H1207" s="121">
        <v>105000</v>
      </c>
      <c r="J1207"/>
      <c r="K1207"/>
      <c r="L1207"/>
      <c r="M1207"/>
      <c r="N1207"/>
      <c r="O1207"/>
    </row>
    <row r="1208" spans="1:15" x14ac:dyDescent="0.25">
      <c r="A1208" s="115">
        <v>1207</v>
      </c>
      <c r="B1208" s="116">
        <v>45540</v>
      </c>
      <c r="C1208" s="117">
        <v>2024</v>
      </c>
      <c r="D1208" s="118" t="s">
        <v>35</v>
      </c>
      <c r="E1208" s="119" t="s">
        <v>211</v>
      </c>
      <c r="F1208" s="120">
        <v>7</v>
      </c>
      <c r="G1208" s="120" t="s">
        <v>759</v>
      </c>
      <c r="H1208" s="121">
        <v>95000</v>
      </c>
      <c r="J1208"/>
      <c r="K1208"/>
      <c r="L1208"/>
      <c r="M1208"/>
      <c r="N1208"/>
      <c r="O1208"/>
    </row>
    <row r="1209" spans="1:15" x14ac:dyDescent="0.25">
      <c r="A1209" s="115">
        <v>1208</v>
      </c>
      <c r="B1209" s="145">
        <v>45540</v>
      </c>
      <c r="C1209" s="146">
        <v>2024</v>
      </c>
      <c r="D1209" s="118" t="s">
        <v>35</v>
      </c>
      <c r="E1209" s="118" t="s">
        <v>1156</v>
      </c>
      <c r="F1209" s="147">
        <v>1</v>
      </c>
      <c r="G1209" s="120" t="s">
        <v>759</v>
      </c>
      <c r="H1209" s="148">
        <v>65000</v>
      </c>
      <c r="J1209"/>
      <c r="K1209"/>
      <c r="L1209"/>
      <c r="M1209"/>
      <c r="N1209"/>
      <c r="O1209"/>
    </row>
    <row r="1210" spans="1:15" x14ac:dyDescent="0.25">
      <c r="A1210" s="115">
        <v>1209</v>
      </c>
      <c r="B1210" s="145">
        <v>45540</v>
      </c>
      <c r="C1210" s="146">
        <v>2024</v>
      </c>
      <c r="D1210" s="118" t="s">
        <v>35</v>
      </c>
      <c r="E1210" s="118" t="s">
        <v>811</v>
      </c>
      <c r="F1210" s="147">
        <v>1</v>
      </c>
      <c r="G1210" s="120" t="s">
        <v>759</v>
      </c>
      <c r="H1210" s="148">
        <v>60000</v>
      </c>
      <c r="J1210"/>
      <c r="K1210"/>
      <c r="L1210"/>
      <c r="M1210"/>
      <c r="N1210"/>
      <c r="O1210"/>
    </row>
    <row r="1211" spans="1:15" x14ac:dyDescent="0.25">
      <c r="A1211" s="115">
        <v>1210</v>
      </c>
      <c r="B1211" s="145">
        <v>45540</v>
      </c>
      <c r="C1211" s="146">
        <v>2024</v>
      </c>
      <c r="D1211" s="118" t="s">
        <v>35</v>
      </c>
      <c r="E1211" s="118" t="s">
        <v>325</v>
      </c>
      <c r="F1211" s="147">
        <v>1</v>
      </c>
      <c r="G1211" s="120" t="s">
        <v>759</v>
      </c>
      <c r="H1211" s="148">
        <v>1750000</v>
      </c>
      <c r="J1211"/>
      <c r="K1211"/>
      <c r="L1211"/>
      <c r="M1211"/>
      <c r="N1211"/>
      <c r="O1211"/>
    </row>
    <row r="1212" spans="1:15" x14ac:dyDescent="0.25">
      <c r="A1212" s="115">
        <v>1211</v>
      </c>
      <c r="B1212" s="145">
        <v>45540</v>
      </c>
      <c r="C1212" s="146">
        <v>2024</v>
      </c>
      <c r="D1212" s="118" t="s">
        <v>35</v>
      </c>
      <c r="E1212" s="118" t="s">
        <v>808</v>
      </c>
      <c r="F1212" s="147">
        <v>1</v>
      </c>
      <c r="G1212" s="120" t="s">
        <v>759</v>
      </c>
      <c r="H1212" s="148">
        <v>400000</v>
      </c>
      <c r="J1212"/>
      <c r="K1212"/>
      <c r="L1212"/>
      <c r="M1212"/>
      <c r="N1212"/>
      <c r="O1212"/>
    </row>
    <row r="1213" spans="1:15" x14ac:dyDescent="0.25">
      <c r="A1213" s="115">
        <v>1212</v>
      </c>
      <c r="B1213" s="145">
        <v>45540</v>
      </c>
      <c r="C1213" s="146">
        <v>2024</v>
      </c>
      <c r="D1213" s="118" t="s">
        <v>35</v>
      </c>
      <c r="E1213" s="118" t="s">
        <v>1157</v>
      </c>
      <c r="F1213" s="147">
        <v>1</v>
      </c>
      <c r="G1213" s="120" t="s">
        <v>759</v>
      </c>
      <c r="H1213" s="148">
        <v>65000</v>
      </c>
      <c r="J1213"/>
      <c r="K1213"/>
      <c r="L1213"/>
      <c r="M1213"/>
      <c r="N1213"/>
      <c r="O1213"/>
    </row>
    <row r="1214" spans="1:15" x14ac:dyDescent="0.25">
      <c r="A1214" s="115">
        <v>1213</v>
      </c>
      <c r="B1214" s="145">
        <v>45540</v>
      </c>
      <c r="C1214" s="146">
        <v>2024</v>
      </c>
      <c r="D1214" s="118" t="s">
        <v>35</v>
      </c>
      <c r="E1214" s="118" t="s">
        <v>1157</v>
      </c>
      <c r="F1214" s="147">
        <v>1</v>
      </c>
      <c r="G1214" s="120" t="s">
        <v>759</v>
      </c>
      <c r="H1214" s="148">
        <v>30000</v>
      </c>
      <c r="J1214"/>
      <c r="K1214"/>
      <c r="L1214"/>
      <c r="M1214"/>
      <c r="N1214"/>
      <c r="O1214"/>
    </row>
    <row r="1215" spans="1:15" x14ac:dyDescent="0.25">
      <c r="A1215" s="115">
        <v>1214</v>
      </c>
      <c r="B1215" s="145">
        <v>45540</v>
      </c>
      <c r="C1215" s="146">
        <v>2024</v>
      </c>
      <c r="D1215" s="118" t="s">
        <v>35</v>
      </c>
      <c r="E1215" s="118" t="s">
        <v>1142</v>
      </c>
      <c r="F1215" s="147">
        <v>1</v>
      </c>
      <c r="G1215" s="120" t="s">
        <v>759</v>
      </c>
      <c r="H1215" s="148">
        <v>450000</v>
      </c>
      <c r="J1215"/>
      <c r="K1215"/>
      <c r="L1215"/>
      <c r="M1215"/>
      <c r="N1215"/>
      <c r="O1215"/>
    </row>
    <row r="1216" spans="1:15" x14ac:dyDescent="0.25">
      <c r="A1216" s="115">
        <v>1215</v>
      </c>
      <c r="B1216" s="145">
        <v>45540</v>
      </c>
      <c r="C1216" s="146">
        <v>2024</v>
      </c>
      <c r="D1216" s="118" t="s">
        <v>35</v>
      </c>
      <c r="E1216" s="118" t="s">
        <v>1158</v>
      </c>
      <c r="F1216" s="147">
        <v>1</v>
      </c>
      <c r="G1216" s="120" t="s">
        <v>759</v>
      </c>
      <c r="H1216" s="148">
        <v>250000</v>
      </c>
      <c r="J1216"/>
      <c r="K1216"/>
      <c r="L1216"/>
      <c r="M1216"/>
      <c r="N1216"/>
      <c r="O1216"/>
    </row>
    <row r="1217" spans="1:15" x14ac:dyDescent="0.25">
      <c r="A1217" s="115">
        <v>1216</v>
      </c>
      <c r="B1217" s="145">
        <v>45540</v>
      </c>
      <c r="C1217" s="146">
        <v>2024</v>
      </c>
      <c r="D1217" s="118" t="s">
        <v>35</v>
      </c>
      <c r="E1217" s="118" t="s">
        <v>1142</v>
      </c>
      <c r="F1217" s="147">
        <v>1</v>
      </c>
      <c r="G1217" s="120" t="s">
        <v>759</v>
      </c>
      <c r="H1217" s="148">
        <v>900000</v>
      </c>
      <c r="J1217"/>
      <c r="K1217"/>
      <c r="L1217"/>
      <c r="M1217"/>
      <c r="N1217"/>
      <c r="O1217"/>
    </row>
    <row r="1218" spans="1:15" x14ac:dyDescent="0.25">
      <c r="A1218" s="115">
        <v>1217</v>
      </c>
      <c r="B1218" s="145">
        <v>45540</v>
      </c>
      <c r="C1218" s="146">
        <v>2024</v>
      </c>
      <c r="D1218" s="118" t="s">
        <v>35</v>
      </c>
      <c r="E1218" s="118" t="s">
        <v>1159</v>
      </c>
      <c r="F1218" s="147">
        <v>1</v>
      </c>
      <c r="G1218" s="120" t="s">
        <v>759</v>
      </c>
      <c r="H1218" s="148">
        <v>65000</v>
      </c>
      <c r="J1218"/>
      <c r="K1218"/>
      <c r="L1218"/>
      <c r="M1218"/>
      <c r="N1218"/>
      <c r="O1218"/>
    </row>
    <row r="1219" spans="1:15" x14ac:dyDescent="0.25">
      <c r="A1219" s="115">
        <v>1218</v>
      </c>
      <c r="B1219" s="145">
        <v>45540</v>
      </c>
      <c r="C1219" s="146">
        <v>2024</v>
      </c>
      <c r="D1219" s="118" t="s">
        <v>35</v>
      </c>
      <c r="E1219" s="118" t="s">
        <v>843</v>
      </c>
      <c r="F1219" s="147">
        <v>1</v>
      </c>
      <c r="G1219" s="120" t="s">
        <v>759</v>
      </c>
      <c r="H1219" s="148">
        <v>70000</v>
      </c>
      <c r="J1219"/>
      <c r="K1219"/>
      <c r="L1219"/>
      <c r="M1219"/>
      <c r="N1219"/>
      <c r="O1219"/>
    </row>
    <row r="1220" spans="1:15" x14ac:dyDescent="0.25">
      <c r="A1220" s="115">
        <v>1219</v>
      </c>
      <c r="B1220" s="145">
        <v>45540</v>
      </c>
      <c r="C1220" s="146">
        <v>2024</v>
      </c>
      <c r="D1220" s="118" t="s">
        <v>35</v>
      </c>
      <c r="E1220" s="118" t="s">
        <v>949</v>
      </c>
      <c r="F1220" s="147">
        <v>1</v>
      </c>
      <c r="G1220" s="120" t="s">
        <v>759</v>
      </c>
      <c r="H1220" s="148">
        <v>675000</v>
      </c>
      <c r="J1220"/>
      <c r="K1220"/>
      <c r="L1220"/>
      <c r="M1220"/>
      <c r="N1220"/>
      <c r="O1220"/>
    </row>
    <row r="1221" spans="1:15" x14ac:dyDescent="0.25">
      <c r="A1221" s="115">
        <v>1220</v>
      </c>
      <c r="B1221" s="145">
        <v>45540</v>
      </c>
      <c r="C1221" s="146">
        <v>2024</v>
      </c>
      <c r="D1221" s="118" t="s">
        <v>35</v>
      </c>
      <c r="E1221" s="118" t="s">
        <v>1160</v>
      </c>
      <c r="F1221" s="147">
        <v>1</v>
      </c>
      <c r="G1221" s="120" t="s">
        <v>759</v>
      </c>
      <c r="H1221" s="148">
        <v>200000</v>
      </c>
      <c r="J1221"/>
      <c r="K1221"/>
      <c r="L1221"/>
      <c r="M1221"/>
      <c r="N1221"/>
      <c r="O1221"/>
    </row>
    <row r="1222" spans="1:15" x14ac:dyDescent="0.25">
      <c r="A1222" s="115">
        <v>1221</v>
      </c>
      <c r="B1222" s="145">
        <v>45540</v>
      </c>
      <c r="C1222" s="146">
        <v>2024</v>
      </c>
      <c r="D1222" s="118" t="s">
        <v>35</v>
      </c>
      <c r="E1222" s="118" t="s">
        <v>1161</v>
      </c>
      <c r="F1222" s="147">
        <v>1</v>
      </c>
      <c r="G1222" s="120" t="s">
        <v>759</v>
      </c>
      <c r="H1222" s="148">
        <v>200000</v>
      </c>
      <c r="J1222"/>
      <c r="K1222"/>
      <c r="L1222"/>
      <c r="M1222"/>
      <c r="N1222"/>
      <c r="O1222"/>
    </row>
    <row r="1223" spans="1:15" x14ac:dyDescent="0.25">
      <c r="A1223" s="115">
        <v>1222</v>
      </c>
      <c r="B1223" s="155">
        <v>45541</v>
      </c>
      <c r="C1223" s="146">
        <v>2024</v>
      </c>
      <c r="D1223" s="118" t="s">
        <v>35</v>
      </c>
      <c r="E1223" s="118" t="s">
        <v>794</v>
      </c>
      <c r="F1223" s="147">
        <v>1</v>
      </c>
      <c r="G1223" s="120" t="s">
        <v>759</v>
      </c>
      <c r="H1223" s="148">
        <v>166500</v>
      </c>
      <c r="J1223"/>
      <c r="K1223"/>
      <c r="L1223"/>
      <c r="M1223"/>
      <c r="N1223"/>
      <c r="O1223"/>
    </row>
    <row r="1224" spans="1:15" x14ac:dyDescent="0.25">
      <c r="A1224" s="115">
        <v>1223</v>
      </c>
      <c r="B1224" s="155">
        <v>45541</v>
      </c>
      <c r="C1224" s="146">
        <v>2024</v>
      </c>
      <c r="D1224" s="118" t="s">
        <v>35</v>
      </c>
      <c r="E1224" s="118" t="s">
        <v>794</v>
      </c>
      <c r="F1224" s="147">
        <v>1</v>
      </c>
      <c r="G1224" s="120" t="s">
        <v>759</v>
      </c>
      <c r="H1224" s="148">
        <v>166500</v>
      </c>
      <c r="J1224"/>
      <c r="K1224"/>
      <c r="L1224"/>
      <c r="M1224"/>
      <c r="N1224"/>
      <c r="O1224"/>
    </row>
    <row r="1225" spans="1:15" x14ac:dyDescent="0.25">
      <c r="A1225" s="115">
        <v>1224</v>
      </c>
      <c r="B1225" s="155">
        <v>45541</v>
      </c>
      <c r="C1225" s="146">
        <v>2024</v>
      </c>
      <c r="D1225" s="118" t="s">
        <v>35</v>
      </c>
      <c r="E1225" s="118" t="s">
        <v>794</v>
      </c>
      <c r="F1225" s="147">
        <v>1</v>
      </c>
      <c r="G1225" s="120" t="s">
        <v>759</v>
      </c>
      <c r="H1225" s="148">
        <v>166500</v>
      </c>
      <c r="J1225"/>
      <c r="K1225"/>
      <c r="L1225"/>
      <c r="M1225"/>
      <c r="N1225"/>
      <c r="O1225"/>
    </row>
    <row r="1226" spans="1:15" x14ac:dyDescent="0.25">
      <c r="A1226" s="115">
        <v>1225</v>
      </c>
      <c r="B1226" s="145">
        <v>45541</v>
      </c>
      <c r="C1226" s="146">
        <v>2024</v>
      </c>
      <c r="D1226" s="118" t="s">
        <v>35</v>
      </c>
      <c r="E1226" s="118" t="s">
        <v>794</v>
      </c>
      <c r="F1226" s="147">
        <v>1</v>
      </c>
      <c r="G1226" s="120" t="s">
        <v>759</v>
      </c>
      <c r="H1226" s="148">
        <v>166500</v>
      </c>
      <c r="J1226"/>
      <c r="K1226"/>
      <c r="L1226"/>
      <c r="M1226"/>
      <c r="N1226"/>
      <c r="O1226"/>
    </row>
    <row r="1227" spans="1:15" x14ac:dyDescent="0.25">
      <c r="A1227" s="115">
        <v>1226</v>
      </c>
      <c r="B1227" s="145">
        <v>45541</v>
      </c>
      <c r="C1227" s="146">
        <v>2024</v>
      </c>
      <c r="D1227" s="118" t="s">
        <v>35</v>
      </c>
      <c r="E1227" s="118" t="s">
        <v>794</v>
      </c>
      <c r="F1227" s="147">
        <v>1</v>
      </c>
      <c r="G1227" s="120" t="s">
        <v>759</v>
      </c>
      <c r="H1227" s="148">
        <v>166500</v>
      </c>
      <c r="J1227"/>
      <c r="K1227"/>
      <c r="L1227"/>
      <c r="M1227"/>
      <c r="N1227"/>
      <c r="O1227"/>
    </row>
    <row r="1228" spans="1:15" x14ac:dyDescent="0.25">
      <c r="A1228" s="115">
        <v>1227</v>
      </c>
      <c r="B1228" s="145">
        <v>45542</v>
      </c>
      <c r="C1228" s="146">
        <v>2024</v>
      </c>
      <c r="D1228" s="118" t="s">
        <v>35</v>
      </c>
      <c r="E1228" s="118" t="s">
        <v>1162</v>
      </c>
      <c r="F1228" s="147">
        <v>1</v>
      </c>
      <c r="G1228" s="120" t="s">
        <v>759</v>
      </c>
      <c r="H1228" s="148">
        <v>75000</v>
      </c>
      <c r="J1228"/>
      <c r="K1228"/>
      <c r="L1228"/>
      <c r="M1228"/>
      <c r="N1228"/>
      <c r="O1228"/>
    </row>
    <row r="1229" spans="1:15" x14ac:dyDescent="0.25">
      <c r="A1229" s="115">
        <v>1228</v>
      </c>
      <c r="B1229" s="145">
        <v>45542</v>
      </c>
      <c r="C1229" s="146">
        <v>2024</v>
      </c>
      <c r="D1229" s="118" t="s">
        <v>35</v>
      </c>
      <c r="E1229" s="118" t="s">
        <v>1023</v>
      </c>
      <c r="F1229" s="147">
        <v>1</v>
      </c>
      <c r="G1229" s="120" t="s">
        <v>759</v>
      </c>
      <c r="H1229" s="148">
        <v>320000</v>
      </c>
      <c r="J1229"/>
      <c r="K1229"/>
      <c r="L1229"/>
      <c r="M1229"/>
      <c r="N1229"/>
      <c r="O1229"/>
    </row>
    <row r="1230" spans="1:15" x14ac:dyDescent="0.25">
      <c r="A1230" s="115">
        <v>1229</v>
      </c>
      <c r="B1230" s="145">
        <v>45542</v>
      </c>
      <c r="C1230" s="146">
        <v>2024</v>
      </c>
      <c r="D1230" s="118" t="s">
        <v>35</v>
      </c>
      <c r="E1230" s="118" t="s">
        <v>1163</v>
      </c>
      <c r="F1230" s="147">
        <v>1</v>
      </c>
      <c r="G1230" s="120" t="s">
        <v>759</v>
      </c>
      <c r="H1230" s="148">
        <v>87500</v>
      </c>
      <c r="J1230"/>
      <c r="K1230"/>
      <c r="L1230"/>
      <c r="M1230"/>
      <c r="N1230"/>
      <c r="O1230"/>
    </row>
    <row r="1231" spans="1:15" x14ac:dyDescent="0.25">
      <c r="A1231" s="115">
        <v>1230</v>
      </c>
      <c r="B1231" s="155">
        <v>45542</v>
      </c>
      <c r="C1231" s="146">
        <v>2024</v>
      </c>
      <c r="D1231" s="118" t="s">
        <v>35</v>
      </c>
      <c r="E1231" s="118" t="s">
        <v>933</v>
      </c>
      <c r="F1231" s="147">
        <v>1</v>
      </c>
      <c r="G1231" s="120" t="s">
        <v>759</v>
      </c>
      <c r="H1231" s="148">
        <v>80000</v>
      </c>
      <c r="J1231"/>
      <c r="K1231"/>
      <c r="L1231" s="104"/>
      <c r="N1231"/>
      <c r="O1231"/>
    </row>
    <row r="1232" spans="1:15" x14ac:dyDescent="0.25">
      <c r="A1232" s="115">
        <v>1231</v>
      </c>
      <c r="B1232" s="155">
        <v>45542</v>
      </c>
      <c r="C1232" s="146">
        <v>2024</v>
      </c>
      <c r="D1232" s="118" t="s">
        <v>35</v>
      </c>
      <c r="E1232" s="118" t="s">
        <v>933</v>
      </c>
      <c r="F1232" s="147">
        <v>1</v>
      </c>
      <c r="G1232" s="120" t="s">
        <v>759</v>
      </c>
      <c r="H1232" s="148">
        <v>50000</v>
      </c>
      <c r="J1232"/>
      <c r="K1232"/>
      <c r="L1232" s="104"/>
    </row>
    <row r="1233" spans="1:12" x14ac:dyDescent="0.25">
      <c r="A1233" s="115">
        <v>1232</v>
      </c>
      <c r="B1233" s="155">
        <v>45542</v>
      </c>
      <c r="C1233" s="146">
        <v>2024</v>
      </c>
      <c r="D1233" s="118" t="s">
        <v>35</v>
      </c>
      <c r="E1233" s="118" t="s">
        <v>398</v>
      </c>
      <c r="F1233" s="147">
        <v>1</v>
      </c>
      <c r="G1233" s="120" t="s">
        <v>759</v>
      </c>
      <c r="H1233" s="148">
        <v>6000</v>
      </c>
      <c r="J1233"/>
      <c r="K1233"/>
      <c r="L1233" s="104"/>
    </row>
    <row r="1234" spans="1:12" x14ac:dyDescent="0.25">
      <c r="A1234" s="115">
        <v>1233</v>
      </c>
      <c r="B1234" s="145">
        <v>45542</v>
      </c>
      <c r="C1234" s="146">
        <v>2024</v>
      </c>
      <c r="D1234" s="118" t="s">
        <v>35</v>
      </c>
      <c r="E1234" s="118" t="s">
        <v>1164</v>
      </c>
      <c r="F1234" s="147">
        <v>1</v>
      </c>
      <c r="G1234" s="120" t="s">
        <v>759</v>
      </c>
      <c r="H1234" s="148">
        <v>75000</v>
      </c>
      <c r="J1234"/>
      <c r="K1234"/>
      <c r="L1234" s="104"/>
    </row>
    <row r="1235" spans="1:12" x14ac:dyDescent="0.25">
      <c r="A1235" s="115">
        <v>1234</v>
      </c>
      <c r="B1235" s="145">
        <v>45542</v>
      </c>
      <c r="C1235" s="146">
        <v>2024</v>
      </c>
      <c r="D1235" s="118" t="s">
        <v>35</v>
      </c>
      <c r="E1235" s="118" t="s">
        <v>1165</v>
      </c>
      <c r="F1235" s="147">
        <v>1</v>
      </c>
      <c r="G1235" s="120" t="s">
        <v>759</v>
      </c>
      <c r="H1235" s="148">
        <v>38500</v>
      </c>
      <c r="J1235"/>
      <c r="K1235"/>
      <c r="L1235" s="104"/>
    </row>
    <row r="1236" spans="1:12" x14ac:dyDescent="0.25">
      <c r="A1236" s="115">
        <v>1235</v>
      </c>
      <c r="B1236" s="145">
        <v>45542</v>
      </c>
      <c r="C1236" s="146">
        <v>2024</v>
      </c>
      <c r="D1236" s="118" t="s">
        <v>35</v>
      </c>
      <c r="E1236" s="118" t="s">
        <v>1166</v>
      </c>
      <c r="F1236" s="147">
        <v>1</v>
      </c>
      <c r="G1236" s="120" t="s">
        <v>759</v>
      </c>
      <c r="H1236" s="148">
        <v>60000</v>
      </c>
      <c r="J1236"/>
      <c r="K1236"/>
      <c r="L1236" s="104"/>
    </row>
    <row r="1237" spans="1:12" x14ac:dyDescent="0.25">
      <c r="A1237" s="115">
        <v>1236</v>
      </c>
      <c r="B1237" s="145">
        <v>45542</v>
      </c>
      <c r="C1237" s="146">
        <v>2024</v>
      </c>
      <c r="D1237" s="118" t="s">
        <v>35</v>
      </c>
      <c r="E1237" s="118" t="s">
        <v>1091</v>
      </c>
      <c r="F1237" s="147">
        <v>1</v>
      </c>
      <c r="G1237" s="120" t="s">
        <v>759</v>
      </c>
      <c r="H1237" s="148">
        <v>57500</v>
      </c>
      <c r="J1237"/>
      <c r="K1237"/>
      <c r="L1237" s="104"/>
    </row>
    <row r="1238" spans="1:12" x14ac:dyDescent="0.25">
      <c r="A1238" s="115">
        <v>1237</v>
      </c>
      <c r="B1238" s="145">
        <v>45542</v>
      </c>
      <c r="C1238" s="146">
        <v>2024</v>
      </c>
      <c r="D1238" s="118" t="s">
        <v>35</v>
      </c>
      <c r="E1238" s="118" t="s">
        <v>1167</v>
      </c>
      <c r="F1238" s="147">
        <v>1</v>
      </c>
      <c r="G1238" s="120" t="s">
        <v>759</v>
      </c>
      <c r="H1238" s="148">
        <v>275000</v>
      </c>
      <c r="J1238"/>
      <c r="K1238"/>
      <c r="L1238" s="104"/>
    </row>
    <row r="1239" spans="1:12" x14ac:dyDescent="0.25">
      <c r="A1239" s="115">
        <v>1238</v>
      </c>
      <c r="B1239" s="145">
        <v>45542</v>
      </c>
      <c r="C1239" s="146">
        <v>2024</v>
      </c>
      <c r="D1239" s="118" t="s">
        <v>35</v>
      </c>
      <c r="E1239" s="118" t="s">
        <v>1168</v>
      </c>
      <c r="F1239" s="147">
        <v>1</v>
      </c>
      <c r="G1239" s="120" t="s">
        <v>759</v>
      </c>
      <c r="H1239" s="148">
        <v>75000</v>
      </c>
      <c r="J1239"/>
      <c r="K1239"/>
      <c r="L1239" s="104"/>
    </row>
    <row r="1240" spans="1:12" x14ac:dyDescent="0.25">
      <c r="A1240" s="115">
        <v>1239</v>
      </c>
      <c r="B1240" s="145">
        <v>45542</v>
      </c>
      <c r="C1240" s="146">
        <v>2024</v>
      </c>
      <c r="D1240" s="118" t="s">
        <v>35</v>
      </c>
      <c r="E1240" s="118" t="s">
        <v>398</v>
      </c>
      <c r="F1240" s="147">
        <v>1</v>
      </c>
      <c r="G1240" s="120" t="s">
        <v>759</v>
      </c>
      <c r="H1240" s="148">
        <v>6000</v>
      </c>
      <c r="J1240"/>
      <c r="K1240"/>
      <c r="L1240" s="104"/>
    </row>
    <row r="1241" spans="1:12" x14ac:dyDescent="0.25">
      <c r="A1241" s="115">
        <v>1240</v>
      </c>
      <c r="B1241" s="145">
        <v>45542</v>
      </c>
      <c r="C1241" s="146">
        <v>2024</v>
      </c>
      <c r="D1241" s="118" t="s">
        <v>35</v>
      </c>
      <c r="E1241" s="118" t="s">
        <v>1169</v>
      </c>
      <c r="F1241" s="147">
        <v>1</v>
      </c>
      <c r="G1241" s="120" t="s">
        <v>759</v>
      </c>
      <c r="H1241" s="148">
        <v>75000</v>
      </c>
      <c r="J1241"/>
      <c r="K1241"/>
      <c r="L1241" s="104"/>
    </row>
    <row r="1242" spans="1:12" x14ac:dyDescent="0.25">
      <c r="A1242" s="115">
        <v>1241</v>
      </c>
      <c r="B1242" s="145">
        <v>45542</v>
      </c>
      <c r="C1242" s="146">
        <v>2024</v>
      </c>
      <c r="D1242" s="118" t="s">
        <v>35</v>
      </c>
      <c r="E1242" s="118" t="s">
        <v>1170</v>
      </c>
      <c r="F1242" s="147">
        <v>1</v>
      </c>
      <c r="G1242" s="120" t="s">
        <v>759</v>
      </c>
      <c r="H1242" s="148">
        <v>72500</v>
      </c>
      <c r="J1242"/>
      <c r="K1242"/>
      <c r="L1242" s="104"/>
    </row>
    <row r="1243" spans="1:12" x14ac:dyDescent="0.25">
      <c r="A1243" s="115">
        <v>1242</v>
      </c>
      <c r="B1243" s="145">
        <v>45542</v>
      </c>
      <c r="C1243" s="146">
        <v>2024</v>
      </c>
      <c r="D1243" s="118" t="s">
        <v>35</v>
      </c>
      <c r="E1243" s="118" t="s">
        <v>1171</v>
      </c>
      <c r="F1243" s="147">
        <v>1</v>
      </c>
      <c r="G1243" s="120" t="s">
        <v>759</v>
      </c>
      <c r="H1243" s="148">
        <v>40000</v>
      </c>
      <c r="J1243"/>
      <c r="K1243"/>
      <c r="L1243" s="104"/>
    </row>
    <row r="1244" spans="1:12" x14ac:dyDescent="0.25">
      <c r="A1244" s="115">
        <v>1243</v>
      </c>
      <c r="B1244" s="116">
        <v>45544</v>
      </c>
      <c r="C1244" s="117">
        <v>2024</v>
      </c>
      <c r="D1244" s="118" t="s">
        <v>833</v>
      </c>
      <c r="E1244" s="119" t="s">
        <v>1114</v>
      </c>
      <c r="F1244" s="120">
        <v>3</v>
      </c>
      <c r="G1244" s="120" t="s">
        <v>759</v>
      </c>
      <c r="H1244" s="121">
        <v>43800</v>
      </c>
      <c r="J1244"/>
      <c r="K1244"/>
      <c r="L1244" s="104"/>
    </row>
    <row r="1245" spans="1:12" x14ac:dyDescent="0.25">
      <c r="A1245" s="115">
        <v>1244</v>
      </c>
      <c r="B1245" s="116">
        <v>45544</v>
      </c>
      <c r="C1245" s="117">
        <v>2024</v>
      </c>
      <c r="D1245" s="118" t="s">
        <v>851</v>
      </c>
      <c r="E1245" s="119" t="s">
        <v>1172</v>
      </c>
      <c r="F1245" s="120">
        <v>1</v>
      </c>
      <c r="G1245" s="120" t="s">
        <v>759</v>
      </c>
      <c r="H1245" s="121">
        <v>63100</v>
      </c>
      <c r="J1245"/>
      <c r="K1245"/>
      <c r="L1245" s="104"/>
    </row>
    <row r="1246" spans="1:12" x14ac:dyDescent="0.25">
      <c r="A1246" s="115">
        <v>1245</v>
      </c>
      <c r="B1246" s="116">
        <v>45544</v>
      </c>
      <c r="C1246" s="117">
        <v>2024</v>
      </c>
      <c r="D1246" s="118" t="s">
        <v>35</v>
      </c>
      <c r="E1246" s="119" t="s">
        <v>1173</v>
      </c>
      <c r="F1246" s="120">
        <v>3</v>
      </c>
      <c r="G1246" s="120" t="s">
        <v>759</v>
      </c>
      <c r="H1246" s="121">
        <v>43200</v>
      </c>
      <c r="J1246"/>
      <c r="K1246"/>
      <c r="L1246" s="104"/>
    </row>
    <row r="1247" spans="1:12" x14ac:dyDescent="0.25">
      <c r="A1247" s="115">
        <v>1246</v>
      </c>
      <c r="B1247" s="116">
        <v>45547</v>
      </c>
      <c r="C1247" s="117">
        <v>2024</v>
      </c>
      <c r="D1247" s="118" t="s">
        <v>35</v>
      </c>
      <c r="E1247" s="119" t="s">
        <v>220</v>
      </c>
      <c r="F1247" s="120">
        <v>6</v>
      </c>
      <c r="G1247" s="120" t="s">
        <v>759</v>
      </c>
      <c r="H1247" s="121">
        <v>126420</v>
      </c>
      <c r="J1247"/>
      <c r="K1247"/>
      <c r="L1247" s="104"/>
    </row>
    <row r="1248" spans="1:12" x14ac:dyDescent="0.25">
      <c r="A1248" s="115">
        <v>1247</v>
      </c>
      <c r="B1248" s="116">
        <v>45547</v>
      </c>
      <c r="C1248" s="117">
        <v>2024</v>
      </c>
      <c r="D1248" s="118" t="s">
        <v>851</v>
      </c>
      <c r="E1248" s="119" t="s">
        <v>299</v>
      </c>
      <c r="F1248" s="120">
        <v>12</v>
      </c>
      <c r="G1248" s="120" t="s">
        <v>759</v>
      </c>
      <c r="H1248" s="121">
        <v>102528</v>
      </c>
      <c r="J1248"/>
      <c r="K1248"/>
      <c r="L1248" s="104"/>
    </row>
    <row r="1249" spans="1:12" x14ac:dyDescent="0.25">
      <c r="A1249" s="115">
        <v>1248</v>
      </c>
      <c r="B1249" s="116">
        <v>45547</v>
      </c>
      <c r="C1249" s="117">
        <v>2024</v>
      </c>
      <c r="D1249" s="118" t="s">
        <v>35</v>
      </c>
      <c r="E1249" s="119" t="s">
        <v>1174</v>
      </c>
      <c r="F1249" s="120">
        <v>6</v>
      </c>
      <c r="G1249" s="120" t="s">
        <v>759</v>
      </c>
      <c r="H1249" s="121">
        <v>69992</v>
      </c>
      <c r="J1249"/>
      <c r="K1249"/>
      <c r="L1249" s="104"/>
    </row>
    <row r="1250" spans="1:12" x14ac:dyDescent="0.25">
      <c r="A1250" s="115">
        <v>1249</v>
      </c>
      <c r="B1250" s="145">
        <v>45548</v>
      </c>
      <c r="C1250" s="146">
        <v>2024</v>
      </c>
      <c r="D1250" s="118" t="s">
        <v>35</v>
      </c>
      <c r="E1250" s="118" t="s">
        <v>1175</v>
      </c>
      <c r="F1250" s="147">
        <v>1</v>
      </c>
      <c r="G1250" s="120" t="s">
        <v>759</v>
      </c>
      <c r="H1250" s="148">
        <v>189643</v>
      </c>
      <c r="J1250"/>
      <c r="K1250"/>
      <c r="L1250" s="104"/>
    </row>
    <row r="1251" spans="1:12" x14ac:dyDescent="0.25">
      <c r="A1251" s="115">
        <v>1250</v>
      </c>
      <c r="B1251" s="145">
        <v>45548</v>
      </c>
      <c r="C1251" s="146">
        <v>2024</v>
      </c>
      <c r="D1251" s="118" t="s">
        <v>35</v>
      </c>
      <c r="E1251" s="118" t="s">
        <v>1175</v>
      </c>
      <c r="F1251" s="147">
        <v>1</v>
      </c>
      <c r="G1251" s="120" t="s">
        <v>759</v>
      </c>
      <c r="H1251" s="148">
        <v>221251</v>
      </c>
      <c r="J1251"/>
      <c r="K1251"/>
      <c r="L1251" s="104"/>
    </row>
    <row r="1252" spans="1:12" x14ac:dyDescent="0.25">
      <c r="A1252" s="115">
        <v>1251</v>
      </c>
      <c r="B1252" s="145">
        <v>45548</v>
      </c>
      <c r="C1252" s="146">
        <v>2024</v>
      </c>
      <c r="D1252" s="118" t="s">
        <v>35</v>
      </c>
      <c r="E1252" s="118" t="s">
        <v>965</v>
      </c>
      <c r="F1252" s="147">
        <v>1</v>
      </c>
      <c r="G1252" s="120" t="s">
        <v>759</v>
      </c>
      <c r="H1252" s="148">
        <v>111333</v>
      </c>
      <c r="J1252"/>
      <c r="K1252"/>
      <c r="L1252" s="104"/>
    </row>
    <row r="1253" spans="1:12" x14ac:dyDescent="0.25">
      <c r="A1253" s="115">
        <v>1252</v>
      </c>
      <c r="B1253" s="145">
        <v>45548</v>
      </c>
      <c r="C1253" s="146">
        <v>2024</v>
      </c>
      <c r="D1253" s="118" t="s">
        <v>35</v>
      </c>
      <c r="E1253" s="118" t="s">
        <v>966</v>
      </c>
      <c r="F1253" s="147">
        <v>1</v>
      </c>
      <c r="G1253" s="120" t="s">
        <v>759</v>
      </c>
      <c r="H1253" s="148">
        <v>173604</v>
      </c>
      <c r="J1253"/>
      <c r="K1253"/>
      <c r="L1253" s="104"/>
    </row>
    <row r="1254" spans="1:12" x14ac:dyDescent="0.25">
      <c r="A1254" s="115">
        <v>1253</v>
      </c>
      <c r="B1254" s="145">
        <v>45548</v>
      </c>
      <c r="C1254" s="146">
        <v>2024</v>
      </c>
      <c r="D1254" s="118" t="s">
        <v>35</v>
      </c>
      <c r="E1254" s="118" t="s">
        <v>965</v>
      </c>
      <c r="F1254" s="147">
        <v>1</v>
      </c>
      <c r="G1254" s="120" t="s">
        <v>759</v>
      </c>
      <c r="H1254" s="148">
        <v>111333</v>
      </c>
      <c r="J1254"/>
      <c r="K1254"/>
      <c r="L1254" s="104"/>
    </row>
    <row r="1255" spans="1:12" x14ac:dyDescent="0.25">
      <c r="A1255" s="115">
        <v>1254</v>
      </c>
      <c r="B1255" s="145">
        <v>45548</v>
      </c>
      <c r="C1255" s="146">
        <v>2024</v>
      </c>
      <c r="D1255" s="118" t="s">
        <v>35</v>
      </c>
      <c r="E1255" s="118" t="s">
        <v>966</v>
      </c>
      <c r="F1255" s="147">
        <v>1</v>
      </c>
      <c r="G1255" s="120" t="s">
        <v>759</v>
      </c>
      <c r="H1255" s="148">
        <v>173604</v>
      </c>
      <c r="J1255"/>
      <c r="K1255"/>
      <c r="L1255" s="104"/>
    </row>
    <row r="1256" spans="1:12" x14ac:dyDescent="0.25">
      <c r="A1256" s="115">
        <v>1255</v>
      </c>
      <c r="B1256" s="116">
        <v>45555</v>
      </c>
      <c r="C1256" s="117">
        <v>2024</v>
      </c>
      <c r="D1256" s="118" t="s">
        <v>851</v>
      </c>
      <c r="E1256" s="119" t="s">
        <v>282</v>
      </c>
      <c r="F1256" s="120">
        <v>5</v>
      </c>
      <c r="G1256" s="120" t="s">
        <v>759</v>
      </c>
      <c r="H1256" s="121">
        <v>33000</v>
      </c>
      <c r="J1256"/>
      <c r="K1256"/>
      <c r="L1256" s="104"/>
    </row>
    <row r="1257" spans="1:12" x14ac:dyDescent="0.25">
      <c r="A1257" s="115">
        <v>1256</v>
      </c>
      <c r="B1257" s="116">
        <v>45555</v>
      </c>
      <c r="C1257" s="117">
        <v>2024</v>
      </c>
      <c r="D1257" s="118" t="s">
        <v>851</v>
      </c>
      <c r="E1257" s="119" t="s">
        <v>544</v>
      </c>
      <c r="F1257" s="120">
        <v>10</v>
      </c>
      <c r="G1257" s="120" t="s">
        <v>759</v>
      </c>
      <c r="H1257" s="121">
        <v>186000</v>
      </c>
      <c r="J1257"/>
      <c r="K1257"/>
      <c r="L1257" s="104"/>
    </row>
    <row r="1258" spans="1:12" x14ac:dyDescent="0.25">
      <c r="A1258" s="115">
        <v>1257</v>
      </c>
      <c r="B1258" s="116">
        <v>45555</v>
      </c>
      <c r="C1258" s="117">
        <v>2024</v>
      </c>
      <c r="D1258" s="118" t="s">
        <v>851</v>
      </c>
      <c r="E1258" s="119" t="s">
        <v>481</v>
      </c>
      <c r="F1258" s="120">
        <v>12</v>
      </c>
      <c r="G1258" s="120" t="s">
        <v>759</v>
      </c>
      <c r="H1258" s="121">
        <v>194000</v>
      </c>
      <c r="J1258"/>
      <c r="K1258"/>
      <c r="L1258" s="104"/>
    </row>
    <row r="1259" spans="1:12" x14ac:dyDescent="0.25">
      <c r="A1259" s="115">
        <v>1258</v>
      </c>
      <c r="B1259" s="116">
        <v>45556</v>
      </c>
      <c r="C1259" s="117">
        <v>2024</v>
      </c>
      <c r="D1259" s="118" t="s">
        <v>35</v>
      </c>
      <c r="E1259" s="119" t="s">
        <v>1068</v>
      </c>
      <c r="F1259" s="120">
        <v>1</v>
      </c>
      <c r="G1259" s="120" t="s">
        <v>759</v>
      </c>
      <c r="H1259" s="121">
        <v>24000</v>
      </c>
      <c r="J1259"/>
      <c r="K1259"/>
      <c r="L1259" s="104"/>
    </row>
    <row r="1260" spans="1:12" x14ac:dyDescent="0.25">
      <c r="A1260" s="115">
        <v>1259</v>
      </c>
      <c r="B1260" s="145">
        <v>45556</v>
      </c>
      <c r="C1260" s="146">
        <v>2024</v>
      </c>
      <c r="D1260" s="118" t="s">
        <v>35</v>
      </c>
      <c r="E1260" s="118" t="s">
        <v>1176</v>
      </c>
      <c r="F1260" s="147">
        <v>1</v>
      </c>
      <c r="G1260" s="120" t="s">
        <v>759</v>
      </c>
      <c r="H1260" s="148">
        <v>75000</v>
      </c>
      <c r="J1260"/>
      <c r="K1260"/>
      <c r="L1260" s="104"/>
    </row>
    <row r="1261" spans="1:12" x14ac:dyDescent="0.25">
      <c r="A1261" s="115">
        <v>1260</v>
      </c>
      <c r="B1261" s="116">
        <v>45558</v>
      </c>
      <c r="C1261" s="117">
        <v>2024</v>
      </c>
      <c r="D1261" s="118" t="s">
        <v>833</v>
      </c>
      <c r="E1261" s="119" t="s">
        <v>677</v>
      </c>
      <c r="F1261" s="120">
        <v>1</v>
      </c>
      <c r="G1261" s="120" t="s">
        <v>759</v>
      </c>
      <c r="H1261" s="121">
        <v>7000</v>
      </c>
      <c r="J1261"/>
      <c r="K1261"/>
      <c r="L1261" s="104"/>
    </row>
    <row r="1262" spans="1:12" x14ac:dyDescent="0.25">
      <c r="A1262" s="115">
        <v>1261</v>
      </c>
      <c r="B1262" s="116">
        <v>45559</v>
      </c>
      <c r="C1262" s="117">
        <v>2024</v>
      </c>
      <c r="D1262" s="118" t="s">
        <v>35</v>
      </c>
      <c r="E1262" s="119" t="s">
        <v>159</v>
      </c>
      <c r="F1262" s="120">
        <v>3</v>
      </c>
      <c r="G1262" s="120" t="s">
        <v>759</v>
      </c>
      <c r="H1262" s="121">
        <v>18000</v>
      </c>
      <c r="J1262"/>
      <c r="K1262"/>
      <c r="L1262" s="104"/>
    </row>
    <row r="1263" spans="1:12" x14ac:dyDescent="0.25">
      <c r="A1263" s="115">
        <v>1262</v>
      </c>
      <c r="B1263" s="116">
        <v>45559</v>
      </c>
      <c r="C1263" s="117">
        <v>2024</v>
      </c>
      <c r="D1263" s="118" t="s">
        <v>35</v>
      </c>
      <c r="E1263" s="119" t="s">
        <v>1177</v>
      </c>
      <c r="F1263" s="120">
        <v>2</v>
      </c>
      <c r="G1263" s="120" t="s">
        <v>759</v>
      </c>
      <c r="H1263" s="121">
        <v>170000</v>
      </c>
      <c r="J1263"/>
      <c r="K1263"/>
      <c r="L1263" s="104"/>
    </row>
    <row r="1264" spans="1:12" x14ac:dyDescent="0.25">
      <c r="A1264" s="115">
        <v>1263</v>
      </c>
      <c r="B1264" s="145">
        <v>45559</v>
      </c>
      <c r="C1264" s="146">
        <v>2024</v>
      </c>
      <c r="D1264" s="118" t="s">
        <v>35</v>
      </c>
      <c r="E1264" s="118" t="s">
        <v>1178</v>
      </c>
      <c r="F1264" s="147">
        <v>1</v>
      </c>
      <c r="G1264" s="120" t="s">
        <v>759</v>
      </c>
      <c r="H1264" s="148">
        <v>242000</v>
      </c>
      <c r="J1264"/>
      <c r="K1264"/>
      <c r="L1264" s="104"/>
    </row>
    <row r="1265" spans="1:12" x14ac:dyDescent="0.25">
      <c r="A1265" s="115">
        <v>1264</v>
      </c>
      <c r="B1265" s="145">
        <v>45559</v>
      </c>
      <c r="C1265" s="146">
        <v>2024</v>
      </c>
      <c r="D1265" s="118" t="s">
        <v>35</v>
      </c>
      <c r="E1265" s="118" t="s">
        <v>1154</v>
      </c>
      <c r="F1265" s="147">
        <v>1</v>
      </c>
      <c r="G1265" s="120" t="s">
        <v>759</v>
      </c>
      <c r="H1265" s="148">
        <v>679000</v>
      </c>
      <c r="J1265"/>
      <c r="K1265"/>
      <c r="L1265" s="104"/>
    </row>
    <row r="1266" spans="1:12" x14ac:dyDescent="0.25">
      <c r="A1266" s="115">
        <v>1265</v>
      </c>
      <c r="B1266" s="145">
        <v>45559</v>
      </c>
      <c r="C1266" s="146">
        <v>2024</v>
      </c>
      <c r="D1266" s="118" t="s">
        <v>35</v>
      </c>
      <c r="E1266" s="118" t="s">
        <v>953</v>
      </c>
      <c r="F1266" s="147">
        <v>1</v>
      </c>
      <c r="G1266" s="120" t="s">
        <v>759</v>
      </c>
      <c r="H1266" s="148">
        <v>400000</v>
      </c>
      <c r="J1266"/>
      <c r="K1266"/>
      <c r="L1266" s="104"/>
    </row>
    <row r="1267" spans="1:12" x14ac:dyDescent="0.25">
      <c r="A1267" s="115">
        <v>1266</v>
      </c>
      <c r="B1267" s="155">
        <v>45559</v>
      </c>
      <c r="C1267" s="146">
        <v>2024</v>
      </c>
      <c r="D1267" s="118" t="s">
        <v>35</v>
      </c>
      <c r="E1267" s="118" t="s">
        <v>953</v>
      </c>
      <c r="F1267" s="147">
        <v>1</v>
      </c>
      <c r="G1267" s="120" t="s">
        <v>759</v>
      </c>
      <c r="H1267" s="148">
        <v>475000</v>
      </c>
      <c r="J1267"/>
      <c r="K1267"/>
      <c r="L1267" s="104"/>
    </row>
    <row r="1268" spans="1:12" x14ac:dyDescent="0.25">
      <c r="A1268" s="115">
        <v>1267</v>
      </c>
      <c r="B1268" s="155">
        <v>45559</v>
      </c>
      <c r="C1268" s="146">
        <v>2024</v>
      </c>
      <c r="D1268" s="118" t="s">
        <v>35</v>
      </c>
      <c r="E1268" s="118" t="s">
        <v>953</v>
      </c>
      <c r="F1268" s="147">
        <v>1</v>
      </c>
      <c r="G1268" s="120" t="s">
        <v>759</v>
      </c>
      <c r="H1268" s="148">
        <v>450000</v>
      </c>
      <c r="J1268"/>
      <c r="K1268"/>
      <c r="L1268" s="104"/>
    </row>
    <row r="1269" spans="1:12" x14ac:dyDescent="0.25">
      <c r="A1269" s="115">
        <v>1268</v>
      </c>
      <c r="B1269" s="145">
        <v>45559</v>
      </c>
      <c r="C1269" s="146">
        <v>2024</v>
      </c>
      <c r="D1269" s="118" t="s">
        <v>35</v>
      </c>
      <c r="E1269" s="118" t="s">
        <v>1179</v>
      </c>
      <c r="F1269" s="147">
        <v>1</v>
      </c>
      <c r="G1269" s="120" t="s">
        <v>759</v>
      </c>
      <c r="H1269" s="148">
        <v>505000</v>
      </c>
      <c r="J1269"/>
      <c r="K1269"/>
      <c r="L1269" s="104"/>
    </row>
    <row r="1270" spans="1:12" x14ac:dyDescent="0.25">
      <c r="A1270" s="115">
        <v>1269</v>
      </c>
      <c r="B1270" s="145">
        <v>45559</v>
      </c>
      <c r="C1270" s="146">
        <v>2024</v>
      </c>
      <c r="D1270" s="118" t="s">
        <v>35</v>
      </c>
      <c r="E1270" s="118" t="s">
        <v>1179</v>
      </c>
      <c r="F1270" s="147">
        <v>1</v>
      </c>
      <c r="G1270" s="120" t="s">
        <v>759</v>
      </c>
      <c r="H1270" s="148">
        <v>505000</v>
      </c>
      <c r="J1270"/>
      <c r="K1270"/>
      <c r="L1270" s="104"/>
    </row>
    <row r="1271" spans="1:12" x14ac:dyDescent="0.25">
      <c r="A1271" s="115">
        <v>1270</v>
      </c>
      <c r="B1271" s="145">
        <v>45559</v>
      </c>
      <c r="C1271" s="146">
        <v>2024</v>
      </c>
      <c r="D1271" s="118" t="s">
        <v>35</v>
      </c>
      <c r="E1271" s="118" t="s">
        <v>953</v>
      </c>
      <c r="F1271" s="147">
        <v>1</v>
      </c>
      <c r="G1271" s="120" t="s">
        <v>759</v>
      </c>
      <c r="H1271" s="148">
        <v>400000</v>
      </c>
      <c r="J1271"/>
      <c r="K1271"/>
      <c r="L1271" s="104"/>
    </row>
    <row r="1272" spans="1:12" x14ac:dyDescent="0.25">
      <c r="A1272" s="115">
        <v>1271</v>
      </c>
      <c r="B1272" s="145">
        <v>45559</v>
      </c>
      <c r="C1272" s="146">
        <v>2024</v>
      </c>
      <c r="D1272" s="118" t="s">
        <v>35</v>
      </c>
      <c r="E1272" s="118" t="s">
        <v>953</v>
      </c>
      <c r="F1272" s="147">
        <v>1</v>
      </c>
      <c r="G1272" s="120" t="s">
        <v>759</v>
      </c>
      <c r="H1272" s="148">
        <v>400000</v>
      </c>
      <c r="J1272"/>
      <c r="K1272"/>
      <c r="L1272" s="104"/>
    </row>
    <row r="1273" spans="1:12" x14ac:dyDescent="0.25">
      <c r="A1273" s="115">
        <v>1272</v>
      </c>
      <c r="B1273" s="145">
        <v>45559</v>
      </c>
      <c r="C1273" s="146">
        <v>2024</v>
      </c>
      <c r="D1273" s="118" t="s">
        <v>35</v>
      </c>
      <c r="E1273" s="118" t="s">
        <v>1179</v>
      </c>
      <c r="F1273" s="147">
        <v>1</v>
      </c>
      <c r="G1273" s="120" t="s">
        <v>759</v>
      </c>
      <c r="H1273" s="148">
        <v>475000</v>
      </c>
      <c r="J1273"/>
      <c r="K1273"/>
      <c r="L1273" s="104"/>
    </row>
    <row r="1274" spans="1:12" x14ac:dyDescent="0.25">
      <c r="A1274" s="115">
        <v>1273</v>
      </c>
      <c r="B1274" s="145">
        <v>45559</v>
      </c>
      <c r="C1274" s="146">
        <v>2024</v>
      </c>
      <c r="D1274" s="118" t="s">
        <v>35</v>
      </c>
      <c r="E1274" s="118" t="s">
        <v>1179</v>
      </c>
      <c r="F1274" s="147">
        <v>1</v>
      </c>
      <c r="G1274" s="120" t="s">
        <v>759</v>
      </c>
      <c r="H1274" s="148">
        <v>475000</v>
      </c>
      <c r="J1274"/>
      <c r="K1274"/>
      <c r="L1274" s="104"/>
    </row>
    <row r="1275" spans="1:12" x14ac:dyDescent="0.25">
      <c r="A1275" s="115">
        <v>1274</v>
      </c>
      <c r="B1275" s="145">
        <v>45559</v>
      </c>
      <c r="C1275" s="146">
        <v>2024</v>
      </c>
      <c r="D1275" s="118" t="s">
        <v>35</v>
      </c>
      <c r="E1275" s="118" t="s">
        <v>953</v>
      </c>
      <c r="F1275" s="147">
        <v>1</v>
      </c>
      <c r="G1275" s="120" t="s">
        <v>759</v>
      </c>
      <c r="H1275" s="148">
        <v>430000</v>
      </c>
      <c r="J1275"/>
      <c r="K1275"/>
      <c r="L1275" s="104"/>
    </row>
    <row r="1276" spans="1:12" x14ac:dyDescent="0.25">
      <c r="A1276" s="115">
        <v>1275</v>
      </c>
      <c r="B1276" s="116">
        <v>45560</v>
      </c>
      <c r="C1276" s="117">
        <v>2024</v>
      </c>
      <c r="D1276" s="118" t="s">
        <v>35</v>
      </c>
      <c r="E1276" s="119" t="s">
        <v>98</v>
      </c>
      <c r="F1276" s="120">
        <v>1</v>
      </c>
      <c r="G1276" s="120" t="s">
        <v>759</v>
      </c>
      <c r="H1276" s="121">
        <v>71250</v>
      </c>
      <c r="J1276"/>
      <c r="K1276"/>
      <c r="L1276" s="104"/>
    </row>
    <row r="1277" spans="1:12" x14ac:dyDescent="0.25">
      <c r="A1277" s="115">
        <v>1276</v>
      </c>
      <c r="B1277" s="145">
        <v>45561</v>
      </c>
      <c r="C1277" s="146">
        <v>2024</v>
      </c>
      <c r="D1277" s="118" t="s">
        <v>35</v>
      </c>
      <c r="E1277" s="118" t="s">
        <v>1180</v>
      </c>
      <c r="F1277" s="147">
        <v>1</v>
      </c>
      <c r="G1277" s="120" t="s">
        <v>759</v>
      </c>
      <c r="H1277" s="148">
        <v>350000</v>
      </c>
      <c r="J1277"/>
      <c r="K1277"/>
      <c r="L1277" s="104"/>
    </row>
    <row r="1278" spans="1:12" x14ac:dyDescent="0.25">
      <c r="A1278" s="115">
        <v>1277</v>
      </c>
      <c r="B1278" s="116">
        <v>45562</v>
      </c>
      <c r="C1278" s="117">
        <v>2024</v>
      </c>
      <c r="D1278" s="118" t="s">
        <v>851</v>
      </c>
      <c r="E1278" s="119" t="s">
        <v>644</v>
      </c>
      <c r="F1278" s="120">
        <v>10</v>
      </c>
      <c r="G1278" s="120" t="s">
        <v>759</v>
      </c>
      <c r="H1278" s="121">
        <v>186000</v>
      </c>
      <c r="J1278"/>
      <c r="K1278"/>
      <c r="L1278" s="104"/>
    </row>
    <row r="1279" spans="1:12" x14ac:dyDescent="0.25">
      <c r="A1279" s="115">
        <v>1278</v>
      </c>
      <c r="B1279" s="116">
        <v>45563</v>
      </c>
      <c r="C1279" s="117">
        <v>2024</v>
      </c>
      <c r="D1279" s="118" t="s">
        <v>35</v>
      </c>
      <c r="E1279" s="119" t="s">
        <v>211</v>
      </c>
      <c r="F1279" s="120">
        <v>3</v>
      </c>
      <c r="G1279" s="120" t="s">
        <v>759</v>
      </c>
      <c r="H1279" s="121">
        <v>147000</v>
      </c>
      <c r="J1279"/>
      <c r="K1279"/>
      <c r="L1279" s="104"/>
    </row>
    <row r="1280" spans="1:12" x14ac:dyDescent="0.25">
      <c r="A1280" s="115">
        <v>1279</v>
      </c>
      <c r="B1280" s="116">
        <v>45563</v>
      </c>
      <c r="C1280" s="117">
        <v>2024</v>
      </c>
      <c r="D1280" s="118" t="s">
        <v>35</v>
      </c>
      <c r="E1280" s="119" t="s">
        <v>211</v>
      </c>
      <c r="F1280" s="120">
        <v>3</v>
      </c>
      <c r="G1280" s="120" t="s">
        <v>759</v>
      </c>
      <c r="H1280" s="121">
        <v>58500</v>
      </c>
      <c r="J1280"/>
      <c r="K1280"/>
      <c r="L1280" s="104"/>
    </row>
    <row r="1281" spans="1:12" x14ac:dyDescent="0.25">
      <c r="A1281" s="115">
        <v>1280</v>
      </c>
      <c r="B1281" s="116">
        <v>45563</v>
      </c>
      <c r="C1281" s="117">
        <v>2024</v>
      </c>
      <c r="D1281" s="118" t="s">
        <v>35</v>
      </c>
      <c r="E1281" s="119" t="s">
        <v>211</v>
      </c>
      <c r="F1281" s="120">
        <v>3</v>
      </c>
      <c r="G1281" s="120" t="s">
        <v>759</v>
      </c>
      <c r="H1281" s="121">
        <v>57000</v>
      </c>
      <c r="J1281"/>
      <c r="K1281"/>
      <c r="L1281" s="104"/>
    </row>
    <row r="1282" spans="1:12" x14ac:dyDescent="0.25">
      <c r="A1282" s="115">
        <v>1281</v>
      </c>
      <c r="B1282" s="116">
        <v>45563</v>
      </c>
      <c r="C1282" s="117">
        <v>2024</v>
      </c>
      <c r="D1282" s="118" t="s">
        <v>259</v>
      </c>
      <c r="E1282" s="119" t="s">
        <v>1181</v>
      </c>
      <c r="F1282" s="120">
        <v>1</v>
      </c>
      <c r="G1282" s="120" t="s">
        <v>759</v>
      </c>
      <c r="H1282" s="121">
        <v>162150</v>
      </c>
      <c r="J1282"/>
      <c r="K1282"/>
      <c r="L1282" s="104"/>
    </row>
    <row r="1283" spans="1:12" x14ac:dyDescent="0.25">
      <c r="A1283" s="115">
        <v>1282</v>
      </c>
      <c r="B1283" s="116">
        <v>45563</v>
      </c>
      <c r="C1283" s="117">
        <v>2024</v>
      </c>
      <c r="D1283" s="118" t="s">
        <v>35</v>
      </c>
      <c r="E1283" s="119" t="s">
        <v>382</v>
      </c>
      <c r="F1283" s="120">
        <v>1</v>
      </c>
      <c r="G1283" s="120" t="s">
        <v>759</v>
      </c>
      <c r="H1283" s="121">
        <v>19940</v>
      </c>
      <c r="J1283"/>
      <c r="K1283"/>
      <c r="L1283" s="104"/>
    </row>
    <row r="1284" spans="1:12" x14ac:dyDescent="0.25">
      <c r="A1284" s="115">
        <v>1283</v>
      </c>
      <c r="B1284" s="116">
        <v>45563</v>
      </c>
      <c r="C1284" s="117">
        <v>2024</v>
      </c>
      <c r="D1284" s="118" t="s">
        <v>259</v>
      </c>
      <c r="E1284" s="119" t="s">
        <v>1182</v>
      </c>
      <c r="F1284" s="120">
        <v>1</v>
      </c>
      <c r="G1284" s="120" t="s">
        <v>759</v>
      </c>
      <c r="H1284" s="121">
        <v>915000</v>
      </c>
      <c r="J1284"/>
      <c r="K1284"/>
      <c r="L1284" s="104"/>
    </row>
    <row r="1285" spans="1:12" x14ac:dyDescent="0.25">
      <c r="A1285" s="115">
        <v>1284</v>
      </c>
      <c r="B1285" s="116">
        <v>45563</v>
      </c>
      <c r="C1285" s="117">
        <v>2024</v>
      </c>
      <c r="D1285" s="118" t="s">
        <v>259</v>
      </c>
      <c r="E1285" s="119" t="s">
        <v>989</v>
      </c>
      <c r="F1285" s="120">
        <v>1</v>
      </c>
      <c r="G1285" s="120" t="s">
        <v>759</v>
      </c>
      <c r="H1285" s="121">
        <v>162150</v>
      </c>
      <c r="J1285"/>
      <c r="K1285"/>
      <c r="L1285" s="104"/>
    </row>
    <row r="1286" spans="1:12" x14ac:dyDescent="0.25">
      <c r="A1286" s="115">
        <v>1285</v>
      </c>
      <c r="B1286" s="116">
        <v>45568</v>
      </c>
      <c r="C1286" s="117">
        <v>2024</v>
      </c>
      <c r="D1286" s="118" t="s">
        <v>833</v>
      </c>
      <c r="E1286" s="119" t="s">
        <v>967</v>
      </c>
      <c r="F1286" s="120">
        <v>100</v>
      </c>
      <c r="G1286" s="120" t="s">
        <v>759</v>
      </c>
      <c r="H1286" s="121">
        <v>1000000</v>
      </c>
      <c r="J1286"/>
      <c r="K1286"/>
      <c r="L1286" s="104"/>
    </row>
    <row r="1287" spans="1:12" x14ac:dyDescent="0.25">
      <c r="A1287" s="115">
        <v>1286</v>
      </c>
      <c r="B1287" s="145">
        <v>45568</v>
      </c>
      <c r="C1287" s="146">
        <v>2024</v>
      </c>
      <c r="D1287" s="118" t="s">
        <v>35</v>
      </c>
      <c r="E1287" s="118" t="s">
        <v>1183</v>
      </c>
      <c r="F1287" s="147">
        <v>1</v>
      </c>
      <c r="G1287" s="120" t="s">
        <v>759</v>
      </c>
      <c r="H1287" s="148">
        <v>628000</v>
      </c>
      <c r="J1287"/>
      <c r="K1287"/>
      <c r="L1287" s="104"/>
    </row>
    <row r="1288" spans="1:12" x14ac:dyDescent="0.25">
      <c r="A1288" s="115">
        <v>1287</v>
      </c>
      <c r="B1288" s="116">
        <v>45572</v>
      </c>
      <c r="C1288" s="117">
        <v>2024</v>
      </c>
      <c r="D1288" s="118" t="s">
        <v>259</v>
      </c>
      <c r="E1288" s="119" t="s">
        <v>1182</v>
      </c>
      <c r="F1288" s="120">
        <v>1</v>
      </c>
      <c r="G1288" s="120" t="s">
        <v>759</v>
      </c>
      <c r="H1288" s="121">
        <v>948400</v>
      </c>
      <c r="J1288"/>
      <c r="K1288"/>
      <c r="L1288" s="104"/>
    </row>
    <row r="1289" spans="1:12" x14ac:dyDescent="0.25">
      <c r="A1289" s="115">
        <v>1288</v>
      </c>
      <c r="B1289" s="145">
        <v>45572</v>
      </c>
      <c r="C1289" s="146">
        <v>2024</v>
      </c>
      <c r="D1289" s="118" t="s">
        <v>35</v>
      </c>
      <c r="E1289" s="118" t="s">
        <v>794</v>
      </c>
      <c r="F1289" s="147">
        <v>1</v>
      </c>
      <c r="G1289" s="120" t="s">
        <v>759</v>
      </c>
      <c r="H1289" s="148">
        <v>166500</v>
      </c>
      <c r="J1289"/>
      <c r="K1289"/>
      <c r="L1289" s="104"/>
    </row>
    <row r="1290" spans="1:12" x14ac:dyDescent="0.25">
      <c r="A1290" s="115">
        <v>1289</v>
      </c>
      <c r="B1290" s="145">
        <v>45572</v>
      </c>
      <c r="C1290" s="146">
        <v>2024</v>
      </c>
      <c r="D1290" s="118" t="s">
        <v>35</v>
      </c>
      <c r="E1290" s="118" t="s">
        <v>794</v>
      </c>
      <c r="F1290" s="147">
        <v>1</v>
      </c>
      <c r="G1290" s="120" t="s">
        <v>759</v>
      </c>
      <c r="H1290" s="148">
        <v>166500</v>
      </c>
      <c r="J1290"/>
      <c r="K1290"/>
      <c r="L1290" s="104"/>
    </row>
    <row r="1291" spans="1:12" x14ac:dyDescent="0.25">
      <c r="A1291" s="115">
        <v>1290</v>
      </c>
      <c r="B1291" s="155">
        <v>45572</v>
      </c>
      <c r="C1291" s="146">
        <v>2024</v>
      </c>
      <c r="D1291" s="118" t="s">
        <v>35</v>
      </c>
      <c r="E1291" s="118" t="s">
        <v>794</v>
      </c>
      <c r="F1291" s="147">
        <v>1</v>
      </c>
      <c r="G1291" s="120" t="s">
        <v>759</v>
      </c>
      <c r="H1291" s="148">
        <v>166500</v>
      </c>
      <c r="J1291"/>
      <c r="K1291"/>
      <c r="L1291" s="104"/>
    </row>
    <row r="1292" spans="1:12" x14ac:dyDescent="0.25">
      <c r="A1292" s="115">
        <v>1291</v>
      </c>
      <c r="B1292" s="145">
        <v>45572</v>
      </c>
      <c r="C1292" s="146">
        <v>2024</v>
      </c>
      <c r="D1292" s="118" t="s">
        <v>35</v>
      </c>
      <c r="E1292" s="118" t="s">
        <v>794</v>
      </c>
      <c r="F1292" s="147">
        <v>1</v>
      </c>
      <c r="G1292" s="120" t="s">
        <v>759</v>
      </c>
      <c r="H1292" s="148">
        <v>166500</v>
      </c>
      <c r="J1292"/>
      <c r="K1292"/>
      <c r="L1292" s="104"/>
    </row>
    <row r="1293" spans="1:12" x14ac:dyDescent="0.25">
      <c r="A1293" s="115">
        <v>1292</v>
      </c>
      <c r="B1293" s="145">
        <v>45572</v>
      </c>
      <c r="C1293" s="146">
        <v>2024</v>
      </c>
      <c r="D1293" s="118" t="s">
        <v>35</v>
      </c>
      <c r="E1293" s="118" t="s">
        <v>794</v>
      </c>
      <c r="F1293" s="147">
        <v>1</v>
      </c>
      <c r="G1293" s="120" t="s">
        <v>759</v>
      </c>
      <c r="H1293" s="148">
        <v>166500</v>
      </c>
      <c r="J1293"/>
      <c r="K1293"/>
      <c r="L1293" s="104"/>
    </row>
    <row r="1294" spans="1:12" x14ac:dyDescent="0.25">
      <c r="A1294" s="115">
        <v>1293</v>
      </c>
      <c r="B1294" s="116">
        <v>45573</v>
      </c>
      <c r="C1294" s="117">
        <v>2024</v>
      </c>
      <c r="D1294" s="118" t="s">
        <v>35</v>
      </c>
      <c r="E1294" s="119" t="s">
        <v>98</v>
      </c>
      <c r="F1294" s="120">
        <v>1</v>
      </c>
      <c r="G1294" s="120" t="s">
        <v>759</v>
      </c>
      <c r="H1294" s="121">
        <v>30000</v>
      </c>
      <c r="J1294"/>
      <c r="K1294"/>
      <c r="L1294" s="104"/>
    </row>
    <row r="1295" spans="1:12" x14ac:dyDescent="0.25">
      <c r="A1295" s="115">
        <v>1294</v>
      </c>
      <c r="B1295" s="145">
        <v>45573</v>
      </c>
      <c r="C1295" s="146">
        <v>2024</v>
      </c>
      <c r="D1295" s="118" t="s">
        <v>35</v>
      </c>
      <c r="E1295" s="118" t="s">
        <v>819</v>
      </c>
      <c r="F1295" s="147">
        <v>1</v>
      </c>
      <c r="G1295" s="120" t="s">
        <v>759</v>
      </c>
      <c r="H1295" s="148">
        <v>18000</v>
      </c>
      <c r="J1295"/>
      <c r="K1295"/>
      <c r="L1295" s="104"/>
    </row>
    <row r="1296" spans="1:12" x14ac:dyDescent="0.25">
      <c r="A1296" s="115">
        <v>1295</v>
      </c>
      <c r="B1296" s="145">
        <v>45573</v>
      </c>
      <c r="C1296" s="146">
        <v>2024</v>
      </c>
      <c r="D1296" s="118" t="s">
        <v>35</v>
      </c>
      <c r="E1296" s="118" t="s">
        <v>252</v>
      </c>
      <c r="F1296" s="147">
        <v>1</v>
      </c>
      <c r="G1296" s="120" t="s">
        <v>759</v>
      </c>
      <c r="H1296" s="148">
        <v>745000</v>
      </c>
      <c r="J1296"/>
      <c r="K1296"/>
      <c r="L1296" s="104"/>
    </row>
    <row r="1297" spans="1:12" x14ac:dyDescent="0.25">
      <c r="A1297" s="115">
        <v>1296</v>
      </c>
      <c r="B1297" s="145">
        <v>45573</v>
      </c>
      <c r="C1297" s="146">
        <v>2024</v>
      </c>
      <c r="D1297" s="118" t="s">
        <v>35</v>
      </c>
      <c r="E1297" s="118" t="s">
        <v>1184</v>
      </c>
      <c r="F1297" s="147">
        <v>1</v>
      </c>
      <c r="G1297" s="120" t="s">
        <v>759</v>
      </c>
      <c r="H1297" s="148">
        <v>60000</v>
      </c>
      <c r="J1297"/>
      <c r="K1297"/>
      <c r="L1297" s="104"/>
    </row>
    <row r="1298" spans="1:12" x14ac:dyDescent="0.25">
      <c r="A1298" s="115">
        <v>1297</v>
      </c>
      <c r="B1298" s="145">
        <v>45573</v>
      </c>
      <c r="C1298" s="146">
        <v>2024</v>
      </c>
      <c r="D1298" s="118" t="s">
        <v>35</v>
      </c>
      <c r="E1298" s="118" t="s">
        <v>1184</v>
      </c>
      <c r="F1298" s="147">
        <v>1</v>
      </c>
      <c r="G1298" s="120" t="s">
        <v>759</v>
      </c>
      <c r="H1298" s="148">
        <v>60000</v>
      </c>
      <c r="J1298"/>
      <c r="K1298"/>
      <c r="L1298" s="104"/>
    </row>
    <row r="1299" spans="1:12" x14ac:dyDescent="0.25">
      <c r="A1299" s="115">
        <v>1298</v>
      </c>
      <c r="B1299" s="155">
        <v>45573</v>
      </c>
      <c r="C1299" s="146">
        <v>2024</v>
      </c>
      <c r="D1299" s="118" t="s">
        <v>35</v>
      </c>
      <c r="E1299" s="118" t="s">
        <v>778</v>
      </c>
      <c r="F1299" s="147">
        <v>1</v>
      </c>
      <c r="G1299" s="120" t="s">
        <v>759</v>
      </c>
      <c r="H1299" s="148">
        <v>75000</v>
      </c>
      <c r="J1299"/>
      <c r="K1299"/>
      <c r="L1299" s="104"/>
    </row>
    <row r="1300" spans="1:12" x14ac:dyDescent="0.25">
      <c r="A1300" s="115">
        <v>1299</v>
      </c>
      <c r="B1300" s="145">
        <v>45573</v>
      </c>
      <c r="C1300" s="146">
        <v>2024</v>
      </c>
      <c r="D1300" s="118" t="s">
        <v>35</v>
      </c>
      <c r="E1300" s="118" t="s">
        <v>1185</v>
      </c>
      <c r="F1300" s="147">
        <v>1</v>
      </c>
      <c r="G1300" s="120" t="s">
        <v>759</v>
      </c>
      <c r="H1300" s="148">
        <v>350000</v>
      </c>
      <c r="J1300"/>
      <c r="K1300"/>
      <c r="L1300" s="104"/>
    </row>
    <row r="1301" spans="1:12" x14ac:dyDescent="0.25">
      <c r="A1301" s="115">
        <v>1300</v>
      </c>
      <c r="B1301" s="145">
        <v>45573</v>
      </c>
      <c r="C1301" s="146">
        <v>2024</v>
      </c>
      <c r="D1301" s="118" t="s">
        <v>35</v>
      </c>
      <c r="E1301" s="118" t="s">
        <v>911</v>
      </c>
      <c r="F1301" s="147">
        <v>1</v>
      </c>
      <c r="G1301" s="120" t="s">
        <v>759</v>
      </c>
      <c r="H1301" s="148">
        <v>100000</v>
      </c>
      <c r="J1301"/>
      <c r="K1301"/>
      <c r="L1301" s="104"/>
    </row>
    <row r="1302" spans="1:12" x14ac:dyDescent="0.25">
      <c r="A1302" s="115">
        <v>1301</v>
      </c>
      <c r="B1302" s="145">
        <v>45573</v>
      </c>
      <c r="C1302" s="146">
        <v>2024</v>
      </c>
      <c r="D1302" s="118" t="s">
        <v>35</v>
      </c>
      <c r="E1302" s="118" t="s">
        <v>1138</v>
      </c>
      <c r="F1302" s="147">
        <v>1</v>
      </c>
      <c r="G1302" s="120" t="s">
        <v>759</v>
      </c>
      <c r="H1302" s="148">
        <v>200000</v>
      </c>
      <c r="J1302"/>
      <c r="K1302"/>
      <c r="L1302" s="104"/>
    </row>
    <row r="1303" spans="1:12" x14ac:dyDescent="0.25">
      <c r="A1303" s="115">
        <v>1302</v>
      </c>
      <c r="B1303" s="145">
        <v>45573</v>
      </c>
      <c r="C1303" s="146">
        <v>2024</v>
      </c>
      <c r="D1303" s="118" t="s">
        <v>35</v>
      </c>
      <c r="E1303" s="118" t="s">
        <v>1186</v>
      </c>
      <c r="F1303" s="147">
        <v>1</v>
      </c>
      <c r="G1303" s="120" t="s">
        <v>759</v>
      </c>
      <c r="H1303" s="148">
        <v>200000</v>
      </c>
      <c r="J1303"/>
      <c r="K1303"/>
      <c r="L1303" s="104"/>
    </row>
    <row r="1304" spans="1:12" x14ac:dyDescent="0.25">
      <c r="A1304" s="115">
        <v>1303</v>
      </c>
      <c r="B1304" s="145">
        <v>45573</v>
      </c>
      <c r="C1304" s="146">
        <v>2024</v>
      </c>
      <c r="D1304" s="118" t="s">
        <v>35</v>
      </c>
      <c r="E1304" s="118" t="s">
        <v>1187</v>
      </c>
      <c r="F1304" s="147">
        <v>1</v>
      </c>
      <c r="G1304" s="120" t="s">
        <v>759</v>
      </c>
      <c r="H1304" s="148">
        <v>225000</v>
      </c>
      <c r="J1304"/>
      <c r="K1304"/>
      <c r="L1304" s="104"/>
    </row>
    <row r="1305" spans="1:12" x14ac:dyDescent="0.25">
      <c r="A1305" s="115">
        <v>1304</v>
      </c>
      <c r="B1305" s="145">
        <v>45573</v>
      </c>
      <c r="C1305" s="146">
        <v>2024</v>
      </c>
      <c r="D1305" s="118" t="s">
        <v>35</v>
      </c>
      <c r="E1305" s="118" t="s">
        <v>1187</v>
      </c>
      <c r="F1305" s="147">
        <v>1</v>
      </c>
      <c r="G1305" s="120" t="s">
        <v>759</v>
      </c>
      <c r="H1305" s="148">
        <v>275000</v>
      </c>
      <c r="J1305"/>
      <c r="K1305"/>
      <c r="L1305" s="104"/>
    </row>
    <row r="1306" spans="1:12" x14ac:dyDescent="0.25">
      <c r="A1306" s="115">
        <v>1305</v>
      </c>
      <c r="B1306" s="145">
        <v>45573</v>
      </c>
      <c r="C1306" s="146">
        <v>2024</v>
      </c>
      <c r="D1306" s="118" t="s">
        <v>35</v>
      </c>
      <c r="E1306" s="118" t="s">
        <v>1188</v>
      </c>
      <c r="F1306" s="147">
        <v>1</v>
      </c>
      <c r="G1306" s="120" t="s">
        <v>759</v>
      </c>
      <c r="H1306" s="148">
        <v>85000</v>
      </c>
      <c r="J1306"/>
      <c r="K1306"/>
      <c r="L1306" s="104"/>
    </row>
    <row r="1307" spans="1:12" x14ac:dyDescent="0.25">
      <c r="A1307" s="115">
        <v>1306</v>
      </c>
      <c r="B1307" s="116">
        <v>45574</v>
      </c>
      <c r="C1307" s="117">
        <v>2024</v>
      </c>
      <c r="D1307" s="118" t="s">
        <v>35</v>
      </c>
      <c r="E1307" s="119" t="s">
        <v>1189</v>
      </c>
      <c r="F1307" s="120">
        <v>4</v>
      </c>
      <c r="G1307" s="120" t="s">
        <v>759</v>
      </c>
      <c r="H1307" s="121">
        <v>15800</v>
      </c>
      <c r="J1307"/>
      <c r="K1307"/>
      <c r="L1307" s="104"/>
    </row>
    <row r="1308" spans="1:12" x14ac:dyDescent="0.25">
      <c r="A1308" s="115">
        <v>1307</v>
      </c>
      <c r="B1308" s="145">
        <v>45574</v>
      </c>
      <c r="C1308" s="146">
        <v>2024</v>
      </c>
      <c r="D1308" s="118" t="s">
        <v>35</v>
      </c>
      <c r="E1308" s="118" t="s">
        <v>1190</v>
      </c>
      <c r="F1308" s="147">
        <v>1</v>
      </c>
      <c r="G1308" s="120" t="s">
        <v>759</v>
      </c>
      <c r="H1308" s="148">
        <v>110000</v>
      </c>
      <c r="J1308"/>
      <c r="K1308"/>
      <c r="L1308" s="104"/>
    </row>
    <row r="1309" spans="1:12" x14ac:dyDescent="0.25">
      <c r="A1309" s="115">
        <v>1308</v>
      </c>
      <c r="B1309" s="116">
        <v>45575</v>
      </c>
      <c r="C1309" s="117">
        <v>2024</v>
      </c>
      <c r="D1309" s="118" t="s">
        <v>35</v>
      </c>
      <c r="E1309" s="119" t="s">
        <v>1191</v>
      </c>
      <c r="F1309" s="120">
        <v>10</v>
      </c>
      <c r="G1309" s="120" t="s">
        <v>759</v>
      </c>
      <c r="H1309" s="121">
        <v>136563</v>
      </c>
      <c r="J1309"/>
      <c r="K1309"/>
      <c r="L1309" s="104"/>
    </row>
    <row r="1310" spans="1:12" x14ac:dyDescent="0.25">
      <c r="A1310" s="115">
        <v>1309</v>
      </c>
      <c r="B1310" s="116">
        <v>45576</v>
      </c>
      <c r="C1310" s="117">
        <v>2024</v>
      </c>
      <c r="D1310" s="118" t="s">
        <v>35</v>
      </c>
      <c r="E1310" s="119" t="s">
        <v>589</v>
      </c>
      <c r="F1310" s="120">
        <v>10</v>
      </c>
      <c r="G1310" s="120" t="s">
        <v>759</v>
      </c>
      <c r="H1310" s="121">
        <v>145800</v>
      </c>
      <c r="J1310"/>
      <c r="K1310"/>
      <c r="L1310" s="104"/>
    </row>
    <row r="1311" spans="1:12" x14ac:dyDescent="0.25">
      <c r="A1311" s="115">
        <v>1310</v>
      </c>
      <c r="B1311" s="116">
        <v>45579</v>
      </c>
      <c r="C1311" s="117">
        <v>2024</v>
      </c>
      <c r="D1311" s="118" t="s">
        <v>35</v>
      </c>
      <c r="E1311" s="119" t="s">
        <v>98</v>
      </c>
      <c r="F1311" s="120">
        <v>5</v>
      </c>
      <c r="G1311" s="120" t="s">
        <v>759</v>
      </c>
      <c r="H1311" s="121">
        <v>149500</v>
      </c>
      <c r="J1311"/>
      <c r="K1311"/>
      <c r="L1311" s="104"/>
    </row>
    <row r="1312" spans="1:12" x14ac:dyDescent="0.25">
      <c r="A1312" s="115">
        <v>1311</v>
      </c>
      <c r="B1312" s="145">
        <v>45582</v>
      </c>
      <c r="C1312" s="146">
        <v>2024</v>
      </c>
      <c r="D1312" s="118" t="s">
        <v>35</v>
      </c>
      <c r="E1312" s="118" t="s">
        <v>1179</v>
      </c>
      <c r="F1312" s="147">
        <v>1</v>
      </c>
      <c r="G1312" s="120" t="s">
        <v>759</v>
      </c>
      <c r="H1312" s="148">
        <v>505000</v>
      </c>
      <c r="J1312"/>
      <c r="K1312"/>
      <c r="L1312" s="104"/>
    </row>
    <row r="1313" spans="1:12" x14ac:dyDescent="0.25">
      <c r="A1313" s="115">
        <v>1312</v>
      </c>
      <c r="B1313" s="145">
        <v>45582</v>
      </c>
      <c r="C1313" s="146">
        <v>2024</v>
      </c>
      <c r="D1313" s="118" t="s">
        <v>35</v>
      </c>
      <c r="E1313" s="118" t="s">
        <v>1179</v>
      </c>
      <c r="F1313" s="147">
        <v>1</v>
      </c>
      <c r="G1313" s="120" t="s">
        <v>759</v>
      </c>
      <c r="H1313" s="148">
        <v>505000</v>
      </c>
      <c r="J1313"/>
      <c r="K1313"/>
      <c r="L1313" s="104"/>
    </row>
    <row r="1314" spans="1:12" x14ac:dyDescent="0.25">
      <c r="A1314" s="115">
        <v>1313</v>
      </c>
      <c r="B1314" s="145">
        <v>45582</v>
      </c>
      <c r="C1314" s="146">
        <v>2024</v>
      </c>
      <c r="D1314" s="118" t="s">
        <v>35</v>
      </c>
      <c r="E1314" s="118" t="s">
        <v>1179</v>
      </c>
      <c r="F1314" s="147">
        <v>1</v>
      </c>
      <c r="G1314" s="120" t="s">
        <v>759</v>
      </c>
      <c r="H1314" s="148">
        <v>302500</v>
      </c>
      <c r="J1314"/>
      <c r="K1314"/>
      <c r="L1314" s="104"/>
    </row>
    <row r="1315" spans="1:12" x14ac:dyDescent="0.25">
      <c r="A1315" s="115">
        <v>1314</v>
      </c>
      <c r="B1315" s="145">
        <v>45582</v>
      </c>
      <c r="C1315" s="146">
        <v>2024</v>
      </c>
      <c r="D1315" s="118" t="s">
        <v>35</v>
      </c>
      <c r="E1315" s="118" t="s">
        <v>1179</v>
      </c>
      <c r="F1315" s="147">
        <v>1</v>
      </c>
      <c r="G1315" s="120" t="s">
        <v>759</v>
      </c>
      <c r="H1315" s="148">
        <v>505000</v>
      </c>
      <c r="J1315"/>
      <c r="K1315"/>
      <c r="L1315" s="104"/>
    </row>
    <row r="1316" spans="1:12" x14ac:dyDescent="0.25">
      <c r="A1316" s="115">
        <v>1315</v>
      </c>
      <c r="B1316" s="145">
        <v>45582</v>
      </c>
      <c r="C1316" s="146">
        <v>2024</v>
      </c>
      <c r="D1316" s="118" t="s">
        <v>35</v>
      </c>
      <c r="E1316" s="118" t="s">
        <v>1179</v>
      </c>
      <c r="F1316" s="147">
        <v>1</v>
      </c>
      <c r="G1316" s="120" t="s">
        <v>759</v>
      </c>
      <c r="H1316" s="148">
        <v>302500</v>
      </c>
      <c r="J1316"/>
      <c r="K1316"/>
      <c r="L1316" s="104"/>
    </row>
    <row r="1317" spans="1:12" x14ac:dyDescent="0.25">
      <c r="A1317" s="115">
        <v>1316</v>
      </c>
      <c r="B1317" s="145">
        <v>45582</v>
      </c>
      <c r="C1317" s="146">
        <v>2024</v>
      </c>
      <c r="D1317" s="118" t="s">
        <v>35</v>
      </c>
      <c r="E1317" s="118" t="s">
        <v>1179</v>
      </c>
      <c r="F1317" s="147">
        <v>1</v>
      </c>
      <c r="G1317" s="120" t="s">
        <v>759</v>
      </c>
      <c r="H1317" s="148">
        <v>505000</v>
      </c>
      <c r="J1317"/>
      <c r="K1317"/>
      <c r="L1317" s="104"/>
    </row>
    <row r="1318" spans="1:12" x14ac:dyDescent="0.25">
      <c r="A1318" s="115">
        <v>1317</v>
      </c>
      <c r="B1318" s="145">
        <v>45582</v>
      </c>
      <c r="C1318" s="146">
        <v>2024</v>
      </c>
      <c r="D1318" s="118" t="s">
        <v>35</v>
      </c>
      <c r="E1318" s="118" t="s">
        <v>1192</v>
      </c>
      <c r="F1318" s="147">
        <v>1</v>
      </c>
      <c r="G1318" s="120" t="s">
        <v>759</v>
      </c>
      <c r="H1318" s="148">
        <v>981000</v>
      </c>
      <c r="J1318"/>
      <c r="K1318"/>
      <c r="L1318" s="104"/>
    </row>
    <row r="1319" spans="1:12" x14ac:dyDescent="0.25">
      <c r="A1319" s="115">
        <v>1318</v>
      </c>
      <c r="B1319" s="145">
        <v>45582</v>
      </c>
      <c r="C1319" s="146">
        <v>2024</v>
      </c>
      <c r="D1319" s="118" t="s">
        <v>35</v>
      </c>
      <c r="E1319" s="118" t="s">
        <v>1179</v>
      </c>
      <c r="F1319" s="147">
        <v>1</v>
      </c>
      <c r="G1319" s="120" t="s">
        <v>759</v>
      </c>
      <c r="H1319" s="148">
        <v>442500</v>
      </c>
      <c r="J1319"/>
      <c r="K1319"/>
      <c r="L1319" s="104"/>
    </row>
    <row r="1320" spans="1:12" x14ac:dyDescent="0.25">
      <c r="A1320" s="115">
        <v>1319</v>
      </c>
      <c r="B1320" s="145">
        <v>45582</v>
      </c>
      <c r="C1320" s="146">
        <v>2024</v>
      </c>
      <c r="D1320" s="118" t="s">
        <v>35</v>
      </c>
      <c r="E1320" s="118" t="s">
        <v>1192</v>
      </c>
      <c r="F1320" s="147">
        <v>1</v>
      </c>
      <c r="G1320" s="120" t="s">
        <v>759</v>
      </c>
      <c r="H1320" s="148">
        <v>302500</v>
      </c>
      <c r="J1320"/>
      <c r="K1320"/>
      <c r="L1320" s="104"/>
    </row>
    <row r="1321" spans="1:12" x14ac:dyDescent="0.25">
      <c r="A1321" s="115">
        <v>1320</v>
      </c>
      <c r="B1321" s="145">
        <v>45582</v>
      </c>
      <c r="C1321" s="146">
        <v>2024</v>
      </c>
      <c r="D1321" s="118" t="s">
        <v>35</v>
      </c>
      <c r="E1321" s="118" t="s">
        <v>1179</v>
      </c>
      <c r="F1321" s="147">
        <v>1</v>
      </c>
      <c r="G1321" s="120" t="s">
        <v>759</v>
      </c>
      <c r="H1321" s="148">
        <v>505000</v>
      </c>
      <c r="J1321"/>
      <c r="K1321"/>
      <c r="L1321" s="104"/>
    </row>
    <row r="1322" spans="1:12" x14ac:dyDescent="0.25">
      <c r="A1322" s="115">
        <v>1321</v>
      </c>
      <c r="B1322" s="145">
        <v>45582</v>
      </c>
      <c r="C1322" s="146">
        <v>2024</v>
      </c>
      <c r="D1322" s="118" t="s">
        <v>35</v>
      </c>
      <c r="E1322" s="118" t="s">
        <v>953</v>
      </c>
      <c r="F1322" s="147">
        <v>1</v>
      </c>
      <c r="G1322" s="120" t="s">
        <v>759</v>
      </c>
      <c r="H1322" s="148">
        <v>430000</v>
      </c>
      <c r="J1322"/>
      <c r="K1322"/>
      <c r="L1322" s="104"/>
    </row>
    <row r="1323" spans="1:12" x14ac:dyDescent="0.25">
      <c r="A1323" s="115">
        <v>1322</v>
      </c>
      <c r="B1323" s="145">
        <v>45582</v>
      </c>
      <c r="C1323" s="146">
        <v>2024</v>
      </c>
      <c r="D1323" s="118" t="s">
        <v>35</v>
      </c>
      <c r="E1323" s="118" t="s">
        <v>836</v>
      </c>
      <c r="F1323" s="147">
        <v>1</v>
      </c>
      <c r="G1323" s="120" t="s">
        <v>759</v>
      </c>
      <c r="H1323" s="148">
        <v>85000</v>
      </c>
      <c r="J1323"/>
      <c r="K1323"/>
      <c r="L1323" s="104"/>
    </row>
    <row r="1324" spans="1:12" x14ac:dyDescent="0.25">
      <c r="A1324" s="115">
        <v>1323</v>
      </c>
      <c r="B1324" s="145">
        <v>45582</v>
      </c>
      <c r="C1324" s="146">
        <v>2024</v>
      </c>
      <c r="D1324" s="118" t="s">
        <v>35</v>
      </c>
      <c r="E1324" s="118" t="s">
        <v>1192</v>
      </c>
      <c r="F1324" s="147">
        <v>1</v>
      </c>
      <c r="G1324" s="120" t="s">
        <v>759</v>
      </c>
      <c r="H1324" s="148">
        <v>999000</v>
      </c>
      <c r="J1324"/>
      <c r="K1324"/>
      <c r="L1324" s="104"/>
    </row>
    <row r="1325" spans="1:12" x14ac:dyDescent="0.25">
      <c r="A1325" s="115">
        <v>1324</v>
      </c>
      <c r="B1325" s="145">
        <v>45582</v>
      </c>
      <c r="C1325" s="146">
        <v>2024</v>
      </c>
      <c r="D1325" s="118" t="s">
        <v>35</v>
      </c>
      <c r="E1325" s="118" t="s">
        <v>1193</v>
      </c>
      <c r="F1325" s="147">
        <v>1</v>
      </c>
      <c r="G1325" s="120" t="s">
        <v>759</v>
      </c>
      <c r="H1325" s="148">
        <v>140000</v>
      </c>
      <c r="J1325"/>
      <c r="K1325"/>
      <c r="L1325" s="104"/>
    </row>
    <row r="1326" spans="1:12" x14ac:dyDescent="0.25">
      <c r="A1326" s="115">
        <v>1325</v>
      </c>
      <c r="B1326" s="155">
        <v>45582</v>
      </c>
      <c r="C1326" s="146">
        <v>2024</v>
      </c>
      <c r="D1326" s="118" t="s">
        <v>35</v>
      </c>
      <c r="E1326" s="118" t="s">
        <v>1179</v>
      </c>
      <c r="F1326" s="147">
        <v>1</v>
      </c>
      <c r="G1326" s="120" t="s">
        <v>759</v>
      </c>
      <c r="H1326" s="148">
        <v>505000</v>
      </c>
      <c r="J1326"/>
      <c r="K1326"/>
      <c r="L1326" s="104"/>
    </row>
    <row r="1327" spans="1:12" x14ac:dyDescent="0.25">
      <c r="A1327" s="115">
        <v>1326</v>
      </c>
      <c r="B1327" s="155">
        <v>45582</v>
      </c>
      <c r="C1327" s="146">
        <v>2024</v>
      </c>
      <c r="D1327" s="118" t="s">
        <v>35</v>
      </c>
      <c r="E1327" s="118" t="s">
        <v>1192</v>
      </c>
      <c r="F1327" s="147">
        <v>1</v>
      </c>
      <c r="G1327" s="120" t="s">
        <v>759</v>
      </c>
      <c r="H1327" s="148">
        <v>750000</v>
      </c>
      <c r="J1327"/>
      <c r="K1327"/>
      <c r="L1327" s="104"/>
    </row>
    <row r="1328" spans="1:12" x14ac:dyDescent="0.25">
      <c r="A1328" s="115">
        <v>1327</v>
      </c>
      <c r="B1328" s="155">
        <v>45582</v>
      </c>
      <c r="C1328" s="146">
        <v>2024</v>
      </c>
      <c r="D1328" s="118" t="s">
        <v>35</v>
      </c>
      <c r="E1328" s="118" t="s">
        <v>953</v>
      </c>
      <c r="F1328" s="147">
        <v>1</v>
      </c>
      <c r="G1328" s="120" t="s">
        <v>759</v>
      </c>
      <c r="H1328" s="148">
        <v>430000</v>
      </c>
      <c r="J1328"/>
      <c r="K1328"/>
      <c r="L1328" s="104"/>
    </row>
    <row r="1329" spans="1:12" x14ac:dyDescent="0.25">
      <c r="A1329" s="115">
        <v>1328</v>
      </c>
      <c r="B1329" s="145">
        <v>45582</v>
      </c>
      <c r="C1329" s="146">
        <v>2024</v>
      </c>
      <c r="D1329" s="118" t="s">
        <v>35</v>
      </c>
      <c r="E1329" s="118" t="s">
        <v>1179</v>
      </c>
      <c r="F1329" s="147">
        <v>1</v>
      </c>
      <c r="G1329" s="120" t="s">
        <v>759</v>
      </c>
      <c r="H1329" s="148">
        <v>505000</v>
      </c>
      <c r="J1329"/>
      <c r="K1329"/>
      <c r="L1329" s="104"/>
    </row>
    <row r="1330" spans="1:12" x14ac:dyDescent="0.25">
      <c r="A1330" s="115">
        <v>1329</v>
      </c>
      <c r="B1330" s="145">
        <v>45582</v>
      </c>
      <c r="C1330" s="146">
        <v>2024</v>
      </c>
      <c r="D1330" s="118" t="s">
        <v>35</v>
      </c>
      <c r="E1330" s="118" t="s">
        <v>1194</v>
      </c>
      <c r="F1330" s="147">
        <v>1</v>
      </c>
      <c r="G1330" s="120" t="s">
        <v>759</v>
      </c>
      <c r="H1330" s="148">
        <v>180000</v>
      </c>
      <c r="J1330"/>
      <c r="K1330"/>
      <c r="L1330" s="104"/>
    </row>
    <row r="1331" spans="1:12" x14ac:dyDescent="0.25">
      <c r="A1331" s="115">
        <v>1330</v>
      </c>
      <c r="B1331" s="145">
        <v>45582</v>
      </c>
      <c r="C1331" s="146">
        <v>2024</v>
      </c>
      <c r="D1331" s="118" t="s">
        <v>35</v>
      </c>
      <c r="E1331" s="118" t="s">
        <v>1179</v>
      </c>
      <c r="F1331" s="147">
        <v>1</v>
      </c>
      <c r="G1331" s="120" t="s">
        <v>759</v>
      </c>
      <c r="H1331" s="148">
        <v>505000</v>
      </c>
      <c r="J1331"/>
      <c r="K1331"/>
      <c r="L1331" s="104"/>
    </row>
    <row r="1332" spans="1:12" x14ac:dyDescent="0.25">
      <c r="A1332" s="115">
        <v>1331</v>
      </c>
      <c r="B1332" s="145">
        <v>45582</v>
      </c>
      <c r="C1332" s="146">
        <v>2024</v>
      </c>
      <c r="D1332" s="118" t="s">
        <v>35</v>
      </c>
      <c r="E1332" s="118" t="s">
        <v>1154</v>
      </c>
      <c r="F1332" s="147">
        <v>1</v>
      </c>
      <c r="G1332" s="120" t="s">
        <v>759</v>
      </c>
      <c r="H1332" s="148">
        <v>193000</v>
      </c>
      <c r="J1332"/>
      <c r="K1332"/>
      <c r="L1332" s="104"/>
    </row>
    <row r="1333" spans="1:12" x14ac:dyDescent="0.25">
      <c r="A1333" s="115">
        <v>1332</v>
      </c>
      <c r="B1333" s="145">
        <v>45582</v>
      </c>
      <c r="C1333" s="146">
        <v>2024</v>
      </c>
      <c r="D1333" s="118" t="s">
        <v>35</v>
      </c>
      <c r="E1333" s="118" t="s">
        <v>1194</v>
      </c>
      <c r="F1333" s="147">
        <v>1</v>
      </c>
      <c r="G1333" s="120" t="s">
        <v>759</v>
      </c>
      <c r="H1333" s="148">
        <v>180000</v>
      </c>
      <c r="J1333"/>
      <c r="K1333"/>
      <c r="L1333" s="104"/>
    </row>
    <row r="1334" spans="1:12" x14ac:dyDescent="0.25">
      <c r="A1334" s="115">
        <v>1333</v>
      </c>
      <c r="B1334" s="145">
        <v>45582</v>
      </c>
      <c r="C1334" s="146">
        <v>2024</v>
      </c>
      <c r="D1334" s="118" t="s">
        <v>35</v>
      </c>
      <c r="E1334" s="118" t="s">
        <v>953</v>
      </c>
      <c r="F1334" s="147">
        <v>1</v>
      </c>
      <c r="G1334" s="120" t="s">
        <v>759</v>
      </c>
      <c r="H1334" s="148">
        <v>56000</v>
      </c>
      <c r="J1334"/>
      <c r="K1334"/>
      <c r="L1334" s="104"/>
    </row>
    <row r="1335" spans="1:12" x14ac:dyDescent="0.25">
      <c r="A1335" s="115">
        <v>1334</v>
      </c>
      <c r="B1335" s="145">
        <v>45582</v>
      </c>
      <c r="C1335" s="146">
        <v>2024</v>
      </c>
      <c r="D1335" s="118" t="s">
        <v>35</v>
      </c>
      <c r="E1335" s="118" t="s">
        <v>1179</v>
      </c>
      <c r="F1335" s="147">
        <v>1</v>
      </c>
      <c r="G1335" s="120" t="s">
        <v>759</v>
      </c>
      <c r="H1335" s="148">
        <v>505000</v>
      </c>
      <c r="J1335"/>
      <c r="K1335"/>
      <c r="L1335" s="104"/>
    </row>
    <row r="1336" spans="1:12" x14ac:dyDescent="0.25">
      <c r="A1336" s="115">
        <v>1335</v>
      </c>
      <c r="B1336" s="145">
        <v>45582</v>
      </c>
      <c r="C1336" s="146">
        <v>2024</v>
      </c>
      <c r="D1336" s="118" t="s">
        <v>35</v>
      </c>
      <c r="E1336" s="118" t="s">
        <v>1195</v>
      </c>
      <c r="F1336" s="147">
        <v>1</v>
      </c>
      <c r="G1336" s="120" t="s">
        <v>759</v>
      </c>
      <c r="H1336" s="148">
        <v>140000</v>
      </c>
      <c r="J1336"/>
      <c r="K1336"/>
      <c r="L1336" s="104"/>
    </row>
    <row r="1337" spans="1:12" x14ac:dyDescent="0.25">
      <c r="A1337" s="115">
        <v>1336</v>
      </c>
      <c r="B1337" s="145">
        <v>45582</v>
      </c>
      <c r="C1337" s="146">
        <v>2024</v>
      </c>
      <c r="D1337" s="118" t="s">
        <v>35</v>
      </c>
      <c r="E1337" s="118" t="s">
        <v>1196</v>
      </c>
      <c r="F1337" s="147">
        <v>1</v>
      </c>
      <c r="G1337" s="120" t="s">
        <v>759</v>
      </c>
      <c r="H1337" s="148">
        <v>486000</v>
      </c>
      <c r="J1337"/>
      <c r="K1337"/>
      <c r="L1337" s="104"/>
    </row>
    <row r="1338" spans="1:12" x14ac:dyDescent="0.25">
      <c r="A1338" s="115">
        <v>1337</v>
      </c>
      <c r="B1338" s="145">
        <v>45582</v>
      </c>
      <c r="C1338" s="146">
        <v>2024</v>
      </c>
      <c r="D1338" s="118" t="s">
        <v>35</v>
      </c>
      <c r="E1338" s="118" t="s">
        <v>1196</v>
      </c>
      <c r="F1338" s="147">
        <v>1</v>
      </c>
      <c r="G1338" s="120" t="s">
        <v>759</v>
      </c>
      <c r="H1338" s="148">
        <v>320000</v>
      </c>
      <c r="J1338"/>
      <c r="K1338"/>
      <c r="L1338" s="104"/>
    </row>
    <row r="1339" spans="1:12" x14ac:dyDescent="0.25">
      <c r="A1339" s="115">
        <v>1338</v>
      </c>
      <c r="B1339" s="145">
        <v>45582</v>
      </c>
      <c r="C1339" s="146">
        <v>2024</v>
      </c>
      <c r="D1339" s="118" t="s">
        <v>35</v>
      </c>
      <c r="E1339" s="118" t="s">
        <v>1192</v>
      </c>
      <c r="F1339" s="147">
        <v>1</v>
      </c>
      <c r="G1339" s="120" t="s">
        <v>759</v>
      </c>
      <c r="H1339" s="148">
        <v>750000</v>
      </c>
      <c r="J1339"/>
      <c r="K1339"/>
      <c r="L1339" s="104"/>
    </row>
    <row r="1340" spans="1:12" x14ac:dyDescent="0.25">
      <c r="A1340" s="115">
        <v>1339</v>
      </c>
      <c r="B1340" s="145">
        <v>45582</v>
      </c>
      <c r="C1340" s="146">
        <v>2024</v>
      </c>
      <c r="D1340" s="118" t="s">
        <v>35</v>
      </c>
      <c r="E1340" s="118" t="s">
        <v>953</v>
      </c>
      <c r="F1340" s="147">
        <v>1</v>
      </c>
      <c r="G1340" s="120" t="s">
        <v>759</v>
      </c>
      <c r="H1340" s="148">
        <v>430000</v>
      </c>
      <c r="J1340"/>
      <c r="K1340"/>
      <c r="L1340" s="104"/>
    </row>
    <row r="1341" spans="1:12" x14ac:dyDescent="0.25">
      <c r="A1341" s="115">
        <v>1340</v>
      </c>
      <c r="B1341" s="145">
        <v>45582</v>
      </c>
      <c r="C1341" s="146">
        <v>2024</v>
      </c>
      <c r="D1341" s="118" t="s">
        <v>35</v>
      </c>
      <c r="E1341" s="118" t="s">
        <v>1197</v>
      </c>
      <c r="F1341" s="147">
        <v>1</v>
      </c>
      <c r="G1341" s="120" t="s">
        <v>759</v>
      </c>
      <c r="H1341" s="148">
        <v>180000</v>
      </c>
      <c r="J1341"/>
      <c r="K1341"/>
      <c r="L1341" s="104"/>
    </row>
    <row r="1342" spans="1:12" x14ac:dyDescent="0.25">
      <c r="A1342" s="115">
        <v>1341</v>
      </c>
      <c r="B1342" s="145">
        <v>45582</v>
      </c>
      <c r="C1342" s="146">
        <v>2024</v>
      </c>
      <c r="D1342" s="118" t="s">
        <v>35</v>
      </c>
      <c r="E1342" s="118" t="s">
        <v>1192</v>
      </c>
      <c r="F1342" s="147">
        <v>1</v>
      </c>
      <c r="G1342" s="120" t="s">
        <v>759</v>
      </c>
      <c r="H1342" s="148">
        <v>943000</v>
      </c>
      <c r="J1342"/>
      <c r="K1342"/>
      <c r="L1342" s="104"/>
    </row>
    <row r="1343" spans="1:12" x14ac:dyDescent="0.25">
      <c r="A1343" s="115">
        <v>1342</v>
      </c>
      <c r="B1343" s="116">
        <v>45583</v>
      </c>
      <c r="C1343" s="117">
        <v>2024</v>
      </c>
      <c r="D1343" s="118" t="s">
        <v>35</v>
      </c>
      <c r="E1343" s="119" t="s">
        <v>610</v>
      </c>
      <c r="F1343" s="120">
        <v>100</v>
      </c>
      <c r="G1343" s="120" t="s">
        <v>759</v>
      </c>
      <c r="H1343" s="121">
        <v>20850</v>
      </c>
      <c r="J1343"/>
      <c r="K1343"/>
      <c r="L1343" s="104"/>
    </row>
    <row r="1344" spans="1:12" x14ac:dyDescent="0.25">
      <c r="A1344" s="115">
        <v>1343</v>
      </c>
      <c r="B1344" s="116">
        <v>45583</v>
      </c>
      <c r="C1344" s="117">
        <v>2024</v>
      </c>
      <c r="D1344" s="118" t="s">
        <v>851</v>
      </c>
      <c r="E1344" s="119" t="s">
        <v>1198</v>
      </c>
      <c r="F1344" s="120">
        <v>101</v>
      </c>
      <c r="G1344" s="120" t="s">
        <v>759</v>
      </c>
      <c r="H1344" s="121">
        <v>95854</v>
      </c>
      <c r="J1344"/>
      <c r="K1344"/>
      <c r="L1344" s="104"/>
    </row>
    <row r="1345" spans="1:12" x14ac:dyDescent="0.25">
      <c r="A1345" s="115">
        <v>1344</v>
      </c>
      <c r="B1345" s="116">
        <v>45586</v>
      </c>
      <c r="C1345" s="117">
        <v>2024</v>
      </c>
      <c r="D1345" s="118" t="s">
        <v>35</v>
      </c>
      <c r="E1345" s="119" t="s">
        <v>1199</v>
      </c>
      <c r="F1345" s="120">
        <v>1</v>
      </c>
      <c r="G1345" s="120" t="s">
        <v>759</v>
      </c>
      <c r="H1345" s="121">
        <v>48000</v>
      </c>
      <c r="J1345"/>
      <c r="K1345"/>
      <c r="L1345" s="104"/>
    </row>
    <row r="1346" spans="1:12" x14ac:dyDescent="0.25">
      <c r="A1346" s="115">
        <v>1345</v>
      </c>
      <c r="B1346" s="116">
        <v>45588</v>
      </c>
      <c r="C1346" s="117">
        <v>2024</v>
      </c>
      <c r="D1346" s="118" t="s">
        <v>833</v>
      </c>
      <c r="E1346" s="119" t="s">
        <v>425</v>
      </c>
      <c r="F1346" s="120">
        <v>1</v>
      </c>
      <c r="G1346" s="120" t="s">
        <v>759</v>
      </c>
      <c r="H1346" s="121">
        <v>46982.25</v>
      </c>
      <c r="J1346"/>
      <c r="K1346"/>
      <c r="L1346" s="104"/>
    </row>
    <row r="1347" spans="1:12" x14ac:dyDescent="0.25">
      <c r="A1347" s="115">
        <v>1346</v>
      </c>
      <c r="B1347" s="116">
        <v>45588</v>
      </c>
      <c r="C1347" s="117">
        <v>2024</v>
      </c>
      <c r="D1347" s="118" t="s">
        <v>833</v>
      </c>
      <c r="E1347" s="119" t="s">
        <v>425</v>
      </c>
      <c r="F1347" s="120">
        <v>1</v>
      </c>
      <c r="G1347" s="120" t="s">
        <v>759</v>
      </c>
      <c r="H1347" s="121">
        <v>46982.25</v>
      </c>
      <c r="J1347"/>
      <c r="K1347"/>
      <c r="L1347" s="104"/>
    </row>
    <row r="1348" spans="1:12" x14ac:dyDescent="0.25">
      <c r="A1348" s="115">
        <v>1347</v>
      </c>
      <c r="B1348" s="116">
        <v>45588</v>
      </c>
      <c r="C1348" s="117">
        <v>2024</v>
      </c>
      <c r="D1348" s="118" t="s">
        <v>833</v>
      </c>
      <c r="E1348" s="119" t="s">
        <v>425</v>
      </c>
      <c r="F1348" s="120">
        <v>1</v>
      </c>
      <c r="G1348" s="120" t="s">
        <v>759</v>
      </c>
      <c r="H1348" s="121">
        <v>46982.25</v>
      </c>
      <c r="J1348"/>
      <c r="K1348"/>
      <c r="L1348" s="104"/>
    </row>
    <row r="1349" spans="1:12" x14ac:dyDescent="0.25">
      <c r="A1349" s="115">
        <v>1348</v>
      </c>
      <c r="B1349" s="116">
        <v>45588</v>
      </c>
      <c r="C1349" s="117">
        <v>2024</v>
      </c>
      <c r="D1349" s="118" t="s">
        <v>833</v>
      </c>
      <c r="E1349" s="119" t="s">
        <v>425</v>
      </c>
      <c r="F1349" s="120">
        <v>1</v>
      </c>
      <c r="G1349" s="120" t="s">
        <v>759</v>
      </c>
      <c r="H1349" s="121">
        <v>46982.25</v>
      </c>
      <c r="J1349"/>
      <c r="K1349"/>
      <c r="L1349" s="104"/>
    </row>
    <row r="1350" spans="1:12" x14ac:dyDescent="0.25">
      <c r="A1350" s="115">
        <v>1349</v>
      </c>
      <c r="B1350" s="167">
        <v>45589</v>
      </c>
      <c r="C1350" s="117">
        <v>2024</v>
      </c>
      <c r="D1350" s="119" t="s">
        <v>35</v>
      </c>
      <c r="E1350" s="119" t="s">
        <v>211</v>
      </c>
      <c r="F1350" s="120">
        <v>5</v>
      </c>
      <c r="G1350" s="120" t="s">
        <v>759</v>
      </c>
      <c r="H1350" s="168">
        <v>105000</v>
      </c>
      <c r="J1350"/>
      <c r="K1350"/>
      <c r="L1350" s="104"/>
    </row>
    <row r="1351" spans="1:12" x14ac:dyDescent="0.25">
      <c r="A1351" s="115">
        <v>1350</v>
      </c>
      <c r="B1351" s="167">
        <v>45589</v>
      </c>
      <c r="C1351" s="117">
        <v>2024</v>
      </c>
      <c r="D1351" s="119" t="s">
        <v>35</v>
      </c>
      <c r="E1351" s="119" t="s">
        <v>211</v>
      </c>
      <c r="F1351" s="120">
        <v>3</v>
      </c>
      <c r="G1351" s="120" t="s">
        <v>759</v>
      </c>
      <c r="H1351" s="168">
        <v>58500</v>
      </c>
      <c r="J1351"/>
      <c r="K1351"/>
      <c r="L1351" s="104"/>
    </row>
    <row r="1352" spans="1:12" x14ac:dyDescent="0.25">
      <c r="A1352" s="115">
        <v>1351</v>
      </c>
      <c r="B1352" s="167">
        <v>45589</v>
      </c>
      <c r="C1352" s="117">
        <v>2024</v>
      </c>
      <c r="D1352" s="119" t="s">
        <v>35</v>
      </c>
      <c r="E1352" s="119" t="s">
        <v>211</v>
      </c>
      <c r="F1352" s="120">
        <v>2</v>
      </c>
      <c r="G1352" s="120" t="s">
        <v>759</v>
      </c>
      <c r="H1352" s="168">
        <v>39000</v>
      </c>
      <c r="J1352"/>
      <c r="K1352"/>
      <c r="L1352" s="104"/>
    </row>
    <row r="1353" spans="1:12" x14ac:dyDescent="0.25">
      <c r="A1353" s="115">
        <v>1352</v>
      </c>
      <c r="B1353" s="167">
        <v>45589</v>
      </c>
      <c r="C1353" s="117">
        <v>2024</v>
      </c>
      <c r="D1353" s="119" t="s">
        <v>35</v>
      </c>
      <c r="E1353" s="119" t="s">
        <v>761</v>
      </c>
      <c r="F1353" s="120">
        <v>4</v>
      </c>
      <c r="G1353" s="120" t="s">
        <v>759</v>
      </c>
      <c r="H1353" s="168">
        <v>9000000</v>
      </c>
      <c r="J1353"/>
      <c r="K1353"/>
      <c r="L1353" s="104"/>
    </row>
    <row r="1354" spans="1:12" x14ac:dyDescent="0.25">
      <c r="A1354" s="115">
        <v>1353</v>
      </c>
      <c r="B1354" s="167">
        <v>45589</v>
      </c>
      <c r="C1354" s="117">
        <v>2024</v>
      </c>
      <c r="D1354" s="119" t="s">
        <v>35</v>
      </c>
      <c r="E1354" s="119" t="s">
        <v>739</v>
      </c>
      <c r="F1354" s="120">
        <v>3</v>
      </c>
      <c r="G1354" s="120" t="s">
        <v>759</v>
      </c>
      <c r="H1354" s="168">
        <v>562500</v>
      </c>
      <c r="J1354"/>
      <c r="K1354"/>
      <c r="L1354" s="104"/>
    </row>
    <row r="1355" spans="1:12" x14ac:dyDescent="0.25">
      <c r="A1355" s="115">
        <v>1354</v>
      </c>
      <c r="B1355" s="167">
        <v>45589</v>
      </c>
      <c r="C1355" s="117">
        <v>2024</v>
      </c>
      <c r="D1355" s="119" t="s">
        <v>35</v>
      </c>
      <c r="E1355" s="119" t="s">
        <v>790</v>
      </c>
      <c r="F1355" s="120">
        <v>1</v>
      </c>
      <c r="G1355" s="120" t="s">
        <v>759</v>
      </c>
      <c r="H1355" s="168">
        <v>150000</v>
      </c>
      <c r="J1355"/>
      <c r="K1355"/>
      <c r="L1355" s="104"/>
    </row>
    <row r="1356" spans="1:12" x14ac:dyDescent="0.25">
      <c r="A1356" s="115">
        <v>1355</v>
      </c>
      <c r="B1356" s="167">
        <v>45589</v>
      </c>
      <c r="C1356" s="117">
        <v>2024</v>
      </c>
      <c r="D1356" s="119" t="s">
        <v>1118</v>
      </c>
      <c r="E1356" s="119" t="s">
        <v>1200</v>
      </c>
      <c r="F1356" s="120">
        <v>104</v>
      </c>
      <c r="G1356" s="120" t="s">
        <v>759</v>
      </c>
      <c r="H1356" s="168">
        <v>1664000</v>
      </c>
      <c r="J1356"/>
      <c r="K1356"/>
      <c r="L1356" s="104"/>
    </row>
    <row r="1357" spans="1:12" x14ac:dyDescent="0.25">
      <c r="A1357" s="115">
        <v>1356</v>
      </c>
      <c r="B1357" s="167">
        <v>45589</v>
      </c>
      <c r="C1357" s="117">
        <v>2024</v>
      </c>
      <c r="D1357" s="119" t="s">
        <v>1118</v>
      </c>
      <c r="E1357" s="119" t="s">
        <v>1200</v>
      </c>
      <c r="F1357" s="120">
        <v>104</v>
      </c>
      <c r="G1357" s="120" t="s">
        <v>759</v>
      </c>
      <c r="H1357" s="168">
        <v>1664000</v>
      </c>
      <c r="J1357"/>
      <c r="K1357"/>
      <c r="L1357" s="104"/>
    </row>
    <row r="1358" spans="1:12" x14ac:dyDescent="0.25">
      <c r="A1358" s="115">
        <v>1357</v>
      </c>
      <c r="B1358" s="167">
        <v>45589</v>
      </c>
      <c r="C1358" s="117">
        <v>2024</v>
      </c>
      <c r="D1358" s="119" t="s">
        <v>35</v>
      </c>
      <c r="E1358" s="119" t="s">
        <v>1201</v>
      </c>
      <c r="F1358" s="120">
        <v>10</v>
      </c>
      <c r="G1358" s="120" t="s">
        <v>759</v>
      </c>
      <c r="H1358" s="168">
        <v>150000</v>
      </c>
      <c r="J1358"/>
      <c r="K1358"/>
      <c r="L1358" s="104"/>
    </row>
    <row r="1359" spans="1:12" x14ac:dyDescent="0.25">
      <c r="A1359" s="115">
        <v>1358</v>
      </c>
      <c r="B1359" s="167">
        <v>45590</v>
      </c>
      <c r="C1359" s="117">
        <v>2024</v>
      </c>
      <c r="D1359" s="119" t="s">
        <v>259</v>
      </c>
      <c r="E1359" s="119" t="s">
        <v>828</v>
      </c>
      <c r="F1359" s="120">
        <v>2</v>
      </c>
      <c r="G1359" s="120" t="s">
        <v>759</v>
      </c>
      <c r="H1359" s="168">
        <v>128900</v>
      </c>
      <c r="J1359"/>
      <c r="K1359"/>
      <c r="L1359" s="104"/>
    </row>
    <row r="1360" spans="1:12" x14ac:dyDescent="0.25">
      <c r="A1360" s="115">
        <v>1359</v>
      </c>
      <c r="B1360" s="116">
        <v>45590</v>
      </c>
      <c r="C1360" s="117">
        <v>2024</v>
      </c>
      <c r="D1360" s="118" t="s">
        <v>833</v>
      </c>
      <c r="E1360" s="119" t="s">
        <v>589</v>
      </c>
      <c r="F1360" s="120">
        <v>9</v>
      </c>
      <c r="G1360" s="120" t="s">
        <v>759</v>
      </c>
      <c r="H1360" s="121">
        <v>2934000</v>
      </c>
      <c r="J1360"/>
      <c r="K1360"/>
      <c r="L1360" s="104"/>
    </row>
    <row r="1361" spans="1:12" x14ac:dyDescent="0.25">
      <c r="A1361" s="115">
        <v>1360</v>
      </c>
      <c r="B1361" s="116">
        <v>45590</v>
      </c>
      <c r="C1361" s="117">
        <v>2024</v>
      </c>
      <c r="D1361" s="118" t="s">
        <v>833</v>
      </c>
      <c r="E1361" s="119" t="s">
        <v>589</v>
      </c>
      <c r="F1361" s="120">
        <v>7</v>
      </c>
      <c r="G1361" s="120" t="s">
        <v>759</v>
      </c>
      <c r="H1361" s="121">
        <v>1645000</v>
      </c>
      <c r="J1361"/>
      <c r="K1361"/>
      <c r="L1361" s="104"/>
    </row>
    <row r="1362" spans="1:12" x14ac:dyDescent="0.25">
      <c r="A1362" s="115">
        <v>1361</v>
      </c>
      <c r="B1362" s="116">
        <v>45590</v>
      </c>
      <c r="C1362" s="117">
        <v>2024</v>
      </c>
      <c r="D1362" s="118" t="s">
        <v>833</v>
      </c>
      <c r="E1362" s="119" t="s">
        <v>589</v>
      </c>
      <c r="F1362" s="120">
        <v>15</v>
      </c>
      <c r="G1362" s="120" t="s">
        <v>759</v>
      </c>
      <c r="H1362" s="121">
        <v>607500</v>
      </c>
      <c r="J1362"/>
      <c r="K1362"/>
      <c r="L1362" s="104"/>
    </row>
    <row r="1363" spans="1:12" x14ac:dyDescent="0.25">
      <c r="A1363" s="115">
        <v>1362</v>
      </c>
      <c r="B1363" s="116">
        <v>45590</v>
      </c>
      <c r="C1363" s="117">
        <v>2024</v>
      </c>
      <c r="D1363" s="118" t="s">
        <v>833</v>
      </c>
      <c r="E1363" s="119" t="s">
        <v>589</v>
      </c>
      <c r="F1363" s="120">
        <v>15</v>
      </c>
      <c r="G1363" s="120" t="s">
        <v>759</v>
      </c>
      <c r="H1363" s="121">
        <v>693750</v>
      </c>
      <c r="J1363"/>
      <c r="K1363"/>
      <c r="L1363" s="104"/>
    </row>
    <row r="1364" spans="1:12" x14ac:dyDescent="0.25">
      <c r="A1364" s="115">
        <v>1363</v>
      </c>
      <c r="B1364" s="116">
        <v>45590</v>
      </c>
      <c r="C1364" s="117">
        <v>2024</v>
      </c>
      <c r="D1364" s="118" t="s">
        <v>833</v>
      </c>
      <c r="E1364" s="119" t="s">
        <v>299</v>
      </c>
      <c r="F1364" s="120">
        <v>72</v>
      </c>
      <c r="G1364" s="120" t="s">
        <v>759</v>
      </c>
      <c r="H1364" s="121">
        <v>460800</v>
      </c>
      <c r="J1364"/>
      <c r="K1364"/>
      <c r="L1364" s="104"/>
    </row>
    <row r="1365" spans="1:12" x14ac:dyDescent="0.25">
      <c r="A1365" s="115">
        <v>1364</v>
      </c>
      <c r="B1365" s="167">
        <v>45590</v>
      </c>
      <c r="C1365" s="117">
        <v>2024</v>
      </c>
      <c r="D1365" s="119" t="s">
        <v>833</v>
      </c>
      <c r="E1365" s="119" t="s">
        <v>1202</v>
      </c>
      <c r="F1365" s="120">
        <v>2</v>
      </c>
      <c r="G1365" s="120" t="s">
        <v>759</v>
      </c>
      <c r="H1365" s="168">
        <v>14000</v>
      </c>
      <c r="J1365"/>
      <c r="K1365"/>
      <c r="L1365" s="104"/>
    </row>
    <row r="1366" spans="1:12" x14ac:dyDescent="0.25">
      <c r="A1366" s="115">
        <v>1365</v>
      </c>
      <c r="B1366" s="167">
        <v>45590</v>
      </c>
      <c r="C1366" s="117">
        <v>2024</v>
      </c>
      <c r="D1366" s="119" t="s">
        <v>259</v>
      </c>
      <c r="E1366" s="119" t="s">
        <v>1203</v>
      </c>
      <c r="F1366" s="120">
        <v>1</v>
      </c>
      <c r="G1366" s="120" t="s">
        <v>759</v>
      </c>
      <c r="H1366" s="168">
        <v>69500</v>
      </c>
      <c r="J1366"/>
      <c r="K1366"/>
      <c r="L1366" s="104"/>
    </row>
    <row r="1367" spans="1:12" x14ac:dyDescent="0.25">
      <c r="A1367" s="115">
        <v>1366</v>
      </c>
      <c r="B1367" s="116">
        <v>45590</v>
      </c>
      <c r="C1367" s="117">
        <v>2024</v>
      </c>
      <c r="D1367" s="118" t="s">
        <v>1118</v>
      </c>
      <c r="E1367" s="119" t="s">
        <v>576</v>
      </c>
      <c r="F1367" s="120">
        <v>1</v>
      </c>
      <c r="G1367" s="120" t="s">
        <v>759</v>
      </c>
      <c r="H1367" s="121">
        <v>49862.5</v>
      </c>
      <c r="J1367"/>
      <c r="K1367"/>
      <c r="L1367" s="104"/>
    </row>
    <row r="1368" spans="1:12" x14ac:dyDescent="0.25">
      <c r="A1368" s="115">
        <v>1367</v>
      </c>
      <c r="B1368" s="116">
        <v>45590</v>
      </c>
      <c r="C1368" s="117">
        <v>2024</v>
      </c>
      <c r="D1368" s="118" t="s">
        <v>1118</v>
      </c>
      <c r="E1368" s="119" t="s">
        <v>576</v>
      </c>
      <c r="F1368" s="120">
        <v>1</v>
      </c>
      <c r="G1368" s="120" t="s">
        <v>759</v>
      </c>
      <c r="H1368" s="121">
        <v>49862.5</v>
      </c>
      <c r="J1368"/>
      <c r="K1368"/>
      <c r="L1368" s="104"/>
    </row>
    <row r="1369" spans="1:12" x14ac:dyDescent="0.25">
      <c r="A1369" s="115">
        <v>1368</v>
      </c>
      <c r="B1369" s="116">
        <v>45590</v>
      </c>
      <c r="C1369" s="117">
        <v>2024</v>
      </c>
      <c r="D1369" s="118" t="s">
        <v>1118</v>
      </c>
      <c r="E1369" s="119" t="s">
        <v>576</v>
      </c>
      <c r="F1369" s="120">
        <v>1</v>
      </c>
      <c r="G1369" s="120" t="s">
        <v>759</v>
      </c>
      <c r="H1369" s="121">
        <v>49862.5</v>
      </c>
      <c r="J1369"/>
      <c r="K1369"/>
      <c r="L1369" s="104"/>
    </row>
    <row r="1370" spans="1:12" x14ac:dyDescent="0.25">
      <c r="A1370" s="115">
        <v>1369</v>
      </c>
      <c r="B1370" s="116">
        <v>45590</v>
      </c>
      <c r="C1370" s="117">
        <v>2024</v>
      </c>
      <c r="D1370" s="118" t="s">
        <v>1118</v>
      </c>
      <c r="E1370" s="119" t="s">
        <v>576</v>
      </c>
      <c r="F1370" s="120">
        <v>1</v>
      </c>
      <c r="G1370" s="120" t="s">
        <v>759</v>
      </c>
      <c r="H1370" s="121">
        <v>49862.5</v>
      </c>
      <c r="J1370"/>
      <c r="K1370"/>
      <c r="L1370" s="104"/>
    </row>
    <row r="1371" spans="1:12" x14ac:dyDescent="0.25">
      <c r="A1371" s="115">
        <v>1370</v>
      </c>
      <c r="B1371" s="167">
        <v>45591</v>
      </c>
      <c r="C1371" s="117">
        <v>2024</v>
      </c>
      <c r="D1371" s="119" t="s">
        <v>35</v>
      </c>
      <c r="E1371" s="119" t="s">
        <v>1204</v>
      </c>
      <c r="F1371" s="120">
        <v>1</v>
      </c>
      <c r="G1371" s="120" t="s">
        <v>759</v>
      </c>
      <c r="H1371" s="168">
        <v>110000</v>
      </c>
      <c r="J1371"/>
      <c r="K1371"/>
      <c r="L1371" s="104"/>
    </row>
    <row r="1372" spans="1:12" x14ac:dyDescent="0.25">
      <c r="A1372" s="115">
        <v>1371</v>
      </c>
      <c r="B1372" s="167">
        <v>45591</v>
      </c>
      <c r="C1372" s="117">
        <v>2024</v>
      </c>
      <c r="D1372" s="119" t="s">
        <v>833</v>
      </c>
      <c r="E1372" s="119" t="s">
        <v>1205</v>
      </c>
      <c r="F1372" s="120">
        <v>132</v>
      </c>
      <c r="G1372" s="120" t="s">
        <v>759</v>
      </c>
      <c r="H1372" s="168">
        <v>82500</v>
      </c>
      <c r="J1372"/>
      <c r="K1372"/>
      <c r="L1372" s="104"/>
    </row>
    <row r="1373" spans="1:12" x14ac:dyDescent="0.25">
      <c r="A1373" s="115">
        <v>1372</v>
      </c>
      <c r="B1373" s="167">
        <v>45591</v>
      </c>
      <c r="C1373" s="117">
        <v>2024</v>
      </c>
      <c r="D1373" s="119" t="s">
        <v>35</v>
      </c>
      <c r="E1373" s="119" t="s">
        <v>1206</v>
      </c>
      <c r="F1373" s="120">
        <v>1</v>
      </c>
      <c r="G1373" s="120" t="s">
        <v>759</v>
      </c>
      <c r="H1373" s="168">
        <v>200000</v>
      </c>
      <c r="J1373"/>
      <c r="K1373"/>
      <c r="L1373" s="104"/>
    </row>
    <row r="1374" spans="1:12" x14ac:dyDescent="0.25">
      <c r="A1374" s="115">
        <v>1373</v>
      </c>
      <c r="B1374" s="167">
        <v>45591</v>
      </c>
      <c r="C1374" s="117">
        <v>2024</v>
      </c>
      <c r="D1374" s="119" t="s">
        <v>833</v>
      </c>
      <c r="E1374" s="119" t="s">
        <v>299</v>
      </c>
      <c r="F1374" s="120">
        <v>72</v>
      </c>
      <c r="G1374" s="120" t="s">
        <v>759</v>
      </c>
      <c r="H1374" s="168">
        <v>460800</v>
      </c>
      <c r="J1374"/>
      <c r="K1374"/>
      <c r="L1374" s="104"/>
    </row>
    <row r="1375" spans="1:12" x14ac:dyDescent="0.25">
      <c r="A1375" s="115">
        <v>1374</v>
      </c>
      <c r="B1375" s="167">
        <v>45591</v>
      </c>
      <c r="C1375" s="117">
        <v>2024</v>
      </c>
      <c r="D1375" s="119" t="s">
        <v>851</v>
      </c>
      <c r="E1375" s="119" t="s">
        <v>101</v>
      </c>
      <c r="F1375" s="120">
        <v>2</v>
      </c>
      <c r="G1375" s="120" t="s">
        <v>759</v>
      </c>
      <c r="H1375" s="168">
        <v>9294</v>
      </c>
      <c r="J1375"/>
      <c r="K1375"/>
      <c r="L1375" s="104"/>
    </row>
    <row r="1376" spans="1:12" x14ac:dyDescent="0.25">
      <c r="A1376" s="115">
        <v>1375</v>
      </c>
      <c r="B1376" s="167">
        <v>45591</v>
      </c>
      <c r="C1376" s="117">
        <v>2024</v>
      </c>
      <c r="D1376" s="119" t="s">
        <v>833</v>
      </c>
      <c r="E1376" s="119" t="s">
        <v>1207</v>
      </c>
      <c r="F1376" s="120">
        <v>2</v>
      </c>
      <c r="G1376" s="120" t="s">
        <v>759</v>
      </c>
      <c r="H1376" s="168">
        <v>170000</v>
      </c>
      <c r="J1376"/>
      <c r="K1376"/>
      <c r="L1376" s="104"/>
    </row>
    <row r="1377" spans="1:12" x14ac:dyDescent="0.25">
      <c r="A1377" s="115">
        <v>1376</v>
      </c>
      <c r="B1377" s="167">
        <v>45591</v>
      </c>
      <c r="C1377" s="117">
        <v>2024</v>
      </c>
      <c r="D1377" s="119" t="s">
        <v>35</v>
      </c>
      <c r="E1377" s="119" t="s">
        <v>1208</v>
      </c>
      <c r="F1377" s="120">
        <v>10</v>
      </c>
      <c r="G1377" s="120" t="s">
        <v>759</v>
      </c>
      <c r="H1377" s="168">
        <v>30000</v>
      </c>
      <c r="J1377"/>
      <c r="K1377"/>
      <c r="L1377" s="104"/>
    </row>
    <row r="1378" spans="1:12" x14ac:dyDescent="0.25">
      <c r="A1378" s="115">
        <v>1377</v>
      </c>
      <c r="B1378" s="167">
        <v>45591</v>
      </c>
      <c r="C1378" s="117">
        <v>2024</v>
      </c>
      <c r="D1378" s="119" t="s">
        <v>851</v>
      </c>
      <c r="E1378" s="119" t="s">
        <v>1209</v>
      </c>
      <c r="F1378" s="120">
        <v>3</v>
      </c>
      <c r="G1378" s="120" t="s">
        <v>759</v>
      </c>
      <c r="H1378" s="168">
        <v>32067</v>
      </c>
      <c r="J1378"/>
      <c r="K1378"/>
      <c r="L1378" s="104"/>
    </row>
    <row r="1379" spans="1:12" x14ac:dyDescent="0.25">
      <c r="A1379" s="115">
        <v>1378</v>
      </c>
      <c r="B1379" s="167">
        <v>45591</v>
      </c>
      <c r="C1379" s="117">
        <v>2024</v>
      </c>
      <c r="D1379" s="119" t="s">
        <v>833</v>
      </c>
      <c r="E1379" s="119" t="s">
        <v>1210</v>
      </c>
      <c r="F1379" s="120">
        <v>10</v>
      </c>
      <c r="G1379" s="120" t="s">
        <v>759</v>
      </c>
      <c r="H1379" s="168">
        <v>456910</v>
      </c>
      <c r="J1379"/>
      <c r="K1379"/>
      <c r="L1379" s="104"/>
    </row>
    <row r="1380" spans="1:12" x14ac:dyDescent="0.25">
      <c r="A1380" s="115">
        <v>1379</v>
      </c>
      <c r="B1380" s="167">
        <v>45591</v>
      </c>
      <c r="C1380" s="117">
        <v>2024</v>
      </c>
      <c r="D1380" s="119" t="s">
        <v>851</v>
      </c>
      <c r="E1380" s="119" t="s">
        <v>1211</v>
      </c>
      <c r="F1380" s="120">
        <v>1</v>
      </c>
      <c r="G1380" s="120" t="s">
        <v>759</v>
      </c>
      <c r="H1380" s="168">
        <v>47483</v>
      </c>
      <c r="J1380"/>
      <c r="K1380"/>
      <c r="L1380" s="104"/>
    </row>
    <row r="1381" spans="1:12" x14ac:dyDescent="0.25">
      <c r="A1381" s="115">
        <v>1380</v>
      </c>
      <c r="B1381" s="167">
        <v>45591</v>
      </c>
      <c r="C1381" s="117">
        <v>2024</v>
      </c>
      <c r="D1381" s="119" t="s">
        <v>851</v>
      </c>
      <c r="E1381" s="119" t="s">
        <v>1212</v>
      </c>
      <c r="F1381" s="120">
        <v>1</v>
      </c>
      <c r="G1381" s="120" t="s">
        <v>759</v>
      </c>
      <c r="H1381" s="168">
        <v>47483</v>
      </c>
      <c r="J1381"/>
      <c r="K1381"/>
      <c r="L1381" s="104"/>
    </row>
    <row r="1382" spans="1:12" x14ac:dyDescent="0.25">
      <c r="A1382" s="115">
        <v>1381</v>
      </c>
      <c r="B1382" s="167">
        <v>45591</v>
      </c>
      <c r="C1382" s="117">
        <v>2024</v>
      </c>
      <c r="D1382" s="119" t="s">
        <v>851</v>
      </c>
      <c r="E1382" s="119" t="s">
        <v>1213</v>
      </c>
      <c r="F1382" s="120">
        <v>1</v>
      </c>
      <c r="G1382" s="120" t="s">
        <v>759</v>
      </c>
      <c r="H1382" s="168">
        <v>47483</v>
      </c>
      <c r="J1382"/>
      <c r="K1382"/>
      <c r="L1382" s="104"/>
    </row>
    <row r="1383" spans="1:12" x14ac:dyDescent="0.25">
      <c r="A1383" s="115">
        <v>1382</v>
      </c>
      <c r="B1383" s="167">
        <v>45591</v>
      </c>
      <c r="C1383" s="117">
        <v>2024</v>
      </c>
      <c r="D1383" s="119" t="s">
        <v>851</v>
      </c>
      <c r="E1383" s="119" t="s">
        <v>1214</v>
      </c>
      <c r="F1383" s="120">
        <v>1</v>
      </c>
      <c r="G1383" s="120" t="s">
        <v>759</v>
      </c>
      <c r="H1383" s="168">
        <v>47483</v>
      </c>
      <c r="J1383"/>
      <c r="K1383"/>
      <c r="L1383" s="104"/>
    </row>
    <row r="1384" spans="1:12" x14ac:dyDescent="0.25">
      <c r="A1384" s="115">
        <v>1383</v>
      </c>
      <c r="B1384" s="167">
        <v>45591</v>
      </c>
      <c r="C1384" s="117">
        <v>2024</v>
      </c>
      <c r="D1384" s="119" t="s">
        <v>35</v>
      </c>
      <c r="E1384" s="119" t="s">
        <v>1090</v>
      </c>
      <c r="F1384" s="120">
        <v>1</v>
      </c>
      <c r="G1384" s="120" t="s">
        <v>759</v>
      </c>
      <c r="H1384" s="168">
        <v>692000</v>
      </c>
      <c r="J1384"/>
      <c r="K1384"/>
      <c r="L1384" s="104"/>
    </row>
    <row r="1385" spans="1:12" x14ac:dyDescent="0.25">
      <c r="A1385" s="115">
        <v>1384</v>
      </c>
      <c r="B1385" s="116">
        <v>45593</v>
      </c>
      <c r="C1385" s="117">
        <v>2024</v>
      </c>
      <c r="D1385" s="118" t="s">
        <v>833</v>
      </c>
      <c r="E1385" s="119" t="s">
        <v>175</v>
      </c>
      <c r="F1385" s="120">
        <v>75</v>
      </c>
      <c r="G1385" s="120" t="s">
        <v>759</v>
      </c>
      <c r="H1385" s="121">
        <v>948750</v>
      </c>
      <c r="J1385"/>
      <c r="K1385"/>
      <c r="L1385" s="104"/>
    </row>
    <row r="1386" spans="1:12" x14ac:dyDescent="0.25">
      <c r="A1386" s="115">
        <v>1385</v>
      </c>
      <c r="B1386" s="116">
        <v>45593</v>
      </c>
      <c r="C1386" s="117">
        <v>2024</v>
      </c>
      <c r="D1386" s="118" t="s">
        <v>851</v>
      </c>
      <c r="E1386" s="119" t="s">
        <v>1215</v>
      </c>
      <c r="F1386" s="120">
        <v>1</v>
      </c>
      <c r="G1386" s="120" t="s">
        <v>759</v>
      </c>
      <c r="H1386" s="121">
        <v>10900</v>
      </c>
      <c r="J1386"/>
      <c r="K1386"/>
      <c r="L1386" s="104"/>
    </row>
    <row r="1387" spans="1:12" x14ac:dyDescent="0.25">
      <c r="A1387" s="115">
        <v>1386</v>
      </c>
      <c r="B1387" s="116">
        <v>45593</v>
      </c>
      <c r="C1387" s="117">
        <v>2024</v>
      </c>
      <c r="D1387" s="118" t="s">
        <v>35</v>
      </c>
      <c r="E1387" s="119" t="s">
        <v>1191</v>
      </c>
      <c r="F1387" s="120">
        <v>20</v>
      </c>
      <c r="G1387" s="120" t="s">
        <v>759</v>
      </c>
      <c r="H1387" s="121">
        <v>196000</v>
      </c>
      <c r="J1387"/>
      <c r="K1387"/>
      <c r="L1387" s="104"/>
    </row>
    <row r="1388" spans="1:12" x14ac:dyDescent="0.25">
      <c r="A1388" s="115">
        <v>1387</v>
      </c>
      <c r="B1388" s="116">
        <v>45593</v>
      </c>
      <c r="C1388" s="117">
        <v>2024</v>
      </c>
      <c r="D1388" s="118" t="s">
        <v>833</v>
      </c>
      <c r="E1388" s="119" t="s">
        <v>495</v>
      </c>
      <c r="F1388" s="120">
        <v>10</v>
      </c>
      <c r="G1388" s="120" t="s">
        <v>759</v>
      </c>
      <c r="H1388" s="121">
        <v>454900</v>
      </c>
      <c r="J1388"/>
      <c r="K1388"/>
      <c r="L1388" s="104"/>
    </row>
    <row r="1389" spans="1:12" x14ac:dyDescent="0.25">
      <c r="A1389" s="115">
        <v>1388</v>
      </c>
      <c r="B1389" s="167">
        <v>45594</v>
      </c>
      <c r="C1389" s="117">
        <v>2024</v>
      </c>
      <c r="D1389" s="119" t="s">
        <v>35</v>
      </c>
      <c r="E1389" s="119" t="s">
        <v>761</v>
      </c>
      <c r="F1389" s="120">
        <v>4</v>
      </c>
      <c r="G1389" s="120" t="s">
        <v>759</v>
      </c>
      <c r="H1389" s="168">
        <v>9000000</v>
      </c>
      <c r="J1389"/>
      <c r="K1389"/>
      <c r="L1389" s="104"/>
    </row>
    <row r="1390" spans="1:12" x14ac:dyDescent="0.25">
      <c r="A1390" s="115">
        <v>1389</v>
      </c>
      <c r="B1390" s="116">
        <v>45594</v>
      </c>
      <c r="C1390" s="117">
        <v>2024</v>
      </c>
      <c r="D1390" s="118" t="s">
        <v>833</v>
      </c>
      <c r="E1390" s="119" t="s">
        <v>600</v>
      </c>
      <c r="F1390" s="120">
        <v>3</v>
      </c>
      <c r="G1390" s="120" t="s">
        <v>759</v>
      </c>
      <c r="H1390" s="121">
        <v>8100</v>
      </c>
      <c r="J1390"/>
      <c r="K1390"/>
      <c r="L1390" s="104"/>
    </row>
    <row r="1391" spans="1:12" x14ac:dyDescent="0.25">
      <c r="A1391" s="115">
        <v>1390</v>
      </c>
      <c r="B1391" s="116">
        <v>45594</v>
      </c>
      <c r="C1391" s="117">
        <v>2024</v>
      </c>
      <c r="D1391" s="118" t="s">
        <v>833</v>
      </c>
      <c r="E1391" s="119" t="s">
        <v>600</v>
      </c>
      <c r="F1391" s="120">
        <v>3</v>
      </c>
      <c r="G1391" s="120" t="s">
        <v>759</v>
      </c>
      <c r="H1391" s="121">
        <v>12600</v>
      </c>
      <c r="J1391"/>
      <c r="K1391"/>
      <c r="L1391" s="104"/>
    </row>
    <row r="1392" spans="1:12" x14ac:dyDescent="0.25">
      <c r="A1392" s="115">
        <v>1391</v>
      </c>
      <c r="B1392" s="116">
        <v>45594</v>
      </c>
      <c r="C1392" s="117">
        <v>2024</v>
      </c>
      <c r="D1392" s="118" t="s">
        <v>833</v>
      </c>
      <c r="E1392" s="119" t="s">
        <v>1025</v>
      </c>
      <c r="F1392" s="120">
        <v>2</v>
      </c>
      <c r="G1392" s="120" t="s">
        <v>759</v>
      </c>
      <c r="H1392" s="121">
        <v>22000</v>
      </c>
      <c r="J1392"/>
      <c r="K1392"/>
      <c r="L1392" s="104"/>
    </row>
    <row r="1393" spans="1:12" x14ac:dyDescent="0.25">
      <c r="A1393" s="115">
        <v>1392</v>
      </c>
      <c r="B1393" s="116">
        <v>45594</v>
      </c>
      <c r="C1393" s="117">
        <v>2024</v>
      </c>
      <c r="D1393" s="118" t="s">
        <v>833</v>
      </c>
      <c r="E1393" s="119" t="s">
        <v>171</v>
      </c>
      <c r="F1393" s="120">
        <v>3</v>
      </c>
      <c r="G1393" s="120" t="s">
        <v>759</v>
      </c>
      <c r="H1393" s="121">
        <v>28800</v>
      </c>
      <c r="J1393"/>
      <c r="K1393"/>
      <c r="L1393" s="104"/>
    </row>
    <row r="1394" spans="1:12" x14ac:dyDescent="0.25">
      <c r="A1394" s="115">
        <v>1393</v>
      </c>
      <c r="B1394" s="145">
        <v>45594</v>
      </c>
      <c r="C1394" s="146">
        <v>2024</v>
      </c>
      <c r="D1394" s="118" t="s">
        <v>35</v>
      </c>
      <c r="E1394" s="118" t="s">
        <v>790</v>
      </c>
      <c r="F1394" s="147">
        <v>1</v>
      </c>
      <c r="G1394" s="120" t="s">
        <v>759</v>
      </c>
      <c r="H1394" s="148">
        <v>150000</v>
      </c>
      <c r="J1394"/>
      <c r="K1394"/>
      <c r="L1394" s="104"/>
    </row>
    <row r="1395" spans="1:12" x14ac:dyDescent="0.25">
      <c r="A1395" s="115">
        <v>1394</v>
      </c>
      <c r="B1395" s="167">
        <v>45595</v>
      </c>
      <c r="C1395" s="117">
        <v>2024</v>
      </c>
      <c r="D1395" s="119" t="s">
        <v>35</v>
      </c>
      <c r="E1395" s="119" t="s">
        <v>761</v>
      </c>
      <c r="F1395" s="120">
        <v>2</v>
      </c>
      <c r="G1395" s="120" t="s">
        <v>759</v>
      </c>
      <c r="H1395" s="168">
        <v>3100000</v>
      </c>
      <c r="J1395"/>
      <c r="K1395"/>
      <c r="L1395" s="104"/>
    </row>
    <row r="1396" spans="1:12" x14ac:dyDescent="0.25">
      <c r="A1396" s="115">
        <v>1395</v>
      </c>
      <c r="B1396" s="167">
        <v>45595</v>
      </c>
      <c r="C1396" s="117">
        <v>2024</v>
      </c>
      <c r="D1396" s="119" t="s">
        <v>35</v>
      </c>
      <c r="E1396" s="119" t="s">
        <v>761</v>
      </c>
      <c r="F1396" s="120">
        <v>4</v>
      </c>
      <c r="G1396" s="120" t="s">
        <v>759</v>
      </c>
      <c r="H1396" s="168">
        <v>9000000</v>
      </c>
      <c r="J1396"/>
      <c r="K1396"/>
      <c r="L1396" s="104"/>
    </row>
    <row r="1397" spans="1:12" x14ac:dyDescent="0.25">
      <c r="A1397" s="115">
        <v>1396</v>
      </c>
      <c r="B1397" s="167">
        <v>45595</v>
      </c>
      <c r="C1397" s="117">
        <v>2024</v>
      </c>
      <c r="D1397" s="119" t="s">
        <v>35</v>
      </c>
      <c r="E1397" s="119" t="s">
        <v>1216</v>
      </c>
      <c r="F1397" s="120">
        <v>1</v>
      </c>
      <c r="G1397" s="120" t="s">
        <v>759</v>
      </c>
      <c r="H1397" s="168">
        <v>1112</v>
      </c>
      <c r="J1397"/>
      <c r="K1397"/>
      <c r="L1397" s="104"/>
    </row>
    <row r="1398" spans="1:12" x14ac:dyDescent="0.25">
      <c r="A1398" s="115">
        <v>1397</v>
      </c>
      <c r="B1398" s="167">
        <v>45595</v>
      </c>
      <c r="C1398" s="117">
        <v>2024</v>
      </c>
      <c r="D1398" s="119" t="s">
        <v>35</v>
      </c>
      <c r="E1398" s="119" t="s">
        <v>1217</v>
      </c>
      <c r="F1398" s="120">
        <v>1</v>
      </c>
      <c r="G1398" s="120" t="s">
        <v>759</v>
      </c>
      <c r="H1398" s="168">
        <v>7900</v>
      </c>
      <c r="J1398"/>
      <c r="K1398"/>
      <c r="L1398" s="104"/>
    </row>
    <row r="1399" spans="1:12" x14ac:dyDescent="0.25">
      <c r="A1399" s="115">
        <v>1398</v>
      </c>
      <c r="B1399" s="167">
        <v>45595</v>
      </c>
      <c r="C1399" s="117">
        <v>2024</v>
      </c>
      <c r="D1399" s="119" t="s">
        <v>35</v>
      </c>
      <c r="E1399" s="119" t="s">
        <v>1069</v>
      </c>
      <c r="F1399" s="120">
        <v>1</v>
      </c>
      <c r="G1399" s="120" t="s">
        <v>759</v>
      </c>
      <c r="H1399" s="168">
        <v>7250</v>
      </c>
      <c r="J1399"/>
      <c r="K1399"/>
      <c r="L1399" s="104"/>
    </row>
    <row r="1400" spans="1:12" x14ac:dyDescent="0.25">
      <c r="A1400" s="115">
        <v>1399</v>
      </c>
      <c r="B1400" s="167">
        <v>45595</v>
      </c>
      <c r="C1400" s="117">
        <v>2024</v>
      </c>
      <c r="D1400" s="119" t="s">
        <v>35</v>
      </c>
      <c r="E1400" s="119" t="s">
        <v>1218</v>
      </c>
      <c r="F1400" s="120">
        <v>1</v>
      </c>
      <c r="G1400" s="120" t="s">
        <v>759</v>
      </c>
      <c r="H1400" s="168">
        <v>1155</v>
      </c>
      <c r="J1400"/>
      <c r="K1400"/>
      <c r="L1400" s="104"/>
    </row>
    <row r="1401" spans="1:12" x14ac:dyDescent="0.25">
      <c r="A1401" s="115">
        <v>1400</v>
      </c>
      <c r="B1401" s="116">
        <v>45596</v>
      </c>
      <c r="C1401" s="117">
        <v>2024</v>
      </c>
      <c r="D1401" s="118" t="s">
        <v>833</v>
      </c>
      <c r="E1401" s="119" t="s">
        <v>175</v>
      </c>
      <c r="F1401" s="120">
        <v>47</v>
      </c>
      <c r="G1401" s="120" t="s">
        <v>759</v>
      </c>
      <c r="H1401" s="121">
        <v>368950</v>
      </c>
      <c r="J1401"/>
      <c r="K1401"/>
      <c r="L1401" s="104"/>
    </row>
    <row r="1402" spans="1:12" x14ac:dyDescent="0.25">
      <c r="A1402" s="115">
        <v>1401</v>
      </c>
      <c r="B1402" s="167">
        <v>45596</v>
      </c>
      <c r="C1402" s="117">
        <v>2024</v>
      </c>
      <c r="D1402" s="119" t="s">
        <v>766</v>
      </c>
      <c r="E1402" s="119" t="s">
        <v>1219</v>
      </c>
      <c r="F1402" s="120">
        <v>1</v>
      </c>
      <c r="G1402" s="120" t="s">
        <v>759</v>
      </c>
      <c r="H1402" s="168">
        <v>1385000</v>
      </c>
      <c r="J1402"/>
      <c r="K1402"/>
      <c r="L1402" s="104"/>
    </row>
    <row r="1403" spans="1:12" x14ac:dyDescent="0.25">
      <c r="A1403" s="115">
        <v>1402</v>
      </c>
      <c r="B1403" s="167">
        <v>45597</v>
      </c>
      <c r="C1403" s="117">
        <v>2024</v>
      </c>
      <c r="D1403" s="119" t="s">
        <v>35</v>
      </c>
      <c r="E1403" s="119" t="s">
        <v>761</v>
      </c>
      <c r="F1403" s="120">
        <v>4</v>
      </c>
      <c r="G1403" s="120" t="s">
        <v>759</v>
      </c>
      <c r="H1403" s="168">
        <v>9000000</v>
      </c>
      <c r="J1403"/>
      <c r="K1403"/>
      <c r="L1403" s="104"/>
    </row>
    <row r="1404" spans="1:12" x14ac:dyDescent="0.25">
      <c r="A1404" s="115">
        <v>1403</v>
      </c>
      <c r="B1404" s="167">
        <v>45597</v>
      </c>
      <c r="C1404" s="117">
        <v>2024</v>
      </c>
      <c r="D1404" s="119" t="s">
        <v>833</v>
      </c>
      <c r="E1404" s="119" t="s">
        <v>1220</v>
      </c>
      <c r="F1404" s="120">
        <v>10</v>
      </c>
      <c r="G1404" s="120" t="s">
        <v>759</v>
      </c>
      <c r="H1404" s="168">
        <v>148000</v>
      </c>
      <c r="J1404"/>
      <c r="K1404"/>
      <c r="L1404" s="104"/>
    </row>
    <row r="1405" spans="1:12" x14ac:dyDescent="0.25">
      <c r="A1405" s="115">
        <v>1404</v>
      </c>
      <c r="B1405" s="167">
        <v>45597</v>
      </c>
      <c r="C1405" s="117">
        <v>2024</v>
      </c>
      <c r="D1405" s="119" t="s">
        <v>833</v>
      </c>
      <c r="E1405" s="119" t="s">
        <v>1220</v>
      </c>
      <c r="F1405" s="120">
        <v>6</v>
      </c>
      <c r="G1405" s="120" t="s">
        <v>759</v>
      </c>
      <c r="H1405" s="168">
        <v>70800</v>
      </c>
      <c r="J1405"/>
      <c r="K1405"/>
      <c r="L1405" s="104"/>
    </row>
    <row r="1406" spans="1:12" x14ac:dyDescent="0.25">
      <c r="A1406" s="115">
        <v>1405</v>
      </c>
      <c r="B1406" s="145">
        <v>45598</v>
      </c>
      <c r="C1406" s="146">
        <v>2024</v>
      </c>
      <c r="D1406" s="118" t="s">
        <v>35</v>
      </c>
      <c r="E1406" s="118" t="s">
        <v>115</v>
      </c>
      <c r="F1406" s="147">
        <v>1</v>
      </c>
      <c r="G1406" s="120" t="s">
        <v>759</v>
      </c>
      <c r="H1406" s="148">
        <v>24000</v>
      </c>
      <c r="J1406"/>
      <c r="K1406"/>
      <c r="L1406" s="104"/>
    </row>
    <row r="1407" spans="1:12" x14ac:dyDescent="0.25">
      <c r="A1407" s="115">
        <v>1406</v>
      </c>
      <c r="B1407" s="167">
        <v>45600</v>
      </c>
      <c r="C1407" s="117">
        <v>2024</v>
      </c>
      <c r="D1407" s="119" t="s">
        <v>35</v>
      </c>
      <c r="E1407" s="119" t="s">
        <v>252</v>
      </c>
      <c r="F1407" s="120">
        <v>2</v>
      </c>
      <c r="G1407" s="120" t="s">
        <v>759</v>
      </c>
      <c r="H1407" s="168">
        <v>1780000</v>
      </c>
      <c r="J1407"/>
      <c r="K1407"/>
      <c r="L1407" s="104"/>
    </row>
    <row r="1408" spans="1:12" x14ac:dyDescent="0.25">
      <c r="A1408" s="115">
        <v>1407</v>
      </c>
      <c r="B1408" s="145">
        <v>45600</v>
      </c>
      <c r="C1408" s="146">
        <v>2024</v>
      </c>
      <c r="D1408" s="118" t="s">
        <v>35</v>
      </c>
      <c r="E1408" s="118" t="s">
        <v>761</v>
      </c>
      <c r="F1408" s="147">
        <v>1</v>
      </c>
      <c r="G1408" s="120" t="s">
        <v>759</v>
      </c>
      <c r="H1408" s="148">
        <v>200000</v>
      </c>
      <c r="J1408"/>
      <c r="K1408"/>
      <c r="L1408" s="104"/>
    </row>
    <row r="1409" spans="1:12" x14ac:dyDescent="0.25">
      <c r="A1409" s="115">
        <v>1408</v>
      </c>
      <c r="B1409" s="145">
        <v>45600</v>
      </c>
      <c r="C1409" s="146">
        <v>2024</v>
      </c>
      <c r="D1409" s="118" t="s">
        <v>35</v>
      </c>
      <c r="E1409" s="118" t="s">
        <v>823</v>
      </c>
      <c r="F1409" s="147">
        <v>1</v>
      </c>
      <c r="G1409" s="120" t="s">
        <v>759</v>
      </c>
      <c r="H1409" s="148">
        <v>55000</v>
      </c>
      <c r="J1409"/>
      <c r="K1409"/>
      <c r="L1409" s="104"/>
    </row>
    <row r="1410" spans="1:12" x14ac:dyDescent="0.25">
      <c r="A1410" s="115">
        <v>1409</v>
      </c>
      <c r="B1410" s="167">
        <v>45601</v>
      </c>
      <c r="C1410" s="117">
        <v>2024</v>
      </c>
      <c r="D1410" s="119" t="s">
        <v>35</v>
      </c>
      <c r="E1410" s="119" t="s">
        <v>761</v>
      </c>
      <c r="F1410" s="120">
        <v>4</v>
      </c>
      <c r="G1410" s="120" t="s">
        <v>759</v>
      </c>
      <c r="H1410" s="168">
        <v>9000000</v>
      </c>
      <c r="J1410"/>
      <c r="K1410"/>
      <c r="L1410" s="104"/>
    </row>
    <row r="1411" spans="1:12" x14ac:dyDescent="0.25">
      <c r="A1411" s="115">
        <v>1410</v>
      </c>
      <c r="B1411" s="167">
        <v>45601</v>
      </c>
      <c r="C1411" s="117">
        <v>2024</v>
      </c>
      <c r="D1411" s="119" t="s">
        <v>35</v>
      </c>
      <c r="E1411" s="119" t="s">
        <v>1201</v>
      </c>
      <c r="F1411" s="120">
        <v>10</v>
      </c>
      <c r="G1411" s="120" t="s">
        <v>759</v>
      </c>
      <c r="H1411" s="168">
        <v>30000</v>
      </c>
      <c r="J1411"/>
      <c r="K1411"/>
      <c r="L1411" s="104"/>
    </row>
    <row r="1412" spans="1:12" x14ac:dyDescent="0.25">
      <c r="A1412" s="115">
        <v>1411</v>
      </c>
      <c r="B1412" s="167">
        <v>45601</v>
      </c>
      <c r="C1412" s="117">
        <v>2024</v>
      </c>
      <c r="D1412" s="119" t="s">
        <v>833</v>
      </c>
      <c r="E1412" s="119" t="s">
        <v>1212</v>
      </c>
      <c r="F1412" s="120">
        <v>1</v>
      </c>
      <c r="G1412" s="120" t="s">
        <v>759</v>
      </c>
      <c r="H1412" s="168">
        <v>50670</v>
      </c>
      <c r="J1412"/>
      <c r="K1412"/>
      <c r="L1412" s="104"/>
    </row>
    <row r="1413" spans="1:12" x14ac:dyDescent="0.25">
      <c r="A1413" s="115">
        <v>1412</v>
      </c>
      <c r="B1413" s="167">
        <v>45602</v>
      </c>
      <c r="C1413" s="117">
        <v>2024</v>
      </c>
      <c r="D1413" s="119" t="s">
        <v>833</v>
      </c>
      <c r="E1413" s="119" t="s">
        <v>1221</v>
      </c>
      <c r="F1413" s="120">
        <v>1</v>
      </c>
      <c r="G1413" s="120" t="s">
        <v>759</v>
      </c>
      <c r="H1413" s="168">
        <v>502500</v>
      </c>
      <c r="J1413"/>
      <c r="K1413"/>
      <c r="L1413" s="104"/>
    </row>
    <row r="1414" spans="1:12" x14ac:dyDescent="0.25">
      <c r="A1414" s="115">
        <v>1413</v>
      </c>
      <c r="B1414" s="116">
        <v>45602</v>
      </c>
      <c r="C1414" s="117">
        <v>2024</v>
      </c>
      <c r="D1414" s="118" t="s">
        <v>259</v>
      </c>
      <c r="E1414" s="119" t="s">
        <v>762</v>
      </c>
      <c r="F1414" s="120">
        <v>2</v>
      </c>
      <c r="G1414" s="120" t="s">
        <v>759</v>
      </c>
      <c r="H1414" s="121">
        <v>12850000</v>
      </c>
      <c r="J1414"/>
      <c r="K1414"/>
      <c r="L1414" s="104"/>
    </row>
    <row r="1415" spans="1:12" x14ac:dyDescent="0.25">
      <c r="A1415" s="115">
        <v>1414</v>
      </c>
      <c r="B1415" s="116">
        <v>45602</v>
      </c>
      <c r="C1415" s="117">
        <v>2024</v>
      </c>
      <c r="D1415" s="118" t="s">
        <v>833</v>
      </c>
      <c r="E1415" s="119" t="s">
        <v>493</v>
      </c>
      <c r="F1415" s="120">
        <v>10</v>
      </c>
      <c r="G1415" s="120" t="s">
        <v>759</v>
      </c>
      <c r="H1415" s="121">
        <v>90000</v>
      </c>
      <c r="J1415"/>
      <c r="K1415"/>
      <c r="L1415" s="104"/>
    </row>
    <row r="1416" spans="1:12" x14ac:dyDescent="0.25">
      <c r="A1416" s="115">
        <v>1415</v>
      </c>
      <c r="B1416" s="167">
        <v>45602</v>
      </c>
      <c r="C1416" s="117">
        <v>2024</v>
      </c>
      <c r="D1416" s="119" t="s">
        <v>851</v>
      </c>
      <c r="E1416" s="119" t="s">
        <v>1222</v>
      </c>
      <c r="F1416" s="120">
        <v>101</v>
      </c>
      <c r="G1416" s="120" t="s">
        <v>759</v>
      </c>
      <c r="H1416" s="168">
        <v>97869</v>
      </c>
      <c r="J1416"/>
      <c r="K1416"/>
      <c r="L1416" s="104"/>
    </row>
    <row r="1417" spans="1:12" x14ac:dyDescent="0.25">
      <c r="A1417" s="115">
        <v>1416</v>
      </c>
      <c r="B1417" s="167">
        <v>45602</v>
      </c>
      <c r="C1417" s="117">
        <v>2024</v>
      </c>
      <c r="D1417" s="119" t="s">
        <v>833</v>
      </c>
      <c r="E1417" s="119" t="s">
        <v>1223</v>
      </c>
      <c r="F1417" s="120">
        <v>50</v>
      </c>
      <c r="G1417" s="120" t="s">
        <v>759</v>
      </c>
      <c r="H1417" s="168">
        <v>125000</v>
      </c>
      <c r="J1417"/>
      <c r="K1417"/>
      <c r="L1417" s="104"/>
    </row>
    <row r="1418" spans="1:12" x14ac:dyDescent="0.25">
      <c r="A1418" s="115">
        <v>1417</v>
      </c>
      <c r="B1418" s="116">
        <v>45603</v>
      </c>
      <c r="C1418" s="117">
        <v>2024</v>
      </c>
      <c r="D1418" s="118" t="s">
        <v>35</v>
      </c>
      <c r="E1418" s="119" t="s">
        <v>677</v>
      </c>
      <c r="F1418" s="120">
        <v>4</v>
      </c>
      <c r="G1418" s="120" t="s">
        <v>759</v>
      </c>
      <c r="H1418" s="121">
        <v>22400</v>
      </c>
      <c r="J1418"/>
      <c r="K1418"/>
      <c r="L1418" s="104"/>
    </row>
    <row r="1419" spans="1:12" x14ac:dyDescent="0.25">
      <c r="A1419" s="115">
        <v>1418</v>
      </c>
      <c r="B1419" s="116">
        <v>45603</v>
      </c>
      <c r="C1419" s="117">
        <v>2024</v>
      </c>
      <c r="D1419" s="118" t="s">
        <v>35</v>
      </c>
      <c r="E1419" s="119" t="s">
        <v>1191</v>
      </c>
      <c r="F1419" s="120">
        <v>25</v>
      </c>
      <c r="G1419" s="120" t="s">
        <v>759</v>
      </c>
      <c r="H1419" s="121">
        <v>237500</v>
      </c>
      <c r="J1419"/>
      <c r="K1419"/>
      <c r="L1419" s="104"/>
    </row>
    <row r="1420" spans="1:12" x14ac:dyDescent="0.25">
      <c r="A1420" s="115">
        <v>1419</v>
      </c>
      <c r="B1420" s="116">
        <v>45603</v>
      </c>
      <c r="C1420" s="117">
        <v>2024</v>
      </c>
      <c r="D1420" s="118" t="s">
        <v>851</v>
      </c>
      <c r="E1420" s="119" t="s">
        <v>1198</v>
      </c>
      <c r="F1420" s="120">
        <v>101</v>
      </c>
      <c r="G1420" s="120" t="s">
        <v>759</v>
      </c>
      <c r="H1420" s="121">
        <v>95900</v>
      </c>
      <c r="J1420"/>
      <c r="K1420"/>
      <c r="L1420" s="104"/>
    </row>
    <row r="1421" spans="1:12" x14ac:dyDescent="0.25">
      <c r="A1421" s="115">
        <v>1420</v>
      </c>
      <c r="B1421" s="116">
        <v>45603</v>
      </c>
      <c r="C1421" s="117">
        <v>2024</v>
      </c>
      <c r="D1421" s="118" t="s">
        <v>833</v>
      </c>
      <c r="E1421" s="119" t="s">
        <v>425</v>
      </c>
      <c r="F1421" s="120">
        <v>1</v>
      </c>
      <c r="G1421" s="120" t="s">
        <v>759</v>
      </c>
      <c r="H1421" s="121">
        <v>48670</v>
      </c>
      <c r="J1421"/>
      <c r="K1421"/>
      <c r="L1421" s="104"/>
    </row>
    <row r="1422" spans="1:12" x14ac:dyDescent="0.25">
      <c r="A1422" s="115">
        <v>1421</v>
      </c>
      <c r="B1422" s="145">
        <v>45603</v>
      </c>
      <c r="C1422" s="146">
        <v>2024</v>
      </c>
      <c r="D1422" s="118" t="s">
        <v>35</v>
      </c>
      <c r="E1422" s="118" t="s">
        <v>1224</v>
      </c>
      <c r="F1422" s="147">
        <v>1</v>
      </c>
      <c r="G1422" s="120" t="s">
        <v>759</v>
      </c>
      <c r="H1422" s="148">
        <v>80000</v>
      </c>
      <c r="J1422"/>
      <c r="K1422"/>
      <c r="L1422" s="104"/>
    </row>
    <row r="1423" spans="1:12" x14ac:dyDescent="0.25">
      <c r="A1423" s="115">
        <v>1422</v>
      </c>
      <c r="B1423" s="145">
        <v>45603</v>
      </c>
      <c r="C1423" s="146">
        <v>2024</v>
      </c>
      <c r="D1423" s="118" t="s">
        <v>35</v>
      </c>
      <c r="E1423" s="118" t="s">
        <v>992</v>
      </c>
      <c r="F1423" s="147">
        <v>1</v>
      </c>
      <c r="G1423" s="120" t="s">
        <v>759</v>
      </c>
      <c r="H1423" s="148">
        <v>525000</v>
      </c>
      <c r="J1423"/>
      <c r="K1423"/>
      <c r="L1423" s="104"/>
    </row>
    <row r="1424" spans="1:12" x14ac:dyDescent="0.25">
      <c r="A1424" s="115">
        <v>1423</v>
      </c>
      <c r="B1424" s="145">
        <v>45603</v>
      </c>
      <c r="C1424" s="146">
        <v>2024</v>
      </c>
      <c r="D1424" s="118" t="s">
        <v>35</v>
      </c>
      <c r="E1424" s="118" t="s">
        <v>1039</v>
      </c>
      <c r="F1424" s="147">
        <v>1</v>
      </c>
      <c r="G1424" s="120" t="s">
        <v>759</v>
      </c>
      <c r="H1424" s="148">
        <v>25000</v>
      </c>
      <c r="J1424"/>
      <c r="K1424"/>
      <c r="L1424" s="104"/>
    </row>
    <row r="1425" spans="1:12" x14ac:dyDescent="0.25">
      <c r="A1425" s="115">
        <v>1424</v>
      </c>
      <c r="B1425" s="145">
        <v>45603</v>
      </c>
      <c r="C1425" s="146">
        <v>2024</v>
      </c>
      <c r="D1425" s="118" t="s">
        <v>35</v>
      </c>
      <c r="E1425" s="118" t="s">
        <v>1225</v>
      </c>
      <c r="F1425" s="147">
        <v>1</v>
      </c>
      <c r="G1425" s="120" t="s">
        <v>759</v>
      </c>
      <c r="H1425" s="148">
        <v>100000</v>
      </c>
      <c r="J1425"/>
      <c r="K1425"/>
      <c r="L1425" s="104"/>
    </row>
    <row r="1426" spans="1:12" x14ac:dyDescent="0.25">
      <c r="A1426" s="115">
        <v>1425</v>
      </c>
      <c r="B1426" s="145">
        <v>45603</v>
      </c>
      <c r="C1426" s="146">
        <v>2024</v>
      </c>
      <c r="D1426" s="118" t="s">
        <v>35</v>
      </c>
      <c r="E1426" s="118" t="s">
        <v>1226</v>
      </c>
      <c r="F1426" s="147">
        <v>1</v>
      </c>
      <c r="G1426" s="120" t="s">
        <v>759</v>
      </c>
      <c r="H1426" s="148">
        <v>240000</v>
      </c>
      <c r="J1426"/>
      <c r="K1426"/>
      <c r="L1426" s="104"/>
    </row>
    <row r="1427" spans="1:12" x14ac:dyDescent="0.25">
      <c r="A1427" s="115">
        <v>1426</v>
      </c>
      <c r="B1427" s="145">
        <v>45603</v>
      </c>
      <c r="C1427" s="146">
        <v>2024</v>
      </c>
      <c r="D1427" s="118" t="s">
        <v>35</v>
      </c>
      <c r="E1427" s="118" t="s">
        <v>256</v>
      </c>
      <c r="F1427" s="147">
        <v>1</v>
      </c>
      <c r="G1427" s="120" t="s">
        <v>759</v>
      </c>
      <c r="H1427" s="148">
        <v>100000</v>
      </c>
      <c r="J1427"/>
      <c r="K1427"/>
      <c r="L1427" s="104"/>
    </row>
    <row r="1428" spans="1:12" x14ac:dyDescent="0.25">
      <c r="A1428" s="115">
        <v>1427</v>
      </c>
      <c r="B1428" s="145">
        <v>45603</v>
      </c>
      <c r="C1428" s="146">
        <v>2024</v>
      </c>
      <c r="D1428" s="118" t="s">
        <v>35</v>
      </c>
      <c r="E1428" s="118" t="s">
        <v>862</v>
      </c>
      <c r="F1428" s="147">
        <v>1</v>
      </c>
      <c r="G1428" s="120" t="s">
        <v>759</v>
      </c>
      <c r="H1428" s="148">
        <v>70000</v>
      </c>
      <c r="J1428"/>
      <c r="K1428"/>
      <c r="L1428" s="104"/>
    </row>
    <row r="1429" spans="1:12" x14ac:dyDescent="0.25">
      <c r="A1429" s="115">
        <v>1428</v>
      </c>
      <c r="B1429" s="145">
        <v>45603</v>
      </c>
      <c r="C1429" s="146">
        <v>2024</v>
      </c>
      <c r="D1429" s="118" t="s">
        <v>35</v>
      </c>
      <c r="E1429" s="118" t="s">
        <v>1227</v>
      </c>
      <c r="F1429" s="147">
        <v>1</v>
      </c>
      <c r="G1429" s="120" t="s">
        <v>759</v>
      </c>
      <c r="H1429" s="148">
        <v>45000</v>
      </c>
      <c r="J1429"/>
      <c r="K1429"/>
      <c r="L1429" s="104"/>
    </row>
    <row r="1430" spans="1:12" x14ac:dyDescent="0.25">
      <c r="A1430" s="115">
        <v>1429</v>
      </c>
      <c r="B1430" s="145">
        <v>45603</v>
      </c>
      <c r="C1430" s="146">
        <v>2024</v>
      </c>
      <c r="D1430" s="118" t="s">
        <v>35</v>
      </c>
      <c r="E1430" s="118" t="s">
        <v>1228</v>
      </c>
      <c r="F1430" s="147">
        <v>1</v>
      </c>
      <c r="G1430" s="120" t="s">
        <v>759</v>
      </c>
      <c r="H1430" s="148">
        <v>350000</v>
      </c>
      <c r="J1430"/>
      <c r="K1430"/>
      <c r="L1430" s="104"/>
    </row>
    <row r="1431" spans="1:12" x14ac:dyDescent="0.25">
      <c r="A1431" s="115">
        <v>1430</v>
      </c>
      <c r="B1431" s="145">
        <v>45603</v>
      </c>
      <c r="C1431" s="146">
        <v>2024</v>
      </c>
      <c r="D1431" s="118" t="s">
        <v>35</v>
      </c>
      <c r="E1431" s="118" t="s">
        <v>933</v>
      </c>
      <c r="F1431" s="147">
        <v>1</v>
      </c>
      <c r="G1431" s="120" t="s">
        <v>759</v>
      </c>
      <c r="H1431" s="148">
        <v>125000</v>
      </c>
      <c r="J1431"/>
      <c r="K1431"/>
      <c r="L1431" s="104"/>
    </row>
    <row r="1432" spans="1:12" x14ac:dyDescent="0.25">
      <c r="A1432" s="115">
        <v>1431</v>
      </c>
      <c r="B1432" s="145">
        <v>45603</v>
      </c>
      <c r="C1432" s="146">
        <v>2024</v>
      </c>
      <c r="D1432" s="118" t="s">
        <v>35</v>
      </c>
      <c r="E1432" s="118" t="s">
        <v>1229</v>
      </c>
      <c r="F1432" s="147">
        <v>1</v>
      </c>
      <c r="G1432" s="120" t="s">
        <v>759</v>
      </c>
      <c r="H1432" s="148">
        <v>240000</v>
      </c>
      <c r="J1432"/>
      <c r="K1432"/>
      <c r="L1432" s="104"/>
    </row>
    <row r="1433" spans="1:12" x14ac:dyDescent="0.25">
      <c r="A1433" s="115">
        <v>1432</v>
      </c>
      <c r="B1433" s="145">
        <v>45603</v>
      </c>
      <c r="C1433" s="146">
        <v>2024</v>
      </c>
      <c r="D1433" s="118" t="s">
        <v>35</v>
      </c>
      <c r="E1433" s="118" t="s">
        <v>1230</v>
      </c>
      <c r="F1433" s="147">
        <v>1</v>
      </c>
      <c r="G1433" s="120" t="s">
        <v>759</v>
      </c>
      <c r="H1433" s="148">
        <v>200000</v>
      </c>
      <c r="J1433"/>
      <c r="K1433"/>
      <c r="L1433" s="104"/>
    </row>
    <row r="1434" spans="1:12" x14ac:dyDescent="0.25">
      <c r="A1434" s="115">
        <v>1433</v>
      </c>
      <c r="B1434" s="145">
        <v>45603</v>
      </c>
      <c r="C1434" s="146">
        <v>2024</v>
      </c>
      <c r="D1434" s="118" t="s">
        <v>35</v>
      </c>
      <c r="E1434" s="118" t="s">
        <v>1083</v>
      </c>
      <c r="F1434" s="147">
        <v>1</v>
      </c>
      <c r="G1434" s="120" t="s">
        <v>759</v>
      </c>
      <c r="H1434" s="148">
        <v>250000</v>
      </c>
      <c r="J1434"/>
      <c r="K1434"/>
      <c r="L1434" s="104"/>
    </row>
    <row r="1435" spans="1:12" x14ac:dyDescent="0.25">
      <c r="A1435" s="115">
        <v>1434</v>
      </c>
      <c r="B1435" s="145">
        <v>45603</v>
      </c>
      <c r="C1435" s="146">
        <v>2024</v>
      </c>
      <c r="D1435" s="118" t="s">
        <v>35</v>
      </c>
      <c r="E1435" s="118" t="s">
        <v>1231</v>
      </c>
      <c r="F1435" s="147">
        <v>1</v>
      </c>
      <c r="G1435" s="120" t="s">
        <v>759</v>
      </c>
      <c r="H1435" s="148">
        <v>600000</v>
      </c>
      <c r="J1435"/>
      <c r="K1435"/>
      <c r="L1435" s="104"/>
    </row>
    <row r="1436" spans="1:12" x14ac:dyDescent="0.25">
      <c r="A1436" s="115">
        <v>1435</v>
      </c>
      <c r="B1436" s="155">
        <v>45603</v>
      </c>
      <c r="C1436" s="146">
        <v>2024</v>
      </c>
      <c r="D1436" s="118" t="s">
        <v>35</v>
      </c>
      <c r="E1436" s="118" t="s">
        <v>1232</v>
      </c>
      <c r="F1436" s="147">
        <v>1</v>
      </c>
      <c r="G1436" s="120" t="s">
        <v>759</v>
      </c>
      <c r="H1436" s="148">
        <v>100000</v>
      </c>
      <c r="J1436"/>
      <c r="K1436"/>
      <c r="L1436" s="104"/>
    </row>
    <row r="1437" spans="1:12" x14ac:dyDescent="0.25">
      <c r="A1437" s="115">
        <v>1436</v>
      </c>
      <c r="B1437" s="155">
        <v>45603</v>
      </c>
      <c r="C1437" s="146">
        <v>2024</v>
      </c>
      <c r="D1437" s="118" t="s">
        <v>35</v>
      </c>
      <c r="E1437" s="118" t="s">
        <v>1233</v>
      </c>
      <c r="F1437" s="147">
        <v>1</v>
      </c>
      <c r="G1437" s="120" t="s">
        <v>759</v>
      </c>
      <c r="H1437" s="148">
        <v>350000</v>
      </c>
      <c r="J1437"/>
      <c r="K1437"/>
      <c r="L1437" s="104"/>
    </row>
    <row r="1438" spans="1:12" x14ac:dyDescent="0.25">
      <c r="A1438" s="115">
        <v>1437</v>
      </c>
      <c r="B1438" s="155">
        <v>45603</v>
      </c>
      <c r="C1438" s="146">
        <v>2024</v>
      </c>
      <c r="D1438" s="118" t="s">
        <v>35</v>
      </c>
      <c r="E1438" s="118" t="s">
        <v>1234</v>
      </c>
      <c r="F1438" s="147">
        <v>1</v>
      </c>
      <c r="G1438" s="120" t="s">
        <v>759</v>
      </c>
      <c r="H1438" s="148">
        <v>160000</v>
      </c>
      <c r="J1438"/>
      <c r="K1438"/>
      <c r="L1438" s="104"/>
    </row>
    <row r="1439" spans="1:12" x14ac:dyDescent="0.25">
      <c r="A1439" s="115">
        <v>1438</v>
      </c>
      <c r="B1439" s="155">
        <v>45603</v>
      </c>
      <c r="C1439" s="146">
        <v>2024</v>
      </c>
      <c r="D1439" s="118" t="s">
        <v>35</v>
      </c>
      <c r="E1439" s="118" t="s">
        <v>1235</v>
      </c>
      <c r="F1439" s="147">
        <v>1</v>
      </c>
      <c r="G1439" s="120" t="s">
        <v>759</v>
      </c>
      <c r="H1439" s="148">
        <v>30000</v>
      </c>
      <c r="J1439"/>
      <c r="K1439"/>
      <c r="L1439" s="104"/>
    </row>
    <row r="1440" spans="1:12" x14ac:dyDescent="0.25">
      <c r="A1440" s="115">
        <v>1439</v>
      </c>
      <c r="B1440" s="167">
        <v>45604</v>
      </c>
      <c r="C1440" s="117">
        <v>2024</v>
      </c>
      <c r="D1440" s="119" t="s">
        <v>35</v>
      </c>
      <c r="E1440" s="119" t="s">
        <v>1236</v>
      </c>
      <c r="F1440" s="120">
        <v>1</v>
      </c>
      <c r="G1440" s="120" t="s">
        <v>759</v>
      </c>
      <c r="H1440" s="168">
        <v>19900</v>
      </c>
      <c r="J1440"/>
      <c r="K1440"/>
      <c r="L1440" s="104"/>
    </row>
    <row r="1441" spans="1:12" x14ac:dyDescent="0.25">
      <c r="A1441" s="115">
        <v>1440</v>
      </c>
      <c r="B1441" s="167">
        <v>45604</v>
      </c>
      <c r="C1441" s="117">
        <v>2024</v>
      </c>
      <c r="D1441" s="119" t="s">
        <v>35</v>
      </c>
      <c r="E1441" s="119" t="s">
        <v>1208</v>
      </c>
      <c r="F1441" s="120">
        <v>20</v>
      </c>
      <c r="G1441" s="120" t="s">
        <v>759</v>
      </c>
      <c r="H1441" s="168">
        <v>100000</v>
      </c>
      <c r="J1441"/>
      <c r="K1441"/>
      <c r="L1441" s="104"/>
    </row>
    <row r="1442" spans="1:12" x14ac:dyDescent="0.25">
      <c r="A1442" s="115">
        <v>1441</v>
      </c>
      <c r="B1442" s="145">
        <v>45604</v>
      </c>
      <c r="C1442" s="146">
        <v>2024</v>
      </c>
      <c r="D1442" s="118" t="s">
        <v>35</v>
      </c>
      <c r="E1442" s="118" t="s">
        <v>794</v>
      </c>
      <c r="F1442" s="147">
        <v>1</v>
      </c>
      <c r="G1442" s="120" t="s">
        <v>759</v>
      </c>
      <c r="H1442" s="148">
        <v>166500</v>
      </c>
      <c r="J1442"/>
      <c r="K1442"/>
      <c r="L1442" s="104"/>
    </row>
    <row r="1443" spans="1:12" x14ac:dyDescent="0.25">
      <c r="A1443" s="115">
        <v>1442</v>
      </c>
      <c r="B1443" s="145">
        <v>45604</v>
      </c>
      <c r="C1443" s="146">
        <v>2024</v>
      </c>
      <c r="D1443" s="118" t="s">
        <v>35</v>
      </c>
      <c r="E1443" s="118" t="s">
        <v>794</v>
      </c>
      <c r="F1443" s="147">
        <v>1</v>
      </c>
      <c r="G1443" s="120" t="s">
        <v>759</v>
      </c>
      <c r="H1443" s="148">
        <v>166500</v>
      </c>
      <c r="J1443"/>
      <c r="K1443"/>
      <c r="L1443" s="104"/>
    </row>
    <row r="1444" spans="1:12" x14ac:dyDescent="0.25">
      <c r="A1444" s="115">
        <v>1443</v>
      </c>
      <c r="B1444" s="145">
        <v>45604</v>
      </c>
      <c r="C1444" s="146">
        <v>2024</v>
      </c>
      <c r="D1444" s="118" t="s">
        <v>35</v>
      </c>
      <c r="E1444" s="118" t="s">
        <v>794</v>
      </c>
      <c r="F1444" s="147">
        <v>1</v>
      </c>
      <c r="G1444" s="120" t="s">
        <v>759</v>
      </c>
      <c r="H1444" s="148">
        <v>166500</v>
      </c>
      <c r="J1444"/>
      <c r="K1444"/>
      <c r="L1444" s="104"/>
    </row>
    <row r="1445" spans="1:12" x14ac:dyDescent="0.25">
      <c r="A1445" s="115">
        <v>1444</v>
      </c>
      <c r="B1445" s="145">
        <v>45604</v>
      </c>
      <c r="C1445" s="146">
        <v>2024</v>
      </c>
      <c r="D1445" s="118" t="s">
        <v>35</v>
      </c>
      <c r="E1445" s="118" t="s">
        <v>794</v>
      </c>
      <c r="F1445" s="147">
        <v>1</v>
      </c>
      <c r="G1445" s="120" t="s">
        <v>759</v>
      </c>
      <c r="H1445" s="148">
        <v>166500</v>
      </c>
      <c r="J1445"/>
      <c r="K1445"/>
      <c r="L1445" s="104"/>
    </row>
    <row r="1446" spans="1:12" x14ac:dyDescent="0.25">
      <c r="A1446" s="115">
        <v>1445</v>
      </c>
      <c r="B1446" s="145">
        <v>45604</v>
      </c>
      <c r="C1446" s="146">
        <v>2024</v>
      </c>
      <c r="D1446" s="118" t="s">
        <v>35</v>
      </c>
      <c r="E1446" s="118" t="s">
        <v>794</v>
      </c>
      <c r="F1446" s="147">
        <v>1</v>
      </c>
      <c r="G1446" s="120" t="s">
        <v>759</v>
      </c>
      <c r="H1446" s="148">
        <v>166500</v>
      </c>
      <c r="J1446"/>
      <c r="K1446"/>
      <c r="L1446" s="104"/>
    </row>
    <row r="1447" spans="1:12" x14ac:dyDescent="0.25">
      <c r="A1447" s="115">
        <v>1446</v>
      </c>
      <c r="B1447" s="145">
        <v>45605</v>
      </c>
      <c r="C1447" s="146">
        <v>2024</v>
      </c>
      <c r="D1447" s="118" t="s">
        <v>35</v>
      </c>
      <c r="E1447" s="118" t="s">
        <v>1237</v>
      </c>
      <c r="F1447" s="147">
        <v>1</v>
      </c>
      <c r="G1447" s="120" t="s">
        <v>759</v>
      </c>
      <c r="H1447" s="148">
        <v>60000</v>
      </c>
      <c r="J1447"/>
      <c r="K1447"/>
      <c r="L1447" s="104"/>
    </row>
    <row r="1448" spans="1:12" x14ac:dyDescent="0.25">
      <c r="A1448" s="115">
        <v>1447</v>
      </c>
      <c r="B1448" s="145">
        <v>45605</v>
      </c>
      <c r="C1448" s="146">
        <v>2024</v>
      </c>
      <c r="D1448" s="118" t="s">
        <v>35</v>
      </c>
      <c r="E1448" s="118" t="s">
        <v>1238</v>
      </c>
      <c r="F1448" s="147">
        <v>1</v>
      </c>
      <c r="G1448" s="120" t="s">
        <v>759</v>
      </c>
      <c r="H1448" s="148">
        <v>60000</v>
      </c>
      <c r="J1448"/>
      <c r="K1448"/>
      <c r="L1448" s="104"/>
    </row>
    <row r="1449" spans="1:12" x14ac:dyDescent="0.25">
      <c r="A1449" s="115">
        <v>1448</v>
      </c>
      <c r="B1449" s="145">
        <v>45605</v>
      </c>
      <c r="C1449" s="146">
        <v>2024</v>
      </c>
      <c r="D1449" s="118" t="s">
        <v>35</v>
      </c>
      <c r="E1449" s="118" t="s">
        <v>1237</v>
      </c>
      <c r="F1449" s="147">
        <v>1</v>
      </c>
      <c r="G1449" s="120" t="s">
        <v>759</v>
      </c>
      <c r="H1449" s="148">
        <v>65000</v>
      </c>
      <c r="J1449"/>
      <c r="K1449"/>
      <c r="L1449" s="104"/>
    </row>
    <row r="1450" spans="1:12" x14ac:dyDescent="0.25">
      <c r="A1450" s="115">
        <v>1449</v>
      </c>
      <c r="B1450" s="145">
        <v>45605</v>
      </c>
      <c r="C1450" s="146">
        <v>2024</v>
      </c>
      <c r="D1450" s="118" t="s">
        <v>35</v>
      </c>
      <c r="E1450" s="118" t="s">
        <v>1239</v>
      </c>
      <c r="F1450" s="147">
        <v>1</v>
      </c>
      <c r="G1450" s="120" t="s">
        <v>759</v>
      </c>
      <c r="H1450" s="148">
        <v>12000</v>
      </c>
      <c r="J1450"/>
      <c r="K1450"/>
      <c r="L1450" s="104"/>
    </row>
    <row r="1451" spans="1:12" x14ac:dyDescent="0.25">
      <c r="A1451" s="115">
        <v>1450</v>
      </c>
      <c r="B1451" s="145">
        <v>45605</v>
      </c>
      <c r="C1451" s="146">
        <v>2024</v>
      </c>
      <c r="D1451" s="118" t="s">
        <v>35</v>
      </c>
      <c r="E1451" s="118" t="s">
        <v>1237</v>
      </c>
      <c r="F1451" s="147">
        <v>1</v>
      </c>
      <c r="G1451" s="120" t="s">
        <v>759</v>
      </c>
      <c r="H1451" s="148">
        <v>60000</v>
      </c>
      <c r="J1451"/>
      <c r="K1451"/>
      <c r="L1451" s="104"/>
    </row>
    <row r="1452" spans="1:12" x14ac:dyDescent="0.25">
      <c r="A1452" s="115">
        <v>1451</v>
      </c>
      <c r="B1452" s="145">
        <v>45605</v>
      </c>
      <c r="C1452" s="146">
        <v>2024</v>
      </c>
      <c r="D1452" s="118" t="s">
        <v>35</v>
      </c>
      <c r="E1452" s="118" t="s">
        <v>1237</v>
      </c>
      <c r="F1452" s="147">
        <v>1</v>
      </c>
      <c r="G1452" s="120" t="s">
        <v>759</v>
      </c>
      <c r="H1452" s="148">
        <v>65000</v>
      </c>
      <c r="J1452"/>
      <c r="K1452"/>
      <c r="L1452" s="104"/>
    </row>
    <row r="1453" spans="1:12" x14ac:dyDescent="0.25">
      <c r="A1453" s="115">
        <v>1452</v>
      </c>
      <c r="B1453" s="145">
        <v>45605</v>
      </c>
      <c r="C1453" s="146">
        <v>2024</v>
      </c>
      <c r="D1453" s="118" t="s">
        <v>35</v>
      </c>
      <c r="E1453" s="118" t="s">
        <v>872</v>
      </c>
      <c r="F1453" s="147">
        <v>1</v>
      </c>
      <c r="G1453" s="120" t="s">
        <v>759</v>
      </c>
      <c r="H1453" s="148">
        <v>80000</v>
      </c>
      <c r="J1453"/>
      <c r="K1453"/>
      <c r="L1453" s="104"/>
    </row>
    <row r="1454" spans="1:12" x14ac:dyDescent="0.25">
      <c r="A1454" s="115">
        <v>1453</v>
      </c>
      <c r="B1454" s="145">
        <v>45605</v>
      </c>
      <c r="C1454" s="146">
        <v>2024</v>
      </c>
      <c r="D1454" s="118" t="s">
        <v>35</v>
      </c>
      <c r="E1454" s="118" t="s">
        <v>1240</v>
      </c>
      <c r="F1454" s="147">
        <v>1</v>
      </c>
      <c r="G1454" s="120" t="s">
        <v>759</v>
      </c>
      <c r="H1454" s="148">
        <v>30000</v>
      </c>
      <c r="J1454"/>
      <c r="K1454"/>
      <c r="L1454" s="104"/>
    </row>
    <row r="1455" spans="1:12" x14ac:dyDescent="0.25">
      <c r="A1455" s="115">
        <v>1454</v>
      </c>
      <c r="B1455" s="145">
        <v>45605</v>
      </c>
      <c r="C1455" s="146">
        <v>2024</v>
      </c>
      <c r="D1455" s="118" t="s">
        <v>35</v>
      </c>
      <c r="E1455" s="118" t="s">
        <v>252</v>
      </c>
      <c r="F1455" s="147">
        <v>1</v>
      </c>
      <c r="G1455" s="120" t="s">
        <v>759</v>
      </c>
      <c r="H1455" s="148">
        <v>1815000</v>
      </c>
      <c r="J1455"/>
      <c r="K1455"/>
      <c r="L1455" s="104"/>
    </row>
    <row r="1456" spans="1:12" x14ac:dyDescent="0.25">
      <c r="A1456" s="115">
        <v>1455</v>
      </c>
      <c r="B1456" s="167">
        <v>45607</v>
      </c>
      <c r="C1456" s="117">
        <v>2024</v>
      </c>
      <c r="D1456" s="119" t="s">
        <v>35</v>
      </c>
      <c r="E1456" s="119" t="s">
        <v>1241</v>
      </c>
      <c r="F1456" s="120">
        <v>1</v>
      </c>
      <c r="G1456" s="120" t="s">
        <v>759</v>
      </c>
      <c r="H1456" s="168">
        <v>5790000</v>
      </c>
      <c r="J1456"/>
      <c r="K1456"/>
      <c r="L1456" s="104"/>
    </row>
    <row r="1457" spans="1:12" x14ac:dyDescent="0.25">
      <c r="A1457" s="115">
        <v>1456</v>
      </c>
      <c r="B1457" s="167">
        <v>45607</v>
      </c>
      <c r="C1457" s="117">
        <v>2024</v>
      </c>
      <c r="D1457" s="119" t="s">
        <v>833</v>
      </c>
      <c r="E1457" s="119" t="s">
        <v>1242</v>
      </c>
      <c r="F1457" s="120">
        <v>1</v>
      </c>
      <c r="G1457" s="120" t="s">
        <v>759</v>
      </c>
      <c r="H1457" s="168">
        <v>15000</v>
      </c>
      <c r="J1457"/>
      <c r="K1457"/>
      <c r="L1457" s="104"/>
    </row>
    <row r="1458" spans="1:12" x14ac:dyDescent="0.25">
      <c r="A1458" s="115">
        <v>1457</v>
      </c>
      <c r="B1458" s="167">
        <v>45607</v>
      </c>
      <c r="C1458" s="117">
        <v>2024</v>
      </c>
      <c r="D1458" s="119" t="s">
        <v>35</v>
      </c>
      <c r="E1458" s="119" t="s">
        <v>1243</v>
      </c>
      <c r="F1458" s="120">
        <v>1</v>
      </c>
      <c r="G1458" s="120" t="s">
        <v>759</v>
      </c>
      <c r="H1458" s="168">
        <v>16500</v>
      </c>
      <c r="J1458"/>
      <c r="K1458"/>
      <c r="L1458" s="104"/>
    </row>
    <row r="1459" spans="1:12" x14ac:dyDescent="0.25">
      <c r="A1459" s="115">
        <v>1458</v>
      </c>
      <c r="B1459" s="167">
        <v>45607</v>
      </c>
      <c r="C1459" s="117">
        <v>2024</v>
      </c>
      <c r="D1459" s="119" t="s">
        <v>35</v>
      </c>
      <c r="E1459" s="119" t="s">
        <v>761</v>
      </c>
      <c r="F1459" s="120">
        <v>4</v>
      </c>
      <c r="G1459" s="120" t="s">
        <v>759</v>
      </c>
      <c r="H1459" s="168">
        <v>9000000</v>
      </c>
      <c r="J1459"/>
      <c r="K1459"/>
      <c r="L1459" s="104"/>
    </row>
    <row r="1460" spans="1:12" x14ac:dyDescent="0.25">
      <c r="A1460" s="115">
        <v>1459</v>
      </c>
      <c r="B1460" s="167">
        <v>45607</v>
      </c>
      <c r="C1460" s="117">
        <v>2024</v>
      </c>
      <c r="D1460" s="119" t="s">
        <v>35</v>
      </c>
      <c r="E1460" s="119" t="s">
        <v>1244</v>
      </c>
      <c r="F1460" s="120">
        <v>1</v>
      </c>
      <c r="G1460" s="120" t="s">
        <v>759</v>
      </c>
      <c r="H1460" s="168">
        <v>13635</v>
      </c>
      <c r="J1460"/>
      <c r="K1460"/>
      <c r="L1460" s="104"/>
    </row>
    <row r="1461" spans="1:12" x14ac:dyDescent="0.25">
      <c r="A1461" s="115">
        <v>1460</v>
      </c>
      <c r="B1461" s="167">
        <v>45607</v>
      </c>
      <c r="C1461" s="117">
        <v>2024</v>
      </c>
      <c r="D1461" s="119" t="s">
        <v>35</v>
      </c>
      <c r="E1461" s="119" t="s">
        <v>1245</v>
      </c>
      <c r="F1461" s="120">
        <v>1</v>
      </c>
      <c r="G1461" s="120" t="s">
        <v>759</v>
      </c>
      <c r="H1461" s="168">
        <v>16450</v>
      </c>
      <c r="J1461"/>
      <c r="K1461"/>
      <c r="L1461" s="104"/>
    </row>
    <row r="1462" spans="1:12" x14ac:dyDescent="0.25">
      <c r="A1462" s="115">
        <v>1461</v>
      </c>
      <c r="B1462" s="167">
        <v>45608</v>
      </c>
      <c r="C1462" s="117">
        <v>2024</v>
      </c>
      <c r="D1462" s="119" t="s">
        <v>35</v>
      </c>
      <c r="E1462" s="119" t="s">
        <v>230</v>
      </c>
      <c r="F1462" s="120">
        <v>1</v>
      </c>
      <c r="G1462" s="120" t="s">
        <v>759</v>
      </c>
      <c r="H1462" s="168">
        <v>70000</v>
      </c>
      <c r="J1462"/>
      <c r="K1462"/>
      <c r="L1462" s="104"/>
    </row>
    <row r="1463" spans="1:12" x14ac:dyDescent="0.25">
      <c r="A1463" s="115">
        <v>1462</v>
      </c>
      <c r="B1463" s="116">
        <v>45608</v>
      </c>
      <c r="C1463" s="117">
        <v>2024</v>
      </c>
      <c r="D1463" s="118" t="s">
        <v>35</v>
      </c>
      <c r="E1463" s="119" t="s">
        <v>211</v>
      </c>
      <c r="F1463" s="120">
        <v>6</v>
      </c>
      <c r="G1463" s="120" t="s">
        <v>759</v>
      </c>
      <c r="H1463" s="121">
        <v>126000</v>
      </c>
      <c r="J1463"/>
      <c r="K1463"/>
      <c r="L1463" s="104"/>
    </row>
    <row r="1464" spans="1:12" x14ac:dyDescent="0.25">
      <c r="A1464" s="115">
        <v>1463</v>
      </c>
      <c r="B1464" s="116">
        <v>45608</v>
      </c>
      <c r="C1464" s="117">
        <v>2024</v>
      </c>
      <c r="D1464" s="118" t="s">
        <v>35</v>
      </c>
      <c r="E1464" s="119" t="s">
        <v>211</v>
      </c>
      <c r="F1464" s="120">
        <v>5</v>
      </c>
      <c r="G1464" s="120" t="s">
        <v>759</v>
      </c>
      <c r="H1464" s="121">
        <v>97500</v>
      </c>
      <c r="J1464"/>
      <c r="K1464"/>
      <c r="L1464" s="104"/>
    </row>
    <row r="1465" spans="1:12" x14ac:dyDescent="0.25">
      <c r="A1465" s="115">
        <v>1464</v>
      </c>
      <c r="B1465" s="116">
        <v>45608</v>
      </c>
      <c r="C1465" s="117">
        <v>2024</v>
      </c>
      <c r="D1465" s="118" t="s">
        <v>35</v>
      </c>
      <c r="E1465" s="119" t="s">
        <v>211</v>
      </c>
      <c r="F1465" s="120">
        <v>1</v>
      </c>
      <c r="G1465" s="120" t="s">
        <v>759</v>
      </c>
      <c r="H1465" s="121">
        <v>19500</v>
      </c>
      <c r="J1465"/>
      <c r="K1465"/>
      <c r="L1465" s="104"/>
    </row>
    <row r="1466" spans="1:12" x14ac:dyDescent="0.25">
      <c r="A1466" s="115">
        <v>1465</v>
      </c>
      <c r="B1466" s="167">
        <v>45608</v>
      </c>
      <c r="C1466" s="117">
        <v>2024</v>
      </c>
      <c r="D1466" s="119" t="s">
        <v>35</v>
      </c>
      <c r="E1466" s="119" t="s">
        <v>1246</v>
      </c>
      <c r="F1466" s="120">
        <v>1</v>
      </c>
      <c r="G1466" s="120" t="s">
        <v>759</v>
      </c>
      <c r="H1466" s="168">
        <v>60000</v>
      </c>
      <c r="J1466"/>
      <c r="K1466"/>
      <c r="L1466" s="104"/>
    </row>
    <row r="1467" spans="1:12" x14ac:dyDescent="0.25">
      <c r="A1467" s="115">
        <v>1466</v>
      </c>
      <c r="B1467" s="167">
        <v>45608</v>
      </c>
      <c r="C1467" s="117">
        <v>2024</v>
      </c>
      <c r="D1467" s="119" t="s">
        <v>35</v>
      </c>
      <c r="E1467" s="119" t="s">
        <v>115</v>
      </c>
      <c r="F1467" s="120">
        <v>2</v>
      </c>
      <c r="G1467" s="120" t="s">
        <v>759</v>
      </c>
      <c r="H1467" s="168">
        <v>160000</v>
      </c>
      <c r="J1467"/>
      <c r="K1467"/>
      <c r="L1467" s="104"/>
    </row>
    <row r="1468" spans="1:12" x14ac:dyDescent="0.25">
      <c r="A1468" s="115">
        <v>1467</v>
      </c>
      <c r="B1468" s="145">
        <v>45608</v>
      </c>
      <c r="C1468" s="146">
        <v>2024</v>
      </c>
      <c r="D1468" s="118" t="s">
        <v>35</v>
      </c>
      <c r="E1468" s="118" t="s">
        <v>1190</v>
      </c>
      <c r="F1468" s="147">
        <v>1</v>
      </c>
      <c r="G1468" s="120" t="s">
        <v>759</v>
      </c>
      <c r="H1468" s="148">
        <v>795870</v>
      </c>
      <c r="J1468"/>
      <c r="K1468"/>
      <c r="L1468" s="104"/>
    </row>
    <row r="1469" spans="1:12" x14ac:dyDescent="0.25">
      <c r="A1469" s="115">
        <v>1468</v>
      </c>
      <c r="B1469" s="167">
        <v>45609</v>
      </c>
      <c r="C1469" s="117">
        <v>2024</v>
      </c>
      <c r="D1469" s="119" t="s">
        <v>259</v>
      </c>
      <c r="E1469" s="119" t="s">
        <v>331</v>
      </c>
      <c r="F1469" s="120">
        <v>4</v>
      </c>
      <c r="G1469" s="120" t="s">
        <v>759</v>
      </c>
      <c r="H1469" s="168">
        <v>680000</v>
      </c>
      <c r="J1469"/>
      <c r="K1469"/>
      <c r="L1469" s="104"/>
    </row>
    <row r="1470" spans="1:12" x14ac:dyDescent="0.25">
      <c r="A1470" s="115">
        <v>1469</v>
      </c>
      <c r="B1470" s="167">
        <v>45609</v>
      </c>
      <c r="C1470" s="117">
        <v>2024</v>
      </c>
      <c r="D1470" s="119" t="s">
        <v>833</v>
      </c>
      <c r="E1470" s="119" t="s">
        <v>1247</v>
      </c>
      <c r="F1470" s="120">
        <v>1</v>
      </c>
      <c r="G1470" s="120" t="s">
        <v>759</v>
      </c>
      <c r="H1470" s="168">
        <v>54300</v>
      </c>
      <c r="J1470"/>
      <c r="K1470"/>
      <c r="L1470" s="104"/>
    </row>
    <row r="1471" spans="1:12" x14ac:dyDescent="0.25">
      <c r="A1471" s="115">
        <v>1470</v>
      </c>
      <c r="B1471" s="167">
        <v>45609</v>
      </c>
      <c r="C1471" s="117">
        <v>2024</v>
      </c>
      <c r="D1471" s="119" t="s">
        <v>833</v>
      </c>
      <c r="E1471" s="119" t="s">
        <v>1248</v>
      </c>
      <c r="F1471" s="120">
        <v>3</v>
      </c>
      <c r="G1471" s="120" t="s">
        <v>759</v>
      </c>
      <c r="H1471" s="168">
        <v>330000</v>
      </c>
      <c r="J1471"/>
      <c r="K1471"/>
      <c r="L1471" s="104"/>
    </row>
    <row r="1472" spans="1:12" x14ac:dyDescent="0.25">
      <c r="A1472" s="115">
        <v>1471</v>
      </c>
      <c r="B1472" s="167">
        <v>45609</v>
      </c>
      <c r="C1472" s="117">
        <v>2024</v>
      </c>
      <c r="D1472" s="119" t="s">
        <v>259</v>
      </c>
      <c r="E1472" s="119" t="s">
        <v>1249</v>
      </c>
      <c r="F1472" s="120">
        <v>6</v>
      </c>
      <c r="G1472" s="120" t="s">
        <v>759</v>
      </c>
      <c r="H1472" s="168">
        <v>318000</v>
      </c>
      <c r="J1472"/>
      <c r="K1472"/>
      <c r="L1472" s="104"/>
    </row>
    <row r="1473" spans="1:12" x14ac:dyDescent="0.25">
      <c r="A1473" s="115">
        <v>1472</v>
      </c>
      <c r="B1473" s="145">
        <v>45609</v>
      </c>
      <c r="C1473" s="146">
        <v>2024</v>
      </c>
      <c r="D1473" s="118" t="s">
        <v>35</v>
      </c>
      <c r="E1473" s="118" t="s">
        <v>1250</v>
      </c>
      <c r="F1473" s="147">
        <v>1</v>
      </c>
      <c r="G1473" s="120" t="s">
        <v>759</v>
      </c>
      <c r="H1473" s="148">
        <v>3100000</v>
      </c>
      <c r="J1473"/>
      <c r="K1473"/>
      <c r="L1473" s="104"/>
    </row>
    <row r="1474" spans="1:12" x14ac:dyDescent="0.25">
      <c r="A1474" s="115">
        <v>1473</v>
      </c>
      <c r="B1474" s="145">
        <v>45609</v>
      </c>
      <c r="C1474" s="146">
        <v>2024</v>
      </c>
      <c r="D1474" s="118" t="s">
        <v>35</v>
      </c>
      <c r="E1474" s="118" t="s">
        <v>1250</v>
      </c>
      <c r="F1474" s="147">
        <v>1</v>
      </c>
      <c r="G1474" s="120" t="s">
        <v>759</v>
      </c>
      <c r="H1474" s="148">
        <v>3100000</v>
      </c>
      <c r="J1474"/>
      <c r="K1474"/>
      <c r="L1474" s="104"/>
    </row>
    <row r="1475" spans="1:12" x14ac:dyDescent="0.25">
      <c r="A1475" s="115">
        <v>1474</v>
      </c>
      <c r="B1475" s="145">
        <v>45609</v>
      </c>
      <c r="C1475" s="146">
        <v>2024</v>
      </c>
      <c r="D1475" s="118" t="s">
        <v>35</v>
      </c>
      <c r="E1475" s="118" t="s">
        <v>1250</v>
      </c>
      <c r="F1475" s="147">
        <v>1</v>
      </c>
      <c r="G1475" s="120" t="s">
        <v>759</v>
      </c>
      <c r="H1475" s="148">
        <v>3100000</v>
      </c>
      <c r="J1475"/>
      <c r="K1475"/>
      <c r="L1475" s="104"/>
    </row>
    <row r="1476" spans="1:12" x14ac:dyDescent="0.25">
      <c r="A1476" s="115">
        <v>1475</v>
      </c>
      <c r="B1476" s="145">
        <v>45609</v>
      </c>
      <c r="C1476" s="146">
        <v>2024</v>
      </c>
      <c r="D1476" s="118" t="s">
        <v>35</v>
      </c>
      <c r="E1476" s="118" t="s">
        <v>1250</v>
      </c>
      <c r="F1476" s="147">
        <v>1</v>
      </c>
      <c r="G1476" s="120" t="s">
        <v>759</v>
      </c>
      <c r="H1476" s="148">
        <v>9000000</v>
      </c>
      <c r="J1476"/>
      <c r="K1476"/>
      <c r="L1476" s="104"/>
    </row>
    <row r="1477" spans="1:12" x14ac:dyDescent="0.25">
      <c r="A1477" s="115">
        <v>1476</v>
      </c>
      <c r="B1477" s="145">
        <v>45609</v>
      </c>
      <c r="C1477" s="146">
        <v>2024</v>
      </c>
      <c r="D1477" s="118" t="s">
        <v>35</v>
      </c>
      <c r="E1477" s="118" t="s">
        <v>1250</v>
      </c>
      <c r="F1477" s="147">
        <v>1</v>
      </c>
      <c r="G1477" s="120" t="s">
        <v>759</v>
      </c>
      <c r="H1477" s="148">
        <v>3100000</v>
      </c>
      <c r="J1477"/>
      <c r="K1477"/>
      <c r="L1477" s="104"/>
    </row>
    <row r="1478" spans="1:12" x14ac:dyDescent="0.25">
      <c r="A1478" s="115">
        <v>1477</v>
      </c>
      <c r="B1478" s="145">
        <v>45609</v>
      </c>
      <c r="C1478" s="146">
        <v>2024</v>
      </c>
      <c r="D1478" s="118" t="s">
        <v>35</v>
      </c>
      <c r="E1478" s="118" t="s">
        <v>1250</v>
      </c>
      <c r="F1478" s="147">
        <v>1</v>
      </c>
      <c r="G1478" s="120" t="s">
        <v>759</v>
      </c>
      <c r="H1478" s="148">
        <v>9000000</v>
      </c>
      <c r="J1478"/>
      <c r="K1478"/>
      <c r="L1478" s="104"/>
    </row>
    <row r="1479" spans="1:12" x14ac:dyDescent="0.25">
      <c r="A1479" s="115">
        <v>1478</v>
      </c>
      <c r="B1479" s="145">
        <v>45609</v>
      </c>
      <c r="C1479" s="146">
        <v>2024</v>
      </c>
      <c r="D1479" s="118" t="s">
        <v>35</v>
      </c>
      <c r="E1479" s="118" t="s">
        <v>1153</v>
      </c>
      <c r="F1479" s="147">
        <v>1</v>
      </c>
      <c r="G1479" s="120" t="s">
        <v>759</v>
      </c>
      <c r="H1479" s="148">
        <v>470000</v>
      </c>
      <c r="J1479"/>
      <c r="K1479"/>
      <c r="L1479" s="104"/>
    </row>
    <row r="1480" spans="1:12" x14ac:dyDescent="0.25">
      <c r="A1480" s="115">
        <v>1479</v>
      </c>
      <c r="B1480" s="145">
        <v>45609</v>
      </c>
      <c r="C1480" s="146">
        <v>2024</v>
      </c>
      <c r="D1480" s="118" t="s">
        <v>35</v>
      </c>
      <c r="E1480" s="118" t="s">
        <v>1153</v>
      </c>
      <c r="F1480" s="147">
        <v>1</v>
      </c>
      <c r="G1480" s="120" t="s">
        <v>759</v>
      </c>
      <c r="H1480" s="148">
        <v>470000</v>
      </c>
      <c r="J1480"/>
      <c r="K1480"/>
      <c r="L1480" s="104"/>
    </row>
    <row r="1481" spans="1:12" x14ac:dyDescent="0.25">
      <c r="A1481" s="115">
        <v>1480</v>
      </c>
      <c r="B1481" s="145">
        <v>45609</v>
      </c>
      <c r="C1481" s="146">
        <v>2024</v>
      </c>
      <c r="D1481" s="118" t="s">
        <v>35</v>
      </c>
      <c r="E1481" s="118" t="s">
        <v>1153</v>
      </c>
      <c r="F1481" s="147">
        <v>1</v>
      </c>
      <c r="G1481" s="120" t="s">
        <v>759</v>
      </c>
      <c r="H1481" s="148">
        <v>612000</v>
      </c>
      <c r="J1481"/>
      <c r="K1481"/>
      <c r="L1481" s="104"/>
    </row>
    <row r="1482" spans="1:12" x14ac:dyDescent="0.25">
      <c r="A1482" s="115">
        <v>1481</v>
      </c>
      <c r="B1482" s="145">
        <v>45609</v>
      </c>
      <c r="C1482" s="146">
        <v>2024</v>
      </c>
      <c r="D1482" s="118" t="s">
        <v>35</v>
      </c>
      <c r="E1482" s="118" t="s">
        <v>1153</v>
      </c>
      <c r="F1482" s="147">
        <v>1</v>
      </c>
      <c r="G1482" s="120" t="s">
        <v>759</v>
      </c>
      <c r="H1482" s="148">
        <v>612000</v>
      </c>
      <c r="J1482"/>
      <c r="K1482"/>
      <c r="L1482" s="104"/>
    </row>
    <row r="1483" spans="1:12" x14ac:dyDescent="0.25">
      <c r="A1483" s="115">
        <v>1482</v>
      </c>
      <c r="B1483" s="145">
        <v>45609</v>
      </c>
      <c r="C1483" s="146">
        <v>2024</v>
      </c>
      <c r="D1483" s="118" t="s">
        <v>35</v>
      </c>
      <c r="E1483" s="118" t="s">
        <v>1153</v>
      </c>
      <c r="F1483" s="147">
        <v>1</v>
      </c>
      <c r="G1483" s="120" t="s">
        <v>759</v>
      </c>
      <c r="H1483" s="148">
        <v>470000</v>
      </c>
      <c r="J1483"/>
      <c r="K1483"/>
      <c r="L1483" s="104"/>
    </row>
    <row r="1484" spans="1:12" x14ac:dyDescent="0.25">
      <c r="A1484" s="115">
        <v>1483</v>
      </c>
      <c r="B1484" s="145">
        <v>45609</v>
      </c>
      <c r="C1484" s="146">
        <v>2024</v>
      </c>
      <c r="D1484" s="118" t="s">
        <v>35</v>
      </c>
      <c r="E1484" s="118" t="s">
        <v>1251</v>
      </c>
      <c r="F1484" s="147">
        <v>1</v>
      </c>
      <c r="G1484" s="120" t="s">
        <v>759</v>
      </c>
      <c r="H1484" s="148">
        <v>612000</v>
      </c>
      <c r="J1484"/>
      <c r="K1484"/>
      <c r="L1484" s="104"/>
    </row>
    <row r="1485" spans="1:12" x14ac:dyDescent="0.25">
      <c r="A1485" s="115">
        <v>1484</v>
      </c>
      <c r="B1485" s="145">
        <v>45609</v>
      </c>
      <c r="C1485" s="146">
        <v>2024</v>
      </c>
      <c r="D1485" s="118" t="s">
        <v>35</v>
      </c>
      <c r="E1485" s="118" t="s">
        <v>1251</v>
      </c>
      <c r="F1485" s="147">
        <v>1</v>
      </c>
      <c r="G1485" s="120" t="s">
        <v>759</v>
      </c>
      <c r="H1485" s="148">
        <v>612000</v>
      </c>
      <c r="J1485"/>
      <c r="K1485"/>
      <c r="L1485" s="104"/>
    </row>
    <row r="1486" spans="1:12" x14ac:dyDescent="0.25">
      <c r="A1486" s="115">
        <v>1485</v>
      </c>
      <c r="B1486" s="145">
        <v>45609</v>
      </c>
      <c r="C1486" s="146">
        <v>2024</v>
      </c>
      <c r="D1486" s="118" t="s">
        <v>35</v>
      </c>
      <c r="E1486" s="118" t="s">
        <v>1153</v>
      </c>
      <c r="F1486" s="147">
        <v>1</v>
      </c>
      <c r="G1486" s="120" t="s">
        <v>759</v>
      </c>
      <c r="H1486" s="148">
        <v>470000</v>
      </c>
      <c r="J1486"/>
      <c r="K1486"/>
      <c r="L1486" s="104"/>
    </row>
    <row r="1487" spans="1:12" x14ac:dyDescent="0.25">
      <c r="A1487" s="115">
        <v>1486</v>
      </c>
      <c r="B1487" s="145">
        <v>45609</v>
      </c>
      <c r="C1487" s="146">
        <v>2024</v>
      </c>
      <c r="D1487" s="118" t="s">
        <v>35</v>
      </c>
      <c r="E1487" s="118" t="s">
        <v>1251</v>
      </c>
      <c r="F1487" s="147">
        <v>1</v>
      </c>
      <c r="G1487" s="120" t="s">
        <v>759</v>
      </c>
      <c r="H1487" s="148">
        <v>612000</v>
      </c>
      <c r="J1487"/>
      <c r="K1487"/>
      <c r="L1487" s="104"/>
    </row>
    <row r="1488" spans="1:12" x14ac:dyDescent="0.25">
      <c r="A1488" s="115">
        <v>1487</v>
      </c>
      <c r="B1488" s="155">
        <v>45609</v>
      </c>
      <c r="C1488" s="146">
        <v>2024</v>
      </c>
      <c r="D1488" s="118" t="s">
        <v>35</v>
      </c>
      <c r="E1488" s="118" t="s">
        <v>1153</v>
      </c>
      <c r="F1488" s="147">
        <v>1</v>
      </c>
      <c r="G1488" s="120" t="s">
        <v>759</v>
      </c>
      <c r="H1488" s="148">
        <v>470000</v>
      </c>
      <c r="J1488"/>
      <c r="K1488"/>
      <c r="L1488" s="104"/>
    </row>
    <row r="1489" spans="1:12" x14ac:dyDescent="0.25">
      <c r="A1489" s="115">
        <v>1488</v>
      </c>
      <c r="B1489" s="145">
        <v>45609</v>
      </c>
      <c r="C1489" s="146">
        <v>2024</v>
      </c>
      <c r="D1489" s="118" t="s">
        <v>35</v>
      </c>
      <c r="E1489" s="118" t="s">
        <v>827</v>
      </c>
      <c r="F1489" s="147">
        <v>1</v>
      </c>
      <c r="G1489" s="120" t="s">
        <v>759</v>
      </c>
      <c r="H1489" s="148">
        <v>280000</v>
      </c>
      <c r="J1489"/>
      <c r="K1489"/>
      <c r="L1489" s="104"/>
    </row>
    <row r="1490" spans="1:12" x14ac:dyDescent="0.25">
      <c r="A1490" s="115">
        <v>1489</v>
      </c>
      <c r="B1490" s="145">
        <v>45609</v>
      </c>
      <c r="C1490" s="146">
        <v>2024</v>
      </c>
      <c r="D1490" s="118" t="s">
        <v>35</v>
      </c>
      <c r="E1490" s="118" t="s">
        <v>823</v>
      </c>
      <c r="F1490" s="147">
        <v>1</v>
      </c>
      <c r="G1490" s="120" t="s">
        <v>759</v>
      </c>
      <c r="H1490" s="148">
        <v>65000</v>
      </c>
      <c r="J1490"/>
      <c r="K1490"/>
      <c r="L1490" s="104"/>
    </row>
    <row r="1491" spans="1:12" x14ac:dyDescent="0.25">
      <c r="A1491" s="115">
        <v>1490</v>
      </c>
      <c r="B1491" s="145">
        <v>45609</v>
      </c>
      <c r="C1491" s="146">
        <v>2024</v>
      </c>
      <c r="D1491" s="118" t="s">
        <v>35</v>
      </c>
      <c r="E1491" s="118" t="s">
        <v>827</v>
      </c>
      <c r="F1491" s="147">
        <v>1</v>
      </c>
      <c r="G1491" s="120" t="s">
        <v>759</v>
      </c>
      <c r="H1491" s="148">
        <v>145000</v>
      </c>
      <c r="J1491"/>
      <c r="K1491"/>
      <c r="L1491" s="104"/>
    </row>
    <row r="1492" spans="1:12" x14ac:dyDescent="0.25">
      <c r="A1492" s="115">
        <v>1491</v>
      </c>
      <c r="B1492" s="145">
        <v>45609</v>
      </c>
      <c r="C1492" s="146">
        <v>2024</v>
      </c>
      <c r="D1492" s="118" t="s">
        <v>35</v>
      </c>
      <c r="E1492" s="118" t="s">
        <v>827</v>
      </c>
      <c r="F1492" s="147">
        <v>1</v>
      </c>
      <c r="G1492" s="120" t="s">
        <v>759</v>
      </c>
      <c r="H1492" s="148">
        <v>140000</v>
      </c>
      <c r="J1492"/>
      <c r="K1492"/>
      <c r="L1492" s="104"/>
    </row>
    <row r="1493" spans="1:12" x14ac:dyDescent="0.25">
      <c r="A1493" s="115">
        <v>1492</v>
      </c>
      <c r="B1493" s="145">
        <v>45609</v>
      </c>
      <c r="C1493" s="146">
        <v>2024</v>
      </c>
      <c r="D1493" s="118" t="s">
        <v>35</v>
      </c>
      <c r="E1493" s="118" t="s">
        <v>823</v>
      </c>
      <c r="F1493" s="147">
        <v>1</v>
      </c>
      <c r="G1493" s="120" t="s">
        <v>759</v>
      </c>
      <c r="H1493" s="148">
        <v>65000</v>
      </c>
      <c r="J1493"/>
      <c r="K1493"/>
      <c r="L1493" s="104"/>
    </row>
    <row r="1494" spans="1:12" x14ac:dyDescent="0.25">
      <c r="A1494" s="115">
        <v>1493</v>
      </c>
      <c r="B1494" s="145">
        <v>45609</v>
      </c>
      <c r="C1494" s="146">
        <v>2024</v>
      </c>
      <c r="D1494" s="118" t="s">
        <v>35</v>
      </c>
      <c r="E1494" s="118" t="s">
        <v>827</v>
      </c>
      <c r="F1494" s="147">
        <v>1</v>
      </c>
      <c r="G1494" s="120" t="s">
        <v>759</v>
      </c>
      <c r="H1494" s="148">
        <v>140000</v>
      </c>
      <c r="J1494"/>
      <c r="K1494"/>
      <c r="L1494" s="104"/>
    </row>
    <row r="1495" spans="1:12" x14ac:dyDescent="0.25">
      <c r="A1495" s="115">
        <v>1494</v>
      </c>
      <c r="B1495" s="145">
        <v>45609</v>
      </c>
      <c r="C1495" s="146">
        <v>2024</v>
      </c>
      <c r="D1495" s="118" t="s">
        <v>35</v>
      </c>
      <c r="E1495" s="118" t="s">
        <v>823</v>
      </c>
      <c r="F1495" s="147">
        <v>1</v>
      </c>
      <c r="G1495" s="120" t="s">
        <v>759</v>
      </c>
      <c r="H1495" s="148">
        <v>65000</v>
      </c>
      <c r="J1495"/>
      <c r="K1495"/>
      <c r="L1495" s="104"/>
    </row>
    <row r="1496" spans="1:12" x14ac:dyDescent="0.25">
      <c r="A1496" s="115">
        <v>1495</v>
      </c>
      <c r="B1496" s="155">
        <v>45609</v>
      </c>
      <c r="C1496" s="146">
        <v>2024</v>
      </c>
      <c r="D1496" s="118" t="s">
        <v>35</v>
      </c>
      <c r="E1496" s="118" t="s">
        <v>827</v>
      </c>
      <c r="F1496" s="147">
        <v>1</v>
      </c>
      <c r="G1496" s="120" t="s">
        <v>759</v>
      </c>
      <c r="H1496" s="148">
        <v>140000</v>
      </c>
      <c r="J1496"/>
      <c r="K1496"/>
      <c r="L1496" s="104"/>
    </row>
    <row r="1497" spans="1:12" x14ac:dyDescent="0.25">
      <c r="A1497" s="115">
        <v>1496</v>
      </c>
      <c r="B1497" s="155">
        <v>45609</v>
      </c>
      <c r="C1497" s="146">
        <v>2024</v>
      </c>
      <c r="D1497" s="118" t="s">
        <v>35</v>
      </c>
      <c r="E1497" s="118" t="s">
        <v>823</v>
      </c>
      <c r="F1497" s="147">
        <v>1</v>
      </c>
      <c r="G1497" s="120" t="s">
        <v>759</v>
      </c>
      <c r="H1497" s="148">
        <v>65000</v>
      </c>
      <c r="J1497"/>
      <c r="K1497"/>
      <c r="L1497" s="104"/>
    </row>
    <row r="1498" spans="1:12" x14ac:dyDescent="0.25">
      <c r="A1498" s="115">
        <v>1497</v>
      </c>
      <c r="B1498" s="155">
        <v>45609</v>
      </c>
      <c r="C1498" s="146">
        <v>2024</v>
      </c>
      <c r="D1498" s="118" t="s">
        <v>35</v>
      </c>
      <c r="E1498" s="118" t="s">
        <v>1252</v>
      </c>
      <c r="F1498" s="147">
        <v>1</v>
      </c>
      <c r="G1498" s="120" t="s">
        <v>759</v>
      </c>
      <c r="H1498" s="148">
        <v>210000</v>
      </c>
      <c r="J1498"/>
      <c r="K1498"/>
      <c r="L1498" s="104"/>
    </row>
    <row r="1499" spans="1:12" x14ac:dyDescent="0.25">
      <c r="A1499" s="115">
        <v>1498</v>
      </c>
      <c r="B1499" s="155">
        <v>45609</v>
      </c>
      <c r="C1499" s="146">
        <v>2024</v>
      </c>
      <c r="D1499" s="118" t="s">
        <v>35</v>
      </c>
      <c r="E1499" s="118" t="s">
        <v>823</v>
      </c>
      <c r="F1499" s="147">
        <v>1</v>
      </c>
      <c r="G1499" s="120" t="s">
        <v>759</v>
      </c>
      <c r="H1499" s="148">
        <v>65000</v>
      </c>
      <c r="J1499"/>
      <c r="K1499"/>
      <c r="L1499" s="104"/>
    </row>
    <row r="1500" spans="1:12" x14ac:dyDescent="0.25">
      <c r="A1500" s="115">
        <v>1499</v>
      </c>
      <c r="B1500" s="145">
        <v>45609</v>
      </c>
      <c r="C1500" s="146">
        <v>2024</v>
      </c>
      <c r="D1500" s="118" t="s">
        <v>35</v>
      </c>
      <c r="E1500" s="118" t="s">
        <v>827</v>
      </c>
      <c r="F1500" s="147">
        <v>1</v>
      </c>
      <c r="G1500" s="120" t="s">
        <v>759</v>
      </c>
      <c r="H1500" s="148">
        <v>140000</v>
      </c>
      <c r="J1500"/>
      <c r="K1500"/>
      <c r="L1500" s="104"/>
    </row>
    <row r="1501" spans="1:12" x14ac:dyDescent="0.25">
      <c r="A1501" s="115">
        <v>1500</v>
      </c>
      <c r="B1501" s="145">
        <v>45609</v>
      </c>
      <c r="C1501" s="146">
        <v>2024</v>
      </c>
      <c r="D1501" s="118" t="s">
        <v>35</v>
      </c>
      <c r="E1501" s="118" t="s">
        <v>823</v>
      </c>
      <c r="F1501" s="147">
        <v>1</v>
      </c>
      <c r="G1501" s="120" t="s">
        <v>759</v>
      </c>
      <c r="H1501" s="148">
        <v>65000</v>
      </c>
      <c r="J1501"/>
      <c r="K1501"/>
      <c r="L1501" s="104"/>
    </row>
    <row r="1502" spans="1:12" x14ac:dyDescent="0.25">
      <c r="A1502" s="115">
        <v>1501</v>
      </c>
      <c r="B1502" s="145">
        <v>45609</v>
      </c>
      <c r="C1502" s="146">
        <v>2024</v>
      </c>
      <c r="D1502" s="118" t="s">
        <v>35</v>
      </c>
      <c r="E1502" s="118" t="s">
        <v>1252</v>
      </c>
      <c r="F1502" s="147">
        <v>1</v>
      </c>
      <c r="G1502" s="120" t="s">
        <v>759</v>
      </c>
      <c r="H1502" s="148">
        <v>140000</v>
      </c>
      <c r="J1502"/>
      <c r="K1502"/>
      <c r="L1502" s="104"/>
    </row>
    <row r="1503" spans="1:12" x14ac:dyDescent="0.25">
      <c r="A1503" s="115">
        <v>1502</v>
      </c>
      <c r="B1503" s="145">
        <v>45609</v>
      </c>
      <c r="C1503" s="146">
        <v>2024</v>
      </c>
      <c r="D1503" s="118" t="s">
        <v>35</v>
      </c>
      <c r="E1503" s="118" t="s">
        <v>823</v>
      </c>
      <c r="F1503" s="147">
        <v>1</v>
      </c>
      <c r="G1503" s="120" t="s">
        <v>759</v>
      </c>
      <c r="H1503" s="148">
        <v>65000</v>
      </c>
      <c r="J1503"/>
      <c r="K1503"/>
      <c r="L1503" s="104"/>
    </row>
    <row r="1504" spans="1:12" x14ac:dyDescent="0.25">
      <c r="A1504" s="115">
        <v>1503</v>
      </c>
      <c r="B1504" s="145">
        <v>45609</v>
      </c>
      <c r="C1504" s="146">
        <v>2024</v>
      </c>
      <c r="D1504" s="118" t="s">
        <v>35</v>
      </c>
      <c r="E1504" s="118" t="s">
        <v>827</v>
      </c>
      <c r="F1504" s="147">
        <v>1</v>
      </c>
      <c r="G1504" s="120" t="s">
        <v>759</v>
      </c>
      <c r="H1504" s="148">
        <v>280000</v>
      </c>
      <c r="J1504"/>
      <c r="K1504"/>
      <c r="L1504" s="104"/>
    </row>
    <row r="1505" spans="1:12" x14ac:dyDescent="0.25">
      <c r="A1505" s="115">
        <v>1504</v>
      </c>
      <c r="B1505" s="145">
        <v>45609</v>
      </c>
      <c r="C1505" s="146">
        <v>2024</v>
      </c>
      <c r="D1505" s="118" t="s">
        <v>35</v>
      </c>
      <c r="E1505" s="118" t="s">
        <v>823</v>
      </c>
      <c r="F1505" s="147">
        <v>1</v>
      </c>
      <c r="G1505" s="120" t="s">
        <v>759</v>
      </c>
      <c r="H1505" s="148">
        <v>65000</v>
      </c>
      <c r="J1505"/>
      <c r="K1505"/>
      <c r="L1505" s="104"/>
    </row>
    <row r="1506" spans="1:12" x14ac:dyDescent="0.25">
      <c r="A1506" s="115">
        <v>1505</v>
      </c>
      <c r="B1506" s="145">
        <v>45609</v>
      </c>
      <c r="C1506" s="146">
        <v>2024</v>
      </c>
      <c r="D1506" s="118" t="s">
        <v>35</v>
      </c>
      <c r="E1506" s="118" t="s">
        <v>823</v>
      </c>
      <c r="F1506" s="147">
        <v>1</v>
      </c>
      <c r="G1506" s="120" t="s">
        <v>759</v>
      </c>
      <c r="H1506" s="148">
        <v>65000</v>
      </c>
      <c r="J1506"/>
      <c r="K1506"/>
      <c r="L1506" s="104"/>
    </row>
    <row r="1507" spans="1:12" x14ac:dyDescent="0.25">
      <c r="A1507" s="115">
        <v>1506</v>
      </c>
      <c r="B1507" s="145">
        <v>45609</v>
      </c>
      <c r="C1507" s="146">
        <v>2024</v>
      </c>
      <c r="D1507" s="118" t="s">
        <v>35</v>
      </c>
      <c r="E1507" s="118" t="s">
        <v>1252</v>
      </c>
      <c r="F1507" s="147">
        <v>1</v>
      </c>
      <c r="G1507" s="120" t="s">
        <v>759</v>
      </c>
      <c r="H1507" s="148">
        <v>140000</v>
      </c>
      <c r="J1507"/>
      <c r="K1507"/>
      <c r="L1507" s="104"/>
    </row>
    <row r="1508" spans="1:12" x14ac:dyDescent="0.25">
      <c r="A1508" s="115">
        <v>1507</v>
      </c>
      <c r="B1508" s="145">
        <v>45609</v>
      </c>
      <c r="C1508" s="146">
        <v>2024</v>
      </c>
      <c r="D1508" s="118" t="s">
        <v>35</v>
      </c>
      <c r="E1508" s="118" t="s">
        <v>823</v>
      </c>
      <c r="F1508" s="147">
        <v>1</v>
      </c>
      <c r="G1508" s="120" t="s">
        <v>759</v>
      </c>
      <c r="H1508" s="148">
        <v>65000</v>
      </c>
      <c r="J1508"/>
      <c r="K1508"/>
      <c r="L1508" s="104"/>
    </row>
    <row r="1509" spans="1:12" x14ac:dyDescent="0.25">
      <c r="A1509" s="115">
        <v>1508</v>
      </c>
      <c r="B1509" s="155">
        <v>45609</v>
      </c>
      <c r="C1509" s="146">
        <v>2024</v>
      </c>
      <c r="D1509" s="118" t="s">
        <v>35</v>
      </c>
      <c r="E1509" s="118" t="s">
        <v>1252</v>
      </c>
      <c r="F1509" s="147">
        <v>1</v>
      </c>
      <c r="G1509" s="120" t="s">
        <v>759</v>
      </c>
      <c r="H1509" s="148">
        <v>140000</v>
      </c>
      <c r="J1509"/>
      <c r="K1509"/>
      <c r="L1509" s="104"/>
    </row>
    <row r="1510" spans="1:12" x14ac:dyDescent="0.25">
      <c r="A1510" s="115">
        <v>1509</v>
      </c>
      <c r="B1510" s="155">
        <v>45609</v>
      </c>
      <c r="C1510" s="146">
        <v>2024</v>
      </c>
      <c r="D1510" s="118" t="s">
        <v>35</v>
      </c>
      <c r="E1510" s="118" t="s">
        <v>823</v>
      </c>
      <c r="F1510" s="147">
        <v>1</v>
      </c>
      <c r="G1510" s="120" t="s">
        <v>759</v>
      </c>
      <c r="H1510" s="148">
        <v>35000</v>
      </c>
      <c r="J1510"/>
      <c r="K1510"/>
      <c r="L1510" s="104"/>
    </row>
    <row r="1511" spans="1:12" x14ac:dyDescent="0.25">
      <c r="A1511" s="115">
        <v>1510</v>
      </c>
      <c r="B1511" s="155">
        <v>45609</v>
      </c>
      <c r="C1511" s="146">
        <v>2024</v>
      </c>
      <c r="D1511" s="118" t="s">
        <v>35</v>
      </c>
      <c r="E1511" s="118" t="s">
        <v>823</v>
      </c>
      <c r="F1511" s="147">
        <v>1</v>
      </c>
      <c r="G1511" s="120" t="s">
        <v>759</v>
      </c>
      <c r="H1511" s="148">
        <v>35000</v>
      </c>
      <c r="J1511"/>
      <c r="K1511"/>
      <c r="L1511" s="104"/>
    </row>
    <row r="1512" spans="1:12" x14ac:dyDescent="0.25">
      <c r="A1512" s="115">
        <v>1511</v>
      </c>
      <c r="B1512" s="155">
        <v>45609</v>
      </c>
      <c r="C1512" s="146">
        <v>2024</v>
      </c>
      <c r="D1512" s="118" t="s">
        <v>35</v>
      </c>
      <c r="E1512" s="118" t="s">
        <v>1252</v>
      </c>
      <c r="F1512" s="147">
        <v>1</v>
      </c>
      <c r="G1512" s="120" t="s">
        <v>759</v>
      </c>
      <c r="H1512" s="148">
        <v>140000</v>
      </c>
      <c r="J1512"/>
      <c r="K1512"/>
      <c r="L1512" s="104"/>
    </row>
    <row r="1513" spans="1:12" x14ac:dyDescent="0.25">
      <c r="A1513" s="115">
        <v>1512</v>
      </c>
      <c r="B1513" s="155">
        <v>45609</v>
      </c>
      <c r="C1513" s="146">
        <v>2024</v>
      </c>
      <c r="D1513" s="118" t="s">
        <v>35</v>
      </c>
      <c r="E1513" s="118" t="s">
        <v>823</v>
      </c>
      <c r="F1513" s="147">
        <v>1</v>
      </c>
      <c r="G1513" s="120" t="s">
        <v>759</v>
      </c>
      <c r="H1513" s="148">
        <v>65000</v>
      </c>
      <c r="J1513"/>
      <c r="K1513"/>
      <c r="L1513" s="104"/>
    </row>
    <row r="1514" spans="1:12" x14ac:dyDescent="0.25">
      <c r="A1514" s="115">
        <v>1513</v>
      </c>
      <c r="B1514" s="145">
        <v>45610</v>
      </c>
      <c r="C1514" s="146">
        <v>2024</v>
      </c>
      <c r="D1514" s="118" t="s">
        <v>35</v>
      </c>
      <c r="E1514" s="118" t="s">
        <v>1253</v>
      </c>
      <c r="F1514" s="147">
        <v>1</v>
      </c>
      <c r="G1514" s="120" t="s">
        <v>759</v>
      </c>
      <c r="H1514" s="148">
        <v>430000</v>
      </c>
      <c r="J1514"/>
      <c r="K1514"/>
      <c r="L1514" s="104"/>
    </row>
    <row r="1515" spans="1:12" x14ac:dyDescent="0.25">
      <c r="A1515" s="115">
        <v>1514</v>
      </c>
      <c r="B1515" s="145">
        <v>45610</v>
      </c>
      <c r="C1515" s="146">
        <v>2024</v>
      </c>
      <c r="D1515" s="118" t="s">
        <v>35</v>
      </c>
      <c r="E1515" s="118" t="s">
        <v>1110</v>
      </c>
      <c r="F1515" s="147">
        <v>1</v>
      </c>
      <c r="G1515" s="120" t="s">
        <v>759</v>
      </c>
      <c r="H1515" s="148">
        <v>75000</v>
      </c>
      <c r="J1515"/>
      <c r="K1515"/>
      <c r="L1515" s="104"/>
    </row>
    <row r="1516" spans="1:12" x14ac:dyDescent="0.25">
      <c r="A1516" s="115">
        <v>1515</v>
      </c>
      <c r="B1516" s="145">
        <v>45610</v>
      </c>
      <c r="C1516" s="146">
        <v>2024</v>
      </c>
      <c r="D1516" s="118" t="s">
        <v>35</v>
      </c>
      <c r="E1516" s="118" t="s">
        <v>918</v>
      </c>
      <c r="F1516" s="147">
        <v>1</v>
      </c>
      <c r="G1516" s="120" t="s">
        <v>759</v>
      </c>
      <c r="H1516" s="148">
        <v>56000</v>
      </c>
      <c r="J1516"/>
      <c r="K1516"/>
      <c r="L1516" s="104"/>
    </row>
    <row r="1517" spans="1:12" x14ac:dyDescent="0.25">
      <c r="A1517" s="115">
        <v>1516</v>
      </c>
      <c r="B1517" s="145">
        <v>45610</v>
      </c>
      <c r="C1517" s="146">
        <v>2024</v>
      </c>
      <c r="D1517" s="118" t="s">
        <v>35</v>
      </c>
      <c r="E1517" s="118" t="s">
        <v>1253</v>
      </c>
      <c r="F1517" s="147">
        <v>1</v>
      </c>
      <c r="G1517" s="120" t="s">
        <v>759</v>
      </c>
      <c r="H1517" s="148">
        <v>430000</v>
      </c>
      <c r="J1517"/>
      <c r="K1517"/>
      <c r="L1517" s="104"/>
    </row>
    <row r="1518" spans="1:12" x14ac:dyDescent="0.25">
      <c r="A1518" s="115">
        <v>1517</v>
      </c>
      <c r="B1518" s="145">
        <v>45610</v>
      </c>
      <c r="C1518" s="146">
        <v>2024</v>
      </c>
      <c r="D1518" s="118" t="s">
        <v>35</v>
      </c>
      <c r="E1518" s="118" t="s">
        <v>1253</v>
      </c>
      <c r="F1518" s="147">
        <v>1</v>
      </c>
      <c r="G1518" s="120" t="s">
        <v>759</v>
      </c>
      <c r="H1518" s="148">
        <v>193000</v>
      </c>
      <c r="J1518"/>
      <c r="K1518"/>
      <c r="L1518" s="104"/>
    </row>
    <row r="1519" spans="1:12" x14ac:dyDescent="0.25">
      <c r="A1519" s="115">
        <v>1518</v>
      </c>
      <c r="B1519" s="145">
        <v>45610</v>
      </c>
      <c r="C1519" s="146">
        <v>2024</v>
      </c>
      <c r="D1519" s="118" t="s">
        <v>35</v>
      </c>
      <c r="E1519" s="118" t="s">
        <v>1062</v>
      </c>
      <c r="F1519" s="147">
        <v>1</v>
      </c>
      <c r="G1519" s="120" t="s">
        <v>759</v>
      </c>
      <c r="H1519" s="148">
        <v>227000</v>
      </c>
      <c r="J1519"/>
      <c r="K1519"/>
      <c r="L1519" s="104"/>
    </row>
    <row r="1520" spans="1:12" x14ac:dyDescent="0.25">
      <c r="A1520" s="115">
        <v>1519</v>
      </c>
      <c r="B1520" s="145">
        <v>45610</v>
      </c>
      <c r="C1520" s="146">
        <v>2024</v>
      </c>
      <c r="D1520" s="118" t="s">
        <v>35</v>
      </c>
      <c r="E1520" s="118" t="s">
        <v>1253</v>
      </c>
      <c r="F1520" s="147">
        <v>1</v>
      </c>
      <c r="G1520" s="120" t="s">
        <v>759</v>
      </c>
      <c r="H1520" s="148">
        <v>430000</v>
      </c>
      <c r="J1520"/>
      <c r="K1520"/>
      <c r="L1520" s="104"/>
    </row>
    <row r="1521" spans="1:12" x14ac:dyDescent="0.25">
      <c r="A1521" s="115">
        <v>1520</v>
      </c>
      <c r="B1521" s="145">
        <v>45610</v>
      </c>
      <c r="C1521" s="146">
        <v>2024</v>
      </c>
      <c r="D1521" s="118" t="s">
        <v>35</v>
      </c>
      <c r="E1521" s="118" t="s">
        <v>1110</v>
      </c>
      <c r="F1521" s="147">
        <v>1</v>
      </c>
      <c r="G1521" s="120" t="s">
        <v>759</v>
      </c>
      <c r="H1521" s="148">
        <v>75000</v>
      </c>
      <c r="J1521"/>
      <c r="K1521"/>
      <c r="L1521" s="104"/>
    </row>
    <row r="1522" spans="1:12" x14ac:dyDescent="0.25">
      <c r="A1522" s="115">
        <v>1521</v>
      </c>
      <c r="B1522" s="145">
        <v>45610</v>
      </c>
      <c r="C1522" s="146">
        <v>2024</v>
      </c>
      <c r="D1522" s="118" t="s">
        <v>35</v>
      </c>
      <c r="E1522" s="118" t="s">
        <v>1253</v>
      </c>
      <c r="F1522" s="147">
        <v>1</v>
      </c>
      <c r="G1522" s="120" t="s">
        <v>759</v>
      </c>
      <c r="H1522" s="148">
        <v>430000</v>
      </c>
      <c r="J1522"/>
      <c r="K1522"/>
      <c r="L1522" s="104"/>
    </row>
    <row r="1523" spans="1:12" x14ac:dyDescent="0.25">
      <c r="A1523" s="115">
        <v>1522</v>
      </c>
      <c r="B1523" s="145">
        <v>45610</v>
      </c>
      <c r="C1523" s="146">
        <v>2024</v>
      </c>
      <c r="D1523" s="118" t="s">
        <v>35</v>
      </c>
      <c r="E1523" s="118" t="s">
        <v>1253</v>
      </c>
      <c r="F1523" s="147">
        <v>1</v>
      </c>
      <c r="G1523" s="120" t="s">
        <v>759</v>
      </c>
      <c r="H1523" s="148">
        <v>193000</v>
      </c>
      <c r="J1523"/>
      <c r="K1523"/>
      <c r="L1523" s="104"/>
    </row>
    <row r="1524" spans="1:12" x14ac:dyDescent="0.25">
      <c r="A1524" s="115">
        <v>1523</v>
      </c>
      <c r="B1524" s="145">
        <v>45610</v>
      </c>
      <c r="C1524" s="146">
        <v>2024</v>
      </c>
      <c r="D1524" s="118" t="s">
        <v>35</v>
      </c>
      <c r="E1524" s="118" t="s">
        <v>1062</v>
      </c>
      <c r="F1524" s="147">
        <v>1</v>
      </c>
      <c r="G1524" s="120" t="s">
        <v>759</v>
      </c>
      <c r="H1524" s="148">
        <v>454000</v>
      </c>
      <c r="J1524"/>
      <c r="K1524"/>
      <c r="L1524" s="104"/>
    </row>
    <row r="1525" spans="1:12" x14ac:dyDescent="0.25">
      <c r="A1525" s="115">
        <v>1524</v>
      </c>
      <c r="B1525" s="145">
        <v>45610</v>
      </c>
      <c r="C1525" s="146">
        <v>2024</v>
      </c>
      <c r="D1525" s="118" t="s">
        <v>35</v>
      </c>
      <c r="E1525" s="118" t="s">
        <v>1110</v>
      </c>
      <c r="F1525" s="147">
        <v>1</v>
      </c>
      <c r="G1525" s="120" t="s">
        <v>759</v>
      </c>
      <c r="H1525" s="148">
        <v>75000</v>
      </c>
      <c r="J1525"/>
      <c r="K1525"/>
      <c r="L1525" s="104"/>
    </row>
    <row r="1526" spans="1:12" x14ac:dyDescent="0.25">
      <c r="A1526" s="115">
        <v>1525</v>
      </c>
      <c r="B1526" s="145">
        <v>45610</v>
      </c>
      <c r="C1526" s="146">
        <v>2024</v>
      </c>
      <c r="D1526" s="118" t="s">
        <v>35</v>
      </c>
      <c r="E1526" s="118" t="s">
        <v>1062</v>
      </c>
      <c r="F1526" s="147">
        <v>1</v>
      </c>
      <c r="G1526" s="120" t="s">
        <v>759</v>
      </c>
      <c r="H1526" s="148">
        <v>126500</v>
      </c>
      <c r="J1526"/>
      <c r="K1526"/>
      <c r="L1526" s="104"/>
    </row>
    <row r="1527" spans="1:12" x14ac:dyDescent="0.25">
      <c r="A1527" s="115">
        <v>1526</v>
      </c>
      <c r="B1527" s="145">
        <v>45610</v>
      </c>
      <c r="C1527" s="146">
        <v>2024</v>
      </c>
      <c r="D1527" s="118" t="s">
        <v>35</v>
      </c>
      <c r="E1527" s="118" t="s">
        <v>839</v>
      </c>
      <c r="F1527" s="147">
        <v>1</v>
      </c>
      <c r="G1527" s="120" t="s">
        <v>759</v>
      </c>
      <c r="H1527" s="148">
        <v>184000</v>
      </c>
      <c r="J1527"/>
      <c r="K1527"/>
      <c r="L1527" s="104"/>
    </row>
    <row r="1528" spans="1:12" x14ac:dyDescent="0.25">
      <c r="A1528" s="115">
        <v>1527</v>
      </c>
      <c r="B1528" s="145">
        <v>45610</v>
      </c>
      <c r="C1528" s="146">
        <v>2024</v>
      </c>
      <c r="D1528" s="118" t="s">
        <v>35</v>
      </c>
      <c r="E1528" s="118" t="s">
        <v>839</v>
      </c>
      <c r="F1528" s="147">
        <v>1</v>
      </c>
      <c r="G1528" s="120" t="s">
        <v>759</v>
      </c>
      <c r="H1528" s="148">
        <v>56000</v>
      </c>
      <c r="J1528"/>
      <c r="K1528"/>
      <c r="L1528" s="104"/>
    </row>
    <row r="1529" spans="1:12" x14ac:dyDescent="0.25">
      <c r="A1529" s="115">
        <v>1528</v>
      </c>
      <c r="B1529" s="145">
        <v>45610</v>
      </c>
      <c r="C1529" s="146">
        <v>2024</v>
      </c>
      <c r="D1529" s="118" t="s">
        <v>35</v>
      </c>
      <c r="E1529" s="118" t="s">
        <v>1253</v>
      </c>
      <c r="F1529" s="147">
        <v>1</v>
      </c>
      <c r="G1529" s="120" t="s">
        <v>759</v>
      </c>
      <c r="H1529" s="148">
        <v>430000</v>
      </c>
      <c r="J1529"/>
      <c r="K1529"/>
      <c r="L1529" s="104"/>
    </row>
    <row r="1530" spans="1:12" x14ac:dyDescent="0.25">
      <c r="A1530" s="115">
        <v>1529</v>
      </c>
      <c r="B1530" s="145">
        <v>45610</v>
      </c>
      <c r="C1530" s="146">
        <v>2024</v>
      </c>
      <c r="D1530" s="118" t="s">
        <v>35</v>
      </c>
      <c r="E1530" s="118" t="s">
        <v>1110</v>
      </c>
      <c r="F1530" s="147">
        <v>1</v>
      </c>
      <c r="G1530" s="120" t="s">
        <v>759</v>
      </c>
      <c r="H1530" s="148">
        <v>75000</v>
      </c>
      <c r="J1530"/>
      <c r="K1530"/>
      <c r="L1530" s="104"/>
    </row>
    <row r="1531" spans="1:12" x14ac:dyDescent="0.25">
      <c r="A1531" s="115">
        <v>1530</v>
      </c>
      <c r="B1531" s="145">
        <v>45610</v>
      </c>
      <c r="C1531" s="146">
        <v>2024</v>
      </c>
      <c r="D1531" s="118" t="s">
        <v>35</v>
      </c>
      <c r="E1531" s="118" t="s">
        <v>1253</v>
      </c>
      <c r="F1531" s="147">
        <v>1</v>
      </c>
      <c r="G1531" s="120" t="s">
        <v>759</v>
      </c>
      <c r="H1531" s="148">
        <v>126500</v>
      </c>
      <c r="J1531"/>
      <c r="K1531"/>
      <c r="L1531" s="104"/>
    </row>
    <row r="1532" spans="1:12" x14ac:dyDescent="0.25">
      <c r="A1532" s="115">
        <v>1531</v>
      </c>
      <c r="B1532" s="145">
        <v>45610</v>
      </c>
      <c r="C1532" s="146">
        <v>2024</v>
      </c>
      <c r="D1532" s="118" t="s">
        <v>35</v>
      </c>
      <c r="E1532" s="118" t="s">
        <v>839</v>
      </c>
      <c r="F1532" s="147">
        <v>1</v>
      </c>
      <c r="G1532" s="120" t="s">
        <v>759</v>
      </c>
      <c r="H1532" s="148">
        <v>184000</v>
      </c>
      <c r="J1532"/>
      <c r="K1532"/>
      <c r="L1532" s="104"/>
    </row>
    <row r="1533" spans="1:12" x14ac:dyDescent="0.25">
      <c r="A1533" s="115">
        <v>1532</v>
      </c>
      <c r="B1533" s="145">
        <v>45610</v>
      </c>
      <c r="C1533" s="146">
        <v>2024</v>
      </c>
      <c r="D1533" s="118" t="s">
        <v>35</v>
      </c>
      <c r="E1533" s="118" t="s">
        <v>918</v>
      </c>
      <c r="F1533" s="147">
        <v>1</v>
      </c>
      <c r="G1533" s="120" t="s">
        <v>759</v>
      </c>
      <c r="H1533" s="148">
        <v>144000</v>
      </c>
      <c r="J1533"/>
      <c r="K1533"/>
      <c r="L1533" s="104"/>
    </row>
    <row r="1534" spans="1:12" x14ac:dyDescent="0.25">
      <c r="A1534" s="115">
        <v>1533</v>
      </c>
      <c r="B1534" s="145">
        <v>45610</v>
      </c>
      <c r="C1534" s="146">
        <v>2024</v>
      </c>
      <c r="D1534" s="118" t="s">
        <v>35</v>
      </c>
      <c r="E1534" s="118" t="s">
        <v>918</v>
      </c>
      <c r="F1534" s="147">
        <v>1</v>
      </c>
      <c r="G1534" s="120" t="s">
        <v>759</v>
      </c>
      <c r="H1534" s="148">
        <v>56000</v>
      </c>
      <c r="J1534"/>
      <c r="K1534"/>
      <c r="L1534" s="104"/>
    </row>
    <row r="1535" spans="1:12" x14ac:dyDescent="0.25">
      <c r="A1535" s="115">
        <v>1534</v>
      </c>
      <c r="B1535" s="145">
        <v>45610</v>
      </c>
      <c r="C1535" s="146">
        <v>2024</v>
      </c>
      <c r="D1535" s="118" t="s">
        <v>35</v>
      </c>
      <c r="E1535" s="118" t="s">
        <v>1253</v>
      </c>
      <c r="F1535" s="147">
        <v>1</v>
      </c>
      <c r="G1535" s="120" t="s">
        <v>759</v>
      </c>
      <c r="H1535" s="148">
        <v>430000</v>
      </c>
      <c r="J1535"/>
      <c r="K1535"/>
      <c r="L1535" s="104"/>
    </row>
    <row r="1536" spans="1:12" x14ac:dyDescent="0.25">
      <c r="A1536" s="115">
        <v>1535</v>
      </c>
      <c r="B1536" s="145">
        <v>45610</v>
      </c>
      <c r="C1536" s="146">
        <v>2024</v>
      </c>
      <c r="D1536" s="118" t="s">
        <v>35</v>
      </c>
      <c r="E1536" s="118" t="s">
        <v>1253</v>
      </c>
      <c r="F1536" s="147">
        <v>1</v>
      </c>
      <c r="G1536" s="120" t="s">
        <v>759</v>
      </c>
      <c r="H1536" s="148">
        <v>193000</v>
      </c>
      <c r="J1536"/>
      <c r="K1536"/>
      <c r="L1536" s="104"/>
    </row>
    <row r="1537" spans="1:12" x14ac:dyDescent="0.25">
      <c r="A1537" s="115">
        <v>1536</v>
      </c>
      <c r="B1537" s="145">
        <v>45610</v>
      </c>
      <c r="C1537" s="146">
        <v>2024</v>
      </c>
      <c r="D1537" s="118" t="s">
        <v>35</v>
      </c>
      <c r="E1537" s="118" t="s">
        <v>1062</v>
      </c>
      <c r="F1537" s="147">
        <v>1</v>
      </c>
      <c r="G1537" s="120" t="s">
        <v>759</v>
      </c>
      <c r="H1537" s="148">
        <v>454000</v>
      </c>
      <c r="J1537"/>
      <c r="K1537"/>
      <c r="L1537" s="104"/>
    </row>
    <row r="1538" spans="1:12" x14ac:dyDescent="0.25">
      <c r="A1538" s="115">
        <v>1537</v>
      </c>
      <c r="B1538" s="145">
        <v>45610</v>
      </c>
      <c r="C1538" s="146">
        <v>2024</v>
      </c>
      <c r="D1538" s="118" t="s">
        <v>35</v>
      </c>
      <c r="E1538" s="118" t="s">
        <v>918</v>
      </c>
      <c r="F1538" s="147">
        <v>1</v>
      </c>
      <c r="G1538" s="120" t="s">
        <v>759</v>
      </c>
      <c r="H1538" s="148">
        <v>144000</v>
      </c>
      <c r="J1538"/>
      <c r="K1538"/>
      <c r="L1538" s="104"/>
    </row>
    <row r="1539" spans="1:12" x14ac:dyDescent="0.25">
      <c r="A1539" s="115">
        <v>1538</v>
      </c>
      <c r="B1539" s="145">
        <v>45610</v>
      </c>
      <c r="C1539" s="146">
        <v>2024</v>
      </c>
      <c r="D1539" s="118" t="s">
        <v>35</v>
      </c>
      <c r="E1539" s="118" t="s">
        <v>1253</v>
      </c>
      <c r="F1539" s="147">
        <v>1</v>
      </c>
      <c r="G1539" s="120" t="s">
        <v>759</v>
      </c>
      <c r="H1539" s="148">
        <v>430000</v>
      </c>
      <c r="J1539"/>
      <c r="K1539"/>
      <c r="L1539" s="104"/>
    </row>
    <row r="1540" spans="1:12" x14ac:dyDescent="0.25">
      <c r="A1540" s="115">
        <v>1539</v>
      </c>
      <c r="B1540" s="145">
        <v>45610</v>
      </c>
      <c r="C1540" s="146">
        <v>2024</v>
      </c>
      <c r="D1540" s="118" t="s">
        <v>35</v>
      </c>
      <c r="E1540" s="118" t="s">
        <v>1110</v>
      </c>
      <c r="F1540" s="147">
        <v>1</v>
      </c>
      <c r="G1540" s="120" t="s">
        <v>759</v>
      </c>
      <c r="H1540" s="148">
        <v>75000</v>
      </c>
      <c r="J1540"/>
      <c r="K1540"/>
      <c r="L1540" s="104"/>
    </row>
    <row r="1541" spans="1:12" x14ac:dyDescent="0.25">
      <c r="A1541" s="115">
        <v>1540</v>
      </c>
      <c r="B1541" s="145">
        <v>45610</v>
      </c>
      <c r="C1541" s="146">
        <v>2024</v>
      </c>
      <c r="D1541" s="118" t="s">
        <v>35</v>
      </c>
      <c r="E1541" s="118" t="s">
        <v>1254</v>
      </c>
      <c r="F1541" s="147">
        <v>1</v>
      </c>
      <c r="G1541" s="120" t="s">
        <v>759</v>
      </c>
      <c r="H1541" s="148">
        <v>205000</v>
      </c>
      <c r="J1541"/>
      <c r="K1541"/>
      <c r="L1541" s="104"/>
    </row>
    <row r="1542" spans="1:12" x14ac:dyDescent="0.25">
      <c r="A1542" s="115">
        <v>1541</v>
      </c>
      <c r="B1542" s="155">
        <v>45610</v>
      </c>
      <c r="C1542" s="146">
        <v>2024</v>
      </c>
      <c r="D1542" s="118" t="s">
        <v>35</v>
      </c>
      <c r="E1542" s="118" t="s">
        <v>1253</v>
      </c>
      <c r="F1542" s="147">
        <v>1</v>
      </c>
      <c r="G1542" s="120" t="s">
        <v>759</v>
      </c>
      <c r="H1542" s="148">
        <v>430000</v>
      </c>
      <c r="J1542"/>
      <c r="K1542"/>
      <c r="L1542" s="104"/>
    </row>
    <row r="1543" spans="1:12" x14ac:dyDescent="0.25">
      <c r="A1543" s="115">
        <v>1542</v>
      </c>
      <c r="B1543" s="155">
        <v>45610</v>
      </c>
      <c r="C1543" s="146">
        <v>2024</v>
      </c>
      <c r="D1543" s="118" t="s">
        <v>35</v>
      </c>
      <c r="E1543" s="118" t="s">
        <v>1062</v>
      </c>
      <c r="F1543" s="147">
        <v>1</v>
      </c>
      <c r="G1543" s="120" t="s">
        <v>759</v>
      </c>
      <c r="H1543" s="148">
        <v>193000</v>
      </c>
      <c r="J1543"/>
      <c r="K1543"/>
      <c r="L1543" s="104"/>
    </row>
    <row r="1544" spans="1:12" x14ac:dyDescent="0.25">
      <c r="A1544" s="115">
        <v>1543</v>
      </c>
      <c r="B1544" s="155">
        <v>45610</v>
      </c>
      <c r="C1544" s="146">
        <v>2024</v>
      </c>
      <c r="D1544" s="118" t="s">
        <v>35</v>
      </c>
      <c r="E1544" s="118" t="s">
        <v>1110</v>
      </c>
      <c r="F1544" s="147">
        <v>1</v>
      </c>
      <c r="G1544" s="120" t="s">
        <v>759</v>
      </c>
      <c r="H1544" s="148">
        <v>75000</v>
      </c>
      <c r="J1544"/>
      <c r="K1544"/>
      <c r="L1544" s="104"/>
    </row>
    <row r="1545" spans="1:12" x14ac:dyDescent="0.25">
      <c r="A1545" s="115">
        <v>1544</v>
      </c>
      <c r="B1545" s="155">
        <v>45610</v>
      </c>
      <c r="C1545" s="146">
        <v>2024</v>
      </c>
      <c r="D1545" s="118" t="s">
        <v>35</v>
      </c>
      <c r="E1545" s="118" t="s">
        <v>1253</v>
      </c>
      <c r="F1545" s="147">
        <v>1</v>
      </c>
      <c r="G1545" s="120" t="s">
        <v>759</v>
      </c>
      <c r="H1545" s="148">
        <v>89000</v>
      </c>
      <c r="J1545"/>
      <c r="K1545"/>
      <c r="L1545" s="104"/>
    </row>
    <row r="1546" spans="1:12" x14ac:dyDescent="0.25">
      <c r="A1546" s="115">
        <v>1545</v>
      </c>
      <c r="B1546" s="145">
        <v>45610</v>
      </c>
      <c r="C1546" s="146">
        <v>2024</v>
      </c>
      <c r="D1546" s="118" t="s">
        <v>35</v>
      </c>
      <c r="E1546" s="118" t="s">
        <v>1154</v>
      </c>
      <c r="F1546" s="147">
        <v>1</v>
      </c>
      <c r="G1546" s="120" t="s">
        <v>759</v>
      </c>
      <c r="H1546" s="148">
        <v>99000</v>
      </c>
      <c r="J1546"/>
      <c r="K1546"/>
      <c r="L1546" s="104"/>
    </row>
    <row r="1547" spans="1:12" x14ac:dyDescent="0.25">
      <c r="A1547" s="115">
        <v>1546</v>
      </c>
      <c r="B1547" s="155">
        <v>45610</v>
      </c>
      <c r="C1547" s="146">
        <v>2024</v>
      </c>
      <c r="D1547" s="118" t="s">
        <v>35</v>
      </c>
      <c r="E1547" s="118" t="s">
        <v>1255</v>
      </c>
      <c r="F1547" s="147">
        <v>1</v>
      </c>
      <c r="G1547" s="120" t="s">
        <v>759</v>
      </c>
      <c r="H1547" s="148">
        <v>295000</v>
      </c>
      <c r="J1547"/>
      <c r="K1547"/>
      <c r="L1547" s="104"/>
    </row>
    <row r="1548" spans="1:12" x14ac:dyDescent="0.25">
      <c r="A1548" s="115">
        <v>1547</v>
      </c>
      <c r="B1548" s="145">
        <v>45610</v>
      </c>
      <c r="C1548" s="146">
        <v>2024</v>
      </c>
      <c r="D1548" s="118" t="s">
        <v>35</v>
      </c>
      <c r="E1548" s="118" t="s">
        <v>918</v>
      </c>
      <c r="F1548" s="147">
        <v>1</v>
      </c>
      <c r="G1548" s="120" t="s">
        <v>759</v>
      </c>
      <c r="H1548" s="148">
        <v>56000</v>
      </c>
      <c r="J1548"/>
      <c r="K1548"/>
      <c r="L1548" s="104"/>
    </row>
    <row r="1549" spans="1:12" x14ac:dyDescent="0.25">
      <c r="A1549" s="115">
        <v>1548</v>
      </c>
      <c r="B1549" s="145">
        <v>45610</v>
      </c>
      <c r="C1549" s="146">
        <v>2024</v>
      </c>
      <c r="D1549" s="118" t="s">
        <v>35</v>
      </c>
      <c r="E1549" s="118" t="s">
        <v>1253</v>
      </c>
      <c r="F1549" s="147">
        <v>1</v>
      </c>
      <c r="G1549" s="120" t="s">
        <v>759</v>
      </c>
      <c r="H1549" s="148">
        <v>430000</v>
      </c>
      <c r="J1549"/>
      <c r="K1549"/>
      <c r="L1549" s="104"/>
    </row>
    <row r="1550" spans="1:12" x14ac:dyDescent="0.25">
      <c r="A1550" s="115">
        <v>1549</v>
      </c>
      <c r="B1550" s="145">
        <v>45610</v>
      </c>
      <c r="C1550" s="146">
        <v>2024</v>
      </c>
      <c r="D1550" s="118" t="s">
        <v>35</v>
      </c>
      <c r="E1550" s="118" t="s">
        <v>1062</v>
      </c>
      <c r="F1550" s="147">
        <v>1</v>
      </c>
      <c r="G1550" s="120" t="s">
        <v>759</v>
      </c>
      <c r="H1550" s="148">
        <v>193000</v>
      </c>
      <c r="J1550"/>
      <c r="K1550"/>
      <c r="L1550" s="104"/>
    </row>
    <row r="1551" spans="1:12" x14ac:dyDescent="0.25">
      <c r="A1551" s="115">
        <v>1550</v>
      </c>
      <c r="B1551" s="145">
        <v>45610</v>
      </c>
      <c r="C1551" s="146">
        <v>2024</v>
      </c>
      <c r="D1551" s="118" t="s">
        <v>35</v>
      </c>
      <c r="E1551" s="118" t="s">
        <v>1110</v>
      </c>
      <c r="F1551" s="147">
        <v>1</v>
      </c>
      <c r="G1551" s="120" t="s">
        <v>759</v>
      </c>
      <c r="H1551" s="148">
        <v>75000</v>
      </c>
      <c r="J1551"/>
      <c r="K1551"/>
      <c r="L1551" s="104"/>
    </row>
    <row r="1552" spans="1:12" x14ac:dyDescent="0.25">
      <c r="A1552" s="115">
        <v>1551</v>
      </c>
      <c r="B1552" s="145">
        <v>45610</v>
      </c>
      <c r="C1552" s="146">
        <v>2024</v>
      </c>
      <c r="D1552" s="118" t="s">
        <v>35</v>
      </c>
      <c r="E1552" s="118" t="s">
        <v>1253</v>
      </c>
      <c r="F1552" s="147">
        <v>1</v>
      </c>
      <c r="G1552" s="120" t="s">
        <v>759</v>
      </c>
      <c r="H1552" s="148">
        <v>89000</v>
      </c>
      <c r="J1552"/>
      <c r="K1552"/>
      <c r="L1552" s="104"/>
    </row>
    <row r="1553" spans="1:12" x14ac:dyDescent="0.25">
      <c r="A1553" s="115">
        <v>1552</v>
      </c>
      <c r="B1553" s="145">
        <v>45610</v>
      </c>
      <c r="C1553" s="146">
        <v>2024</v>
      </c>
      <c r="D1553" s="118" t="s">
        <v>35</v>
      </c>
      <c r="E1553" s="118" t="s">
        <v>1154</v>
      </c>
      <c r="F1553" s="147">
        <v>1</v>
      </c>
      <c r="G1553" s="120" t="s">
        <v>759</v>
      </c>
      <c r="H1553" s="148">
        <v>99000</v>
      </c>
      <c r="J1553"/>
      <c r="K1553"/>
      <c r="L1553" s="104"/>
    </row>
    <row r="1554" spans="1:12" x14ac:dyDescent="0.25">
      <c r="A1554" s="115">
        <v>1553</v>
      </c>
      <c r="B1554" s="145">
        <v>45610</v>
      </c>
      <c r="C1554" s="146">
        <v>2024</v>
      </c>
      <c r="D1554" s="118" t="s">
        <v>35</v>
      </c>
      <c r="E1554" s="118" t="s">
        <v>1256</v>
      </c>
      <c r="F1554" s="147">
        <v>1</v>
      </c>
      <c r="G1554" s="120" t="s">
        <v>759</v>
      </c>
      <c r="H1554" s="148">
        <v>144000</v>
      </c>
      <c r="J1554"/>
      <c r="K1554"/>
      <c r="L1554" s="104"/>
    </row>
    <row r="1555" spans="1:12" x14ac:dyDescent="0.25">
      <c r="A1555" s="115">
        <v>1554</v>
      </c>
      <c r="B1555" s="145">
        <v>45610</v>
      </c>
      <c r="C1555" s="146">
        <v>2024</v>
      </c>
      <c r="D1555" s="118" t="s">
        <v>35</v>
      </c>
      <c r="E1555" s="118" t="s">
        <v>918</v>
      </c>
      <c r="F1555" s="147">
        <v>1</v>
      </c>
      <c r="G1555" s="120" t="s">
        <v>759</v>
      </c>
      <c r="H1555" s="148">
        <v>56000</v>
      </c>
      <c r="J1555"/>
      <c r="K1555"/>
      <c r="L1555" s="104"/>
    </row>
    <row r="1556" spans="1:12" x14ac:dyDescent="0.25">
      <c r="A1556" s="115">
        <v>1555</v>
      </c>
      <c r="B1556" s="145">
        <v>45610</v>
      </c>
      <c r="C1556" s="146">
        <v>2024</v>
      </c>
      <c r="D1556" s="118" t="s">
        <v>35</v>
      </c>
      <c r="E1556" s="118" t="s">
        <v>1253</v>
      </c>
      <c r="F1556" s="147">
        <v>1</v>
      </c>
      <c r="G1556" s="120" t="s">
        <v>759</v>
      </c>
      <c r="H1556" s="148">
        <v>430000</v>
      </c>
      <c r="J1556"/>
      <c r="K1556"/>
      <c r="L1556" s="104"/>
    </row>
    <row r="1557" spans="1:12" x14ac:dyDescent="0.25">
      <c r="A1557" s="115">
        <v>1556</v>
      </c>
      <c r="B1557" s="145">
        <v>45610</v>
      </c>
      <c r="C1557" s="146">
        <v>2024</v>
      </c>
      <c r="D1557" s="118" t="s">
        <v>35</v>
      </c>
      <c r="E1557" s="118" t="s">
        <v>1062</v>
      </c>
      <c r="F1557" s="147">
        <v>1</v>
      </c>
      <c r="G1557" s="120" t="s">
        <v>759</v>
      </c>
      <c r="H1557" s="148">
        <v>245000</v>
      </c>
      <c r="J1557"/>
      <c r="K1557"/>
      <c r="L1557" s="104"/>
    </row>
    <row r="1558" spans="1:12" x14ac:dyDescent="0.25">
      <c r="A1558" s="115">
        <v>1557</v>
      </c>
      <c r="B1558" s="145">
        <v>45610</v>
      </c>
      <c r="C1558" s="146">
        <v>2024</v>
      </c>
      <c r="D1558" s="118" t="s">
        <v>35</v>
      </c>
      <c r="E1558" s="118" t="s">
        <v>1256</v>
      </c>
      <c r="F1558" s="147">
        <v>1</v>
      </c>
      <c r="G1558" s="120" t="s">
        <v>759</v>
      </c>
      <c r="H1558" s="148">
        <v>144000</v>
      </c>
      <c r="J1558"/>
      <c r="K1558"/>
      <c r="L1558" s="104"/>
    </row>
    <row r="1559" spans="1:12" x14ac:dyDescent="0.25">
      <c r="A1559" s="115">
        <v>1558</v>
      </c>
      <c r="B1559" s="145">
        <v>45610</v>
      </c>
      <c r="C1559" s="146">
        <v>2024</v>
      </c>
      <c r="D1559" s="118" t="s">
        <v>35</v>
      </c>
      <c r="E1559" s="118" t="s">
        <v>1253</v>
      </c>
      <c r="F1559" s="147">
        <v>1</v>
      </c>
      <c r="G1559" s="120" t="s">
        <v>759</v>
      </c>
      <c r="H1559" s="148">
        <v>89000</v>
      </c>
      <c r="J1559"/>
      <c r="K1559"/>
      <c r="L1559" s="104"/>
    </row>
    <row r="1560" spans="1:12" x14ac:dyDescent="0.25">
      <c r="A1560" s="115">
        <v>1559</v>
      </c>
      <c r="B1560" s="145">
        <v>45610</v>
      </c>
      <c r="C1560" s="146">
        <v>2024</v>
      </c>
      <c r="D1560" s="118" t="s">
        <v>35</v>
      </c>
      <c r="E1560" s="118" t="s">
        <v>918</v>
      </c>
      <c r="F1560" s="147">
        <v>1</v>
      </c>
      <c r="G1560" s="120" t="s">
        <v>759</v>
      </c>
      <c r="H1560" s="148">
        <v>56000</v>
      </c>
      <c r="J1560"/>
      <c r="K1560"/>
      <c r="L1560" s="104"/>
    </row>
    <row r="1561" spans="1:12" x14ac:dyDescent="0.25">
      <c r="A1561" s="115">
        <v>1560</v>
      </c>
      <c r="B1561" s="145">
        <v>45610</v>
      </c>
      <c r="C1561" s="146">
        <v>2024</v>
      </c>
      <c r="D1561" s="118" t="s">
        <v>35</v>
      </c>
      <c r="E1561" s="118" t="s">
        <v>1253</v>
      </c>
      <c r="F1561" s="147">
        <v>1</v>
      </c>
      <c r="G1561" s="120" t="s">
        <v>759</v>
      </c>
      <c r="H1561" s="148">
        <v>430000</v>
      </c>
      <c r="J1561"/>
      <c r="K1561"/>
      <c r="L1561" s="104"/>
    </row>
    <row r="1562" spans="1:12" x14ac:dyDescent="0.25">
      <c r="A1562" s="115">
        <v>1561</v>
      </c>
      <c r="B1562" s="145">
        <v>45610</v>
      </c>
      <c r="C1562" s="146">
        <v>2024</v>
      </c>
      <c r="D1562" s="118" t="s">
        <v>35</v>
      </c>
      <c r="E1562" s="118" t="s">
        <v>1256</v>
      </c>
      <c r="F1562" s="147">
        <v>1</v>
      </c>
      <c r="G1562" s="120" t="s">
        <v>759</v>
      </c>
      <c r="H1562" s="148">
        <v>144000</v>
      </c>
      <c r="J1562"/>
      <c r="K1562"/>
      <c r="L1562" s="104"/>
    </row>
    <row r="1563" spans="1:12" x14ac:dyDescent="0.25">
      <c r="A1563" s="115">
        <v>1562</v>
      </c>
      <c r="B1563" s="145">
        <v>45610</v>
      </c>
      <c r="C1563" s="146">
        <v>2024</v>
      </c>
      <c r="D1563" s="118" t="s">
        <v>35</v>
      </c>
      <c r="E1563" s="118" t="s">
        <v>1253</v>
      </c>
      <c r="F1563" s="147">
        <v>1</v>
      </c>
      <c r="G1563" s="120" t="s">
        <v>759</v>
      </c>
      <c r="H1563" s="148">
        <v>430000</v>
      </c>
      <c r="J1563"/>
      <c r="K1563"/>
      <c r="L1563" s="104"/>
    </row>
    <row r="1564" spans="1:12" x14ac:dyDescent="0.25">
      <c r="A1564" s="115">
        <v>1563</v>
      </c>
      <c r="B1564" s="145">
        <v>45610</v>
      </c>
      <c r="C1564" s="146">
        <v>2024</v>
      </c>
      <c r="D1564" s="118" t="s">
        <v>35</v>
      </c>
      <c r="E1564" s="118" t="s">
        <v>1254</v>
      </c>
      <c r="F1564" s="147">
        <v>1</v>
      </c>
      <c r="G1564" s="120" t="s">
        <v>759</v>
      </c>
      <c r="H1564" s="148">
        <v>209000</v>
      </c>
      <c r="J1564"/>
      <c r="K1564"/>
      <c r="L1564" s="104"/>
    </row>
    <row r="1565" spans="1:12" x14ac:dyDescent="0.25">
      <c r="A1565" s="115">
        <v>1564</v>
      </c>
      <c r="B1565" s="145">
        <v>45610</v>
      </c>
      <c r="C1565" s="146">
        <v>2024</v>
      </c>
      <c r="D1565" s="118" t="s">
        <v>35</v>
      </c>
      <c r="E1565" s="118" t="s">
        <v>918</v>
      </c>
      <c r="F1565" s="147">
        <v>1</v>
      </c>
      <c r="G1565" s="120" t="s">
        <v>759</v>
      </c>
      <c r="H1565" s="148">
        <v>56000</v>
      </c>
      <c r="J1565"/>
      <c r="K1565"/>
      <c r="L1565" s="104"/>
    </row>
    <row r="1566" spans="1:12" x14ac:dyDescent="0.25">
      <c r="A1566" s="115">
        <v>1565</v>
      </c>
      <c r="B1566" s="145">
        <v>45610</v>
      </c>
      <c r="C1566" s="146">
        <v>2024</v>
      </c>
      <c r="D1566" s="118" t="s">
        <v>35</v>
      </c>
      <c r="E1566" s="118" t="s">
        <v>1253</v>
      </c>
      <c r="F1566" s="147">
        <v>1</v>
      </c>
      <c r="G1566" s="120" t="s">
        <v>759</v>
      </c>
      <c r="H1566" s="148">
        <v>430000</v>
      </c>
      <c r="J1566"/>
      <c r="K1566"/>
      <c r="L1566" s="104"/>
    </row>
    <row r="1567" spans="1:12" x14ac:dyDescent="0.25">
      <c r="A1567" s="115">
        <v>1566</v>
      </c>
      <c r="B1567" s="145">
        <v>45610</v>
      </c>
      <c r="C1567" s="146">
        <v>2024</v>
      </c>
      <c r="D1567" s="118" t="s">
        <v>35</v>
      </c>
      <c r="E1567" s="118" t="s">
        <v>1062</v>
      </c>
      <c r="F1567" s="147">
        <v>1</v>
      </c>
      <c r="G1567" s="120" t="s">
        <v>759</v>
      </c>
      <c r="H1567" s="148">
        <v>245000</v>
      </c>
      <c r="J1567"/>
      <c r="K1567"/>
      <c r="L1567" s="104"/>
    </row>
    <row r="1568" spans="1:12" x14ac:dyDescent="0.25">
      <c r="A1568" s="115">
        <v>1567</v>
      </c>
      <c r="B1568" s="145">
        <v>45610</v>
      </c>
      <c r="C1568" s="146">
        <v>2024</v>
      </c>
      <c r="D1568" s="118" t="s">
        <v>35</v>
      </c>
      <c r="E1568" s="118" t="s">
        <v>1256</v>
      </c>
      <c r="F1568" s="147">
        <v>1</v>
      </c>
      <c r="G1568" s="120" t="s">
        <v>759</v>
      </c>
      <c r="H1568" s="148">
        <v>144000</v>
      </c>
      <c r="J1568"/>
      <c r="K1568"/>
      <c r="L1568" s="104"/>
    </row>
    <row r="1569" spans="1:12" x14ac:dyDescent="0.25">
      <c r="A1569" s="115">
        <v>1568</v>
      </c>
      <c r="B1569" s="145">
        <v>45610</v>
      </c>
      <c r="C1569" s="146">
        <v>2024</v>
      </c>
      <c r="D1569" s="118" t="s">
        <v>35</v>
      </c>
      <c r="E1569" s="118" t="s">
        <v>1254</v>
      </c>
      <c r="F1569" s="147">
        <v>1</v>
      </c>
      <c r="G1569" s="120" t="s">
        <v>759</v>
      </c>
      <c r="H1569" s="148">
        <v>209000</v>
      </c>
      <c r="J1569"/>
      <c r="K1569"/>
      <c r="L1569" s="104"/>
    </row>
    <row r="1570" spans="1:12" x14ac:dyDescent="0.25">
      <c r="A1570" s="115">
        <v>1569</v>
      </c>
      <c r="B1570" s="145">
        <v>45610</v>
      </c>
      <c r="C1570" s="146">
        <v>2024</v>
      </c>
      <c r="D1570" s="118" t="s">
        <v>35</v>
      </c>
      <c r="E1570" s="118" t="s">
        <v>918</v>
      </c>
      <c r="F1570" s="147">
        <v>1</v>
      </c>
      <c r="G1570" s="120" t="s">
        <v>759</v>
      </c>
      <c r="H1570" s="148">
        <v>56000</v>
      </c>
      <c r="J1570"/>
      <c r="K1570"/>
      <c r="L1570" s="104"/>
    </row>
    <row r="1571" spans="1:12" x14ac:dyDescent="0.25">
      <c r="A1571" s="115">
        <v>1570</v>
      </c>
      <c r="B1571" s="145">
        <v>45610</v>
      </c>
      <c r="C1571" s="146">
        <v>2024</v>
      </c>
      <c r="D1571" s="118" t="s">
        <v>35</v>
      </c>
      <c r="E1571" s="118" t="s">
        <v>1253</v>
      </c>
      <c r="F1571" s="147">
        <v>1</v>
      </c>
      <c r="G1571" s="120" t="s">
        <v>759</v>
      </c>
      <c r="H1571" s="148">
        <v>430000</v>
      </c>
      <c r="J1571"/>
      <c r="K1571"/>
      <c r="L1571" s="104"/>
    </row>
    <row r="1572" spans="1:12" x14ac:dyDescent="0.25">
      <c r="A1572" s="115">
        <v>1571</v>
      </c>
      <c r="B1572" s="145">
        <v>45610</v>
      </c>
      <c r="C1572" s="146">
        <v>2024</v>
      </c>
      <c r="D1572" s="118" t="s">
        <v>35</v>
      </c>
      <c r="E1572" s="118" t="s">
        <v>1062</v>
      </c>
      <c r="F1572" s="147">
        <v>1</v>
      </c>
      <c r="G1572" s="120" t="s">
        <v>759</v>
      </c>
      <c r="H1572" s="148">
        <v>193000</v>
      </c>
      <c r="J1572"/>
      <c r="K1572"/>
      <c r="L1572" s="104"/>
    </row>
    <row r="1573" spans="1:12" x14ac:dyDescent="0.25">
      <c r="A1573" s="115">
        <v>1572</v>
      </c>
      <c r="B1573" s="145">
        <v>45610</v>
      </c>
      <c r="C1573" s="146">
        <v>2024</v>
      </c>
      <c r="D1573" s="118" t="s">
        <v>35</v>
      </c>
      <c r="E1573" s="118" t="s">
        <v>1062</v>
      </c>
      <c r="F1573" s="147">
        <v>1</v>
      </c>
      <c r="G1573" s="120" t="s">
        <v>759</v>
      </c>
      <c r="H1573" s="148">
        <v>245000</v>
      </c>
      <c r="J1573"/>
      <c r="K1573"/>
      <c r="L1573" s="104"/>
    </row>
    <row r="1574" spans="1:12" x14ac:dyDescent="0.25">
      <c r="A1574" s="115">
        <v>1573</v>
      </c>
      <c r="B1574" s="145">
        <v>45610</v>
      </c>
      <c r="C1574" s="146">
        <v>2024</v>
      </c>
      <c r="D1574" s="118" t="s">
        <v>35</v>
      </c>
      <c r="E1574" s="118" t="s">
        <v>1110</v>
      </c>
      <c r="F1574" s="147">
        <v>1</v>
      </c>
      <c r="G1574" s="120" t="s">
        <v>759</v>
      </c>
      <c r="H1574" s="148">
        <v>75000</v>
      </c>
      <c r="J1574"/>
      <c r="K1574"/>
      <c r="L1574" s="104"/>
    </row>
    <row r="1575" spans="1:12" x14ac:dyDescent="0.25">
      <c r="A1575" s="115">
        <v>1574</v>
      </c>
      <c r="B1575" s="145">
        <v>45610</v>
      </c>
      <c r="C1575" s="146">
        <v>2024</v>
      </c>
      <c r="D1575" s="118" t="s">
        <v>35</v>
      </c>
      <c r="E1575" s="118" t="s">
        <v>1154</v>
      </c>
      <c r="F1575" s="147">
        <v>1</v>
      </c>
      <c r="G1575" s="120" t="s">
        <v>759</v>
      </c>
      <c r="H1575" s="148">
        <v>99000</v>
      </c>
      <c r="J1575"/>
      <c r="K1575"/>
      <c r="L1575" s="104"/>
    </row>
    <row r="1576" spans="1:12" x14ac:dyDescent="0.25">
      <c r="A1576" s="115">
        <v>1575</v>
      </c>
      <c r="B1576" s="145">
        <v>45610</v>
      </c>
      <c r="C1576" s="146">
        <v>2024</v>
      </c>
      <c r="D1576" s="118" t="s">
        <v>35</v>
      </c>
      <c r="E1576" s="118" t="s">
        <v>1253</v>
      </c>
      <c r="F1576" s="147">
        <v>1</v>
      </c>
      <c r="G1576" s="120" t="s">
        <v>759</v>
      </c>
      <c r="H1576" s="148">
        <v>89000</v>
      </c>
      <c r="J1576"/>
      <c r="K1576"/>
      <c r="L1576" s="104"/>
    </row>
    <row r="1577" spans="1:12" x14ac:dyDescent="0.25">
      <c r="A1577" s="115">
        <v>1576</v>
      </c>
      <c r="B1577" s="145">
        <v>45610</v>
      </c>
      <c r="C1577" s="146">
        <v>2024</v>
      </c>
      <c r="D1577" s="118" t="s">
        <v>35</v>
      </c>
      <c r="E1577" s="118" t="s">
        <v>1256</v>
      </c>
      <c r="F1577" s="147">
        <v>1</v>
      </c>
      <c r="G1577" s="120" t="s">
        <v>759</v>
      </c>
      <c r="H1577" s="148">
        <v>144000</v>
      </c>
      <c r="J1577"/>
      <c r="K1577"/>
      <c r="L1577" s="104"/>
    </row>
    <row r="1578" spans="1:12" x14ac:dyDescent="0.25">
      <c r="A1578" s="115">
        <v>1577</v>
      </c>
      <c r="B1578" s="145">
        <v>45610</v>
      </c>
      <c r="C1578" s="146">
        <v>2024</v>
      </c>
      <c r="D1578" s="118" t="s">
        <v>35</v>
      </c>
      <c r="E1578" s="118" t="s">
        <v>1254</v>
      </c>
      <c r="F1578" s="147">
        <v>1</v>
      </c>
      <c r="G1578" s="120" t="s">
        <v>759</v>
      </c>
      <c r="H1578" s="148">
        <v>209000</v>
      </c>
      <c r="J1578"/>
      <c r="K1578"/>
      <c r="L1578" s="104"/>
    </row>
    <row r="1579" spans="1:12" x14ac:dyDescent="0.25">
      <c r="A1579" s="115">
        <v>1578</v>
      </c>
      <c r="B1579" s="145">
        <v>45610</v>
      </c>
      <c r="C1579" s="146">
        <v>2024</v>
      </c>
      <c r="D1579" s="118" t="s">
        <v>35</v>
      </c>
      <c r="E1579" s="118" t="s">
        <v>918</v>
      </c>
      <c r="F1579" s="147">
        <v>1</v>
      </c>
      <c r="G1579" s="120" t="s">
        <v>759</v>
      </c>
      <c r="H1579" s="148">
        <v>56000</v>
      </c>
      <c r="J1579"/>
      <c r="K1579"/>
      <c r="L1579" s="104"/>
    </row>
    <row r="1580" spans="1:12" x14ac:dyDescent="0.25">
      <c r="A1580" s="115">
        <v>1579</v>
      </c>
      <c r="B1580" s="145">
        <v>45610</v>
      </c>
      <c r="C1580" s="146">
        <v>2024</v>
      </c>
      <c r="D1580" s="118" t="s">
        <v>35</v>
      </c>
      <c r="E1580" s="118" t="s">
        <v>1253</v>
      </c>
      <c r="F1580" s="147">
        <v>1</v>
      </c>
      <c r="G1580" s="120" t="s">
        <v>759</v>
      </c>
      <c r="H1580" s="148">
        <v>430000</v>
      </c>
      <c r="J1580"/>
      <c r="K1580"/>
      <c r="L1580" s="104"/>
    </row>
    <row r="1581" spans="1:12" x14ac:dyDescent="0.25">
      <c r="A1581" s="115">
        <v>1580</v>
      </c>
      <c r="B1581" s="145">
        <v>45610</v>
      </c>
      <c r="C1581" s="146">
        <v>2024</v>
      </c>
      <c r="D1581" s="118" t="s">
        <v>35</v>
      </c>
      <c r="E1581" s="118" t="s">
        <v>1062</v>
      </c>
      <c r="F1581" s="147">
        <v>1</v>
      </c>
      <c r="G1581" s="120" t="s">
        <v>759</v>
      </c>
      <c r="H1581" s="148">
        <v>193000</v>
      </c>
      <c r="J1581"/>
      <c r="K1581"/>
      <c r="L1581" s="104"/>
    </row>
    <row r="1582" spans="1:12" x14ac:dyDescent="0.25">
      <c r="A1582" s="115">
        <v>1581</v>
      </c>
      <c r="B1582" s="145">
        <v>45610</v>
      </c>
      <c r="C1582" s="146">
        <v>2024</v>
      </c>
      <c r="D1582" s="118" t="s">
        <v>35</v>
      </c>
      <c r="E1582" s="118" t="s">
        <v>1110</v>
      </c>
      <c r="F1582" s="147">
        <v>1</v>
      </c>
      <c r="G1582" s="120" t="s">
        <v>759</v>
      </c>
      <c r="H1582" s="148">
        <v>75000</v>
      </c>
      <c r="J1582"/>
      <c r="K1582"/>
      <c r="L1582" s="104"/>
    </row>
    <row r="1583" spans="1:12" x14ac:dyDescent="0.25">
      <c r="A1583" s="115">
        <v>1582</v>
      </c>
      <c r="B1583" s="145">
        <v>45610</v>
      </c>
      <c r="C1583" s="146">
        <v>2024</v>
      </c>
      <c r="D1583" s="118" t="s">
        <v>35</v>
      </c>
      <c r="E1583" s="118" t="s">
        <v>1256</v>
      </c>
      <c r="F1583" s="147">
        <v>1</v>
      </c>
      <c r="G1583" s="120" t="s">
        <v>759</v>
      </c>
      <c r="H1583" s="148">
        <v>144000</v>
      </c>
      <c r="J1583"/>
      <c r="K1583"/>
      <c r="L1583" s="104"/>
    </row>
    <row r="1584" spans="1:12" x14ac:dyDescent="0.25">
      <c r="A1584" s="115">
        <v>1583</v>
      </c>
      <c r="B1584" s="155">
        <v>45610</v>
      </c>
      <c r="C1584" s="146">
        <v>2024</v>
      </c>
      <c r="D1584" s="118" t="s">
        <v>35</v>
      </c>
      <c r="E1584" s="118" t="s">
        <v>918</v>
      </c>
      <c r="F1584" s="147">
        <v>1</v>
      </c>
      <c r="G1584" s="120" t="s">
        <v>759</v>
      </c>
      <c r="H1584" s="148">
        <v>56000</v>
      </c>
      <c r="J1584"/>
      <c r="K1584"/>
      <c r="L1584" s="104"/>
    </row>
    <row r="1585" spans="1:12" x14ac:dyDescent="0.25">
      <c r="A1585" s="115">
        <v>1584</v>
      </c>
      <c r="B1585" s="155">
        <v>45610</v>
      </c>
      <c r="C1585" s="146">
        <v>2024</v>
      </c>
      <c r="D1585" s="118" t="s">
        <v>35</v>
      </c>
      <c r="E1585" s="118" t="s">
        <v>1253</v>
      </c>
      <c r="F1585" s="147">
        <v>1</v>
      </c>
      <c r="G1585" s="120" t="s">
        <v>759</v>
      </c>
      <c r="H1585" s="148">
        <v>430000</v>
      </c>
      <c r="J1585"/>
      <c r="K1585"/>
      <c r="L1585" s="104"/>
    </row>
    <row r="1586" spans="1:12" x14ac:dyDescent="0.25">
      <c r="A1586" s="115">
        <v>1585</v>
      </c>
      <c r="B1586" s="155">
        <v>45610</v>
      </c>
      <c r="C1586" s="146">
        <v>2024</v>
      </c>
      <c r="D1586" s="118" t="s">
        <v>35</v>
      </c>
      <c r="E1586" s="118" t="s">
        <v>1256</v>
      </c>
      <c r="F1586" s="147">
        <v>1</v>
      </c>
      <c r="G1586" s="120" t="s">
        <v>759</v>
      </c>
      <c r="H1586" s="148">
        <v>144000</v>
      </c>
      <c r="J1586"/>
      <c r="K1586"/>
      <c r="L1586" s="104"/>
    </row>
    <row r="1587" spans="1:12" x14ac:dyDescent="0.25">
      <c r="A1587" s="115">
        <v>1586</v>
      </c>
      <c r="B1587" s="145">
        <v>45610</v>
      </c>
      <c r="C1587" s="146">
        <v>2024</v>
      </c>
      <c r="D1587" s="118" t="s">
        <v>35</v>
      </c>
      <c r="E1587" s="118" t="s">
        <v>1253</v>
      </c>
      <c r="F1587" s="147">
        <v>1</v>
      </c>
      <c r="G1587" s="120" t="s">
        <v>759</v>
      </c>
      <c r="H1587" s="148">
        <v>89000</v>
      </c>
      <c r="J1587"/>
      <c r="K1587"/>
      <c r="L1587" s="104"/>
    </row>
    <row r="1588" spans="1:12" x14ac:dyDescent="0.25">
      <c r="A1588" s="115">
        <v>1587</v>
      </c>
      <c r="B1588" s="145">
        <v>45610</v>
      </c>
      <c r="C1588" s="146">
        <v>2024</v>
      </c>
      <c r="D1588" s="118" t="s">
        <v>35</v>
      </c>
      <c r="E1588" s="118" t="s">
        <v>1254</v>
      </c>
      <c r="F1588" s="147">
        <v>1</v>
      </c>
      <c r="G1588" s="120" t="s">
        <v>759</v>
      </c>
      <c r="H1588" s="148">
        <v>209000</v>
      </c>
      <c r="J1588"/>
      <c r="K1588"/>
      <c r="L1588" s="104"/>
    </row>
    <row r="1589" spans="1:12" x14ac:dyDescent="0.25">
      <c r="A1589" s="115">
        <v>1588</v>
      </c>
      <c r="B1589" s="145">
        <v>45610</v>
      </c>
      <c r="C1589" s="146">
        <v>2024</v>
      </c>
      <c r="D1589" s="118" t="s">
        <v>35</v>
      </c>
      <c r="E1589" s="118" t="s">
        <v>1253</v>
      </c>
      <c r="F1589" s="147">
        <v>1</v>
      </c>
      <c r="G1589" s="120" t="s">
        <v>759</v>
      </c>
      <c r="H1589" s="148">
        <v>144000</v>
      </c>
      <c r="J1589"/>
      <c r="K1589"/>
      <c r="L1589" s="104"/>
    </row>
    <row r="1590" spans="1:12" x14ac:dyDescent="0.25">
      <c r="A1590" s="115">
        <v>1589</v>
      </c>
      <c r="B1590" s="145">
        <v>45610</v>
      </c>
      <c r="C1590" s="146">
        <v>2024</v>
      </c>
      <c r="D1590" s="118" t="s">
        <v>35</v>
      </c>
      <c r="E1590" s="118" t="s">
        <v>1257</v>
      </c>
      <c r="F1590" s="147">
        <v>1</v>
      </c>
      <c r="G1590" s="120" t="s">
        <v>759</v>
      </c>
      <c r="H1590" s="148">
        <v>75000</v>
      </c>
      <c r="J1590"/>
      <c r="K1590"/>
      <c r="L1590" s="104"/>
    </row>
    <row r="1591" spans="1:12" x14ac:dyDescent="0.25">
      <c r="A1591" s="115">
        <v>1590</v>
      </c>
      <c r="B1591" s="167">
        <v>45612</v>
      </c>
      <c r="C1591" s="117">
        <v>2024</v>
      </c>
      <c r="D1591" s="119" t="s">
        <v>851</v>
      </c>
      <c r="E1591" s="119" t="s">
        <v>481</v>
      </c>
      <c r="F1591" s="120">
        <v>15</v>
      </c>
      <c r="G1591" s="120" t="s">
        <v>759</v>
      </c>
      <c r="H1591" s="168">
        <v>261990</v>
      </c>
      <c r="J1591"/>
      <c r="K1591"/>
      <c r="L1591" s="104"/>
    </row>
    <row r="1592" spans="1:12" x14ac:dyDescent="0.25">
      <c r="A1592" s="115">
        <v>1591</v>
      </c>
      <c r="B1592" s="167">
        <v>45612</v>
      </c>
      <c r="C1592" s="117">
        <v>2024</v>
      </c>
      <c r="D1592" s="119" t="s">
        <v>851</v>
      </c>
      <c r="E1592" s="119" t="s">
        <v>481</v>
      </c>
      <c r="F1592" s="120">
        <v>15</v>
      </c>
      <c r="G1592" s="120" t="s">
        <v>759</v>
      </c>
      <c r="H1592" s="168">
        <v>300000</v>
      </c>
      <c r="J1592"/>
      <c r="K1592"/>
      <c r="L1592" s="104"/>
    </row>
    <row r="1593" spans="1:12" x14ac:dyDescent="0.25">
      <c r="A1593" s="115">
        <v>1592</v>
      </c>
      <c r="B1593" s="167">
        <v>45612</v>
      </c>
      <c r="C1593" s="117">
        <v>2024</v>
      </c>
      <c r="D1593" s="119" t="s">
        <v>851</v>
      </c>
      <c r="E1593" s="119" t="s">
        <v>481</v>
      </c>
      <c r="F1593" s="120">
        <v>15</v>
      </c>
      <c r="G1593" s="120" t="s">
        <v>759</v>
      </c>
      <c r="H1593" s="168">
        <v>240000</v>
      </c>
      <c r="J1593"/>
      <c r="K1593"/>
      <c r="L1593" s="104"/>
    </row>
    <row r="1594" spans="1:12" x14ac:dyDescent="0.25">
      <c r="A1594" s="115">
        <v>1593</v>
      </c>
      <c r="B1594" s="167">
        <v>45612</v>
      </c>
      <c r="C1594" s="117">
        <v>2024</v>
      </c>
      <c r="D1594" s="119" t="s">
        <v>851</v>
      </c>
      <c r="E1594" s="119" t="s">
        <v>481</v>
      </c>
      <c r="F1594" s="120">
        <v>15</v>
      </c>
      <c r="G1594" s="120" t="s">
        <v>759</v>
      </c>
      <c r="H1594" s="168">
        <v>195000</v>
      </c>
      <c r="J1594"/>
      <c r="K1594"/>
      <c r="L1594" s="104"/>
    </row>
    <row r="1595" spans="1:12" x14ac:dyDescent="0.25">
      <c r="A1595" s="115">
        <v>1594</v>
      </c>
      <c r="B1595" s="167">
        <v>45612</v>
      </c>
      <c r="C1595" s="117">
        <v>2024</v>
      </c>
      <c r="D1595" s="119" t="s">
        <v>833</v>
      </c>
      <c r="E1595" s="119" t="s">
        <v>1258</v>
      </c>
      <c r="F1595" s="120">
        <v>1</v>
      </c>
      <c r="G1595" s="120" t="s">
        <v>759</v>
      </c>
      <c r="H1595" s="168">
        <v>20000</v>
      </c>
      <c r="J1595"/>
      <c r="K1595"/>
      <c r="L1595" s="104"/>
    </row>
    <row r="1596" spans="1:12" x14ac:dyDescent="0.25">
      <c r="A1596" s="115">
        <v>1595</v>
      </c>
      <c r="B1596" s="116">
        <v>45612</v>
      </c>
      <c r="C1596" s="117">
        <v>2024</v>
      </c>
      <c r="D1596" s="118" t="s">
        <v>35</v>
      </c>
      <c r="E1596" s="119" t="s">
        <v>1259</v>
      </c>
      <c r="F1596" s="120">
        <v>1</v>
      </c>
      <c r="G1596" s="120" t="s">
        <v>759</v>
      </c>
      <c r="H1596" s="121">
        <v>36000</v>
      </c>
      <c r="J1596"/>
      <c r="K1596"/>
      <c r="L1596" s="104"/>
    </row>
    <row r="1597" spans="1:12" x14ac:dyDescent="0.25">
      <c r="A1597" s="115">
        <v>1596</v>
      </c>
      <c r="B1597" s="167">
        <v>45612</v>
      </c>
      <c r="C1597" s="117">
        <v>2024</v>
      </c>
      <c r="D1597" s="118" t="s">
        <v>833</v>
      </c>
      <c r="E1597" s="119" t="s">
        <v>588</v>
      </c>
      <c r="F1597" s="120">
        <v>12</v>
      </c>
      <c r="G1597" s="120" t="s">
        <v>759</v>
      </c>
      <c r="H1597" s="121">
        <v>46200</v>
      </c>
      <c r="J1597"/>
      <c r="K1597"/>
      <c r="L1597" s="104"/>
    </row>
    <row r="1598" spans="1:12" x14ac:dyDescent="0.25">
      <c r="A1598" s="115">
        <v>1597</v>
      </c>
      <c r="B1598" s="116">
        <v>45614</v>
      </c>
      <c r="C1598" s="117">
        <v>2024</v>
      </c>
      <c r="D1598" s="118" t="s">
        <v>833</v>
      </c>
      <c r="E1598" s="119" t="s">
        <v>600</v>
      </c>
      <c r="F1598" s="120">
        <v>2</v>
      </c>
      <c r="G1598" s="120" t="s">
        <v>759</v>
      </c>
      <c r="H1598" s="121">
        <v>11400</v>
      </c>
      <c r="J1598"/>
      <c r="K1598"/>
      <c r="L1598" s="104"/>
    </row>
    <row r="1599" spans="1:12" x14ac:dyDescent="0.25">
      <c r="A1599" s="115">
        <v>1598</v>
      </c>
      <c r="B1599" s="116">
        <v>45614</v>
      </c>
      <c r="C1599" s="117">
        <v>2024</v>
      </c>
      <c r="D1599" s="118" t="s">
        <v>833</v>
      </c>
      <c r="E1599" s="119" t="s">
        <v>600</v>
      </c>
      <c r="F1599" s="120">
        <v>4</v>
      </c>
      <c r="G1599" s="120" t="s">
        <v>759</v>
      </c>
      <c r="H1599" s="121">
        <v>22800</v>
      </c>
      <c r="J1599"/>
      <c r="K1599"/>
      <c r="L1599" s="104"/>
    </row>
    <row r="1600" spans="1:12" x14ac:dyDescent="0.25">
      <c r="A1600" s="115">
        <v>1599</v>
      </c>
      <c r="B1600" s="167">
        <v>45614</v>
      </c>
      <c r="C1600" s="117">
        <v>2024</v>
      </c>
      <c r="D1600" s="119" t="s">
        <v>35</v>
      </c>
      <c r="E1600" s="119" t="s">
        <v>1260</v>
      </c>
      <c r="F1600" s="120">
        <v>3</v>
      </c>
      <c r="G1600" s="120" t="s">
        <v>759</v>
      </c>
      <c r="H1600" s="168">
        <v>147000</v>
      </c>
      <c r="J1600"/>
      <c r="K1600"/>
      <c r="L1600" s="104"/>
    </row>
    <row r="1601" spans="1:12" x14ac:dyDescent="0.25">
      <c r="A1601" s="115">
        <v>1600</v>
      </c>
      <c r="B1601" s="116">
        <v>45614</v>
      </c>
      <c r="C1601" s="117">
        <v>2024</v>
      </c>
      <c r="D1601" s="118" t="s">
        <v>833</v>
      </c>
      <c r="E1601" s="119" t="s">
        <v>103</v>
      </c>
      <c r="F1601" s="120">
        <v>36</v>
      </c>
      <c r="G1601" s="120" t="s">
        <v>759</v>
      </c>
      <c r="H1601" s="121">
        <v>34500</v>
      </c>
      <c r="J1601"/>
      <c r="K1601"/>
      <c r="L1601" s="104"/>
    </row>
    <row r="1602" spans="1:12" x14ac:dyDescent="0.25">
      <c r="A1602" s="115">
        <v>1601</v>
      </c>
      <c r="B1602" s="116">
        <v>45614</v>
      </c>
      <c r="C1602" s="117">
        <v>2024</v>
      </c>
      <c r="D1602" s="118" t="s">
        <v>833</v>
      </c>
      <c r="E1602" s="119" t="s">
        <v>103</v>
      </c>
      <c r="F1602" s="120">
        <v>24</v>
      </c>
      <c r="G1602" s="120" t="s">
        <v>759</v>
      </c>
      <c r="H1602" s="121">
        <v>22000</v>
      </c>
      <c r="J1602"/>
      <c r="K1602"/>
      <c r="L1602" s="104"/>
    </row>
    <row r="1603" spans="1:12" x14ac:dyDescent="0.25">
      <c r="A1603" s="115">
        <v>1602</v>
      </c>
      <c r="B1603" s="116">
        <v>45614</v>
      </c>
      <c r="C1603" s="117">
        <v>2024</v>
      </c>
      <c r="D1603" s="118" t="s">
        <v>833</v>
      </c>
      <c r="E1603" s="119" t="s">
        <v>103</v>
      </c>
      <c r="F1603" s="120">
        <v>24</v>
      </c>
      <c r="G1603" s="120" t="s">
        <v>759</v>
      </c>
      <c r="H1603" s="121">
        <v>22000</v>
      </c>
      <c r="J1603"/>
      <c r="K1603"/>
      <c r="L1603" s="104"/>
    </row>
    <row r="1604" spans="1:12" x14ac:dyDescent="0.25">
      <c r="A1604" s="115">
        <v>1603</v>
      </c>
      <c r="B1604" s="116">
        <v>45614</v>
      </c>
      <c r="C1604" s="117">
        <v>2024</v>
      </c>
      <c r="D1604" s="118" t="s">
        <v>833</v>
      </c>
      <c r="E1604" s="119" t="s">
        <v>539</v>
      </c>
      <c r="F1604" s="120">
        <v>12</v>
      </c>
      <c r="G1604" s="120" t="s">
        <v>759</v>
      </c>
      <c r="H1604" s="121">
        <v>74100</v>
      </c>
      <c r="J1604"/>
      <c r="K1604"/>
      <c r="L1604" s="104"/>
    </row>
    <row r="1605" spans="1:12" x14ac:dyDescent="0.25">
      <c r="A1605" s="115">
        <v>1604</v>
      </c>
      <c r="B1605" s="116">
        <v>45614</v>
      </c>
      <c r="C1605" s="117">
        <v>2024</v>
      </c>
      <c r="D1605" s="118" t="s">
        <v>833</v>
      </c>
      <c r="E1605" s="119" t="s">
        <v>589</v>
      </c>
      <c r="F1605" s="120">
        <v>20</v>
      </c>
      <c r="G1605" s="120" t="s">
        <v>759</v>
      </c>
      <c r="H1605" s="121">
        <v>925000</v>
      </c>
      <c r="J1605"/>
      <c r="K1605"/>
      <c r="L1605" s="104"/>
    </row>
    <row r="1606" spans="1:12" x14ac:dyDescent="0.25">
      <c r="A1606" s="115">
        <v>1605</v>
      </c>
      <c r="B1606" s="167">
        <v>45614</v>
      </c>
      <c r="C1606" s="117">
        <v>2024</v>
      </c>
      <c r="D1606" s="119" t="s">
        <v>851</v>
      </c>
      <c r="E1606" s="119" t="s">
        <v>290</v>
      </c>
      <c r="F1606" s="120">
        <v>6</v>
      </c>
      <c r="G1606" s="120" t="s">
        <v>759</v>
      </c>
      <c r="H1606" s="168">
        <v>210000</v>
      </c>
      <c r="J1606"/>
      <c r="K1606"/>
      <c r="L1606" s="104"/>
    </row>
    <row r="1607" spans="1:12" x14ac:dyDescent="0.25">
      <c r="A1607" s="115">
        <v>1606</v>
      </c>
      <c r="B1607" s="116">
        <v>45614</v>
      </c>
      <c r="C1607" s="117">
        <v>2024</v>
      </c>
      <c r="D1607" s="119" t="s">
        <v>1118</v>
      </c>
      <c r="E1607" s="119" t="s">
        <v>299</v>
      </c>
      <c r="F1607" s="120">
        <v>72</v>
      </c>
      <c r="G1607" s="120" t="s">
        <v>759</v>
      </c>
      <c r="H1607" s="121">
        <v>388800</v>
      </c>
      <c r="J1607"/>
      <c r="K1607"/>
      <c r="L1607" s="104"/>
    </row>
    <row r="1608" spans="1:12" x14ac:dyDescent="0.25">
      <c r="A1608" s="115">
        <v>1607</v>
      </c>
      <c r="B1608" s="116">
        <v>45614</v>
      </c>
      <c r="C1608" s="117">
        <v>2024</v>
      </c>
      <c r="D1608" s="119" t="s">
        <v>851</v>
      </c>
      <c r="E1608" s="119" t="s">
        <v>299</v>
      </c>
      <c r="F1608" s="120">
        <v>72</v>
      </c>
      <c r="G1608" s="120" t="s">
        <v>759</v>
      </c>
      <c r="H1608" s="121">
        <v>460800</v>
      </c>
      <c r="J1608"/>
      <c r="K1608"/>
      <c r="L1608" s="104"/>
    </row>
    <row r="1609" spans="1:12" x14ac:dyDescent="0.25">
      <c r="A1609" s="115">
        <v>1608</v>
      </c>
      <c r="B1609" s="116">
        <v>45614</v>
      </c>
      <c r="C1609" s="117">
        <v>2024</v>
      </c>
      <c r="D1609" s="118" t="s">
        <v>35</v>
      </c>
      <c r="E1609" s="119" t="s">
        <v>502</v>
      </c>
      <c r="F1609" s="120">
        <v>120</v>
      </c>
      <c r="G1609" s="120" t="s">
        <v>759</v>
      </c>
      <c r="H1609" s="121">
        <v>810000</v>
      </c>
      <c r="J1609"/>
      <c r="K1609"/>
      <c r="L1609" s="104"/>
    </row>
    <row r="1610" spans="1:12" x14ac:dyDescent="0.25">
      <c r="A1610" s="115">
        <v>1609</v>
      </c>
      <c r="B1610" s="116">
        <v>45614</v>
      </c>
      <c r="C1610" s="117">
        <v>2024</v>
      </c>
      <c r="D1610" s="118" t="s">
        <v>833</v>
      </c>
      <c r="E1610" s="119" t="s">
        <v>491</v>
      </c>
      <c r="F1610" s="120">
        <v>4</v>
      </c>
      <c r="G1610" s="120" t="s">
        <v>759</v>
      </c>
      <c r="H1610" s="121">
        <v>37000</v>
      </c>
      <c r="J1610"/>
      <c r="K1610"/>
      <c r="L1610" s="104"/>
    </row>
    <row r="1611" spans="1:12" x14ac:dyDescent="0.25">
      <c r="A1611" s="115">
        <v>1610</v>
      </c>
      <c r="B1611" s="116">
        <v>45614</v>
      </c>
      <c r="C1611" s="117">
        <v>2024</v>
      </c>
      <c r="D1611" s="118" t="s">
        <v>833</v>
      </c>
      <c r="E1611" s="119" t="s">
        <v>491</v>
      </c>
      <c r="F1611" s="120">
        <v>2</v>
      </c>
      <c r="G1611" s="120" t="s">
        <v>759</v>
      </c>
      <c r="H1611" s="121">
        <v>18500</v>
      </c>
      <c r="J1611"/>
      <c r="K1611"/>
      <c r="L1611" s="104"/>
    </row>
    <row r="1612" spans="1:12" x14ac:dyDescent="0.25">
      <c r="A1612" s="115">
        <v>1611</v>
      </c>
      <c r="B1612" s="116">
        <v>45614</v>
      </c>
      <c r="C1612" s="117">
        <v>2024</v>
      </c>
      <c r="D1612" s="118" t="s">
        <v>833</v>
      </c>
      <c r="E1612" s="119" t="s">
        <v>517</v>
      </c>
      <c r="F1612" s="120">
        <v>8</v>
      </c>
      <c r="G1612" s="120" t="s">
        <v>759</v>
      </c>
      <c r="H1612" s="121">
        <v>13400</v>
      </c>
      <c r="J1612"/>
      <c r="K1612"/>
      <c r="L1612" s="104"/>
    </row>
    <row r="1613" spans="1:12" x14ac:dyDescent="0.25">
      <c r="A1613" s="115">
        <v>1612</v>
      </c>
      <c r="B1613" s="116">
        <v>45614</v>
      </c>
      <c r="C1613" s="117">
        <v>2024</v>
      </c>
      <c r="D1613" s="118" t="s">
        <v>833</v>
      </c>
      <c r="E1613" s="119" t="s">
        <v>517</v>
      </c>
      <c r="F1613" s="120">
        <v>2</v>
      </c>
      <c r="G1613" s="120" t="s">
        <v>759</v>
      </c>
      <c r="H1613" s="121">
        <v>3350</v>
      </c>
      <c r="J1613"/>
      <c r="K1613"/>
      <c r="L1613" s="104"/>
    </row>
    <row r="1614" spans="1:12" x14ac:dyDescent="0.25">
      <c r="A1614" s="115">
        <v>1613</v>
      </c>
      <c r="B1614" s="116">
        <v>45614</v>
      </c>
      <c r="C1614" s="117">
        <v>2024</v>
      </c>
      <c r="D1614" s="118" t="s">
        <v>833</v>
      </c>
      <c r="E1614" s="119" t="s">
        <v>563</v>
      </c>
      <c r="F1614" s="120">
        <v>6</v>
      </c>
      <c r="G1614" s="120" t="s">
        <v>759</v>
      </c>
      <c r="H1614" s="121">
        <v>66000</v>
      </c>
      <c r="J1614"/>
      <c r="K1614"/>
      <c r="L1614" s="104"/>
    </row>
    <row r="1615" spans="1:12" x14ac:dyDescent="0.25">
      <c r="A1615" s="115">
        <v>1614</v>
      </c>
      <c r="B1615" s="116">
        <v>45614</v>
      </c>
      <c r="C1615" s="117">
        <v>2024</v>
      </c>
      <c r="D1615" s="118" t="s">
        <v>833</v>
      </c>
      <c r="E1615" s="119" t="s">
        <v>834</v>
      </c>
      <c r="F1615" s="120">
        <v>3</v>
      </c>
      <c r="G1615" s="120" t="s">
        <v>759</v>
      </c>
      <c r="H1615" s="121">
        <v>28500</v>
      </c>
      <c r="J1615"/>
      <c r="K1615"/>
      <c r="L1615" s="104"/>
    </row>
    <row r="1616" spans="1:12" x14ac:dyDescent="0.25">
      <c r="A1616" s="115">
        <v>1615</v>
      </c>
      <c r="B1616" s="116">
        <v>45614</v>
      </c>
      <c r="C1616" s="117">
        <v>2024</v>
      </c>
      <c r="D1616" s="118" t="s">
        <v>833</v>
      </c>
      <c r="E1616" s="119" t="s">
        <v>834</v>
      </c>
      <c r="F1616" s="120">
        <v>4</v>
      </c>
      <c r="G1616" s="120" t="s">
        <v>759</v>
      </c>
      <c r="H1616" s="121">
        <v>38000</v>
      </c>
      <c r="J1616"/>
      <c r="K1616"/>
      <c r="L1616" s="104"/>
    </row>
    <row r="1617" spans="1:12" x14ac:dyDescent="0.25">
      <c r="A1617" s="115">
        <v>1616</v>
      </c>
      <c r="B1617" s="167">
        <v>45615</v>
      </c>
      <c r="C1617" s="117">
        <v>2024</v>
      </c>
      <c r="D1617" s="119" t="s">
        <v>35</v>
      </c>
      <c r="E1617" s="119" t="s">
        <v>1261</v>
      </c>
      <c r="F1617" s="120">
        <v>1</v>
      </c>
      <c r="G1617" s="120" t="s">
        <v>759</v>
      </c>
      <c r="H1617" s="168">
        <v>32000</v>
      </c>
      <c r="J1617"/>
      <c r="K1617"/>
      <c r="L1617" s="104"/>
    </row>
    <row r="1618" spans="1:12" x14ac:dyDescent="0.25">
      <c r="A1618" s="115">
        <v>1617</v>
      </c>
      <c r="B1618" s="167">
        <v>45615</v>
      </c>
      <c r="C1618" s="117">
        <v>2024</v>
      </c>
      <c r="D1618" s="119" t="s">
        <v>35</v>
      </c>
      <c r="E1618" s="119" t="s">
        <v>1262</v>
      </c>
      <c r="F1618" s="120">
        <v>1</v>
      </c>
      <c r="G1618" s="120" t="s">
        <v>759</v>
      </c>
      <c r="H1618" s="168">
        <v>190000</v>
      </c>
      <c r="J1618"/>
      <c r="K1618"/>
      <c r="L1618" s="104"/>
    </row>
    <row r="1619" spans="1:12" x14ac:dyDescent="0.25">
      <c r="A1619" s="115">
        <v>1618</v>
      </c>
      <c r="B1619" s="167">
        <v>45615</v>
      </c>
      <c r="C1619" s="117">
        <v>2024</v>
      </c>
      <c r="D1619" s="119" t="s">
        <v>766</v>
      </c>
      <c r="E1619" s="119" t="s">
        <v>1263</v>
      </c>
      <c r="F1619" s="120">
        <v>1</v>
      </c>
      <c r="G1619" s="120" t="s">
        <v>759</v>
      </c>
      <c r="H1619" s="168">
        <v>2615000</v>
      </c>
      <c r="J1619"/>
      <c r="K1619"/>
      <c r="L1619" s="104"/>
    </row>
    <row r="1620" spans="1:12" x14ac:dyDescent="0.25">
      <c r="A1620" s="115">
        <v>1619</v>
      </c>
      <c r="B1620" s="167">
        <v>45615</v>
      </c>
      <c r="C1620" s="117">
        <v>2024</v>
      </c>
      <c r="D1620" s="119" t="s">
        <v>35</v>
      </c>
      <c r="E1620" s="119" t="s">
        <v>557</v>
      </c>
      <c r="F1620" s="120">
        <v>1</v>
      </c>
      <c r="G1620" s="120" t="s">
        <v>759</v>
      </c>
      <c r="H1620" s="168">
        <v>99500</v>
      </c>
      <c r="J1620"/>
      <c r="K1620"/>
      <c r="L1620" s="104"/>
    </row>
    <row r="1621" spans="1:12" x14ac:dyDescent="0.25">
      <c r="A1621" s="115">
        <v>1620</v>
      </c>
      <c r="B1621" s="116">
        <v>45616</v>
      </c>
      <c r="C1621" s="117">
        <v>2024</v>
      </c>
      <c r="D1621" s="118" t="s">
        <v>35</v>
      </c>
      <c r="E1621" s="119" t="s">
        <v>1264</v>
      </c>
      <c r="F1621" s="120">
        <v>2</v>
      </c>
      <c r="G1621" s="120" t="s">
        <v>759</v>
      </c>
      <c r="H1621" s="121">
        <v>128000</v>
      </c>
      <c r="J1621"/>
      <c r="K1621"/>
      <c r="L1621" s="104"/>
    </row>
    <row r="1622" spans="1:12" x14ac:dyDescent="0.25">
      <c r="A1622" s="115">
        <v>1621</v>
      </c>
      <c r="B1622" s="167">
        <v>45616</v>
      </c>
      <c r="C1622" s="117">
        <v>2024</v>
      </c>
      <c r="D1622" s="118" t="s">
        <v>766</v>
      </c>
      <c r="E1622" s="119" t="s">
        <v>1265</v>
      </c>
      <c r="F1622" s="120">
        <v>25</v>
      </c>
      <c r="G1622" s="120" t="s">
        <v>759</v>
      </c>
      <c r="H1622" s="168">
        <v>16875000</v>
      </c>
      <c r="J1622"/>
      <c r="K1622"/>
      <c r="L1622" s="104"/>
    </row>
    <row r="1623" spans="1:12" x14ac:dyDescent="0.25">
      <c r="A1623" s="115">
        <v>1622</v>
      </c>
      <c r="B1623" s="167">
        <v>45616</v>
      </c>
      <c r="C1623" s="117">
        <v>2024</v>
      </c>
      <c r="D1623" s="118" t="s">
        <v>766</v>
      </c>
      <c r="E1623" s="119" t="s">
        <v>1266</v>
      </c>
      <c r="F1623" s="120">
        <v>13</v>
      </c>
      <c r="G1623" s="120" t="s">
        <v>759</v>
      </c>
      <c r="H1623" s="168">
        <v>7085000</v>
      </c>
      <c r="J1623"/>
      <c r="K1623"/>
      <c r="L1623" s="104"/>
    </row>
    <row r="1624" spans="1:12" x14ac:dyDescent="0.25">
      <c r="A1624" s="115">
        <v>1623</v>
      </c>
      <c r="B1624" s="167">
        <v>45616</v>
      </c>
      <c r="C1624" s="117">
        <v>2024</v>
      </c>
      <c r="D1624" s="118" t="s">
        <v>766</v>
      </c>
      <c r="E1624" s="119" t="s">
        <v>1267</v>
      </c>
      <c r="F1624" s="120">
        <v>13</v>
      </c>
      <c r="G1624" s="120" t="s">
        <v>759</v>
      </c>
      <c r="H1624" s="168">
        <v>6175000</v>
      </c>
      <c r="J1624"/>
      <c r="K1624"/>
      <c r="L1624" s="104"/>
    </row>
    <row r="1625" spans="1:12" x14ac:dyDescent="0.25">
      <c r="A1625" s="115">
        <v>1624</v>
      </c>
      <c r="B1625" s="167">
        <v>45616</v>
      </c>
      <c r="C1625" s="117">
        <v>2024</v>
      </c>
      <c r="D1625" s="118" t="s">
        <v>766</v>
      </c>
      <c r="E1625" s="119" t="s">
        <v>1268</v>
      </c>
      <c r="F1625" s="120">
        <v>16</v>
      </c>
      <c r="G1625" s="120" t="s">
        <v>759</v>
      </c>
      <c r="H1625" s="168">
        <v>5600000</v>
      </c>
      <c r="J1625"/>
      <c r="K1625"/>
      <c r="L1625" s="104"/>
    </row>
    <row r="1626" spans="1:12" x14ac:dyDescent="0.25">
      <c r="A1626" s="115">
        <v>1625</v>
      </c>
      <c r="B1626" s="167">
        <v>45616</v>
      </c>
      <c r="C1626" s="117">
        <v>2024</v>
      </c>
      <c r="D1626" s="118" t="s">
        <v>766</v>
      </c>
      <c r="E1626" s="119" t="s">
        <v>1269</v>
      </c>
      <c r="F1626" s="120">
        <v>18</v>
      </c>
      <c r="G1626" s="120" t="s">
        <v>759</v>
      </c>
      <c r="H1626" s="168">
        <v>4950000</v>
      </c>
      <c r="J1626"/>
      <c r="K1626"/>
      <c r="L1626" s="104"/>
    </row>
    <row r="1627" spans="1:12" x14ac:dyDescent="0.25">
      <c r="A1627" s="115">
        <v>1626</v>
      </c>
      <c r="B1627" s="116">
        <v>45617</v>
      </c>
      <c r="C1627" s="117">
        <v>2024</v>
      </c>
      <c r="D1627" s="118" t="s">
        <v>833</v>
      </c>
      <c r="E1627" s="119" t="s">
        <v>511</v>
      </c>
      <c r="F1627" s="120">
        <v>3</v>
      </c>
      <c r="G1627" s="120" t="s">
        <v>759</v>
      </c>
      <c r="H1627" s="121">
        <v>136500</v>
      </c>
      <c r="J1627"/>
      <c r="K1627"/>
      <c r="L1627" s="104"/>
    </row>
    <row r="1628" spans="1:12" x14ac:dyDescent="0.25">
      <c r="A1628" s="115">
        <v>1627</v>
      </c>
      <c r="B1628" s="167">
        <v>45617</v>
      </c>
      <c r="C1628" s="117">
        <v>2024</v>
      </c>
      <c r="D1628" s="119" t="s">
        <v>833</v>
      </c>
      <c r="E1628" s="119" t="s">
        <v>763</v>
      </c>
      <c r="F1628" s="120">
        <v>1</v>
      </c>
      <c r="G1628" s="120" t="s">
        <v>759</v>
      </c>
      <c r="H1628" s="168">
        <v>111000000</v>
      </c>
      <c r="J1628"/>
      <c r="K1628"/>
      <c r="L1628" s="104"/>
    </row>
    <row r="1629" spans="1:12" x14ac:dyDescent="0.25">
      <c r="A1629" s="115">
        <v>1628</v>
      </c>
      <c r="B1629" s="167">
        <v>45617</v>
      </c>
      <c r="C1629" s="117">
        <v>2024</v>
      </c>
      <c r="D1629" s="119" t="s">
        <v>766</v>
      </c>
      <c r="E1629" s="119" t="s">
        <v>1270</v>
      </c>
      <c r="F1629" s="120">
        <v>8</v>
      </c>
      <c r="G1629" s="120" t="s">
        <v>759</v>
      </c>
      <c r="H1629" s="168">
        <v>240000</v>
      </c>
      <c r="J1629"/>
      <c r="K1629"/>
      <c r="L1629" s="104"/>
    </row>
    <row r="1630" spans="1:12" x14ac:dyDescent="0.25">
      <c r="A1630" s="115">
        <v>1629</v>
      </c>
      <c r="B1630" s="116">
        <v>45617</v>
      </c>
      <c r="C1630" s="117">
        <v>2024</v>
      </c>
      <c r="D1630" s="118" t="s">
        <v>833</v>
      </c>
      <c r="E1630" s="119" t="s">
        <v>493</v>
      </c>
      <c r="F1630" s="120">
        <v>10</v>
      </c>
      <c r="G1630" s="120" t="s">
        <v>759</v>
      </c>
      <c r="H1630" s="121">
        <v>90000</v>
      </c>
      <c r="J1630"/>
      <c r="K1630"/>
      <c r="L1630" s="104"/>
    </row>
    <row r="1631" spans="1:12" x14ac:dyDescent="0.25">
      <c r="A1631" s="115">
        <v>1630</v>
      </c>
      <c r="B1631" s="116">
        <v>45617</v>
      </c>
      <c r="C1631" s="117">
        <v>2024</v>
      </c>
      <c r="D1631" s="118" t="s">
        <v>35</v>
      </c>
      <c r="E1631" s="119" t="s">
        <v>1271</v>
      </c>
      <c r="F1631" s="120">
        <v>3</v>
      </c>
      <c r="G1631" s="120" t="s">
        <v>759</v>
      </c>
      <c r="H1631" s="121">
        <v>37976</v>
      </c>
      <c r="J1631"/>
      <c r="K1631"/>
      <c r="L1631" s="104"/>
    </row>
    <row r="1632" spans="1:12" x14ac:dyDescent="0.25">
      <c r="A1632" s="115">
        <v>1631</v>
      </c>
      <c r="B1632" s="116">
        <v>45618</v>
      </c>
      <c r="C1632" s="117">
        <v>2024</v>
      </c>
      <c r="D1632" s="118" t="s">
        <v>35</v>
      </c>
      <c r="E1632" s="119" t="s">
        <v>1259</v>
      </c>
      <c r="F1632" s="120">
        <v>1</v>
      </c>
      <c r="G1632" s="120" t="s">
        <v>759</v>
      </c>
      <c r="H1632" s="121">
        <v>36000</v>
      </c>
      <c r="J1632"/>
      <c r="K1632"/>
      <c r="L1632" s="104"/>
    </row>
    <row r="1633" spans="1:12" x14ac:dyDescent="0.25">
      <c r="A1633" s="115">
        <v>1632</v>
      </c>
      <c r="B1633" s="167">
        <v>45621</v>
      </c>
      <c r="C1633" s="117">
        <v>2024</v>
      </c>
      <c r="D1633" s="119" t="s">
        <v>35</v>
      </c>
      <c r="E1633" s="119" t="s">
        <v>739</v>
      </c>
      <c r="F1633" s="120">
        <v>3</v>
      </c>
      <c r="G1633" s="120" t="s">
        <v>759</v>
      </c>
      <c r="H1633" s="168">
        <v>562500</v>
      </c>
      <c r="J1633"/>
      <c r="K1633"/>
      <c r="L1633" s="104"/>
    </row>
    <row r="1634" spans="1:12" x14ac:dyDescent="0.25">
      <c r="A1634" s="115">
        <v>1633</v>
      </c>
      <c r="B1634" s="167">
        <v>45621</v>
      </c>
      <c r="C1634" s="117">
        <v>2024</v>
      </c>
      <c r="D1634" s="119" t="s">
        <v>35</v>
      </c>
      <c r="E1634" s="119" t="s">
        <v>486</v>
      </c>
      <c r="F1634" s="120">
        <v>5</v>
      </c>
      <c r="G1634" s="120" t="s">
        <v>759</v>
      </c>
      <c r="H1634" s="168">
        <v>71465</v>
      </c>
      <c r="J1634"/>
      <c r="K1634"/>
      <c r="L1634" s="104"/>
    </row>
    <row r="1635" spans="1:12" x14ac:dyDescent="0.25">
      <c r="A1635" s="115">
        <v>1634</v>
      </c>
      <c r="B1635" s="167">
        <v>45621</v>
      </c>
      <c r="C1635" s="117">
        <v>2024</v>
      </c>
      <c r="D1635" s="119" t="s">
        <v>35</v>
      </c>
      <c r="E1635" s="119" t="s">
        <v>486</v>
      </c>
      <c r="F1635" s="120">
        <v>5</v>
      </c>
      <c r="G1635" s="120" t="s">
        <v>759</v>
      </c>
      <c r="H1635" s="168">
        <v>115055</v>
      </c>
      <c r="J1635"/>
      <c r="K1635"/>
      <c r="L1635" s="104"/>
    </row>
    <row r="1636" spans="1:12" x14ac:dyDescent="0.25">
      <c r="A1636" s="115">
        <v>1635</v>
      </c>
      <c r="B1636" s="167">
        <v>45621</v>
      </c>
      <c r="C1636" s="117">
        <v>2024</v>
      </c>
      <c r="D1636" s="119" t="s">
        <v>35</v>
      </c>
      <c r="E1636" s="119" t="s">
        <v>98</v>
      </c>
      <c r="F1636" s="120">
        <v>5</v>
      </c>
      <c r="G1636" s="120" t="s">
        <v>759</v>
      </c>
      <c r="H1636" s="121">
        <v>138019</v>
      </c>
      <c r="J1636"/>
      <c r="K1636"/>
      <c r="L1636" s="104"/>
    </row>
    <row r="1637" spans="1:12" x14ac:dyDescent="0.25">
      <c r="A1637" s="115">
        <v>1636</v>
      </c>
      <c r="B1637" s="145">
        <v>45622</v>
      </c>
      <c r="C1637" s="146">
        <v>2024</v>
      </c>
      <c r="D1637" s="118" t="s">
        <v>35</v>
      </c>
      <c r="E1637" s="118" t="s">
        <v>325</v>
      </c>
      <c r="F1637" s="147">
        <v>1</v>
      </c>
      <c r="G1637" s="120" t="s">
        <v>759</v>
      </c>
      <c r="H1637" s="148">
        <v>1830000</v>
      </c>
      <c r="J1637"/>
      <c r="K1637"/>
      <c r="L1637" s="104"/>
    </row>
    <row r="1638" spans="1:12" x14ac:dyDescent="0.25">
      <c r="A1638" s="115">
        <v>1637</v>
      </c>
      <c r="B1638" s="145">
        <v>45622</v>
      </c>
      <c r="C1638" s="146">
        <v>2024</v>
      </c>
      <c r="D1638" s="118" t="s">
        <v>35</v>
      </c>
      <c r="E1638" s="118" t="s">
        <v>329</v>
      </c>
      <c r="F1638" s="147">
        <v>1</v>
      </c>
      <c r="G1638" s="120" t="s">
        <v>759</v>
      </c>
      <c r="H1638" s="148">
        <v>1465000</v>
      </c>
      <c r="J1638"/>
      <c r="K1638"/>
      <c r="L1638" s="104"/>
    </row>
    <row r="1639" spans="1:12" x14ac:dyDescent="0.25">
      <c r="A1639" s="115">
        <v>1638</v>
      </c>
      <c r="B1639" s="145">
        <v>45622</v>
      </c>
      <c r="C1639" s="146">
        <v>2024</v>
      </c>
      <c r="D1639" s="118" t="s">
        <v>35</v>
      </c>
      <c r="E1639" s="118" t="s">
        <v>1272</v>
      </c>
      <c r="F1639" s="147">
        <v>1</v>
      </c>
      <c r="G1639" s="120" t="s">
        <v>759</v>
      </c>
      <c r="H1639" s="148">
        <v>425000</v>
      </c>
      <c r="J1639"/>
      <c r="K1639"/>
      <c r="L1639" s="104"/>
    </row>
    <row r="1640" spans="1:12" x14ac:dyDescent="0.25">
      <c r="A1640" s="115">
        <v>1639</v>
      </c>
      <c r="B1640" s="116">
        <v>45626</v>
      </c>
      <c r="C1640" s="117">
        <v>2024</v>
      </c>
      <c r="D1640" s="118" t="s">
        <v>35</v>
      </c>
      <c r="E1640" s="119" t="s">
        <v>473</v>
      </c>
      <c r="F1640" s="120">
        <v>5</v>
      </c>
      <c r="G1640" s="120" t="s">
        <v>759</v>
      </c>
      <c r="H1640" s="121">
        <v>139148</v>
      </c>
      <c r="J1640"/>
      <c r="K1640"/>
      <c r="L1640" s="104"/>
    </row>
    <row r="1641" spans="1:12" x14ac:dyDescent="0.25">
      <c r="A1641" s="115">
        <v>1640</v>
      </c>
      <c r="B1641" s="116">
        <v>45626</v>
      </c>
      <c r="C1641" s="117">
        <v>2024</v>
      </c>
      <c r="D1641" s="118" t="s">
        <v>35</v>
      </c>
      <c r="E1641" s="119" t="s">
        <v>1273</v>
      </c>
      <c r="F1641" s="120">
        <v>1</v>
      </c>
      <c r="G1641" s="120" t="s">
        <v>759</v>
      </c>
      <c r="H1641" s="121">
        <v>48000</v>
      </c>
      <c r="J1641"/>
      <c r="K1641"/>
      <c r="L1641" s="104"/>
    </row>
    <row r="1642" spans="1:12" x14ac:dyDescent="0.25">
      <c r="A1642" s="115">
        <v>1641</v>
      </c>
      <c r="B1642" s="116">
        <v>45626</v>
      </c>
      <c r="C1642" s="117">
        <v>2024</v>
      </c>
      <c r="D1642" s="118" t="s">
        <v>833</v>
      </c>
      <c r="E1642" s="119" t="s">
        <v>535</v>
      </c>
      <c r="F1642" s="120">
        <v>40</v>
      </c>
      <c r="G1642" s="120" t="s">
        <v>759</v>
      </c>
      <c r="H1642" s="121">
        <v>39960</v>
      </c>
      <c r="J1642"/>
      <c r="K1642"/>
      <c r="L1642" s="104"/>
    </row>
    <row r="1643" spans="1:12" x14ac:dyDescent="0.25">
      <c r="A1643" s="115">
        <v>1642</v>
      </c>
      <c r="B1643" s="116">
        <v>45628</v>
      </c>
      <c r="C1643" s="117">
        <v>2024</v>
      </c>
      <c r="D1643" s="118" t="s">
        <v>35</v>
      </c>
      <c r="E1643" s="119" t="s">
        <v>211</v>
      </c>
      <c r="F1643" s="120">
        <v>3</v>
      </c>
      <c r="G1643" s="120" t="s">
        <v>759</v>
      </c>
      <c r="H1643" s="121">
        <v>63000</v>
      </c>
      <c r="J1643"/>
      <c r="K1643"/>
      <c r="L1643" s="104"/>
    </row>
    <row r="1644" spans="1:12" x14ac:dyDescent="0.25">
      <c r="A1644" s="115">
        <v>1643</v>
      </c>
      <c r="B1644" s="116">
        <v>45628</v>
      </c>
      <c r="C1644" s="117">
        <v>2024</v>
      </c>
      <c r="D1644" s="118" t="s">
        <v>35</v>
      </c>
      <c r="E1644" s="119" t="s">
        <v>1274</v>
      </c>
      <c r="F1644" s="120">
        <v>1</v>
      </c>
      <c r="G1644" s="120" t="s">
        <v>759</v>
      </c>
      <c r="H1644" s="121">
        <v>51000</v>
      </c>
      <c r="J1644"/>
      <c r="K1644"/>
      <c r="L1644" s="104"/>
    </row>
    <row r="1645" spans="1:12" x14ac:dyDescent="0.25">
      <c r="A1645" s="115">
        <v>1644</v>
      </c>
      <c r="B1645" s="116">
        <v>45628</v>
      </c>
      <c r="C1645" s="117">
        <v>2024</v>
      </c>
      <c r="D1645" s="118" t="s">
        <v>35</v>
      </c>
      <c r="E1645" s="119" t="s">
        <v>1275</v>
      </c>
      <c r="F1645" s="120">
        <v>60</v>
      </c>
      <c r="G1645" s="120" t="s">
        <v>759</v>
      </c>
      <c r="H1645" s="121">
        <v>158800</v>
      </c>
      <c r="J1645"/>
      <c r="K1645"/>
      <c r="L1645" s="104"/>
    </row>
    <row r="1646" spans="1:12" x14ac:dyDescent="0.25">
      <c r="A1646" s="115">
        <v>1645</v>
      </c>
      <c r="B1646" s="116">
        <v>45629</v>
      </c>
      <c r="C1646" s="117">
        <v>2024</v>
      </c>
      <c r="D1646" s="118" t="s">
        <v>833</v>
      </c>
      <c r="E1646" s="119" t="s">
        <v>580</v>
      </c>
      <c r="F1646" s="120">
        <v>3</v>
      </c>
      <c r="G1646" s="120" t="s">
        <v>759</v>
      </c>
      <c r="H1646" s="121">
        <v>140949.99</v>
      </c>
      <c r="J1646"/>
      <c r="K1646"/>
      <c r="L1646" s="104"/>
    </row>
    <row r="1647" spans="1:12" x14ac:dyDescent="0.25">
      <c r="A1647" s="115">
        <v>1646</v>
      </c>
      <c r="B1647" s="116">
        <v>45629</v>
      </c>
      <c r="C1647" s="117">
        <v>2024</v>
      </c>
      <c r="D1647" s="118" t="s">
        <v>833</v>
      </c>
      <c r="E1647" s="119" t="s">
        <v>580</v>
      </c>
      <c r="F1647" s="120">
        <v>1</v>
      </c>
      <c r="G1647" s="120" t="s">
        <v>759</v>
      </c>
      <c r="H1647" s="121">
        <v>46983.33</v>
      </c>
      <c r="J1647"/>
      <c r="K1647"/>
      <c r="L1647" s="104"/>
    </row>
    <row r="1648" spans="1:12" x14ac:dyDescent="0.25">
      <c r="A1648" s="115">
        <v>1647</v>
      </c>
      <c r="B1648" s="116">
        <v>45629</v>
      </c>
      <c r="C1648" s="117">
        <v>2024</v>
      </c>
      <c r="D1648" s="118" t="s">
        <v>833</v>
      </c>
      <c r="E1648" s="119" t="s">
        <v>580</v>
      </c>
      <c r="F1648" s="120">
        <v>1</v>
      </c>
      <c r="G1648" s="120" t="s">
        <v>759</v>
      </c>
      <c r="H1648" s="121">
        <v>46983.33</v>
      </c>
      <c r="J1648"/>
      <c r="K1648"/>
      <c r="L1648" s="104"/>
    </row>
    <row r="1649" spans="1:12" x14ac:dyDescent="0.25">
      <c r="A1649" s="115">
        <v>1648</v>
      </c>
      <c r="B1649" s="116">
        <v>45629</v>
      </c>
      <c r="C1649" s="117">
        <v>2024</v>
      </c>
      <c r="D1649" s="118" t="s">
        <v>833</v>
      </c>
      <c r="E1649" s="119" t="s">
        <v>580</v>
      </c>
      <c r="F1649" s="120">
        <v>1</v>
      </c>
      <c r="G1649" s="120" t="s">
        <v>759</v>
      </c>
      <c r="H1649" s="121">
        <v>46983.33</v>
      </c>
      <c r="J1649"/>
      <c r="K1649"/>
      <c r="L1649" s="104"/>
    </row>
    <row r="1650" spans="1:12" x14ac:dyDescent="0.25">
      <c r="A1650" s="115">
        <v>1649</v>
      </c>
      <c r="B1650" s="167">
        <v>45629</v>
      </c>
      <c r="C1650" s="117">
        <v>2024</v>
      </c>
      <c r="D1650" s="119" t="s">
        <v>833</v>
      </c>
      <c r="E1650" s="119" t="s">
        <v>1211</v>
      </c>
      <c r="F1650" s="120">
        <v>1</v>
      </c>
      <c r="G1650" s="120" t="s">
        <v>759</v>
      </c>
      <c r="H1650" s="168">
        <v>47316</v>
      </c>
      <c r="J1650"/>
      <c r="K1650"/>
      <c r="L1650" s="104"/>
    </row>
    <row r="1651" spans="1:12" x14ac:dyDescent="0.25">
      <c r="A1651" s="115">
        <v>1650</v>
      </c>
      <c r="B1651" s="167">
        <v>45629</v>
      </c>
      <c r="C1651" s="117">
        <v>2024</v>
      </c>
      <c r="D1651" s="119" t="s">
        <v>833</v>
      </c>
      <c r="E1651" s="119" t="s">
        <v>1212</v>
      </c>
      <c r="F1651" s="120">
        <v>3</v>
      </c>
      <c r="G1651" s="120" t="s">
        <v>759</v>
      </c>
      <c r="H1651" s="168">
        <v>141948</v>
      </c>
      <c r="J1651"/>
      <c r="K1651"/>
      <c r="L1651" s="104"/>
    </row>
    <row r="1652" spans="1:12" x14ac:dyDescent="0.25">
      <c r="A1652" s="115">
        <v>1651</v>
      </c>
      <c r="B1652" s="167">
        <v>45629</v>
      </c>
      <c r="C1652" s="117">
        <v>2024</v>
      </c>
      <c r="D1652" s="119" t="s">
        <v>833</v>
      </c>
      <c r="E1652" s="119" t="s">
        <v>1213</v>
      </c>
      <c r="F1652" s="120">
        <v>1</v>
      </c>
      <c r="G1652" s="120" t="s">
        <v>759</v>
      </c>
      <c r="H1652" s="168">
        <v>47316</v>
      </c>
      <c r="J1652"/>
      <c r="K1652"/>
      <c r="L1652" s="104"/>
    </row>
    <row r="1653" spans="1:12" x14ac:dyDescent="0.25">
      <c r="A1653" s="115">
        <v>1652</v>
      </c>
      <c r="B1653" s="167">
        <v>45629</v>
      </c>
      <c r="C1653" s="117">
        <v>2024</v>
      </c>
      <c r="D1653" s="119" t="s">
        <v>833</v>
      </c>
      <c r="E1653" s="119" t="s">
        <v>1214</v>
      </c>
      <c r="F1653" s="120">
        <v>1</v>
      </c>
      <c r="G1653" s="120" t="s">
        <v>759</v>
      </c>
      <c r="H1653" s="168">
        <v>47316</v>
      </c>
      <c r="J1653"/>
      <c r="K1653"/>
      <c r="L1653" s="104"/>
    </row>
    <row r="1654" spans="1:12" x14ac:dyDescent="0.25">
      <c r="A1654" s="115">
        <v>1653</v>
      </c>
      <c r="B1654" s="167">
        <v>45630</v>
      </c>
      <c r="C1654" s="117">
        <v>2024</v>
      </c>
      <c r="D1654" s="119" t="s">
        <v>35</v>
      </c>
      <c r="E1654" s="119" t="s">
        <v>486</v>
      </c>
      <c r="F1654" s="120">
        <v>1</v>
      </c>
      <c r="G1654" s="120" t="s">
        <v>759</v>
      </c>
      <c r="H1654" s="168">
        <v>47500</v>
      </c>
      <c r="J1654"/>
      <c r="K1654"/>
      <c r="L1654" s="104"/>
    </row>
    <row r="1655" spans="1:12" x14ac:dyDescent="0.25">
      <c r="A1655" s="115">
        <v>1654</v>
      </c>
      <c r="B1655" s="116">
        <v>45631</v>
      </c>
      <c r="C1655" s="117">
        <v>2024</v>
      </c>
      <c r="D1655" s="118" t="s">
        <v>35</v>
      </c>
      <c r="E1655" s="119" t="s">
        <v>207</v>
      </c>
      <c r="F1655" s="120">
        <v>50</v>
      </c>
      <c r="G1655" s="120" t="s">
        <v>759</v>
      </c>
      <c r="H1655" s="121">
        <v>21900</v>
      </c>
      <c r="J1655"/>
      <c r="K1655"/>
      <c r="L1655" s="104"/>
    </row>
    <row r="1656" spans="1:12" x14ac:dyDescent="0.25">
      <c r="A1656" s="115">
        <v>1655</v>
      </c>
      <c r="B1656" s="145">
        <v>45631</v>
      </c>
      <c r="C1656" s="146">
        <v>2024</v>
      </c>
      <c r="D1656" s="118" t="s">
        <v>35</v>
      </c>
      <c r="E1656" s="118" t="s">
        <v>794</v>
      </c>
      <c r="F1656" s="147">
        <v>1</v>
      </c>
      <c r="G1656" s="120" t="s">
        <v>759</v>
      </c>
      <c r="H1656" s="148">
        <v>300000</v>
      </c>
      <c r="J1656"/>
      <c r="K1656"/>
      <c r="L1656" s="104"/>
    </row>
    <row r="1657" spans="1:12" x14ac:dyDescent="0.25">
      <c r="A1657" s="115">
        <v>1656</v>
      </c>
      <c r="B1657" s="167">
        <v>45632</v>
      </c>
      <c r="C1657" s="117">
        <v>2024</v>
      </c>
      <c r="D1657" s="119" t="s">
        <v>833</v>
      </c>
      <c r="E1657" s="119" t="s">
        <v>1276</v>
      </c>
      <c r="F1657" s="120">
        <v>1</v>
      </c>
      <c r="G1657" s="120" t="s">
        <v>759</v>
      </c>
      <c r="H1657" s="168">
        <v>403280</v>
      </c>
      <c r="J1657"/>
      <c r="K1657"/>
      <c r="L1657" s="104"/>
    </row>
    <row r="1658" spans="1:12" x14ac:dyDescent="0.25">
      <c r="A1658" s="115">
        <v>1657</v>
      </c>
      <c r="B1658" s="167">
        <v>45632</v>
      </c>
      <c r="C1658" s="117">
        <v>2024</v>
      </c>
      <c r="D1658" s="119" t="s">
        <v>833</v>
      </c>
      <c r="E1658" s="119" t="s">
        <v>1277</v>
      </c>
      <c r="F1658" s="120">
        <v>1</v>
      </c>
      <c r="G1658" s="120" t="s">
        <v>759</v>
      </c>
      <c r="H1658" s="168">
        <v>48000</v>
      </c>
      <c r="J1658"/>
      <c r="K1658"/>
      <c r="L1658" s="104"/>
    </row>
    <row r="1659" spans="1:12" x14ac:dyDescent="0.25">
      <c r="A1659" s="115">
        <v>1658</v>
      </c>
      <c r="B1659" s="167">
        <v>45632</v>
      </c>
      <c r="C1659" s="117">
        <v>2024</v>
      </c>
      <c r="D1659" s="119" t="s">
        <v>833</v>
      </c>
      <c r="E1659" s="119" t="s">
        <v>1278</v>
      </c>
      <c r="F1659" s="120">
        <v>1</v>
      </c>
      <c r="G1659" s="120" t="s">
        <v>759</v>
      </c>
      <c r="H1659" s="168">
        <v>289150</v>
      </c>
      <c r="J1659"/>
      <c r="K1659"/>
      <c r="L1659" s="104"/>
    </row>
    <row r="1660" spans="1:12" x14ac:dyDescent="0.25">
      <c r="A1660" s="115">
        <v>1659</v>
      </c>
      <c r="B1660" s="116">
        <v>45633</v>
      </c>
      <c r="C1660" s="117">
        <v>2024</v>
      </c>
      <c r="D1660" s="118" t="s">
        <v>259</v>
      </c>
      <c r="E1660" s="119" t="s">
        <v>1279</v>
      </c>
      <c r="F1660" s="120">
        <v>1</v>
      </c>
      <c r="G1660" s="120" t="s">
        <v>759</v>
      </c>
      <c r="H1660" s="121">
        <v>8300</v>
      </c>
      <c r="J1660"/>
      <c r="K1660"/>
      <c r="L1660" s="104"/>
    </row>
    <row r="1661" spans="1:12" x14ac:dyDescent="0.25">
      <c r="A1661" s="115">
        <v>1660</v>
      </c>
      <c r="B1661" s="116">
        <v>45633</v>
      </c>
      <c r="C1661" s="117">
        <v>2024</v>
      </c>
      <c r="D1661" s="118" t="s">
        <v>35</v>
      </c>
      <c r="E1661" s="119" t="s">
        <v>675</v>
      </c>
      <c r="F1661" s="120">
        <v>12</v>
      </c>
      <c r="G1661" s="120" t="s">
        <v>759</v>
      </c>
      <c r="H1661" s="121">
        <v>252000</v>
      </c>
      <c r="J1661"/>
      <c r="K1661"/>
      <c r="L1661" s="104"/>
    </row>
    <row r="1662" spans="1:12" x14ac:dyDescent="0.25">
      <c r="A1662" s="115">
        <v>1661</v>
      </c>
      <c r="B1662" s="116">
        <v>45633</v>
      </c>
      <c r="C1662" s="117">
        <v>2024</v>
      </c>
      <c r="D1662" s="118" t="s">
        <v>259</v>
      </c>
      <c r="E1662" s="119" t="s">
        <v>1280</v>
      </c>
      <c r="F1662" s="120">
        <v>1</v>
      </c>
      <c r="G1662" s="120" t="s">
        <v>759</v>
      </c>
      <c r="H1662" s="121">
        <v>583800</v>
      </c>
      <c r="J1662"/>
      <c r="K1662"/>
      <c r="L1662" s="104"/>
    </row>
    <row r="1663" spans="1:12" x14ac:dyDescent="0.25">
      <c r="A1663" s="115">
        <v>1662</v>
      </c>
      <c r="B1663" s="116">
        <v>45633</v>
      </c>
      <c r="C1663" s="117">
        <v>2024</v>
      </c>
      <c r="D1663" s="118" t="s">
        <v>833</v>
      </c>
      <c r="E1663" s="119" t="s">
        <v>967</v>
      </c>
      <c r="F1663" s="120">
        <v>100</v>
      </c>
      <c r="G1663" s="120" t="s">
        <v>759</v>
      </c>
      <c r="H1663" s="121">
        <v>1000000</v>
      </c>
      <c r="J1663"/>
      <c r="K1663"/>
      <c r="L1663" s="104"/>
    </row>
    <row r="1664" spans="1:12" x14ac:dyDescent="0.25">
      <c r="A1664" s="115">
        <v>1663</v>
      </c>
      <c r="B1664" s="116">
        <v>45633</v>
      </c>
      <c r="C1664" s="117">
        <v>2024</v>
      </c>
      <c r="D1664" s="118" t="s">
        <v>259</v>
      </c>
      <c r="E1664" s="119" t="s">
        <v>1281</v>
      </c>
      <c r="F1664" s="120">
        <v>1</v>
      </c>
      <c r="G1664" s="120" t="s">
        <v>759</v>
      </c>
      <c r="H1664" s="121">
        <v>510100</v>
      </c>
      <c r="J1664"/>
      <c r="K1664"/>
      <c r="L1664" s="104"/>
    </row>
    <row r="1665" spans="1:12" x14ac:dyDescent="0.25">
      <c r="A1665" s="115">
        <v>1664</v>
      </c>
      <c r="B1665" s="116">
        <v>45633</v>
      </c>
      <c r="C1665" s="117">
        <v>2024</v>
      </c>
      <c r="D1665" s="118" t="s">
        <v>35</v>
      </c>
      <c r="E1665" s="119" t="s">
        <v>1031</v>
      </c>
      <c r="F1665" s="120">
        <v>24</v>
      </c>
      <c r="G1665" s="120" t="s">
        <v>759</v>
      </c>
      <c r="H1665" s="121">
        <v>204000</v>
      </c>
      <c r="J1665"/>
      <c r="K1665"/>
      <c r="L1665" s="104"/>
    </row>
    <row r="1666" spans="1:12" x14ac:dyDescent="0.25">
      <c r="A1666" s="115">
        <v>1665</v>
      </c>
      <c r="B1666" s="167">
        <v>45635</v>
      </c>
      <c r="C1666" s="117">
        <v>2024</v>
      </c>
      <c r="D1666" s="119" t="s">
        <v>35</v>
      </c>
      <c r="E1666" s="119" t="s">
        <v>1282</v>
      </c>
      <c r="F1666" s="120">
        <v>40</v>
      </c>
      <c r="G1666" s="120" t="s">
        <v>759</v>
      </c>
      <c r="H1666" s="168">
        <v>93800</v>
      </c>
      <c r="J1666"/>
      <c r="K1666"/>
      <c r="L1666" s="104"/>
    </row>
    <row r="1667" spans="1:12" x14ac:dyDescent="0.25">
      <c r="A1667" s="115">
        <v>1666</v>
      </c>
      <c r="B1667" s="145">
        <v>45635</v>
      </c>
      <c r="C1667" s="146">
        <v>2024</v>
      </c>
      <c r="D1667" s="118" t="s">
        <v>35</v>
      </c>
      <c r="E1667" s="118" t="s">
        <v>1283</v>
      </c>
      <c r="F1667" s="147">
        <v>1</v>
      </c>
      <c r="G1667" s="120" t="s">
        <v>759</v>
      </c>
      <c r="H1667" s="148">
        <v>175000</v>
      </c>
      <c r="J1667"/>
      <c r="K1667"/>
      <c r="L1667" s="104"/>
    </row>
    <row r="1668" spans="1:12" x14ac:dyDescent="0.25">
      <c r="A1668" s="115">
        <v>1667</v>
      </c>
      <c r="B1668" s="145">
        <v>45635</v>
      </c>
      <c r="C1668" s="146">
        <v>2024</v>
      </c>
      <c r="D1668" s="118" t="s">
        <v>35</v>
      </c>
      <c r="E1668" s="118" t="s">
        <v>115</v>
      </c>
      <c r="F1668" s="147">
        <v>1</v>
      </c>
      <c r="G1668" s="120" t="s">
        <v>759</v>
      </c>
      <c r="H1668" s="148">
        <v>45000</v>
      </c>
      <c r="J1668"/>
      <c r="K1668"/>
      <c r="L1668" s="104"/>
    </row>
    <row r="1669" spans="1:12" x14ac:dyDescent="0.25">
      <c r="A1669" s="115">
        <v>1668</v>
      </c>
      <c r="B1669" s="145">
        <v>45635</v>
      </c>
      <c r="C1669" s="146">
        <v>2024</v>
      </c>
      <c r="D1669" s="118" t="s">
        <v>35</v>
      </c>
      <c r="E1669" s="118" t="s">
        <v>812</v>
      </c>
      <c r="F1669" s="147">
        <v>1</v>
      </c>
      <c r="G1669" s="120" t="s">
        <v>759</v>
      </c>
      <c r="H1669" s="148">
        <v>250000</v>
      </c>
      <c r="J1669"/>
      <c r="K1669"/>
      <c r="L1669" s="104"/>
    </row>
    <row r="1670" spans="1:12" x14ac:dyDescent="0.25">
      <c r="A1670" s="115">
        <v>1669</v>
      </c>
      <c r="B1670" s="145">
        <v>45635</v>
      </c>
      <c r="C1670" s="146">
        <v>2024</v>
      </c>
      <c r="D1670" s="118" t="s">
        <v>35</v>
      </c>
      <c r="E1670" s="118" t="s">
        <v>1284</v>
      </c>
      <c r="F1670" s="147">
        <v>1</v>
      </c>
      <c r="G1670" s="120" t="s">
        <v>759</v>
      </c>
      <c r="H1670" s="148">
        <v>10000</v>
      </c>
      <c r="J1670"/>
      <c r="K1670"/>
      <c r="L1670" s="104"/>
    </row>
    <row r="1671" spans="1:12" x14ac:dyDescent="0.25">
      <c r="A1671" s="115">
        <v>1670</v>
      </c>
      <c r="B1671" s="145">
        <v>45635</v>
      </c>
      <c r="C1671" s="146">
        <v>2024</v>
      </c>
      <c r="D1671" s="118" t="s">
        <v>35</v>
      </c>
      <c r="E1671" s="118" t="s">
        <v>1283</v>
      </c>
      <c r="F1671" s="147">
        <v>1</v>
      </c>
      <c r="G1671" s="120" t="s">
        <v>759</v>
      </c>
      <c r="H1671" s="148">
        <v>265000</v>
      </c>
      <c r="J1671"/>
      <c r="K1671"/>
      <c r="L1671" s="104"/>
    </row>
    <row r="1672" spans="1:12" x14ac:dyDescent="0.25">
      <c r="A1672" s="115">
        <v>1671</v>
      </c>
      <c r="B1672" s="145">
        <v>45635</v>
      </c>
      <c r="C1672" s="146">
        <v>2024</v>
      </c>
      <c r="D1672" s="118" t="s">
        <v>35</v>
      </c>
      <c r="E1672" s="118" t="s">
        <v>115</v>
      </c>
      <c r="F1672" s="147">
        <v>1</v>
      </c>
      <c r="G1672" s="120" t="s">
        <v>759</v>
      </c>
      <c r="H1672" s="148">
        <v>45000</v>
      </c>
      <c r="J1672"/>
      <c r="K1672"/>
      <c r="L1672" s="104"/>
    </row>
    <row r="1673" spans="1:12" x14ac:dyDescent="0.25">
      <c r="A1673" s="115">
        <v>1672</v>
      </c>
      <c r="B1673" s="145">
        <v>45635</v>
      </c>
      <c r="C1673" s="146">
        <v>2024</v>
      </c>
      <c r="D1673" s="118" t="s">
        <v>35</v>
      </c>
      <c r="E1673" s="118" t="s">
        <v>1285</v>
      </c>
      <c r="F1673" s="147">
        <v>1</v>
      </c>
      <c r="G1673" s="120" t="s">
        <v>759</v>
      </c>
      <c r="H1673" s="148">
        <v>1425000</v>
      </c>
      <c r="J1673"/>
      <c r="K1673"/>
      <c r="L1673" s="104"/>
    </row>
    <row r="1674" spans="1:12" x14ac:dyDescent="0.25">
      <c r="A1674" s="115">
        <v>1673</v>
      </c>
      <c r="B1674" s="145">
        <v>45635</v>
      </c>
      <c r="C1674" s="146">
        <v>2024</v>
      </c>
      <c r="D1674" s="118" t="s">
        <v>35</v>
      </c>
      <c r="E1674" s="118" t="s">
        <v>325</v>
      </c>
      <c r="F1674" s="147">
        <v>1</v>
      </c>
      <c r="G1674" s="120" t="s">
        <v>759</v>
      </c>
      <c r="H1674" s="148">
        <v>1780000</v>
      </c>
      <c r="J1674"/>
      <c r="K1674"/>
      <c r="L1674" s="104"/>
    </row>
    <row r="1675" spans="1:12" x14ac:dyDescent="0.25">
      <c r="A1675" s="115">
        <v>1674</v>
      </c>
      <c r="B1675" s="145">
        <v>45635</v>
      </c>
      <c r="C1675" s="146">
        <v>2024</v>
      </c>
      <c r="D1675" s="118" t="s">
        <v>35</v>
      </c>
      <c r="E1675" s="118" t="s">
        <v>910</v>
      </c>
      <c r="F1675" s="147">
        <v>1</v>
      </c>
      <c r="G1675" s="120" t="s">
        <v>759</v>
      </c>
      <c r="H1675" s="148">
        <v>420000</v>
      </c>
      <c r="J1675"/>
      <c r="K1675"/>
      <c r="L1675" s="104"/>
    </row>
    <row r="1676" spans="1:12" x14ac:dyDescent="0.25">
      <c r="A1676" s="115">
        <v>1675</v>
      </c>
      <c r="B1676" s="155">
        <v>45635</v>
      </c>
      <c r="C1676" s="146">
        <v>2024</v>
      </c>
      <c r="D1676" s="118" t="s">
        <v>35</v>
      </c>
      <c r="E1676" s="118" t="s">
        <v>808</v>
      </c>
      <c r="F1676" s="147">
        <v>1</v>
      </c>
      <c r="G1676" s="120" t="s">
        <v>759</v>
      </c>
      <c r="H1676" s="148">
        <v>35000</v>
      </c>
      <c r="J1676"/>
      <c r="K1676"/>
      <c r="L1676" s="104"/>
    </row>
    <row r="1677" spans="1:12" x14ac:dyDescent="0.25">
      <c r="A1677" s="115">
        <v>1676</v>
      </c>
      <c r="B1677" s="155">
        <v>45635</v>
      </c>
      <c r="C1677" s="146">
        <v>2024</v>
      </c>
      <c r="D1677" s="118" t="s">
        <v>35</v>
      </c>
      <c r="E1677" s="118" t="s">
        <v>872</v>
      </c>
      <c r="F1677" s="147">
        <v>1</v>
      </c>
      <c r="G1677" s="120" t="s">
        <v>759</v>
      </c>
      <c r="H1677" s="148">
        <v>25000</v>
      </c>
      <c r="J1677"/>
      <c r="K1677"/>
      <c r="L1677" s="104"/>
    </row>
    <row r="1678" spans="1:12" x14ac:dyDescent="0.25">
      <c r="A1678" s="115">
        <v>1677</v>
      </c>
      <c r="B1678" s="145">
        <v>45635</v>
      </c>
      <c r="C1678" s="146">
        <v>2024</v>
      </c>
      <c r="D1678" s="118" t="s">
        <v>35</v>
      </c>
      <c r="E1678" s="118" t="s">
        <v>1286</v>
      </c>
      <c r="F1678" s="147">
        <v>1</v>
      </c>
      <c r="G1678" s="120" t="s">
        <v>759</v>
      </c>
      <c r="H1678" s="148">
        <v>105000</v>
      </c>
      <c r="J1678"/>
      <c r="K1678"/>
      <c r="L1678" s="104"/>
    </row>
    <row r="1679" spans="1:12" x14ac:dyDescent="0.25">
      <c r="A1679" s="115">
        <v>1678</v>
      </c>
      <c r="B1679" s="145">
        <v>45635</v>
      </c>
      <c r="C1679" s="146">
        <v>2024</v>
      </c>
      <c r="D1679" s="118" t="s">
        <v>35</v>
      </c>
      <c r="E1679" s="118" t="s">
        <v>1006</v>
      </c>
      <c r="F1679" s="147">
        <v>1</v>
      </c>
      <c r="G1679" s="120" t="s">
        <v>759</v>
      </c>
      <c r="H1679" s="148">
        <v>85000</v>
      </c>
      <c r="J1679"/>
      <c r="K1679"/>
      <c r="L1679" s="104"/>
    </row>
    <row r="1680" spans="1:12" x14ac:dyDescent="0.25">
      <c r="A1680" s="115">
        <v>1679</v>
      </c>
      <c r="B1680" s="145">
        <v>45636</v>
      </c>
      <c r="C1680" s="146">
        <v>2024</v>
      </c>
      <c r="D1680" s="118" t="s">
        <v>35</v>
      </c>
      <c r="E1680" s="118" t="s">
        <v>794</v>
      </c>
      <c r="F1680" s="147">
        <v>1</v>
      </c>
      <c r="G1680" s="120" t="s">
        <v>759</v>
      </c>
      <c r="H1680" s="148">
        <v>166500</v>
      </c>
      <c r="J1680"/>
      <c r="K1680"/>
      <c r="L1680" s="104"/>
    </row>
    <row r="1681" spans="1:12" x14ac:dyDescent="0.25">
      <c r="A1681" s="115">
        <v>1680</v>
      </c>
      <c r="B1681" s="145">
        <v>45636</v>
      </c>
      <c r="C1681" s="146">
        <v>2024</v>
      </c>
      <c r="D1681" s="118" t="s">
        <v>35</v>
      </c>
      <c r="E1681" s="118" t="s">
        <v>794</v>
      </c>
      <c r="F1681" s="147">
        <v>1</v>
      </c>
      <c r="G1681" s="120" t="s">
        <v>759</v>
      </c>
      <c r="H1681" s="148">
        <v>166500</v>
      </c>
      <c r="J1681"/>
      <c r="K1681"/>
      <c r="L1681" s="104"/>
    </row>
    <row r="1682" spans="1:12" x14ac:dyDescent="0.25">
      <c r="A1682" s="115">
        <v>1681</v>
      </c>
      <c r="B1682" s="145">
        <v>45636</v>
      </c>
      <c r="C1682" s="146">
        <v>2024</v>
      </c>
      <c r="D1682" s="118" t="s">
        <v>35</v>
      </c>
      <c r="E1682" s="118" t="s">
        <v>794</v>
      </c>
      <c r="F1682" s="147">
        <v>1</v>
      </c>
      <c r="G1682" s="120" t="s">
        <v>759</v>
      </c>
      <c r="H1682" s="148">
        <v>166500</v>
      </c>
      <c r="J1682"/>
      <c r="K1682"/>
      <c r="L1682" s="104"/>
    </row>
    <row r="1683" spans="1:12" x14ac:dyDescent="0.25">
      <c r="A1683" s="115">
        <v>1682</v>
      </c>
      <c r="B1683" s="155">
        <v>45636</v>
      </c>
      <c r="C1683" s="146">
        <v>2024</v>
      </c>
      <c r="D1683" s="118" t="s">
        <v>35</v>
      </c>
      <c r="E1683" s="118" t="s">
        <v>794</v>
      </c>
      <c r="F1683" s="147">
        <v>1</v>
      </c>
      <c r="G1683" s="120" t="s">
        <v>759</v>
      </c>
      <c r="H1683" s="148">
        <v>166500</v>
      </c>
      <c r="J1683"/>
      <c r="K1683"/>
      <c r="L1683" s="104"/>
    </row>
    <row r="1684" spans="1:12" x14ac:dyDescent="0.25">
      <c r="A1684" s="115">
        <v>1683</v>
      </c>
      <c r="B1684" s="145">
        <v>45636</v>
      </c>
      <c r="C1684" s="146">
        <v>2024</v>
      </c>
      <c r="D1684" s="118" t="s">
        <v>35</v>
      </c>
      <c r="E1684" s="118" t="s">
        <v>794</v>
      </c>
      <c r="F1684" s="147">
        <v>1</v>
      </c>
      <c r="G1684" s="120" t="s">
        <v>759</v>
      </c>
      <c r="H1684" s="148">
        <v>166500</v>
      </c>
      <c r="J1684"/>
      <c r="K1684"/>
      <c r="L1684" s="104"/>
    </row>
    <row r="1685" spans="1:12" x14ac:dyDescent="0.25">
      <c r="A1685" s="115">
        <v>1684</v>
      </c>
      <c r="B1685" s="145">
        <v>45637</v>
      </c>
      <c r="C1685" s="146">
        <v>2024</v>
      </c>
      <c r="D1685" s="118" t="s">
        <v>35</v>
      </c>
      <c r="E1685" s="118" t="s">
        <v>1287</v>
      </c>
      <c r="F1685" s="147">
        <v>1</v>
      </c>
      <c r="G1685" s="120" t="s">
        <v>759</v>
      </c>
      <c r="H1685" s="148">
        <v>60000</v>
      </c>
      <c r="J1685"/>
      <c r="K1685"/>
      <c r="L1685" s="104"/>
    </row>
    <row r="1686" spans="1:12" x14ac:dyDescent="0.25">
      <c r="A1686" s="115">
        <v>1685</v>
      </c>
      <c r="B1686" s="145">
        <v>45637</v>
      </c>
      <c r="C1686" s="146">
        <v>2024</v>
      </c>
      <c r="D1686" s="118" t="s">
        <v>35</v>
      </c>
      <c r="E1686" s="118" t="s">
        <v>1288</v>
      </c>
      <c r="F1686" s="147">
        <v>1</v>
      </c>
      <c r="G1686" s="120" t="s">
        <v>759</v>
      </c>
      <c r="H1686" s="148">
        <v>5000</v>
      </c>
      <c r="J1686"/>
      <c r="K1686"/>
      <c r="L1686" s="104"/>
    </row>
    <row r="1687" spans="1:12" x14ac:dyDescent="0.25">
      <c r="A1687" s="115">
        <v>1686</v>
      </c>
      <c r="B1687" s="155">
        <v>45637</v>
      </c>
      <c r="C1687" s="146">
        <v>2024</v>
      </c>
      <c r="D1687" s="118" t="s">
        <v>35</v>
      </c>
      <c r="E1687" s="118" t="s">
        <v>1289</v>
      </c>
      <c r="F1687" s="147">
        <v>1</v>
      </c>
      <c r="G1687" s="120" t="s">
        <v>759</v>
      </c>
      <c r="H1687" s="148">
        <v>32500</v>
      </c>
      <c r="J1687"/>
      <c r="K1687"/>
      <c r="L1687" s="104"/>
    </row>
    <row r="1688" spans="1:12" x14ac:dyDescent="0.25">
      <c r="A1688" s="115">
        <v>1687</v>
      </c>
      <c r="B1688" s="145">
        <v>45637</v>
      </c>
      <c r="C1688" s="146">
        <v>2024</v>
      </c>
      <c r="D1688" s="118" t="s">
        <v>35</v>
      </c>
      <c r="E1688" s="118" t="s">
        <v>1290</v>
      </c>
      <c r="F1688" s="147">
        <v>1</v>
      </c>
      <c r="G1688" s="120" t="s">
        <v>759</v>
      </c>
      <c r="H1688" s="148">
        <v>27500</v>
      </c>
      <c r="J1688"/>
      <c r="K1688"/>
      <c r="L1688" s="104"/>
    </row>
    <row r="1689" spans="1:12" x14ac:dyDescent="0.25">
      <c r="A1689" s="115">
        <v>1688</v>
      </c>
      <c r="B1689" s="145">
        <v>45637</v>
      </c>
      <c r="C1689" s="146">
        <v>2024</v>
      </c>
      <c r="D1689" s="118" t="s">
        <v>35</v>
      </c>
      <c r="E1689" s="118" t="s">
        <v>1287</v>
      </c>
      <c r="F1689" s="147">
        <v>1</v>
      </c>
      <c r="G1689" s="120" t="s">
        <v>759</v>
      </c>
      <c r="H1689" s="148">
        <v>60000</v>
      </c>
      <c r="J1689"/>
      <c r="K1689"/>
      <c r="L1689" s="104"/>
    </row>
    <row r="1690" spans="1:12" x14ac:dyDescent="0.25">
      <c r="A1690" s="115">
        <v>1689</v>
      </c>
      <c r="B1690" s="167">
        <v>45640</v>
      </c>
      <c r="C1690" s="117">
        <v>2024</v>
      </c>
      <c r="D1690" s="119" t="s">
        <v>35</v>
      </c>
      <c r="E1690" s="119" t="s">
        <v>1291</v>
      </c>
      <c r="F1690" s="120">
        <v>100</v>
      </c>
      <c r="G1690" s="120" t="s">
        <v>759</v>
      </c>
      <c r="H1690" s="168">
        <v>800000</v>
      </c>
      <c r="J1690"/>
      <c r="K1690"/>
      <c r="L1690" s="104"/>
    </row>
    <row r="1691" spans="1:12" x14ac:dyDescent="0.25">
      <c r="A1691" s="115">
        <v>1690</v>
      </c>
      <c r="B1691" s="116">
        <v>45640</v>
      </c>
      <c r="C1691" s="117">
        <v>2024</v>
      </c>
      <c r="D1691" s="118" t="s">
        <v>259</v>
      </c>
      <c r="E1691" s="119" t="s">
        <v>1292</v>
      </c>
      <c r="F1691" s="120">
        <v>1</v>
      </c>
      <c r="G1691" s="120" t="s">
        <v>759</v>
      </c>
      <c r="H1691" s="121">
        <v>91000</v>
      </c>
      <c r="J1691"/>
      <c r="K1691"/>
      <c r="L1691" s="104"/>
    </row>
    <row r="1692" spans="1:12" x14ac:dyDescent="0.25">
      <c r="A1692" s="115">
        <v>1691</v>
      </c>
      <c r="B1692" s="167">
        <v>45640</v>
      </c>
      <c r="C1692" s="117">
        <v>2024</v>
      </c>
      <c r="D1692" s="119" t="s">
        <v>35</v>
      </c>
      <c r="E1692" s="119" t="s">
        <v>571</v>
      </c>
      <c r="F1692" s="120">
        <v>2</v>
      </c>
      <c r="G1692" s="120" t="s">
        <v>759</v>
      </c>
      <c r="H1692" s="168">
        <v>32800</v>
      </c>
      <c r="J1692"/>
      <c r="K1692"/>
      <c r="L1692" s="104"/>
    </row>
    <row r="1693" spans="1:12" x14ac:dyDescent="0.25">
      <c r="A1693" s="115">
        <v>1692</v>
      </c>
      <c r="B1693" s="116">
        <v>45642</v>
      </c>
      <c r="C1693" s="117">
        <v>2024</v>
      </c>
      <c r="D1693" s="118" t="s">
        <v>35</v>
      </c>
      <c r="E1693" s="119" t="s">
        <v>1244</v>
      </c>
      <c r="F1693" s="120">
        <v>2</v>
      </c>
      <c r="G1693" s="120" t="s">
        <v>759</v>
      </c>
      <c r="H1693" s="121">
        <v>27050</v>
      </c>
      <c r="J1693"/>
      <c r="K1693"/>
      <c r="L1693" s="104"/>
    </row>
    <row r="1694" spans="1:12" x14ac:dyDescent="0.25">
      <c r="A1694" s="115">
        <v>1693</v>
      </c>
      <c r="B1694" s="167">
        <v>45642</v>
      </c>
      <c r="C1694" s="117">
        <v>2024</v>
      </c>
      <c r="D1694" s="119" t="s">
        <v>35</v>
      </c>
      <c r="E1694" s="119" t="s">
        <v>1293</v>
      </c>
      <c r="F1694" s="120">
        <v>10</v>
      </c>
      <c r="G1694" s="120" t="s">
        <v>759</v>
      </c>
      <c r="H1694" s="168">
        <v>268000</v>
      </c>
      <c r="J1694"/>
      <c r="K1694"/>
      <c r="L1694" s="104"/>
    </row>
    <row r="1695" spans="1:12" x14ac:dyDescent="0.25">
      <c r="A1695" s="115">
        <v>1694</v>
      </c>
      <c r="B1695" s="116">
        <v>45642</v>
      </c>
      <c r="C1695" s="117">
        <v>2024</v>
      </c>
      <c r="D1695" s="118" t="s">
        <v>35</v>
      </c>
      <c r="E1695" s="119" t="s">
        <v>1057</v>
      </c>
      <c r="F1695" s="120">
        <v>1</v>
      </c>
      <c r="G1695" s="120" t="s">
        <v>759</v>
      </c>
      <c r="H1695" s="121">
        <v>14400</v>
      </c>
      <c r="J1695"/>
      <c r="K1695"/>
      <c r="L1695" s="104"/>
    </row>
    <row r="1696" spans="1:12" x14ac:dyDescent="0.25">
      <c r="A1696" s="115">
        <v>1695</v>
      </c>
      <c r="B1696" s="116">
        <v>45642</v>
      </c>
      <c r="C1696" s="117">
        <v>2024</v>
      </c>
      <c r="D1696" s="118" t="s">
        <v>35</v>
      </c>
      <c r="E1696" s="119" t="s">
        <v>571</v>
      </c>
      <c r="F1696" s="120">
        <v>2</v>
      </c>
      <c r="G1696" s="120" t="s">
        <v>759</v>
      </c>
      <c r="H1696" s="121">
        <v>28625</v>
      </c>
      <c r="J1696"/>
      <c r="K1696"/>
      <c r="L1696" s="104"/>
    </row>
    <row r="1697" spans="1:12" x14ac:dyDescent="0.25">
      <c r="A1697" s="115">
        <v>1696</v>
      </c>
      <c r="B1697" s="116">
        <v>45642</v>
      </c>
      <c r="C1697" s="117">
        <v>2024</v>
      </c>
      <c r="D1697" s="118" t="s">
        <v>35</v>
      </c>
      <c r="E1697" s="119" t="s">
        <v>1294</v>
      </c>
      <c r="F1697" s="120">
        <v>2</v>
      </c>
      <c r="G1697" s="120" t="s">
        <v>759</v>
      </c>
      <c r="H1697" s="121">
        <v>28625</v>
      </c>
      <c r="J1697"/>
      <c r="K1697"/>
      <c r="L1697" s="104"/>
    </row>
    <row r="1698" spans="1:12" x14ac:dyDescent="0.25">
      <c r="A1698" s="115">
        <v>1697</v>
      </c>
      <c r="B1698" s="116">
        <v>45642</v>
      </c>
      <c r="C1698" s="117">
        <v>2024</v>
      </c>
      <c r="D1698" s="118" t="s">
        <v>35</v>
      </c>
      <c r="E1698" s="119" t="s">
        <v>1282</v>
      </c>
      <c r="F1698" s="120">
        <v>4</v>
      </c>
      <c r="G1698" s="120" t="s">
        <v>759</v>
      </c>
      <c r="H1698" s="121">
        <v>104760</v>
      </c>
      <c r="J1698"/>
      <c r="K1698"/>
      <c r="L1698" s="104"/>
    </row>
    <row r="1699" spans="1:12" x14ac:dyDescent="0.25">
      <c r="A1699" s="115">
        <v>1698</v>
      </c>
      <c r="B1699" s="145">
        <v>45642</v>
      </c>
      <c r="C1699" s="146">
        <v>2024</v>
      </c>
      <c r="D1699" s="118" t="s">
        <v>35</v>
      </c>
      <c r="E1699" s="118" t="s">
        <v>1295</v>
      </c>
      <c r="F1699" s="147">
        <v>1</v>
      </c>
      <c r="G1699" s="120" t="s">
        <v>759</v>
      </c>
      <c r="H1699" s="148">
        <v>9000000</v>
      </c>
      <c r="J1699"/>
      <c r="K1699"/>
      <c r="L1699" s="104"/>
    </row>
    <row r="1700" spans="1:12" x14ac:dyDescent="0.25">
      <c r="A1700" s="115">
        <v>1699</v>
      </c>
      <c r="B1700" s="145">
        <v>45642</v>
      </c>
      <c r="C1700" s="146">
        <v>2024</v>
      </c>
      <c r="D1700" s="118" t="s">
        <v>35</v>
      </c>
      <c r="E1700" s="118" t="s">
        <v>1076</v>
      </c>
      <c r="F1700" s="147">
        <v>1</v>
      </c>
      <c r="G1700" s="120" t="s">
        <v>759</v>
      </c>
      <c r="H1700" s="148">
        <v>3100000</v>
      </c>
      <c r="J1700"/>
      <c r="K1700"/>
      <c r="L1700" s="104"/>
    </row>
    <row r="1701" spans="1:12" x14ac:dyDescent="0.25">
      <c r="A1701" s="115">
        <v>1700</v>
      </c>
      <c r="B1701" s="145">
        <v>45642</v>
      </c>
      <c r="C1701" s="146">
        <v>2024</v>
      </c>
      <c r="D1701" s="118" t="s">
        <v>35</v>
      </c>
      <c r="E1701" s="118" t="s">
        <v>1295</v>
      </c>
      <c r="F1701" s="147">
        <v>1</v>
      </c>
      <c r="G1701" s="120" t="s">
        <v>759</v>
      </c>
      <c r="H1701" s="148">
        <v>9000000</v>
      </c>
      <c r="J1701"/>
      <c r="K1701"/>
      <c r="L1701" s="104"/>
    </row>
    <row r="1702" spans="1:12" x14ac:dyDescent="0.25">
      <c r="A1702" s="115">
        <v>1701</v>
      </c>
      <c r="B1702" s="145">
        <v>45642</v>
      </c>
      <c r="C1702" s="146">
        <v>2024</v>
      </c>
      <c r="D1702" s="118" t="s">
        <v>35</v>
      </c>
      <c r="E1702" s="118" t="s">
        <v>1296</v>
      </c>
      <c r="F1702" s="147">
        <v>1</v>
      </c>
      <c r="G1702" s="120" t="s">
        <v>759</v>
      </c>
      <c r="H1702" s="148">
        <v>35000</v>
      </c>
      <c r="J1702"/>
      <c r="K1702"/>
      <c r="L1702" s="104"/>
    </row>
    <row r="1703" spans="1:12" x14ac:dyDescent="0.25">
      <c r="A1703" s="115">
        <v>1702</v>
      </c>
      <c r="B1703" s="145">
        <v>45642</v>
      </c>
      <c r="C1703" s="146">
        <v>2024</v>
      </c>
      <c r="D1703" s="118" t="s">
        <v>35</v>
      </c>
      <c r="E1703" s="118" t="s">
        <v>1297</v>
      </c>
      <c r="F1703" s="147">
        <v>1</v>
      </c>
      <c r="G1703" s="120" t="s">
        <v>759</v>
      </c>
      <c r="H1703" s="148">
        <v>1230000</v>
      </c>
      <c r="J1703"/>
      <c r="K1703"/>
      <c r="L1703" s="104"/>
    </row>
    <row r="1704" spans="1:12" x14ac:dyDescent="0.25">
      <c r="A1704" s="115">
        <v>1703</v>
      </c>
      <c r="B1704" s="145">
        <v>45642</v>
      </c>
      <c r="C1704" s="146">
        <v>2024</v>
      </c>
      <c r="D1704" s="118" t="s">
        <v>35</v>
      </c>
      <c r="E1704" s="118" t="s">
        <v>1297</v>
      </c>
      <c r="F1704" s="147">
        <v>1</v>
      </c>
      <c r="G1704" s="120" t="s">
        <v>759</v>
      </c>
      <c r="H1704" s="148">
        <v>1225000</v>
      </c>
      <c r="J1704"/>
      <c r="K1704"/>
      <c r="L1704" s="104"/>
    </row>
    <row r="1705" spans="1:12" x14ac:dyDescent="0.25">
      <c r="A1705" s="115">
        <v>1704</v>
      </c>
      <c r="B1705" s="145">
        <v>45642</v>
      </c>
      <c r="C1705" s="146">
        <v>2024</v>
      </c>
      <c r="D1705" s="118" t="s">
        <v>35</v>
      </c>
      <c r="E1705" s="118" t="s">
        <v>1295</v>
      </c>
      <c r="F1705" s="147">
        <v>1</v>
      </c>
      <c r="G1705" s="120" t="s">
        <v>759</v>
      </c>
      <c r="H1705" s="148">
        <v>9000000</v>
      </c>
      <c r="J1705"/>
      <c r="K1705"/>
      <c r="L1705" s="104"/>
    </row>
    <row r="1706" spans="1:12" x14ac:dyDescent="0.25">
      <c r="A1706" s="115">
        <v>1705</v>
      </c>
      <c r="B1706" s="145">
        <v>45642</v>
      </c>
      <c r="C1706" s="146">
        <v>2024</v>
      </c>
      <c r="D1706" s="118" t="s">
        <v>35</v>
      </c>
      <c r="E1706" s="118" t="s">
        <v>823</v>
      </c>
      <c r="F1706" s="147">
        <v>1</v>
      </c>
      <c r="G1706" s="120" t="s">
        <v>759</v>
      </c>
      <c r="H1706" s="148">
        <v>20000</v>
      </c>
      <c r="J1706"/>
      <c r="K1706"/>
      <c r="L1706" s="104"/>
    </row>
    <row r="1707" spans="1:12" x14ac:dyDescent="0.25">
      <c r="A1707" s="115">
        <v>1706</v>
      </c>
      <c r="B1707" s="145">
        <v>45642</v>
      </c>
      <c r="C1707" s="146">
        <v>2024</v>
      </c>
      <c r="D1707" s="118" t="s">
        <v>35</v>
      </c>
      <c r="E1707" s="118" t="s">
        <v>1295</v>
      </c>
      <c r="F1707" s="147">
        <v>1</v>
      </c>
      <c r="G1707" s="120" t="s">
        <v>759</v>
      </c>
      <c r="H1707" s="148">
        <v>9000000</v>
      </c>
      <c r="J1707"/>
      <c r="K1707"/>
      <c r="L1707" s="104"/>
    </row>
    <row r="1708" spans="1:12" x14ac:dyDescent="0.25">
      <c r="A1708" s="115">
        <v>1707</v>
      </c>
      <c r="B1708" s="155">
        <v>45642</v>
      </c>
      <c r="C1708" s="146">
        <v>2024</v>
      </c>
      <c r="D1708" s="118" t="s">
        <v>35</v>
      </c>
      <c r="E1708" s="118" t="s">
        <v>1297</v>
      </c>
      <c r="F1708" s="147">
        <v>1</v>
      </c>
      <c r="G1708" s="120" t="s">
        <v>759</v>
      </c>
      <c r="H1708" s="148">
        <v>615000</v>
      </c>
      <c r="J1708"/>
      <c r="K1708"/>
      <c r="L1708" s="104"/>
    </row>
    <row r="1709" spans="1:12" x14ac:dyDescent="0.25">
      <c r="A1709" s="115">
        <v>1708</v>
      </c>
      <c r="B1709" s="145">
        <v>45642</v>
      </c>
      <c r="C1709" s="146">
        <v>2024</v>
      </c>
      <c r="D1709" s="118" t="s">
        <v>35</v>
      </c>
      <c r="E1709" s="118" t="s">
        <v>1297</v>
      </c>
      <c r="F1709" s="147">
        <v>1</v>
      </c>
      <c r="G1709" s="120" t="s">
        <v>759</v>
      </c>
      <c r="H1709" s="148">
        <v>1224000</v>
      </c>
      <c r="J1709"/>
      <c r="K1709"/>
      <c r="L1709" s="104"/>
    </row>
    <row r="1710" spans="1:12" x14ac:dyDescent="0.25">
      <c r="A1710" s="115">
        <v>1709</v>
      </c>
      <c r="B1710" s="145">
        <v>45642</v>
      </c>
      <c r="C1710" s="146">
        <v>2024</v>
      </c>
      <c r="D1710" s="118" t="s">
        <v>35</v>
      </c>
      <c r="E1710" s="118" t="s">
        <v>1297</v>
      </c>
      <c r="F1710" s="147">
        <v>1</v>
      </c>
      <c r="G1710" s="120" t="s">
        <v>759</v>
      </c>
      <c r="H1710" s="148">
        <v>650000</v>
      </c>
      <c r="J1710"/>
      <c r="K1710"/>
      <c r="L1710" s="104"/>
    </row>
    <row r="1711" spans="1:12" x14ac:dyDescent="0.25">
      <c r="A1711" s="115">
        <v>1710</v>
      </c>
      <c r="B1711" s="145">
        <v>45642</v>
      </c>
      <c r="C1711" s="146">
        <v>2024</v>
      </c>
      <c r="D1711" s="118" t="s">
        <v>35</v>
      </c>
      <c r="E1711" s="118" t="s">
        <v>1295</v>
      </c>
      <c r="F1711" s="147">
        <v>1</v>
      </c>
      <c r="G1711" s="120" t="s">
        <v>759</v>
      </c>
      <c r="H1711" s="148">
        <v>9000000</v>
      </c>
      <c r="J1711"/>
      <c r="K1711"/>
      <c r="L1711" s="104"/>
    </row>
    <row r="1712" spans="1:12" x14ac:dyDescent="0.25">
      <c r="A1712" s="115">
        <v>1711</v>
      </c>
      <c r="B1712" s="116">
        <v>45643</v>
      </c>
      <c r="C1712" s="117">
        <v>2024</v>
      </c>
      <c r="D1712" s="118" t="s">
        <v>35</v>
      </c>
      <c r="E1712" s="119" t="s">
        <v>1298</v>
      </c>
      <c r="F1712" s="120">
        <v>6</v>
      </c>
      <c r="G1712" s="120" t="s">
        <v>759</v>
      </c>
      <c r="H1712" s="121">
        <v>18000</v>
      </c>
      <c r="J1712"/>
      <c r="K1712"/>
      <c r="L1712" s="104"/>
    </row>
    <row r="1713" spans="1:12" x14ac:dyDescent="0.25">
      <c r="A1713" s="115">
        <v>1712</v>
      </c>
      <c r="B1713" s="116">
        <v>45643</v>
      </c>
      <c r="C1713" s="117">
        <v>2024</v>
      </c>
      <c r="D1713" s="118" t="s">
        <v>259</v>
      </c>
      <c r="E1713" s="119" t="s">
        <v>1299</v>
      </c>
      <c r="F1713" s="120">
        <v>1</v>
      </c>
      <c r="G1713" s="120" t="s">
        <v>759</v>
      </c>
      <c r="H1713" s="121">
        <v>900000</v>
      </c>
      <c r="J1713"/>
      <c r="K1713"/>
      <c r="L1713" s="104"/>
    </row>
    <row r="1714" spans="1:12" x14ac:dyDescent="0.25">
      <c r="A1714" s="115">
        <v>1713</v>
      </c>
      <c r="B1714" s="116">
        <v>45644</v>
      </c>
      <c r="C1714" s="117">
        <v>2024</v>
      </c>
      <c r="D1714" s="118" t="s">
        <v>35</v>
      </c>
      <c r="E1714" s="119" t="s">
        <v>1300</v>
      </c>
      <c r="F1714" s="120">
        <v>2</v>
      </c>
      <c r="G1714" s="120" t="s">
        <v>759</v>
      </c>
      <c r="H1714" s="121">
        <v>75000</v>
      </c>
      <c r="J1714"/>
      <c r="K1714"/>
      <c r="L1714" s="104"/>
    </row>
    <row r="1715" spans="1:12" x14ac:dyDescent="0.25">
      <c r="A1715" s="115">
        <v>1714</v>
      </c>
      <c r="B1715" s="116">
        <v>45644</v>
      </c>
      <c r="C1715" s="117">
        <v>2024</v>
      </c>
      <c r="D1715" s="118" t="s">
        <v>35</v>
      </c>
      <c r="E1715" s="119" t="s">
        <v>1059</v>
      </c>
      <c r="F1715" s="120">
        <v>15</v>
      </c>
      <c r="G1715" s="120" t="s">
        <v>759</v>
      </c>
      <c r="H1715" s="121">
        <v>283575</v>
      </c>
      <c r="J1715"/>
      <c r="K1715"/>
      <c r="L1715" s="104"/>
    </row>
    <row r="1716" spans="1:12" x14ac:dyDescent="0.25">
      <c r="A1716" s="115">
        <v>1715</v>
      </c>
      <c r="B1716" s="116">
        <v>45644</v>
      </c>
      <c r="C1716" s="117">
        <v>2024</v>
      </c>
      <c r="D1716" s="118" t="s">
        <v>35</v>
      </c>
      <c r="E1716" s="119" t="s">
        <v>1301</v>
      </c>
      <c r="F1716" s="120">
        <v>3</v>
      </c>
      <c r="G1716" s="120" t="s">
        <v>759</v>
      </c>
      <c r="H1716" s="121">
        <v>63000</v>
      </c>
      <c r="J1716"/>
      <c r="K1716"/>
      <c r="L1716" s="104"/>
    </row>
    <row r="1717" spans="1:12" x14ac:dyDescent="0.25">
      <c r="A1717" s="115">
        <v>1716</v>
      </c>
      <c r="B1717" s="167">
        <v>45645</v>
      </c>
      <c r="C1717" s="117">
        <v>2024</v>
      </c>
      <c r="D1717" s="119" t="s">
        <v>35</v>
      </c>
      <c r="E1717" s="119" t="s">
        <v>1302</v>
      </c>
      <c r="F1717" s="120">
        <v>3</v>
      </c>
      <c r="G1717" s="120" t="s">
        <v>759</v>
      </c>
      <c r="H1717" s="168">
        <v>65799</v>
      </c>
      <c r="J1717"/>
      <c r="K1717"/>
      <c r="L1717" s="104"/>
    </row>
    <row r="1718" spans="1:12" x14ac:dyDescent="0.25">
      <c r="A1718" s="115">
        <v>1717</v>
      </c>
      <c r="B1718" s="145">
        <v>45645</v>
      </c>
      <c r="C1718" s="146">
        <v>2024</v>
      </c>
      <c r="D1718" s="118" t="s">
        <v>35</v>
      </c>
      <c r="E1718" s="118" t="s">
        <v>1253</v>
      </c>
      <c r="F1718" s="147">
        <v>1</v>
      </c>
      <c r="G1718" s="120" t="s">
        <v>759</v>
      </c>
      <c r="H1718" s="148">
        <v>430000</v>
      </c>
      <c r="J1718"/>
      <c r="K1718"/>
      <c r="L1718" s="104"/>
    </row>
    <row r="1719" spans="1:12" x14ac:dyDescent="0.25">
      <c r="A1719" s="115">
        <v>1718</v>
      </c>
      <c r="B1719" s="145">
        <v>45645</v>
      </c>
      <c r="C1719" s="146">
        <v>2024</v>
      </c>
      <c r="D1719" s="118" t="s">
        <v>35</v>
      </c>
      <c r="E1719" s="118" t="s">
        <v>1062</v>
      </c>
      <c r="F1719" s="147">
        <v>1</v>
      </c>
      <c r="G1719" s="120" t="s">
        <v>759</v>
      </c>
      <c r="H1719" s="148">
        <v>245000</v>
      </c>
      <c r="J1719"/>
      <c r="K1719"/>
      <c r="L1719" s="104"/>
    </row>
    <row r="1720" spans="1:12" x14ac:dyDescent="0.25">
      <c r="A1720" s="115">
        <v>1719</v>
      </c>
      <c r="B1720" s="145">
        <v>45645</v>
      </c>
      <c r="C1720" s="146">
        <v>2024</v>
      </c>
      <c r="D1720" s="118" t="s">
        <v>35</v>
      </c>
      <c r="E1720" s="118" t="s">
        <v>1253</v>
      </c>
      <c r="F1720" s="147">
        <v>1</v>
      </c>
      <c r="G1720" s="120" t="s">
        <v>759</v>
      </c>
      <c r="H1720" s="148">
        <v>430000</v>
      </c>
      <c r="J1720"/>
      <c r="K1720"/>
      <c r="L1720" s="104"/>
    </row>
    <row r="1721" spans="1:12" x14ac:dyDescent="0.25">
      <c r="A1721" s="115">
        <v>1720</v>
      </c>
      <c r="B1721" s="145">
        <v>45645</v>
      </c>
      <c r="C1721" s="146">
        <v>2024</v>
      </c>
      <c r="D1721" s="118" t="s">
        <v>35</v>
      </c>
      <c r="E1721" s="118" t="s">
        <v>1303</v>
      </c>
      <c r="F1721" s="147">
        <v>1</v>
      </c>
      <c r="G1721" s="120" t="s">
        <v>759</v>
      </c>
      <c r="H1721" s="148">
        <v>75000</v>
      </c>
      <c r="J1721"/>
      <c r="K1721"/>
      <c r="L1721" s="104"/>
    </row>
    <row r="1722" spans="1:12" x14ac:dyDescent="0.25">
      <c r="A1722" s="115">
        <v>1721</v>
      </c>
      <c r="B1722" s="145">
        <v>45645</v>
      </c>
      <c r="C1722" s="146">
        <v>2024</v>
      </c>
      <c r="D1722" s="118" t="s">
        <v>35</v>
      </c>
      <c r="E1722" s="118" t="s">
        <v>1253</v>
      </c>
      <c r="F1722" s="147">
        <v>1</v>
      </c>
      <c r="G1722" s="120" t="s">
        <v>759</v>
      </c>
      <c r="H1722" s="148">
        <v>209000</v>
      </c>
      <c r="J1722"/>
      <c r="K1722"/>
      <c r="L1722" s="104"/>
    </row>
    <row r="1723" spans="1:12" x14ac:dyDescent="0.25">
      <c r="A1723" s="115">
        <v>1722</v>
      </c>
      <c r="B1723" s="145">
        <v>45645</v>
      </c>
      <c r="C1723" s="146">
        <v>2024</v>
      </c>
      <c r="D1723" s="118" t="s">
        <v>35</v>
      </c>
      <c r="E1723" s="118" t="s">
        <v>1253</v>
      </c>
      <c r="F1723" s="147">
        <v>1</v>
      </c>
      <c r="G1723" s="120" t="s">
        <v>759</v>
      </c>
      <c r="H1723" s="148">
        <v>430000</v>
      </c>
      <c r="J1723"/>
      <c r="K1723"/>
      <c r="L1723" s="104"/>
    </row>
    <row r="1724" spans="1:12" x14ac:dyDescent="0.25">
      <c r="A1724" s="115">
        <v>1723</v>
      </c>
      <c r="B1724" s="145">
        <v>45645</v>
      </c>
      <c r="C1724" s="146">
        <v>2024</v>
      </c>
      <c r="D1724" s="118" t="s">
        <v>35</v>
      </c>
      <c r="E1724" s="118" t="s">
        <v>1110</v>
      </c>
      <c r="F1724" s="147">
        <v>1</v>
      </c>
      <c r="G1724" s="120" t="s">
        <v>759</v>
      </c>
      <c r="H1724" s="148">
        <v>75000</v>
      </c>
      <c r="J1724"/>
      <c r="K1724"/>
      <c r="L1724" s="104"/>
    </row>
    <row r="1725" spans="1:12" x14ac:dyDescent="0.25">
      <c r="A1725" s="115">
        <v>1724</v>
      </c>
      <c r="B1725" s="145">
        <v>45645</v>
      </c>
      <c r="C1725" s="146">
        <v>2024</v>
      </c>
      <c r="D1725" s="118" t="s">
        <v>35</v>
      </c>
      <c r="E1725" s="118" t="s">
        <v>1253</v>
      </c>
      <c r="F1725" s="147">
        <v>1</v>
      </c>
      <c r="G1725" s="120" t="s">
        <v>759</v>
      </c>
      <c r="H1725" s="148">
        <v>430000</v>
      </c>
      <c r="J1725"/>
      <c r="K1725"/>
      <c r="L1725" s="104"/>
    </row>
    <row r="1726" spans="1:12" x14ac:dyDescent="0.25">
      <c r="A1726" s="115">
        <v>1725</v>
      </c>
      <c r="B1726" s="145">
        <v>45645</v>
      </c>
      <c r="C1726" s="146">
        <v>2024</v>
      </c>
      <c r="D1726" s="118" t="s">
        <v>35</v>
      </c>
      <c r="E1726" s="118" t="s">
        <v>1110</v>
      </c>
      <c r="F1726" s="147">
        <v>1</v>
      </c>
      <c r="G1726" s="120" t="s">
        <v>759</v>
      </c>
      <c r="H1726" s="148">
        <v>75000</v>
      </c>
      <c r="J1726"/>
      <c r="K1726"/>
      <c r="L1726" s="104"/>
    </row>
    <row r="1727" spans="1:12" x14ac:dyDescent="0.25">
      <c r="A1727" s="115">
        <v>1726</v>
      </c>
      <c r="B1727" s="145">
        <v>45645</v>
      </c>
      <c r="C1727" s="146">
        <v>2024</v>
      </c>
      <c r="D1727" s="118" t="s">
        <v>35</v>
      </c>
      <c r="E1727" s="118" t="s">
        <v>1253</v>
      </c>
      <c r="F1727" s="147">
        <v>1</v>
      </c>
      <c r="G1727" s="120" t="s">
        <v>759</v>
      </c>
      <c r="H1727" s="148">
        <v>430000</v>
      </c>
      <c r="J1727"/>
      <c r="K1727"/>
      <c r="L1727" s="104"/>
    </row>
    <row r="1728" spans="1:12" x14ac:dyDescent="0.25">
      <c r="A1728" s="115">
        <v>1727</v>
      </c>
      <c r="B1728" s="145">
        <v>45645</v>
      </c>
      <c r="C1728" s="146">
        <v>2024</v>
      </c>
      <c r="D1728" s="118" t="s">
        <v>35</v>
      </c>
      <c r="E1728" s="118" t="s">
        <v>1110</v>
      </c>
      <c r="F1728" s="147">
        <v>1</v>
      </c>
      <c r="G1728" s="120" t="s">
        <v>759</v>
      </c>
      <c r="H1728" s="148">
        <v>75000</v>
      </c>
      <c r="J1728"/>
      <c r="K1728"/>
      <c r="L1728" s="104"/>
    </row>
    <row r="1729" spans="1:12" x14ac:dyDescent="0.25">
      <c r="A1729" s="115">
        <v>1728</v>
      </c>
      <c r="B1729" s="145">
        <v>45645</v>
      </c>
      <c r="C1729" s="146">
        <v>2024</v>
      </c>
      <c r="D1729" s="118" t="s">
        <v>35</v>
      </c>
      <c r="E1729" s="118" t="s">
        <v>1304</v>
      </c>
      <c r="F1729" s="147">
        <v>1</v>
      </c>
      <c r="G1729" s="120" t="s">
        <v>759</v>
      </c>
      <c r="H1729" s="148">
        <v>56000</v>
      </c>
      <c r="J1729"/>
      <c r="K1729"/>
      <c r="L1729" s="104"/>
    </row>
    <row r="1730" spans="1:12" x14ac:dyDescent="0.25">
      <c r="A1730" s="115">
        <v>1729</v>
      </c>
      <c r="B1730" s="145">
        <v>45645</v>
      </c>
      <c r="C1730" s="146">
        <v>2024</v>
      </c>
      <c r="D1730" s="118" t="s">
        <v>35</v>
      </c>
      <c r="E1730" s="118" t="s">
        <v>1253</v>
      </c>
      <c r="F1730" s="147">
        <v>1</v>
      </c>
      <c r="G1730" s="120" t="s">
        <v>759</v>
      </c>
      <c r="H1730" s="148">
        <v>430000</v>
      </c>
      <c r="J1730"/>
      <c r="K1730"/>
      <c r="L1730" s="104"/>
    </row>
    <row r="1731" spans="1:12" x14ac:dyDescent="0.25">
      <c r="A1731" s="115">
        <v>1730</v>
      </c>
      <c r="B1731" s="145">
        <v>45645</v>
      </c>
      <c r="C1731" s="146">
        <v>2024</v>
      </c>
      <c r="D1731" s="118" t="s">
        <v>35</v>
      </c>
      <c r="E1731" s="118" t="s">
        <v>1062</v>
      </c>
      <c r="F1731" s="147">
        <v>1</v>
      </c>
      <c r="G1731" s="120" t="s">
        <v>759</v>
      </c>
      <c r="H1731" s="148">
        <v>227000</v>
      </c>
      <c r="J1731"/>
      <c r="K1731"/>
      <c r="L1731" s="104"/>
    </row>
    <row r="1732" spans="1:12" x14ac:dyDescent="0.25">
      <c r="A1732" s="115">
        <v>1731</v>
      </c>
      <c r="B1732" s="145">
        <v>45645</v>
      </c>
      <c r="C1732" s="146">
        <v>2024</v>
      </c>
      <c r="D1732" s="118" t="s">
        <v>35</v>
      </c>
      <c r="E1732" s="118" t="s">
        <v>1305</v>
      </c>
      <c r="F1732" s="147">
        <v>1</v>
      </c>
      <c r="G1732" s="120" t="s">
        <v>759</v>
      </c>
      <c r="H1732" s="148">
        <v>193000</v>
      </c>
      <c r="J1732"/>
      <c r="K1732"/>
      <c r="L1732" s="104"/>
    </row>
    <row r="1733" spans="1:12" x14ac:dyDescent="0.25">
      <c r="A1733" s="115">
        <v>1732</v>
      </c>
      <c r="B1733" s="145">
        <v>45645</v>
      </c>
      <c r="C1733" s="146">
        <v>2024</v>
      </c>
      <c r="D1733" s="118" t="s">
        <v>35</v>
      </c>
      <c r="E1733" s="118" t="s">
        <v>1110</v>
      </c>
      <c r="F1733" s="147">
        <v>1</v>
      </c>
      <c r="G1733" s="120" t="s">
        <v>759</v>
      </c>
      <c r="H1733" s="148">
        <v>75000</v>
      </c>
      <c r="J1733"/>
      <c r="K1733"/>
      <c r="L1733" s="104"/>
    </row>
    <row r="1734" spans="1:12" x14ac:dyDescent="0.25">
      <c r="A1734" s="115">
        <v>1733</v>
      </c>
      <c r="B1734" s="145">
        <v>45645</v>
      </c>
      <c r="C1734" s="146">
        <v>2024</v>
      </c>
      <c r="D1734" s="118" t="s">
        <v>35</v>
      </c>
      <c r="E1734" s="118" t="s">
        <v>1062</v>
      </c>
      <c r="F1734" s="147">
        <v>1</v>
      </c>
      <c r="G1734" s="120" t="s">
        <v>759</v>
      </c>
      <c r="H1734" s="148">
        <v>144000</v>
      </c>
      <c r="J1734"/>
      <c r="K1734"/>
      <c r="L1734" s="104"/>
    </row>
    <row r="1735" spans="1:12" x14ac:dyDescent="0.25">
      <c r="A1735" s="115">
        <v>1734</v>
      </c>
      <c r="B1735" s="145">
        <v>45645</v>
      </c>
      <c r="C1735" s="146">
        <v>2024</v>
      </c>
      <c r="D1735" s="118" t="s">
        <v>35</v>
      </c>
      <c r="E1735" s="118" t="s">
        <v>1253</v>
      </c>
      <c r="F1735" s="147">
        <v>1</v>
      </c>
      <c r="G1735" s="120" t="s">
        <v>759</v>
      </c>
      <c r="H1735" s="148">
        <v>184000</v>
      </c>
      <c r="J1735"/>
      <c r="K1735"/>
      <c r="L1735" s="104"/>
    </row>
    <row r="1736" spans="1:12" x14ac:dyDescent="0.25">
      <c r="A1736" s="115">
        <v>1735</v>
      </c>
      <c r="B1736" s="145">
        <v>45645</v>
      </c>
      <c r="C1736" s="146">
        <v>2024</v>
      </c>
      <c r="D1736" s="118" t="s">
        <v>35</v>
      </c>
      <c r="E1736" s="118" t="s">
        <v>1306</v>
      </c>
      <c r="F1736" s="147">
        <v>1</v>
      </c>
      <c r="G1736" s="120" t="s">
        <v>759</v>
      </c>
      <c r="H1736" s="148">
        <v>126500</v>
      </c>
      <c r="J1736"/>
      <c r="K1736"/>
      <c r="L1736" s="104"/>
    </row>
    <row r="1737" spans="1:12" x14ac:dyDescent="0.25">
      <c r="A1737" s="115">
        <v>1736</v>
      </c>
      <c r="B1737" s="145">
        <v>45645</v>
      </c>
      <c r="C1737" s="146">
        <v>2024</v>
      </c>
      <c r="D1737" s="118" t="s">
        <v>35</v>
      </c>
      <c r="E1737" s="118" t="s">
        <v>1253</v>
      </c>
      <c r="F1737" s="147">
        <v>1</v>
      </c>
      <c r="G1737" s="120" t="s">
        <v>759</v>
      </c>
      <c r="H1737" s="148">
        <v>430000</v>
      </c>
      <c r="J1737"/>
      <c r="K1737"/>
      <c r="L1737" s="104"/>
    </row>
    <row r="1738" spans="1:12" x14ac:dyDescent="0.25">
      <c r="A1738" s="115">
        <v>1737</v>
      </c>
      <c r="B1738" s="145">
        <v>45645</v>
      </c>
      <c r="C1738" s="146">
        <v>2024</v>
      </c>
      <c r="D1738" s="118" t="s">
        <v>35</v>
      </c>
      <c r="E1738" s="118" t="s">
        <v>1253</v>
      </c>
      <c r="F1738" s="147">
        <v>1</v>
      </c>
      <c r="G1738" s="120" t="s">
        <v>759</v>
      </c>
      <c r="H1738" s="148">
        <v>430000</v>
      </c>
      <c r="J1738"/>
      <c r="K1738"/>
      <c r="L1738" s="104"/>
    </row>
    <row r="1739" spans="1:12" x14ac:dyDescent="0.25">
      <c r="A1739" s="115">
        <v>1738</v>
      </c>
      <c r="B1739" s="145">
        <v>45645</v>
      </c>
      <c r="C1739" s="146">
        <v>2024</v>
      </c>
      <c r="D1739" s="118" t="s">
        <v>35</v>
      </c>
      <c r="E1739" s="118" t="s">
        <v>1110</v>
      </c>
      <c r="F1739" s="147">
        <v>1</v>
      </c>
      <c r="G1739" s="120" t="s">
        <v>759</v>
      </c>
      <c r="H1739" s="148">
        <v>75000</v>
      </c>
      <c r="J1739"/>
      <c r="K1739"/>
      <c r="L1739" s="104"/>
    </row>
    <row r="1740" spans="1:12" x14ac:dyDescent="0.25">
      <c r="A1740" s="115">
        <v>1739</v>
      </c>
      <c r="B1740" s="145">
        <v>45645</v>
      </c>
      <c r="C1740" s="146">
        <v>2024</v>
      </c>
      <c r="D1740" s="118" t="s">
        <v>35</v>
      </c>
      <c r="E1740" s="118" t="s">
        <v>1306</v>
      </c>
      <c r="F1740" s="147">
        <v>1</v>
      </c>
      <c r="G1740" s="120" t="s">
        <v>759</v>
      </c>
      <c r="H1740" s="148">
        <v>126500</v>
      </c>
      <c r="J1740"/>
      <c r="K1740"/>
      <c r="L1740" s="104"/>
    </row>
    <row r="1741" spans="1:12" x14ac:dyDescent="0.25">
      <c r="A1741" s="115">
        <v>1740</v>
      </c>
      <c r="B1741" s="145">
        <v>45645</v>
      </c>
      <c r="C1741" s="146">
        <v>2024</v>
      </c>
      <c r="D1741" s="118" t="s">
        <v>35</v>
      </c>
      <c r="E1741" s="118" t="s">
        <v>1253</v>
      </c>
      <c r="F1741" s="147">
        <v>1</v>
      </c>
      <c r="G1741" s="120" t="s">
        <v>759</v>
      </c>
      <c r="H1741" s="148">
        <v>184000</v>
      </c>
      <c r="J1741"/>
      <c r="K1741"/>
      <c r="L1741" s="104"/>
    </row>
    <row r="1742" spans="1:12" x14ac:dyDescent="0.25">
      <c r="A1742" s="115">
        <v>1741</v>
      </c>
      <c r="B1742" s="145">
        <v>45645</v>
      </c>
      <c r="C1742" s="146">
        <v>2024</v>
      </c>
      <c r="D1742" s="118" t="s">
        <v>35</v>
      </c>
      <c r="E1742" s="118" t="s">
        <v>1062</v>
      </c>
      <c r="F1742" s="147">
        <v>1</v>
      </c>
      <c r="G1742" s="120" t="s">
        <v>759</v>
      </c>
      <c r="H1742" s="148">
        <v>193000</v>
      </c>
      <c r="J1742"/>
      <c r="K1742"/>
      <c r="L1742" s="104"/>
    </row>
    <row r="1743" spans="1:12" x14ac:dyDescent="0.25">
      <c r="A1743" s="115">
        <v>1742</v>
      </c>
      <c r="B1743" s="145">
        <v>45645</v>
      </c>
      <c r="C1743" s="146">
        <v>2024</v>
      </c>
      <c r="D1743" s="118" t="s">
        <v>35</v>
      </c>
      <c r="E1743" s="118" t="s">
        <v>1062</v>
      </c>
      <c r="F1743" s="147">
        <v>1</v>
      </c>
      <c r="G1743" s="120" t="s">
        <v>759</v>
      </c>
      <c r="H1743" s="148">
        <v>245000</v>
      </c>
      <c r="J1743"/>
      <c r="K1743"/>
      <c r="L1743" s="104"/>
    </row>
    <row r="1744" spans="1:12" x14ac:dyDescent="0.25">
      <c r="A1744" s="115">
        <v>1743</v>
      </c>
      <c r="B1744" s="145">
        <v>45645</v>
      </c>
      <c r="C1744" s="146">
        <v>2024</v>
      </c>
      <c r="D1744" s="118" t="s">
        <v>35</v>
      </c>
      <c r="E1744" s="118" t="s">
        <v>1253</v>
      </c>
      <c r="F1744" s="147">
        <v>1</v>
      </c>
      <c r="G1744" s="120" t="s">
        <v>759</v>
      </c>
      <c r="H1744" s="148">
        <v>430000</v>
      </c>
      <c r="J1744"/>
      <c r="K1744"/>
      <c r="L1744" s="104"/>
    </row>
    <row r="1745" spans="1:12" x14ac:dyDescent="0.25">
      <c r="A1745" s="115">
        <v>1744</v>
      </c>
      <c r="B1745" s="145">
        <v>45645</v>
      </c>
      <c r="C1745" s="146">
        <v>2024</v>
      </c>
      <c r="D1745" s="118" t="s">
        <v>35</v>
      </c>
      <c r="E1745" s="118" t="s">
        <v>1110</v>
      </c>
      <c r="F1745" s="147">
        <v>1</v>
      </c>
      <c r="G1745" s="120" t="s">
        <v>759</v>
      </c>
      <c r="H1745" s="148">
        <v>75000</v>
      </c>
      <c r="J1745"/>
      <c r="K1745"/>
      <c r="L1745" s="104"/>
    </row>
    <row r="1746" spans="1:12" x14ac:dyDescent="0.25">
      <c r="A1746" s="115">
        <v>1745</v>
      </c>
      <c r="B1746" s="145">
        <v>45645</v>
      </c>
      <c r="C1746" s="146">
        <v>2024</v>
      </c>
      <c r="D1746" s="118" t="s">
        <v>35</v>
      </c>
      <c r="E1746" s="118" t="s">
        <v>1062</v>
      </c>
      <c r="F1746" s="147">
        <v>1</v>
      </c>
      <c r="G1746" s="120" t="s">
        <v>759</v>
      </c>
      <c r="H1746" s="148">
        <v>89000</v>
      </c>
      <c r="J1746"/>
      <c r="K1746"/>
      <c r="L1746" s="104"/>
    </row>
    <row r="1747" spans="1:12" x14ac:dyDescent="0.25">
      <c r="A1747" s="115">
        <v>1746</v>
      </c>
      <c r="B1747" s="145">
        <v>45645</v>
      </c>
      <c r="C1747" s="146">
        <v>2024</v>
      </c>
      <c r="D1747" s="118" t="s">
        <v>35</v>
      </c>
      <c r="E1747" s="118" t="s">
        <v>1253</v>
      </c>
      <c r="F1747" s="147">
        <v>1</v>
      </c>
      <c r="G1747" s="120" t="s">
        <v>759</v>
      </c>
      <c r="H1747" s="148">
        <v>99000</v>
      </c>
      <c r="J1747"/>
      <c r="K1747"/>
      <c r="L1747" s="104"/>
    </row>
    <row r="1748" spans="1:12" x14ac:dyDescent="0.25">
      <c r="A1748" s="115">
        <v>1747</v>
      </c>
      <c r="B1748" s="145">
        <v>45645</v>
      </c>
      <c r="C1748" s="146">
        <v>2024</v>
      </c>
      <c r="D1748" s="118" t="s">
        <v>35</v>
      </c>
      <c r="E1748" s="118" t="s">
        <v>1253</v>
      </c>
      <c r="F1748" s="147">
        <v>1</v>
      </c>
      <c r="G1748" s="120" t="s">
        <v>759</v>
      </c>
      <c r="H1748" s="148">
        <v>430000</v>
      </c>
      <c r="J1748"/>
      <c r="K1748"/>
      <c r="L1748" s="104"/>
    </row>
    <row r="1749" spans="1:12" x14ac:dyDescent="0.25">
      <c r="A1749" s="115">
        <v>1748</v>
      </c>
      <c r="B1749" s="145">
        <v>45645</v>
      </c>
      <c r="C1749" s="146">
        <v>2024</v>
      </c>
      <c r="D1749" s="118" t="s">
        <v>35</v>
      </c>
      <c r="E1749" s="118" t="s">
        <v>1062</v>
      </c>
      <c r="F1749" s="147">
        <v>1</v>
      </c>
      <c r="G1749" s="120" t="s">
        <v>759</v>
      </c>
      <c r="H1749" s="148">
        <v>245000</v>
      </c>
      <c r="J1749"/>
      <c r="K1749"/>
      <c r="L1749" s="104"/>
    </row>
    <row r="1750" spans="1:12" x14ac:dyDescent="0.25">
      <c r="A1750" s="115">
        <v>1749</v>
      </c>
      <c r="B1750" s="145">
        <v>45645</v>
      </c>
      <c r="C1750" s="146">
        <v>2024</v>
      </c>
      <c r="D1750" s="118" t="s">
        <v>35</v>
      </c>
      <c r="E1750" s="118" t="s">
        <v>1253</v>
      </c>
      <c r="F1750" s="147">
        <v>1</v>
      </c>
      <c r="G1750" s="120" t="s">
        <v>759</v>
      </c>
      <c r="H1750" s="148">
        <v>430000</v>
      </c>
      <c r="J1750"/>
      <c r="K1750"/>
      <c r="L1750" s="104"/>
    </row>
    <row r="1751" spans="1:12" x14ac:dyDescent="0.25">
      <c r="A1751" s="115">
        <v>1750</v>
      </c>
      <c r="B1751" s="155">
        <v>45645</v>
      </c>
      <c r="C1751" s="146">
        <v>2024</v>
      </c>
      <c r="D1751" s="118" t="s">
        <v>35</v>
      </c>
      <c r="E1751" s="118" t="s">
        <v>1253</v>
      </c>
      <c r="F1751" s="147">
        <v>1</v>
      </c>
      <c r="G1751" s="120" t="s">
        <v>759</v>
      </c>
      <c r="H1751" s="148">
        <v>209000</v>
      </c>
      <c r="J1751"/>
      <c r="K1751"/>
      <c r="L1751" s="104"/>
    </row>
    <row r="1752" spans="1:12" x14ac:dyDescent="0.25">
      <c r="A1752" s="115">
        <v>1751</v>
      </c>
      <c r="B1752" s="155">
        <v>45645</v>
      </c>
      <c r="C1752" s="146">
        <v>2024</v>
      </c>
      <c r="D1752" s="118" t="s">
        <v>35</v>
      </c>
      <c r="E1752" s="118" t="s">
        <v>1253</v>
      </c>
      <c r="F1752" s="147">
        <v>1</v>
      </c>
      <c r="G1752" s="120" t="s">
        <v>759</v>
      </c>
      <c r="H1752" s="148">
        <v>430000</v>
      </c>
      <c r="J1752"/>
      <c r="K1752"/>
      <c r="L1752" s="104"/>
    </row>
    <row r="1753" spans="1:12" x14ac:dyDescent="0.25">
      <c r="A1753" s="115">
        <v>1752</v>
      </c>
      <c r="B1753" s="155">
        <v>45645</v>
      </c>
      <c r="C1753" s="146">
        <v>2024</v>
      </c>
      <c r="D1753" s="118" t="s">
        <v>35</v>
      </c>
      <c r="E1753" s="118" t="s">
        <v>1062</v>
      </c>
      <c r="F1753" s="147">
        <v>1</v>
      </c>
      <c r="G1753" s="120" t="s">
        <v>759</v>
      </c>
      <c r="H1753" s="148">
        <v>193000</v>
      </c>
      <c r="J1753"/>
      <c r="K1753"/>
      <c r="L1753" s="104"/>
    </row>
    <row r="1754" spans="1:12" x14ac:dyDescent="0.25">
      <c r="A1754" s="115">
        <v>1753</v>
      </c>
      <c r="B1754" s="155">
        <v>45645</v>
      </c>
      <c r="C1754" s="146">
        <v>2024</v>
      </c>
      <c r="D1754" s="118" t="s">
        <v>35</v>
      </c>
      <c r="E1754" s="118" t="s">
        <v>1110</v>
      </c>
      <c r="F1754" s="147">
        <v>1</v>
      </c>
      <c r="G1754" s="120" t="s">
        <v>759</v>
      </c>
      <c r="H1754" s="148">
        <v>75000</v>
      </c>
      <c r="J1754"/>
      <c r="K1754"/>
      <c r="L1754" s="104"/>
    </row>
    <row r="1755" spans="1:12" x14ac:dyDescent="0.25">
      <c r="A1755" s="115">
        <v>1754</v>
      </c>
      <c r="B1755" s="155">
        <v>45645</v>
      </c>
      <c r="C1755" s="146">
        <v>2024</v>
      </c>
      <c r="D1755" s="118" t="s">
        <v>35</v>
      </c>
      <c r="E1755" s="118" t="s">
        <v>1253</v>
      </c>
      <c r="F1755" s="147">
        <v>1</v>
      </c>
      <c r="G1755" s="120" t="s">
        <v>759</v>
      </c>
      <c r="H1755" s="148">
        <v>430000</v>
      </c>
      <c r="J1755"/>
      <c r="K1755"/>
      <c r="L1755" s="104"/>
    </row>
    <row r="1756" spans="1:12" x14ac:dyDescent="0.25">
      <c r="A1756" s="115">
        <v>1755</v>
      </c>
      <c r="B1756" s="145">
        <v>45645</v>
      </c>
      <c r="C1756" s="146">
        <v>2024</v>
      </c>
      <c r="D1756" s="118" t="s">
        <v>35</v>
      </c>
      <c r="E1756" s="118" t="s">
        <v>1062</v>
      </c>
      <c r="F1756" s="147">
        <v>1</v>
      </c>
      <c r="G1756" s="120" t="s">
        <v>759</v>
      </c>
      <c r="H1756" s="148">
        <v>193000</v>
      </c>
      <c r="J1756"/>
      <c r="K1756"/>
      <c r="L1756" s="104"/>
    </row>
    <row r="1757" spans="1:12" x14ac:dyDescent="0.25">
      <c r="A1757" s="115">
        <v>1756</v>
      </c>
      <c r="B1757" s="145">
        <v>45645</v>
      </c>
      <c r="C1757" s="146">
        <v>2024</v>
      </c>
      <c r="D1757" s="118" t="s">
        <v>35</v>
      </c>
      <c r="E1757" s="118" t="s">
        <v>1062</v>
      </c>
      <c r="F1757" s="147">
        <v>1</v>
      </c>
      <c r="G1757" s="120" t="s">
        <v>759</v>
      </c>
      <c r="H1757" s="148">
        <v>245000</v>
      </c>
      <c r="J1757"/>
      <c r="K1757"/>
      <c r="L1757" s="104"/>
    </row>
    <row r="1758" spans="1:12" x14ac:dyDescent="0.25">
      <c r="A1758" s="115">
        <v>1757</v>
      </c>
      <c r="B1758" s="145">
        <v>45645</v>
      </c>
      <c r="C1758" s="146">
        <v>2024</v>
      </c>
      <c r="D1758" s="118" t="s">
        <v>35</v>
      </c>
      <c r="E1758" s="118" t="s">
        <v>1304</v>
      </c>
      <c r="F1758" s="147">
        <v>1</v>
      </c>
      <c r="G1758" s="120" t="s">
        <v>759</v>
      </c>
      <c r="H1758" s="148">
        <v>56000</v>
      </c>
      <c r="J1758"/>
      <c r="K1758"/>
      <c r="L1758" s="104"/>
    </row>
    <row r="1759" spans="1:12" x14ac:dyDescent="0.25">
      <c r="A1759" s="115">
        <v>1758</v>
      </c>
      <c r="B1759" s="145">
        <v>45645</v>
      </c>
      <c r="C1759" s="146">
        <v>2024</v>
      </c>
      <c r="D1759" s="118" t="s">
        <v>35</v>
      </c>
      <c r="E1759" s="118" t="s">
        <v>1253</v>
      </c>
      <c r="F1759" s="147">
        <v>1</v>
      </c>
      <c r="G1759" s="120" t="s">
        <v>759</v>
      </c>
      <c r="H1759" s="148">
        <v>144000</v>
      </c>
      <c r="J1759"/>
      <c r="K1759"/>
      <c r="L1759" s="104"/>
    </row>
    <row r="1760" spans="1:12" x14ac:dyDescent="0.25">
      <c r="A1760" s="115">
        <v>1759</v>
      </c>
      <c r="B1760" s="145">
        <v>45645</v>
      </c>
      <c r="C1760" s="146">
        <v>2024</v>
      </c>
      <c r="D1760" s="118" t="s">
        <v>35</v>
      </c>
      <c r="E1760" s="118" t="s">
        <v>1253</v>
      </c>
      <c r="F1760" s="147">
        <v>1</v>
      </c>
      <c r="G1760" s="120" t="s">
        <v>759</v>
      </c>
      <c r="H1760" s="148">
        <v>430000</v>
      </c>
      <c r="J1760"/>
      <c r="K1760"/>
      <c r="L1760" s="104"/>
    </row>
    <row r="1761" spans="1:12" x14ac:dyDescent="0.25">
      <c r="A1761" s="115">
        <v>1760</v>
      </c>
      <c r="B1761" s="145">
        <v>45645</v>
      </c>
      <c r="C1761" s="146">
        <v>2024</v>
      </c>
      <c r="D1761" s="118" t="s">
        <v>35</v>
      </c>
      <c r="E1761" s="118" t="s">
        <v>1110</v>
      </c>
      <c r="F1761" s="147">
        <v>1</v>
      </c>
      <c r="G1761" s="120" t="s">
        <v>759</v>
      </c>
      <c r="H1761" s="148">
        <v>75000</v>
      </c>
      <c r="J1761"/>
      <c r="K1761"/>
      <c r="L1761" s="104"/>
    </row>
    <row r="1762" spans="1:12" x14ac:dyDescent="0.25">
      <c r="A1762" s="115">
        <v>1761</v>
      </c>
      <c r="B1762" s="145">
        <v>45645</v>
      </c>
      <c r="C1762" s="146">
        <v>2024</v>
      </c>
      <c r="D1762" s="118" t="s">
        <v>35</v>
      </c>
      <c r="E1762" s="118" t="s">
        <v>1253</v>
      </c>
      <c r="F1762" s="147">
        <v>1</v>
      </c>
      <c r="G1762" s="120" t="s">
        <v>759</v>
      </c>
      <c r="H1762" s="148">
        <v>430000</v>
      </c>
      <c r="J1762"/>
      <c r="K1762"/>
      <c r="L1762" s="104"/>
    </row>
    <row r="1763" spans="1:12" x14ac:dyDescent="0.25">
      <c r="A1763" s="115">
        <v>1762</v>
      </c>
      <c r="B1763" s="145">
        <v>45645</v>
      </c>
      <c r="C1763" s="146">
        <v>2024</v>
      </c>
      <c r="D1763" s="118" t="s">
        <v>35</v>
      </c>
      <c r="E1763" s="118" t="s">
        <v>1253</v>
      </c>
      <c r="F1763" s="147">
        <v>1</v>
      </c>
      <c r="G1763" s="120" t="s">
        <v>759</v>
      </c>
      <c r="H1763" s="148">
        <v>430000</v>
      </c>
      <c r="J1763"/>
      <c r="K1763"/>
      <c r="L1763" s="104"/>
    </row>
    <row r="1764" spans="1:12" x14ac:dyDescent="0.25">
      <c r="A1764" s="115">
        <v>1763</v>
      </c>
      <c r="B1764" s="145">
        <v>45645</v>
      </c>
      <c r="C1764" s="146">
        <v>2024</v>
      </c>
      <c r="D1764" s="118" t="s">
        <v>35</v>
      </c>
      <c r="E1764" s="118" t="s">
        <v>1110</v>
      </c>
      <c r="F1764" s="147">
        <v>1</v>
      </c>
      <c r="G1764" s="120" t="s">
        <v>759</v>
      </c>
      <c r="H1764" s="148">
        <v>75000</v>
      </c>
      <c r="J1764"/>
      <c r="K1764"/>
      <c r="L1764" s="104"/>
    </row>
    <row r="1765" spans="1:12" x14ac:dyDescent="0.25">
      <c r="A1765" s="115">
        <v>1764</v>
      </c>
      <c r="B1765" s="145">
        <v>45645</v>
      </c>
      <c r="C1765" s="146">
        <v>2024</v>
      </c>
      <c r="D1765" s="118" t="s">
        <v>35</v>
      </c>
      <c r="E1765" s="118" t="s">
        <v>1253</v>
      </c>
      <c r="F1765" s="147">
        <v>1</v>
      </c>
      <c r="G1765" s="120" t="s">
        <v>759</v>
      </c>
      <c r="H1765" s="148">
        <v>430000</v>
      </c>
      <c r="J1765"/>
      <c r="K1765"/>
      <c r="L1765" s="104"/>
    </row>
    <row r="1766" spans="1:12" x14ac:dyDescent="0.25">
      <c r="A1766" s="115">
        <v>1765</v>
      </c>
      <c r="B1766" s="145">
        <v>45645</v>
      </c>
      <c r="C1766" s="146">
        <v>2024</v>
      </c>
      <c r="D1766" s="118" t="s">
        <v>35</v>
      </c>
      <c r="E1766" s="118" t="s">
        <v>1062</v>
      </c>
      <c r="F1766" s="147">
        <v>1</v>
      </c>
      <c r="G1766" s="120" t="s">
        <v>759</v>
      </c>
      <c r="H1766" s="148">
        <v>245000</v>
      </c>
      <c r="J1766"/>
      <c r="K1766"/>
      <c r="L1766" s="104"/>
    </row>
    <row r="1767" spans="1:12" x14ac:dyDescent="0.25">
      <c r="A1767" s="115">
        <v>1766</v>
      </c>
      <c r="B1767" s="145">
        <v>45645</v>
      </c>
      <c r="C1767" s="146">
        <v>2024</v>
      </c>
      <c r="D1767" s="118" t="s">
        <v>35</v>
      </c>
      <c r="E1767" s="118" t="s">
        <v>1062</v>
      </c>
      <c r="F1767" s="147">
        <v>1</v>
      </c>
      <c r="G1767" s="120" t="s">
        <v>759</v>
      </c>
      <c r="H1767" s="148">
        <v>193000</v>
      </c>
      <c r="J1767"/>
      <c r="K1767"/>
      <c r="L1767" s="104"/>
    </row>
    <row r="1768" spans="1:12" x14ac:dyDescent="0.25">
      <c r="A1768" s="115">
        <v>1767</v>
      </c>
      <c r="B1768" s="145">
        <v>45645</v>
      </c>
      <c r="C1768" s="146">
        <v>2024</v>
      </c>
      <c r="D1768" s="118" t="s">
        <v>35</v>
      </c>
      <c r="E1768" s="118" t="s">
        <v>1253</v>
      </c>
      <c r="F1768" s="147">
        <v>1</v>
      </c>
      <c r="G1768" s="120" t="s">
        <v>759</v>
      </c>
      <c r="H1768" s="148">
        <v>430000</v>
      </c>
      <c r="J1768"/>
      <c r="K1768"/>
      <c r="L1768" s="104"/>
    </row>
    <row r="1769" spans="1:12" x14ac:dyDescent="0.25">
      <c r="A1769" s="115">
        <v>1768</v>
      </c>
      <c r="B1769" s="116">
        <v>45646</v>
      </c>
      <c r="C1769" s="117">
        <v>2024</v>
      </c>
      <c r="D1769" s="118" t="s">
        <v>35</v>
      </c>
      <c r="E1769" s="119" t="s">
        <v>668</v>
      </c>
      <c r="F1769" s="120">
        <v>1</v>
      </c>
      <c r="G1769" s="120" t="s">
        <v>759</v>
      </c>
      <c r="H1769" s="121">
        <v>43119</v>
      </c>
      <c r="J1769"/>
      <c r="K1769"/>
      <c r="L1769" s="104"/>
    </row>
    <row r="1770" spans="1:12" x14ac:dyDescent="0.25">
      <c r="A1770" s="115">
        <v>1769</v>
      </c>
      <c r="B1770" s="116">
        <v>45646</v>
      </c>
      <c r="C1770" s="117">
        <v>2024</v>
      </c>
      <c r="D1770" s="119" t="s">
        <v>1118</v>
      </c>
      <c r="E1770" s="119" t="s">
        <v>658</v>
      </c>
      <c r="F1770" s="120">
        <v>1</v>
      </c>
      <c r="G1770" s="120" t="s">
        <v>759</v>
      </c>
      <c r="H1770" s="121">
        <v>37731</v>
      </c>
      <c r="J1770"/>
      <c r="K1770"/>
      <c r="L1770" s="104"/>
    </row>
    <row r="1771" spans="1:12" x14ac:dyDescent="0.25">
      <c r="A1771" s="115">
        <v>1770</v>
      </c>
      <c r="B1771" s="167">
        <v>45646</v>
      </c>
      <c r="C1771" s="117">
        <v>2024</v>
      </c>
      <c r="D1771" s="119" t="s">
        <v>35</v>
      </c>
      <c r="E1771" s="119" t="s">
        <v>1307</v>
      </c>
      <c r="F1771" s="120">
        <v>3</v>
      </c>
      <c r="G1771" s="120" t="s">
        <v>759</v>
      </c>
      <c r="H1771" s="121">
        <v>5597</v>
      </c>
      <c r="J1771"/>
      <c r="K1771"/>
      <c r="L1771" s="104"/>
    </row>
    <row r="1772" spans="1:12" x14ac:dyDescent="0.25">
      <c r="A1772" s="115">
        <v>1771</v>
      </c>
      <c r="B1772" s="116">
        <v>45646</v>
      </c>
      <c r="C1772" s="117">
        <v>2024</v>
      </c>
      <c r="D1772" s="118" t="s">
        <v>35</v>
      </c>
      <c r="E1772" s="119" t="s">
        <v>350</v>
      </c>
      <c r="F1772" s="120">
        <v>3</v>
      </c>
      <c r="G1772" s="120" t="s">
        <v>759</v>
      </c>
      <c r="H1772" s="121">
        <v>64677</v>
      </c>
      <c r="J1772"/>
      <c r="K1772"/>
      <c r="L1772" s="104"/>
    </row>
    <row r="1773" spans="1:12" x14ac:dyDescent="0.25">
      <c r="A1773" s="115">
        <v>1772</v>
      </c>
      <c r="B1773" s="116">
        <v>45646</v>
      </c>
      <c r="C1773" s="117">
        <v>2024</v>
      </c>
      <c r="D1773" s="118" t="s">
        <v>35</v>
      </c>
      <c r="E1773" s="119" t="s">
        <v>1308</v>
      </c>
      <c r="F1773" s="120">
        <v>1</v>
      </c>
      <c r="G1773" s="120" t="s">
        <v>759</v>
      </c>
      <c r="H1773" s="121">
        <v>14780</v>
      </c>
      <c r="J1773"/>
      <c r="K1773"/>
      <c r="L1773" s="104"/>
    </row>
    <row r="1774" spans="1:12" x14ac:dyDescent="0.25">
      <c r="A1774" s="115">
        <v>1773</v>
      </c>
      <c r="B1774" s="167">
        <v>45650</v>
      </c>
      <c r="C1774" s="117">
        <v>2024</v>
      </c>
      <c r="D1774" s="119" t="s">
        <v>851</v>
      </c>
      <c r="E1774" s="119" t="s">
        <v>1309</v>
      </c>
      <c r="F1774" s="120">
        <v>2</v>
      </c>
      <c r="G1774" s="120" t="s">
        <v>759</v>
      </c>
      <c r="H1774" s="168">
        <v>43000</v>
      </c>
      <c r="J1774"/>
      <c r="K1774"/>
      <c r="L1774" s="104"/>
    </row>
    <row r="1775" spans="1:12" x14ac:dyDescent="0.25">
      <c r="A1775" s="115">
        <v>1774</v>
      </c>
      <c r="B1775" s="167">
        <v>45650</v>
      </c>
      <c r="C1775" s="117">
        <v>2024</v>
      </c>
      <c r="D1775" s="119" t="s">
        <v>851</v>
      </c>
      <c r="E1775" s="119" t="s">
        <v>1310</v>
      </c>
      <c r="F1775" s="120">
        <v>1</v>
      </c>
      <c r="G1775" s="120" t="s">
        <v>759</v>
      </c>
      <c r="H1775" s="168">
        <v>67000</v>
      </c>
      <c r="J1775"/>
      <c r="K1775"/>
      <c r="L1775" s="104"/>
    </row>
    <row r="1776" spans="1:12" x14ac:dyDescent="0.25">
      <c r="A1776" s="115">
        <v>1775</v>
      </c>
      <c r="B1776" s="167">
        <v>45650</v>
      </c>
      <c r="C1776" s="117">
        <v>2024</v>
      </c>
      <c r="D1776" s="119" t="s">
        <v>35</v>
      </c>
      <c r="E1776" s="119" t="s">
        <v>739</v>
      </c>
      <c r="F1776" s="120">
        <v>75</v>
      </c>
      <c r="G1776" s="120" t="s">
        <v>759</v>
      </c>
      <c r="H1776" s="168">
        <v>562500</v>
      </c>
      <c r="J1776"/>
      <c r="K1776"/>
      <c r="L1776" s="104"/>
    </row>
    <row r="1777" spans="1:12" x14ac:dyDescent="0.25">
      <c r="A1777" s="115">
        <v>1776</v>
      </c>
      <c r="B1777" s="116">
        <v>45650</v>
      </c>
      <c r="C1777" s="117">
        <v>2024</v>
      </c>
      <c r="D1777" s="118" t="s">
        <v>35</v>
      </c>
      <c r="E1777" s="119" t="s">
        <v>476</v>
      </c>
      <c r="F1777" s="120">
        <v>6</v>
      </c>
      <c r="G1777" s="120" t="s">
        <v>759</v>
      </c>
      <c r="H1777" s="121">
        <v>152488</v>
      </c>
      <c r="J1777"/>
      <c r="K1777"/>
      <c r="L1777" s="104"/>
    </row>
    <row r="1778" spans="1:12" x14ac:dyDescent="0.25">
      <c r="A1778" s="115">
        <v>1777</v>
      </c>
      <c r="B1778" s="167">
        <v>45650</v>
      </c>
      <c r="C1778" s="117">
        <v>2024</v>
      </c>
      <c r="D1778" s="119" t="s">
        <v>851</v>
      </c>
      <c r="E1778" s="119" t="s">
        <v>1311</v>
      </c>
      <c r="F1778" s="120">
        <v>1</v>
      </c>
      <c r="G1778" s="120" t="s">
        <v>759</v>
      </c>
      <c r="H1778" s="168">
        <v>16500</v>
      </c>
      <c r="J1778"/>
      <c r="K1778"/>
      <c r="L1778" s="104"/>
    </row>
    <row r="1779" spans="1:12" x14ac:dyDescent="0.25">
      <c r="A1779" s="115">
        <v>1778</v>
      </c>
      <c r="B1779" s="116">
        <v>45653</v>
      </c>
      <c r="C1779" s="117">
        <v>2024</v>
      </c>
      <c r="D1779" s="118" t="s">
        <v>35</v>
      </c>
      <c r="E1779" s="119" t="s">
        <v>1059</v>
      </c>
      <c r="F1779" s="120">
        <v>25</v>
      </c>
      <c r="G1779" s="120" t="s">
        <v>759</v>
      </c>
      <c r="H1779" s="121">
        <v>457700</v>
      </c>
      <c r="J1779"/>
      <c r="K1779"/>
      <c r="L1779" s="104"/>
    </row>
    <row r="1780" spans="1:12" x14ac:dyDescent="0.25">
      <c r="A1780" s="115">
        <v>1779</v>
      </c>
      <c r="B1780" s="116">
        <v>45654</v>
      </c>
      <c r="C1780" s="117">
        <v>2024</v>
      </c>
      <c r="D1780" s="118" t="s">
        <v>35</v>
      </c>
      <c r="E1780" s="119" t="s">
        <v>610</v>
      </c>
      <c r="F1780" s="120">
        <v>2</v>
      </c>
      <c r="G1780" s="120" t="s">
        <v>759</v>
      </c>
      <c r="H1780" s="121">
        <v>41700</v>
      </c>
      <c r="J1780"/>
      <c r="K1780"/>
      <c r="L1780" s="104"/>
    </row>
    <row r="1781" spans="1:12" x14ac:dyDescent="0.25">
      <c r="A1781" s="115">
        <v>1780</v>
      </c>
      <c r="B1781" s="167">
        <v>45663</v>
      </c>
      <c r="C1781" s="117">
        <v>2025</v>
      </c>
      <c r="D1781" s="119" t="s">
        <v>35</v>
      </c>
      <c r="E1781" s="119" t="s">
        <v>211</v>
      </c>
      <c r="F1781" s="120">
        <v>3</v>
      </c>
      <c r="G1781" s="120" t="s">
        <v>759</v>
      </c>
      <c r="H1781" s="169">
        <v>58500</v>
      </c>
      <c r="J1781"/>
      <c r="K1781"/>
      <c r="L1781" s="104"/>
    </row>
    <row r="1782" spans="1:12" x14ac:dyDescent="0.25">
      <c r="A1782" s="115">
        <v>1781</v>
      </c>
      <c r="B1782" s="167">
        <v>45663</v>
      </c>
      <c r="C1782" s="117">
        <v>2025</v>
      </c>
      <c r="D1782" s="119" t="s">
        <v>35</v>
      </c>
      <c r="E1782" s="119" t="s">
        <v>1293</v>
      </c>
      <c r="F1782" s="120">
        <v>6</v>
      </c>
      <c r="G1782" s="120" t="s">
        <v>759</v>
      </c>
      <c r="H1782" s="169">
        <v>160470</v>
      </c>
      <c r="J1782"/>
      <c r="K1782"/>
      <c r="L1782" s="104"/>
    </row>
    <row r="1783" spans="1:12" x14ac:dyDescent="0.25">
      <c r="A1783" s="115">
        <v>1782</v>
      </c>
      <c r="B1783" s="167">
        <v>45663</v>
      </c>
      <c r="C1783" s="117">
        <v>2025</v>
      </c>
      <c r="D1783" s="119" t="s">
        <v>35</v>
      </c>
      <c r="E1783" s="119" t="s">
        <v>1312</v>
      </c>
      <c r="F1783" s="120">
        <v>3</v>
      </c>
      <c r="G1783" s="120" t="s">
        <v>759</v>
      </c>
      <c r="H1783" s="169">
        <v>56235</v>
      </c>
      <c r="J1783"/>
      <c r="K1783"/>
      <c r="L1783" s="104"/>
    </row>
    <row r="1784" spans="1:12" x14ac:dyDescent="0.25">
      <c r="A1784" s="115">
        <v>1783</v>
      </c>
      <c r="B1784" s="167">
        <v>45663</v>
      </c>
      <c r="C1784" s="117">
        <v>2025</v>
      </c>
      <c r="D1784" s="119" t="s">
        <v>851</v>
      </c>
      <c r="E1784" s="119" t="s">
        <v>84</v>
      </c>
      <c r="F1784" s="120">
        <v>2</v>
      </c>
      <c r="G1784" s="120" t="s">
        <v>759</v>
      </c>
      <c r="H1784" s="169">
        <v>27000</v>
      </c>
      <c r="J1784"/>
      <c r="K1784"/>
      <c r="L1784" s="104"/>
    </row>
    <row r="1785" spans="1:12" x14ac:dyDescent="0.25">
      <c r="A1785" s="115">
        <v>1784</v>
      </c>
      <c r="B1785" s="167">
        <v>45664</v>
      </c>
      <c r="C1785" s="117">
        <v>2025</v>
      </c>
      <c r="D1785" s="119" t="s">
        <v>35</v>
      </c>
      <c r="E1785" s="119" t="s">
        <v>252</v>
      </c>
      <c r="F1785" s="120">
        <v>2</v>
      </c>
      <c r="G1785" s="120" t="s">
        <v>759</v>
      </c>
      <c r="H1785" s="169">
        <v>1670000</v>
      </c>
      <c r="J1785"/>
      <c r="K1785"/>
      <c r="L1785" s="104"/>
    </row>
    <row r="1786" spans="1:12" x14ac:dyDescent="0.25">
      <c r="A1786" s="115">
        <v>1785</v>
      </c>
      <c r="B1786" s="167">
        <v>45664</v>
      </c>
      <c r="C1786" s="117">
        <v>2025</v>
      </c>
      <c r="D1786" s="119" t="s">
        <v>259</v>
      </c>
      <c r="E1786" s="119" t="s">
        <v>1313</v>
      </c>
      <c r="F1786" s="120">
        <v>3</v>
      </c>
      <c r="G1786" s="120" t="s">
        <v>759</v>
      </c>
      <c r="H1786" s="169">
        <v>58701</v>
      </c>
      <c r="J1786"/>
      <c r="K1786"/>
      <c r="L1786" s="104"/>
    </row>
    <row r="1787" spans="1:12" x14ac:dyDescent="0.25">
      <c r="A1787" s="115">
        <v>1786</v>
      </c>
      <c r="B1787" s="167">
        <v>45664</v>
      </c>
      <c r="C1787" s="117">
        <v>2025</v>
      </c>
      <c r="D1787" s="119" t="s">
        <v>259</v>
      </c>
      <c r="E1787" s="119" t="s">
        <v>1314</v>
      </c>
      <c r="F1787" s="120">
        <v>1</v>
      </c>
      <c r="G1787" s="120" t="s">
        <v>759</v>
      </c>
      <c r="H1787" s="169">
        <v>21900</v>
      </c>
      <c r="J1787"/>
      <c r="K1787"/>
      <c r="L1787" s="104"/>
    </row>
    <row r="1788" spans="1:12" x14ac:dyDescent="0.25">
      <c r="A1788" s="115">
        <v>1787</v>
      </c>
      <c r="B1788" s="167">
        <v>45664</v>
      </c>
      <c r="C1788" s="117">
        <v>2025</v>
      </c>
      <c r="D1788" s="119" t="s">
        <v>833</v>
      </c>
      <c r="E1788" s="119" t="s">
        <v>620</v>
      </c>
      <c r="F1788" s="120">
        <v>3</v>
      </c>
      <c r="G1788" s="120" t="s">
        <v>759</v>
      </c>
      <c r="H1788" s="169">
        <v>69600</v>
      </c>
      <c r="J1788"/>
      <c r="K1788"/>
      <c r="L1788" s="104"/>
    </row>
    <row r="1789" spans="1:12" x14ac:dyDescent="0.25">
      <c r="A1789" s="115">
        <v>1788</v>
      </c>
      <c r="B1789" s="167">
        <v>45664</v>
      </c>
      <c r="C1789" s="117">
        <v>2025</v>
      </c>
      <c r="D1789" s="119" t="s">
        <v>833</v>
      </c>
      <c r="E1789" s="119" t="s">
        <v>1315</v>
      </c>
      <c r="F1789" s="120">
        <v>7</v>
      </c>
      <c r="G1789" s="120" t="s">
        <v>759</v>
      </c>
      <c r="H1789" s="169">
        <v>56000</v>
      </c>
      <c r="J1789"/>
      <c r="K1789"/>
      <c r="L1789" s="104"/>
    </row>
    <row r="1790" spans="1:12" x14ac:dyDescent="0.25">
      <c r="A1790" s="115">
        <v>1789</v>
      </c>
      <c r="B1790" s="167">
        <v>45664</v>
      </c>
      <c r="C1790" s="117">
        <v>2025</v>
      </c>
      <c r="D1790" s="119" t="s">
        <v>35</v>
      </c>
      <c r="E1790" s="119" t="s">
        <v>72</v>
      </c>
      <c r="F1790" s="120">
        <v>1</v>
      </c>
      <c r="G1790" s="120" t="s">
        <v>759</v>
      </c>
      <c r="H1790" s="169">
        <v>60000</v>
      </c>
      <c r="J1790"/>
      <c r="K1790"/>
      <c r="L1790" s="104"/>
    </row>
    <row r="1791" spans="1:12" x14ac:dyDescent="0.25">
      <c r="A1791" s="115">
        <v>1790</v>
      </c>
      <c r="B1791" s="167">
        <v>45664</v>
      </c>
      <c r="C1791" s="117">
        <v>2025</v>
      </c>
      <c r="D1791" s="119" t="s">
        <v>35</v>
      </c>
      <c r="E1791" s="119" t="s">
        <v>1316</v>
      </c>
      <c r="F1791" s="120">
        <v>1</v>
      </c>
      <c r="G1791" s="120" t="s">
        <v>759</v>
      </c>
      <c r="H1791" s="169">
        <v>65000</v>
      </c>
      <c r="J1791"/>
      <c r="K1791"/>
      <c r="L1791" s="104"/>
    </row>
    <row r="1792" spans="1:12" x14ac:dyDescent="0.25">
      <c r="A1792" s="115">
        <v>1791</v>
      </c>
      <c r="B1792" s="167">
        <v>45665</v>
      </c>
      <c r="C1792" s="117">
        <v>2025</v>
      </c>
      <c r="D1792" s="119" t="s">
        <v>35</v>
      </c>
      <c r="E1792" s="119" t="s">
        <v>486</v>
      </c>
      <c r="F1792" s="120">
        <v>5</v>
      </c>
      <c r="G1792" s="120" t="s">
        <v>759</v>
      </c>
      <c r="H1792" s="169">
        <v>216370</v>
      </c>
      <c r="J1792"/>
      <c r="K1792"/>
      <c r="L1792" s="104"/>
    </row>
    <row r="1793" spans="1:12" x14ac:dyDescent="0.25">
      <c r="A1793" s="115">
        <v>1792</v>
      </c>
      <c r="B1793" s="167">
        <v>45665</v>
      </c>
      <c r="C1793" s="117">
        <v>2025</v>
      </c>
      <c r="D1793" s="119" t="s">
        <v>35</v>
      </c>
      <c r="E1793" s="119" t="s">
        <v>1317</v>
      </c>
      <c r="F1793" s="120">
        <v>1</v>
      </c>
      <c r="G1793" s="120" t="s">
        <v>759</v>
      </c>
      <c r="H1793" s="169">
        <v>30000</v>
      </c>
      <c r="J1793"/>
      <c r="K1793"/>
      <c r="L1793" s="104"/>
    </row>
    <row r="1794" spans="1:12" x14ac:dyDescent="0.25">
      <c r="A1794" s="115">
        <v>1793</v>
      </c>
      <c r="B1794" s="167">
        <v>45665</v>
      </c>
      <c r="C1794" s="117">
        <v>2025</v>
      </c>
      <c r="D1794" s="119" t="s">
        <v>35</v>
      </c>
      <c r="E1794" s="119" t="s">
        <v>1318</v>
      </c>
      <c r="F1794" s="120">
        <v>1</v>
      </c>
      <c r="G1794" s="120" t="s">
        <v>759</v>
      </c>
      <c r="H1794" s="169">
        <v>36000</v>
      </c>
      <c r="J1794"/>
      <c r="K1794"/>
      <c r="L1794" s="104"/>
    </row>
    <row r="1795" spans="1:12" x14ac:dyDescent="0.25">
      <c r="A1795" s="115">
        <v>1794</v>
      </c>
      <c r="B1795" s="167">
        <v>45666</v>
      </c>
      <c r="C1795" s="117">
        <v>2025</v>
      </c>
      <c r="D1795" s="119" t="s">
        <v>35</v>
      </c>
      <c r="E1795" s="119" t="s">
        <v>1261</v>
      </c>
      <c r="F1795" s="120">
        <v>1</v>
      </c>
      <c r="G1795" s="120" t="s">
        <v>759</v>
      </c>
      <c r="H1795" s="169">
        <v>35000</v>
      </c>
      <c r="J1795"/>
      <c r="K1795"/>
      <c r="L1795" s="104"/>
    </row>
    <row r="1796" spans="1:12" x14ac:dyDescent="0.25">
      <c r="A1796" s="115">
        <v>1795</v>
      </c>
      <c r="B1796" s="167">
        <v>45666</v>
      </c>
      <c r="C1796" s="117">
        <v>2025</v>
      </c>
      <c r="D1796" s="119" t="s">
        <v>833</v>
      </c>
      <c r="E1796" s="119" t="s">
        <v>290</v>
      </c>
      <c r="F1796" s="120">
        <v>10</v>
      </c>
      <c r="G1796" s="120" t="s">
        <v>759</v>
      </c>
      <c r="H1796" s="169">
        <v>104290</v>
      </c>
      <c r="J1796"/>
      <c r="K1796"/>
      <c r="L1796" s="104"/>
    </row>
    <row r="1797" spans="1:12" x14ac:dyDescent="0.25">
      <c r="A1797" s="115">
        <v>1796</v>
      </c>
      <c r="B1797" s="167">
        <v>45666</v>
      </c>
      <c r="C1797" s="117">
        <v>2025</v>
      </c>
      <c r="D1797" s="119" t="s">
        <v>35</v>
      </c>
      <c r="E1797" s="119" t="s">
        <v>557</v>
      </c>
      <c r="F1797" s="120">
        <v>1</v>
      </c>
      <c r="G1797" s="120" t="s">
        <v>759</v>
      </c>
      <c r="H1797" s="169">
        <v>94800</v>
      </c>
      <c r="J1797"/>
      <c r="K1797"/>
      <c r="L1797" s="104"/>
    </row>
    <row r="1798" spans="1:12" x14ac:dyDescent="0.25">
      <c r="A1798" s="115">
        <v>1797</v>
      </c>
      <c r="B1798" s="167">
        <v>45666</v>
      </c>
      <c r="C1798" s="117">
        <v>2025</v>
      </c>
      <c r="D1798" s="119" t="s">
        <v>35</v>
      </c>
      <c r="E1798" s="119" t="s">
        <v>557</v>
      </c>
      <c r="F1798" s="120">
        <v>1</v>
      </c>
      <c r="G1798" s="120" t="s">
        <v>759</v>
      </c>
      <c r="H1798" s="169">
        <v>94800</v>
      </c>
      <c r="J1798"/>
      <c r="K1798"/>
      <c r="L1798" s="104"/>
    </row>
    <row r="1799" spans="1:12" x14ac:dyDescent="0.25">
      <c r="A1799" s="115">
        <v>1798</v>
      </c>
      <c r="B1799" s="167">
        <v>45666</v>
      </c>
      <c r="C1799" s="117">
        <v>2025</v>
      </c>
      <c r="D1799" s="119" t="s">
        <v>35</v>
      </c>
      <c r="E1799" s="119" t="s">
        <v>629</v>
      </c>
      <c r="F1799" s="120">
        <v>1</v>
      </c>
      <c r="G1799" s="120" t="s">
        <v>759</v>
      </c>
      <c r="H1799" s="169">
        <v>12150</v>
      </c>
      <c r="J1799"/>
      <c r="K1799"/>
      <c r="L1799" s="104"/>
    </row>
    <row r="1800" spans="1:12" x14ac:dyDescent="0.25">
      <c r="A1800" s="115">
        <v>1799</v>
      </c>
      <c r="B1800" s="167">
        <v>45666</v>
      </c>
      <c r="C1800" s="117">
        <v>2025</v>
      </c>
      <c r="D1800" s="119" t="s">
        <v>35</v>
      </c>
      <c r="E1800" s="119" t="s">
        <v>1319</v>
      </c>
      <c r="F1800" s="120">
        <v>1</v>
      </c>
      <c r="G1800" s="120" t="s">
        <v>759</v>
      </c>
      <c r="H1800" s="169">
        <v>19000</v>
      </c>
      <c r="J1800"/>
      <c r="K1800"/>
      <c r="L1800" s="104"/>
    </row>
    <row r="1801" spans="1:12" x14ac:dyDescent="0.25">
      <c r="A1801" s="115">
        <v>1800</v>
      </c>
      <c r="B1801" s="167">
        <v>45666</v>
      </c>
      <c r="C1801" s="117">
        <v>2025</v>
      </c>
      <c r="D1801" s="119" t="s">
        <v>35</v>
      </c>
      <c r="E1801" s="119" t="s">
        <v>1320</v>
      </c>
      <c r="F1801" s="120">
        <v>1</v>
      </c>
      <c r="G1801" s="120" t="s">
        <v>759</v>
      </c>
      <c r="H1801" s="169">
        <v>19000</v>
      </c>
      <c r="J1801"/>
      <c r="K1801"/>
      <c r="L1801" s="104"/>
    </row>
    <row r="1802" spans="1:12" x14ac:dyDescent="0.25">
      <c r="A1802" s="115">
        <v>1801</v>
      </c>
      <c r="B1802" s="167">
        <v>45668</v>
      </c>
      <c r="C1802" s="117">
        <v>2025</v>
      </c>
      <c r="D1802" s="119" t="s">
        <v>1118</v>
      </c>
      <c r="E1802" s="119" t="s">
        <v>1321</v>
      </c>
      <c r="F1802" s="120">
        <v>3</v>
      </c>
      <c r="G1802" s="120" t="s">
        <v>759</v>
      </c>
      <c r="H1802" s="169">
        <v>149718</v>
      </c>
      <c r="J1802"/>
      <c r="K1802"/>
      <c r="L1802" s="104"/>
    </row>
    <row r="1803" spans="1:12" x14ac:dyDescent="0.25">
      <c r="A1803" s="115">
        <v>1802</v>
      </c>
      <c r="B1803" s="167">
        <v>45677</v>
      </c>
      <c r="C1803" s="117">
        <v>2025</v>
      </c>
      <c r="D1803" s="119" t="s">
        <v>35</v>
      </c>
      <c r="E1803" s="119" t="s">
        <v>761</v>
      </c>
      <c r="F1803" s="120">
        <v>2</v>
      </c>
      <c r="G1803" s="120" t="s">
        <v>759</v>
      </c>
      <c r="H1803" s="169">
        <v>3100000</v>
      </c>
      <c r="J1803"/>
      <c r="K1803"/>
      <c r="L1803" s="104"/>
    </row>
    <row r="1804" spans="1:12" x14ac:dyDescent="0.25">
      <c r="A1804" s="115">
        <v>1803</v>
      </c>
      <c r="B1804" s="167">
        <v>45677</v>
      </c>
      <c r="C1804" s="117">
        <v>2025</v>
      </c>
      <c r="D1804" s="119" t="s">
        <v>35</v>
      </c>
      <c r="E1804" s="119" t="s">
        <v>963</v>
      </c>
      <c r="F1804" s="120">
        <v>1</v>
      </c>
      <c r="G1804" s="120" t="s">
        <v>759</v>
      </c>
      <c r="H1804" s="169">
        <v>59400</v>
      </c>
      <c r="J1804"/>
      <c r="K1804"/>
      <c r="L1804" s="104"/>
    </row>
    <row r="1805" spans="1:12" x14ac:dyDescent="0.25">
      <c r="A1805" s="115">
        <v>1804</v>
      </c>
      <c r="B1805" s="167">
        <v>45678</v>
      </c>
      <c r="C1805" s="117">
        <v>2025</v>
      </c>
      <c r="D1805" s="119" t="s">
        <v>35</v>
      </c>
      <c r="E1805" s="119" t="s">
        <v>1322</v>
      </c>
      <c r="F1805" s="120">
        <v>2</v>
      </c>
      <c r="G1805" s="120" t="s">
        <v>759</v>
      </c>
      <c r="H1805" s="169">
        <v>280000</v>
      </c>
      <c r="J1805"/>
      <c r="K1805"/>
      <c r="L1805" s="104"/>
    </row>
    <row r="1806" spans="1:12" x14ac:dyDescent="0.25">
      <c r="A1806" s="115">
        <v>1805</v>
      </c>
      <c r="B1806" s="167">
        <v>45678</v>
      </c>
      <c r="C1806" s="117">
        <v>2025</v>
      </c>
      <c r="D1806" s="119" t="s">
        <v>35</v>
      </c>
      <c r="E1806" s="119" t="s">
        <v>1323</v>
      </c>
      <c r="F1806" s="120">
        <v>1</v>
      </c>
      <c r="G1806" s="120" t="s">
        <v>759</v>
      </c>
      <c r="H1806" s="169">
        <v>20000</v>
      </c>
      <c r="J1806"/>
      <c r="K1806"/>
      <c r="L1806" s="104"/>
    </row>
    <row r="1807" spans="1:12" x14ac:dyDescent="0.25">
      <c r="A1807" s="115">
        <v>1806</v>
      </c>
      <c r="B1807" s="167">
        <v>45678</v>
      </c>
      <c r="C1807" s="117">
        <v>2025</v>
      </c>
      <c r="D1807" s="119" t="s">
        <v>35</v>
      </c>
      <c r="E1807" s="119" t="s">
        <v>473</v>
      </c>
      <c r="F1807" s="120">
        <v>6</v>
      </c>
      <c r="G1807" s="120" t="s">
        <v>759</v>
      </c>
      <c r="H1807" s="169">
        <v>111000</v>
      </c>
      <c r="J1807"/>
      <c r="K1807"/>
      <c r="L1807" s="104"/>
    </row>
    <row r="1808" spans="1:12" x14ac:dyDescent="0.25">
      <c r="A1808" s="115">
        <v>1807</v>
      </c>
      <c r="B1808" s="167">
        <v>45678</v>
      </c>
      <c r="C1808" s="117">
        <v>2025</v>
      </c>
      <c r="D1808" s="119" t="s">
        <v>35</v>
      </c>
      <c r="E1808" s="119" t="s">
        <v>1324</v>
      </c>
      <c r="F1808" s="120">
        <v>2</v>
      </c>
      <c r="G1808" s="120" t="s">
        <v>759</v>
      </c>
      <c r="H1808" s="169">
        <v>10600</v>
      </c>
      <c r="J1808"/>
      <c r="K1808"/>
      <c r="L1808" s="104"/>
    </row>
    <row r="1809" spans="1:12" x14ac:dyDescent="0.25">
      <c r="A1809" s="115">
        <v>1808</v>
      </c>
      <c r="B1809" s="167">
        <v>45678</v>
      </c>
      <c r="C1809" s="117">
        <v>2025</v>
      </c>
      <c r="D1809" s="119" t="s">
        <v>35</v>
      </c>
      <c r="E1809" s="119" t="s">
        <v>1325</v>
      </c>
      <c r="F1809" s="120">
        <v>1</v>
      </c>
      <c r="G1809" s="120" t="s">
        <v>759</v>
      </c>
      <c r="H1809" s="169">
        <v>14500</v>
      </c>
      <c r="J1809"/>
      <c r="K1809"/>
      <c r="L1809" s="104"/>
    </row>
    <row r="1810" spans="1:12" x14ac:dyDescent="0.25">
      <c r="A1810" s="115">
        <v>1809</v>
      </c>
      <c r="B1810" s="167">
        <v>45678</v>
      </c>
      <c r="C1810" s="117">
        <v>2025</v>
      </c>
      <c r="D1810" s="119" t="s">
        <v>35</v>
      </c>
      <c r="E1810" s="119" t="s">
        <v>1326</v>
      </c>
      <c r="F1810" s="120">
        <v>10</v>
      </c>
      <c r="G1810" s="120" t="s">
        <v>759</v>
      </c>
      <c r="H1810" s="169">
        <v>25000</v>
      </c>
      <c r="J1810"/>
      <c r="K1810"/>
      <c r="L1810" s="104"/>
    </row>
    <row r="1811" spans="1:12" x14ac:dyDescent="0.25">
      <c r="A1811" s="115">
        <v>1810</v>
      </c>
      <c r="B1811" s="167">
        <v>45678</v>
      </c>
      <c r="C1811" s="117">
        <v>2025</v>
      </c>
      <c r="D1811" s="119" t="s">
        <v>35</v>
      </c>
      <c r="E1811" s="119" t="s">
        <v>180</v>
      </c>
      <c r="F1811" s="120">
        <v>20</v>
      </c>
      <c r="G1811" s="120" t="s">
        <v>759</v>
      </c>
      <c r="H1811" s="169">
        <v>50000</v>
      </c>
      <c r="J1811"/>
      <c r="K1811"/>
      <c r="L1811" s="104"/>
    </row>
    <row r="1812" spans="1:12" x14ac:dyDescent="0.25">
      <c r="A1812" s="115">
        <v>1811</v>
      </c>
      <c r="B1812" s="167">
        <v>45678</v>
      </c>
      <c r="C1812" s="117">
        <v>2025</v>
      </c>
      <c r="D1812" s="119" t="s">
        <v>35</v>
      </c>
      <c r="E1812" s="119" t="s">
        <v>1327</v>
      </c>
      <c r="F1812" s="120">
        <v>1</v>
      </c>
      <c r="G1812" s="120" t="s">
        <v>759</v>
      </c>
      <c r="H1812" s="169">
        <v>24000</v>
      </c>
      <c r="J1812"/>
      <c r="K1812"/>
      <c r="L1812" s="104"/>
    </row>
    <row r="1813" spans="1:12" x14ac:dyDescent="0.25">
      <c r="A1813" s="115">
        <v>1812</v>
      </c>
      <c r="B1813" s="167">
        <v>45678</v>
      </c>
      <c r="C1813" s="117">
        <v>2025</v>
      </c>
      <c r="D1813" s="119" t="s">
        <v>35</v>
      </c>
      <c r="E1813" s="119" t="s">
        <v>168</v>
      </c>
      <c r="F1813" s="120">
        <v>24</v>
      </c>
      <c r="G1813" s="120" t="s">
        <v>759</v>
      </c>
      <c r="H1813" s="169">
        <v>216000</v>
      </c>
      <c r="J1813"/>
      <c r="K1813"/>
      <c r="L1813" s="104"/>
    </row>
    <row r="1814" spans="1:12" x14ac:dyDescent="0.25">
      <c r="A1814" s="115">
        <v>1813</v>
      </c>
      <c r="B1814" s="167">
        <v>45678</v>
      </c>
      <c r="C1814" s="117">
        <v>2025</v>
      </c>
      <c r="D1814" s="119" t="s">
        <v>35</v>
      </c>
      <c r="E1814" s="119" t="s">
        <v>1328</v>
      </c>
      <c r="F1814" s="120">
        <v>2</v>
      </c>
      <c r="G1814" s="120" t="s">
        <v>759</v>
      </c>
      <c r="H1814" s="169">
        <v>17600</v>
      </c>
      <c r="J1814"/>
      <c r="K1814"/>
      <c r="L1814" s="104"/>
    </row>
    <row r="1815" spans="1:12" x14ac:dyDescent="0.25">
      <c r="A1815" s="115">
        <v>1814</v>
      </c>
      <c r="B1815" s="167">
        <v>45678</v>
      </c>
      <c r="C1815" s="117">
        <v>2025</v>
      </c>
      <c r="D1815" s="119" t="s">
        <v>35</v>
      </c>
      <c r="E1815" s="119" t="s">
        <v>1329</v>
      </c>
      <c r="F1815" s="120">
        <v>2</v>
      </c>
      <c r="G1815" s="120" t="s">
        <v>759</v>
      </c>
      <c r="H1815" s="169">
        <v>31458</v>
      </c>
      <c r="J1815"/>
      <c r="K1815"/>
      <c r="L1815" s="104"/>
    </row>
    <row r="1816" spans="1:12" x14ac:dyDescent="0.25">
      <c r="A1816" s="115">
        <v>1815</v>
      </c>
      <c r="B1816" s="167">
        <v>45679</v>
      </c>
      <c r="C1816" s="117">
        <v>2025</v>
      </c>
      <c r="D1816" s="119" t="s">
        <v>35</v>
      </c>
      <c r="E1816" s="119" t="s">
        <v>211</v>
      </c>
      <c r="F1816" s="120">
        <v>6</v>
      </c>
      <c r="G1816" s="120" t="s">
        <v>759</v>
      </c>
      <c r="H1816" s="169">
        <v>129000</v>
      </c>
      <c r="J1816"/>
      <c r="K1816"/>
      <c r="L1816" s="104"/>
    </row>
    <row r="1817" spans="1:12" x14ac:dyDescent="0.25">
      <c r="A1817" s="115">
        <v>1816</v>
      </c>
      <c r="B1817" s="167">
        <v>45679</v>
      </c>
      <c r="C1817" s="117">
        <v>2025</v>
      </c>
      <c r="D1817" s="119" t="s">
        <v>35</v>
      </c>
      <c r="E1817" s="119" t="s">
        <v>211</v>
      </c>
      <c r="F1817" s="120">
        <v>6</v>
      </c>
      <c r="G1817" s="120" t="s">
        <v>759</v>
      </c>
      <c r="H1817" s="169">
        <v>120000</v>
      </c>
      <c r="J1817"/>
      <c r="K1817"/>
      <c r="L1817" s="104"/>
    </row>
    <row r="1818" spans="1:12" x14ac:dyDescent="0.25">
      <c r="A1818" s="115">
        <v>1817</v>
      </c>
      <c r="B1818" s="167">
        <v>45679</v>
      </c>
      <c r="C1818" s="117">
        <v>2025</v>
      </c>
      <c r="D1818" s="119" t="s">
        <v>35</v>
      </c>
      <c r="E1818" s="119" t="s">
        <v>1330</v>
      </c>
      <c r="F1818" s="120">
        <v>2</v>
      </c>
      <c r="G1818" s="120" t="s">
        <v>759</v>
      </c>
      <c r="H1818" s="169">
        <v>15000</v>
      </c>
      <c r="J1818"/>
      <c r="K1818"/>
      <c r="L1818" s="104"/>
    </row>
    <row r="1819" spans="1:12" x14ac:dyDescent="0.25">
      <c r="A1819" s="115">
        <v>1818</v>
      </c>
      <c r="B1819" s="167">
        <v>45679</v>
      </c>
      <c r="C1819" s="117">
        <v>2025</v>
      </c>
      <c r="D1819" s="119" t="s">
        <v>35</v>
      </c>
      <c r="E1819" s="119" t="s">
        <v>1331</v>
      </c>
      <c r="F1819" s="120">
        <v>2</v>
      </c>
      <c r="G1819" s="120" t="s">
        <v>759</v>
      </c>
      <c r="H1819" s="169">
        <v>58000</v>
      </c>
      <c r="J1819"/>
      <c r="K1819"/>
      <c r="L1819" s="104"/>
    </row>
    <row r="1820" spans="1:12" x14ac:dyDescent="0.25">
      <c r="A1820" s="115">
        <v>1819</v>
      </c>
      <c r="B1820" s="167">
        <v>45680</v>
      </c>
      <c r="C1820" s="117">
        <v>2025</v>
      </c>
      <c r="D1820" s="119" t="s">
        <v>259</v>
      </c>
      <c r="E1820" s="119" t="s">
        <v>1332</v>
      </c>
      <c r="F1820" s="120">
        <v>1</v>
      </c>
      <c r="G1820" s="120" t="s">
        <v>759</v>
      </c>
      <c r="H1820" s="169">
        <v>4591000</v>
      </c>
      <c r="J1820"/>
      <c r="K1820"/>
      <c r="L1820" s="104"/>
    </row>
    <row r="1821" spans="1:12" x14ac:dyDescent="0.25">
      <c r="A1821" s="115">
        <v>1820</v>
      </c>
      <c r="B1821" s="167">
        <v>45680</v>
      </c>
      <c r="C1821" s="117">
        <v>2025</v>
      </c>
      <c r="D1821" s="119" t="s">
        <v>851</v>
      </c>
      <c r="E1821" s="119" t="s">
        <v>1057</v>
      </c>
      <c r="F1821" s="120">
        <v>1</v>
      </c>
      <c r="G1821" s="120" t="s">
        <v>759</v>
      </c>
      <c r="H1821" s="169">
        <v>18000</v>
      </c>
      <c r="J1821"/>
      <c r="K1821"/>
      <c r="L1821" s="104"/>
    </row>
    <row r="1822" spans="1:12" x14ac:dyDescent="0.25">
      <c r="A1822" s="115">
        <v>1821</v>
      </c>
      <c r="B1822" s="167">
        <v>45681</v>
      </c>
      <c r="C1822" s="117">
        <v>2025</v>
      </c>
      <c r="D1822" s="119" t="s">
        <v>259</v>
      </c>
      <c r="E1822" s="119" t="s">
        <v>1333</v>
      </c>
      <c r="F1822" s="120">
        <v>1</v>
      </c>
      <c r="G1822" s="120" t="s">
        <v>759</v>
      </c>
      <c r="H1822" s="169">
        <v>982000</v>
      </c>
      <c r="J1822"/>
      <c r="K1822"/>
      <c r="L1822" s="104"/>
    </row>
    <row r="1823" spans="1:12" x14ac:dyDescent="0.25">
      <c r="A1823" s="115">
        <v>1822</v>
      </c>
      <c r="B1823" s="167">
        <v>45681</v>
      </c>
      <c r="C1823" s="117">
        <v>2025</v>
      </c>
      <c r="D1823" s="119" t="s">
        <v>259</v>
      </c>
      <c r="E1823" s="119" t="s">
        <v>1334</v>
      </c>
      <c r="F1823" s="120">
        <v>1</v>
      </c>
      <c r="G1823" s="120" t="s">
        <v>759</v>
      </c>
      <c r="H1823" s="169">
        <v>436107</v>
      </c>
      <c r="J1823"/>
      <c r="K1823"/>
      <c r="L1823" s="104"/>
    </row>
    <row r="1824" spans="1:12" x14ac:dyDescent="0.25">
      <c r="A1824" s="115">
        <v>1823</v>
      </c>
      <c r="B1824" s="167">
        <v>45681</v>
      </c>
      <c r="C1824" s="117">
        <v>2025</v>
      </c>
      <c r="D1824" s="119" t="s">
        <v>259</v>
      </c>
      <c r="E1824" s="119" t="s">
        <v>1335</v>
      </c>
      <c r="F1824" s="120">
        <v>1</v>
      </c>
      <c r="G1824" s="120" t="s">
        <v>759</v>
      </c>
      <c r="H1824" s="169">
        <v>887000</v>
      </c>
      <c r="J1824"/>
      <c r="K1824"/>
      <c r="L1824" s="104"/>
    </row>
    <row r="1825" spans="1:12" x14ac:dyDescent="0.25">
      <c r="A1825" s="115">
        <v>1824</v>
      </c>
      <c r="B1825" s="167">
        <v>45681</v>
      </c>
      <c r="C1825" s="117">
        <v>2025</v>
      </c>
      <c r="D1825" s="119" t="s">
        <v>851</v>
      </c>
      <c r="E1825" s="119" t="s">
        <v>382</v>
      </c>
      <c r="F1825" s="120">
        <v>1</v>
      </c>
      <c r="G1825" s="120" t="s">
        <v>759</v>
      </c>
      <c r="H1825" s="169">
        <v>23700</v>
      </c>
      <c r="J1825"/>
      <c r="K1825"/>
      <c r="L1825" s="104"/>
    </row>
    <row r="1826" spans="1:12" x14ac:dyDescent="0.25">
      <c r="A1826" s="115">
        <v>1825</v>
      </c>
      <c r="B1826" s="167">
        <v>45681</v>
      </c>
      <c r="C1826" s="117">
        <v>2025</v>
      </c>
      <c r="D1826" s="119" t="s">
        <v>259</v>
      </c>
      <c r="E1826" s="119" t="s">
        <v>335</v>
      </c>
      <c r="F1826" s="120">
        <v>1</v>
      </c>
      <c r="G1826" s="120" t="s">
        <v>759</v>
      </c>
      <c r="H1826" s="169">
        <v>132000</v>
      </c>
      <c r="J1826"/>
      <c r="K1826"/>
      <c r="L1826" s="104"/>
    </row>
    <row r="1827" spans="1:12" x14ac:dyDescent="0.25">
      <c r="A1827" s="115">
        <v>1826</v>
      </c>
      <c r="B1827" s="167">
        <v>45681</v>
      </c>
      <c r="C1827" s="117">
        <v>2025</v>
      </c>
      <c r="D1827" s="119" t="s">
        <v>259</v>
      </c>
      <c r="E1827" s="119" t="s">
        <v>1336</v>
      </c>
      <c r="F1827" s="120">
        <v>1</v>
      </c>
      <c r="G1827" s="120" t="s">
        <v>759</v>
      </c>
      <c r="H1827" s="169">
        <v>172000</v>
      </c>
      <c r="J1827"/>
      <c r="K1827"/>
      <c r="L1827" s="104"/>
    </row>
    <row r="1828" spans="1:12" x14ac:dyDescent="0.25">
      <c r="A1828" s="115">
        <v>1827</v>
      </c>
      <c r="B1828" s="167">
        <v>45681</v>
      </c>
      <c r="C1828" s="117">
        <v>2025</v>
      </c>
      <c r="D1828" s="119" t="s">
        <v>259</v>
      </c>
      <c r="E1828" s="119" t="s">
        <v>1337</v>
      </c>
      <c r="F1828" s="120">
        <v>1</v>
      </c>
      <c r="G1828" s="120" t="s">
        <v>759</v>
      </c>
      <c r="H1828" s="169">
        <v>251000</v>
      </c>
      <c r="J1828"/>
      <c r="K1828"/>
      <c r="L1828" s="104"/>
    </row>
    <row r="1829" spans="1:12" x14ac:dyDescent="0.25">
      <c r="A1829" s="115">
        <v>1828</v>
      </c>
      <c r="B1829" s="167">
        <v>45681</v>
      </c>
      <c r="C1829" s="117">
        <v>2025</v>
      </c>
      <c r="D1829" s="119" t="s">
        <v>259</v>
      </c>
      <c r="E1829" s="119" t="s">
        <v>1338</v>
      </c>
      <c r="F1829" s="120">
        <v>1</v>
      </c>
      <c r="G1829" s="120" t="s">
        <v>759</v>
      </c>
      <c r="H1829" s="169">
        <v>280000</v>
      </c>
      <c r="J1829"/>
      <c r="K1829"/>
      <c r="L1829" s="104"/>
    </row>
    <row r="1830" spans="1:12" x14ac:dyDescent="0.25">
      <c r="A1830" s="115">
        <v>1829</v>
      </c>
      <c r="B1830" s="167">
        <v>45682</v>
      </c>
      <c r="C1830" s="117">
        <v>2025</v>
      </c>
      <c r="D1830" s="119" t="s">
        <v>35</v>
      </c>
      <c r="E1830" s="119" t="s">
        <v>761</v>
      </c>
      <c r="F1830" s="120">
        <v>2</v>
      </c>
      <c r="G1830" s="120" t="s">
        <v>759</v>
      </c>
      <c r="H1830" s="169">
        <v>3100000</v>
      </c>
      <c r="J1830"/>
      <c r="K1830"/>
      <c r="L1830" s="104"/>
    </row>
    <row r="1831" spans="1:12" x14ac:dyDescent="0.25">
      <c r="A1831" s="115">
        <v>1830</v>
      </c>
      <c r="B1831" s="167">
        <v>45682</v>
      </c>
      <c r="C1831" s="117">
        <v>2025</v>
      </c>
      <c r="D1831" s="119" t="s">
        <v>259</v>
      </c>
      <c r="E1831" s="119" t="s">
        <v>331</v>
      </c>
      <c r="F1831" s="120">
        <v>3</v>
      </c>
      <c r="G1831" s="120" t="s">
        <v>759</v>
      </c>
      <c r="H1831" s="169">
        <v>510000</v>
      </c>
      <c r="J1831"/>
      <c r="K1831"/>
      <c r="L1831" s="104"/>
    </row>
    <row r="1832" spans="1:12" x14ac:dyDescent="0.25">
      <c r="A1832" s="115">
        <v>1831</v>
      </c>
      <c r="B1832" s="167">
        <v>45682</v>
      </c>
      <c r="C1832" s="117">
        <v>2025</v>
      </c>
      <c r="D1832" s="119" t="s">
        <v>35</v>
      </c>
      <c r="E1832" s="119" t="s">
        <v>739</v>
      </c>
      <c r="F1832" s="120">
        <v>75</v>
      </c>
      <c r="G1832" s="120" t="s">
        <v>759</v>
      </c>
      <c r="H1832" s="169">
        <v>562500</v>
      </c>
      <c r="J1832"/>
      <c r="K1832"/>
      <c r="L1832" s="104"/>
    </row>
    <row r="1833" spans="1:12" x14ac:dyDescent="0.25">
      <c r="A1833" s="115">
        <v>1832</v>
      </c>
      <c r="B1833" s="167">
        <v>45682</v>
      </c>
      <c r="C1833" s="117">
        <v>2025</v>
      </c>
      <c r="D1833" s="119" t="s">
        <v>833</v>
      </c>
      <c r="E1833" s="119" t="s">
        <v>87</v>
      </c>
      <c r="F1833" s="120">
        <v>12</v>
      </c>
      <c r="G1833" s="120" t="s">
        <v>759</v>
      </c>
      <c r="H1833" s="169">
        <v>18600</v>
      </c>
      <c r="J1833"/>
      <c r="K1833"/>
      <c r="L1833" s="104"/>
    </row>
    <row r="1834" spans="1:12" x14ac:dyDescent="0.25">
      <c r="A1834" s="115">
        <v>1833</v>
      </c>
      <c r="B1834" s="167">
        <v>45682</v>
      </c>
      <c r="C1834" s="117">
        <v>2025</v>
      </c>
      <c r="D1834" s="119" t="s">
        <v>259</v>
      </c>
      <c r="E1834" s="119" t="s">
        <v>654</v>
      </c>
      <c r="F1834" s="120">
        <v>5</v>
      </c>
      <c r="G1834" s="120" t="s">
        <v>759</v>
      </c>
      <c r="H1834" s="169">
        <v>40000</v>
      </c>
      <c r="J1834"/>
      <c r="K1834"/>
      <c r="L1834" s="104"/>
    </row>
    <row r="1835" spans="1:12" x14ac:dyDescent="0.25">
      <c r="A1835" s="115">
        <v>1834</v>
      </c>
      <c r="B1835" s="167">
        <v>45682</v>
      </c>
      <c r="C1835" s="117">
        <v>2025</v>
      </c>
      <c r="D1835" s="119" t="s">
        <v>833</v>
      </c>
      <c r="E1835" s="119" t="s">
        <v>398</v>
      </c>
      <c r="F1835" s="120">
        <v>12</v>
      </c>
      <c r="G1835" s="120" t="s">
        <v>759</v>
      </c>
      <c r="H1835" s="169">
        <v>10008</v>
      </c>
      <c r="J1835"/>
      <c r="K1835"/>
      <c r="L1835" s="104"/>
    </row>
    <row r="1836" spans="1:12" x14ac:dyDescent="0.25">
      <c r="A1836" s="115">
        <v>1835</v>
      </c>
      <c r="B1836" s="167">
        <v>45682</v>
      </c>
      <c r="C1836" s="117">
        <v>2025</v>
      </c>
      <c r="D1836" s="119" t="s">
        <v>833</v>
      </c>
      <c r="E1836" s="119" t="s">
        <v>478</v>
      </c>
      <c r="F1836" s="120">
        <v>20</v>
      </c>
      <c r="G1836" s="120" t="s">
        <v>759</v>
      </c>
      <c r="H1836" s="169">
        <v>750000</v>
      </c>
      <c r="J1836"/>
      <c r="K1836"/>
      <c r="L1836" s="104"/>
    </row>
    <row r="1837" spans="1:12" x14ac:dyDescent="0.25">
      <c r="A1837" s="115">
        <v>1836</v>
      </c>
      <c r="B1837" s="167">
        <v>45682</v>
      </c>
      <c r="C1837" s="117">
        <v>2025</v>
      </c>
      <c r="D1837" s="119" t="s">
        <v>833</v>
      </c>
      <c r="E1837" s="119" t="s">
        <v>478</v>
      </c>
      <c r="F1837" s="120">
        <v>1</v>
      </c>
      <c r="G1837" s="120" t="s">
        <v>759</v>
      </c>
      <c r="H1837" s="169">
        <v>240000</v>
      </c>
      <c r="J1837"/>
      <c r="K1837"/>
      <c r="L1837" s="104"/>
    </row>
    <row r="1838" spans="1:12" x14ac:dyDescent="0.25">
      <c r="A1838" s="115">
        <v>1837</v>
      </c>
      <c r="B1838" s="167">
        <v>45682</v>
      </c>
      <c r="C1838" s="117">
        <v>2025</v>
      </c>
      <c r="D1838" s="119" t="s">
        <v>833</v>
      </c>
      <c r="E1838" s="119" t="s">
        <v>478</v>
      </c>
      <c r="F1838" s="120">
        <v>25</v>
      </c>
      <c r="G1838" s="120" t="s">
        <v>759</v>
      </c>
      <c r="H1838" s="169">
        <v>1081250</v>
      </c>
      <c r="J1838"/>
      <c r="K1838"/>
      <c r="L1838" s="104"/>
    </row>
    <row r="1839" spans="1:12" x14ac:dyDescent="0.25">
      <c r="A1839" s="115">
        <v>1838</v>
      </c>
      <c r="B1839" s="167">
        <v>45682</v>
      </c>
      <c r="C1839" s="117">
        <v>2025</v>
      </c>
      <c r="D1839" s="119" t="s">
        <v>259</v>
      </c>
      <c r="E1839" s="119" t="s">
        <v>1248</v>
      </c>
      <c r="F1839" s="120">
        <v>1</v>
      </c>
      <c r="G1839" s="120" t="s">
        <v>759</v>
      </c>
      <c r="H1839" s="169">
        <v>110000</v>
      </c>
      <c r="J1839"/>
      <c r="K1839"/>
      <c r="L1839" s="104"/>
    </row>
    <row r="1840" spans="1:12" x14ac:dyDescent="0.25">
      <c r="A1840" s="115">
        <v>1839</v>
      </c>
      <c r="B1840" s="167">
        <v>45682</v>
      </c>
      <c r="C1840" s="117">
        <v>2025</v>
      </c>
      <c r="D1840" s="119" t="s">
        <v>833</v>
      </c>
      <c r="E1840" s="119" t="s">
        <v>299</v>
      </c>
      <c r="F1840" s="120">
        <v>144</v>
      </c>
      <c r="G1840" s="120" t="s">
        <v>759</v>
      </c>
      <c r="H1840" s="169">
        <v>777600</v>
      </c>
      <c r="J1840"/>
      <c r="K1840"/>
      <c r="L1840" s="104"/>
    </row>
    <row r="1841" spans="1:12" x14ac:dyDescent="0.25">
      <c r="A1841" s="115">
        <v>1840</v>
      </c>
      <c r="B1841" s="167">
        <v>45682</v>
      </c>
      <c r="C1841" s="117">
        <v>2025</v>
      </c>
      <c r="D1841" s="119" t="s">
        <v>833</v>
      </c>
      <c r="E1841" s="119" t="s">
        <v>299</v>
      </c>
      <c r="F1841" s="120">
        <v>144</v>
      </c>
      <c r="G1841" s="120" t="s">
        <v>759</v>
      </c>
      <c r="H1841" s="169">
        <v>777600</v>
      </c>
      <c r="J1841"/>
      <c r="K1841"/>
      <c r="L1841" s="104"/>
    </row>
    <row r="1842" spans="1:12" x14ac:dyDescent="0.25">
      <c r="A1842" s="115">
        <v>1841</v>
      </c>
      <c r="B1842" s="167">
        <v>45682</v>
      </c>
      <c r="C1842" s="117">
        <v>2025</v>
      </c>
      <c r="D1842" s="119" t="s">
        <v>259</v>
      </c>
      <c r="E1842" s="119" t="s">
        <v>299</v>
      </c>
      <c r="F1842" s="120">
        <v>5</v>
      </c>
      <c r="G1842" s="120" t="s">
        <v>759</v>
      </c>
      <c r="H1842" s="169">
        <v>82500</v>
      </c>
      <c r="J1842"/>
      <c r="K1842"/>
      <c r="L1842" s="104"/>
    </row>
    <row r="1843" spans="1:12" x14ac:dyDescent="0.25">
      <c r="A1843" s="115">
        <v>1842</v>
      </c>
      <c r="B1843" s="167">
        <v>45682</v>
      </c>
      <c r="C1843" s="117">
        <v>2025</v>
      </c>
      <c r="D1843" s="119" t="s">
        <v>259</v>
      </c>
      <c r="E1843" s="119" t="s">
        <v>1339</v>
      </c>
      <c r="F1843" s="120">
        <v>1</v>
      </c>
      <c r="G1843" s="120" t="s">
        <v>759</v>
      </c>
      <c r="H1843" s="169">
        <v>636600</v>
      </c>
      <c r="J1843"/>
      <c r="K1843"/>
      <c r="L1843" s="104"/>
    </row>
    <row r="1844" spans="1:12" x14ac:dyDescent="0.25">
      <c r="A1844" s="115">
        <v>1843</v>
      </c>
      <c r="B1844" s="167">
        <v>45682</v>
      </c>
      <c r="C1844" s="117">
        <v>2025</v>
      </c>
      <c r="D1844" s="119" t="s">
        <v>833</v>
      </c>
      <c r="E1844" s="119" t="s">
        <v>523</v>
      </c>
      <c r="F1844" s="120">
        <v>3</v>
      </c>
      <c r="G1844" s="120" t="s">
        <v>759</v>
      </c>
      <c r="H1844" s="169">
        <v>45000</v>
      </c>
      <c r="J1844"/>
      <c r="K1844"/>
      <c r="L1844" s="104"/>
    </row>
    <row r="1845" spans="1:12" x14ac:dyDescent="0.25">
      <c r="A1845" s="115">
        <v>1844</v>
      </c>
      <c r="B1845" s="167">
        <v>45682</v>
      </c>
      <c r="C1845" s="117">
        <v>2025</v>
      </c>
      <c r="D1845" s="119" t="s">
        <v>833</v>
      </c>
      <c r="E1845" s="119" t="s">
        <v>523</v>
      </c>
      <c r="F1845" s="120">
        <v>2</v>
      </c>
      <c r="G1845" s="120" t="s">
        <v>759</v>
      </c>
      <c r="H1845" s="169">
        <v>30000</v>
      </c>
      <c r="J1845"/>
      <c r="K1845"/>
      <c r="L1845" s="104"/>
    </row>
    <row r="1846" spans="1:12" x14ac:dyDescent="0.25">
      <c r="A1846" s="115">
        <v>1845</v>
      </c>
      <c r="B1846" s="167">
        <v>45682</v>
      </c>
      <c r="C1846" s="117">
        <v>2025</v>
      </c>
      <c r="D1846" s="119" t="s">
        <v>833</v>
      </c>
      <c r="E1846" s="119" t="s">
        <v>523</v>
      </c>
      <c r="F1846" s="120">
        <v>2</v>
      </c>
      <c r="G1846" s="120" t="s">
        <v>759</v>
      </c>
      <c r="H1846" s="169">
        <v>30000</v>
      </c>
      <c r="J1846"/>
      <c r="K1846"/>
      <c r="L1846" s="104"/>
    </row>
    <row r="1847" spans="1:12" x14ac:dyDescent="0.25">
      <c r="A1847" s="115">
        <v>1846</v>
      </c>
      <c r="B1847" s="167">
        <v>45682</v>
      </c>
      <c r="C1847" s="117">
        <v>2025</v>
      </c>
      <c r="D1847" s="119" t="s">
        <v>833</v>
      </c>
      <c r="E1847" s="119" t="s">
        <v>1209</v>
      </c>
      <c r="F1847" s="120">
        <v>5</v>
      </c>
      <c r="G1847" s="120" t="s">
        <v>759</v>
      </c>
      <c r="H1847" s="169">
        <v>48000</v>
      </c>
      <c r="J1847"/>
      <c r="K1847"/>
      <c r="L1847" s="104"/>
    </row>
    <row r="1848" spans="1:12" x14ac:dyDescent="0.25">
      <c r="A1848" s="115">
        <v>1847</v>
      </c>
      <c r="B1848" s="167">
        <v>45685</v>
      </c>
      <c r="C1848" s="117">
        <v>2025</v>
      </c>
      <c r="D1848" s="119" t="s">
        <v>35</v>
      </c>
      <c r="E1848" s="119" t="s">
        <v>252</v>
      </c>
      <c r="F1848" s="120">
        <v>2</v>
      </c>
      <c r="G1848" s="120" t="s">
        <v>759</v>
      </c>
      <c r="H1848" s="169">
        <v>2140000</v>
      </c>
      <c r="J1848"/>
      <c r="K1848"/>
      <c r="L1848" s="104"/>
    </row>
    <row r="1849" spans="1:12" x14ac:dyDescent="0.25">
      <c r="A1849" s="115">
        <v>1848</v>
      </c>
      <c r="B1849" s="167">
        <v>45687</v>
      </c>
      <c r="C1849" s="117">
        <v>2025</v>
      </c>
      <c r="D1849" s="119" t="s">
        <v>35</v>
      </c>
      <c r="E1849" s="119" t="s">
        <v>1340</v>
      </c>
      <c r="F1849" s="120">
        <v>1</v>
      </c>
      <c r="G1849" s="120" t="s">
        <v>759</v>
      </c>
      <c r="H1849" s="169">
        <v>921000</v>
      </c>
      <c r="J1849"/>
      <c r="K1849"/>
      <c r="L1849" s="104"/>
    </row>
    <row r="1850" spans="1:12" x14ac:dyDescent="0.25">
      <c r="A1850" s="115">
        <v>1849</v>
      </c>
      <c r="B1850" s="167">
        <v>45687</v>
      </c>
      <c r="C1850" s="117">
        <v>2025</v>
      </c>
      <c r="D1850" s="119" t="s">
        <v>35</v>
      </c>
      <c r="E1850" s="119" t="s">
        <v>1341</v>
      </c>
      <c r="F1850" s="120">
        <v>1</v>
      </c>
      <c r="G1850" s="120" t="s">
        <v>759</v>
      </c>
      <c r="H1850" s="169">
        <v>40100</v>
      </c>
      <c r="J1850"/>
      <c r="K1850"/>
      <c r="L1850" s="104"/>
    </row>
    <row r="1851" spans="1:12" x14ac:dyDescent="0.25">
      <c r="A1851" s="115">
        <v>1850</v>
      </c>
      <c r="B1851" s="167">
        <v>45687</v>
      </c>
      <c r="C1851" s="117">
        <v>2025</v>
      </c>
      <c r="D1851" s="119" t="s">
        <v>35</v>
      </c>
      <c r="E1851" s="119" t="s">
        <v>1342</v>
      </c>
      <c r="F1851" s="120">
        <v>4</v>
      </c>
      <c r="G1851" s="120" t="s">
        <v>759</v>
      </c>
      <c r="H1851" s="169">
        <v>148680</v>
      </c>
      <c r="J1851"/>
      <c r="K1851"/>
      <c r="L1851" s="104"/>
    </row>
    <row r="1852" spans="1:12" x14ac:dyDescent="0.25">
      <c r="A1852" s="115">
        <v>1851</v>
      </c>
      <c r="B1852" s="167">
        <v>45687</v>
      </c>
      <c r="C1852" s="117">
        <v>2025</v>
      </c>
      <c r="D1852" s="119" t="s">
        <v>35</v>
      </c>
      <c r="E1852" s="119" t="s">
        <v>1343</v>
      </c>
      <c r="F1852" s="120">
        <v>2</v>
      </c>
      <c r="G1852" s="120" t="s">
        <v>759</v>
      </c>
      <c r="H1852" s="169">
        <v>68000</v>
      </c>
      <c r="J1852"/>
      <c r="K1852"/>
      <c r="L1852" s="104"/>
    </row>
    <row r="1853" spans="1:12" x14ac:dyDescent="0.25">
      <c r="A1853" s="115">
        <v>1852</v>
      </c>
      <c r="B1853" s="167">
        <v>45687</v>
      </c>
      <c r="C1853" s="117">
        <v>2025</v>
      </c>
      <c r="D1853" s="119" t="s">
        <v>1118</v>
      </c>
      <c r="E1853" s="119" t="s">
        <v>1344</v>
      </c>
      <c r="F1853" s="120">
        <v>1</v>
      </c>
      <c r="G1853" s="120" t="s">
        <v>759</v>
      </c>
      <c r="H1853" s="169">
        <v>27000</v>
      </c>
      <c r="J1853"/>
      <c r="K1853"/>
      <c r="L1853" s="104"/>
    </row>
    <row r="1854" spans="1:12" x14ac:dyDescent="0.25">
      <c r="A1854" s="115">
        <v>1853</v>
      </c>
      <c r="B1854" s="167">
        <v>45688</v>
      </c>
      <c r="C1854" s="117">
        <v>2025</v>
      </c>
      <c r="D1854" s="119" t="s">
        <v>35</v>
      </c>
      <c r="E1854" s="119" t="s">
        <v>476</v>
      </c>
      <c r="F1854" s="120">
        <v>4</v>
      </c>
      <c r="G1854" s="120" t="s">
        <v>759</v>
      </c>
      <c r="H1854" s="169">
        <v>31176</v>
      </c>
      <c r="J1854"/>
      <c r="K1854"/>
      <c r="L1854" s="104"/>
    </row>
    <row r="1855" spans="1:12" x14ac:dyDescent="0.25">
      <c r="A1855" s="115">
        <v>1854</v>
      </c>
      <c r="B1855" s="167">
        <v>45689</v>
      </c>
      <c r="C1855" s="117">
        <v>2025</v>
      </c>
      <c r="D1855" s="119" t="s">
        <v>833</v>
      </c>
      <c r="E1855" s="119" t="s">
        <v>544</v>
      </c>
      <c r="F1855" s="120">
        <v>10</v>
      </c>
      <c r="G1855" s="120" t="s">
        <v>759</v>
      </c>
      <c r="H1855" s="169">
        <v>208600</v>
      </c>
      <c r="J1855"/>
      <c r="K1855"/>
      <c r="L1855" s="104"/>
    </row>
    <row r="1856" spans="1:12" x14ac:dyDescent="0.25">
      <c r="A1856" s="115">
        <v>1855</v>
      </c>
      <c r="B1856" s="167">
        <v>45692</v>
      </c>
      <c r="C1856" s="117">
        <v>2025</v>
      </c>
      <c r="D1856" s="119" t="s">
        <v>35</v>
      </c>
      <c r="E1856" s="119" t="s">
        <v>1293</v>
      </c>
      <c r="F1856" s="120">
        <v>10</v>
      </c>
      <c r="G1856" s="120" t="s">
        <v>759</v>
      </c>
      <c r="H1856" s="169">
        <v>268050</v>
      </c>
      <c r="J1856"/>
      <c r="K1856"/>
      <c r="L1856" s="104"/>
    </row>
    <row r="1857" spans="1:12" x14ac:dyDescent="0.25">
      <c r="A1857" s="115">
        <v>1856</v>
      </c>
      <c r="B1857" s="167">
        <v>45692</v>
      </c>
      <c r="C1857" s="117">
        <v>2025</v>
      </c>
      <c r="D1857" s="119" t="s">
        <v>35</v>
      </c>
      <c r="E1857" s="119" t="s">
        <v>1312</v>
      </c>
      <c r="F1857" s="120">
        <v>10</v>
      </c>
      <c r="G1857" s="120" t="s">
        <v>759</v>
      </c>
      <c r="H1857" s="169">
        <v>188050</v>
      </c>
      <c r="J1857"/>
      <c r="K1857"/>
      <c r="L1857" s="104"/>
    </row>
    <row r="1858" spans="1:12" x14ac:dyDescent="0.25">
      <c r="A1858" s="115">
        <v>1857</v>
      </c>
      <c r="B1858" s="167">
        <v>45694</v>
      </c>
      <c r="C1858" s="117">
        <v>2025</v>
      </c>
      <c r="D1858" s="119" t="s">
        <v>35</v>
      </c>
      <c r="E1858" s="119" t="s">
        <v>230</v>
      </c>
      <c r="F1858" s="120">
        <v>1</v>
      </c>
      <c r="G1858" s="120" t="s">
        <v>759</v>
      </c>
      <c r="H1858" s="169">
        <v>70000</v>
      </c>
      <c r="J1858"/>
      <c r="K1858"/>
      <c r="L1858" s="104"/>
    </row>
    <row r="1859" spans="1:12" x14ac:dyDescent="0.25">
      <c r="A1859" s="115">
        <v>1858</v>
      </c>
      <c r="B1859" s="167">
        <v>45694</v>
      </c>
      <c r="C1859" s="117">
        <v>2025</v>
      </c>
      <c r="D1859" s="119" t="s">
        <v>35</v>
      </c>
      <c r="E1859" s="119" t="s">
        <v>1345</v>
      </c>
      <c r="F1859" s="120">
        <v>2</v>
      </c>
      <c r="G1859" s="120" t="s">
        <v>759</v>
      </c>
      <c r="H1859" s="169">
        <v>138000</v>
      </c>
      <c r="J1859"/>
      <c r="K1859"/>
      <c r="L1859" s="104"/>
    </row>
    <row r="1860" spans="1:12" x14ac:dyDescent="0.25">
      <c r="A1860" s="115">
        <v>1859</v>
      </c>
      <c r="B1860" s="167">
        <v>45698</v>
      </c>
      <c r="C1860" s="117">
        <v>2025</v>
      </c>
      <c r="D1860" s="119" t="s">
        <v>35</v>
      </c>
      <c r="E1860" s="119" t="s">
        <v>761</v>
      </c>
      <c r="F1860" s="120">
        <v>2</v>
      </c>
      <c r="G1860" s="120" t="s">
        <v>759</v>
      </c>
      <c r="H1860" s="169">
        <v>3150000</v>
      </c>
      <c r="J1860"/>
      <c r="K1860"/>
      <c r="L1860" s="104"/>
    </row>
    <row r="1861" spans="1:12" x14ac:dyDescent="0.25">
      <c r="A1861" s="115">
        <v>1860</v>
      </c>
      <c r="B1861" s="167">
        <v>45698</v>
      </c>
      <c r="C1861" s="117">
        <v>2025</v>
      </c>
      <c r="D1861" s="119" t="s">
        <v>35</v>
      </c>
      <c r="E1861" s="119" t="s">
        <v>761</v>
      </c>
      <c r="F1861" s="120">
        <v>4</v>
      </c>
      <c r="G1861" s="120" t="s">
        <v>759</v>
      </c>
      <c r="H1861" s="169">
        <v>9000000</v>
      </c>
      <c r="J1861"/>
      <c r="K1861"/>
      <c r="L1861" s="104"/>
    </row>
    <row r="1862" spans="1:12" x14ac:dyDescent="0.25">
      <c r="A1862" s="115">
        <v>1861</v>
      </c>
      <c r="B1862" s="167">
        <v>45698</v>
      </c>
      <c r="C1862" s="117">
        <v>2025</v>
      </c>
      <c r="D1862" s="119" t="s">
        <v>851</v>
      </c>
      <c r="E1862" s="119" t="s">
        <v>1346</v>
      </c>
      <c r="F1862" s="120">
        <v>1</v>
      </c>
      <c r="G1862" s="120" t="s">
        <v>759</v>
      </c>
      <c r="H1862" s="169">
        <v>6500</v>
      </c>
      <c r="J1862"/>
      <c r="K1862"/>
      <c r="L1862" s="104"/>
    </row>
    <row r="1863" spans="1:12" x14ac:dyDescent="0.25">
      <c r="A1863" s="115">
        <v>1862</v>
      </c>
      <c r="B1863" s="167">
        <v>45698</v>
      </c>
      <c r="C1863" s="117">
        <v>2025</v>
      </c>
      <c r="D1863" s="119" t="s">
        <v>851</v>
      </c>
      <c r="E1863" s="119" t="s">
        <v>1347</v>
      </c>
      <c r="F1863" s="120">
        <v>1</v>
      </c>
      <c r="G1863" s="120" t="s">
        <v>759</v>
      </c>
      <c r="H1863" s="169">
        <v>35000</v>
      </c>
      <c r="J1863"/>
      <c r="K1863"/>
      <c r="L1863" s="104"/>
    </row>
    <row r="1864" spans="1:12" x14ac:dyDescent="0.25">
      <c r="A1864" s="115">
        <v>1863</v>
      </c>
      <c r="B1864" s="167">
        <v>45702</v>
      </c>
      <c r="C1864" s="117">
        <v>2025</v>
      </c>
      <c r="D1864" s="119" t="s">
        <v>259</v>
      </c>
      <c r="E1864" s="119" t="s">
        <v>758</v>
      </c>
      <c r="F1864" s="120">
        <v>1</v>
      </c>
      <c r="G1864" s="120" t="s">
        <v>759</v>
      </c>
      <c r="H1864" s="169">
        <v>17000</v>
      </c>
      <c r="J1864"/>
      <c r="K1864"/>
      <c r="L1864" s="104"/>
    </row>
    <row r="1865" spans="1:12" x14ac:dyDescent="0.25">
      <c r="A1865" s="115">
        <v>1864</v>
      </c>
      <c r="B1865" s="167">
        <v>45702</v>
      </c>
      <c r="C1865" s="117">
        <v>2025</v>
      </c>
      <c r="D1865" s="119" t="s">
        <v>35</v>
      </c>
      <c r="E1865" s="119" t="s">
        <v>211</v>
      </c>
      <c r="F1865" s="120">
        <v>6</v>
      </c>
      <c r="G1865" s="120" t="s">
        <v>759</v>
      </c>
      <c r="H1865" s="169">
        <v>132000</v>
      </c>
      <c r="J1865"/>
      <c r="K1865"/>
      <c r="L1865" s="104"/>
    </row>
    <row r="1866" spans="1:12" x14ac:dyDescent="0.25">
      <c r="A1866" s="115">
        <v>1865</v>
      </c>
      <c r="B1866" s="167">
        <v>45702</v>
      </c>
      <c r="C1866" s="117">
        <v>2025</v>
      </c>
      <c r="D1866" s="119" t="s">
        <v>35</v>
      </c>
      <c r="E1866" s="119" t="s">
        <v>211</v>
      </c>
      <c r="F1866" s="120">
        <v>2</v>
      </c>
      <c r="G1866" s="120" t="s">
        <v>759</v>
      </c>
      <c r="H1866" s="169">
        <v>39000</v>
      </c>
      <c r="J1866"/>
      <c r="K1866"/>
      <c r="L1866" s="104"/>
    </row>
    <row r="1867" spans="1:12" x14ac:dyDescent="0.25">
      <c r="A1867" s="115">
        <v>1866</v>
      </c>
      <c r="B1867" s="167">
        <v>45702</v>
      </c>
      <c r="C1867" s="117">
        <v>2025</v>
      </c>
      <c r="D1867" s="119" t="s">
        <v>35</v>
      </c>
      <c r="E1867" s="119" t="s">
        <v>478</v>
      </c>
      <c r="F1867" s="120">
        <v>100</v>
      </c>
      <c r="G1867" s="120" t="s">
        <v>759</v>
      </c>
      <c r="H1867" s="169">
        <v>41500</v>
      </c>
      <c r="J1867"/>
      <c r="K1867"/>
      <c r="L1867" s="104"/>
    </row>
    <row r="1868" spans="1:12" x14ac:dyDescent="0.25">
      <c r="A1868" s="115">
        <v>1867</v>
      </c>
      <c r="B1868" s="167">
        <v>45702</v>
      </c>
      <c r="C1868" s="117">
        <v>2025</v>
      </c>
      <c r="D1868" s="119" t="s">
        <v>833</v>
      </c>
      <c r="E1868" s="119" t="s">
        <v>481</v>
      </c>
      <c r="F1868" s="120">
        <v>5</v>
      </c>
      <c r="G1868" s="120" t="s">
        <v>759</v>
      </c>
      <c r="H1868" s="169">
        <v>27000</v>
      </c>
      <c r="J1868"/>
      <c r="K1868"/>
      <c r="L1868" s="104"/>
    </row>
    <row r="1869" spans="1:12" x14ac:dyDescent="0.25">
      <c r="A1869" s="115">
        <v>1868</v>
      </c>
      <c r="B1869" s="167">
        <v>45702</v>
      </c>
      <c r="C1869" s="117">
        <v>2025</v>
      </c>
      <c r="D1869" s="119" t="s">
        <v>35</v>
      </c>
      <c r="E1869" s="119" t="s">
        <v>1348</v>
      </c>
      <c r="F1869" s="120">
        <v>1</v>
      </c>
      <c r="G1869" s="120" t="s">
        <v>759</v>
      </c>
      <c r="H1869" s="169">
        <v>10631</v>
      </c>
      <c r="J1869"/>
      <c r="K1869"/>
      <c r="L1869" s="104"/>
    </row>
    <row r="1870" spans="1:12" x14ac:dyDescent="0.25">
      <c r="A1870" s="115">
        <v>1869</v>
      </c>
      <c r="B1870" s="167">
        <v>45702</v>
      </c>
      <c r="C1870" s="117">
        <v>2025</v>
      </c>
      <c r="D1870" s="119" t="s">
        <v>35</v>
      </c>
      <c r="E1870" s="119" t="s">
        <v>1302</v>
      </c>
      <c r="F1870" s="120">
        <v>3</v>
      </c>
      <c r="G1870" s="120" t="s">
        <v>759</v>
      </c>
      <c r="H1870" s="169">
        <v>67998</v>
      </c>
      <c r="J1870"/>
      <c r="K1870"/>
      <c r="L1870" s="104"/>
    </row>
    <row r="1871" spans="1:12" x14ac:dyDescent="0.25">
      <c r="A1871" s="115">
        <v>1870</v>
      </c>
      <c r="B1871" s="167">
        <v>45702</v>
      </c>
      <c r="C1871" s="117">
        <v>2025</v>
      </c>
      <c r="D1871" s="119" t="s">
        <v>1118</v>
      </c>
      <c r="E1871" s="119" t="s">
        <v>767</v>
      </c>
      <c r="F1871" s="120">
        <v>12</v>
      </c>
      <c r="G1871" s="120" t="s">
        <v>759</v>
      </c>
      <c r="H1871" s="169">
        <v>762144</v>
      </c>
      <c r="J1871"/>
      <c r="K1871"/>
      <c r="L1871" s="104"/>
    </row>
    <row r="1872" spans="1:12" x14ac:dyDescent="0.25">
      <c r="A1872" s="115">
        <v>1871</v>
      </c>
      <c r="B1872" s="167">
        <v>45707</v>
      </c>
      <c r="C1872" s="117">
        <v>2025</v>
      </c>
      <c r="D1872" s="119" t="s">
        <v>35</v>
      </c>
      <c r="E1872" s="119" t="s">
        <v>761</v>
      </c>
      <c r="F1872" s="120">
        <v>4</v>
      </c>
      <c r="G1872" s="120" t="s">
        <v>759</v>
      </c>
      <c r="H1872" s="169">
        <v>9000000</v>
      </c>
      <c r="J1872"/>
      <c r="K1872"/>
      <c r="L1872" s="104"/>
    </row>
    <row r="1873" spans="1:12" x14ac:dyDescent="0.25">
      <c r="A1873" s="115">
        <v>1872</v>
      </c>
      <c r="B1873" s="167">
        <v>45709</v>
      </c>
      <c r="C1873" s="117">
        <v>2025</v>
      </c>
      <c r="D1873" s="119" t="s">
        <v>35</v>
      </c>
      <c r="E1873" s="119" t="s">
        <v>1349</v>
      </c>
      <c r="F1873" s="120">
        <v>1</v>
      </c>
      <c r="G1873" s="120" t="s">
        <v>759</v>
      </c>
      <c r="H1873" s="169">
        <v>72000</v>
      </c>
      <c r="J1873"/>
      <c r="K1873"/>
      <c r="L1873" s="104"/>
    </row>
    <row r="1874" spans="1:12" x14ac:dyDescent="0.25">
      <c r="A1874" s="115">
        <v>1873</v>
      </c>
      <c r="B1874" s="167">
        <v>45709</v>
      </c>
      <c r="C1874" s="117">
        <v>2025</v>
      </c>
      <c r="D1874" s="119" t="s">
        <v>35</v>
      </c>
      <c r="E1874" s="119" t="s">
        <v>1350</v>
      </c>
      <c r="F1874" s="120">
        <v>1</v>
      </c>
      <c r="G1874" s="120" t="s">
        <v>759</v>
      </c>
      <c r="H1874" s="169">
        <v>51000</v>
      </c>
      <c r="J1874"/>
      <c r="K1874"/>
      <c r="L1874" s="104"/>
    </row>
    <row r="1875" spans="1:12" x14ac:dyDescent="0.25">
      <c r="A1875" s="115">
        <v>1874</v>
      </c>
      <c r="B1875" s="167">
        <v>45710</v>
      </c>
      <c r="C1875" s="117">
        <v>2025</v>
      </c>
      <c r="D1875" s="119" t="s">
        <v>35</v>
      </c>
      <c r="E1875" s="119" t="s">
        <v>761</v>
      </c>
      <c r="F1875" s="120">
        <v>2</v>
      </c>
      <c r="G1875" s="120" t="s">
        <v>759</v>
      </c>
      <c r="H1875" s="169">
        <v>2550000</v>
      </c>
      <c r="J1875"/>
      <c r="K1875"/>
      <c r="L1875" s="104"/>
    </row>
    <row r="1876" spans="1:12" x14ac:dyDescent="0.25">
      <c r="A1876" s="115">
        <v>1875</v>
      </c>
      <c r="B1876" s="167">
        <v>45712</v>
      </c>
      <c r="C1876" s="117">
        <v>2025</v>
      </c>
      <c r="D1876" s="119" t="s">
        <v>35</v>
      </c>
      <c r="E1876" s="119" t="s">
        <v>739</v>
      </c>
      <c r="F1876" s="120">
        <v>75</v>
      </c>
      <c r="G1876" s="120" t="s">
        <v>759</v>
      </c>
      <c r="H1876" s="169">
        <v>562500</v>
      </c>
      <c r="J1876"/>
      <c r="K1876"/>
      <c r="L1876" s="104"/>
    </row>
    <row r="1877" spans="1:12" x14ac:dyDescent="0.25">
      <c r="A1877" s="115">
        <v>1876</v>
      </c>
      <c r="B1877" s="167">
        <v>45713</v>
      </c>
      <c r="C1877" s="117">
        <v>2025</v>
      </c>
      <c r="D1877" s="119" t="s">
        <v>35</v>
      </c>
      <c r="E1877" s="119" t="s">
        <v>1291</v>
      </c>
      <c r="F1877" s="120">
        <v>100</v>
      </c>
      <c r="G1877" s="120" t="s">
        <v>759</v>
      </c>
      <c r="H1877" s="169">
        <v>850000</v>
      </c>
      <c r="J1877"/>
      <c r="K1877"/>
      <c r="L1877" s="104"/>
    </row>
    <row r="1878" spans="1:12" x14ac:dyDescent="0.25">
      <c r="A1878" s="115">
        <v>1877</v>
      </c>
      <c r="B1878" s="167">
        <v>45713</v>
      </c>
      <c r="C1878" s="117">
        <v>2025</v>
      </c>
      <c r="D1878" s="119" t="s">
        <v>259</v>
      </c>
      <c r="E1878" s="119" t="s">
        <v>1351</v>
      </c>
      <c r="F1878" s="120">
        <v>2</v>
      </c>
      <c r="G1878" s="120" t="s">
        <v>759</v>
      </c>
      <c r="H1878" s="169">
        <v>175000</v>
      </c>
      <c r="J1878"/>
      <c r="K1878"/>
      <c r="L1878" s="104"/>
    </row>
    <row r="1879" spans="1:12" x14ac:dyDescent="0.25">
      <c r="A1879" s="115">
        <v>1878</v>
      </c>
      <c r="B1879" s="167">
        <v>45713</v>
      </c>
      <c r="C1879" s="117">
        <v>2025</v>
      </c>
      <c r="D1879" s="119" t="s">
        <v>259</v>
      </c>
      <c r="E1879" s="119" t="s">
        <v>1352</v>
      </c>
      <c r="F1879" s="120">
        <v>1</v>
      </c>
      <c r="G1879" s="120" t="s">
        <v>759</v>
      </c>
      <c r="H1879" s="169">
        <v>123300</v>
      </c>
      <c r="J1879"/>
      <c r="K1879"/>
      <c r="L1879" s="104"/>
    </row>
    <row r="1880" spans="1:12" x14ac:dyDescent="0.25">
      <c r="A1880" s="115">
        <v>1879</v>
      </c>
      <c r="B1880" s="167">
        <v>45713</v>
      </c>
      <c r="C1880" s="117">
        <v>2025</v>
      </c>
      <c r="D1880" s="119" t="s">
        <v>259</v>
      </c>
      <c r="E1880" s="119" t="s">
        <v>1353</v>
      </c>
      <c r="F1880" s="120">
        <v>1</v>
      </c>
      <c r="G1880" s="120" t="s">
        <v>759</v>
      </c>
      <c r="H1880" s="169">
        <v>34500</v>
      </c>
      <c r="J1880"/>
      <c r="K1880"/>
      <c r="L1880" s="104"/>
    </row>
    <row r="1881" spans="1:12" x14ac:dyDescent="0.25">
      <c r="A1881" s="115">
        <v>1880</v>
      </c>
      <c r="B1881" s="167">
        <v>45713</v>
      </c>
      <c r="C1881" s="117">
        <v>2025</v>
      </c>
      <c r="D1881" s="119" t="s">
        <v>259</v>
      </c>
      <c r="E1881" s="119" t="s">
        <v>1354</v>
      </c>
      <c r="F1881" s="120">
        <v>1</v>
      </c>
      <c r="G1881" s="120" t="s">
        <v>759</v>
      </c>
      <c r="H1881" s="169">
        <v>2905000</v>
      </c>
      <c r="J1881"/>
      <c r="K1881"/>
      <c r="L1881" s="104"/>
    </row>
    <row r="1882" spans="1:12" x14ac:dyDescent="0.25">
      <c r="A1882" s="115">
        <v>1881</v>
      </c>
      <c r="B1882" s="167">
        <v>45713</v>
      </c>
      <c r="C1882" s="117">
        <v>2025</v>
      </c>
      <c r="D1882" s="119" t="s">
        <v>35</v>
      </c>
      <c r="E1882" s="119" t="s">
        <v>393</v>
      </c>
      <c r="F1882" s="120">
        <v>10</v>
      </c>
      <c r="G1882" s="120" t="s">
        <v>759</v>
      </c>
      <c r="H1882" s="169">
        <v>137020</v>
      </c>
      <c r="J1882"/>
      <c r="K1882"/>
      <c r="L1882" s="104"/>
    </row>
    <row r="1883" spans="1:12" x14ac:dyDescent="0.25">
      <c r="A1883" s="115">
        <v>1882</v>
      </c>
      <c r="B1883" s="167">
        <v>45714</v>
      </c>
      <c r="C1883" s="117">
        <v>2025</v>
      </c>
      <c r="D1883" s="119" t="s">
        <v>35</v>
      </c>
      <c r="E1883" s="119" t="s">
        <v>1355</v>
      </c>
      <c r="F1883" s="120">
        <v>2</v>
      </c>
      <c r="G1883" s="120" t="s">
        <v>759</v>
      </c>
      <c r="H1883" s="169">
        <v>60000</v>
      </c>
      <c r="J1883"/>
      <c r="K1883"/>
      <c r="L1883" s="104"/>
    </row>
    <row r="1884" spans="1:12" x14ac:dyDescent="0.25">
      <c r="A1884" s="115">
        <v>1883</v>
      </c>
      <c r="B1884" s="167">
        <v>45714</v>
      </c>
      <c r="C1884" s="117">
        <v>2025</v>
      </c>
      <c r="D1884" s="119" t="s">
        <v>851</v>
      </c>
      <c r="E1884" s="119" t="s">
        <v>101</v>
      </c>
      <c r="F1884" s="120">
        <v>3</v>
      </c>
      <c r="G1884" s="120" t="s">
        <v>759</v>
      </c>
      <c r="H1884" s="169">
        <v>8901</v>
      </c>
      <c r="J1884"/>
      <c r="K1884"/>
      <c r="L1884" s="104"/>
    </row>
    <row r="1885" spans="1:12" x14ac:dyDescent="0.25">
      <c r="A1885" s="115">
        <v>1884</v>
      </c>
      <c r="B1885" s="167">
        <v>45714</v>
      </c>
      <c r="C1885" s="117">
        <v>2025</v>
      </c>
      <c r="D1885" s="119" t="s">
        <v>851</v>
      </c>
      <c r="E1885" s="119" t="s">
        <v>1356</v>
      </c>
      <c r="F1885" s="120">
        <v>3</v>
      </c>
      <c r="G1885" s="120" t="s">
        <v>759</v>
      </c>
      <c r="H1885" s="169">
        <v>11775</v>
      </c>
      <c r="J1885"/>
      <c r="K1885"/>
      <c r="L1885" s="104"/>
    </row>
    <row r="1886" spans="1:12" x14ac:dyDescent="0.25">
      <c r="A1886" s="115">
        <v>1885</v>
      </c>
      <c r="B1886" s="167">
        <v>45716</v>
      </c>
      <c r="C1886" s="117">
        <v>2025</v>
      </c>
      <c r="D1886" s="119" t="s">
        <v>833</v>
      </c>
      <c r="E1886" s="119" t="s">
        <v>673</v>
      </c>
      <c r="F1886" s="120">
        <v>2</v>
      </c>
      <c r="G1886" s="120" t="s">
        <v>759</v>
      </c>
      <c r="H1886" s="169">
        <v>227700</v>
      </c>
      <c r="J1886"/>
      <c r="K1886"/>
      <c r="L1886" s="104"/>
    </row>
    <row r="1887" spans="1:12" x14ac:dyDescent="0.25">
      <c r="A1887" s="115">
        <v>1886</v>
      </c>
      <c r="B1887" s="167">
        <v>45716</v>
      </c>
      <c r="C1887" s="117">
        <v>2025</v>
      </c>
      <c r="D1887" s="119" t="s">
        <v>833</v>
      </c>
      <c r="E1887" s="119" t="s">
        <v>620</v>
      </c>
      <c r="F1887" s="120">
        <v>6</v>
      </c>
      <c r="G1887" s="120" t="s">
        <v>759</v>
      </c>
      <c r="H1887" s="169">
        <v>95100</v>
      </c>
      <c r="J1887"/>
      <c r="K1887"/>
      <c r="L1887" s="104"/>
    </row>
    <row r="1888" spans="1:12" x14ac:dyDescent="0.25">
      <c r="A1888" s="115">
        <v>1887</v>
      </c>
      <c r="B1888" s="167">
        <v>45716</v>
      </c>
      <c r="C1888" s="117">
        <v>2025</v>
      </c>
      <c r="D1888" s="119" t="s">
        <v>851</v>
      </c>
      <c r="E1888" s="119" t="s">
        <v>290</v>
      </c>
      <c r="F1888" s="120">
        <v>10</v>
      </c>
      <c r="G1888" s="120" t="s">
        <v>759</v>
      </c>
      <c r="H1888" s="169">
        <v>309000</v>
      </c>
      <c r="J1888"/>
      <c r="K1888"/>
      <c r="L1888" s="104"/>
    </row>
    <row r="1889" spans="1:12" x14ac:dyDescent="0.25">
      <c r="A1889" s="115">
        <v>1888</v>
      </c>
      <c r="B1889" s="167">
        <v>45716</v>
      </c>
      <c r="C1889" s="117">
        <v>2025</v>
      </c>
      <c r="D1889" s="119" t="s">
        <v>833</v>
      </c>
      <c r="E1889" s="119" t="s">
        <v>1209</v>
      </c>
      <c r="F1889" s="120">
        <v>3</v>
      </c>
      <c r="G1889" s="120" t="s">
        <v>759</v>
      </c>
      <c r="H1889" s="169">
        <v>28800</v>
      </c>
      <c r="J1889"/>
      <c r="K1889"/>
      <c r="L1889" s="104"/>
    </row>
    <row r="1890" spans="1:12" x14ac:dyDescent="0.25">
      <c r="A1890" s="115">
        <v>1889</v>
      </c>
      <c r="B1890" s="167">
        <v>45716</v>
      </c>
      <c r="C1890" s="117">
        <v>2025</v>
      </c>
      <c r="D1890" s="119" t="s">
        <v>851</v>
      </c>
      <c r="E1890" s="119" t="s">
        <v>571</v>
      </c>
      <c r="F1890" s="120">
        <v>3</v>
      </c>
      <c r="G1890" s="120" t="s">
        <v>759</v>
      </c>
      <c r="H1890" s="169">
        <v>51000</v>
      </c>
      <c r="J1890"/>
      <c r="K1890"/>
      <c r="L1890" s="104"/>
    </row>
    <row r="1891" spans="1:12" x14ac:dyDescent="0.25">
      <c r="A1891" s="115">
        <v>1890</v>
      </c>
      <c r="B1891" s="167">
        <v>45717</v>
      </c>
      <c r="C1891" s="117">
        <v>2025</v>
      </c>
      <c r="D1891" s="119" t="s">
        <v>851</v>
      </c>
      <c r="E1891" s="119" t="s">
        <v>1357</v>
      </c>
      <c r="F1891" s="120">
        <v>1</v>
      </c>
      <c r="G1891" s="120" t="s">
        <v>759</v>
      </c>
      <c r="H1891" s="169">
        <v>360400</v>
      </c>
      <c r="J1891"/>
      <c r="K1891"/>
      <c r="L1891" s="104"/>
    </row>
    <row r="1892" spans="1:12" x14ac:dyDescent="0.25">
      <c r="A1892" s="115">
        <v>1891</v>
      </c>
      <c r="B1892" s="167">
        <v>45717</v>
      </c>
      <c r="C1892" s="117">
        <v>2025</v>
      </c>
      <c r="D1892" s="119" t="s">
        <v>851</v>
      </c>
      <c r="E1892" s="119" t="s">
        <v>1358</v>
      </c>
      <c r="F1892" s="120">
        <v>3</v>
      </c>
      <c r="G1892" s="120" t="s">
        <v>759</v>
      </c>
      <c r="H1892" s="169">
        <v>591600</v>
      </c>
      <c r="J1892"/>
      <c r="K1892"/>
      <c r="L1892" s="104"/>
    </row>
    <row r="1893" spans="1:12" x14ac:dyDescent="0.25">
      <c r="A1893" s="115">
        <v>1892</v>
      </c>
      <c r="B1893" s="167">
        <v>45717</v>
      </c>
      <c r="C1893" s="117">
        <v>2025</v>
      </c>
      <c r="D1893" s="119" t="s">
        <v>851</v>
      </c>
      <c r="E1893" s="119" t="s">
        <v>1359</v>
      </c>
      <c r="F1893" s="120">
        <v>3</v>
      </c>
      <c r="G1893" s="120" t="s">
        <v>759</v>
      </c>
      <c r="H1893" s="169">
        <v>1258527</v>
      </c>
      <c r="J1893"/>
      <c r="K1893"/>
      <c r="L1893" s="104"/>
    </row>
    <row r="1894" spans="1:12" x14ac:dyDescent="0.25">
      <c r="A1894" s="115">
        <v>1893</v>
      </c>
      <c r="B1894" s="167">
        <v>45717</v>
      </c>
      <c r="C1894" s="117">
        <v>2025</v>
      </c>
      <c r="D1894" s="119" t="s">
        <v>851</v>
      </c>
      <c r="E1894" s="119" t="s">
        <v>1360</v>
      </c>
      <c r="F1894" s="120">
        <v>3</v>
      </c>
      <c r="G1894" s="120" t="s">
        <v>759</v>
      </c>
      <c r="H1894" s="169">
        <v>434550</v>
      </c>
      <c r="J1894"/>
      <c r="K1894"/>
      <c r="L1894" s="104"/>
    </row>
    <row r="1895" spans="1:12" x14ac:dyDescent="0.25">
      <c r="A1895" s="115">
        <v>1894</v>
      </c>
      <c r="B1895" s="167">
        <v>45717</v>
      </c>
      <c r="C1895" s="117">
        <v>2025</v>
      </c>
      <c r="D1895" s="119" t="s">
        <v>35</v>
      </c>
      <c r="E1895" s="119" t="s">
        <v>1057</v>
      </c>
      <c r="F1895" s="120">
        <v>1</v>
      </c>
      <c r="G1895" s="120" t="s">
        <v>759</v>
      </c>
      <c r="H1895" s="169">
        <v>15000</v>
      </c>
      <c r="J1895"/>
      <c r="K1895"/>
      <c r="L1895" s="104"/>
    </row>
    <row r="1896" spans="1:12" x14ac:dyDescent="0.25">
      <c r="A1896" s="115">
        <v>1895</v>
      </c>
      <c r="B1896" s="167">
        <v>45717</v>
      </c>
      <c r="C1896" s="117">
        <v>2025</v>
      </c>
      <c r="D1896" s="119" t="s">
        <v>851</v>
      </c>
      <c r="E1896" s="119" t="s">
        <v>1361</v>
      </c>
      <c r="F1896" s="120">
        <v>3</v>
      </c>
      <c r="G1896" s="120" t="s">
        <v>759</v>
      </c>
      <c r="H1896" s="169">
        <v>366240</v>
      </c>
      <c r="J1896"/>
      <c r="K1896"/>
      <c r="L1896" s="104"/>
    </row>
    <row r="1897" spans="1:12" x14ac:dyDescent="0.25">
      <c r="A1897" s="115">
        <v>1896</v>
      </c>
      <c r="B1897" s="167">
        <v>45717</v>
      </c>
      <c r="C1897" s="117">
        <v>2025</v>
      </c>
      <c r="D1897" s="119" t="s">
        <v>833</v>
      </c>
      <c r="E1897" s="119" t="s">
        <v>1362</v>
      </c>
      <c r="F1897" s="120">
        <v>50</v>
      </c>
      <c r="G1897" s="120" t="s">
        <v>759</v>
      </c>
      <c r="H1897" s="169">
        <v>75000</v>
      </c>
      <c r="J1897"/>
      <c r="K1897"/>
      <c r="L1897" s="104"/>
    </row>
    <row r="1898" spans="1:12" x14ac:dyDescent="0.25">
      <c r="A1898" s="115">
        <v>1897</v>
      </c>
      <c r="B1898" s="167">
        <v>45719</v>
      </c>
      <c r="C1898" s="117">
        <v>2025</v>
      </c>
      <c r="D1898" s="119" t="s">
        <v>259</v>
      </c>
      <c r="E1898" s="119" t="s">
        <v>1358</v>
      </c>
      <c r="F1898" s="120">
        <v>3</v>
      </c>
      <c r="G1898" s="120" t="s">
        <v>759</v>
      </c>
      <c r="H1898" s="169">
        <v>591600</v>
      </c>
      <c r="J1898"/>
      <c r="K1898"/>
      <c r="L1898" s="104"/>
    </row>
    <row r="1899" spans="1:12" x14ac:dyDescent="0.25">
      <c r="A1899" s="115">
        <v>1898</v>
      </c>
      <c r="B1899" s="167">
        <v>45719</v>
      </c>
      <c r="C1899" s="117">
        <v>2025</v>
      </c>
      <c r="D1899" s="119" t="s">
        <v>35</v>
      </c>
      <c r="E1899" s="119" t="s">
        <v>557</v>
      </c>
      <c r="F1899" s="120">
        <v>3</v>
      </c>
      <c r="G1899" s="120" t="s">
        <v>759</v>
      </c>
      <c r="H1899" s="169">
        <v>284997</v>
      </c>
      <c r="J1899"/>
      <c r="K1899"/>
      <c r="L1899" s="104"/>
    </row>
    <row r="1900" spans="1:12" x14ac:dyDescent="0.25">
      <c r="A1900" s="115">
        <v>1899</v>
      </c>
      <c r="B1900" s="167">
        <v>45719</v>
      </c>
      <c r="C1900" s="117">
        <v>2025</v>
      </c>
      <c r="D1900" s="119" t="s">
        <v>259</v>
      </c>
      <c r="E1900" s="119" t="s">
        <v>1359</v>
      </c>
      <c r="F1900" s="120">
        <v>3</v>
      </c>
      <c r="G1900" s="120" t="s">
        <v>759</v>
      </c>
      <c r="H1900" s="169">
        <v>1258527</v>
      </c>
      <c r="J1900"/>
      <c r="K1900"/>
      <c r="L1900" s="104"/>
    </row>
    <row r="1901" spans="1:12" x14ac:dyDescent="0.25">
      <c r="A1901" s="115">
        <v>1900</v>
      </c>
      <c r="B1901" s="167">
        <v>45719</v>
      </c>
      <c r="C1901" s="117">
        <v>2025</v>
      </c>
      <c r="D1901" s="119" t="s">
        <v>833</v>
      </c>
      <c r="E1901" s="119" t="s">
        <v>641</v>
      </c>
      <c r="F1901" s="120">
        <v>3</v>
      </c>
      <c r="G1901" s="120" t="s">
        <v>759</v>
      </c>
      <c r="H1901" s="169">
        <v>29001</v>
      </c>
      <c r="J1901"/>
      <c r="K1901"/>
      <c r="L1901" s="104"/>
    </row>
    <row r="1902" spans="1:12" x14ac:dyDescent="0.25">
      <c r="A1902" s="115">
        <v>1901</v>
      </c>
      <c r="B1902" s="167">
        <v>45719</v>
      </c>
      <c r="C1902" s="117">
        <v>2025</v>
      </c>
      <c r="D1902" s="119" t="s">
        <v>833</v>
      </c>
      <c r="E1902" s="119" t="s">
        <v>641</v>
      </c>
      <c r="F1902" s="120">
        <v>3</v>
      </c>
      <c r="G1902" s="120" t="s">
        <v>759</v>
      </c>
      <c r="H1902" s="169">
        <v>29001</v>
      </c>
      <c r="J1902"/>
      <c r="K1902"/>
      <c r="L1902" s="104"/>
    </row>
    <row r="1903" spans="1:12" x14ac:dyDescent="0.25">
      <c r="A1903" s="115">
        <v>1902</v>
      </c>
      <c r="B1903" s="167">
        <v>45719</v>
      </c>
      <c r="C1903" s="117">
        <v>2025</v>
      </c>
      <c r="D1903" s="119" t="s">
        <v>259</v>
      </c>
      <c r="E1903" s="119" t="s">
        <v>1360</v>
      </c>
      <c r="F1903" s="120">
        <v>3</v>
      </c>
      <c r="G1903" s="120" t="s">
        <v>759</v>
      </c>
      <c r="H1903" s="169">
        <v>434550</v>
      </c>
      <c r="J1903"/>
      <c r="K1903"/>
      <c r="L1903" s="104"/>
    </row>
    <row r="1904" spans="1:12" x14ac:dyDescent="0.25">
      <c r="A1904" s="115">
        <v>1903</v>
      </c>
      <c r="B1904" s="167">
        <v>45719</v>
      </c>
      <c r="C1904" s="117">
        <v>2025</v>
      </c>
      <c r="D1904" s="119" t="s">
        <v>259</v>
      </c>
      <c r="E1904" s="119" t="s">
        <v>1360</v>
      </c>
      <c r="F1904" s="120">
        <v>2</v>
      </c>
      <c r="G1904" s="120" t="s">
        <v>759</v>
      </c>
      <c r="H1904" s="169">
        <v>244160</v>
      </c>
      <c r="J1904"/>
      <c r="K1904"/>
      <c r="L1904" s="104"/>
    </row>
    <row r="1905" spans="1:12" x14ac:dyDescent="0.25">
      <c r="A1905" s="115">
        <v>1904</v>
      </c>
      <c r="B1905" s="167">
        <v>45719</v>
      </c>
      <c r="C1905" s="117">
        <v>2025</v>
      </c>
      <c r="D1905" s="119" t="s">
        <v>259</v>
      </c>
      <c r="E1905" s="119" t="s">
        <v>1360</v>
      </c>
      <c r="F1905" s="120">
        <v>2</v>
      </c>
      <c r="G1905" s="120" t="s">
        <v>759</v>
      </c>
      <c r="H1905" s="169">
        <v>163100</v>
      </c>
      <c r="J1905"/>
      <c r="K1905"/>
      <c r="L1905" s="104"/>
    </row>
    <row r="1906" spans="1:12" x14ac:dyDescent="0.25">
      <c r="A1906" s="115">
        <v>1905</v>
      </c>
      <c r="B1906" s="167">
        <v>45722</v>
      </c>
      <c r="C1906" s="117">
        <v>2025</v>
      </c>
      <c r="D1906" s="119" t="s">
        <v>851</v>
      </c>
      <c r="E1906" s="119" t="s">
        <v>1056</v>
      </c>
      <c r="F1906" s="120">
        <v>6</v>
      </c>
      <c r="G1906" s="120" t="s">
        <v>759</v>
      </c>
      <c r="H1906" s="169">
        <v>49800</v>
      </c>
      <c r="J1906"/>
      <c r="K1906"/>
      <c r="L1906" s="104"/>
    </row>
    <row r="1907" spans="1:12" x14ac:dyDescent="0.25">
      <c r="A1907" s="115">
        <v>1906</v>
      </c>
      <c r="B1907" s="167">
        <v>45722</v>
      </c>
      <c r="C1907" s="117">
        <v>2025</v>
      </c>
      <c r="D1907" s="119" t="s">
        <v>851</v>
      </c>
      <c r="E1907" s="119" t="s">
        <v>1363</v>
      </c>
      <c r="F1907" s="120">
        <v>2</v>
      </c>
      <c r="G1907" s="120" t="s">
        <v>759</v>
      </c>
      <c r="H1907" s="169">
        <v>14900</v>
      </c>
      <c r="J1907"/>
      <c r="K1907"/>
      <c r="L1907" s="104"/>
    </row>
    <row r="1908" spans="1:12" x14ac:dyDescent="0.25">
      <c r="A1908" s="115">
        <v>1907</v>
      </c>
      <c r="B1908" s="167">
        <v>45722</v>
      </c>
      <c r="C1908" s="117">
        <v>2025</v>
      </c>
      <c r="D1908" s="119" t="s">
        <v>851</v>
      </c>
      <c r="E1908" s="119" t="s">
        <v>1057</v>
      </c>
      <c r="F1908" s="120">
        <v>10</v>
      </c>
      <c r="G1908" s="120" t="s">
        <v>759</v>
      </c>
      <c r="H1908" s="169">
        <v>132210</v>
      </c>
      <c r="J1908"/>
      <c r="K1908"/>
      <c r="L1908" s="104"/>
    </row>
    <row r="1909" spans="1:12" x14ac:dyDescent="0.25">
      <c r="A1909" s="115">
        <v>1908</v>
      </c>
      <c r="B1909" s="167">
        <v>45723</v>
      </c>
      <c r="C1909" s="117">
        <v>2025</v>
      </c>
      <c r="D1909" s="119" t="s">
        <v>35</v>
      </c>
      <c r="E1909" s="119" t="s">
        <v>1364</v>
      </c>
      <c r="F1909" s="120">
        <v>1</v>
      </c>
      <c r="G1909" s="120" t="s">
        <v>759</v>
      </c>
      <c r="H1909" s="169">
        <v>171900</v>
      </c>
      <c r="J1909"/>
      <c r="K1909"/>
      <c r="L1909" s="104"/>
    </row>
    <row r="1910" spans="1:12" x14ac:dyDescent="0.25">
      <c r="A1910" s="115">
        <v>1909</v>
      </c>
      <c r="B1910" s="167">
        <v>45727</v>
      </c>
      <c r="C1910" s="117">
        <v>2025</v>
      </c>
      <c r="D1910" s="119" t="s">
        <v>35</v>
      </c>
      <c r="E1910" s="119" t="s">
        <v>670</v>
      </c>
      <c r="F1910" s="120">
        <v>10</v>
      </c>
      <c r="G1910" s="120" t="s">
        <v>759</v>
      </c>
      <c r="H1910" s="169">
        <v>13050</v>
      </c>
      <c r="J1910"/>
      <c r="K1910"/>
      <c r="L1910" s="104"/>
    </row>
    <row r="1911" spans="1:12" x14ac:dyDescent="0.25">
      <c r="A1911" s="115">
        <v>1910</v>
      </c>
      <c r="B1911" s="167">
        <v>45727</v>
      </c>
      <c r="C1911" s="117">
        <v>2025</v>
      </c>
      <c r="D1911" s="119" t="s">
        <v>35</v>
      </c>
      <c r="E1911" s="119" t="s">
        <v>1365</v>
      </c>
      <c r="F1911" s="120">
        <v>1</v>
      </c>
      <c r="G1911" s="120" t="s">
        <v>759</v>
      </c>
      <c r="H1911" s="169">
        <v>202820</v>
      </c>
      <c r="J1911"/>
      <c r="K1911"/>
      <c r="L1911" s="104"/>
    </row>
    <row r="1912" spans="1:12" x14ac:dyDescent="0.25">
      <c r="A1912" s="115">
        <v>1911</v>
      </c>
      <c r="B1912" s="167">
        <v>45727</v>
      </c>
      <c r="C1912" s="117">
        <v>2025</v>
      </c>
      <c r="D1912" s="119" t="s">
        <v>35</v>
      </c>
      <c r="E1912" s="119" t="s">
        <v>478</v>
      </c>
      <c r="F1912" s="120">
        <v>100</v>
      </c>
      <c r="G1912" s="120" t="s">
        <v>759</v>
      </c>
      <c r="H1912" s="169">
        <v>161900</v>
      </c>
      <c r="J1912"/>
      <c r="K1912"/>
      <c r="L1912" s="104"/>
    </row>
    <row r="1913" spans="1:12" x14ac:dyDescent="0.25">
      <c r="A1913" s="115">
        <v>1912</v>
      </c>
      <c r="B1913" s="167">
        <v>45727</v>
      </c>
      <c r="C1913" s="117">
        <v>2025</v>
      </c>
      <c r="D1913" s="119" t="s">
        <v>35</v>
      </c>
      <c r="E1913" s="119" t="s">
        <v>1302</v>
      </c>
      <c r="F1913" s="120">
        <v>3</v>
      </c>
      <c r="G1913" s="120" t="s">
        <v>759</v>
      </c>
      <c r="H1913" s="169">
        <v>69402</v>
      </c>
      <c r="J1913"/>
      <c r="K1913"/>
      <c r="L1913" s="104"/>
    </row>
    <row r="1914" spans="1:12" x14ac:dyDescent="0.25">
      <c r="A1914" s="115">
        <v>1913</v>
      </c>
      <c r="B1914" s="167">
        <v>45727</v>
      </c>
      <c r="C1914" s="117">
        <v>2025</v>
      </c>
      <c r="D1914" s="119" t="s">
        <v>833</v>
      </c>
      <c r="E1914" s="119" t="s">
        <v>1362</v>
      </c>
      <c r="F1914" s="120">
        <v>50</v>
      </c>
      <c r="G1914" s="120" t="s">
        <v>759</v>
      </c>
      <c r="H1914" s="169">
        <v>125000</v>
      </c>
      <c r="J1914"/>
      <c r="K1914"/>
      <c r="L1914" s="104"/>
    </row>
    <row r="1915" spans="1:12" x14ac:dyDescent="0.25">
      <c r="A1915" s="115">
        <v>1914</v>
      </c>
      <c r="B1915" s="167">
        <v>45728</v>
      </c>
      <c r="C1915" s="117">
        <v>2025</v>
      </c>
      <c r="D1915" s="119" t="s">
        <v>35</v>
      </c>
      <c r="E1915" s="119" t="s">
        <v>1366</v>
      </c>
      <c r="F1915" s="120">
        <v>1</v>
      </c>
      <c r="G1915" s="120" t="s">
        <v>759</v>
      </c>
      <c r="H1915" s="169">
        <v>13900</v>
      </c>
      <c r="J1915"/>
      <c r="K1915"/>
      <c r="L1915" s="104"/>
    </row>
    <row r="1916" spans="1:12" x14ac:dyDescent="0.25">
      <c r="A1916" s="115">
        <v>1915</v>
      </c>
      <c r="B1916" s="167">
        <v>45729</v>
      </c>
      <c r="C1916" s="117">
        <v>2025</v>
      </c>
      <c r="D1916" s="119" t="s">
        <v>35</v>
      </c>
      <c r="E1916" s="119" t="s">
        <v>1293</v>
      </c>
      <c r="F1916" s="120">
        <v>10</v>
      </c>
      <c r="G1916" s="120" t="s">
        <v>759</v>
      </c>
      <c r="H1916" s="169">
        <v>291400</v>
      </c>
      <c r="J1916"/>
      <c r="K1916"/>
      <c r="L1916" s="104"/>
    </row>
    <row r="1917" spans="1:12" x14ac:dyDescent="0.25">
      <c r="A1917" s="115">
        <v>1916</v>
      </c>
      <c r="B1917" s="167">
        <v>45730</v>
      </c>
      <c r="C1917" s="117">
        <v>2025</v>
      </c>
      <c r="D1917" s="119" t="s">
        <v>35</v>
      </c>
      <c r="E1917" s="119" t="s">
        <v>1261</v>
      </c>
      <c r="F1917" s="120">
        <v>1</v>
      </c>
      <c r="G1917" s="120" t="s">
        <v>759</v>
      </c>
      <c r="H1917" s="169">
        <v>45000</v>
      </c>
      <c r="J1917"/>
      <c r="K1917"/>
      <c r="L1917" s="104"/>
    </row>
    <row r="1918" spans="1:12" x14ac:dyDescent="0.25">
      <c r="A1918" s="115">
        <v>1917</v>
      </c>
      <c r="B1918" s="167">
        <v>45731</v>
      </c>
      <c r="C1918" s="117">
        <v>2025</v>
      </c>
      <c r="D1918" s="119" t="s">
        <v>35</v>
      </c>
      <c r="E1918" s="119" t="s">
        <v>211</v>
      </c>
      <c r="F1918" s="120">
        <v>4</v>
      </c>
      <c r="G1918" s="120" t="s">
        <v>759</v>
      </c>
      <c r="H1918" s="169">
        <v>78000</v>
      </c>
      <c r="J1918"/>
      <c r="K1918"/>
      <c r="L1918" s="104"/>
    </row>
    <row r="1919" spans="1:12" x14ac:dyDescent="0.25">
      <c r="A1919" s="115">
        <v>1918</v>
      </c>
      <c r="B1919" s="167">
        <v>45731</v>
      </c>
      <c r="C1919" s="117">
        <v>2025</v>
      </c>
      <c r="D1919" s="119" t="s">
        <v>35</v>
      </c>
      <c r="E1919" s="119" t="s">
        <v>761</v>
      </c>
      <c r="F1919" s="120">
        <v>4</v>
      </c>
      <c r="G1919" s="120" t="s">
        <v>759</v>
      </c>
      <c r="H1919" s="169">
        <v>9000000</v>
      </c>
      <c r="J1919"/>
      <c r="K1919"/>
      <c r="L1919" s="104"/>
    </row>
    <row r="1920" spans="1:12" x14ac:dyDescent="0.25">
      <c r="A1920" s="115">
        <v>1919</v>
      </c>
      <c r="B1920" s="167">
        <v>45731</v>
      </c>
      <c r="C1920" s="117">
        <v>2025</v>
      </c>
      <c r="D1920" s="119" t="s">
        <v>35</v>
      </c>
      <c r="E1920" s="119" t="s">
        <v>852</v>
      </c>
      <c r="F1920" s="120">
        <v>1</v>
      </c>
      <c r="G1920" s="120" t="s">
        <v>759</v>
      </c>
      <c r="H1920" s="169">
        <v>17800</v>
      </c>
      <c r="J1920"/>
      <c r="K1920"/>
      <c r="L1920" s="104"/>
    </row>
    <row r="1921" spans="1:12" x14ac:dyDescent="0.25">
      <c r="A1921" s="115">
        <v>1920</v>
      </c>
      <c r="B1921" s="167">
        <v>45733</v>
      </c>
      <c r="C1921" s="117">
        <v>2025</v>
      </c>
      <c r="D1921" s="119" t="s">
        <v>35</v>
      </c>
      <c r="E1921" s="119" t="s">
        <v>1367</v>
      </c>
      <c r="F1921" s="120">
        <v>1</v>
      </c>
      <c r="G1921" s="120" t="s">
        <v>759</v>
      </c>
      <c r="H1921" s="169">
        <v>22800</v>
      </c>
      <c r="J1921"/>
      <c r="K1921"/>
      <c r="L1921" s="104"/>
    </row>
    <row r="1922" spans="1:12" x14ac:dyDescent="0.25">
      <c r="A1922" s="115">
        <v>1921</v>
      </c>
      <c r="B1922" s="167">
        <v>45734</v>
      </c>
      <c r="C1922" s="117">
        <v>2025</v>
      </c>
      <c r="D1922" s="119" t="s">
        <v>766</v>
      </c>
      <c r="E1922" s="119" t="s">
        <v>1368</v>
      </c>
      <c r="F1922" s="120">
        <v>150</v>
      </c>
      <c r="G1922" s="120" t="s">
        <v>759</v>
      </c>
      <c r="H1922" s="169">
        <v>5643000</v>
      </c>
      <c r="J1922"/>
      <c r="K1922"/>
      <c r="L1922" s="104"/>
    </row>
    <row r="1923" spans="1:12" x14ac:dyDescent="0.25">
      <c r="A1923" s="115">
        <v>1922</v>
      </c>
      <c r="B1923" s="167">
        <v>45734</v>
      </c>
      <c r="C1923" s="117">
        <v>2025</v>
      </c>
      <c r="D1923" s="119" t="s">
        <v>766</v>
      </c>
      <c r="E1923" s="119" t="s">
        <v>356</v>
      </c>
      <c r="F1923" s="120">
        <v>80</v>
      </c>
      <c r="G1923" s="120" t="s">
        <v>759</v>
      </c>
      <c r="H1923" s="169">
        <v>5400000</v>
      </c>
      <c r="J1923"/>
      <c r="K1923"/>
      <c r="L1923" s="104"/>
    </row>
    <row r="1924" spans="1:12" x14ac:dyDescent="0.25">
      <c r="A1924" s="115">
        <v>1923</v>
      </c>
      <c r="B1924" s="167">
        <v>45734</v>
      </c>
      <c r="C1924" s="117">
        <v>2025</v>
      </c>
      <c r="D1924" s="119" t="s">
        <v>766</v>
      </c>
      <c r="E1924" s="119" t="s">
        <v>1369</v>
      </c>
      <c r="F1924" s="120">
        <v>3000</v>
      </c>
      <c r="G1924" s="120" t="s">
        <v>759</v>
      </c>
      <c r="H1924" s="169">
        <v>1248000</v>
      </c>
      <c r="J1924"/>
      <c r="K1924"/>
      <c r="L1924" s="104"/>
    </row>
    <row r="1925" spans="1:12" x14ac:dyDescent="0.25">
      <c r="A1925" s="115">
        <v>1924</v>
      </c>
      <c r="B1925" s="167">
        <v>45734</v>
      </c>
      <c r="C1925" s="117">
        <v>2025</v>
      </c>
      <c r="D1925" s="119" t="s">
        <v>766</v>
      </c>
      <c r="E1925" s="119" t="s">
        <v>1370</v>
      </c>
      <c r="F1925" s="120">
        <v>2000</v>
      </c>
      <c r="G1925" s="120" t="s">
        <v>759</v>
      </c>
      <c r="H1925" s="169">
        <v>6400000</v>
      </c>
      <c r="J1925"/>
      <c r="K1925"/>
      <c r="L1925" s="104"/>
    </row>
    <row r="1926" spans="1:12" x14ac:dyDescent="0.25">
      <c r="A1926" s="115">
        <v>1925</v>
      </c>
      <c r="B1926" s="167">
        <v>45734</v>
      </c>
      <c r="C1926" s="117">
        <v>2025</v>
      </c>
      <c r="D1926" s="119" t="s">
        <v>766</v>
      </c>
      <c r="E1926" s="119" t="s">
        <v>1371</v>
      </c>
      <c r="F1926" s="120">
        <v>4</v>
      </c>
      <c r="G1926" s="120" t="s">
        <v>759</v>
      </c>
      <c r="H1926" s="169">
        <v>3420000</v>
      </c>
      <c r="J1926"/>
      <c r="K1926"/>
      <c r="L1926" s="104"/>
    </row>
    <row r="1927" spans="1:12" x14ac:dyDescent="0.25">
      <c r="A1927" s="115">
        <v>1926</v>
      </c>
      <c r="B1927" s="167">
        <v>45734</v>
      </c>
      <c r="C1927" s="117">
        <v>2025</v>
      </c>
      <c r="D1927" s="119" t="s">
        <v>766</v>
      </c>
      <c r="E1927" s="119" t="s">
        <v>1372</v>
      </c>
      <c r="F1927" s="120">
        <v>3</v>
      </c>
      <c r="G1927" s="120" t="s">
        <v>759</v>
      </c>
      <c r="H1927" s="169">
        <v>8400000</v>
      </c>
      <c r="J1927"/>
      <c r="K1927"/>
      <c r="L1927" s="104"/>
    </row>
    <row r="1928" spans="1:12" x14ac:dyDescent="0.25">
      <c r="A1928" s="115">
        <v>1927</v>
      </c>
      <c r="B1928" s="167">
        <v>45734</v>
      </c>
      <c r="C1928" s="117">
        <v>2025</v>
      </c>
      <c r="D1928" s="119" t="s">
        <v>766</v>
      </c>
      <c r="E1928" s="119" t="s">
        <v>1373</v>
      </c>
      <c r="F1928" s="120">
        <v>60</v>
      </c>
      <c r="G1928" s="120" t="s">
        <v>759</v>
      </c>
      <c r="H1928" s="169">
        <v>3900000</v>
      </c>
      <c r="J1928"/>
      <c r="K1928"/>
      <c r="L1928" s="104"/>
    </row>
    <row r="1929" spans="1:12" x14ac:dyDescent="0.25">
      <c r="A1929" s="115">
        <v>1928</v>
      </c>
      <c r="B1929" s="167">
        <v>45735</v>
      </c>
      <c r="C1929" s="117">
        <v>2025</v>
      </c>
      <c r="D1929" s="119" t="s">
        <v>259</v>
      </c>
      <c r="E1929" s="119" t="s">
        <v>1374</v>
      </c>
      <c r="F1929" s="120">
        <v>1</v>
      </c>
      <c r="G1929" s="120" t="s">
        <v>759</v>
      </c>
      <c r="H1929" s="169">
        <v>165000</v>
      </c>
      <c r="J1929"/>
      <c r="K1929"/>
      <c r="L1929" s="104"/>
    </row>
    <row r="1930" spans="1:12" x14ac:dyDescent="0.25">
      <c r="A1930" s="115">
        <v>1929</v>
      </c>
      <c r="B1930" s="167">
        <v>45735</v>
      </c>
      <c r="C1930" s="117">
        <v>2025</v>
      </c>
      <c r="D1930" s="119" t="s">
        <v>833</v>
      </c>
      <c r="E1930" s="119" t="s">
        <v>478</v>
      </c>
      <c r="F1930" s="120">
        <v>3</v>
      </c>
      <c r="G1930" s="120" t="s">
        <v>759</v>
      </c>
      <c r="H1930" s="169">
        <v>999000</v>
      </c>
      <c r="J1930"/>
      <c r="K1930"/>
      <c r="L1930" s="104"/>
    </row>
    <row r="1931" spans="1:12" x14ac:dyDescent="0.25">
      <c r="A1931" s="115">
        <v>1930</v>
      </c>
      <c r="B1931" s="167">
        <v>45735</v>
      </c>
      <c r="C1931" s="117">
        <v>2025</v>
      </c>
      <c r="D1931" s="119" t="s">
        <v>833</v>
      </c>
      <c r="E1931" s="119" t="s">
        <v>478</v>
      </c>
      <c r="F1931" s="120">
        <v>1</v>
      </c>
      <c r="G1931" s="120" t="s">
        <v>759</v>
      </c>
      <c r="H1931" s="169">
        <v>240000</v>
      </c>
      <c r="J1931"/>
      <c r="K1931"/>
      <c r="L1931" s="104"/>
    </row>
    <row r="1932" spans="1:12" x14ac:dyDescent="0.25">
      <c r="A1932" s="115">
        <v>1931</v>
      </c>
      <c r="B1932" s="167">
        <v>45735</v>
      </c>
      <c r="C1932" s="117">
        <v>2025</v>
      </c>
      <c r="D1932" s="119" t="s">
        <v>833</v>
      </c>
      <c r="E1932" s="119" t="s">
        <v>478</v>
      </c>
      <c r="F1932" s="120">
        <v>15</v>
      </c>
      <c r="G1932" s="120" t="s">
        <v>759</v>
      </c>
      <c r="H1932" s="169">
        <v>648750</v>
      </c>
      <c r="J1932"/>
      <c r="K1932"/>
      <c r="L1932" s="104"/>
    </row>
    <row r="1933" spans="1:12" x14ac:dyDescent="0.25">
      <c r="A1933" s="115">
        <v>1932</v>
      </c>
      <c r="B1933" s="167">
        <v>45735</v>
      </c>
      <c r="C1933" s="117">
        <v>2025</v>
      </c>
      <c r="D1933" s="119" t="s">
        <v>833</v>
      </c>
      <c r="E1933" s="119" t="s">
        <v>299</v>
      </c>
      <c r="F1933" s="120">
        <v>72</v>
      </c>
      <c r="G1933" s="120" t="s">
        <v>759</v>
      </c>
      <c r="H1933" s="169">
        <v>388800</v>
      </c>
      <c r="J1933"/>
      <c r="K1933"/>
      <c r="L1933" s="104"/>
    </row>
    <row r="1934" spans="1:12" x14ac:dyDescent="0.25">
      <c r="A1934" s="115">
        <v>1933</v>
      </c>
      <c r="B1934" s="167">
        <v>45735</v>
      </c>
      <c r="C1934" s="117">
        <v>2025</v>
      </c>
      <c r="D1934" s="119" t="s">
        <v>833</v>
      </c>
      <c r="E1934" s="119" t="s">
        <v>299</v>
      </c>
      <c r="F1934" s="120">
        <v>6</v>
      </c>
      <c r="G1934" s="120" t="s">
        <v>759</v>
      </c>
      <c r="H1934" s="169">
        <v>78702</v>
      </c>
      <c r="J1934"/>
      <c r="K1934"/>
      <c r="L1934" s="104"/>
    </row>
    <row r="1935" spans="1:12" x14ac:dyDescent="0.25">
      <c r="A1935" s="115">
        <v>1934</v>
      </c>
      <c r="B1935" s="167">
        <v>45735</v>
      </c>
      <c r="C1935" s="117">
        <v>2025</v>
      </c>
      <c r="D1935" s="119" t="s">
        <v>833</v>
      </c>
      <c r="E1935" s="119" t="s">
        <v>1375</v>
      </c>
      <c r="F1935" s="120">
        <v>1</v>
      </c>
      <c r="G1935" s="120" t="s">
        <v>759</v>
      </c>
      <c r="H1935" s="169">
        <v>31400</v>
      </c>
      <c r="J1935"/>
      <c r="K1935"/>
      <c r="L1935" s="104"/>
    </row>
    <row r="1936" spans="1:12" x14ac:dyDescent="0.25">
      <c r="A1936" s="115">
        <v>1935</v>
      </c>
      <c r="B1936" s="167">
        <v>45735</v>
      </c>
      <c r="C1936" s="117">
        <v>2025</v>
      </c>
      <c r="D1936" s="119" t="s">
        <v>833</v>
      </c>
      <c r="E1936" s="119" t="s">
        <v>588</v>
      </c>
      <c r="F1936" s="120">
        <v>12</v>
      </c>
      <c r="G1936" s="120" t="s">
        <v>759</v>
      </c>
      <c r="H1936" s="169">
        <v>46200</v>
      </c>
      <c r="J1936"/>
      <c r="K1936"/>
      <c r="L1936" s="104"/>
    </row>
    <row r="1937" spans="1:12" x14ac:dyDescent="0.25">
      <c r="A1937" s="115">
        <v>1936</v>
      </c>
      <c r="B1937" s="167">
        <v>45736</v>
      </c>
      <c r="C1937" s="117">
        <v>2025</v>
      </c>
      <c r="D1937" s="119" t="s">
        <v>259</v>
      </c>
      <c r="E1937" s="119" t="s">
        <v>1376</v>
      </c>
      <c r="F1937" s="120">
        <v>1</v>
      </c>
      <c r="G1937" s="120" t="s">
        <v>759</v>
      </c>
      <c r="H1937" s="169">
        <v>1451548</v>
      </c>
      <c r="J1937"/>
      <c r="K1937"/>
      <c r="L1937" s="104"/>
    </row>
    <row r="1938" spans="1:12" x14ac:dyDescent="0.25">
      <c r="A1938" s="115">
        <v>1937</v>
      </c>
      <c r="B1938" s="167">
        <v>45736</v>
      </c>
      <c r="C1938" s="117">
        <v>2025</v>
      </c>
      <c r="D1938" s="119" t="s">
        <v>833</v>
      </c>
      <c r="E1938" s="119" t="s">
        <v>175</v>
      </c>
      <c r="F1938" s="120">
        <v>75</v>
      </c>
      <c r="G1938" s="120" t="s">
        <v>759</v>
      </c>
      <c r="H1938" s="169">
        <v>950700</v>
      </c>
      <c r="J1938"/>
      <c r="K1938"/>
      <c r="L1938" s="104"/>
    </row>
    <row r="1939" spans="1:12" x14ac:dyDescent="0.25">
      <c r="A1939" s="115">
        <v>1938</v>
      </c>
      <c r="B1939" s="167">
        <v>45736</v>
      </c>
      <c r="C1939" s="117">
        <v>2025</v>
      </c>
      <c r="D1939" s="119" t="s">
        <v>833</v>
      </c>
      <c r="E1939" s="119" t="s">
        <v>192</v>
      </c>
      <c r="F1939" s="120">
        <v>12</v>
      </c>
      <c r="G1939" s="120" t="s">
        <v>759</v>
      </c>
      <c r="H1939" s="169">
        <v>30552</v>
      </c>
      <c r="J1939"/>
      <c r="K1939"/>
      <c r="L1939" s="104"/>
    </row>
    <row r="1940" spans="1:12" x14ac:dyDescent="0.25">
      <c r="A1940" s="115">
        <v>1939</v>
      </c>
      <c r="B1940" s="167">
        <v>45736</v>
      </c>
      <c r="C1940" s="117">
        <v>2025</v>
      </c>
      <c r="D1940" s="119" t="s">
        <v>259</v>
      </c>
      <c r="E1940" s="119" t="s">
        <v>1377</v>
      </c>
      <c r="F1940" s="120">
        <v>1</v>
      </c>
      <c r="G1940" s="120" t="s">
        <v>759</v>
      </c>
      <c r="H1940" s="169">
        <v>280900</v>
      </c>
      <c r="J1940"/>
      <c r="K1940"/>
      <c r="L1940" s="104"/>
    </row>
    <row r="1941" spans="1:12" x14ac:dyDescent="0.25">
      <c r="A1941" s="115">
        <v>1940</v>
      </c>
      <c r="B1941" s="167">
        <v>45736</v>
      </c>
      <c r="C1941" s="117">
        <v>2025</v>
      </c>
      <c r="D1941" s="119" t="s">
        <v>833</v>
      </c>
      <c r="E1941" s="119" t="s">
        <v>535</v>
      </c>
      <c r="F1941" s="120">
        <v>40</v>
      </c>
      <c r="G1941" s="120" t="s">
        <v>759</v>
      </c>
      <c r="H1941" s="169">
        <v>41320</v>
      </c>
      <c r="J1941"/>
      <c r="K1941"/>
      <c r="L1941" s="104"/>
    </row>
    <row r="1942" spans="1:12" x14ac:dyDescent="0.25">
      <c r="A1942" s="115">
        <v>1941</v>
      </c>
      <c r="B1942" s="167">
        <v>45736</v>
      </c>
      <c r="C1942" s="117">
        <v>2025</v>
      </c>
      <c r="D1942" s="119" t="s">
        <v>833</v>
      </c>
      <c r="E1942" s="119" t="s">
        <v>481</v>
      </c>
      <c r="F1942" s="120">
        <v>15</v>
      </c>
      <c r="G1942" s="120" t="s">
        <v>759</v>
      </c>
      <c r="H1942" s="169">
        <v>256905</v>
      </c>
      <c r="J1942"/>
      <c r="K1942"/>
      <c r="L1942" s="104"/>
    </row>
    <row r="1943" spans="1:12" x14ac:dyDescent="0.25">
      <c r="A1943" s="115">
        <v>1942</v>
      </c>
      <c r="B1943" s="167">
        <v>45736</v>
      </c>
      <c r="C1943" s="117">
        <v>2025</v>
      </c>
      <c r="D1943" s="119" t="s">
        <v>833</v>
      </c>
      <c r="E1943" s="119" t="s">
        <v>481</v>
      </c>
      <c r="F1943" s="120">
        <v>15</v>
      </c>
      <c r="G1943" s="120" t="s">
        <v>759</v>
      </c>
      <c r="H1943" s="169">
        <v>294405</v>
      </c>
      <c r="J1943"/>
      <c r="K1943"/>
      <c r="L1943" s="104"/>
    </row>
    <row r="1944" spans="1:12" x14ac:dyDescent="0.25">
      <c r="A1944" s="115">
        <v>1943</v>
      </c>
      <c r="B1944" s="167">
        <v>45736</v>
      </c>
      <c r="C1944" s="117">
        <v>2025</v>
      </c>
      <c r="D1944" s="119" t="s">
        <v>833</v>
      </c>
      <c r="E1944" s="119" t="s">
        <v>481</v>
      </c>
      <c r="F1944" s="120">
        <v>10</v>
      </c>
      <c r="G1944" s="120" t="s">
        <v>759</v>
      </c>
      <c r="H1944" s="169">
        <v>139900</v>
      </c>
      <c r="J1944"/>
      <c r="K1944"/>
      <c r="L1944" s="104"/>
    </row>
    <row r="1945" spans="1:12" x14ac:dyDescent="0.25">
      <c r="A1945" s="115">
        <v>1944</v>
      </c>
      <c r="B1945" s="167">
        <v>45737</v>
      </c>
      <c r="C1945" s="117">
        <v>2025</v>
      </c>
      <c r="D1945" s="119" t="s">
        <v>35</v>
      </c>
      <c r="E1945" s="119" t="s">
        <v>1378</v>
      </c>
      <c r="F1945" s="120">
        <v>1</v>
      </c>
      <c r="G1945" s="120" t="s">
        <v>759</v>
      </c>
      <c r="H1945" s="169">
        <v>11849</v>
      </c>
      <c r="J1945"/>
      <c r="K1945"/>
      <c r="L1945" s="104"/>
    </row>
    <row r="1946" spans="1:12" x14ac:dyDescent="0.25">
      <c r="A1946" s="115">
        <v>1945</v>
      </c>
      <c r="B1946" s="167">
        <v>45737</v>
      </c>
      <c r="C1946" s="117">
        <v>2025</v>
      </c>
      <c r="D1946" s="119" t="s">
        <v>35</v>
      </c>
      <c r="E1946" s="119" t="s">
        <v>1379</v>
      </c>
      <c r="F1946" s="120">
        <v>1</v>
      </c>
      <c r="G1946" s="120" t="s">
        <v>759</v>
      </c>
      <c r="H1946" s="169">
        <v>105900</v>
      </c>
      <c r="J1946"/>
      <c r="K1946"/>
      <c r="L1946" s="104"/>
    </row>
    <row r="1947" spans="1:12" x14ac:dyDescent="0.25">
      <c r="A1947" s="115">
        <v>1946</v>
      </c>
      <c r="B1947" s="167">
        <v>45738</v>
      </c>
      <c r="C1947" s="117">
        <v>2025</v>
      </c>
      <c r="D1947" s="119" t="s">
        <v>35</v>
      </c>
      <c r="E1947" s="119" t="s">
        <v>739</v>
      </c>
      <c r="F1947" s="120">
        <v>75</v>
      </c>
      <c r="G1947" s="120" t="s">
        <v>759</v>
      </c>
      <c r="H1947" s="169">
        <v>562500</v>
      </c>
      <c r="J1947"/>
      <c r="K1947"/>
      <c r="L1947" s="104"/>
    </row>
    <row r="1948" spans="1:12" x14ac:dyDescent="0.25">
      <c r="A1948" s="115">
        <v>1947</v>
      </c>
      <c r="B1948" s="167">
        <v>45740</v>
      </c>
      <c r="C1948" s="117">
        <v>2025</v>
      </c>
      <c r="D1948" s="119" t="s">
        <v>259</v>
      </c>
      <c r="E1948" s="119" t="s">
        <v>331</v>
      </c>
      <c r="F1948" s="120">
        <v>8</v>
      </c>
      <c r="G1948" s="120" t="s">
        <v>759</v>
      </c>
      <c r="H1948" s="169">
        <v>1550800</v>
      </c>
      <c r="J1948"/>
      <c r="K1948"/>
      <c r="L1948" s="104"/>
    </row>
    <row r="1949" spans="1:12" x14ac:dyDescent="0.25">
      <c r="A1949" s="115">
        <v>1948</v>
      </c>
      <c r="B1949" s="167">
        <v>45740</v>
      </c>
      <c r="C1949" s="117">
        <v>2025</v>
      </c>
      <c r="D1949" s="119" t="s">
        <v>259</v>
      </c>
      <c r="E1949" s="119" t="s">
        <v>639</v>
      </c>
      <c r="F1949" s="120">
        <v>6</v>
      </c>
      <c r="G1949" s="120" t="s">
        <v>759</v>
      </c>
      <c r="H1949" s="169">
        <v>246600</v>
      </c>
      <c r="J1949"/>
      <c r="K1949"/>
      <c r="L1949" s="104"/>
    </row>
    <row r="1950" spans="1:12" x14ac:dyDescent="0.25">
      <c r="A1950" s="115">
        <v>1949</v>
      </c>
      <c r="B1950" s="167">
        <v>45740</v>
      </c>
      <c r="C1950" s="117">
        <v>2025</v>
      </c>
      <c r="D1950" s="119" t="s">
        <v>259</v>
      </c>
      <c r="E1950" s="119" t="s">
        <v>335</v>
      </c>
      <c r="F1950" s="120">
        <v>3</v>
      </c>
      <c r="G1950" s="120" t="s">
        <v>759</v>
      </c>
      <c r="H1950" s="169">
        <v>345300</v>
      </c>
      <c r="J1950"/>
      <c r="K1950"/>
      <c r="L1950" s="104"/>
    </row>
    <row r="1951" spans="1:12" x14ac:dyDescent="0.25">
      <c r="A1951" s="115">
        <v>1950</v>
      </c>
      <c r="B1951" s="167">
        <v>45741</v>
      </c>
      <c r="C1951" s="117">
        <v>2025</v>
      </c>
      <c r="D1951" s="119" t="s">
        <v>35</v>
      </c>
      <c r="E1951" s="119" t="s">
        <v>1312</v>
      </c>
      <c r="F1951" s="120">
        <v>10</v>
      </c>
      <c r="G1951" s="120" t="s">
        <v>759</v>
      </c>
      <c r="H1951" s="169">
        <v>109000</v>
      </c>
      <c r="J1951"/>
      <c r="K1951"/>
      <c r="L1951" s="104"/>
    </row>
    <row r="1952" spans="1:12" x14ac:dyDescent="0.25">
      <c r="A1952" s="115">
        <v>1951</v>
      </c>
      <c r="B1952" s="167">
        <v>45742</v>
      </c>
      <c r="C1952" s="117">
        <v>2025</v>
      </c>
      <c r="D1952" s="119" t="s">
        <v>35</v>
      </c>
      <c r="E1952" s="119" t="s">
        <v>1274</v>
      </c>
      <c r="F1952" s="120">
        <v>1</v>
      </c>
      <c r="G1952" s="120" t="s">
        <v>759</v>
      </c>
      <c r="H1952" s="169">
        <v>95900</v>
      </c>
      <c r="J1952"/>
      <c r="K1952"/>
      <c r="L1952" s="104"/>
    </row>
    <row r="1953" spans="1:12" x14ac:dyDescent="0.25">
      <c r="A1953" s="115">
        <v>1952</v>
      </c>
      <c r="B1953" s="167">
        <v>45743</v>
      </c>
      <c r="C1953" s="117">
        <v>2025</v>
      </c>
      <c r="D1953" s="119" t="s">
        <v>35</v>
      </c>
      <c r="E1953" s="119" t="s">
        <v>1380</v>
      </c>
      <c r="F1953" s="120">
        <v>2</v>
      </c>
      <c r="G1953" s="120" t="s">
        <v>759</v>
      </c>
      <c r="H1953" s="169">
        <v>18000</v>
      </c>
      <c r="J1953"/>
      <c r="K1953"/>
      <c r="L1953" s="104"/>
    </row>
    <row r="1954" spans="1:12" x14ac:dyDescent="0.25">
      <c r="A1954" s="115">
        <v>1953</v>
      </c>
      <c r="B1954" s="167">
        <v>45743</v>
      </c>
      <c r="C1954" s="117">
        <v>2025</v>
      </c>
      <c r="D1954" s="119" t="s">
        <v>35</v>
      </c>
      <c r="E1954" s="119" t="s">
        <v>1381</v>
      </c>
      <c r="F1954" s="120">
        <v>18</v>
      </c>
      <c r="G1954" s="120" t="s">
        <v>759</v>
      </c>
      <c r="H1954" s="169">
        <v>1915002</v>
      </c>
      <c r="J1954"/>
      <c r="K1954"/>
      <c r="L1954" s="104"/>
    </row>
    <row r="1955" spans="1:12" x14ac:dyDescent="0.25">
      <c r="A1955" s="115">
        <v>1954</v>
      </c>
      <c r="B1955" s="167">
        <v>45743</v>
      </c>
      <c r="C1955" s="117">
        <v>2025</v>
      </c>
      <c r="D1955" s="119" t="s">
        <v>35</v>
      </c>
      <c r="E1955" s="119" t="s">
        <v>1382</v>
      </c>
      <c r="F1955" s="120">
        <v>18</v>
      </c>
      <c r="G1955" s="120" t="s">
        <v>759</v>
      </c>
      <c r="H1955" s="169">
        <v>1915002</v>
      </c>
      <c r="J1955"/>
      <c r="K1955"/>
      <c r="L1955" s="104"/>
    </row>
    <row r="1956" spans="1:12" x14ac:dyDescent="0.25">
      <c r="A1956" s="115">
        <v>1955</v>
      </c>
      <c r="B1956" s="167">
        <v>45743</v>
      </c>
      <c r="C1956" s="117">
        <v>2025</v>
      </c>
      <c r="D1956" s="119" t="s">
        <v>35</v>
      </c>
      <c r="E1956" s="119" t="s">
        <v>1383</v>
      </c>
      <c r="F1956" s="120">
        <v>3</v>
      </c>
      <c r="G1956" s="120" t="s">
        <v>759</v>
      </c>
      <c r="H1956" s="169">
        <v>350001</v>
      </c>
      <c r="J1956"/>
      <c r="K1956"/>
      <c r="L1956" s="104"/>
    </row>
    <row r="1957" spans="1:12" x14ac:dyDescent="0.25">
      <c r="A1957" s="115">
        <v>1956</v>
      </c>
      <c r="B1957" s="167">
        <v>45743</v>
      </c>
      <c r="C1957" s="117">
        <v>2025</v>
      </c>
      <c r="D1957" s="119" t="s">
        <v>851</v>
      </c>
      <c r="E1957" s="119" t="s">
        <v>1384</v>
      </c>
      <c r="F1957" s="120">
        <v>100</v>
      </c>
      <c r="G1957" s="120" t="s">
        <v>759</v>
      </c>
      <c r="H1957" s="169">
        <v>7000</v>
      </c>
      <c r="J1957"/>
      <c r="K1957"/>
      <c r="L1957" s="104"/>
    </row>
    <row r="1958" spans="1:12" x14ac:dyDescent="0.25">
      <c r="A1958" s="115">
        <v>1957</v>
      </c>
      <c r="B1958" s="167">
        <v>45743</v>
      </c>
      <c r="C1958" s="117">
        <v>2025</v>
      </c>
      <c r="D1958" s="119" t="s">
        <v>35</v>
      </c>
      <c r="E1958" s="119" t="s">
        <v>1385</v>
      </c>
      <c r="F1958" s="120">
        <v>11</v>
      </c>
      <c r="G1958" s="120" t="s">
        <v>759</v>
      </c>
      <c r="H1958" s="169">
        <v>251823</v>
      </c>
      <c r="J1958"/>
      <c r="K1958"/>
      <c r="L1958" s="104"/>
    </row>
    <row r="1959" spans="1:12" x14ac:dyDescent="0.25">
      <c r="A1959" s="115">
        <v>1958</v>
      </c>
      <c r="B1959" s="167">
        <v>45743</v>
      </c>
      <c r="C1959" s="117">
        <v>2025</v>
      </c>
      <c r="D1959" s="119" t="s">
        <v>35</v>
      </c>
      <c r="E1959" s="119" t="s">
        <v>1386</v>
      </c>
      <c r="F1959" s="120">
        <v>10</v>
      </c>
      <c r="G1959" s="120" t="s">
        <v>759</v>
      </c>
      <c r="H1959" s="169">
        <v>1791900</v>
      </c>
      <c r="J1959"/>
      <c r="K1959"/>
      <c r="L1959" s="104"/>
    </row>
    <row r="1960" spans="1:12" x14ac:dyDescent="0.25">
      <c r="A1960" s="115">
        <v>1959</v>
      </c>
      <c r="B1960" s="167">
        <v>45744</v>
      </c>
      <c r="C1960" s="117">
        <v>2025</v>
      </c>
      <c r="D1960" s="119" t="s">
        <v>35</v>
      </c>
      <c r="E1960" s="119" t="s">
        <v>1387</v>
      </c>
      <c r="F1960" s="120">
        <v>10</v>
      </c>
      <c r="G1960" s="120" t="s">
        <v>759</v>
      </c>
      <c r="H1960" s="169">
        <v>176000</v>
      </c>
      <c r="J1960"/>
      <c r="K1960"/>
      <c r="L1960" s="104"/>
    </row>
    <row r="1961" spans="1:12" x14ac:dyDescent="0.25">
      <c r="A1961" s="115">
        <v>1960</v>
      </c>
      <c r="B1961" s="167">
        <v>45744</v>
      </c>
      <c r="C1961" s="117">
        <v>2025</v>
      </c>
      <c r="D1961" s="119" t="s">
        <v>35</v>
      </c>
      <c r="E1961" s="119" t="s">
        <v>1388</v>
      </c>
      <c r="F1961" s="120">
        <v>1</v>
      </c>
      <c r="G1961" s="120" t="s">
        <v>759</v>
      </c>
      <c r="H1961" s="169">
        <v>25900</v>
      </c>
      <c r="J1961"/>
      <c r="K1961"/>
      <c r="L1961" s="104"/>
    </row>
    <row r="1962" spans="1:12" x14ac:dyDescent="0.25">
      <c r="A1962" s="115">
        <v>1961</v>
      </c>
      <c r="B1962" s="167">
        <v>45744</v>
      </c>
      <c r="C1962" s="117">
        <v>2025</v>
      </c>
      <c r="D1962" s="119" t="s">
        <v>851</v>
      </c>
      <c r="E1962" s="119" t="s">
        <v>299</v>
      </c>
      <c r="F1962" s="120">
        <v>2</v>
      </c>
      <c r="G1962" s="120" t="s">
        <v>759</v>
      </c>
      <c r="H1962" s="169">
        <v>16900</v>
      </c>
      <c r="J1962"/>
      <c r="K1962"/>
      <c r="L1962" s="104"/>
    </row>
    <row r="1963" spans="1:12" x14ac:dyDescent="0.25">
      <c r="A1963" s="115">
        <v>1962</v>
      </c>
      <c r="B1963" s="167">
        <v>45744</v>
      </c>
      <c r="C1963" s="117">
        <v>2025</v>
      </c>
      <c r="D1963" s="119" t="s">
        <v>35</v>
      </c>
      <c r="E1963" s="119" t="s">
        <v>1057</v>
      </c>
      <c r="F1963" s="120">
        <v>2</v>
      </c>
      <c r="G1963" s="120" t="s">
        <v>759</v>
      </c>
      <c r="H1963" s="169">
        <v>16300</v>
      </c>
      <c r="J1963"/>
      <c r="K1963"/>
      <c r="L1963" s="104"/>
    </row>
    <row r="1964" spans="1:12" x14ac:dyDescent="0.25">
      <c r="A1964" s="115">
        <v>1963</v>
      </c>
      <c r="B1964" s="167">
        <v>45744</v>
      </c>
      <c r="C1964" s="117">
        <v>2025</v>
      </c>
      <c r="D1964" s="119" t="s">
        <v>35</v>
      </c>
      <c r="E1964" s="119" t="s">
        <v>1389</v>
      </c>
      <c r="F1964" s="120">
        <v>3</v>
      </c>
      <c r="G1964" s="120" t="s">
        <v>759</v>
      </c>
      <c r="H1964" s="169">
        <v>264450</v>
      </c>
      <c r="J1964"/>
      <c r="K1964"/>
      <c r="L1964" s="104"/>
    </row>
    <row r="1965" spans="1:12" x14ac:dyDescent="0.25">
      <c r="A1965" s="115">
        <v>1964</v>
      </c>
      <c r="B1965" s="167">
        <v>45755</v>
      </c>
      <c r="C1965" s="117">
        <v>2025</v>
      </c>
      <c r="D1965" s="119" t="s">
        <v>35</v>
      </c>
      <c r="E1965" s="119" t="s">
        <v>230</v>
      </c>
      <c r="F1965" s="120">
        <v>2</v>
      </c>
      <c r="G1965" s="120" t="s">
        <v>759</v>
      </c>
      <c r="H1965" s="169">
        <v>140000</v>
      </c>
      <c r="J1965"/>
      <c r="K1965"/>
      <c r="L1965" s="104"/>
    </row>
    <row r="1966" spans="1:12" x14ac:dyDescent="0.25">
      <c r="A1966" s="115">
        <v>1965</v>
      </c>
      <c r="B1966" s="167">
        <v>45755</v>
      </c>
      <c r="C1966" s="117">
        <v>2025</v>
      </c>
      <c r="D1966" s="119" t="s">
        <v>833</v>
      </c>
      <c r="E1966" s="119" t="s">
        <v>1390</v>
      </c>
      <c r="F1966" s="120">
        <v>3</v>
      </c>
      <c r="G1966" s="120" t="s">
        <v>759</v>
      </c>
      <c r="H1966" s="169">
        <v>1895268</v>
      </c>
      <c r="J1966"/>
      <c r="K1966"/>
      <c r="L1966" s="104"/>
    </row>
    <row r="1967" spans="1:12" x14ac:dyDescent="0.25">
      <c r="A1967" s="115">
        <v>1966</v>
      </c>
      <c r="B1967" s="167">
        <v>45756</v>
      </c>
      <c r="C1967" s="117">
        <v>2025</v>
      </c>
      <c r="D1967" s="119" t="s">
        <v>259</v>
      </c>
      <c r="E1967" s="119" t="s">
        <v>1391</v>
      </c>
      <c r="F1967" s="120">
        <v>100</v>
      </c>
      <c r="G1967" s="120" t="s">
        <v>759</v>
      </c>
      <c r="H1967" s="169">
        <v>189900</v>
      </c>
      <c r="J1967"/>
      <c r="K1967"/>
      <c r="L1967" s="104"/>
    </row>
    <row r="1968" spans="1:12" x14ac:dyDescent="0.25">
      <c r="A1968" s="115">
        <v>1967</v>
      </c>
      <c r="B1968" s="167">
        <v>45759</v>
      </c>
      <c r="C1968" s="117">
        <v>2025</v>
      </c>
      <c r="D1968" s="119" t="s">
        <v>35</v>
      </c>
      <c r="E1968" s="119" t="s">
        <v>761</v>
      </c>
      <c r="F1968" s="120">
        <v>4</v>
      </c>
      <c r="G1968" s="120" t="s">
        <v>759</v>
      </c>
      <c r="H1968" s="169">
        <v>9000000</v>
      </c>
      <c r="J1968"/>
      <c r="K1968"/>
      <c r="L1968" s="104"/>
    </row>
    <row r="1969" spans="1:12" x14ac:dyDescent="0.25">
      <c r="A1969" s="115">
        <v>1968</v>
      </c>
      <c r="B1969" s="167">
        <v>45759</v>
      </c>
      <c r="C1969" s="117">
        <v>2025</v>
      </c>
      <c r="D1969" s="119" t="s">
        <v>35</v>
      </c>
      <c r="E1969" s="119" t="s">
        <v>1392</v>
      </c>
      <c r="F1969" s="120">
        <v>4</v>
      </c>
      <c r="G1969" s="120" t="s">
        <v>759</v>
      </c>
      <c r="H1969" s="169">
        <v>160000</v>
      </c>
      <c r="J1969"/>
      <c r="K1969"/>
      <c r="L1969" s="104"/>
    </row>
    <row r="1970" spans="1:12" x14ac:dyDescent="0.25">
      <c r="A1970" s="115">
        <v>1969</v>
      </c>
      <c r="B1970" s="167">
        <v>45761</v>
      </c>
      <c r="C1970" s="117">
        <v>2025</v>
      </c>
      <c r="D1970" s="119" t="s">
        <v>851</v>
      </c>
      <c r="E1970" s="119" t="s">
        <v>666</v>
      </c>
      <c r="F1970" s="120">
        <v>1</v>
      </c>
      <c r="G1970" s="120" t="s">
        <v>759</v>
      </c>
      <c r="H1970" s="169">
        <v>10900</v>
      </c>
      <c r="J1970"/>
      <c r="K1970"/>
      <c r="L1970" s="104"/>
    </row>
    <row r="1971" spans="1:12" x14ac:dyDescent="0.25">
      <c r="A1971" s="115">
        <v>1970</v>
      </c>
      <c r="B1971" s="167">
        <v>45761</v>
      </c>
      <c r="C1971" s="117">
        <v>2025</v>
      </c>
      <c r="D1971" s="119" t="s">
        <v>35</v>
      </c>
      <c r="E1971" s="119" t="s">
        <v>211</v>
      </c>
      <c r="F1971" s="120">
        <v>10</v>
      </c>
      <c r="G1971" s="120" t="s">
        <v>759</v>
      </c>
      <c r="H1971" s="169">
        <v>210000</v>
      </c>
      <c r="J1971"/>
      <c r="K1971"/>
      <c r="L1971" s="104"/>
    </row>
    <row r="1972" spans="1:12" x14ac:dyDescent="0.25">
      <c r="A1972" s="115">
        <v>1971</v>
      </c>
      <c r="B1972" s="167">
        <v>45761</v>
      </c>
      <c r="C1972" s="117">
        <v>2025</v>
      </c>
      <c r="D1972" s="119" t="s">
        <v>35</v>
      </c>
      <c r="E1972" s="119" t="s">
        <v>211</v>
      </c>
      <c r="F1972" s="120">
        <v>5</v>
      </c>
      <c r="G1972" s="120" t="s">
        <v>759</v>
      </c>
      <c r="H1972" s="169">
        <v>95000</v>
      </c>
      <c r="J1972"/>
      <c r="K1972"/>
      <c r="L1972" s="104"/>
    </row>
    <row r="1973" spans="1:12" x14ac:dyDescent="0.25">
      <c r="A1973" s="115">
        <v>1972</v>
      </c>
      <c r="B1973" s="167">
        <v>45761</v>
      </c>
      <c r="C1973" s="117">
        <v>2025</v>
      </c>
      <c r="D1973" s="119" t="s">
        <v>35</v>
      </c>
      <c r="E1973" s="119" t="s">
        <v>211</v>
      </c>
      <c r="F1973" s="120">
        <v>3</v>
      </c>
      <c r="G1973" s="120" t="s">
        <v>759</v>
      </c>
      <c r="H1973" s="169">
        <v>58500</v>
      </c>
      <c r="J1973"/>
      <c r="K1973"/>
      <c r="L1973" s="104"/>
    </row>
    <row r="1974" spans="1:12" x14ac:dyDescent="0.25">
      <c r="A1974" s="115">
        <v>1973</v>
      </c>
      <c r="B1974" s="167">
        <v>45761</v>
      </c>
      <c r="C1974" s="117">
        <v>2025</v>
      </c>
      <c r="D1974" s="119" t="s">
        <v>851</v>
      </c>
      <c r="E1974" s="119" t="s">
        <v>175</v>
      </c>
      <c r="F1974" s="120">
        <v>100</v>
      </c>
      <c r="G1974" s="120" t="s">
        <v>759</v>
      </c>
      <c r="H1974" s="169">
        <v>34900</v>
      </c>
      <c r="J1974"/>
      <c r="K1974"/>
      <c r="L1974" s="104"/>
    </row>
    <row r="1975" spans="1:12" x14ac:dyDescent="0.25">
      <c r="A1975" s="115">
        <v>1974</v>
      </c>
      <c r="B1975" s="167">
        <v>45761</v>
      </c>
      <c r="C1975" s="117">
        <v>2025</v>
      </c>
      <c r="D1975" s="119" t="s">
        <v>851</v>
      </c>
      <c r="E1975" s="119" t="s">
        <v>544</v>
      </c>
      <c r="F1975" s="120">
        <v>10</v>
      </c>
      <c r="G1975" s="120" t="s">
        <v>759</v>
      </c>
      <c r="H1975" s="169">
        <v>187900</v>
      </c>
      <c r="J1975"/>
      <c r="K1975"/>
      <c r="L1975" s="104"/>
    </row>
    <row r="1976" spans="1:12" x14ac:dyDescent="0.25">
      <c r="A1976" s="115">
        <v>1975</v>
      </c>
      <c r="B1976" s="167">
        <v>45761</v>
      </c>
      <c r="C1976" s="117">
        <v>2025</v>
      </c>
      <c r="D1976" s="119" t="s">
        <v>851</v>
      </c>
      <c r="E1976" s="119" t="s">
        <v>481</v>
      </c>
      <c r="F1976" s="120">
        <v>5</v>
      </c>
      <c r="G1976" s="120" t="s">
        <v>759</v>
      </c>
      <c r="H1976" s="169">
        <v>15395</v>
      </c>
      <c r="J1976"/>
      <c r="K1976"/>
      <c r="L1976" s="104"/>
    </row>
    <row r="1977" spans="1:12" x14ac:dyDescent="0.25">
      <c r="A1977" s="115">
        <v>1976</v>
      </c>
      <c r="B1977" s="167">
        <v>45761</v>
      </c>
      <c r="C1977" s="117">
        <v>2025</v>
      </c>
      <c r="D1977" s="119" t="s">
        <v>851</v>
      </c>
      <c r="E1977" s="119" t="s">
        <v>493</v>
      </c>
      <c r="F1977" s="120">
        <v>10</v>
      </c>
      <c r="G1977" s="120" t="s">
        <v>759</v>
      </c>
      <c r="H1977" s="169">
        <v>100000</v>
      </c>
      <c r="J1977"/>
      <c r="K1977"/>
      <c r="L1977" s="104"/>
    </row>
    <row r="1978" spans="1:12" x14ac:dyDescent="0.25">
      <c r="A1978" s="115">
        <v>1977</v>
      </c>
      <c r="B1978" s="167">
        <v>45761</v>
      </c>
      <c r="C1978" s="117">
        <v>2025</v>
      </c>
      <c r="D1978" s="119" t="s">
        <v>851</v>
      </c>
      <c r="E1978" s="119" t="s">
        <v>84</v>
      </c>
      <c r="F1978" s="120">
        <v>2</v>
      </c>
      <c r="G1978" s="120" t="s">
        <v>759</v>
      </c>
      <c r="H1978" s="169">
        <v>30300</v>
      </c>
      <c r="J1978"/>
      <c r="K1978"/>
      <c r="L1978" s="104"/>
    </row>
    <row r="1979" spans="1:12" x14ac:dyDescent="0.25">
      <c r="A1979" s="115">
        <v>1978</v>
      </c>
      <c r="B1979" s="167">
        <v>45761</v>
      </c>
      <c r="C1979" s="117">
        <v>2025</v>
      </c>
      <c r="D1979" s="119" t="s">
        <v>259</v>
      </c>
      <c r="E1979" s="119" t="s">
        <v>338</v>
      </c>
      <c r="F1979" s="120">
        <v>2</v>
      </c>
      <c r="G1979" s="120" t="s">
        <v>759</v>
      </c>
      <c r="H1979" s="169">
        <v>850000</v>
      </c>
      <c r="J1979"/>
      <c r="K1979"/>
      <c r="L1979" s="104"/>
    </row>
    <row r="1980" spans="1:12" x14ac:dyDescent="0.25">
      <c r="A1980" s="115">
        <v>1979</v>
      </c>
      <c r="B1980" s="167">
        <v>45762</v>
      </c>
      <c r="C1980" s="117">
        <v>2025</v>
      </c>
      <c r="D1980" s="119" t="s">
        <v>833</v>
      </c>
      <c r="E1980" s="119" t="s">
        <v>103</v>
      </c>
      <c r="F1980" s="120">
        <v>36</v>
      </c>
      <c r="G1980" s="120" t="s">
        <v>759</v>
      </c>
      <c r="H1980" s="169">
        <v>30564</v>
      </c>
      <c r="J1980"/>
      <c r="K1980"/>
      <c r="L1980" s="104"/>
    </row>
    <row r="1981" spans="1:12" x14ac:dyDescent="0.25">
      <c r="A1981" s="115">
        <v>1980</v>
      </c>
      <c r="B1981" s="167">
        <v>45762</v>
      </c>
      <c r="C1981" s="117">
        <v>2025</v>
      </c>
      <c r="D1981" s="119" t="s">
        <v>833</v>
      </c>
      <c r="E1981" s="119" t="s">
        <v>632</v>
      </c>
      <c r="F1981" s="120">
        <v>12</v>
      </c>
      <c r="G1981" s="120" t="s">
        <v>759</v>
      </c>
      <c r="H1981" s="169">
        <v>10908</v>
      </c>
      <c r="J1981"/>
      <c r="K1981"/>
      <c r="L1981" s="104"/>
    </row>
    <row r="1982" spans="1:12" x14ac:dyDescent="0.25">
      <c r="A1982" s="115">
        <v>1981</v>
      </c>
      <c r="B1982" s="167">
        <v>45762</v>
      </c>
      <c r="C1982" s="117">
        <v>2025</v>
      </c>
      <c r="D1982" s="119" t="s">
        <v>833</v>
      </c>
      <c r="E1982" s="119" t="s">
        <v>632</v>
      </c>
      <c r="F1982" s="120">
        <v>12</v>
      </c>
      <c r="G1982" s="120" t="s">
        <v>759</v>
      </c>
      <c r="H1982" s="169">
        <v>10908</v>
      </c>
      <c r="J1982"/>
      <c r="K1982"/>
      <c r="L1982" s="104"/>
    </row>
    <row r="1983" spans="1:12" x14ac:dyDescent="0.25">
      <c r="A1983" s="115">
        <v>1982</v>
      </c>
      <c r="B1983" s="167">
        <v>45762</v>
      </c>
      <c r="C1983" s="117">
        <v>2025</v>
      </c>
      <c r="D1983" s="119" t="s">
        <v>35</v>
      </c>
      <c r="E1983" s="119" t="s">
        <v>1393</v>
      </c>
      <c r="F1983" s="120">
        <v>1</v>
      </c>
      <c r="G1983" s="120" t="s">
        <v>759</v>
      </c>
      <c r="H1983" s="169">
        <v>53000</v>
      </c>
      <c r="J1983"/>
      <c r="K1983"/>
      <c r="L1983" s="104"/>
    </row>
    <row r="1984" spans="1:12" x14ac:dyDescent="0.25">
      <c r="A1984" s="115">
        <v>1983</v>
      </c>
      <c r="B1984" s="167">
        <v>45762</v>
      </c>
      <c r="C1984" s="117">
        <v>2025</v>
      </c>
      <c r="D1984" s="119" t="s">
        <v>35</v>
      </c>
      <c r="E1984" s="119" t="s">
        <v>1394</v>
      </c>
      <c r="F1984" s="120">
        <v>5</v>
      </c>
      <c r="G1984" s="120" t="s">
        <v>759</v>
      </c>
      <c r="H1984" s="169">
        <v>2325000</v>
      </c>
      <c r="J1984"/>
      <c r="K1984"/>
      <c r="L1984" s="104"/>
    </row>
    <row r="1985" spans="1:12" x14ac:dyDescent="0.25">
      <c r="A1985" s="115">
        <v>1984</v>
      </c>
      <c r="B1985" s="167">
        <v>45762</v>
      </c>
      <c r="C1985" s="117">
        <v>2025</v>
      </c>
      <c r="D1985" s="119" t="s">
        <v>35</v>
      </c>
      <c r="E1985" s="119" t="s">
        <v>1395</v>
      </c>
      <c r="F1985" s="120">
        <v>1</v>
      </c>
      <c r="G1985" s="120" t="s">
        <v>759</v>
      </c>
      <c r="H1985" s="169">
        <v>207000</v>
      </c>
      <c r="J1985"/>
      <c r="K1985"/>
      <c r="L1985" s="104"/>
    </row>
    <row r="1986" spans="1:12" x14ac:dyDescent="0.25">
      <c r="A1986" s="115">
        <v>1985</v>
      </c>
      <c r="B1986" s="167">
        <v>45762</v>
      </c>
      <c r="C1986" s="117">
        <v>2025</v>
      </c>
      <c r="D1986" s="119" t="s">
        <v>35</v>
      </c>
      <c r="E1986" s="119" t="s">
        <v>1392</v>
      </c>
      <c r="F1986" s="120">
        <v>8</v>
      </c>
      <c r="G1986" s="120" t="s">
        <v>759</v>
      </c>
      <c r="H1986" s="169">
        <v>320000</v>
      </c>
      <c r="J1986"/>
      <c r="K1986"/>
      <c r="L1986" s="104"/>
    </row>
    <row r="1987" spans="1:12" x14ac:dyDescent="0.25">
      <c r="A1987" s="115">
        <v>1986</v>
      </c>
      <c r="B1987" s="167">
        <v>45763</v>
      </c>
      <c r="C1987" s="117">
        <v>2025</v>
      </c>
      <c r="D1987" s="119" t="s">
        <v>35</v>
      </c>
      <c r="E1987" s="119" t="s">
        <v>761</v>
      </c>
      <c r="F1987" s="120">
        <v>2</v>
      </c>
      <c r="G1987" s="120" t="s">
        <v>759</v>
      </c>
      <c r="H1987" s="169">
        <v>3150000</v>
      </c>
      <c r="J1987"/>
      <c r="K1987"/>
      <c r="L1987" s="104"/>
    </row>
    <row r="1988" spans="1:12" x14ac:dyDescent="0.25">
      <c r="A1988" s="115">
        <v>1987</v>
      </c>
      <c r="B1988" s="167">
        <v>45764</v>
      </c>
      <c r="C1988" s="117">
        <v>2025</v>
      </c>
      <c r="D1988" s="119" t="s">
        <v>259</v>
      </c>
      <c r="E1988" s="119" t="s">
        <v>760</v>
      </c>
      <c r="F1988" s="120">
        <v>1</v>
      </c>
      <c r="G1988" s="120" t="s">
        <v>759</v>
      </c>
      <c r="H1988" s="169">
        <v>106900</v>
      </c>
      <c r="J1988"/>
      <c r="K1988"/>
      <c r="L1988" s="104"/>
    </row>
    <row r="1989" spans="1:12" x14ac:dyDescent="0.25">
      <c r="A1989" s="115">
        <v>1988</v>
      </c>
      <c r="B1989" s="167">
        <v>45764</v>
      </c>
      <c r="C1989" s="117">
        <v>2025</v>
      </c>
      <c r="D1989" s="119" t="s">
        <v>259</v>
      </c>
      <c r="E1989" s="119" t="s">
        <v>1396</v>
      </c>
      <c r="F1989" s="120">
        <v>2</v>
      </c>
      <c r="G1989" s="120" t="s">
        <v>759</v>
      </c>
      <c r="H1989" s="169">
        <v>27150</v>
      </c>
      <c r="J1989"/>
      <c r="K1989"/>
      <c r="L1989" s="104"/>
    </row>
    <row r="1990" spans="1:12" x14ac:dyDescent="0.25">
      <c r="A1990" s="115">
        <v>1989</v>
      </c>
      <c r="B1990" s="167">
        <v>45764</v>
      </c>
      <c r="C1990" s="117">
        <v>2025</v>
      </c>
      <c r="D1990" s="119" t="s">
        <v>833</v>
      </c>
      <c r="E1990" s="119" t="s">
        <v>699</v>
      </c>
      <c r="F1990" s="120">
        <v>1</v>
      </c>
      <c r="G1990" s="120" t="s">
        <v>759</v>
      </c>
      <c r="H1990" s="169">
        <v>64800</v>
      </c>
      <c r="J1990"/>
      <c r="K1990"/>
      <c r="L1990" s="104"/>
    </row>
    <row r="1991" spans="1:12" x14ac:dyDescent="0.25">
      <c r="A1991" s="115">
        <v>1990</v>
      </c>
      <c r="B1991" s="167">
        <v>45764</v>
      </c>
      <c r="C1991" s="117">
        <v>2025</v>
      </c>
      <c r="D1991" s="119" t="s">
        <v>833</v>
      </c>
      <c r="E1991" s="119" t="s">
        <v>1397</v>
      </c>
      <c r="F1991" s="120">
        <v>5</v>
      </c>
      <c r="G1991" s="120" t="s">
        <v>759</v>
      </c>
      <c r="H1991" s="169">
        <v>125000</v>
      </c>
      <c r="J1991"/>
      <c r="K1991"/>
      <c r="L1991" s="104"/>
    </row>
    <row r="1992" spans="1:12" x14ac:dyDescent="0.25">
      <c r="A1992" s="115">
        <v>1991</v>
      </c>
      <c r="B1992" s="167">
        <v>45764</v>
      </c>
      <c r="C1992" s="117">
        <v>2025</v>
      </c>
      <c r="D1992" s="119" t="s">
        <v>259</v>
      </c>
      <c r="E1992" s="119" t="s">
        <v>1361</v>
      </c>
      <c r="F1992" s="120">
        <v>2</v>
      </c>
      <c r="G1992" s="120" t="s">
        <v>759</v>
      </c>
      <c r="H1992" s="169">
        <v>287900</v>
      </c>
      <c r="J1992"/>
      <c r="K1992"/>
      <c r="L1992" s="104"/>
    </row>
    <row r="1993" spans="1:12" x14ac:dyDescent="0.25">
      <c r="A1993" s="115">
        <v>1992</v>
      </c>
      <c r="B1993" s="167">
        <v>45764</v>
      </c>
      <c r="C1993" s="117">
        <v>2025</v>
      </c>
      <c r="D1993" s="119" t="s">
        <v>851</v>
      </c>
      <c r="E1993" s="119" t="s">
        <v>855</v>
      </c>
      <c r="F1993" s="120">
        <v>5</v>
      </c>
      <c r="G1993" s="120" t="s">
        <v>759</v>
      </c>
      <c r="H1993" s="169">
        <v>37400</v>
      </c>
      <c r="J1993"/>
      <c r="K1993"/>
      <c r="L1993" s="104"/>
    </row>
    <row r="1994" spans="1:12" x14ac:dyDescent="0.25">
      <c r="A1994" s="115">
        <v>1993</v>
      </c>
      <c r="B1994" s="167">
        <v>45768</v>
      </c>
      <c r="C1994" s="117">
        <v>2025</v>
      </c>
      <c r="D1994" s="119" t="s">
        <v>35</v>
      </c>
      <c r="E1994" s="119" t="s">
        <v>1322</v>
      </c>
      <c r="F1994" s="120">
        <v>2</v>
      </c>
      <c r="G1994" s="120" t="s">
        <v>759</v>
      </c>
      <c r="H1994" s="169">
        <v>280000</v>
      </c>
      <c r="J1994"/>
      <c r="K1994"/>
      <c r="L1994" s="104"/>
    </row>
    <row r="1995" spans="1:12" x14ac:dyDescent="0.25">
      <c r="A1995" s="115">
        <v>1994</v>
      </c>
      <c r="B1995" s="167">
        <v>45768</v>
      </c>
      <c r="C1995" s="117">
        <v>2025</v>
      </c>
      <c r="D1995" s="119" t="s">
        <v>35</v>
      </c>
      <c r="E1995" s="119" t="s">
        <v>1340</v>
      </c>
      <c r="F1995" s="120">
        <v>2</v>
      </c>
      <c r="G1995" s="120" t="s">
        <v>759</v>
      </c>
      <c r="H1995" s="169">
        <v>2490000</v>
      </c>
      <c r="J1995"/>
      <c r="K1995"/>
      <c r="L1995" s="104"/>
    </row>
    <row r="1996" spans="1:12" x14ac:dyDescent="0.25">
      <c r="A1996" s="115">
        <v>1995</v>
      </c>
      <c r="B1996" s="167">
        <v>45769</v>
      </c>
      <c r="C1996" s="117">
        <v>2025</v>
      </c>
      <c r="D1996" s="119" t="s">
        <v>833</v>
      </c>
      <c r="E1996" s="119" t="s">
        <v>708</v>
      </c>
      <c r="F1996" s="120">
        <v>48</v>
      </c>
      <c r="G1996" s="120" t="s">
        <v>759</v>
      </c>
      <c r="H1996" s="169">
        <v>457920</v>
      </c>
      <c r="J1996"/>
      <c r="K1996"/>
      <c r="L1996" s="104"/>
    </row>
    <row r="1997" spans="1:12" x14ac:dyDescent="0.25">
      <c r="A1997" s="115">
        <v>1996</v>
      </c>
      <c r="B1997" s="167">
        <v>45770</v>
      </c>
      <c r="C1997" s="117">
        <v>2025</v>
      </c>
      <c r="D1997" s="119" t="s">
        <v>851</v>
      </c>
      <c r="E1997" s="119" t="s">
        <v>666</v>
      </c>
      <c r="F1997" s="120">
        <v>6</v>
      </c>
      <c r="G1997" s="120" t="s">
        <v>759</v>
      </c>
      <c r="H1997" s="169">
        <v>52902</v>
      </c>
      <c r="J1997"/>
      <c r="K1997"/>
      <c r="L1997" s="104"/>
    </row>
    <row r="1998" spans="1:12" x14ac:dyDescent="0.25">
      <c r="A1998" s="115">
        <v>1997</v>
      </c>
      <c r="B1998" s="167">
        <v>45770</v>
      </c>
      <c r="C1998" s="117">
        <v>2025</v>
      </c>
      <c r="D1998" s="119" t="s">
        <v>35</v>
      </c>
      <c r="E1998" s="119" t="s">
        <v>761</v>
      </c>
      <c r="F1998" s="120">
        <v>2</v>
      </c>
      <c r="G1998" s="120" t="s">
        <v>759</v>
      </c>
      <c r="H1998" s="169">
        <v>3150000</v>
      </c>
      <c r="J1998"/>
      <c r="K1998"/>
      <c r="L1998" s="104"/>
    </row>
    <row r="1999" spans="1:12" x14ac:dyDescent="0.25">
      <c r="A1999" s="115">
        <v>1998</v>
      </c>
      <c r="B1999" s="167">
        <v>45770</v>
      </c>
      <c r="C1999" s="117">
        <v>2025</v>
      </c>
      <c r="D1999" s="119" t="s">
        <v>35</v>
      </c>
      <c r="E1999" s="119" t="s">
        <v>739</v>
      </c>
      <c r="F1999" s="120">
        <v>75</v>
      </c>
      <c r="G1999" s="120" t="s">
        <v>759</v>
      </c>
      <c r="H1999" s="169">
        <v>555000</v>
      </c>
      <c r="J1999"/>
      <c r="K1999"/>
      <c r="L1999" s="104"/>
    </row>
    <row r="2000" spans="1:12" x14ac:dyDescent="0.25">
      <c r="A2000" s="115">
        <v>1999</v>
      </c>
      <c r="B2000" s="167">
        <v>45770</v>
      </c>
      <c r="C2000" s="117">
        <v>2025</v>
      </c>
      <c r="D2000" s="119" t="s">
        <v>833</v>
      </c>
      <c r="E2000" s="119" t="s">
        <v>1398</v>
      </c>
      <c r="F2000" s="120">
        <v>3</v>
      </c>
      <c r="G2000" s="120" t="s">
        <v>759</v>
      </c>
      <c r="H2000" s="169">
        <v>61851</v>
      </c>
      <c r="J2000"/>
      <c r="K2000"/>
      <c r="L2000" s="104"/>
    </row>
    <row r="2001" spans="1:12" x14ac:dyDescent="0.25">
      <c r="A2001" s="115">
        <v>2000</v>
      </c>
      <c r="B2001" s="167">
        <v>45770</v>
      </c>
      <c r="C2001" s="117">
        <v>2025</v>
      </c>
      <c r="D2001" s="119" t="s">
        <v>35</v>
      </c>
      <c r="E2001" s="119" t="s">
        <v>1399</v>
      </c>
      <c r="F2001" s="120">
        <v>1</v>
      </c>
      <c r="G2001" s="120" t="s">
        <v>759</v>
      </c>
      <c r="H2001" s="169">
        <v>19900</v>
      </c>
      <c r="J2001"/>
      <c r="K2001"/>
      <c r="L2001" s="104"/>
    </row>
    <row r="2002" spans="1:12" x14ac:dyDescent="0.25">
      <c r="A2002" s="115">
        <v>2001</v>
      </c>
      <c r="B2002" s="167">
        <v>45771</v>
      </c>
      <c r="C2002" s="117">
        <v>2025</v>
      </c>
      <c r="D2002" s="119" t="s">
        <v>35</v>
      </c>
      <c r="E2002" s="119" t="s">
        <v>137</v>
      </c>
      <c r="F2002" s="120">
        <v>3</v>
      </c>
      <c r="G2002" s="120" t="s">
        <v>759</v>
      </c>
      <c r="H2002" s="169">
        <v>380001</v>
      </c>
      <c r="J2002"/>
      <c r="K2002"/>
      <c r="L2002" s="104"/>
    </row>
    <row r="2003" spans="1:12" x14ac:dyDescent="0.25">
      <c r="A2003" s="115">
        <v>2002</v>
      </c>
      <c r="B2003" s="167">
        <v>45771</v>
      </c>
      <c r="C2003" s="117">
        <v>2025</v>
      </c>
      <c r="D2003" s="119" t="s">
        <v>35</v>
      </c>
      <c r="E2003" s="119" t="s">
        <v>139</v>
      </c>
      <c r="F2003" s="120">
        <v>1</v>
      </c>
      <c r="G2003" s="120" t="s">
        <v>759</v>
      </c>
      <c r="H2003" s="169">
        <v>122500</v>
      </c>
      <c r="J2003"/>
      <c r="K2003"/>
      <c r="L2003" s="104"/>
    </row>
    <row r="2004" spans="1:12" x14ac:dyDescent="0.25">
      <c r="A2004" s="115">
        <v>2003</v>
      </c>
      <c r="B2004" s="167">
        <v>45771</v>
      </c>
      <c r="C2004" s="117">
        <v>2025</v>
      </c>
      <c r="D2004" s="119" t="s">
        <v>35</v>
      </c>
      <c r="E2004" s="119" t="s">
        <v>145</v>
      </c>
      <c r="F2004" s="120">
        <v>1</v>
      </c>
      <c r="G2004" s="120" t="s">
        <v>759</v>
      </c>
      <c r="H2004" s="169">
        <v>291000</v>
      </c>
      <c r="J2004"/>
      <c r="K2004"/>
      <c r="L2004" s="104"/>
    </row>
    <row r="2005" spans="1:12" x14ac:dyDescent="0.25">
      <c r="A2005" s="115">
        <v>2004</v>
      </c>
      <c r="B2005" s="167">
        <v>45771</v>
      </c>
      <c r="C2005" s="117">
        <v>2025</v>
      </c>
      <c r="D2005" s="119" t="s">
        <v>35</v>
      </c>
      <c r="E2005" s="119" t="s">
        <v>145</v>
      </c>
      <c r="F2005" s="120">
        <v>1</v>
      </c>
      <c r="G2005" s="120" t="s">
        <v>759</v>
      </c>
      <c r="H2005" s="169">
        <v>271000</v>
      </c>
      <c r="J2005"/>
      <c r="K2005"/>
      <c r="L2005" s="104"/>
    </row>
    <row r="2006" spans="1:12" x14ac:dyDescent="0.25">
      <c r="A2006" s="115">
        <v>2005</v>
      </c>
      <c r="B2006" s="167">
        <v>45771</v>
      </c>
      <c r="C2006" s="117">
        <v>2025</v>
      </c>
      <c r="D2006" s="119" t="s">
        <v>35</v>
      </c>
      <c r="E2006" s="119" t="s">
        <v>133</v>
      </c>
      <c r="F2006" s="120">
        <v>1</v>
      </c>
      <c r="G2006" s="120" t="s">
        <v>759</v>
      </c>
      <c r="H2006" s="169">
        <v>366000</v>
      </c>
      <c r="J2006"/>
      <c r="K2006"/>
      <c r="L2006" s="104"/>
    </row>
    <row r="2007" spans="1:12" x14ac:dyDescent="0.25">
      <c r="A2007" s="115">
        <v>2006</v>
      </c>
      <c r="B2007" s="167">
        <v>45771</v>
      </c>
      <c r="C2007" s="117">
        <v>2025</v>
      </c>
      <c r="D2007" s="119" t="s">
        <v>35</v>
      </c>
      <c r="E2007" s="119" t="s">
        <v>142</v>
      </c>
      <c r="F2007" s="120">
        <v>1</v>
      </c>
      <c r="G2007" s="120" t="s">
        <v>759</v>
      </c>
      <c r="H2007" s="169">
        <v>60000</v>
      </c>
      <c r="J2007"/>
      <c r="K2007"/>
      <c r="L2007" s="104"/>
    </row>
    <row r="2008" spans="1:12" x14ac:dyDescent="0.25">
      <c r="A2008" s="115">
        <v>2007</v>
      </c>
      <c r="B2008" s="167">
        <v>45771</v>
      </c>
      <c r="C2008" s="117">
        <v>2025</v>
      </c>
      <c r="D2008" s="119" t="s">
        <v>35</v>
      </c>
      <c r="E2008" s="119" t="s">
        <v>1400</v>
      </c>
      <c r="F2008" s="120">
        <v>1</v>
      </c>
      <c r="G2008" s="120" t="s">
        <v>759</v>
      </c>
      <c r="H2008" s="169">
        <v>34500</v>
      </c>
      <c r="J2008"/>
      <c r="K2008"/>
      <c r="L2008" s="104"/>
    </row>
    <row r="2009" spans="1:12" x14ac:dyDescent="0.25">
      <c r="A2009" s="115">
        <v>2008</v>
      </c>
      <c r="B2009" s="167">
        <v>45771</v>
      </c>
      <c r="C2009" s="117">
        <v>2025</v>
      </c>
      <c r="D2009" s="119" t="s">
        <v>35</v>
      </c>
      <c r="E2009" s="119" t="s">
        <v>1401</v>
      </c>
      <c r="F2009" s="120">
        <v>1</v>
      </c>
      <c r="G2009" s="120" t="s">
        <v>759</v>
      </c>
      <c r="H2009" s="169">
        <v>8986</v>
      </c>
      <c r="J2009"/>
      <c r="K2009"/>
      <c r="L2009" s="104"/>
    </row>
    <row r="2010" spans="1:12" x14ac:dyDescent="0.25">
      <c r="A2010" s="115">
        <v>2009</v>
      </c>
      <c r="B2010" s="167">
        <v>45772</v>
      </c>
      <c r="C2010" s="117">
        <v>2025</v>
      </c>
      <c r="D2010" s="119" t="s">
        <v>35</v>
      </c>
      <c r="E2010" s="119" t="s">
        <v>1261</v>
      </c>
      <c r="F2010" s="120">
        <v>1</v>
      </c>
      <c r="G2010" s="120" t="s">
        <v>759</v>
      </c>
      <c r="H2010" s="169">
        <v>30000</v>
      </c>
      <c r="J2010"/>
      <c r="K2010"/>
      <c r="L2010" s="104"/>
    </row>
    <row r="2011" spans="1:12" x14ac:dyDescent="0.25">
      <c r="A2011" s="115">
        <v>2010</v>
      </c>
      <c r="B2011" s="167">
        <v>45772</v>
      </c>
      <c r="C2011" s="117">
        <v>2025</v>
      </c>
      <c r="D2011" s="119" t="s">
        <v>35</v>
      </c>
      <c r="E2011" s="119" t="s">
        <v>1262</v>
      </c>
      <c r="F2011" s="120">
        <v>1</v>
      </c>
      <c r="G2011" s="120" t="s">
        <v>759</v>
      </c>
      <c r="H2011" s="169">
        <v>160000</v>
      </c>
      <c r="J2011"/>
      <c r="K2011"/>
      <c r="L2011" s="104"/>
    </row>
    <row r="2012" spans="1:12" x14ac:dyDescent="0.25">
      <c r="A2012" s="115">
        <v>2011</v>
      </c>
      <c r="B2012" s="167">
        <v>45773</v>
      </c>
      <c r="C2012" s="117">
        <v>2025</v>
      </c>
      <c r="D2012" s="119" t="s">
        <v>833</v>
      </c>
      <c r="E2012" s="119" t="s">
        <v>476</v>
      </c>
      <c r="F2012" s="120">
        <v>4</v>
      </c>
      <c r="G2012" s="120" t="s">
        <v>759</v>
      </c>
      <c r="H2012" s="169">
        <v>96300</v>
      </c>
      <c r="J2012"/>
      <c r="K2012"/>
      <c r="L2012" s="104"/>
    </row>
    <row r="2013" spans="1:12" x14ac:dyDescent="0.25">
      <c r="A2013" s="115">
        <v>2012</v>
      </c>
      <c r="B2013" s="167">
        <v>45773</v>
      </c>
      <c r="C2013" s="117">
        <v>2025</v>
      </c>
      <c r="D2013" s="119" t="s">
        <v>833</v>
      </c>
      <c r="E2013" s="119" t="s">
        <v>1402</v>
      </c>
      <c r="F2013" s="120">
        <v>2</v>
      </c>
      <c r="G2013" s="120" t="s">
        <v>759</v>
      </c>
      <c r="H2013" s="169">
        <v>67900</v>
      </c>
      <c r="J2013"/>
      <c r="K2013"/>
      <c r="L2013" s="104"/>
    </row>
    <row r="2014" spans="1:12" x14ac:dyDescent="0.25">
      <c r="A2014" s="115">
        <v>2013</v>
      </c>
      <c r="B2014" s="167">
        <v>45773</v>
      </c>
      <c r="C2014" s="117">
        <v>2025</v>
      </c>
      <c r="D2014" s="119" t="s">
        <v>833</v>
      </c>
      <c r="E2014" s="119" t="s">
        <v>425</v>
      </c>
      <c r="F2014" s="120">
        <v>1</v>
      </c>
      <c r="G2014" s="120" t="s">
        <v>759</v>
      </c>
      <c r="H2014" s="169">
        <v>50400</v>
      </c>
      <c r="J2014"/>
      <c r="K2014"/>
      <c r="L2014" s="104"/>
    </row>
    <row r="2015" spans="1:12" x14ac:dyDescent="0.25">
      <c r="A2015" s="115">
        <v>2014</v>
      </c>
      <c r="B2015" s="167">
        <v>45773</v>
      </c>
      <c r="C2015" s="117">
        <v>2025</v>
      </c>
      <c r="D2015" s="119" t="s">
        <v>833</v>
      </c>
      <c r="E2015" s="119" t="s">
        <v>580</v>
      </c>
      <c r="F2015" s="120">
        <v>1</v>
      </c>
      <c r="G2015" s="120" t="s">
        <v>759</v>
      </c>
      <c r="H2015" s="169">
        <v>50400</v>
      </c>
      <c r="J2015"/>
      <c r="K2015"/>
      <c r="L2015" s="104"/>
    </row>
    <row r="2016" spans="1:12" x14ac:dyDescent="0.25">
      <c r="A2016" s="115">
        <v>2015</v>
      </c>
      <c r="B2016" s="167">
        <v>45773</v>
      </c>
      <c r="C2016" s="117">
        <v>2025</v>
      </c>
      <c r="D2016" s="119" t="s">
        <v>833</v>
      </c>
      <c r="E2016" s="119" t="s">
        <v>495</v>
      </c>
      <c r="F2016" s="120">
        <v>10</v>
      </c>
      <c r="G2016" s="120" t="s">
        <v>759</v>
      </c>
      <c r="H2016" s="169">
        <v>451900</v>
      </c>
      <c r="J2016"/>
      <c r="K2016"/>
      <c r="L2016" s="104"/>
    </row>
    <row r="2017" spans="1:12" x14ac:dyDescent="0.25">
      <c r="A2017" s="115">
        <v>2016</v>
      </c>
      <c r="B2017" s="167">
        <v>45773</v>
      </c>
      <c r="C2017" s="117">
        <v>2025</v>
      </c>
      <c r="D2017" s="119" t="s">
        <v>833</v>
      </c>
      <c r="E2017" s="119" t="s">
        <v>1321</v>
      </c>
      <c r="F2017" s="120">
        <v>3</v>
      </c>
      <c r="G2017" s="120" t="s">
        <v>759</v>
      </c>
      <c r="H2017" s="169">
        <v>136899</v>
      </c>
      <c r="J2017"/>
      <c r="K2017"/>
      <c r="L2017" s="104"/>
    </row>
    <row r="2018" spans="1:12" x14ac:dyDescent="0.25">
      <c r="A2018" s="115">
        <v>2017</v>
      </c>
      <c r="B2018" s="167">
        <v>45776</v>
      </c>
      <c r="C2018" s="117">
        <v>2025</v>
      </c>
      <c r="D2018" s="119" t="s">
        <v>35</v>
      </c>
      <c r="E2018" s="119" t="s">
        <v>211</v>
      </c>
      <c r="F2018" s="120">
        <v>10</v>
      </c>
      <c r="G2018" s="120" t="s">
        <v>759</v>
      </c>
      <c r="H2018" s="169">
        <v>210000</v>
      </c>
      <c r="J2018"/>
      <c r="K2018"/>
      <c r="L2018" s="104"/>
    </row>
    <row r="2019" spans="1:12" x14ac:dyDescent="0.25">
      <c r="A2019" s="115">
        <v>2018</v>
      </c>
      <c r="B2019" s="167">
        <v>45776</v>
      </c>
      <c r="C2019" s="117">
        <v>2025</v>
      </c>
      <c r="D2019" s="119" t="s">
        <v>35</v>
      </c>
      <c r="E2019" s="119" t="s">
        <v>211</v>
      </c>
      <c r="F2019" s="120">
        <v>10</v>
      </c>
      <c r="G2019" s="120" t="s">
        <v>759</v>
      </c>
      <c r="H2019" s="169">
        <v>190000</v>
      </c>
      <c r="J2019"/>
      <c r="K2019"/>
      <c r="L2019" s="104"/>
    </row>
    <row r="2020" spans="1:12" x14ac:dyDescent="0.25">
      <c r="A2020" s="115">
        <v>2019</v>
      </c>
      <c r="B2020" s="167">
        <v>45776</v>
      </c>
      <c r="C2020" s="117">
        <v>2025</v>
      </c>
      <c r="D2020" s="119" t="s">
        <v>35</v>
      </c>
      <c r="E2020" s="119" t="s">
        <v>211</v>
      </c>
      <c r="F2020" s="120">
        <v>2</v>
      </c>
      <c r="G2020" s="120" t="s">
        <v>759</v>
      </c>
      <c r="H2020" s="169">
        <v>39000</v>
      </c>
      <c r="J2020"/>
      <c r="K2020"/>
      <c r="L2020" s="104"/>
    </row>
    <row r="2021" spans="1:12" x14ac:dyDescent="0.25">
      <c r="A2021" s="115">
        <v>2020</v>
      </c>
      <c r="B2021" s="167">
        <v>45776</v>
      </c>
      <c r="C2021" s="117">
        <v>2025</v>
      </c>
      <c r="D2021" s="119" t="s">
        <v>259</v>
      </c>
      <c r="E2021" s="119" t="s">
        <v>760</v>
      </c>
      <c r="F2021" s="120">
        <v>2</v>
      </c>
      <c r="G2021" s="120" t="s">
        <v>759</v>
      </c>
      <c r="H2021" s="169">
        <v>200100</v>
      </c>
      <c r="J2021"/>
      <c r="K2021"/>
      <c r="L2021" s="104"/>
    </row>
    <row r="2022" spans="1:12" x14ac:dyDescent="0.25">
      <c r="A2022" s="115">
        <v>2021</v>
      </c>
      <c r="B2022" s="167">
        <v>45776</v>
      </c>
      <c r="C2022" s="117">
        <v>2025</v>
      </c>
      <c r="D2022" s="119" t="s">
        <v>259</v>
      </c>
      <c r="E2022" s="119" t="s">
        <v>1403</v>
      </c>
      <c r="F2022" s="120">
        <v>1</v>
      </c>
      <c r="G2022" s="120" t="s">
        <v>759</v>
      </c>
      <c r="H2022" s="169">
        <v>27900</v>
      </c>
      <c r="J2022"/>
      <c r="K2022"/>
      <c r="L2022" s="104"/>
    </row>
    <row r="2023" spans="1:12" x14ac:dyDescent="0.25">
      <c r="A2023" s="115">
        <v>2022</v>
      </c>
      <c r="B2023" s="167">
        <v>45777</v>
      </c>
      <c r="C2023" s="117">
        <v>2025</v>
      </c>
      <c r="D2023" s="119" t="s">
        <v>833</v>
      </c>
      <c r="E2023" s="119" t="s">
        <v>290</v>
      </c>
      <c r="F2023" s="120">
        <v>10</v>
      </c>
      <c r="G2023" s="120" t="s">
        <v>759</v>
      </c>
      <c r="H2023" s="169">
        <v>241900</v>
      </c>
      <c r="J2023"/>
      <c r="K2023"/>
      <c r="L2023" s="104"/>
    </row>
    <row r="2024" spans="1:12" x14ac:dyDescent="0.25">
      <c r="A2024" s="115">
        <v>2023</v>
      </c>
      <c r="B2024" s="167">
        <v>45777</v>
      </c>
      <c r="C2024" s="117">
        <v>2025</v>
      </c>
      <c r="D2024" s="119" t="s">
        <v>833</v>
      </c>
      <c r="E2024" s="119" t="s">
        <v>658</v>
      </c>
      <c r="F2024" s="120">
        <v>2</v>
      </c>
      <c r="G2024" s="120" t="s">
        <v>759</v>
      </c>
      <c r="H2024" s="169">
        <v>72300</v>
      </c>
      <c r="J2024"/>
      <c r="K2024"/>
      <c r="L2024" s="104"/>
    </row>
    <row r="2025" spans="1:12" x14ac:dyDescent="0.25">
      <c r="A2025" s="115">
        <v>2024</v>
      </c>
      <c r="B2025" s="167">
        <v>45777</v>
      </c>
      <c r="C2025" s="117">
        <v>2025</v>
      </c>
      <c r="D2025" s="119" t="s">
        <v>833</v>
      </c>
      <c r="E2025" s="119" t="s">
        <v>299</v>
      </c>
      <c r="F2025" s="120">
        <v>12</v>
      </c>
      <c r="G2025" s="120" t="s">
        <v>759</v>
      </c>
      <c r="H2025" s="169">
        <v>67308</v>
      </c>
      <c r="J2025"/>
      <c r="K2025"/>
      <c r="L2025" s="104"/>
    </row>
    <row r="2026" spans="1:12" x14ac:dyDescent="0.25">
      <c r="A2026" s="115">
        <v>2025</v>
      </c>
      <c r="B2026" s="167">
        <v>45777</v>
      </c>
      <c r="C2026" s="117">
        <v>2025</v>
      </c>
      <c r="D2026" s="119" t="s">
        <v>833</v>
      </c>
      <c r="E2026" s="119" t="s">
        <v>1209</v>
      </c>
      <c r="F2026" s="120">
        <v>3</v>
      </c>
      <c r="G2026" s="120" t="s">
        <v>759</v>
      </c>
      <c r="H2026" s="169">
        <v>30372</v>
      </c>
      <c r="J2026"/>
      <c r="K2026"/>
      <c r="L2026" s="104"/>
    </row>
    <row r="2027" spans="1:12" x14ac:dyDescent="0.25">
      <c r="A2027" s="115">
        <v>2026</v>
      </c>
      <c r="B2027" s="167">
        <v>45782</v>
      </c>
      <c r="C2027" s="117">
        <v>2025</v>
      </c>
      <c r="D2027" s="119" t="s">
        <v>259</v>
      </c>
      <c r="E2027" s="119" t="s">
        <v>610</v>
      </c>
      <c r="F2027" s="120">
        <v>2</v>
      </c>
      <c r="G2027" s="120" t="s">
        <v>759</v>
      </c>
      <c r="H2027" s="169">
        <v>41900</v>
      </c>
      <c r="J2027"/>
      <c r="K2027"/>
      <c r="L2027" s="104"/>
    </row>
    <row r="2028" spans="1:12" x14ac:dyDescent="0.25">
      <c r="A2028" s="115">
        <v>2027</v>
      </c>
      <c r="B2028" s="167">
        <v>45782</v>
      </c>
      <c r="C2028" s="117">
        <v>2025</v>
      </c>
      <c r="D2028" s="119" t="s">
        <v>259</v>
      </c>
      <c r="E2028" s="119" t="s">
        <v>341</v>
      </c>
      <c r="F2028" s="120">
        <v>2</v>
      </c>
      <c r="G2028" s="120" t="s">
        <v>759</v>
      </c>
      <c r="H2028" s="169">
        <v>4250000</v>
      </c>
      <c r="J2028"/>
      <c r="K2028"/>
      <c r="L2028" s="104"/>
    </row>
    <row r="2029" spans="1:12" x14ac:dyDescent="0.25">
      <c r="A2029" s="115">
        <v>2028</v>
      </c>
      <c r="B2029" s="167">
        <v>45782</v>
      </c>
      <c r="C2029" s="117">
        <v>2025</v>
      </c>
      <c r="D2029" s="119" t="s">
        <v>833</v>
      </c>
      <c r="E2029" s="119" t="s">
        <v>1259</v>
      </c>
      <c r="F2029" s="120">
        <v>1</v>
      </c>
      <c r="G2029" s="120" t="s">
        <v>759</v>
      </c>
      <c r="H2029" s="169">
        <v>45400</v>
      </c>
      <c r="J2029"/>
      <c r="K2029"/>
      <c r="L2029" s="104"/>
    </row>
    <row r="2030" spans="1:12" x14ac:dyDescent="0.25">
      <c r="A2030" s="115">
        <v>2029</v>
      </c>
      <c r="B2030" s="167">
        <v>45783</v>
      </c>
      <c r="C2030" s="117">
        <v>2025</v>
      </c>
      <c r="D2030" s="119" t="s">
        <v>851</v>
      </c>
      <c r="E2030" s="119" t="s">
        <v>531</v>
      </c>
      <c r="F2030" s="120">
        <v>24</v>
      </c>
      <c r="G2030" s="120" t="s">
        <v>759</v>
      </c>
      <c r="H2030" s="169">
        <v>61512</v>
      </c>
      <c r="J2030"/>
      <c r="K2030"/>
      <c r="L2030" s="104"/>
    </row>
    <row r="2031" spans="1:12" x14ac:dyDescent="0.25">
      <c r="A2031" s="115">
        <v>2030</v>
      </c>
      <c r="B2031" s="167">
        <v>45783</v>
      </c>
      <c r="C2031" s="117">
        <v>2025</v>
      </c>
      <c r="D2031" s="119" t="s">
        <v>833</v>
      </c>
      <c r="E2031" s="119" t="s">
        <v>509</v>
      </c>
      <c r="F2031" s="120">
        <v>12</v>
      </c>
      <c r="G2031" s="120" t="s">
        <v>759</v>
      </c>
      <c r="H2031" s="169">
        <v>12408</v>
      </c>
      <c r="J2031"/>
      <c r="K2031"/>
      <c r="L2031" s="104"/>
    </row>
    <row r="2032" spans="1:12" x14ac:dyDescent="0.25">
      <c r="A2032" s="115">
        <v>2031</v>
      </c>
      <c r="B2032" s="167">
        <v>45783</v>
      </c>
      <c r="C2032" s="117">
        <v>2025</v>
      </c>
      <c r="D2032" s="119" t="s">
        <v>35</v>
      </c>
      <c r="E2032" s="119" t="s">
        <v>1404</v>
      </c>
      <c r="F2032" s="120">
        <v>1</v>
      </c>
      <c r="G2032" s="120" t="s">
        <v>759</v>
      </c>
      <c r="H2032" s="169">
        <v>17150</v>
      </c>
      <c r="J2032"/>
      <c r="K2032"/>
      <c r="L2032" s="104"/>
    </row>
    <row r="2033" spans="1:12" x14ac:dyDescent="0.25">
      <c r="A2033" s="115">
        <v>2032</v>
      </c>
      <c r="B2033" s="167">
        <v>45783</v>
      </c>
      <c r="C2033" s="117">
        <v>2025</v>
      </c>
      <c r="D2033" s="119" t="s">
        <v>851</v>
      </c>
      <c r="E2033" s="119" t="s">
        <v>1405</v>
      </c>
      <c r="F2033" s="120">
        <v>1</v>
      </c>
      <c r="G2033" s="120" t="s">
        <v>759</v>
      </c>
      <c r="H2033" s="169">
        <v>561900</v>
      </c>
      <c r="J2033"/>
      <c r="K2033"/>
      <c r="L2033" s="104"/>
    </row>
    <row r="2034" spans="1:12" x14ac:dyDescent="0.25">
      <c r="A2034" s="115">
        <v>2033</v>
      </c>
      <c r="B2034" s="167">
        <v>45784</v>
      </c>
      <c r="C2034" s="117">
        <v>2025</v>
      </c>
      <c r="D2034" s="119" t="s">
        <v>1118</v>
      </c>
      <c r="E2034" s="119" t="s">
        <v>1406</v>
      </c>
      <c r="F2034" s="120">
        <v>2</v>
      </c>
      <c r="G2034" s="120" t="s">
        <v>759</v>
      </c>
      <c r="H2034" s="169">
        <v>20900</v>
      </c>
      <c r="J2034"/>
      <c r="K2034"/>
      <c r="L2034" s="104"/>
    </row>
    <row r="2035" spans="1:12" x14ac:dyDescent="0.25">
      <c r="A2035" s="115">
        <v>2034</v>
      </c>
      <c r="B2035" s="167">
        <v>45785</v>
      </c>
      <c r="C2035" s="117">
        <v>2025</v>
      </c>
      <c r="D2035" s="119" t="s">
        <v>35</v>
      </c>
      <c r="E2035" s="119" t="s">
        <v>1140</v>
      </c>
      <c r="F2035" s="120">
        <v>1</v>
      </c>
      <c r="G2035" s="120" t="s">
        <v>759</v>
      </c>
      <c r="H2035" s="169">
        <v>38900</v>
      </c>
      <c r="J2035"/>
      <c r="K2035"/>
      <c r="L2035" s="104"/>
    </row>
    <row r="2036" spans="1:12" x14ac:dyDescent="0.25">
      <c r="A2036" s="115">
        <v>2035</v>
      </c>
      <c r="B2036" s="167">
        <v>45786</v>
      </c>
      <c r="C2036" s="117">
        <v>2025</v>
      </c>
      <c r="D2036" s="119" t="s">
        <v>35</v>
      </c>
      <c r="E2036" s="119" t="s">
        <v>761</v>
      </c>
      <c r="F2036" s="120">
        <v>2</v>
      </c>
      <c r="G2036" s="120" t="s">
        <v>759</v>
      </c>
      <c r="H2036" s="169">
        <v>3150000</v>
      </c>
      <c r="J2036"/>
      <c r="K2036"/>
      <c r="L2036" s="104"/>
    </row>
    <row r="2037" spans="1:12" x14ac:dyDescent="0.25">
      <c r="A2037" s="115">
        <v>2036</v>
      </c>
      <c r="B2037" s="167">
        <v>45786</v>
      </c>
      <c r="C2037" s="117">
        <v>2025</v>
      </c>
      <c r="D2037" s="119" t="s">
        <v>35</v>
      </c>
      <c r="E2037" s="119" t="s">
        <v>761</v>
      </c>
      <c r="F2037" s="120">
        <v>4</v>
      </c>
      <c r="G2037" s="120" t="s">
        <v>759</v>
      </c>
      <c r="H2037" s="169">
        <v>9000000</v>
      </c>
      <c r="J2037"/>
      <c r="K2037"/>
      <c r="L2037" s="104"/>
    </row>
    <row r="2038" spans="1:12" x14ac:dyDescent="0.25">
      <c r="A2038" s="115">
        <v>2037</v>
      </c>
      <c r="B2038" s="167">
        <v>45787</v>
      </c>
      <c r="C2038" s="117">
        <v>2025</v>
      </c>
      <c r="D2038" s="119" t="s">
        <v>851</v>
      </c>
      <c r="E2038" s="119" t="s">
        <v>652</v>
      </c>
      <c r="F2038" s="120">
        <v>2</v>
      </c>
      <c r="G2038" s="120" t="s">
        <v>759</v>
      </c>
      <c r="H2038" s="169">
        <v>7000</v>
      </c>
      <c r="J2038"/>
      <c r="K2038"/>
      <c r="L2038" s="104"/>
    </row>
    <row r="2039" spans="1:12" x14ac:dyDescent="0.25">
      <c r="A2039" s="115">
        <v>2038</v>
      </c>
      <c r="B2039" s="167">
        <v>45787</v>
      </c>
      <c r="C2039" s="117">
        <v>2025</v>
      </c>
      <c r="D2039" s="119" t="s">
        <v>851</v>
      </c>
      <c r="E2039" s="119" t="s">
        <v>600</v>
      </c>
      <c r="F2039" s="120">
        <v>48</v>
      </c>
      <c r="G2039" s="120" t="s">
        <v>759</v>
      </c>
      <c r="H2039" s="169">
        <v>120000</v>
      </c>
      <c r="J2039"/>
      <c r="K2039"/>
      <c r="L2039" s="104"/>
    </row>
    <row r="2040" spans="1:12" x14ac:dyDescent="0.25">
      <c r="A2040" s="115">
        <v>2039</v>
      </c>
      <c r="B2040" s="167">
        <v>45787</v>
      </c>
      <c r="C2040" s="117">
        <v>2025</v>
      </c>
      <c r="D2040" s="119" t="s">
        <v>851</v>
      </c>
      <c r="E2040" s="119" t="s">
        <v>1407</v>
      </c>
      <c r="F2040" s="120">
        <v>6</v>
      </c>
      <c r="G2040" s="120" t="s">
        <v>759</v>
      </c>
      <c r="H2040" s="169">
        <v>714696</v>
      </c>
      <c r="J2040"/>
      <c r="K2040"/>
      <c r="L2040" s="104"/>
    </row>
    <row r="2041" spans="1:12" x14ac:dyDescent="0.25">
      <c r="A2041" s="115">
        <v>2040</v>
      </c>
      <c r="B2041" s="167">
        <v>45787</v>
      </c>
      <c r="C2041" s="117">
        <v>2025</v>
      </c>
      <c r="D2041" s="119" t="s">
        <v>851</v>
      </c>
      <c r="E2041" s="119" t="s">
        <v>1408</v>
      </c>
      <c r="F2041" s="120">
        <v>500</v>
      </c>
      <c r="G2041" s="120" t="s">
        <v>759</v>
      </c>
      <c r="H2041" s="169">
        <v>24000</v>
      </c>
      <c r="J2041"/>
      <c r="K2041"/>
      <c r="L2041" s="104"/>
    </row>
    <row r="2042" spans="1:12" x14ac:dyDescent="0.25">
      <c r="A2042" s="115">
        <v>2041</v>
      </c>
      <c r="B2042" s="167">
        <v>45790</v>
      </c>
      <c r="C2042" s="117">
        <v>2025</v>
      </c>
      <c r="D2042" s="119" t="s">
        <v>35</v>
      </c>
      <c r="E2042" s="119" t="s">
        <v>1291</v>
      </c>
      <c r="F2042" s="120">
        <v>100</v>
      </c>
      <c r="G2042" s="120" t="s">
        <v>759</v>
      </c>
      <c r="H2042" s="169">
        <v>850000</v>
      </c>
      <c r="J2042"/>
      <c r="K2042"/>
      <c r="L2042" s="104"/>
    </row>
    <row r="2043" spans="1:12" x14ac:dyDescent="0.25">
      <c r="A2043" s="115">
        <v>2042</v>
      </c>
      <c r="B2043" s="167">
        <v>45790</v>
      </c>
      <c r="C2043" s="117">
        <v>2025</v>
      </c>
      <c r="D2043" s="119" t="s">
        <v>35</v>
      </c>
      <c r="E2043" s="119" t="s">
        <v>1349</v>
      </c>
      <c r="F2043" s="120">
        <v>3</v>
      </c>
      <c r="G2043" s="120" t="s">
        <v>759</v>
      </c>
      <c r="H2043" s="169">
        <v>225900</v>
      </c>
      <c r="J2043"/>
      <c r="K2043"/>
      <c r="L2043" s="104"/>
    </row>
    <row r="2044" spans="1:12" x14ac:dyDescent="0.25">
      <c r="A2044" s="115">
        <v>2043</v>
      </c>
      <c r="B2044" s="167">
        <v>45790</v>
      </c>
      <c r="C2044" s="117">
        <v>2025</v>
      </c>
      <c r="D2044" s="119" t="s">
        <v>833</v>
      </c>
      <c r="E2044" s="119" t="s">
        <v>762</v>
      </c>
      <c r="F2044" s="120">
        <v>1</v>
      </c>
      <c r="G2044" s="120" t="s">
        <v>759</v>
      </c>
      <c r="H2044" s="169">
        <v>6495500</v>
      </c>
      <c r="J2044"/>
      <c r="K2044"/>
      <c r="L2044" s="104"/>
    </row>
    <row r="2045" spans="1:12" x14ac:dyDescent="0.25">
      <c r="A2045" s="115">
        <v>2044</v>
      </c>
      <c r="B2045" s="167">
        <v>45790</v>
      </c>
      <c r="C2045" s="117">
        <v>2025</v>
      </c>
      <c r="D2045" s="119" t="s">
        <v>35</v>
      </c>
      <c r="E2045" s="119" t="s">
        <v>1140</v>
      </c>
      <c r="F2045" s="120">
        <v>3</v>
      </c>
      <c r="G2045" s="120" t="s">
        <v>759</v>
      </c>
      <c r="H2045" s="169">
        <v>92301</v>
      </c>
      <c r="J2045"/>
      <c r="K2045"/>
      <c r="L2045" s="104"/>
    </row>
    <row r="2046" spans="1:12" x14ac:dyDescent="0.25">
      <c r="A2046" s="115">
        <v>2045</v>
      </c>
      <c r="B2046" s="167">
        <v>45791</v>
      </c>
      <c r="C2046" s="117">
        <v>2025</v>
      </c>
      <c r="D2046" s="119" t="s">
        <v>833</v>
      </c>
      <c r="E2046" s="119" t="s">
        <v>1293</v>
      </c>
      <c r="F2046" s="120">
        <v>10</v>
      </c>
      <c r="G2046" s="120" t="s">
        <v>759</v>
      </c>
      <c r="H2046" s="169">
        <v>244950</v>
      </c>
      <c r="J2046"/>
      <c r="K2046"/>
      <c r="L2046" s="104"/>
    </row>
    <row r="2047" spans="1:12" x14ac:dyDescent="0.25">
      <c r="A2047" s="115">
        <v>2046</v>
      </c>
      <c r="B2047" s="167">
        <v>45791</v>
      </c>
      <c r="C2047" s="117">
        <v>2025</v>
      </c>
      <c r="D2047" s="119" t="s">
        <v>833</v>
      </c>
      <c r="E2047" s="119" t="s">
        <v>1312</v>
      </c>
      <c r="F2047" s="120">
        <v>10</v>
      </c>
      <c r="G2047" s="120" t="s">
        <v>759</v>
      </c>
      <c r="H2047" s="169">
        <v>168950</v>
      </c>
      <c r="J2047"/>
      <c r="K2047"/>
      <c r="L2047" s="104"/>
    </row>
    <row r="2048" spans="1:12" x14ac:dyDescent="0.25">
      <c r="A2048" s="115">
        <v>2047</v>
      </c>
      <c r="B2048" s="167">
        <v>45791</v>
      </c>
      <c r="C2048" s="117">
        <v>2025</v>
      </c>
      <c r="D2048" s="119" t="s">
        <v>766</v>
      </c>
      <c r="E2048" s="119" t="s">
        <v>1409</v>
      </c>
      <c r="F2048" s="120">
        <v>1</v>
      </c>
      <c r="G2048" s="120" t="s">
        <v>759</v>
      </c>
      <c r="H2048" s="169">
        <v>2800000</v>
      </c>
      <c r="J2048"/>
      <c r="K2048"/>
      <c r="L2048" s="104"/>
    </row>
    <row r="2049" spans="1:12" x14ac:dyDescent="0.25">
      <c r="A2049" s="115">
        <v>2048</v>
      </c>
      <c r="B2049" s="167">
        <v>45793</v>
      </c>
      <c r="C2049" s="117">
        <v>2025</v>
      </c>
      <c r="D2049" s="119" t="s">
        <v>35</v>
      </c>
      <c r="E2049" s="119" t="s">
        <v>1410</v>
      </c>
      <c r="F2049" s="120">
        <v>2</v>
      </c>
      <c r="G2049" s="120" t="s">
        <v>759</v>
      </c>
      <c r="H2049" s="169">
        <v>12400</v>
      </c>
      <c r="J2049"/>
      <c r="K2049"/>
      <c r="L2049" s="104"/>
    </row>
    <row r="2050" spans="1:12" x14ac:dyDescent="0.25">
      <c r="A2050" s="115">
        <v>2049</v>
      </c>
      <c r="B2050" s="167">
        <v>45794</v>
      </c>
      <c r="C2050" s="117">
        <v>2025</v>
      </c>
      <c r="D2050" s="119" t="s">
        <v>35</v>
      </c>
      <c r="E2050" s="119" t="s">
        <v>1411</v>
      </c>
      <c r="F2050" s="120">
        <v>1</v>
      </c>
      <c r="G2050" s="120" t="s">
        <v>759</v>
      </c>
      <c r="H2050" s="169">
        <v>41900</v>
      </c>
      <c r="J2050"/>
      <c r="K2050"/>
      <c r="L2050" s="104"/>
    </row>
    <row r="2051" spans="1:12" x14ac:dyDescent="0.25">
      <c r="A2051" s="115">
        <v>2050</v>
      </c>
      <c r="B2051" s="167">
        <v>45796</v>
      </c>
      <c r="C2051" s="117">
        <v>2025</v>
      </c>
      <c r="D2051" s="119" t="s">
        <v>35</v>
      </c>
      <c r="E2051" s="119" t="s">
        <v>1056</v>
      </c>
      <c r="F2051" s="120">
        <v>2</v>
      </c>
      <c r="G2051" s="120" t="s">
        <v>759</v>
      </c>
      <c r="H2051" s="169">
        <v>18900</v>
      </c>
      <c r="J2051"/>
      <c r="K2051"/>
      <c r="L2051" s="104"/>
    </row>
    <row r="2052" spans="1:12" x14ac:dyDescent="0.25">
      <c r="A2052" s="115">
        <v>2051</v>
      </c>
      <c r="B2052" s="167">
        <v>45796</v>
      </c>
      <c r="C2052" s="117">
        <v>2025</v>
      </c>
      <c r="D2052" s="119" t="s">
        <v>35</v>
      </c>
      <c r="E2052" s="119" t="s">
        <v>1030</v>
      </c>
      <c r="F2052" s="120">
        <v>6</v>
      </c>
      <c r="G2052" s="120" t="s">
        <v>759</v>
      </c>
      <c r="H2052" s="169">
        <v>31902</v>
      </c>
      <c r="J2052"/>
      <c r="K2052"/>
      <c r="L2052" s="104"/>
    </row>
    <row r="2053" spans="1:12" x14ac:dyDescent="0.25">
      <c r="A2053" s="115">
        <v>2052</v>
      </c>
      <c r="B2053" s="167">
        <v>45796</v>
      </c>
      <c r="C2053" s="117">
        <v>2025</v>
      </c>
      <c r="D2053" s="119" t="s">
        <v>766</v>
      </c>
      <c r="E2053" s="119" t="s">
        <v>1409</v>
      </c>
      <c r="F2053" s="120">
        <v>3</v>
      </c>
      <c r="G2053" s="120" t="s">
        <v>759</v>
      </c>
      <c r="H2053" s="169">
        <v>8400000</v>
      </c>
      <c r="J2053"/>
      <c r="K2053"/>
      <c r="L2053" s="104"/>
    </row>
    <row r="2054" spans="1:12" x14ac:dyDescent="0.25">
      <c r="A2054" s="115">
        <v>2053</v>
      </c>
      <c r="B2054" s="167">
        <v>45797</v>
      </c>
      <c r="C2054" s="117">
        <v>2025</v>
      </c>
      <c r="D2054" s="119" t="s">
        <v>833</v>
      </c>
      <c r="E2054" s="119" t="s">
        <v>175</v>
      </c>
      <c r="F2054" s="120">
        <v>25</v>
      </c>
      <c r="G2054" s="120" t="s">
        <v>759</v>
      </c>
      <c r="H2054" s="169">
        <v>196250</v>
      </c>
      <c r="J2054"/>
      <c r="K2054"/>
      <c r="L2054" s="104"/>
    </row>
    <row r="2055" spans="1:12" x14ac:dyDescent="0.25">
      <c r="A2055" s="115">
        <v>2054</v>
      </c>
      <c r="B2055" s="167">
        <v>45797</v>
      </c>
      <c r="C2055" s="117">
        <v>2025</v>
      </c>
      <c r="D2055" s="119" t="s">
        <v>259</v>
      </c>
      <c r="E2055" s="119" t="s">
        <v>1412</v>
      </c>
      <c r="F2055" s="120">
        <v>2</v>
      </c>
      <c r="G2055" s="120" t="s">
        <v>759</v>
      </c>
      <c r="H2055" s="169">
        <v>62750</v>
      </c>
      <c r="J2055"/>
      <c r="K2055"/>
      <c r="L2055" s="104"/>
    </row>
    <row r="2056" spans="1:12" x14ac:dyDescent="0.25">
      <c r="A2056" s="115">
        <v>2055</v>
      </c>
      <c r="B2056" s="167">
        <v>45797</v>
      </c>
      <c r="C2056" s="117">
        <v>2025</v>
      </c>
      <c r="D2056" s="119" t="s">
        <v>259</v>
      </c>
      <c r="E2056" s="119" t="s">
        <v>1413</v>
      </c>
      <c r="F2056" s="120">
        <v>1</v>
      </c>
      <c r="G2056" s="120" t="s">
        <v>759</v>
      </c>
      <c r="H2056" s="169">
        <v>29850</v>
      </c>
      <c r="J2056"/>
      <c r="K2056"/>
      <c r="L2056" s="104"/>
    </row>
    <row r="2057" spans="1:12" x14ac:dyDescent="0.25">
      <c r="A2057" s="115">
        <v>2056</v>
      </c>
      <c r="B2057" s="167">
        <v>45797</v>
      </c>
      <c r="C2057" s="117">
        <v>2025</v>
      </c>
      <c r="D2057" s="119" t="s">
        <v>259</v>
      </c>
      <c r="E2057" s="119" t="s">
        <v>1414</v>
      </c>
      <c r="F2057" s="120">
        <v>1</v>
      </c>
      <c r="G2057" s="120" t="s">
        <v>759</v>
      </c>
      <c r="H2057" s="169">
        <v>1158500</v>
      </c>
      <c r="J2057"/>
      <c r="K2057"/>
      <c r="L2057" s="104"/>
    </row>
    <row r="2058" spans="1:12" x14ac:dyDescent="0.25">
      <c r="A2058" s="115">
        <v>2057</v>
      </c>
      <c r="B2058" s="167">
        <v>45797</v>
      </c>
      <c r="C2058" s="117">
        <v>2025</v>
      </c>
      <c r="D2058" s="119" t="s">
        <v>259</v>
      </c>
      <c r="E2058" s="119" t="s">
        <v>1415</v>
      </c>
      <c r="F2058" s="120">
        <v>1</v>
      </c>
      <c r="G2058" s="120" t="s">
        <v>759</v>
      </c>
      <c r="H2058" s="169">
        <v>206900</v>
      </c>
      <c r="J2058"/>
      <c r="K2058"/>
      <c r="L2058" s="104"/>
    </row>
    <row r="2059" spans="1:12" x14ac:dyDescent="0.25">
      <c r="A2059" s="115">
        <v>2058</v>
      </c>
      <c r="B2059" s="167">
        <v>45797</v>
      </c>
      <c r="C2059" s="117">
        <v>2025</v>
      </c>
      <c r="D2059" s="119" t="s">
        <v>259</v>
      </c>
      <c r="E2059" s="119" t="s">
        <v>1416</v>
      </c>
      <c r="F2059" s="120">
        <v>2</v>
      </c>
      <c r="G2059" s="120" t="s">
        <v>759</v>
      </c>
      <c r="H2059" s="169">
        <v>93898</v>
      </c>
      <c r="J2059"/>
      <c r="K2059"/>
      <c r="L2059" s="104"/>
    </row>
    <row r="2060" spans="1:12" x14ac:dyDescent="0.25">
      <c r="A2060" s="115">
        <v>2059</v>
      </c>
      <c r="B2060" s="167">
        <v>45797</v>
      </c>
      <c r="C2060" s="117">
        <v>2025</v>
      </c>
      <c r="D2060" s="119" t="s">
        <v>833</v>
      </c>
      <c r="E2060" s="119" t="s">
        <v>478</v>
      </c>
      <c r="F2060" s="120">
        <v>3</v>
      </c>
      <c r="G2060" s="120" t="s">
        <v>759</v>
      </c>
      <c r="H2060" s="169">
        <v>984150</v>
      </c>
      <c r="J2060"/>
      <c r="K2060"/>
      <c r="L2060" s="104"/>
    </row>
    <row r="2061" spans="1:12" x14ac:dyDescent="0.25">
      <c r="A2061" s="115">
        <v>2060</v>
      </c>
      <c r="B2061" s="167">
        <v>45797</v>
      </c>
      <c r="C2061" s="117">
        <v>2025</v>
      </c>
      <c r="D2061" s="119" t="s">
        <v>833</v>
      </c>
      <c r="E2061" s="119" t="s">
        <v>478</v>
      </c>
      <c r="F2061" s="120">
        <v>65</v>
      </c>
      <c r="G2061" s="120" t="s">
        <v>759</v>
      </c>
      <c r="H2061" s="169">
        <v>2802865</v>
      </c>
      <c r="J2061"/>
      <c r="K2061"/>
      <c r="L2061" s="104"/>
    </row>
    <row r="2062" spans="1:12" x14ac:dyDescent="0.25">
      <c r="A2062" s="115">
        <v>2061</v>
      </c>
      <c r="B2062" s="167">
        <v>45797</v>
      </c>
      <c r="C2062" s="117">
        <v>2025</v>
      </c>
      <c r="D2062" s="119" t="s">
        <v>851</v>
      </c>
      <c r="E2062" s="119" t="s">
        <v>1417</v>
      </c>
      <c r="F2062" s="120">
        <v>7</v>
      </c>
      <c r="G2062" s="120" t="s">
        <v>759</v>
      </c>
      <c r="H2062" s="169">
        <v>2202137</v>
      </c>
      <c r="J2062"/>
      <c r="K2062"/>
      <c r="L2062" s="104"/>
    </row>
    <row r="2063" spans="1:12" x14ac:dyDescent="0.25">
      <c r="A2063" s="115">
        <v>2062</v>
      </c>
      <c r="B2063" s="167">
        <v>45797</v>
      </c>
      <c r="C2063" s="117">
        <v>2025</v>
      </c>
      <c r="D2063" s="119" t="s">
        <v>851</v>
      </c>
      <c r="E2063" s="119" t="s">
        <v>299</v>
      </c>
      <c r="F2063" s="120">
        <v>2</v>
      </c>
      <c r="G2063" s="120" t="s">
        <v>759</v>
      </c>
      <c r="H2063" s="169">
        <v>17068</v>
      </c>
      <c r="J2063"/>
      <c r="K2063"/>
      <c r="L2063" s="104"/>
    </row>
    <row r="2064" spans="1:12" x14ac:dyDescent="0.25">
      <c r="A2064" s="115">
        <v>2063</v>
      </c>
      <c r="B2064" s="167">
        <v>45797</v>
      </c>
      <c r="C2064" s="117">
        <v>2025</v>
      </c>
      <c r="D2064" s="119" t="s">
        <v>851</v>
      </c>
      <c r="E2064" s="119" t="s">
        <v>1418</v>
      </c>
      <c r="F2064" s="120">
        <v>3</v>
      </c>
      <c r="G2064" s="120" t="s">
        <v>759</v>
      </c>
      <c r="H2064" s="169">
        <v>217002</v>
      </c>
      <c r="J2064"/>
      <c r="K2064"/>
      <c r="L2064" s="104"/>
    </row>
    <row r="2065" spans="1:12" x14ac:dyDescent="0.25">
      <c r="A2065" s="115">
        <v>2064</v>
      </c>
      <c r="B2065" s="167">
        <v>45798</v>
      </c>
      <c r="C2065" s="117">
        <v>2025</v>
      </c>
      <c r="D2065" s="119" t="s">
        <v>833</v>
      </c>
      <c r="E2065" s="119" t="s">
        <v>299</v>
      </c>
      <c r="F2065" s="120">
        <v>72</v>
      </c>
      <c r="G2065" s="120" t="s">
        <v>759</v>
      </c>
      <c r="H2065" s="169">
        <v>378864</v>
      </c>
      <c r="J2065"/>
      <c r="K2065"/>
      <c r="L2065" s="104"/>
    </row>
    <row r="2066" spans="1:12" x14ac:dyDescent="0.25">
      <c r="A2066" s="115">
        <v>2065</v>
      </c>
      <c r="B2066" s="167">
        <v>45798</v>
      </c>
      <c r="C2066" s="117">
        <v>2025</v>
      </c>
      <c r="D2066" s="119" t="s">
        <v>833</v>
      </c>
      <c r="E2066" s="119" t="s">
        <v>101</v>
      </c>
      <c r="F2066" s="120">
        <v>3</v>
      </c>
      <c r="G2066" s="120" t="s">
        <v>759</v>
      </c>
      <c r="H2066" s="169">
        <v>9507</v>
      </c>
      <c r="J2066"/>
      <c r="K2066"/>
      <c r="L2066" s="104"/>
    </row>
    <row r="2067" spans="1:12" x14ac:dyDescent="0.25">
      <c r="A2067" s="115">
        <v>2066</v>
      </c>
      <c r="B2067" s="167">
        <v>45798</v>
      </c>
      <c r="C2067" s="117">
        <v>2025</v>
      </c>
      <c r="D2067" s="119" t="s">
        <v>833</v>
      </c>
      <c r="E2067" s="119" t="s">
        <v>1419</v>
      </c>
      <c r="F2067" s="120">
        <v>12</v>
      </c>
      <c r="G2067" s="120" t="s">
        <v>759</v>
      </c>
      <c r="H2067" s="169">
        <v>56400</v>
      </c>
      <c r="J2067"/>
      <c r="K2067"/>
      <c r="L2067" s="104"/>
    </row>
    <row r="2068" spans="1:12" x14ac:dyDescent="0.25">
      <c r="A2068" s="115">
        <v>2067</v>
      </c>
      <c r="B2068" s="167">
        <v>45798</v>
      </c>
      <c r="C2068" s="117">
        <v>2025</v>
      </c>
      <c r="D2068" s="119" t="s">
        <v>833</v>
      </c>
      <c r="E2068" s="119" t="s">
        <v>1302</v>
      </c>
      <c r="F2068" s="120">
        <v>3</v>
      </c>
      <c r="G2068" s="120" t="s">
        <v>759</v>
      </c>
      <c r="H2068" s="169">
        <v>70902</v>
      </c>
      <c r="J2068"/>
      <c r="K2068"/>
      <c r="L2068" s="104"/>
    </row>
    <row r="2069" spans="1:12" x14ac:dyDescent="0.25">
      <c r="A2069" s="115">
        <v>2068</v>
      </c>
      <c r="B2069" s="167">
        <v>45798</v>
      </c>
      <c r="C2069" s="117">
        <v>2025</v>
      </c>
      <c r="D2069" s="119" t="s">
        <v>833</v>
      </c>
      <c r="E2069" s="119" t="s">
        <v>84</v>
      </c>
      <c r="F2069" s="120">
        <v>2</v>
      </c>
      <c r="G2069" s="120" t="s">
        <v>759</v>
      </c>
      <c r="H2069" s="169">
        <v>25900</v>
      </c>
      <c r="J2069"/>
      <c r="K2069"/>
      <c r="L2069" s="104"/>
    </row>
    <row r="2070" spans="1:12" x14ac:dyDescent="0.25">
      <c r="A2070" s="115">
        <v>2069</v>
      </c>
      <c r="B2070" s="167">
        <v>45798</v>
      </c>
      <c r="C2070" s="117">
        <v>2025</v>
      </c>
      <c r="D2070" s="119" t="s">
        <v>833</v>
      </c>
      <c r="E2070" s="119" t="s">
        <v>425</v>
      </c>
      <c r="F2070" s="120">
        <v>4</v>
      </c>
      <c r="G2070" s="120" t="s">
        <v>759</v>
      </c>
      <c r="H2070" s="169">
        <v>189896</v>
      </c>
      <c r="J2070"/>
      <c r="K2070"/>
      <c r="L2070" s="104"/>
    </row>
    <row r="2071" spans="1:12" x14ac:dyDescent="0.25">
      <c r="A2071" s="115">
        <v>2070</v>
      </c>
      <c r="B2071" s="167">
        <v>45800</v>
      </c>
      <c r="C2071" s="117">
        <v>2025</v>
      </c>
      <c r="D2071" s="119" t="s">
        <v>851</v>
      </c>
      <c r="E2071" s="119" t="s">
        <v>605</v>
      </c>
      <c r="F2071" s="120">
        <v>3</v>
      </c>
      <c r="G2071" s="120" t="s">
        <v>759</v>
      </c>
      <c r="H2071" s="169">
        <v>22602</v>
      </c>
      <c r="J2071"/>
      <c r="K2071"/>
      <c r="L2071" s="104"/>
    </row>
    <row r="2072" spans="1:12" x14ac:dyDescent="0.25">
      <c r="A2072" s="115">
        <v>2071</v>
      </c>
      <c r="B2072" s="167">
        <v>45800</v>
      </c>
      <c r="C2072" s="117">
        <v>2025</v>
      </c>
      <c r="D2072" s="119" t="s">
        <v>35</v>
      </c>
      <c r="E2072" s="119" t="s">
        <v>761</v>
      </c>
      <c r="F2072" s="120">
        <v>2</v>
      </c>
      <c r="G2072" s="120" t="s">
        <v>759</v>
      </c>
      <c r="H2072" s="169">
        <v>3150000</v>
      </c>
      <c r="J2072"/>
      <c r="K2072"/>
      <c r="L2072" s="104"/>
    </row>
    <row r="2073" spans="1:12" x14ac:dyDescent="0.25">
      <c r="A2073" s="115">
        <v>2072</v>
      </c>
      <c r="B2073" s="167">
        <v>45800</v>
      </c>
      <c r="C2073" s="117">
        <v>2025</v>
      </c>
      <c r="D2073" s="119" t="s">
        <v>35</v>
      </c>
      <c r="E2073" s="119" t="s">
        <v>739</v>
      </c>
      <c r="F2073" s="120">
        <v>75</v>
      </c>
      <c r="G2073" s="120" t="s">
        <v>759</v>
      </c>
      <c r="H2073" s="169">
        <v>555000</v>
      </c>
      <c r="J2073"/>
      <c r="K2073"/>
      <c r="L2073" s="104"/>
    </row>
    <row r="2074" spans="1:12" x14ac:dyDescent="0.25">
      <c r="A2074" s="115">
        <v>2073</v>
      </c>
      <c r="B2074" s="167">
        <v>45800</v>
      </c>
      <c r="C2074" s="117">
        <v>2025</v>
      </c>
      <c r="D2074" s="119" t="s">
        <v>35</v>
      </c>
      <c r="E2074" s="119" t="s">
        <v>1349</v>
      </c>
      <c r="F2074" s="120">
        <v>3</v>
      </c>
      <c r="G2074" s="120" t="s">
        <v>759</v>
      </c>
      <c r="H2074" s="169">
        <v>213900</v>
      </c>
      <c r="J2074"/>
      <c r="K2074"/>
      <c r="L2074" s="104"/>
    </row>
    <row r="2075" spans="1:12" x14ac:dyDescent="0.25">
      <c r="A2075" s="115">
        <v>2074</v>
      </c>
      <c r="B2075" s="167">
        <v>45800</v>
      </c>
      <c r="C2075" s="117">
        <v>2025</v>
      </c>
      <c r="D2075" s="119" t="s">
        <v>35</v>
      </c>
      <c r="E2075" s="119" t="s">
        <v>1420</v>
      </c>
      <c r="F2075" s="120">
        <v>1</v>
      </c>
      <c r="G2075" s="120" t="s">
        <v>759</v>
      </c>
      <c r="H2075" s="169">
        <v>60400</v>
      </c>
      <c r="J2075"/>
      <c r="K2075"/>
      <c r="L2075" s="104"/>
    </row>
    <row r="2076" spans="1:12" x14ac:dyDescent="0.25">
      <c r="A2076" s="115">
        <v>2075</v>
      </c>
      <c r="B2076" s="167">
        <v>45800</v>
      </c>
      <c r="C2076" s="117">
        <v>2025</v>
      </c>
      <c r="D2076" s="119" t="s">
        <v>35</v>
      </c>
      <c r="E2076" s="119" t="s">
        <v>1140</v>
      </c>
      <c r="F2076" s="120">
        <v>3</v>
      </c>
      <c r="G2076" s="120" t="s">
        <v>759</v>
      </c>
      <c r="H2076" s="169">
        <v>91902</v>
      </c>
      <c r="J2076"/>
      <c r="K2076"/>
      <c r="L2076" s="104"/>
    </row>
    <row r="2077" spans="1:12" x14ac:dyDescent="0.25">
      <c r="A2077" s="115">
        <v>2076</v>
      </c>
      <c r="B2077" s="167">
        <v>45801</v>
      </c>
      <c r="C2077" s="117">
        <v>2025</v>
      </c>
      <c r="D2077" s="119" t="s">
        <v>259</v>
      </c>
      <c r="E2077" s="119" t="s">
        <v>1333</v>
      </c>
      <c r="F2077" s="120">
        <v>1</v>
      </c>
      <c r="G2077" s="120" t="s">
        <v>759</v>
      </c>
      <c r="H2077" s="169">
        <v>872000</v>
      </c>
      <c r="J2077"/>
      <c r="K2077"/>
      <c r="L2077" s="104"/>
    </row>
    <row r="2078" spans="1:12" x14ac:dyDescent="0.25">
      <c r="A2078" s="115">
        <v>2077</v>
      </c>
      <c r="B2078" s="167">
        <v>45801</v>
      </c>
      <c r="C2078" s="117">
        <v>2025</v>
      </c>
      <c r="D2078" s="119" t="s">
        <v>259</v>
      </c>
      <c r="E2078" s="119" t="s">
        <v>1421</v>
      </c>
      <c r="F2078" s="120">
        <v>1</v>
      </c>
      <c r="G2078" s="120" t="s">
        <v>759</v>
      </c>
      <c r="H2078" s="169">
        <v>1152000</v>
      </c>
      <c r="J2078"/>
      <c r="K2078"/>
      <c r="L2078" s="104"/>
    </row>
    <row r="2079" spans="1:12" x14ac:dyDescent="0.25">
      <c r="A2079" s="115">
        <v>2078</v>
      </c>
      <c r="B2079" s="167">
        <v>45801</v>
      </c>
      <c r="C2079" s="117">
        <v>2025</v>
      </c>
      <c r="D2079" s="119" t="s">
        <v>259</v>
      </c>
      <c r="E2079" s="119" t="s">
        <v>760</v>
      </c>
      <c r="F2079" s="120">
        <v>1</v>
      </c>
      <c r="G2079" s="120" t="s">
        <v>759</v>
      </c>
      <c r="H2079" s="169">
        <v>90700</v>
      </c>
      <c r="J2079"/>
      <c r="K2079"/>
      <c r="L2079" s="104"/>
    </row>
    <row r="2080" spans="1:12" x14ac:dyDescent="0.25">
      <c r="A2080" s="115">
        <v>2079</v>
      </c>
      <c r="B2080" s="167">
        <v>45801</v>
      </c>
      <c r="C2080" s="117">
        <v>2025</v>
      </c>
      <c r="D2080" s="119" t="s">
        <v>259</v>
      </c>
      <c r="E2080" s="119" t="s">
        <v>760</v>
      </c>
      <c r="F2080" s="120">
        <v>1</v>
      </c>
      <c r="G2080" s="120" t="s">
        <v>759</v>
      </c>
      <c r="H2080" s="169">
        <v>90700</v>
      </c>
      <c r="J2080"/>
      <c r="K2080"/>
      <c r="L2080" s="104"/>
    </row>
    <row r="2081" spans="1:12" x14ac:dyDescent="0.25">
      <c r="A2081" s="115">
        <v>2080</v>
      </c>
      <c r="B2081" s="167">
        <v>45801</v>
      </c>
      <c r="C2081" s="117">
        <v>2025</v>
      </c>
      <c r="D2081" s="119" t="s">
        <v>851</v>
      </c>
      <c r="E2081" s="119" t="s">
        <v>180</v>
      </c>
      <c r="F2081" s="120">
        <v>20</v>
      </c>
      <c r="G2081" s="120" t="s">
        <v>759</v>
      </c>
      <c r="H2081" s="169">
        <v>50000</v>
      </c>
      <c r="J2081"/>
      <c r="K2081"/>
      <c r="L2081" s="104"/>
    </row>
    <row r="2082" spans="1:12" x14ac:dyDescent="0.25">
      <c r="A2082" s="115">
        <v>2081</v>
      </c>
      <c r="B2082" s="167">
        <v>45801</v>
      </c>
      <c r="C2082" s="117">
        <v>2025</v>
      </c>
      <c r="D2082" s="119" t="s">
        <v>259</v>
      </c>
      <c r="E2082" s="119" t="s">
        <v>1422</v>
      </c>
      <c r="F2082" s="120">
        <v>1</v>
      </c>
      <c r="G2082" s="120" t="s">
        <v>759</v>
      </c>
      <c r="H2082" s="169">
        <v>887000</v>
      </c>
      <c r="J2082"/>
      <c r="K2082"/>
      <c r="L2082" s="104"/>
    </row>
    <row r="2083" spans="1:12" x14ac:dyDescent="0.25">
      <c r="A2083" s="115">
        <v>2082</v>
      </c>
      <c r="B2083" s="167">
        <v>45801</v>
      </c>
      <c r="C2083" s="117">
        <v>2025</v>
      </c>
      <c r="D2083" s="119" t="s">
        <v>259</v>
      </c>
      <c r="E2083" s="119" t="s">
        <v>1423</v>
      </c>
      <c r="F2083" s="120">
        <v>1</v>
      </c>
      <c r="G2083" s="120" t="s">
        <v>759</v>
      </c>
      <c r="H2083" s="169">
        <v>837000</v>
      </c>
      <c r="J2083"/>
      <c r="K2083"/>
      <c r="L2083" s="104"/>
    </row>
    <row r="2084" spans="1:12" x14ac:dyDescent="0.25">
      <c r="A2084" s="115">
        <v>2083</v>
      </c>
      <c r="B2084" s="167">
        <v>45801</v>
      </c>
      <c r="C2084" s="117">
        <v>2025</v>
      </c>
      <c r="D2084" s="119" t="s">
        <v>259</v>
      </c>
      <c r="E2084" s="119" t="s">
        <v>335</v>
      </c>
      <c r="F2084" s="120">
        <v>1</v>
      </c>
      <c r="G2084" s="120" t="s">
        <v>759</v>
      </c>
      <c r="H2084" s="169">
        <v>137590</v>
      </c>
      <c r="J2084"/>
      <c r="K2084"/>
      <c r="L2084" s="104"/>
    </row>
    <row r="2085" spans="1:12" x14ac:dyDescent="0.25">
      <c r="A2085" s="115">
        <v>2084</v>
      </c>
      <c r="B2085" s="167">
        <v>45801</v>
      </c>
      <c r="C2085" s="117">
        <v>2025</v>
      </c>
      <c r="D2085" s="119" t="s">
        <v>259</v>
      </c>
      <c r="E2085" s="119" t="s">
        <v>989</v>
      </c>
      <c r="F2085" s="120">
        <v>1</v>
      </c>
      <c r="G2085" s="120" t="s">
        <v>759</v>
      </c>
      <c r="H2085" s="169">
        <v>182000</v>
      </c>
      <c r="J2085"/>
      <c r="K2085"/>
    </row>
    <row r="2086" spans="1:12" x14ac:dyDescent="0.25">
      <c r="A2086" s="115">
        <v>2085</v>
      </c>
      <c r="B2086" s="167">
        <v>45801</v>
      </c>
      <c r="C2086" s="117">
        <v>2025</v>
      </c>
      <c r="D2086" s="119" t="s">
        <v>259</v>
      </c>
      <c r="E2086" s="119" t="s">
        <v>989</v>
      </c>
      <c r="F2086" s="120">
        <v>1</v>
      </c>
      <c r="G2086" s="120" t="s">
        <v>759</v>
      </c>
      <c r="H2086" s="169">
        <v>182000</v>
      </c>
      <c r="J2086"/>
      <c r="K2086"/>
    </row>
    <row r="2087" spans="1:12" x14ac:dyDescent="0.25">
      <c r="A2087" s="115">
        <v>2086</v>
      </c>
      <c r="B2087" s="167">
        <v>45801</v>
      </c>
      <c r="C2087" s="117">
        <v>2025</v>
      </c>
      <c r="D2087" s="119" t="s">
        <v>259</v>
      </c>
      <c r="E2087" s="119" t="s">
        <v>1424</v>
      </c>
      <c r="F2087" s="120">
        <v>1</v>
      </c>
      <c r="G2087" s="120" t="s">
        <v>759</v>
      </c>
      <c r="H2087" s="169">
        <v>276000</v>
      </c>
      <c r="J2087"/>
      <c r="K2087"/>
    </row>
    <row r="2088" spans="1:12" x14ac:dyDescent="0.25">
      <c r="A2088" s="115">
        <v>2087</v>
      </c>
      <c r="B2088" s="167">
        <v>45801</v>
      </c>
      <c r="C2088" s="117">
        <v>2025</v>
      </c>
      <c r="D2088" s="119" t="s">
        <v>259</v>
      </c>
      <c r="E2088" s="119" t="s">
        <v>1424</v>
      </c>
      <c r="F2088" s="120">
        <v>1</v>
      </c>
      <c r="G2088" s="120" t="s">
        <v>759</v>
      </c>
      <c r="H2088" s="169">
        <v>276000</v>
      </c>
      <c r="J2088"/>
      <c r="K2088"/>
    </row>
    <row r="2089" spans="1:12" x14ac:dyDescent="0.25">
      <c r="A2089" s="115">
        <v>2088</v>
      </c>
      <c r="B2089" s="167">
        <v>45803</v>
      </c>
      <c r="C2089" s="117">
        <v>2025</v>
      </c>
      <c r="D2089" s="119" t="s">
        <v>259</v>
      </c>
      <c r="E2089" s="119" t="s">
        <v>1425</v>
      </c>
      <c r="F2089" s="120">
        <v>1</v>
      </c>
      <c r="G2089" s="120" t="s">
        <v>759</v>
      </c>
      <c r="H2089" s="169">
        <v>160000</v>
      </c>
      <c r="J2089"/>
      <c r="K2089"/>
    </row>
    <row r="2090" spans="1:12" x14ac:dyDescent="0.25">
      <c r="A2090" s="115">
        <v>2089</v>
      </c>
      <c r="B2090" s="167">
        <v>45803</v>
      </c>
      <c r="C2090" s="117">
        <v>2025</v>
      </c>
      <c r="D2090" s="119" t="s">
        <v>766</v>
      </c>
      <c r="E2090" s="119" t="s">
        <v>1219</v>
      </c>
      <c r="F2090" s="120">
        <v>1</v>
      </c>
      <c r="G2090" s="120" t="s">
        <v>759</v>
      </c>
      <c r="H2090" s="169">
        <v>1498000</v>
      </c>
      <c r="J2090"/>
      <c r="K2090"/>
    </row>
    <row r="2091" spans="1:12" x14ac:dyDescent="0.25">
      <c r="A2091" s="115">
        <v>2090</v>
      </c>
      <c r="B2091" s="167">
        <v>45804</v>
      </c>
      <c r="C2091" s="117">
        <v>2025</v>
      </c>
      <c r="D2091" s="119" t="s">
        <v>851</v>
      </c>
      <c r="E2091" s="119" t="s">
        <v>1426</v>
      </c>
      <c r="F2091" s="120">
        <v>1</v>
      </c>
      <c r="G2091" s="120" t="s">
        <v>759</v>
      </c>
      <c r="H2091" s="169">
        <v>276900</v>
      </c>
      <c r="J2091"/>
      <c r="K2091"/>
    </row>
    <row r="2092" spans="1:12" x14ac:dyDescent="0.25">
      <c r="A2092" s="115">
        <v>2091</v>
      </c>
      <c r="B2092" s="167">
        <v>45804</v>
      </c>
      <c r="C2092" s="117">
        <v>2025</v>
      </c>
      <c r="D2092" s="119" t="s">
        <v>833</v>
      </c>
      <c r="E2092" s="119" t="s">
        <v>398</v>
      </c>
      <c r="F2092" s="120">
        <v>12</v>
      </c>
      <c r="G2092" s="120" t="s">
        <v>759</v>
      </c>
      <c r="H2092" s="169">
        <v>13212</v>
      </c>
      <c r="J2092"/>
      <c r="K2092"/>
    </row>
    <row r="2093" spans="1:12" x14ac:dyDescent="0.25">
      <c r="A2093" s="115">
        <v>2092</v>
      </c>
      <c r="B2093" s="167">
        <v>45804</v>
      </c>
      <c r="C2093" s="117">
        <v>2025</v>
      </c>
      <c r="D2093" s="119" t="s">
        <v>833</v>
      </c>
      <c r="E2093" s="119" t="s">
        <v>630</v>
      </c>
      <c r="F2093" s="120">
        <v>24</v>
      </c>
      <c r="G2093" s="120" t="s">
        <v>759</v>
      </c>
      <c r="H2093" s="169">
        <v>24912</v>
      </c>
      <c r="J2093"/>
      <c r="K2093"/>
    </row>
    <row r="2094" spans="1:12" x14ac:dyDescent="0.25">
      <c r="A2094" s="115">
        <v>2093</v>
      </c>
      <c r="B2094" s="167">
        <v>45804</v>
      </c>
      <c r="C2094" s="117">
        <v>2025</v>
      </c>
      <c r="D2094" s="119" t="s">
        <v>833</v>
      </c>
      <c r="E2094" s="119" t="s">
        <v>491</v>
      </c>
      <c r="F2094" s="120">
        <v>5</v>
      </c>
      <c r="G2094" s="120" t="s">
        <v>759</v>
      </c>
      <c r="H2094" s="169">
        <v>36675</v>
      </c>
      <c r="J2094"/>
      <c r="K2094"/>
    </row>
    <row r="2095" spans="1:12" x14ac:dyDescent="0.25">
      <c r="A2095" s="115">
        <v>2094</v>
      </c>
      <c r="B2095" s="167">
        <v>45807</v>
      </c>
      <c r="C2095" s="117">
        <v>2025</v>
      </c>
      <c r="D2095" s="119" t="s">
        <v>35</v>
      </c>
      <c r="E2095" s="119" t="s">
        <v>1349</v>
      </c>
      <c r="F2095" s="120">
        <v>5</v>
      </c>
      <c r="G2095" s="120" t="s">
        <v>759</v>
      </c>
      <c r="H2095" s="169">
        <v>397900</v>
      </c>
      <c r="J2095"/>
      <c r="K2095"/>
    </row>
    <row r="2096" spans="1:12" x14ac:dyDescent="0.25">
      <c r="A2096" s="115">
        <v>2095</v>
      </c>
      <c r="B2096" s="167">
        <v>45807</v>
      </c>
      <c r="C2096" s="117">
        <v>2025</v>
      </c>
      <c r="D2096" s="119" t="s">
        <v>851</v>
      </c>
      <c r="E2096" s="119" t="s">
        <v>1148</v>
      </c>
      <c r="F2096" s="120">
        <v>1</v>
      </c>
      <c r="G2096" s="120" t="s">
        <v>759</v>
      </c>
      <c r="H2096" s="169">
        <v>20000</v>
      </c>
      <c r="J2096"/>
      <c r="K2096"/>
    </row>
    <row r="2097" spans="1:11" x14ac:dyDescent="0.25">
      <c r="A2097" s="115">
        <v>2096</v>
      </c>
      <c r="B2097" s="167">
        <v>45807</v>
      </c>
      <c r="C2097" s="117">
        <v>2025</v>
      </c>
      <c r="D2097" s="119" t="s">
        <v>35</v>
      </c>
      <c r="E2097" s="119" t="s">
        <v>1140</v>
      </c>
      <c r="F2097" s="120">
        <v>3</v>
      </c>
      <c r="G2097" s="120" t="s">
        <v>759</v>
      </c>
      <c r="H2097" s="169">
        <v>112902</v>
      </c>
      <c r="J2097"/>
      <c r="K2097"/>
    </row>
    <row r="2098" spans="1:11" x14ac:dyDescent="0.25">
      <c r="A2098" s="115">
        <v>2097</v>
      </c>
      <c r="B2098" s="167">
        <v>45807</v>
      </c>
      <c r="C2098" s="117">
        <v>2025</v>
      </c>
      <c r="D2098" s="119" t="s">
        <v>851</v>
      </c>
      <c r="E2098" s="119" t="s">
        <v>1329</v>
      </c>
      <c r="F2098" s="120">
        <v>3</v>
      </c>
      <c r="G2098" s="120" t="s">
        <v>759</v>
      </c>
      <c r="H2098" s="169">
        <v>126000</v>
      </c>
      <c r="J2098"/>
      <c r="K2098"/>
    </row>
    <row r="2099" spans="1:11" x14ac:dyDescent="0.25">
      <c r="A2099" s="115">
        <v>2098</v>
      </c>
      <c r="B2099" s="167">
        <v>45808</v>
      </c>
      <c r="C2099" s="117">
        <v>2025</v>
      </c>
      <c r="D2099" s="119" t="s">
        <v>851</v>
      </c>
      <c r="E2099" s="119" t="s">
        <v>666</v>
      </c>
      <c r="F2099" s="120">
        <v>1</v>
      </c>
      <c r="G2099" s="120" t="s">
        <v>759</v>
      </c>
      <c r="H2099" s="169">
        <v>26900</v>
      </c>
      <c r="J2099"/>
      <c r="K2099"/>
    </row>
    <row r="2100" spans="1:11" x14ac:dyDescent="0.25">
      <c r="A2100" s="115">
        <v>2099</v>
      </c>
      <c r="B2100" s="167">
        <v>45812</v>
      </c>
      <c r="C2100" s="117">
        <v>2025</v>
      </c>
      <c r="D2100" s="119" t="s">
        <v>35</v>
      </c>
      <c r="E2100" s="119" t="s">
        <v>211</v>
      </c>
      <c r="F2100" s="120">
        <v>5</v>
      </c>
      <c r="G2100" s="120" t="s">
        <v>759</v>
      </c>
      <c r="H2100" s="169">
        <v>95000</v>
      </c>
      <c r="J2100"/>
      <c r="K2100"/>
    </row>
    <row r="2101" spans="1:11" x14ac:dyDescent="0.25">
      <c r="A2101" s="115">
        <v>2100</v>
      </c>
      <c r="B2101" s="167">
        <v>45812</v>
      </c>
      <c r="C2101" s="117">
        <v>2025</v>
      </c>
      <c r="D2101" s="119" t="s">
        <v>851</v>
      </c>
      <c r="E2101" s="119" t="s">
        <v>1427</v>
      </c>
      <c r="F2101" s="120">
        <v>130</v>
      </c>
      <c r="G2101" s="120" t="s">
        <v>759</v>
      </c>
      <c r="H2101" s="169">
        <v>205270</v>
      </c>
      <c r="J2101"/>
      <c r="K2101"/>
    </row>
    <row r="2102" spans="1:11" x14ac:dyDescent="0.25">
      <c r="A2102" s="115">
        <v>2101</v>
      </c>
      <c r="B2102" s="167">
        <v>45812</v>
      </c>
      <c r="C2102" s="117">
        <v>2025</v>
      </c>
      <c r="D2102" s="119" t="s">
        <v>851</v>
      </c>
      <c r="E2102" s="119" t="s">
        <v>706</v>
      </c>
      <c r="F2102" s="120">
        <v>100</v>
      </c>
      <c r="G2102" s="120" t="s">
        <v>759</v>
      </c>
      <c r="H2102" s="169">
        <v>274400</v>
      </c>
      <c r="J2102"/>
      <c r="K2102"/>
    </row>
    <row r="2103" spans="1:11" x14ac:dyDescent="0.25">
      <c r="A2103" s="115">
        <v>2102</v>
      </c>
      <c r="B2103" s="167">
        <v>45812</v>
      </c>
      <c r="C2103" s="117">
        <v>2025</v>
      </c>
      <c r="D2103" s="119" t="s">
        <v>35</v>
      </c>
      <c r="E2103" s="119" t="s">
        <v>1428</v>
      </c>
      <c r="F2103" s="120">
        <v>50</v>
      </c>
      <c r="G2103" s="120" t="s">
        <v>759</v>
      </c>
      <c r="H2103" s="169">
        <v>249750</v>
      </c>
      <c r="J2103"/>
      <c r="K2103"/>
    </row>
    <row r="2104" spans="1:11" x14ac:dyDescent="0.25">
      <c r="A2104" s="115">
        <v>2103</v>
      </c>
      <c r="B2104" s="167">
        <v>45812</v>
      </c>
      <c r="C2104" s="117">
        <v>2025</v>
      </c>
      <c r="D2104" s="119" t="s">
        <v>851</v>
      </c>
      <c r="E2104" s="119" t="s">
        <v>1429</v>
      </c>
      <c r="F2104" s="120">
        <v>30</v>
      </c>
      <c r="G2104" s="120" t="s">
        <v>759</v>
      </c>
      <c r="H2104" s="169">
        <v>18420</v>
      </c>
      <c r="J2104"/>
      <c r="K2104"/>
    </row>
    <row r="2105" spans="1:11" x14ac:dyDescent="0.25">
      <c r="A2105" s="115">
        <v>2104</v>
      </c>
      <c r="B2105" s="167">
        <v>45813</v>
      </c>
      <c r="C2105" s="117">
        <v>2025</v>
      </c>
      <c r="D2105" s="119" t="s">
        <v>35</v>
      </c>
      <c r="E2105" s="119" t="s">
        <v>1324</v>
      </c>
      <c r="F2105" s="120">
        <v>1</v>
      </c>
      <c r="G2105" s="120" t="s">
        <v>759</v>
      </c>
      <c r="H2105" s="169">
        <v>4500</v>
      </c>
      <c r="J2105"/>
      <c r="K2105"/>
    </row>
    <row r="2106" spans="1:11" x14ac:dyDescent="0.25">
      <c r="A2106" s="115">
        <v>2105</v>
      </c>
      <c r="B2106" s="167">
        <v>45813</v>
      </c>
      <c r="C2106" s="117">
        <v>2025</v>
      </c>
      <c r="D2106" s="119" t="s">
        <v>35</v>
      </c>
      <c r="E2106" s="119" t="s">
        <v>963</v>
      </c>
      <c r="F2106" s="120">
        <v>6</v>
      </c>
      <c r="G2106" s="120" t="s">
        <v>759</v>
      </c>
      <c r="H2106" s="169">
        <v>130002</v>
      </c>
      <c r="J2106"/>
      <c r="K2106"/>
    </row>
    <row r="2107" spans="1:11" x14ac:dyDescent="0.25">
      <c r="A2107" s="115">
        <v>2106</v>
      </c>
      <c r="B2107" s="167">
        <v>45813</v>
      </c>
      <c r="C2107" s="117">
        <v>2025</v>
      </c>
      <c r="D2107" s="119" t="s">
        <v>35</v>
      </c>
      <c r="E2107" s="119" t="s">
        <v>1430</v>
      </c>
      <c r="F2107" s="120">
        <v>6</v>
      </c>
      <c r="G2107" s="120" t="s">
        <v>759</v>
      </c>
      <c r="H2107" s="169">
        <v>15000</v>
      </c>
      <c r="J2107"/>
      <c r="K2107"/>
    </row>
    <row r="2108" spans="1:11" x14ac:dyDescent="0.25">
      <c r="A2108" s="115">
        <v>2107</v>
      </c>
      <c r="B2108" s="167">
        <v>45815</v>
      </c>
      <c r="C2108" s="117">
        <v>2025</v>
      </c>
      <c r="D2108" s="119" t="s">
        <v>851</v>
      </c>
      <c r="E2108" s="119" t="s">
        <v>652</v>
      </c>
      <c r="F2108" s="120">
        <v>1</v>
      </c>
      <c r="G2108" s="120" t="s">
        <v>759</v>
      </c>
      <c r="H2108" s="169">
        <v>3635</v>
      </c>
      <c r="J2108"/>
      <c r="K2108"/>
    </row>
    <row r="2109" spans="1:11" x14ac:dyDescent="0.25">
      <c r="A2109" s="115">
        <v>2108</v>
      </c>
      <c r="B2109" s="167">
        <v>45815</v>
      </c>
      <c r="C2109" s="117">
        <v>2025</v>
      </c>
      <c r="D2109" s="119" t="s">
        <v>851</v>
      </c>
      <c r="E2109" s="119" t="s">
        <v>600</v>
      </c>
      <c r="F2109" s="120">
        <v>12</v>
      </c>
      <c r="G2109" s="120" t="s">
        <v>759</v>
      </c>
      <c r="H2109" s="169">
        <v>27588</v>
      </c>
      <c r="J2109"/>
      <c r="K2109"/>
    </row>
    <row r="2110" spans="1:11" x14ac:dyDescent="0.25">
      <c r="A2110" s="115">
        <v>2109</v>
      </c>
      <c r="B2110" s="167">
        <v>45815</v>
      </c>
      <c r="C2110" s="117">
        <v>2025</v>
      </c>
      <c r="D2110" s="119" t="s">
        <v>851</v>
      </c>
      <c r="E2110" s="119" t="s">
        <v>628</v>
      </c>
      <c r="F2110" s="120">
        <v>18</v>
      </c>
      <c r="G2110" s="120" t="s">
        <v>759</v>
      </c>
      <c r="H2110" s="169">
        <v>504000</v>
      </c>
      <c r="J2110"/>
      <c r="K2110"/>
    </row>
    <row r="2111" spans="1:11" x14ac:dyDescent="0.25">
      <c r="A2111" s="115">
        <v>2110</v>
      </c>
      <c r="B2111" s="167">
        <v>45815</v>
      </c>
      <c r="C2111" s="117">
        <v>2025</v>
      </c>
      <c r="D2111" s="119" t="s">
        <v>851</v>
      </c>
      <c r="E2111" s="119" t="s">
        <v>1408</v>
      </c>
      <c r="F2111" s="120">
        <v>100</v>
      </c>
      <c r="G2111" s="120" t="s">
        <v>759</v>
      </c>
      <c r="H2111" s="169">
        <v>4300</v>
      </c>
      <c r="J2111"/>
      <c r="K2111"/>
    </row>
    <row r="2112" spans="1:11" x14ac:dyDescent="0.25">
      <c r="A2112" s="115">
        <v>2111</v>
      </c>
      <c r="B2112" s="167">
        <v>45817</v>
      </c>
      <c r="C2112" s="117">
        <v>2025</v>
      </c>
      <c r="D2112" s="119" t="s">
        <v>35</v>
      </c>
      <c r="E2112" s="119" t="s">
        <v>628</v>
      </c>
      <c r="F2112" s="120">
        <v>1</v>
      </c>
      <c r="G2112" s="120" t="s">
        <v>759</v>
      </c>
      <c r="H2112" s="169">
        <v>28000</v>
      </c>
      <c r="J2112"/>
      <c r="K2112"/>
    </row>
    <row r="2113" spans="1:11" x14ac:dyDescent="0.25">
      <c r="A2113" s="115">
        <v>2112</v>
      </c>
      <c r="B2113" s="167">
        <v>45817</v>
      </c>
      <c r="C2113" s="117">
        <v>2025</v>
      </c>
      <c r="D2113" s="119" t="s">
        <v>851</v>
      </c>
      <c r="E2113" s="119" t="s">
        <v>1431</v>
      </c>
      <c r="F2113" s="120">
        <v>2</v>
      </c>
      <c r="G2113" s="120" t="s">
        <v>759</v>
      </c>
      <c r="H2113" s="169">
        <v>28898</v>
      </c>
      <c r="J2113"/>
      <c r="K2113"/>
    </row>
    <row r="2114" spans="1:11" x14ac:dyDescent="0.25">
      <c r="A2114" s="115">
        <v>2113</v>
      </c>
      <c r="B2114" s="167">
        <v>45818</v>
      </c>
      <c r="C2114" s="117">
        <v>2025</v>
      </c>
      <c r="D2114" s="119" t="s">
        <v>833</v>
      </c>
      <c r="E2114" s="119" t="s">
        <v>192</v>
      </c>
      <c r="F2114" s="120">
        <v>12</v>
      </c>
      <c r="G2114" s="120" t="s">
        <v>759</v>
      </c>
      <c r="H2114" s="169">
        <v>54204</v>
      </c>
      <c r="J2114"/>
      <c r="K2114"/>
    </row>
    <row r="2115" spans="1:11" x14ac:dyDescent="0.25">
      <c r="A2115" s="115">
        <v>2114</v>
      </c>
      <c r="B2115" s="167">
        <v>45818</v>
      </c>
      <c r="C2115" s="117">
        <v>2025</v>
      </c>
      <c r="D2115" s="119" t="s">
        <v>833</v>
      </c>
      <c r="E2115" s="119" t="s">
        <v>486</v>
      </c>
      <c r="F2115" s="120">
        <v>3</v>
      </c>
      <c r="G2115" s="120" t="s">
        <v>759</v>
      </c>
      <c r="H2115" s="169">
        <v>137802</v>
      </c>
      <c r="J2115"/>
      <c r="K2115"/>
    </row>
    <row r="2116" spans="1:11" x14ac:dyDescent="0.25">
      <c r="A2116" s="115">
        <v>2115</v>
      </c>
      <c r="B2116" s="167">
        <v>45818</v>
      </c>
      <c r="C2116" s="117">
        <v>2025</v>
      </c>
      <c r="D2116" s="119" t="s">
        <v>833</v>
      </c>
      <c r="E2116" s="119" t="s">
        <v>677</v>
      </c>
      <c r="F2116" s="120">
        <v>4</v>
      </c>
      <c r="G2116" s="120" t="s">
        <v>759</v>
      </c>
      <c r="H2116" s="169">
        <v>25900</v>
      </c>
      <c r="J2116"/>
      <c r="K2116"/>
    </row>
    <row r="2117" spans="1:11" x14ac:dyDescent="0.25">
      <c r="A2117" s="115">
        <v>2116</v>
      </c>
      <c r="B2117" s="167">
        <v>45818</v>
      </c>
      <c r="C2117" s="117">
        <v>2025</v>
      </c>
      <c r="D2117" s="119" t="s">
        <v>833</v>
      </c>
      <c r="E2117" s="119" t="s">
        <v>493</v>
      </c>
      <c r="F2117" s="120">
        <v>10</v>
      </c>
      <c r="G2117" s="120" t="s">
        <v>759</v>
      </c>
      <c r="H2117" s="169">
        <v>86900</v>
      </c>
      <c r="J2117"/>
      <c r="K2117"/>
    </row>
    <row r="2118" spans="1:11" x14ac:dyDescent="0.25">
      <c r="A2118" s="115">
        <v>2117</v>
      </c>
      <c r="B2118" s="167">
        <v>45819</v>
      </c>
      <c r="C2118" s="117">
        <v>2025</v>
      </c>
      <c r="D2118" s="119" t="s">
        <v>766</v>
      </c>
      <c r="E2118" s="119" t="s">
        <v>1432</v>
      </c>
      <c r="F2118" s="120">
        <v>1</v>
      </c>
      <c r="G2118" s="120" t="s">
        <v>759</v>
      </c>
      <c r="H2118" s="169">
        <v>1250000</v>
      </c>
      <c r="J2118"/>
      <c r="K2118"/>
    </row>
    <row r="2119" spans="1:11" x14ac:dyDescent="0.25">
      <c r="A2119" s="115">
        <v>2118</v>
      </c>
      <c r="B2119" s="167">
        <v>45820</v>
      </c>
      <c r="C2119" s="117">
        <v>2025</v>
      </c>
      <c r="D2119" s="119" t="s">
        <v>851</v>
      </c>
      <c r="E2119" s="119" t="s">
        <v>527</v>
      </c>
      <c r="F2119" s="120">
        <v>2</v>
      </c>
      <c r="G2119" s="120" t="s">
        <v>759</v>
      </c>
      <c r="H2119" s="169">
        <v>18900</v>
      </c>
      <c r="J2119"/>
      <c r="K2119"/>
    </row>
    <row r="2120" spans="1:11" x14ac:dyDescent="0.25">
      <c r="A2120" s="115">
        <v>2119</v>
      </c>
      <c r="B2120" s="167">
        <v>45820</v>
      </c>
      <c r="C2120" s="117">
        <v>2025</v>
      </c>
      <c r="D2120" s="119" t="s">
        <v>833</v>
      </c>
      <c r="E2120" s="119" t="s">
        <v>580</v>
      </c>
      <c r="F2120" s="120">
        <v>3</v>
      </c>
      <c r="G2120" s="120" t="s">
        <v>759</v>
      </c>
      <c r="H2120" s="169">
        <v>127533</v>
      </c>
      <c r="J2120"/>
      <c r="K2120"/>
    </row>
    <row r="2121" spans="1:11" x14ac:dyDescent="0.25">
      <c r="A2121" s="115">
        <v>2120</v>
      </c>
      <c r="B2121" s="167">
        <v>45820</v>
      </c>
      <c r="C2121" s="117">
        <v>2025</v>
      </c>
      <c r="D2121" s="119" t="s">
        <v>833</v>
      </c>
      <c r="E2121" s="119" t="s">
        <v>580</v>
      </c>
      <c r="F2121" s="120">
        <v>3</v>
      </c>
      <c r="G2121" s="120" t="s">
        <v>759</v>
      </c>
      <c r="H2121" s="169">
        <v>127533</v>
      </c>
      <c r="J2121"/>
      <c r="K2121"/>
    </row>
    <row r="2122" spans="1:11" x14ac:dyDescent="0.25">
      <c r="A2122" s="115">
        <v>2121</v>
      </c>
      <c r="B2122" s="167">
        <v>45820</v>
      </c>
      <c r="C2122" s="117">
        <v>2025</v>
      </c>
      <c r="D2122" s="119" t="s">
        <v>833</v>
      </c>
      <c r="E2122" s="119" t="s">
        <v>580</v>
      </c>
      <c r="F2122" s="120">
        <v>3</v>
      </c>
      <c r="G2122" s="120" t="s">
        <v>759</v>
      </c>
      <c r="H2122" s="169">
        <v>127533</v>
      </c>
      <c r="J2122"/>
      <c r="K2122"/>
    </row>
    <row r="2123" spans="1:11" x14ac:dyDescent="0.25">
      <c r="A2123" s="115">
        <v>2122</v>
      </c>
      <c r="B2123" s="167">
        <v>45821</v>
      </c>
      <c r="C2123" s="117">
        <v>2025</v>
      </c>
      <c r="D2123" s="119" t="s">
        <v>833</v>
      </c>
      <c r="E2123" s="119" t="s">
        <v>670</v>
      </c>
      <c r="F2123" s="120">
        <v>10</v>
      </c>
      <c r="G2123" s="120" t="s">
        <v>759</v>
      </c>
      <c r="H2123" s="169">
        <v>24390</v>
      </c>
      <c r="J2123"/>
      <c r="K2123"/>
    </row>
    <row r="2124" spans="1:11" x14ac:dyDescent="0.25">
      <c r="A2124" s="115">
        <v>2123</v>
      </c>
      <c r="B2124" s="167">
        <v>45821</v>
      </c>
      <c r="C2124" s="117">
        <v>2025</v>
      </c>
      <c r="D2124" s="119" t="s">
        <v>833</v>
      </c>
      <c r="E2124" s="119" t="s">
        <v>1312</v>
      </c>
      <c r="F2124" s="120">
        <v>12</v>
      </c>
      <c r="G2124" s="120" t="s">
        <v>759</v>
      </c>
      <c r="H2124" s="169">
        <v>153108</v>
      </c>
      <c r="J2124"/>
      <c r="K2124"/>
    </row>
    <row r="2125" spans="1:11" x14ac:dyDescent="0.25">
      <c r="A2125" s="115">
        <v>2124</v>
      </c>
      <c r="B2125" s="167">
        <v>45821</v>
      </c>
      <c r="C2125" s="117">
        <v>2025</v>
      </c>
      <c r="D2125" s="119" t="s">
        <v>833</v>
      </c>
      <c r="E2125" s="119" t="s">
        <v>700</v>
      </c>
      <c r="F2125" s="120">
        <v>3</v>
      </c>
      <c r="G2125" s="120" t="s">
        <v>759</v>
      </c>
      <c r="H2125" s="169">
        <v>84066</v>
      </c>
      <c r="J2125"/>
      <c r="K2125"/>
    </row>
    <row r="2126" spans="1:11" x14ac:dyDescent="0.25">
      <c r="A2126" s="115">
        <v>2125</v>
      </c>
      <c r="B2126" s="167">
        <v>45821</v>
      </c>
      <c r="C2126" s="117">
        <v>2025</v>
      </c>
      <c r="D2126" s="119" t="s">
        <v>35</v>
      </c>
      <c r="E2126" s="119" t="s">
        <v>1433</v>
      </c>
      <c r="F2126" s="120">
        <v>1</v>
      </c>
      <c r="G2126" s="120" t="s">
        <v>759</v>
      </c>
      <c r="H2126" s="169">
        <v>8500</v>
      </c>
      <c r="J2126"/>
      <c r="K2126"/>
    </row>
    <row r="2127" spans="1:11" x14ac:dyDescent="0.25">
      <c r="A2127" s="115">
        <v>2126</v>
      </c>
      <c r="B2127" s="167">
        <v>45822</v>
      </c>
      <c r="C2127" s="117">
        <v>2025</v>
      </c>
      <c r="D2127" s="119" t="s">
        <v>766</v>
      </c>
      <c r="E2127" s="119" t="s">
        <v>1434</v>
      </c>
      <c r="F2127" s="120">
        <v>40</v>
      </c>
      <c r="G2127" s="120" t="s">
        <v>759</v>
      </c>
      <c r="H2127" s="169">
        <v>2092000</v>
      </c>
      <c r="J2127"/>
      <c r="K2127"/>
    </row>
    <row r="2128" spans="1:11" x14ac:dyDescent="0.25">
      <c r="A2128" s="115">
        <v>2127</v>
      </c>
      <c r="B2128" s="167">
        <v>45822</v>
      </c>
      <c r="C2128" s="117">
        <v>2025</v>
      </c>
      <c r="D2128" s="119" t="s">
        <v>766</v>
      </c>
      <c r="E2128" s="119" t="s">
        <v>1219</v>
      </c>
      <c r="F2128" s="120">
        <v>1</v>
      </c>
      <c r="G2128" s="120" t="s">
        <v>759</v>
      </c>
      <c r="H2128" s="169">
        <v>1413000</v>
      </c>
      <c r="J2128"/>
      <c r="K2128"/>
    </row>
    <row r="2129" spans="1:11" x14ac:dyDescent="0.25">
      <c r="A2129" s="115">
        <v>2128</v>
      </c>
      <c r="B2129" s="167">
        <v>45825</v>
      </c>
      <c r="C2129" s="117">
        <v>2025</v>
      </c>
      <c r="D2129" s="119" t="s">
        <v>766</v>
      </c>
      <c r="E2129" s="119" t="s">
        <v>1434</v>
      </c>
      <c r="F2129" s="120">
        <v>100</v>
      </c>
      <c r="G2129" s="120" t="s">
        <v>759</v>
      </c>
      <c r="H2129" s="169">
        <v>2800000</v>
      </c>
      <c r="J2129"/>
      <c r="K2129"/>
    </row>
    <row r="2130" spans="1:11" x14ac:dyDescent="0.25">
      <c r="A2130" s="115">
        <v>2129</v>
      </c>
      <c r="B2130" s="167">
        <v>45825</v>
      </c>
      <c r="C2130" s="117">
        <v>2025</v>
      </c>
      <c r="D2130" s="119" t="s">
        <v>35</v>
      </c>
      <c r="E2130" s="119" t="s">
        <v>1435</v>
      </c>
      <c r="F2130" s="120">
        <v>1</v>
      </c>
      <c r="G2130" s="120" t="s">
        <v>759</v>
      </c>
      <c r="H2130" s="169">
        <v>37900</v>
      </c>
      <c r="J2130"/>
      <c r="K2130"/>
    </row>
    <row r="2131" spans="1:11" x14ac:dyDescent="0.25">
      <c r="A2131" s="115">
        <v>2130</v>
      </c>
      <c r="B2131" s="167">
        <v>45825</v>
      </c>
      <c r="C2131" s="117">
        <v>2025</v>
      </c>
      <c r="D2131" s="119" t="s">
        <v>851</v>
      </c>
      <c r="E2131" s="119" t="s">
        <v>1436</v>
      </c>
      <c r="F2131" s="120">
        <v>1</v>
      </c>
      <c r="G2131" s="120" t="s">
        <v>759</v>
      </c>
      <c r="H2131" s="169">
        <v>1243314</v>
      </c>
      <c r="J2131"/>
      <c r="K2131"/>
    </row>
    <row r="2132" spans="1:11" x14ac:dyDescent="0.25">
      <c r="A2132" s="115">
        <v>2131</v>
      </c>
      <c r="B2132" s="167">
        <v>45826</v>
      </c>
      <c r="C2132" s="117">
        <v>2025</v>
      </c>
      <c r="D2132" s="119" t="s">
        <v>833</v>
      </c>
      <c r="E2132" s="119" t="s">
        <v>603</v>
      </c>
      <c r="F2132" s="120">
        <v>100</v>
      </c>
      <c r="G2132" s="120" t="s">
        <v>759</v>
      </c>
      <c r="H2132" s="169">
        <v>22900</v>
      </c>
      <c r="J2132"/>
      <c r="K2132"/>
    </row>
    <row r="2133" spans="1:11" x14ac:dyDescent="0.25">
      <c r="A2133" s="115">
        <v>2132</v>
      </c>
      <c r="B2133" s="167">
        <v>45826</v>
      </c>
      <c r="C2133" s="117">
        <v>2025</v>
      </c>
      <c r="D2133" s="119" t="s">
        <v>833</v>
      </c>
      <c r="E2133" s="119" t="s">
        <v>1356</v>
      </c>
      <c r="F2133" s="120">
        <v>3</v>
      </c>
      <c r="G2133" s="120" t="s">
        <v>759</v>
      </c>
      <c r="H2133" s="169">
        <v>10902</v>
      </c>
      <c r="J2133"/>
      <c r="K2133"/>
    </row>
    <row r="2134" spans="1:11" x14ac:dyDescent="0.25">
      <c r="A2134" s="115">
        <v>2133</v>
      </c>
      <c r="B2134" s="167">
        <v>45826</v>
      </c>
      <c r="C2134" s="117">
        <v>2025</v>
      </c>
      <c r="D2134" s="119" t="s">
        <v>833</v>
      </c>
      <c r="E2134" s="119" t="s">
        <v>586</v>
      </c>
      <c r="F2134" s="120">
        <v>3</v>
      </c>
      <c r="G2134" s="120" t="s">
        <v>759</v>
      </c>
      <c r="H2134" s="169">
        <v>148902</v>
      </c>
      <c r="J2134"/>
      <c r="K2134"/>
    </row>
    <row r="2135" spans="1:11" x14ac:dyDescent="0.25">
      <c r="A2135" s="115">
        <v>2134</v>
      </c>
      <c r="B2135" s="167">
        <v>45827</v>
      </c>
      <c r="C2135" s="117">
        <v>2025</v>
      </c>
      <c r="D2135" s="119" t="s">
        <v>35</v>
      </c>
      <c r="E2135" s="119" t="s">
        <v>1115</v>
      </c>
      <c r="F2135" s="120">
        <v>1</v>
      </c>
      <c r="G2135" s="120" t="s">
        <v>759</v>
      </c>
      <c r="H2135" s="169">
        <v>9650</v>
      </c>
      <c r="J2135"/>
      <c r="K2135"/>
    </row>
    <row r="2136" spans="1:11" x14ac:dyDescent="0.25">
      <c r="A2136" s="115">
        <v>2135</v>
      </c>
      <c r="B2136" s="167">
        <v>45827</v>
      </c>
      <c r="C2136" s="117">
        <v>2025</v>
      </c>
      <c r="D2136" s="119" t="s">
        <v>35</v>
      </c>
      <c r="E2136" s="119" t="s">
        <v>1274</v>
      </c>
      <c r="F2136" s="120">
        <v>1</v>
      </c>
      <c r="G2136" s="120" t="s">
        <v>759</v>
      </c>
      <c r="H2136" s="169">
        <v>148000</v>
      </c>
      <c r="J2136"/>
      <c r="K2136"/>
    </row>
    <row r="2137" spans="1:11" x14ac:dyDescent="0.25">
      <c r="A2137" s="115">
        <v>2136</v>
      </c>
      <c r="B2137" s="167">
        <v>45827</v>
      </c>
      <c r="C2137" s="117">
        <v>2025</v>
      </c>
      <c r="D2137" s="119" t="s">
        <v>833</v>
      </c>
      <c r="E2137" s="119" t="s">
        <v>299</v>
      </c>
      <c r="F2137" s="120">
        <v>72</v>
      </c>
      <c r="G2137" s="120" t="s">
        <v>759</v>
      </c>
      <c r="H2137" s="169">
        <v>341208</v>
      </c>
      <c r="J2137"/>
      <c r="K2137"/>
    </row>
    <row r="2138" spans="1:11" x14ac:dyDescent="0.25">
      <c r="A2138" s="115">
        <v>2137</v>
      </c>
      <c r="B2138" s="167">
        <v>45827</v>
      </c>
      <c r="C2138" s="117">
        <v>2025</v>
      </c>
      <c r="D2138" s="119" t="s">
        <v>35</v>
      </c>
      <c r="E2138" s="119" t="s">
        <v>1437</v>
      </c>
      <c r="F2138" s="120">
        <v>1</v>
      </c>
      <c r="G2138" s="120" t="s">
        <v>759</v>
      </c>
      <c r="H2138" s="169">
        <v>250000</v>
      </c>
      <c r="J2138"/>
      <c r="K2138"/>
    </row>
    <row r="2139" spans="1:11" x14ac:dyDescent="0.25">
      <c r="A2139" s="115">
        <v>2138</v>
      </c>
      <c r="B2139" s="167">
        <v>45827</v>
      </c>
      <c r="C2139" s="117">
        <v>2025</v>
      </c>
      <c r="D2139" s="119" t="s">
        <v>833</v>
      </c>
      <c r="E2139" s="119" t="s">
        <v>495</v>
      </c>
      <c r="F2139" s="120">
        <v>3</v>
      </c>
      <c r="G2139" s="120" t="s">
        <v>759</v>
      </c>
      <c r="H2139" s="169">
        <v>123402</v>
      </c>
      <c r="J2139"/>
      <c r="K2139"/>
    </row>
    <row r="2140" spans="1:11" x14ac:dyDescent="0.25">
      <c r="A2140" s="115">
        <v>2139</v>
      </c>
      <c r="B2140" s="167">
        <v>45829</v>
      </c>
      <c r="C2140" s="117">
        <v>2025</v>
      </c>
      <c r="D2140" s="119" t="s">
        <v>35</v>
      </c>
      <c r="E2140" s="119" t="s">
        <v>1438</v>
      </c>
      <c r="F2140" s="120">
        <v>20</v>
      </c>
      <c r="G2140" s="120" t="s">
        <v>759</v>
      </c>
      <c r="H2140" s="169">
        <v>14061280</v>
      </c>
      <c r="J2140"/>
      <c r="K2140"/>
    </row>
    <row r="2141" spans="1:11" x14ac:dyDescent="0.25">
      <c r="A2141" s="115">
        <v>2140</v>
      </c>
      <c r="B2141" s="167">
        <v>45829</v>
      </c>
      <c r="C2141" s="117">
        <v>2025</v>
      </c>
      <c r="D2141" s="119" t="s">
        <v>35</v>
      </c>
      <c r="E2141" s="119" t="s">
        <v>1439</v>
      </c>
      <c r="F2141" s="120">
        <v>80</v>
      </c>
      <c r="G2141" s="120" t="s">
        <v>759</v>
      </c>
      <c r="H2141" s="169">
        <v>6384000</v>
      </c>
      <c r="J2141"/>
      <c r="K2141"/>
    </row>
    <row r="2142" spans="1:11" x14ac:dyDescent="0.25">
      <c r="A2142" s="115">
        <v>2141</v>
      </c>
      <c r="B2142" s="167">
        <v>45829</v>
      </c>
      <c r="C2142" s="117">
        <v>2025</v>
      </c>
      <c r="D2142" s="118" t="s">
        <v>766</v>
      </c>
      <c r="E2142" s="119" t="s">
        <v>1440</v>
      </c>
      <c r="F2142" s="120">
        <v>59</v>
      </c>
      <c r="G2142" s="120" t="s">
        <v>759</v>
      </c>
      <c r="H2142" s="169">
        <v>39825000</v>
      </c>
      <c r="J2142"/>
      <c r="K2142"/>
    </row>
    <row r="2143" spans="1:11" x14ac:dyDescent="0.25">
      <c r="A2143" s="115">
        <v>2142</v>
      </c>
      <c r="B2143" s="167">
        <v>45829</v>
      </c>
      <c r="C2143" s="117">
        <v>2025</v>
      </c>
      <c r="D2143" s="118" t="s">
        <v>766</v>
      </c>
      <c r="E2143" s="119" t="s">
        <v>1441</v>
      </c>
      <c r="F2143" s="120">
        <v>58</v>
      </c>
      <c r="G2143" s="120" t="s">
        <v>759</v>
      </c>
      <c r="H2143" s="169">
        <v>31610000</v>
      </c>
      <c r="J2143"/>
      <c r="K2143"/>
    </row>
    <row r="2144" spans="1:11" x14ac:dyDescent="0.25">
      <c r="A2144" s="115">
        <v>2143</v>
      </c>
      <c r="B2144" s="167">
        <v>45829</v>
      </c>
      <c r="C2144" s="117">
        <v>2025</v>
      </c>
      <c r="D2144" s="118" t="s">
        <v>766</v>
      </c>
      <c r="E2144" s="119" t="s">
        <v>1442</v>
      </c>
      <c r="F2144" s="120">
        <v>135</v>
      </c>
      <c r="G2144" s="120" t="s">
        <v>759</v>
      </c>
      <c r="H2144" s="169">
        <v>64125000</v>
      </c>
      <c r="J2144"/>
      <c r="K2144"/>
    </row>
    <row r="2145" spans="1:11" x14ac:dyDescent="0.25">
      <c r="A2145" s="115">
        <v>2144</v>
      </c>
      <c r="B2145" s="167">
        <v>45829</v>
      </c>
      <c r="C2145" s="117">
        <v>2025</v>
      </c>
      <c r="D2145" s="118" t="s">
        <v>766</v>
      </c>
      <c r="E2145" s="119" t="s">
        <v>1443</v>
      </c>
      <c r="F2145" s="120">
        <v>186</v>
      </c>
      <c r="G2145" s="120" t="s">
        <v>759</v>
      </c>
      <c r="H2145" s="169">
        <v>65100000</v>
      </c>
      <c r="J2145"/>
      <c r="K2145"/>
    </row>
    <row r="2146" spans="1:11" x14ac:dyDescent="0.25">
      <c r="A2146" s="115">
        <v>2145</v>
      </c>
      <c r="B2146" s="167">
        <v>45829</v>
      </c>
      <c r="C2146" s="117">
        <v>2025</v>
      </c>
      <c r="D2146" s="118" t="s">
        <v>766</v>
      </c>
      <c r="E2146" s="119" t="s">
        <v>1444</v>
      </c>
      <c r="F2146" s="120">
        <v>152</v>
      </c>
      <c r="G2146" s="120" t="s">
        <v>759</v>
      </c>
      <c r="H2146" s="169">
        <v>40525024</v>
      </c>
      <c r="J2146"/>
      <c r="K2146"/>
    </row>
    <row r="2147" spans="1:11" x14ac:dyDescent="0.25">
      <c r="A2147" s="115">
        <v>2146</v>
      </c>
      <c r="B2147" s="167">
        <v>45829</v>
      </c>
      <c r="C2147" s="117">
        <v>2025</v>
      </c>
      <c r="D2147" s="118" t="s">
        <v>766</v>
      </c>
      <c r="E2147" s="119" t="s">
        <v>1445</v>
      </c>
      <c r="F2147" s="120">
        <v>10</v>
      </c>
      <c r="G2147" s="120" t="s">
        <v>759</v>
      </c>
      <c r="H2147" s="169">
        <v>6750000</v>
      </c>
      <c r="J2147"/>
      <c r="K2147"/>
    </row>
    <row r="2148" spans="1:11" x14ac:dyDescent="0.25">
      <c r="A2148" s="115">
        <v>2147</v>
      </c>
      <c r="B2148" s="167">
        <v>45829</v>
      </c>
      <c r="C2148" s="117">
        <v>2025</v>
      </c>
      <c r="D2148" s="118" t="s">
        <v>766</v>
      </c>
      <c r="E2148" s="119" t="s">
        <v>1446</v>
      </c>
      <c r="F2148" s="120">
        <v>12</v>
      </c>
      <c r="G2148" s="120" t="s">
        <v>759</v>
      </c>
      <c r="H2148" s="169">
        <v>6540000</v>
      </c>
      <c r="J2148"/>
      <c r="K2148"/>
    </row>
    <row r="2149" spans="1:11" x14ac:dyDescent="0.25">
      <c r="A2149" s="115">
        <v>2148</v>
      </c>
      <c r="B2149" s="167">
        <v>45829</v>
      </c>
      <c r="C2149" s="117">
        <v>2025</v>
      </c>
      <c r="D2149" s="118" t="s">
        <v>766</v>
      </c>
      <c r="E2149" s="119" t="s">
        <v>1447</v>
      </c>
      <c r="F2149" s="120">
        <v>7</v>
      </c>
      <c r="G2149" s="120" t="s">
        <v>759</v>
      </c>
      <c r="H2149" s="169">
        <v>3325000</v>
      </c>
      <c r="J2149"/>
      <c r="K2149"/>
    </row>
    <row r="2150" spans="1:11" x14ac:dyDescent="0.25">
      <c r="A2150" s="115">
        <v>2149</v>
      </c>
      <c r="B2150" s="167">
        <v>45829</v>
      </c>
      <c r="C2150" s="117">
        <v>2025</v>
      </c>
      <c r="D2150" s="118" t="s">
        <v>766</v>
      </c>
      <c r="E2150" s="119" t="s">
        <v>1448</v>
      </c>
      <c r="F2150" s="120">
        <v>13</v>
      </c>
      <c r="G2150" s="120" t="s">
        <v>759</v>
      </c>
      <c r="H2150" s="169">
        <v>4550000</v>
      </c>
      <c r="J2150"/>
      <c r="K2150"/>
    </row>
    <row r="2151" spans="1:11" x14ac:dyDescent="0.25">
      <c r="A2151" s="115">
        <v>2150</v>
      </c>
      <c r="B2151" s="167">
        <v>45829</v>
      </c>
      <c r="C2151" s="117">
        <v>2025</v>
      </c>
      <c r="D2151" s="118" t="s">
        <v>766</v>
      </c>
      <c r="E2151" s="119" t="s">
        <v>1449</v>
      </c>
      <c r="F2151" s="120">
        <v>9</v>
      </c>
      <c r="G2151" s="120" t="s">
        <v>759</v>
      </c>
      <c r="H2151" s="169">
        <v>2475000</v>
      </c>
      <c r="J2151"/>
      <c r="K2151"/>
    </row>
    <row r="2152" spans="1:11" x14ac:dyDescent="0.25">
      <c r="A2152" s="115">
        <v>2151</v>
      </c>
      <c r="B2152" s="167">
        <v>45831</v>
      </c>
      <c r="C2152" s="117">
        <v>2025</v>
      </c>
      <c r="D2152" s="119" t="s">
        <v>35</v>
      </c>
      <c r="E2152" s="119" t="s">
        <v>252</v>
      </c>
      <c r="F2152" s="120">
        <v>2</v>
      </c>
      <c r="G2152" s="120" t="s">
        <v>759</v>
      </c>
      <c r="H2152" s="169">
        <v>2400000</v>
      </c>
      <c r="J2152"/>
      <c r="K2152"/>
    </row>
    <row r="2153" spans="1:11" x14ac:dyDescent="0.25">
      <c r="A2153" s="115">
        <v>2152</v>
      </c>
      <c r="B2153" s="167">
        <v>45831</v>
      </c>
      <c r="C2153" s="117">
        <v>2025</v>
      </c>
      <c r="D2153" s="119" t="s">
        <v>35</v>
      </c>
      <c r="E2153" s="119" t="s">
        <v>739</v>
      </c>
      <c r="F2153" s="120">
        <v>75</v>
      </c>
      <c r="G2153" s="120" t="s">
        <v>759</v>
      </c>
      <c r="H2153" s="169">
        <v>555000</v>
      </c>
      <c r="J2153"/>
      <c r="K2153"/>
    </row>
    <row r="2154" spans="1:11" x14ac:dyDescent="0.25">
      <c r="A2154" s="115">
        <v>2153</v>
      </c>
      <c r="B2154" s="167">
        <v>45832</v>
      </c>
      <c r="C2154" s="117">
        <v>2025</v>
      </c>
      <c r="D2154" s="119" t="s">
        <v>35</v>
      </c>
      <c r="E2154" s="119" t="s">
        <v>1450</v>
      </c>
      <c r="F2154" s="120">
        <v>1</v>
      </c>
      <c r="G2154" s="120" t="s">
        <v>759</v>
      </c>
      <c r="H2154" s="169">
        <v>65000</v>
      </c>
      <c r="J2154"/>
      <c r="K2154"/>
    </row>
    <row r="2155" spans="1:11" x14ac:dyDescent="0.25">
      <c r="A2155" s="115">
        <v>2154</v>
      </c>
      <c r="B2155" s="167">
        <v>45832</v>
      </c>
      <c r="C2155" s="117">
        <v>2025</v>
      </c>
      <c r="D2155" s="119" t="s">
        <v>35</v>
      </c>
      <c r="E2155" s="119" t="s">
        <v>1451</v>
      </c>
      <c r="F2155" s="120">
        <v>1</v>
      </c>
      <c r="G2155" s="120" t="s">
        <v>759</v>
      </c>
      <c r="H2155" s="169">
        <v>100000</v>
      </c>
      <c r="J2155"/>
      <c r="K2155"/>
    </row>
    <row r="2156" spans="1:11" x14ac:dyDescent="0.25">
      <c r="A2156" s="115">
        <v>2155</v>
      </c>
      <c r="B2156" s="167">
        <v>45833</v>
      </c>
      <c r="C2156" s="117">
        <v>2025</v>
      </c>
      <c r="D2156" s="119" t="s">
        <v>259</v>
      </c>
      <c r="E2156" s="119" t="s">
        <v>1452</v>
      </c>
      <c r="F2156" s="120">
        <v>1</v>
      </c>
      <c r="G2156" s="120" t="s">
        <v>759</v>
      </c>
      <c r="H2156" s="169">
        <v>48840</v>
      </c>
      <c r="J2156"/>
      <c r="K2156"/>
    </row>
    <row r="2157" spans="1:11" x14ac:dyDescent="0.25">
      <c r="A2157" s="115">
        <v>2156</v>
      </c>
      <c r="B2157" s="167">
        <v>45833</v>
      </c>
      <c r="C2157" s="117">
        <v>2025</v>
      </c>
      <c r="D2157" s="119" t="s">
        <v>259</v>
      </c>
      <c r="E2157" s="119" t="s">
        <v>1453</v>
      </c>
      <c r="F2157" s="120">
        <v>1</v>
      </c>
      <c r="G2157" s="120" t="s">
        <v>759</v>
      </c>
      <c r="H2157" s="169">
        <v>176346</v>
      </c>
      <c r="J2157"/>
      <c r="K2157"/>
    </row>
    <row r="2158" spans="1:11" x14ac:dyDescent="0.25">
      <c r="A2158" s="115">
        <v>2157</v>
      </c>
      <c r="B2158" s="167">
        <v>45833</v>
      </c>
      <c r="C2158" s="117">
        <v>2025</v>
      </c>
      <c r="D2158" s="119" t="s">
        <v>851</v>
      </c>
      <c r="E2158" s="119" t="s">
        <v>763</v>
      </c>
      <c r="F2158" s="120">
        <v>1</v>
      </c>
      <c r="G2158" s="120" t="s">
        <v>759</v>
      </c>
      <c r="H2158" s="169">
        <v>104340000</v>
      </c>
      <c r="J2158"/>
      <c r="K2158"/>
    </row>
    <row r="2159" spans="1:11" x14ac:dyDescent="0.25">
      <c r="A2159" s="115">
        <v>2158</v>
      </c>
      <c r="B2159" s="167">
        <v>45833</v>
      </c>
      <c r="C2159" s="117">
        <v>2025</v>
      </c>
      <c r="D2159" s="119" t="s">
        <v>259</v>
      </c>
      <c r="E2159" s="119" t="s">
        <v>1454</v>
      </c>
      <c r="F2159" s="120">
        <v>1</v>
      </c>
      <c r="G2159" s="120" t="s">
        <v>759</v>
      </c>
      <c r="H2159" s="169">
        <v>653860</v>
      </c>
      <c r="J2159"/>
      <c r="K2159"/>
    </row>
    <row r="2160" spans="1:11" x14ac:dyDescent="0.25">
      <c r="A2160" s="115">
        <v>2159</v>
      </c>
      <c r="B2160" s="167">
        <v>45833</v>
      </c>
      <c r="C2160" s="117">
        <v>2025</v>
      </c>
      <c r="D2160" s="119" t="s">
        <v>259</v>
      </c>
      <c r="E2160" s="119" t="s">
        <v>1455</v>
      </c>
      <c r="F2160" s="120">
        <v>1</v>
      </c>
      <c r="G2160" s="120" t="s">
        <v>759</v>
      </c>
      <c r="H2160" s="169">
        <v>1355820</v>
      </c>
      <c r="J2160"/>
      <c r="K2160"/>
    </row>
    <row r="2161" spans="1:11" x14ac:dyDescent="0.25">
      <c r="A2161" s="115">
        <v>2160</v>
      </c>
      <c r="B2161" s="167">
        <v>45833</v>
      </c>
      <c r="C2161" s="117">
        <v>2025</v>
      </c>
      <c r="D2161" s="119" t="s">
        <v>259</v>
      </c>
      <c r="E2161" s="119" t="s">
        <v>1278</v>
      </c>
      <c r="F2161" s="120">
        <v>2</v>
      </c>
      <c r="G2161" s="120" t="s">
        <v>759</v>
      </c>
      <c r="H2161" s="169">
        <v>506638</v>
      </c>
      <c r="J2161"/>
      <c r="K2161"/>
    </row>
    <row r="2162" spans="1:11" x14ac:dyDescent="0.25">
      <c r="A2162" s="115">
        <v>2161</v>
      </c>
      <c r="B2162" s="167">
        <v>45834</v>
      </c>
      <c r="C2162" s="117">
        <v>2025</v>
      </c>
      <c r="D2162" s="119" t="s">
        <v>851</v>
      </c>
      <c r="E2162" s="119" t="s">
        <v>652</v>
      </c>
      <c r="F2162" s="120">
        <v>1</v>
      </c>
      <c r="G2162" s="120" t="s">
        <v>759</v>
      </c>
      <c r="H2162" s="169">
        <v>3850</v>
      </c>
      <c r="J2162"/>
      <c r="K2162"/>
    </row>
    <row r="2163" spans="1:11" x14ac:dyDescent="0.25">
      <c r="A2163" s="115">
        <v>2162</v>
      </c>
      <c r="B2163" s="167">
        <v>45834</v>
      </c>
      <c r="C2163" s="117">
        <v>2025</v>
      </c>
      <c r="D2163" s="119" t="s">
        <v>851</v>
      </c>
      <c r="E2163" s="119" t="s">
        <v>600</v>
      </c>
      <c r="F2163" s="120">
        <v>12</v>
      </c>
      <c r="G2163" s="120" t="s">
        <v>759</v>
      </c>
      <c r="H2163" s="169">
        <v>27588</v>
      </c>
      <c r="J2163"/>
      <c r="K2163"/>
    </row>
    <row r="2164" spans="1:11" x14ac:dyDescent="0.25">
      <c r="A2164" s="115">
        <v>2163</v>
      </c>
      <c r="B2164" s="167">
        <v>45834</v>
      </c>
      <c r="C2164" s="117">
        <v>2025</v>
      </c>
      <c r="D2164" s="119" t="s">
        <v>851</v>
      </c>
      <c r="E2164" s="119" t="s">
        <v>1408</v>
      </c>
      <c r="F2164" s="120">
        <v>10</v>
      </c>
      <c r="G2164" s="120" t="s">
        <v>759</v>
      </c>
      <c r="H2164" s="169">
        <v>12900</v>
      </c>
      <c r="J2164"/>
      <c r="K2164"/>
    </row>
    <row r="2165" spans="1:11" x14ac:dyDescent="0.25">
      <c r="A2165" s="115">
        <v>2164</v>
      </c>
      <c r="B2165" s="167">
        <v>45838</v>
      </c>
      <c r="C2165" s="117">
        <v>2025</v>
      </c>
      <c r="D2165" s="119" t="s">
        <v>35</v>
      </c>
      <c r="E2165" s="119" t="s">
        <v>252</v>
      </c>
      <c r="F2165" s="120">
        <v>2</v>
      </c>
      <c r="G2165" s="120" t="s">
        <v>759</v>
      </c>
      <c r="H2165" s="169">
        <v>2140000</v>
      </c>
      <c r="J2165"/>
      <c r="K2165"/>
    </row>
    <row r="2166" spans="1:11" x14ac:dyDescent="0.25">
      <c r="A2166" s="115">
        <v>2165</v>
      </c>
      <c r="B2166" s="167">
        <v>45838</v>
      </c>
      <c r="C2166" s="117">
        <v>2025</v>
      </c>
      <c r="D2166" s="119" t="s">
        <v>35</v>
      </c>
      <c r="E2166" s="119" t="s">
        <v>1450</v>
      </c>
      <c r="F2166" s="120">
        <v>1</v>
      </c>
      <c r="G2166" s="120" t="s">
        <v>759</v>
      </c>
      <c r="H2166" s="169">
        <v>65000</v>
      </c>
      <c r="J2166"/>
      <c r="K2166"/>
    </row>
    <row r="2167" spans="1:11" x14ac:dyDescent="0.25">
      <c r="A2167" s="115">
        <v>2166</v>
      </c>
      <c r="B2167" s="167">
        <v>45838</v>
      </c>
      <c r="C2167" s="117">
        <v>2025</v>
      </c>
      <c r="D2167" s="119" t="s">
        <v>35</v>
      </c>
      <c r="E2167" s="119" t="s">
        <v>72</v>
      </c>
      <c r="F2167" s="120">
        <v>1</v>
      </c>
      <c r="G2167" s="120" t="s">
        <v>759</v>
      </c>
      <c r="H2167" s="169">
        <v>25000</v>
      </c>
      <c r="J2167"/>
      <c r="K2167"/>
    </row>
    <row r="2168" spans="1:11" x14ac:dyDescent="0.25">
      <c r="A2168" s="115">
        <v>2167</v>
      </c>
      <c r="B2168" s="167">
        <v>45839</v>
      </c>
      <c r="C2168" s="117">
        <v>2025</v>
      </c>
      <c r="D2168" s="119" t="s">
        <v>851</v>
      </c>
      <c r="E2168" s="119" t="s">
        <v>1417</v>
      </c>
      <c r="F2168" s="120">
        <v>2</v>
      </c>
      <c r="G2168" s="120" t="s">
        <v>759</v>
      </c>
      <c r="H2168" s="169">
        <v>955798</v>
      </c>
      <c r="J2168"/>
      <c r="K2168"/>
    </row>
    <row r="2169" spans="1:11" x14ac:dyDescent="0.25">
      <c r="A2169" s="115">
        <v>2168</v>
      </c>
      <c r="B2169" s="167">
        <v>45839</v>
      </c>
      <c r="C2169" s="117">
        <v>2025</v>
      </c>
      <c r="D2169" s="119" t="s">
        <v>1118</v>
      </c>
      <c r="E2169" s="119" t="s">
        <v>1456</v>
      </c>
      <c r="F2169" s="120">
        <v>6</v>
      </c>
      <c r="G2169" s="120" t="s">
        <v>759</v>
      </c>
      <c r="H2169" s="169">
        <v>127002</v>
      </c>
      <c r="J2169"/>
      <c r="K2169"/>
    </row>
    <row r="2170" spans="1:11" x14ac:dyDescent="0.25">
      <c r="A2170" s="115">
        <v>2169</v>
      </c>
      <c r="B2170" s="167">
        <v>45840</v>
      </c>
      <c r="C2170" s="117">
        <v>2025</v>
      </c>
      <c r="D2170" s="119" t="s">
        <v>35</v>
      </c>
      <c r="E2170" s="119" t="s">
        <v>211</v>
      </c>
      <c r="F2170" s="120">
        <v>3</v>
      </c>
      <c r="G2170" s="120" t="s">
        <v>759</v>
      </c>
      <c r="H2170" s="169">
        <v>58500</v>
      </c>
      <c r="J2170"/>
      <c r="K2170"/>
    </row>
    <row r="2171" spans="1:11" x14ac:dyDescent="0.25">
      <c r="A2171" s="115">
        <v>2170</v>
      </c>
      <c r="B2171" s="167">
        <v>45840</v>
      </c>
      <c r="C2171" s="117">
        <v>2025</v>
      </c>
      <c r="D2171" s="119" t="s">
        <v>259</v>
      </c>
      <c r="E2171" s="119" t="s">
        <v>331</v>
      </c>
      <c r="F2171" s="120">
        <v>2</v>
      </c>
      <c r="G2171" s="120" t="s">
        <v>759</v>
      </c>
      <c r="H2171" s="169">
        <v>397900</v>
      </c>
      <c r="J2171"/>
      <c r="K2171"/>
    </row>
    <row r="2172" spans="1:11" x14ac:dyDescent="0.25">
      <c r="A2172" s="115">
        <v>2171</v>
      </c>
      <c r="B2172" s="167">
        <v>45840</v>
      </c>
      <c r="C2172" s="117">
        <v>2025</v>
      </c>
      <c r="D2172" s="119" t="s">
        <v>851</v>
      </c>
      <c r="E2172" s="119" t="s">
        <v>652</v>
      </c>
      <c r="F2172" s="120">
        <v>2</v>
      </c>
      <c r="G2172" s="120" t="s">
        <v>759</v>
      </c>
      <c r="H2172" s="169">
        <v>7000</v>
      </c>
      <c r="J2172"/>
      <c r="K2172"/>
    </row>
    <row r="2173" spans="1:11" x14ac:dyDescent="0.25">
      <c r="A2173" s="115">
        <v>2172</v>
      </c>
      <c r="B2173" s="167">
        <v>45840</v>
      </c>
      <c r="C2173" s="117">
        <v>2025</v>
      </c>
      <c r="D2173" s="119" t="s">
        <v>259</v>
      </c>
      <c r="E2173" s="119" t="s">
        <v>1457</v>
      </c>
      <c r="F2173" s="120">
        <v>1</v>
      </c>
      <c r="G2173" s="120" t="s">
        <v>759</v>
      </c>
      <c r="H2173" s="169">
        <v>148000</v>
      </c>
      <c r="J2173"/>
      <c r="K2173"/>
    </row>
    <row r="2174" spans="1:11" x14ac:dyDescent="0.25">
      <c r="A2174" s="115">
        <v>2173</v>
      </c>
      <c r="B2174" s="167">
        <v>45840</v>
      </c>
      <c r="C2174" s="117">
        <v>2025</v>
      </c>
      <c r="D2174" s="119" t="s">
        <v>259</v>
      </c>
      <c r="E2174" s="119" t="s">
        <v>1458</v>
      </c>
      <c r="F2174" s="120">
        <v>1</v>
      </c>
      <c r="G2174" s="120" t="s">
        <v>759</v>
      </c>
      <c r="H2174" s="169">
        <v>2172340</v>
      </c>
      <c r="J2174"/>
      <c r="K2174"/>
    </row>
    <row r="2175" spans="1:11" x14ac:dyDescent="0.25">
      <c r="A2175" s="115">
        <v>2174</v>
      </c>
      <c r="B2175" s="167">
        <v>45840</v>
      </c>
      <c r="C2175" s="117">
        <v>2025</v>
      </c>
      <c r="D2175" s="119" t="s">
        <v>851</v>
      </c>
      <c r="E2175" s="119" t="s">
        <v>661</v>
      </c>
      <c r="F2175" s="120">
        <v>6</v>
      </c>
      <c r="G2175" s="120" t="s">
        <v>759</v>
      </c>
      <c r="H2175" s="169">
        <v>48000</v>
      </c>
      <c r="J2175"/>
      <c r="K2175"/>
    </row>
    <row r="2176" spans="1:11" x14ac:dyDescent="0.25">
      <c r="A2176" s="115">
        <v>2175</v>
      </c>
      <c r="B2176" s="167">
        <v>45841</v>
      </c>
      <c r="C2176" s="117">
        <v>2025</v>
      </c>
      <c r="D2176" s="119" t="s">
        <v>833</v>
      </c>
      <c r="E2176" s="119" t="s">
        <v>87</v>
      </c>
      <c r="F2176" s="120">
        <v>12</v>
      </c>
      <c r="G2176" s="120" t="s">
        <v>759</v>
      </c>
      <c r="H2176" s="169">
        <v>18960</v>
      </c>
      <c r="J2176"/>
      <c r="K2176"/>
    </row>
    <row r="2177" spans="1:11" x14ac:dyDescent="0.25">
      <c r="A2177" s="115">
        <v>2176</v>
      </c>
      <c r="B2177" s="167">
        <v>45841</v>
      </c>
      <c r="C2177" s="117">
        <v>2025</v>
      </c>
      <c r="D2177" s="119" t="s">
        <v>833</v>
      </c>
      <c r="E2177" s="119" t="s">
        <v>87</v>
      </c>
      <c r="F2177" s="120">
        <v>12</v>
      </c>
      <c r="G2177" s="120" t="s">
        <v>759</v>
      </c>
      <c r="H2177" s="169">
        <v>18960</v>
      </c>
      <c r="J2177"/>
      <c r="K2177"/>
    </row>
    <row r="2178" spans="1:11" x14ac:dyDescent="0.25">
      <c r="A2178" s="115">
        <v>2177</v>
      </c>
      <c r="B2178" s="167">
        <v>45841</v>
      </c>
      <c r="C2178" s="117">
        <v>2025</v>
      </c>
      <c r="D2178" s="119" t="s">
        <v>833</v>
      </c>
      <c r="E2178" s="119" t="s">
        <v>544</v>
      </c>
      <c r="F2178" s="120">
        <v>10</v>
      </c>
      <c r="G2178" s="120" t="s">
        <v>759</v>
      </c>
      <c r="H2178" s="169">
        <v>170900</v>
      </c>
      <c r="J2178"/>
      <c r="K2178"/>
    </row>
    <row r="2179" spans="1:11" x14ac:dyDescent="0.25">
      <c r="A2179" s="115">
        <v>2178</v>
      </c>
      <c r="B2179" s="167">
        <v>45841</v>
      </c>
      <c r="C2179" s="117">
        <v>2025</v>
      </c>
      <c r="D2179" s="119" t="s">
        <v>833</v>
      </c>
      <c r="E2179" s="119" t="s">
        <v>486</v>
      </c>
      <c r="F2179" s="120">
        <v>3</v>
      </c>
      <c r="G2179" s="120" t="s">
        <v>759</v>
      </c>
      <c r="H2179" s="169">
        <v>134109</v>
      </c>
      <c r="J2179"/>
      <c r="K2179"/>
    </row>
    <row r="2180" spans="1:11" x14ac:dyDescent="0.25">
      <c r="A2180" s="115">
        <v>2179</v>
      </c>
      <c r="B2180" s="167">
        <v>45841</v>
      </c>
      <c r="C2180" s="117">
        <v>2025</v>
      </c>
      <c r="D2180" s="119" t="s">
        <v>833</v>
      </c>
      <c r="E2180" s="119" t="s">
        <v>486</v>
      </c>
      <c r="F2180" s="120">
        <v>3</v>
      </c>
      <c r="G2180" s="120" t="s">
        <v>759</v>
      </c>
      <c r="H2180" s="169">
        <v>136323</v>
      </c>
      <c r="J2180"/>
      <c r="K2180"/>
    </row>
    <row r="2181" spans="1:11" x14ac:dyDescent="0.25">
      <c r="A2181" s="115">
        <v>2180</v>
      </c>
      <c r="B2181" s="167">
        <v>45841</v>
      </c>
      <c r="C2181" s="117">
        <v>2025</v>
      </c>
      <c r="D2181" s="119" t="s">
        <v>833</v>
      </c>
      <c r="E2181" s="119" t="s">
        <v>1302</v>
      </c>
      <c r="F2181" s="120">
        <v>3</v>
      </c>
      <c r="G2181" s="120" t="s">
        <v>759</v>
      </c>
      <c r="H2181" s="169">
        <v>67902</v>
      </c>
      <c r="J2181"/>
      <c r="K2181"/>
    </row>
    <row r="2182" spans="1:11" x14ac:dyDescent="0.25">
      <c r="A2182" s="115">
        <v>2181</v>
      </c>
      <c r="B2182" s="167">
        <v>45841</v>
      </c>
      <c r="C2182" s="117">
        <v>2025</v>
      </c>
      <c r="D2182" s="119" t="s">
        <v>833</v>
      </c>
      <c r="E2182" s="119" t="s">
        <v>393</v>
      </c>
      <c r="F2182" s="120">
        <v>10</v>
      </c>
      <c r="G2182" s="120" t="s">
        <v>759</v>
      </c>
      <c r="H2182" s="169">
        <v>118950</v>
      </c>
      <c r="J2182"/>
      <c r="K2182"/>
    </row>
    <row r="2183" spans="1:11" x14ac:dyDescent="0.25">
      <c r="A2183" s="115">
        <v>2182</v>
      </c>
      <c r="B2183" s="167">
        <v>45841</v>
      </c>
      <c r="C2183" s="117">
        <v>2025</v>
      </c>
      <c r="D2183" s="119" t="s">
        <v>833</v>
      </c>
      <c r="E2183" s="119" t="s">
        <v>393</v>
      </c>
      <c r="F2183" s="120">
        <v>10</v>
      </c>
      <c r="G2183" s="120" t="s">
        <v>759</v>
      </c>
      <c r="H2183" s="169">
        <v>109950</v>
      </c>
      <c r="J2183"/>
      <c r="K2183"/>
    </row>
    <row r="2184" spans="1:11" x14ac:dyDescent="0.25">
      <c r="A2184" s="115">
        <v>2183</v>
      </c>
      <c r="B2184" s="167">
        <v>45841</v>
      </c>
      <c r="C2184" s="117">
        <v>2025</v>
      </c>
      <c r="D2184" s="119" t="s">
        <v>833</v>
      </c>
      <c r="E2184" s="119" t="s">
        <v>98</v>
      </c>
      <c r="F2184" s="120">
        <v>4</v>
      </c>
      <c r="G2184" s="120" t="s">
        <v>759</v>
      </c>
      <c r="H2184" s="169">
        <v>121900</v>
      </c>
      <c r="J2184"/>
      <c r="K2184"/>
    </row>
    <row r="2185" spans="1:11" x14ac:dyDescent="0.25">
      <c r="A2185" s="115">
        <v>2184</v>
      </c>
      <c r="B2185" s="167">
        <v>45841</v>
      </c>
      <c r="C2185" s="117">
        <v>2025</v>
      </c>
      <c r="D2185" s="119" t="s">
        <v>35</v>
      </c>
      <c r="E2185" s="119" t="s">
        <v>1459</v>
      </c>
      <c r="F2185" s="120">
        <v>1</v>
      </c>
      <c r="G2185" s="120" t="s">
        <v>759</v>
      </c>
      <c r="H2185" s="169">
        <v>55000</v>
      </c>
      <c r="J2185"/>
      <c r="K2185"/>
    </row>
    <row r="2186" spans="1:11" x14ac:dyDescent="0.25">
      <c r="A2186" s="115">
        <v>2185</v>
      </c>
      <c r="B2186" s="167">
        <v>45842</v>
      </c>
      <c r="C2186" s="117">
        <v>2025</v>
      </c>
      <c r="D2186" s="119" t="s">
        <v>851</v>
      </c>
      <c r="E2186" s="119" t="s">
        <v>600</v>
      </c>
      <c r="F2186" s="120">
        <v>60</v>
      </c>
      <c r="G2186" s="120" t="s">
        <v>759</v>
      </c>
      <c r="H2186" s="169">
        <v>150000</v>
      </c>
      <c r="J2186"/>
      <c r="K2186"/>
    </row>
    <row r="2187" spans="1:11" x14ac:dyDescent="0.25">
      <c r="A2187" s="115">
        <v>2186</v>
      </c>
      <c r="B2187" s="167">
        <v>45842</v>
      </c>
      <c r="C2187" s="117">
        <v>2025</v>
      </c>
      <c r="D2187" s="119" t="s">
        <v>833</v>
      </c>
      <c r="E2187" s="119" t="s">
        <v>489</v>
      </c>
      <c r="F2187" s="120">
        <v>3</v>
      </c>
      <c r="G2187" s="120" t="s">
        <v>759</v>
      </c>
      <c r="H2187" s="169">
        <v>7602</v>
      </c>
      <c r="J2187"/>
      <c r="K2187"/>
    </row>
    <row r="2188" spans="1:11" x14ac:dyDescent="0.25">
      <c r="A2188" s="115">
        <v>2187</v>
      </c>
      <c r="B2188" s="167">
        <v>45842</v>
      </c>
      <c r="C2188" s="117">
        <v>2025</v>
      </c>
      <c r="D2188" s="119" t="s">
        <v>766</v>
      </c>
      <c r="E2188" s="119" t="s">
        <v>1409</v>
      </c>
      <c r="F2188" s="120">
        <v>1</v>
      </c>
      <c r="G2188" s="120" t="s">
        <v>759</v>
      </c>
      <c r="H2188" s="169">
        <v>2799000</v>
      </c>
      <c r="J2188"/>
      <c r="K2188"/>
    </row>
    <row r="2189" spans="1:11" x14ac:dyDescent="0.25">
      <c r="A2189" s="115">
        <v>2188</v>
      </c>
      <c r="B2189" s="167">
        <v>45842</v>
      </c>
      <c r="C2189" s="117">
        <v>2025</v>
      </c>
      <c r="D2189" s="119" t="s">
        <v>766</v>
      </c>
      <c r="E2189" s="119" t="s">
        <v>1409</v>
      </c>
      <c r="F2189" s="120">
        <v>1</v>
      </c>
      <c r="G2189" s="120" t="s">
        <v>759</v>
      </c>
      <c r="H2189" s="169">
        <v>3199000</v>
      </c>
      <c r="J2189"/>
      <c r="K2189"/>
    </row>
    <row r="2190" spans="1:11" x14ac:dyDescent="0.25">
      <c r="A2190" s="115">
        <v>2189</v>
      </c>
      <c r="B2190" s="167">
        <v>45843</v>
      </c>
      <c r="C2190" s="117">
        <v>2025</v>
      </c>
      <c r="D2190" s="119" t="s">
        <v>35</v>
      </c>
      <c r="E2190" s="119" t="s">
        <v>680</v>
      </c>
      <c r="F2190" s="120">
        <v>6</v>
      </c>
      <c r="G2190" s="120" t="s">
        <v>759</v>
      </c>
      <c r="H2190" s="169">
        <v>6750</v>
      </c>
      <c r="J2190"/>
      <c r="K2190"/>
    </row>
    <row r="2191" spans="1:11" x14ac:dyDescent="0.25">
      <c r="A2191" s="115">
        <v>2190</v>
      </c>
      <c r="B2191" s="167">
        <v>45843</v>
      </c>
      <c r="C2191" s="117">
        <v>2025</v>
      </c>
      <c r="D2191" s="119" t="s">
        <v>35</v>
      </c>
      <c r="E2191" s="119" t="s">
        <v>1319</v>
      </c>
      <c r="F2191" s="120">
        <v>1</v>
      </c>
      <c r="G2191" s="120" t="s">
        <v>759</v>
      </c>
      <c r="H2191" s="169">
        <v>28394</v>
      </c>
      <c r="J2191"/>
      <c r="K2191"/>
    </row>
    <row r="2192" spans="1:11" x14ac:dyDescent="0.25">
      <c r="A2192" s="115">
        <v>2191</v>
      </c>
      <c r="B2192" s="167">
        <v>45843</v>
      </c>
      <c r="C2192" s="117">
        <v>2025</v>
      </c>
      <c r="D2192" s="119" t="s">
        <v>35</v>
      </c>
      <c r="E2192" s="119" t="s">
        <v>1320</v>
      </c>
      <c r="F2192" s="120">
        <v>1</v>
      </c>
      <c r="G2192" s="120" t="s">
        <v>759</v>
      </c>
      <c r="H2192" s="169">
        <v>28394</v>
      </c>
      <c r="J2192"/>
      <c r="K2192"/>
    </row>
    <row r="2193" spans="1:11" x14ac:dyDescent="0.25">
      <c r="A2193" s="115">
        <v>2192</v>
      </c>
      <c r="B2193" s="167">
        <v>45843</v>
      </c>
      <c r="C2193" s="117">
        <v>2025</v>
      </c>
      <c r="D2193" s="119" t="s">
        <v>766</v>
      </c>
      <c r="E2193" s="119" t="s">
        <v>1409</v>
      </c>
      <c r="F2193" s="120">
        <v>1</v>
      </c>
      <c r="G2193" s="120" t="s">
        <v>759</v>
      </c>
      <c r="H2193" s="169">
        <v>2799000</v>
      </c>
      <c r="J2193"/>
      <c r="K2193"/>
    </row>
    <row r="2194" spans="1:11" x14ac:dyDescent="0.25">
      <c r="A2194" s="115">
        <v>2193</v>
      </c>
      <c r="B2194" s="167">
        <v>45845</v>
      </c>
      <c r="C2194" s="117">
        <v>2025</v>
      </c>
      <c r="D2194" s="119" t="s">
        <v>833</v>
      </c>
      <c r="E2194" s="119" t="s">
        <v>1460</v>
      </c>
      <c r="F2194" s="120">
        <v>5</v>
      </c>
      <c r="G2194" s="120" t="s">
        <v>759</v>
      </c>
      <c r="H2194" s="169">
        <v>45650</v>
      </c>
      <c r="J2194"/>
      <c r="K2194"/>
    </row>
    <row r="2195" spans="1:11" x14ac:dyDescent="0.25">
      <c r="A2195" s="115">
        <v>2194</v>
      </c>
      <c r="B2195" s="167">
        <v>45846</v>
      </c>
      <c r="C2195" s="117">
        <v>2025</v>
      </c>
      <c r="D2195" s="119" t="s">
        <v>833</v>
      </c>
      <c r="E2195" s="119" t="s">
        <v>620</v>
      </c>
      <c r="F2195" s="120">
        <v>6</v>
      </c>
      <c r="G2195" s="120" t="s">
        <v>759</v>
      </c>
      <c r="H2195" s="169">
        <v>106704</v>
      </c>
      <c r="J2195"/>
      <c r="K2195"/>
    </row>
    <row r="2196" spans="1:11" x14ac:dyDescent="0.25">
      <c r="A2196" s="115">
        <v>2195</v>
      </c>
      <c r="B2196" s="167">
        <v>45846</v>
      </c>
      <c r="C2196" s="117">
        <v>2025</v>
      </c>
      <c r="D2196" s="119" t="s">
        <v>833</v>
      </c>
      <c r="E2196" s="119" t="s">
        <v>706</v>
      </c>
      <c r="F2196" s="120">
        <v>100</v>
      </c>
      <c r="G2196" s="120" t="s">
        <v>759</v>
      </c>
      <c r="H2196" s="169">
        <v>229800</v>
      </c>
      <c r="J2196"/>
      <c r="K2196"/>
    </row>
    <row r="2197" spans="1:11" x14ac:dyDescent="0.25">
      <c r="A2197" s="115">
        <v>2196</v>
      </c>
      <c r="B2197" s="167">
        <v>45846</v>
      </c>
      <c r="C2197" s="117">
        <v>2025</v>
      </c>
      <c r="D2197" s="119" t="s">
        <v>35</v>
      </c>
      <c r="E2197" s="119" t="s">
        <v>1461</v>
      </c>
      <c r="F2197" s="120">
        <v>4</v>
      </c>
      <c r="G2197" s="120" t="s">
        <v>759</v>
      </c>
      <c r="H2197" s="169">
        <v>14000</v>
      </c>
      <c r="J2197"/>
      <c r="K2197"/>
    </row>
    <row r="2198" spans="1:11" x14ac:dyDescent="0.25">
      <c r="A2198" s="115">
        <v>2197</v>
      </c>
      <c r="B2198" s="167">
        <v>45846</v>
      </c>
      <c r="C2198" s="117">
        <v>2025</v>
      </c>
      <c r="D2198" s="119" t="s">
        <v>833</v>
      </c>
      <c r="E2198" s="119" t="s">
        <v>481</v>
      </c>
      <c r="F2198" s="120">
        <v>15</v>
      </c>
      <c r="G2198" s="120" t="s">
        <v>759</v>
      </c>
      <c r="H2198" s="169">
        <v>294405</v>
      </c>
      <c r="J2198"/>
      <c r="K2198"/>
    </row>
    <row r="2199" spans="1:11" x14ac:dyDescent="0.25">
      <c r="A2199" s="115">
        <v>2198</v>
      </c>
      <c r="B2199" s="167">
        <v>45846</v>
      </c>
      <c r="C2199" s="117">
        <v>2025</v>
      </c>
      <c r="D2199" s="119" t="s">
        <v>833</v>
      </c>
      <c r="E2199" s="119" t="s">
        <v>299</v>
      </c>
      <c r="F2199" s="120">
        <v>12</v>
      </c>
      <c r="G2199" s="120" t="s">
        <v>759</v>
      </c>
      <c r="H2199" s="169">
        <v>76308</v>
      </c>
      <c r="J2199"/>
      <c r="K2199"/>
    </row>
    <row r="2200" spans="1:11" x14ac:dyDescent="0.25">
      <c r="A2200" s="115">
        <v>2199</v>
      </c>
      <c r="B2200" s="167">
        <v>45846</v>
      </c>
      <c r="C2200" s="117">
        <v>2025</v>
      </c>
      <c r="D2200" s="119" t="s">
        <v>35</v>
      </c>
      <c r="E2200" s="119" t="s">
        <v>205</v>
      </c>
      <c r="F2200" s="120">
        <v>1</v>
      </c>
      <c r="G2200" s="120" t="s">
        <v>759</v>
      </c>
      <c r="H2200" s="169">
        <v>20000</v>
      </c>
      <c r="J2200"/>
      <c r="K2200"/>
    </row>
    <row r="2201" spans="1:11" x14ac:dyDescent="0.25">
      <c r="A2201" s="115">
        <v>2200</v>
      </c>
      <c r="B2201" s="167">
        <v>45846</v>
      </c>
      <c r="C2201" s="117">
        <v>2025</v>
      </c>
      <c r="D2201" s="119" t="s">
        <v>35</v>
      </c>
      <c r="E2201" s="119" t="s">
        <v>1462</v>
      </c>
      <c r="F2201" s="120">
        <v>2</v>
      </c>
      <c r="G2201" s="120" t="s">
        <v>759</v>
      </c>
      <c r="H2201" s="169">
        <v>70000</v>
      </c>
      <c r="J2201"/>
      <c r="K2201"/>
    </row>
    <row r="2202" spans="1:11" x14ac:dyDescent="0.25">
      <c r="A2202" s="115">
        <v>2201</v>
      </c>
      <c r="B2202" s="167">
        <v>45846</v>
      </c>
      <c r="C2202" s="117">
        <v>2025</v>
      </c>
      <c r="D2202" s="119" t="s">
        <v>833</v>
      </c>
      <c r="E2202" s="119" t="s">
        <v>84</v>
      </c>
      <c r="F2202" s="120">
        <v>2</v>
      </c>
      <c r="G2202" s="120" t="s">
        <v>759</v>
      </c>
      <c r="H2202" s="169">
        <v>25900</v>
      </c>
      <c r="J2202"/>
      <c r="K2202"/>
    </row>
    <row r="2203" spans="1:11" x14ac:dyDescent="0.25">
      <c r="A2203" s="115">
        <v>2202</v>
      </c>
      <c r="B2203" s="167">
        <v>45846</v>
      </c>
      <c r="C2203" s="117">
        <v>2025</v>
      </c>
      <c r="D2203" s="119" t="s">
        <v>35</v>
      </c>
      <c r="E2203" s="119" t="s">
        <v>1463</v>
      </c>
      <c r="F2203" s="120">
        <v>1</v>
      </c>
      <c r="G2203" s="120" t="s">
        <v>759</v>
      </c>
      <c r="H2203" s="169">
        <v>55000</v>
      </c>
      <c r="J2203"/>
      <c r="K2203"/>
    </row>
    <row r="2204" spans="1:11" x14ac:dyDescent="0.25">
      <c r="A2204" s="115">
        <v>2203</v>
      </c>
      <c r="B2204" s="167">
        <v>45847</v>
      </c>
      <c r="C2204" s="117">
        <v>2025</v>
      </c>
      <c r="D2204" s="119" t="s">
        <v>35</v>
      </c>
      <c r="E2204" s="119" t="s">
        <v>806</v>
      </c>
      <c r="F2204" s="120">
        <v>1</v>
      </c>
      <c r="G2204" s="120" t="s">
        <v>759</v>
      </c>
      <c r="H2204" s="169">
        <v>300000</v>
      </c>
      <c r="J2204"/>
      <c r="K2204"/>
    </row>
    <row r="2205" spans="1:11" x14ac:dyDescent="0.25">
      <c r="A2205" s="115">
        <v>2204</v>
      </c>
      <c r="B2205" s="167">
        <v>45847</v>
      </c>
      <c r="C2205" s="117">
        <v>2025</v>
      </c>
      <c r="D2205" s="119" t="s">
        <v>35</v>
      </c>
      <c r="E2205" s="119" t="s">
        <v>365</v>
      </c>
      <c r="F2205" s="120">
        <v>2</v>
      </c>
      <c r="G2205" s="120" t="s">
        <v>759</v>
      </c>
      <c r="H2205" s="169">
        <v>6000</v>
      </c>
      <c r="J2205"/>
      <c r="K2205"/>
    </row>
    <row r="2206" spans="1:11" x14ac:dyDescent="0.25">
      <c r="A2206" s="115">
        <v>2205</v>
      </c>
      <c r="B2206" s="167">
        <v>45848</v>
      </c>
      <c r="C2206" s="117">
        <v>2025</v>
      </c>
      <c r="D2206" s="119" t="s">
        <v>851</v>
      </c>
      <c r="E2206" s="119" t="s">
        <v>652</v>
      </c>
      <c r="F2206" s="120">
        <v>1</v>
      </c>
      <c r="G2206" s="120" t="s">
        <v>759</v>
      </c>
      <c r="H2206" s="169">
        <v>3500</v>
      </c>
      <c r="J2206"/>
      <c r="K2206"/>
    </row>
    <row r="2207" spans="1:11" x14ac:dyDescent="0.25">
      <c r="A2207" s="115">
        <v>2206</v>
      </c>
      <c r="B2207" s="167">
        <v>45848</v>
      </c>
      <c r="C2207" s="117">
        <v>2025</v>
      </c>
      <c r="D2207" s="119" t="s">
        <v>35</v>
      </c>
      <c r="E2207" s="119" t="s">
        <v>1217</v>
      </c>
      <c r="F2207" s="120">
        <v>1</v>
      </c>
      <c r="G2207" s="120" t="s">
        <v>759</v>
      </c>
      <c r="H2207" s="169">
        <v>15000</v>
      </c>
      <c r="J2207"/>
      <c r="K2207"/>
    </row>
    <row r="2208" spans="1:11" x14ac:dyDescent="0.25">
      <c r="A2208" s="115">
        <v>2207</v>
      </c>
      <c r="B2208" s="167">
        <v>45848</v>
      </c>
      <c r="C2208" s="117">
        <v>2025</v>
      </c>
      <c r="D2208" s="119" t="s">
        <v>35</v>
      </c>
      <c r="E2208" s="119" t="s">
        <v>1464</v>
      </c>
      <c r="F2208" s="120">
        <v>1</v>
      </c>
      <c r="G2208" s="120" t="s">
        <v>759</v>
      </c>
      <c r="H2208" s="169">
        <v>3000</v>
      </c>
      <c r="J2208"/>
      <c r="K2208"/>
    </row>
    <row r="2209" spans="1:11" x14ac:dyDescent="0.25">
      <c r="A2209" s="115">
        <v>2208</v>
      </c>
      <c r="B2209" s="167">
        <v>45849</v>
      </c>
      <c r="C2209" s="117">
        <v>2025</v>
      </c>
      <c r="D2209" s="119" t="s">
        <v>259</v>
      </c>
      <c r="E2209" s="119" t="s">
        <v>1465</v>
      </c>
      <c r="F2209" s="120">
        <v>2000</v>
      </c>
      <c r="G2209" s="120" t="s">
        <v>759</v>
      </c>
      <c r="H2209" s="169">
        <v>372000</v>
      </c>
      <c r="J2209"/>
      <c r="K2209"/>
    </row>
    <row r="2210" spans="1:11" x14ac:dyDescent="0.25">
      <c r="A2210" s="115">
        <v>2209</v>
      </c>
      <c r="B2210" s="167">
        <v>45849</v>
      </c>
      <c r="C2210" s="117">
        <v>2025</v>
      </c>
      <c r="D2210" s="119" t="s">
        <v>35</v>
      </c>
      <c r="E2210" s="119" t="s">
        <v>1466</v>
      </c>
      <c r="F2210" s="120">
        <v>1</v>
      </c>
      <c r="G2210" s="120" t="s">
        <v>759</v>
      </c>
      <c r="H2210" s="169">
        <v>17500</v>
      </c>
      <c r="J2210"/>
      <c r="K2210"/>
    </row>
    <row r="2211" spans="1:11" x14ac:dyDescent="0.25">
      <c r="A2211" s="115">
        <v>2210</v>
      </c>
      <c r="B2211" s="167">
        <v>45849</v>
      </c>
      <c r="C2211" s="117">
        <v>2025</v>
      </c>
      <c r="D2211" s="119" t="s">
        <v>259</v>
      </c>
      <c r="E2211" s="119" t="s">
        <v>1467</v>
      </c>
      <c r="F2211" s="120">
        <v>1</v>
      </c>
      <c r="G2211" s="120" t="s">
        <v>759</v>
      </c>
      <c r="H2211" s="169">
        <v>25900</v>
      </c>
      <c r="J2211"/>
      <c r="K2211"/>
    </row>
    <row r="2212" spans="1:11" x14ac:dyDescent="0.25">
      <c r="A2212" s="115">
        <v>2211</v>
      </c>
      <c r="B2212" s="167">
        <v>45852</v>
      </c>
      <c r="C2212" s="117">
        <v>2025</v>
      </c>
      <c r="D2212" s="119" t="s">
        <v>259</v>
      </c>
      <c r="E2212" s="119" t="s">
        <v>1468</v>
      </c>
      <c r="F2212" s="120">
        <v>1</v>
      </c>
      <c r="G2212" s="120" t="s">
        <v>759</v>
      </c>
      <c r="H2212" s="169">
        <v>40299</v>
      </c>
      <c r="J2212"/>
      <c r="K2212"/>
    </row>
    <row r="2213" spans="1:11" x14ac:dyDescent="0.25">
      <c r="A2213" s="115">
        <v>2212</v>
      </c>
      <c r="B2213" s="167">
        <v>45852</v>
      </c>
      <c r="C2213" s="117">
        <v>2025</v>
      </c>
      <c r="D2213" s="119" t="s">
        <v>35</v>
      </c>
      <c r="E2213" s="119" t="s">
        <v>211</v>
      </c>
      <c r="F2213" s="120">
        <v>10</v>
      </c>
      <c r="G2213" s="120" t="s">
        <v>759</v>
      </c>
      <c r="H2213" s="169">
        <v>210000</v>
      </c>
      <c r="J2213"/>
      <c r="K2213"/>
    </row>
    <row r="2214" spans="1:11" x14ac:dyDescent="0.25">
      <c r="A2214" s="115">
        <v>2213</v>
      </c>
      <c r="B2214" s="167">
        <v>45852</v>
      </c>
      <c r="C2214" s="117">
        <v>2025</v>
      </c>
      <c r="D2214" s="119" t="s">
        <v>35</v>
      </c>
      <c r="E2214" s="119" t="s">
        <v>628</v>
      </c>
      <c r="F2214" s="120">
        <v>2</v>
      </c>
      <c r="G2214" s="120" t="s">
        <v>759</v>
      </c>
      <c r="H2214" s="169">
        <v>56000</v>
      </c>
      <c r="J2214"/>
      <c r="K2214"/>
    </row>
    <row r="2215" spans="1:11" x14ac:dyDescent="0.25">
      <c r="A2215" s="115">
        <v>2214</v>
      </c>
      <c r="B2215" s="167">
        <v>45853</v>
      </c>
      <c r="C2215" s="117">
        <v>2025</v>
      </c>
      <c r="D2215" s="119" t="s">
        <v>35</v>
      </c>
      <c r="E2215" s="119" t="s">
        <v>230</v>
      </c>
      <c r="F2215" s="120">
        <v>2</v>
      </c>
      <c r="G2215" s="120" t="s">
        <v>759</v>
      </c>
      <c r="H2215" s="169">
        <v>140000</v>
      </c>
      <c r="J2215"/>
      <c r="K2215"/>
    </row>
    <row r="2216" spans="1:11" x14ac:dyDescent="0.25">
      <c r="A2216" s="115">
        <v>2215</v>
      </c>
      <c r="B2216" s="167">
        <v>45853</v>
      </c>
      <c r="C2216" s="117">
        <v>2025</v>
      </c>
      <c r="D2216" s="119" t="s">
        <v>35</v>
      </c>
      <c r="E2216" s="119" t="s">
        <v>761</v>
      </c>
      <c r="F2216" s="120">
        <v>2</v>
      </c>
      <c r="G2216" s="120" t="s">
        <v>759</v>
      </c>
      <c r="H2216" s="169">
        <v>3150000</v>
      </c>
      <c r="J2216"/>
      <c r="K2216"/>
    </row>
    <row r="2217" spans="1:11" x14ac:dyDescent="0.25">
      <c r="A2217" s="115">
        <v>2216</v>
      </c>
      <c r="B2217" s="167">
        <v>45853</v>
      </c>
      <c r="C2217" s="117">
        <v>2025</v>
      </c>
      <c r="D2217" s="119" t="s">
        <v>35</v>
      </c>
      <c r="E2217" s="119" t="s">
        <v>115</v>
      </c>
      <c r="F2217" s="120">
        <v>2</v>
      </c>
      <c r="G2217" s="120" t="s">
        <v>759</v>
      </c>
      <c r="H2217" s="169">
        <v>160000</v>
      </c>
      <c r="J2217"/>
      <c r="K2217"/>
    </row>
    <row r="2218" spans="1:11" x14ac:dyDescent="0.25">
      <c r="A2218" s="115">
        <v>2217</v>
      </c>
      <c r="B2218" s="167">
        <v>45853</v>
      </c>
      <c r="C2218" s="117">
        <v>2025</v>
      </c>
      <c r="D2218" s="119" t="s">
        <v>851</v>
      </c>
      <c r="E2218" s="119" t="s">
        <v>1469</v>
      </c>
      <c r="F2218" s="120">
        <v>1</v>
      </c>
      <c r="G2218" s="120" t="s">
        <v>759</v>
      </c>
      <c r="H2218" s="169">
        <v>244900</v>
      </c>
      <c r="J2218"/>
      <c r="K2218"/>
    </row>
    <row r="2219" spans="1:11" x14ac:dyDescent="0.25">
      <c r="A2219" s="115">
        <v>2218</v>
      </c>
      <c r="B2219" s="167">
        <v>45854</v>
      </c>
      <c r="C2219" s="117">
        <v>2025</v>
      </c>
      <c r="D2219" s="119" t="s">
        <v>259</v>
      </c>
      <c r="E2219" s="119" t="s">
        <v>1425</v>
      </c>
      <c r="F2219" s="120">
        <v>1</v>
      </c>
      <c r="G2219" s="120" t="s">
        <v>759</v>
      </c>
      <c r="H2219" s="169">
        <v>160000</v>
      </c>
      <c r="J2219"/>
      <c r="K2219"/>
    </row>
    <row r="2220" spans="1:11" x14ac:dyDescent="0.25">
      <c r="A2220" s="115">
        <v>2219</v>
      </c>
      <c r="B2220" s="167">
        <v>45854</v>
      </c>
      <c r="C2220" s="117">
        <v>2025</v>
      </c>
      <c r="D2220" s="119" t="s">
        <v>35</v>
      </c>
      <c r="E2220" s="119" t="s">
        <v>72</v>
      </c>
      <c r="F2220" s="120">
        <v>1</v>
      </c>
      <c r="G2220" s="120" t="s">
        <v>759</v>
      </c>
      <c r="H2220" s="169">
        <v>25000</v>
      </c>
      <c r="J2220"/>
      <c r="K2220"/>
    </row>
    <row r="2221" spans="1:11" x14ac:dyDescent="0.25">
      <c r="A2221" s="115">
        <v>2220</v>
      </c>
      <c r="B2221" s="167">
        <v>45854</v>
      </c>
      <c r="C2221" s="117">
        <v>2025</v>
      </c>
      <c r="D2221" s="119" t="s">
        <v>35</v>
      </c>
      <c r="E2221" s="119" t="s">
        <v>1470</v>
      </c>
      <c r="F2221" s="120">
        <v>1</v>
      </c>
      <c r="G2221" s="120" t="s">
        <v>759</v>
      </c>
      <c r="H2221" s="169">
        <v>100000</v>
      </c>
      <c r="J2221"/>
      <c r="K2221"/>
    </row>
    <row r="2222" spans="1:11" x14ac:dyDescent="0.25">
      <c r="A2222" s="115">
        <v>2221</v>
      </c>
      <c r="B2222" s="167">
        <v>45855</v>
      </c>
      <c r="C2222" s="117">
        <v>2025</v>
      </c>
      <c r="D2222" s="119" t="s">
        <v>766</v>
      </c>
      <c r="E2222" s="119" t="s">
        <v>1471</v>
      </c>
      <c r="F2222" s="120">
        <v>1000</v>
      </c>
      <c r="G2222" s="120" t="s">
        <v>759</v>
      </c>
      <c r="H2222" s="169">
        <v>15000000</v>
      </c>
      <c r="J2222"/>
      <c r="K2222"/>
    </row>
    <row r="2223" spans="1:11" x14ac:dyDescent="0.25">
      <c r="A2223" s="115">
        <v>2222</v>
      </c>
      <c r="B2223" s="167">
        <v>45855</v>
      </c>
      <c r="C2223" s="117">
        <v>2025</v>
      </c>
      <c r="D2223" s="119" t="s">
        <v>766</v>
      </c>
      <c r="E2223" s="119" t="s">
        <v>1472</v>
      </c>
      <c r="F2223" s="120">
        <v>2000</v>
      </c>
      <c r="G2223" s="120" t="s">
        <v>759</v>
      </c>
      <c r="H2223" s="169">
        <v>25000000</v>
      </c>
      <c r="J2223"/>
      <c r="K2223"/>
    </row>
    <row r="2224" spans="1:11" x14ac:dyDescent="0.25">
      <c r="A2224" s="115">
        <v>2223</v>
      </c>
      <c r="B2224" s="167">
        <v>45855</v>
      </c>
      <c r="C2224" s="117">
        <v>2025</v>
      </c>
      <c r="D2224" s="119" t="s">
        <v>35</v>
      </c>
      <c r="E2224" s="119" t="s">
        <v>628</v>
      </c>
      <c r="F2224" s="120">
        <v>5</v>
      </c>
      <c r="G2224" s="120" t="s">
        <v>759</v>
      </c>
      <c r="H2224" s="169">
        <v>140000</v>
      </c>
      <c r="J2224"/>
      <c r="K2224"/>
    </row>
    <row r="2225" spans="1:11" x14ac:dyDescent="0.25">
      <c r="A2225" s="115">
        <v>2224</v>
      </c>
      <c r="B2225" s="167">
        <v>45855</v>
      </c>
      <c r="C2225" s="117">
        <v>2025</v>
      </c>
      <c r="D2225" s="119" t="s">
        <v>35</v>
      </c>
      <c r="E2225" s="119" t="s">
        <v>1473</v>
      </c>
      <c r="F2225" s="120">
        <v>1</v>
      </c>
      <c r="G2225" s="120" t="s">
        <v>759</v>
      </c>
      <c r="H2225" s="169">
        <v>50000</v>
      </c>
      <c r="J2225"/>
      <c r="K2225"/>
    </row>
    <row r="2226" spans="1:11" x14ac:dyDescent="0.25">
      <c r="A2226" s="115">
        <v>2225</v>
      </c>
      <c r="B2226" s="167">
        <v>45856</v>
      </c>
      <c r="C2226" s="117">
        <v>2025</v>
      </c>
      <c r="D2226" s="119" t="s">
        <v>35</v>
      </c>
      <c r="E2226" s="119" t="s">
        <v>1474</v>
      </c>
      <c r="F2226" s="120">
        <v>1</v>
      </c>
      <c r="G2226" s="120" t="s">
        <v>759</v>
      </c>
      <c r="H2226" s="169">
        <v>675000</v>
      </c>
      <c r="J2226"/>
      <c r="K2226"/>
    </row>
    <row r="2227" spans="1:11" x14ac:dyDescent="0.25">
      <c r="A2227" s="115">
        <v>2226</v>
      </c>
      <c r="B2227" s="167">
        <v>45856</v>
      </c>
      <c r="C2227" s="117">
        <v>2025</v>
      </c>
      <c r="D2227" s="119" t="s">
        <v>766</v>
      </c>
      <c r="E2227" s="119" t="s">
        <v>1475</v>
      </c>
      <c r="F2227" s="120">
        <v>50</v>
      </c>
      <c r="G2227" s="120" t="s">
        <v>759</v>
      </c>
      <c r="H2227" s="169">
        <v>227850</v>
      </c>
      <c r="J2227"/>
      <c r="K2227"/>
    </row>
    <row r="2228" spans="1:11" x14ac:dyDescent="0.25">
      <c r="A2228" s="115">
        <v>2227</v>
      </c>
      <c r="B2228" s="167">
        <v>45856</v>
      </c>
      <c r="C2228" s="117">
        <v>2025</v>
      </c>
      <c r="D2228" s="119" t="s">
        <v>766</v>
      </c>
      <c r="E2228" s="119" t="s">
        <v>1476</v>
      </c>
      <c r="F2228" s="120">
        <v>50</v>
      </c>
      <c r="G2228" s="120" t="s">
        <v>759</v>
      </c>
      <c r="H2228" s="169">
        <v>352450</v>
      </c>
      <c r="J2228"/>
      <c r="K2228"/>
    </row>
    <row r="2229" spans="1:11" x14ac:dyDescent="0.25">
      <c r="A2229" s="115">
        <v>2228</v>
      </c>
      <c r="B2229" s="167">
        <v>45856</v>
      </c>
      <c r="C2229" s="117">
        <v>2025</v>
      </c>
      <c r="D2229" s="119" t="s">
        <v>35</v>
      </c>
      <c r="E2229" s="119" t="s">
        <v>1392</v>
      </c>
      <c r="F2229" s="120">
        <v>1</v>
      </c>
      <c r="G2229" s="120" t="s">
        <v>759</v>
      </c>
      <c r="H2229" s="169">
        <v>160000</v>
      </c>
      <c r="J2229"/>
      <c r="K2229"/>
    </row>
    <row r="2230" spans="1:11" x14ac:dyDescent="0.25">
      <c r="A2230" s="115">
        <v>2229</v>
      </c>
      <c r="B2230" s="167">
        <v>45857</v>
      </c>
      <c r="C2230" s="117">
        <v>2025</v>
      </c>
      <c r="D2230" s="119" t="s">
        <v>35</v>
      </c>
      <c r="E2230" s="119" t="s">
        <v>1241</v>
      </c>
      <c r="F2230" s="120">
        <v>1</v>
      </c>
      <c r="G2230" s="120" t="s">
        <v>759</v>
      </c>
      <c r="H2230" s="169">
        <v>7800000</v>
      </c>
      <c r="J2230"/>
      <c r="K2230"/>
    </row>
    <row r="2231" spans="1:11" x14ac:dyDescent="0.25">
      <c r="A2231" s="115">
        <v>2230</v>
      </c>
      <c r="B2231" s="167">
        <v>45857</v>
      </c>
      <c r="C2231" s="117">
        <v>2025</v>
      </c>
      <c r="D2231" s="119" t="s">
        <v>833</v>
      </c>
      <c r="E2231" s="119" t="s">
        <v>1477</v>
      </c>
      <c r="F2231" s="120">
        <v>1</v>
      </c>
      <c r="G2231" s="120" t="s">
        <v>759</v>
      </c>
      <c r="H2231" s="169">
        <v>9900</v>
      </c>
      <c r="J2231"/>
      <c r="K2231"/>
    </row>
    <row r="2232" spans="1:11" x14ac:dyDescent="0.25">
      <c r="A2232" s="115">
        <v>2231</v>
      </c>
      <c r="B2232" s="167">
        <v>45857</v>
      </c>
      <c r="C2232" s="117">
        <v>2025</v>
      </c>
      <c r="D2232" s="119" t="s">
        <v>35</v>
      </c>
      <c r="E2232" s="119" t="s">
        <v>1478</v>
      </c>
      <c r="F2232" s="120">
        <v>1</v>
      </c>
      <c r="G2232" s="120" t="s">
        <v>759</v>
      </c>
      <c r="H2232" s="169">
        <v>250000</v>
      </c>
      <c r="J2232"/>
      <c r="K2232"/>
    </row>
    <row r="2233" spans="1:11" x14ac:dyDescent="0.25">
      <c r="A2233" s="115">
        <v>2232</v>
      </c>
      <c r="B2233" s="167">
        <v>45859</v>
      </c>
      <c r="C2233" s="117">
        <v>2025</v>
      </c>
      <c r="D2233" s="119" t="s">
        <v>833</v>
      </c>
      <c r="E2233" s="119" t="s">
        <v>192</v>
      </c>
      <c r="F2233" s="120">
        <v>12</v>
      </c>
      <c r="G2233" s="120" t="s">
        <v>759</v>
      </c>
      <c r="H2233" s="169">
        <v>31272</v>
      </c>
      <c r="J2233"/>
      <c r="K2233"/>
    </row>
    <row r="2234" spans="1:11" x14ac:dyDescent="0.25">
      <c r="A2234" s="115">
        <v>2233</v>
      </c>
      <c r="B2234" s="167">
        <v>45859</v>
      </c>
      <c r="C2234" s="117">
        <v>2025</v>
      </c>
      <c r="D2234" s="119" t="s">
        <v>259</v>
      </c>
      <c r="E2234" s="119" t="s">
        <v>1479</v>
      </c>
      <c r="F2234" s="120">
        <v>1</v>
      </c>
      <c r="G2234" s="120" t="s">
        <v>759</v>
      </c>
      <c r="H2234" s="169">
        <v>1277500</v>
      </c>
      <c r="J2234"/>
      <c r="K2234"/>
    </row>
    <row r="2235" spans="1:11" x14ac:dyDescent="0.25">
      <c r="A2235" s="115">
        <v>2234</v>
      </c>
      <c r="B2235" s="167">
        <v>45859</v>
      </c>
      <c r="C2235" s="117">
        <v>2025</v>
      </c>
      <c r="D2235" s="119" t="s">
        <v>259</v>
      </c>
      <c r="E2235" s="119" t="s">
        <v>1480</v>
      </c>
      <c r="F2235" s="120">
        <v>1</v>
      </c>
      <c r="G2235" s="120" t="s">
        <v>759</v>
      </c>
      <c r="H2235" s="169">
        <v>927500</v>
      </c>
      <c r="J2235"/>
      <c r="K2235"/>
    </row>
    <row r="2236" spans="1:11" x14ac:dyDescent="0.25">
      <c r="A2236" s="115">
        <v>2235</v>
      </c>
      <c r="B2236" s="167">
        <v>45859</v>
      </c>
      <c r="C2236" s="117">
        <v>2025</v>
      </c>
      <c r="D2236" s="119" t="s">
        <v>833</v>
      </c>
      <c r="E2236" s="119" t="s">
        <v>535</v>
      </c>
      <c r="F2236" s="120">
        <v>40</v>
      </c>
      <c r="G2236" s="120" t="s">
        <v>759</v>
      </c>
      <c r="H2236" s="169">
        <v>42520</v>
      </c>
      <c r="J2236"/>
      <c r="K2236"/>
    </row>
    <row r="2237" spans="1:11" x14ac:dyDescent="0.25">
      <c r="A2237" s="115">
        <v>2236</v>
      </c>
      <c r="B2237" s="167">
        <v>45859</v>
      </c>
      <c r="C2237" s="117">
        <v>2025</v>
      </c>
      <c r="D2237" s="119" t="s">
        <v>833</v>
      </c>
      <c r="E2237" s="119" t="s">
        <v>481</v>
      </c>
      <c r="F2237" s="120">
        <v>10</v>
      </c>
      <c r="G2237" s="120" t="s">
        <v>759</v>
      </c>
      <c r="H2237" s="169">
        <v>171900</v>
      </c>
      <c r="J2237"/>
      <c r="K2237"/>
    </row>
    <row r="2238" spans="1:11" x14ac:dyDescent="0.25">
      <c r="A2238" s="115">
        <v>2237</v>
      </c>
      <c r="B2238" s="167">
        <v>45859</v>
      </c>
      <c r="C2238" s="117">
        <v>2025</v>
      </c>
      <c r="D2238" s="119" t="s">
        <v>833</v>
      </c>
      <c r="E2238" s="119" t="s">
        <v>481</v>
      </c>
      <c r="F2238" s="120">
        <v>10</v>
      </c>
      <c r="G2238" s="120" t="s">
        <v>759</v>
      </c>
      <c r="H2238" s="169">
        <v>139900</v>
      </c>
      <c r="J2238"/>
      <c r="K2238"/>
    </row>
    <row r="2239" spans="1:11" x14ac:dyDescent="0.25">
      <c r="A2239" s="115">
        <v>2238</v>
      </c>
      <c r="B2239" s="167">
        <v>45859</v>
      </c>
      <c r="C2239" s="117">
        <v>2025</v>
      </c>
      <c r="D2239" s="119" t="s">
        <v>259</v>
      </c>
      <c r="E2239" s="119" t="s">
        <v>1481</v>
      </c>
      <c r="F2239" s="120">
        <v>1</v>
      </c>
      <c r="G2239" s="120" t="s">
        <v>759</v>
      </c>
      <c r="H2239" s="169">
        <v>1002475</v>
      </c>
      <c r="J2239"/>
      <c r="K2239"/>
    </row>
    <row r="2240" spans="1:11" x14ac:dyDescent="0.25">
      <c r="A2240" s="115">
        <v>2239</v>
      </c>
      <c r="B2240" s="167">
        <v>45859</v>
      </c>
      <c r="C2240" s="117">
        <v>2025</v>
      </c>
      <c r="D2240" s="119" t="s">
        <v>259</v>
      </c>
      <c r="E2240" s="119" t="s">
        <v>1482</v>
      </c>
      <c r="F2240" s="120">
        <v>1</v>
      </c>
      <c r="G2240" s="120" t="s">
        <v>759</v>
      </c>
      <c r="H2240" s="169">
        <v>492500</v>
      </c>
      <c r="J2240"/>
      <c r="K2240"/>
    </row>
    <row r="2241" spans="1:11" x14ac:dyDescent="0.25">
      <c r="A2241" s="115">
        <v>2240</v>
      </c>
      <c r="B2241" s="167">
        <v>45859</v>
      </c>
      <c r="C2241" s="117">
        <v>2025</v>
      </c>
      <c r="D2241" s="119" t="s">
        <v>259</v>
      </c>
      <c r="E2241" s="119" t="s">
        <v>990</v>
      </c>
      <c r="F2241" s="120">
        <v>1</v>
      </c>
      <c r="G2241" s="120" t="s">
        <v>759</v>
      </c>
      <c r="H2241" s="169">
        <v>292500</v>
      </c>
      <c r="J2241"/>
      <c r="K2241"/>
    </row>
    <row r="2242" spans="1:11" x14ac:dyDescent="0.25">
      <c r="A2242" s="115">
        <v>2241</v>
      </c>
      <c r="B2242" s="167">
        <v>45860</v>
      </c>
      <c r="C2242" s="117">
        <v>2025</v>
      </c>
      <c r="D2242" s="119" t="s">
        <v>35</v>
      </c>
      <c r="E2242" s="119" t="s">
        <v>1483</v>
      </c>
      <c r="F2242" s="120">
        <v>4</v>
      </c>
      <c r="G2242" s="120" t="s">
        <v>759</v>
      </c>
      <c r="H2242" s="169">
        <v>80000</v>
      </c>
      <c r="J2242"/>
      <c r="K2242"/>
    </row>
    <row r="2243" spans="1:11" x14ac:dyDescent="0.25">
      <c r="A2243" s="115">
        <v>2242</v>
      </c>
      <c r="B2243" s="167">
        <v>45861</v>
      </c>
      <c r="C2243" s="117">
        <v>2025</v>
      </c>
      <c r="D2243" s="119" t="s">
        <v>35</v>
      </c>
      <c r="E2243" s="119" t="s">
        <v>761</v>
      </c>
      <c r="F2243" s="120">
        <v>2</v>
      </c>
      <c r="G2243" s="120" t="s">
        <v>759</v>
      </c>
      <c r="H2243" s="169">
        <v>3150000</v>
      </c>
      <c r="J2243"/>
      <c r="K2243"/>
    </row>
    <row r="2244" spans="1:11" x14ac:dyDescent="0.25">
      <c r="A2244" s="115">
        <v>2243</v>
      </c>
      <c r="B2244" s="167">
        <v>45861</v>
      </c>
      <c r="C2244" s="117">
        <v>2025</v>
      </c>
      <c r="D2244" s="119" t="s">
        <v>35</v>
      </c>
      <c r="E2244" s="119" t="s">
        <v>1484</v>
      </c>
      <c r="F2244" s="120">
        <v>1</v>
      </c>
      <c r="G2244" s="120" t="s">
        <v>759</v>
      </c>
      <c r="H2244" s="169">
        <v>150000</v>
      </c>
      <c r="J2244"/>
      <c r="K2244"/>
    </row>
    <row r="2245" spans="1:11" x14ac:dyDescent="0.25">
      <c r="A2245" s="115">
        <v>2244</v>
      </c>
      <c r="B2245" s="167">
        <v>45861</v>
      </c>
      <c r="C2245" s="117">
        <v>2025</v>
      </c>
      <c r="D2245" s="119" t="s">
        <v>851</v>
      </c>
      <c r="E2245" s="119" t="s">
        <v>704</v>
      </c>
      <c r="F2245" s="120">
        <v>10</v>
      </c>
      <c r="G2245" s="120" t="s">
        <v>759</v>
      </c>
      <c r="H2245" s="169">
        <v>80400</v>
      </c>
      <c r="J2245"/>
      <c r="K2245"/>
    </row>
    <row r="2246" spans="1:11" x14ac:dyDescent="0.25">
      <c r="A2246" s="115">
        <v>2245</v>
      </c>
      <c r="B2246" s="167">
        <v>45861</v>
      </c>
      <c r="C2246" s="117">
        <v>2025</v>
      </c>
      <c r="D2246" s="119" t="s">
        <v>766</v>
      </c>
      <c r="E2246" s="119" t="s">
        <v>1270</v>
      </c>
      <c r="F2246" s="120">
        <v>9</v>
      </c>
      <c r="G2246" s="120" t="s">
        <v>759</v>
      </c>
      <c r="H2246" s="169">
        <v>270000</v>
      </c>
      <c r="J2246"/>
      <c r="K2246"/>
    </row>
    <row r="2247" spans="1:11" x14ac:dyDescent="0.25">
      <c r="A2247" s="115">
        <v>2246</v>
      </c>
      <c r="B2247" s="167">
        <v>45861</v>
      </c>
      <c r="C2247" s="117">
        <v>2025</v>
      </c>
      <c r="D2247" s="119" t="s">
        <v>35</v>
      </c>
      <c r="E2247" s="119" t="s">
        <v>1485</v>
      </c>
      <c r="F2247" s="120">
        <v>1</v>
      </c>
      <c r="G2247" s="120" t="s">
        <v>759</v>
      </c>
      <c r="H2247" s="169">
        <v>25000</v>
      </c>
      <c r="J2247"/>
      <c r="K2247"/>
    </row>
    <row r="2248" spans="1:11" x14ac:dyDescent="0.25">
      <c r="A2248" s="115">
        <v>2247</v>
      </c>
      <c r="B2248" s="167">
        <v>45861</v>
      </c>
      <c r="C2248" s="117">
        <v>2025</v>
      </c>
      <c r="D2248" s="119" t="s">
        <v>35</v>
      </c>
      <c r="E2248" s="119" t="s">
        <v>1486</v>
      </c>
      <c r="F2248" s="120">
        <v>1</v>
      </c>
      <c r="G2248" s="120" t="s">
        <v>759</v>
      </c>
      <c r="H2248" s="169">
        <v>75000</v>
      </c>
      <c r="J2248"/>
      <c r="K2248"/>
    </row>
    <row r="2249" spans="1:11" x14ac:dyDescent="0.25">
      <c r="A2249" s="115">
        <v>2248</v>
      </c>
      <c r="B2249" s="167">
        <v>45862</v>
      </c>
      <c r="C2249" s="117">
        <v>2025</v>
      </c>
      <c r="D2249" s="119" t="s">
        <v>35</v>
      </c>
      <c r="E2249" s="119" t="s">
        <v>739</v>
      </c>
      <c r="F2249" s="120">
        <v>75</v>
      </c>
      <c r="G2249" s="120" t="s">
        <v>759</v>
      </c>
      <c r="H2249" s="169">
        <v>585000</v>
      </c>
      <c r="J2249"/>
      <c r="K2249"/>
    </row>
    <row r="2250" spans="1:11" x14ac:dyDescent="0.25">
      <c r="A2250" s="115">
        <v>2249</v>
      </c>
      <c r="B2250" s="167">
        <v>45862</v>
      </c>
      <c r="C2250" s="117">
        <v>2025</v>
      </c>
      <c r="D2250" s="119" t="s">
        <v>259</v>
      </c>
      <c r="E2250" s="119" t="s">
        <v>1452</v>
      </c>
      <c r="F2250" s="120">
        <v>1</v>
      </c>
      <c r="G2250" s="120" t="s">
        <v>759</v>
      </c>
      <c r="H2250" s="169">
        <v>909000</v>
      </c>
      <c r="J2250"/>
      <c r="K2250"/>
    </row>
    <row r="2251" spans="1:11" x14ac:dyDescent="0.25">
      <c r="A2251" s="115">
        <v>2250</v>
      </c>
      <c r="B2251" s="167">
        <v>45862</v>
      </c>
      <c r="C2251" s="117">
        <v>2025</v>
      </c>
      <c r="D2251" s="119" t="s">
        <v>259</v>
      </c>
      <c r="E2251" s="119" t="s">
        <v>1487</v>
      </c>
      <c r="F2251" s="120">
        <v>1</v>
      </c>
      <c r="G2251" s="120" t="s">
        <v>759</v>
      </c>
      <c r="H2251" s="169">
        <v>31800</v>
      </c>
      <c r="J2251"/>
      <c r="K2251"/>
    </row>
    <row r="2252" spans="1:11" x14ac:dyDescent="0.25">
      <c r="A2252" s="115">
        <v>2251</v>
      </c>
      <c r="B2252" s="167">
        <v>45863</v>
      </c>
      <c r="C2252" s="117">
        <v>2025</v>
      </c>
      <c r="D2252" s="119" t="s">
        <v>35</v>
      </c>
      <c r="E2252" s="119" t="s">
        <v>211</v>
      </c>
      <c r="F2252" s="120">
        <v>10</v>
      </c>
      <c r="G2252" s="120" t="s">
        <v>759</v>
      </c>
      <c r="H2252" s="169">
        <v>210000</v>
      </c>
      <c r="J2252"/>
      <c r="K2252"/>
    </row>
    <row r="2253" spans="1:11" x14ac:dyDescent="0.25">
      <c r="A2253" s="115">
        <v>2252</v>
      </c>
      <c r="B2253" s="167">
        <v>45863</v>
      </c>
      <c r="C2253" s="117">
        <v>2025</v>
      </c>
      <c r="D2253" s="119" t="s">
        <v>35</v>
      </c>
      <c r="E2253" s="119" t="s">
        <v>211</v>
      </c>
      <c r="F2253" s="120">
        <v>10</v>
      </c>
      <c r="G2253" s="120" t="s">
        <v>759</v>
      </c>
      <c r="H2253" s="169">
        <v>190000</v>
      </c>
      <c r="J2253"/>
      <c r="K2253"/>
    </row>
    <row r="2254" spans="1:11" x14ac:dyDescent="0.25">
      <c r="A2254" s="115">
        <v>2253</v>
      </c>
      <c r="B2254" s="167">
        <v>45863</v>
      </c>
      <c r="C2254" s="117">
        <v>2025</v>
      </c>
      <c r="D2254" s="119" t="s">
        <v>35</v>
      </c>
      <c r="E2254" s="119" t="s">
        <v>211</v>
      </c>
      <c r="F2254" s="120">
        <v>2</v>
      </c>
      <c r="G2254" s="120" t="s">
        <v>759</v>
      </c>
      <c r="H2254" s="169">
        <v>39000</v>
      </c>
      <c r="J2254"/>
      <c r="K2254"/>
    </row>
    <row r="2255" spans="1:11" x14ac:dyDescent="0.25">
      <c r="A2255" s="115">
        <v>2254</v>
      </c>
      <c r="B2255" s="167">
        <v>45863</v>
      </c>
      <c r="C2255" s="117">
        <v>2025</v>
      </c>
      <c r="D2255" s="119" t="s">
        <v>35</v>
      </c>
      <c r="E2255" s="119" t="s">
        <v>1488</v>
      </c>
      <c r="F2255" s="120">
        <v>2</v>
      </c>
      <c r="G2255" s="120" t="s">
        <v>759</v>
      </c>
      <c r="H2255" s="169">
        <v>1900000</v>
      </c>
      <c r="J2255"/>
      <c r="K2255"/>
    </row>
    <row r="2256" spans="1:11" x14ac:dyDescent="0.25">
      <c r="A2256" s="115">
        <v>2255</v>
      </c>
      <c r="B2256" s="167">
        <v>45863</v>
      </c>
      <c r="C2256" s="117">
        <v>2025</v>
      </c>
      <c r="D2256" s="119" t="s">
        <v>35</v>
      </c>
      <c r="E2256" s="119" t="s">
        <v>1489</v>
      </c>
      <c r="F2256" s="120">
        <v>2</v>
      </c>
      <c r="G2256" s="120" t="s">
        <v>759</v>
      </c>
      <c r="H2256" s="169">
        <v>11900</v>
      </c>
      <c r="J2256"/>
      <c r="K2256"/>
    </row>
    <row r="2257" spans="1:11" x14ac:dyDescent="0.25">
      <c r="A2257" s="115">
        <v>2256</v>
      </c>
      <c r="B2257" s="167">
        <v>45863</v>
      </c>
      <c r="C2257" s="117">
        <v>2025</v>
      </c>
      <c r="D2257" s="119" t="s">
        <v>766</v>
      </c>
      <c r="E2257" s="119" t="s">
        <v>1490</v>
      </c>
      <c r="F2257" s="120">
        <v>6</v>
      </c>
      <c r="G2257" s="120" t="s">
        <v>759</v>
      </c>
      <c r="H2257" s="169">
        <v>113304</v>
      </c>
      <c r="J2257"/>
      <c r="K2257"/>
    </row>
    <row r="2258" spans="1:11" x14ac:dyDescent="0.25">
      <c r="A2258" s="115">
        <v>2257</v>
      </c>
      <c r="B2258" s="167">
        <v>45864</v>
      </c>
      <c r="C2258" s="117">
        <v>2025</v>
      </c>
      <c r="D2258" s="119" t="s">
        <v>766</v>
      </c>
      <c r="E2258" s="119" t="s">
        <v>1471</v>
      </c>
      <c r="F2258" s="120">
        <v>2000</v>
      </c>
      <c r="G2258" s="120" t="s">
        <v>759</v>
      </c>
      <c r="H2258" s="169">
        <v>29000000</v>
      </c>
      <c r="J2258"/>
      <c r="K2258"/>
    </row>
    <row r="2259" spans="1:11" x14ac:dyDescent="0.25">
      <c r="A2259" s="115">
        <v>2258</v>
      </c>
      <c r="B2259" s="167">
        <v>45864</v>
      </c>
      <c r="C2259" s="117">
        <v>2025</v>
      </c>
      <c r="D2259" s="119" t="s">
        <v>766</v>
      </c>
      <c r="E2259" s="119" t="s">
        <v>1491</v>
      </c>
      <c r="F2259" s="120">
        <v>6</v>
      </c>
      <c r="G2259" s="120" t="s">
        <v>759</v>
      </c>
      <c r="H2259" s="169">
        <v>75000</v>
      </c>
      <c r="J2259"/>
      <c r="K2259"/>
    </row>
    <row r="2260" spans="1:11" x14ac:dyDescent="0.25">
      <c r="A2260" s="115">
        <v>2259</v>
      </c>
      <c r="B2260" s="167">
        <v>45864</v>
      </c>
      <c r="C2260" s="117">
        <v>2025</v>
      </c>
      <c r="D2260" s="119" t="s">
        <v>35</v>
      </c>
      <c r="E2260" s="119" t="s">
        <v>205</v>
      </c>
      <c r="F2260" s="120">
        <v>4</v>
      </c>
      <c r="G2260" s="120" t="s">
        <v>759</v>
      </c>
      <c r="H2260" s="169">
        <v>80000</v>
      </c>
      <c r="J2260"/>
      <c r="K2260"/>
    </row>
    <row r="2261" spans="1:11" x14ac:dyDescent="0.25">
      <c r="A2261" s="115">
        <v>2260</v>
      </c>
      <c r="B2261" s="167">
        <v>45864</v>
      </c>
      <c r="C2261" s="117">
        <v>2025</v>
      </c>
      <c r="D2261" s="119" t="s">
        <v>259</v>
      </c>
      <c r="E2261" s="119" t="s">
        <v>1492</v>
      </c>
      <c r="F2261" s="120">
        <v>1</v>
      </c>
      <c r="G2261" s="120" t="s">
        <v>759</v>
      </c>
      <c r="H2261" s="169">
        <v>35150</v>
      </c>
      <c r="J2261"/>
      <c r="K2261"/>
    </row>
    <row r="2262" spans="1:11" x14ac:dyDescent="0.25">
      <c r="A2262" s="115">
        <v>2261</v>
      </c>
      <c r="B2262" s="167">
        <v>45864</v>
      </c>
      <c r="C2262" s="117">
        <v>2025</v>
      </c>
      <c r="D2262" s="119" t="s">
        <v>259</v>
      </c>
      <c r="E2262" s="119" t="s">
        <v>1493</v>
      </c>
      <c r="F2262" s="120">
        <v>1</v>
      </c>
      <c r="G2262" s="120" t="s">
        <v>759</v>
      </c>
      <c r="H2262" s="169">
        <v>67900</v>
      </c>
      <c r="J2262"/>
      <c r="K2262"/>
    </row>
    <row r="2263" spans="1:11" x14ac:dyDescent="0.25">
      <c r="A2263" s="115">
        <v>2262</v>
      </c>
      <c r="B2263" s="167">
        <v>45864</v>
      </c>
      <c r="C2263" s="117">
        <v>2025</v>
      </c>
      <c r="D2263" s="119" t="s">
        <v>35</v>
      </c>
      <c r="E2263" s="119" t="s">
        <v>1486</v>
      </c>
      <c r="F2263" s="120">
        <v>1</v>
      </c>
      <c r="G2263" s="120" t="s">
        <v>759</v>
      </c>
      <c r="H2263" s="169">
        <v>75000</v>
      </c>
      <c r="J2263"/>
      <c r="K2263"/>
    </row>
    <row r="2264" spans="1:11" x14ac:dyDescent="0.25">
      <c r="A2264" s="115">
        <v>2263</v>
      </c>
      <c r="B2264" s="167">
        <v>45864</v>
      </c>
      <c r="C2264" s="117">
        <v>2025</v>
      </c>
      <c r="D2264" s="119" t="s">
        <v>35</v>
      </c>
      <c r="E2264" s="119" t="s">
        <v>1486</v>
      </c>
      <c r="F2264" s="120">
        <v>1</v>
      </c>
      <c r="G2264" s="120" t="s">
        <v>759</v>
      </c>
      <c r="H2264" s="169">
        <v>75000</v>
      </c>
      <c r="J2264"/>
      <c r="K2264"/>
    </row>
    <row r="2265" spans="1:11" x14ac:dyDescent="0.25">
      <c r="A2265" s="115">
        <v>2264</v>
      </c>
      <c r="B2265" s="167">
        <v>45864</v>
      </c>
      <c r="C2265" s="117">
        <v>2025</v>
      </c>
      <c r="D2265" s="119" t="s">
        <v>35</v>
      </c>
      <c r="E2265" s="119" t="s">
        <v>1494</v>
      </c>
      <c r="F2265" s="120">
        <v>1</v>
      </c>
      <c r="G2265" s="120" t="s">
        <v>759</v>
      </c>
      <c r="H2265" s="169">
        <v>250000</v>
      </c>
      <c r="J2265"/>
      <c r="K2265"/>
    </row>
    <row r="2266" spans="1:11" x14ac:dyDescent="0.25">
      <c r="A2266" s="115">
        <v>2265</v>
      </c>
      <c r="B2266" s="167">
        <v>45866</v>
      </c>
      <c r="C2266" s="117">
        <v>2025</v>
      </c>
      <c r="D2266" s="119" t="s">
        <v>851</v>
      </c>
      <c r="E2266" s="119" t="s">
        <v>425</v>
      </c>
      <c r="F2266" s="120">
        <v>10</v>
      </c>
      <c r="G2266" s="120" t="s">
        <v>759</v>
      </c>
      <c r="H2266" s="169">
        <v>415900</v>
      </c>
      <c r="J2266"/>
      <c r="K2266"/>
    </row>
    <row r="2267" spans="1:11" x14ac:dyDescent="0.25">
      <c r="A2267" s="115">
        <v>2266</v>
      </c>
      <c r="B2267" s="167">
        <v>45867</v>
      </c>
      <c r="C2267" s="117">
        <v>2025</v>
      </c>
      <c r="D2267" s="119" t="s">
        <v>35</v>
      </c>
      <c r="E2267" s="119" t="s">
        <v>1483</v>
      </c>
      <c r="F2267" s="120">
        <v>8</v>
      </c>
      <c r="G2267" s="120" t="s">
        <v>759</v>
      </c>
      <c r="H2267" s="169">
        <v>160000</v>
      </c>
      <c r="J2267"/>
      <c r="K2267"/>
    </row>
    <row r="2268" spans="1:11" x14ac:dyDescent="0.25">
      <c r="A2268" s="115">
        <v>2267</v>
      </c>
      <c r="B2268" s="167">
        <v>45867</v>
      </c>
      <c r="C2268" s="117">
        <v>2025</v>
      </c>
      <c r="D2268" s="119" t="s">
        <v>851</v>
      </c>
      <c r="E2268" s="119" t="s">
        <v>1066</v>
      </c>
      <c r="F2268" s="120">
        <v>1</v>
      </c>
      <c r="G2268" s="120" t="s">
        <v>759</v>
      </c>
      <c r="H2268" s="169">
        <v>8400</v>
      </c>
      <c r="J2268"/>
      <c r="K2268"/>
    </row>
    <row r="2269" spans="1:11" x14ac:dyDescent="0.25">
      <c r="A2269" s="115">
        <v>2268</v>
      </c>
      <c r="B2269" s="167">
        <v>45868</v>
      </c>
      <c r="C2269" s="117">
        <v>2025</v>
      </c>
      <c r="D2269" s="119" t="s">
        <v>35</v>
      </c>
      <c r="E2269" s="119" t="s">
        <v>1495</v>
      </c>
      <c r="F2269" s="120">
        <v>1</v>
      </c>
      <c r="G2269" s="120" t="s">
        <v>759</v>
      </c>
      <c r="H2269" s="169">
        <v>35000</v>
      </c>
      <c r="J2269"/>
      <c r="K2269"/>
    </row>
    <row r="2270" spans="1:11" x14ac:dyDescent="0.25">
      <c r="A2270" s="115">
        <v>2269</v>
      </c>
      <c r="B2270" s="167">
        <v>45868</v>
      </c>
      <c r="C2270" s="117">
        <v>2025</v>
      </c>
      <c r="D2270" s="119" t="s">
        <v>35</v>
      </c>
      <c r="E2270" s="119" t="s">
        <v>1496</v>
      </c>
      <c r="F2270" s="120">
        <v>1</v>
      </c>
      <c r="G2270" s="120" t="s">
        <v>759</v>
      </c>
      <c r="H2270" s="169">
        <v>35000</v>
      </c>
      <c r="J2270"/>
      <c r="K2270"/>
    </row>
    <row r="2271" spans="1:11" x14ac:dyDescent="0.25">
      <c r="A2271" s="115">
        <v>2270</v>
      </c>
      <c r="B2271" s="167">
        <v>45868</v>
      </c>
      <c r="C2271" s="117">
        <v>2025</v>
      </c>
      <c r="D2271" s="119" t="s">
        <v>833</v>
      </c>
      <c r="E2271" s="119" t="s">
        <v>1497</v>
      </c>
      <c r="F2271" s="120">
        <v>6</v>
      </c>
      <c r="G2271" s="120" t="s">
        <v>759</v>
      </c>
      <c r="H2271" s="169">
        <v>120000</v>
      </c>
      <c r="J2271"/>
      <c r="K2271"/>
    </row>
    <row r="2272" spans="1:11" x14ac:dyDescent="0.25">
      <c r="A2272" s="115">
        <v>2271</v>
      </c>
      <c r="B2272" s="167">
        <v>45868</v>
      </c>
      <c r="C2272" s="117">
        <v>2025</v>
      </c>
      <c r="D2272" s="119" t="s">
        <v>35</v>
      </c>
      <c r="E2272" s="119" t="s">
        <v>1498</v>
      </c>
      <c r="F2272" s="120">
        <v>1</v>
      </c>
      <c r="G2272" s="120" t="s">
        <v>759</v>
      </c>
      <c r="H2272" s="169">
        <v>1400000</v>
      </c>
      <c r="J2272"/>
      <c r="K2272"/>
    </row>
    <row r="2273" spans="1:11" x14ac:dyDescent="0.25">
      <c r="A2273" s="115">
        <v>2272</v>
      </c>
      <c r="B2273" s="167">
        <v>45868</v>
      </c>
      <c r="C2273" s="117">
        <v>2025</v>
      </c>
      <c r="D2273" s="119" t="s">
        <v>766</v>
      </c>
      <c r="E2273" s="119" t="s">
        <v>1499</v>
      </c>
      <c r="F2273" s="120">
        <v>1</v>
      </c>
      <c r="G2273" s="120" t="s">
        <v>759</v>
      </c>
      <c r="H2273" s="169">
        <v>30400</v>
      </c>
      <c r="J2273"/>
      <c r="K2273"/>
    </row>
    <row r="2274" spans="1:11" x14ac:dyDescent="0.25">
      <c r="A2274" s="115">
        <v>2273</v>
      </c>
      <c r="B2274" s="167">
        <v>45868</v>
      </c>
      <c r="C2274" s="117">
        <v>2025</v>
      </c>
      <c r="D2274" s="119" t="s">
        <v>1118</v>
      </c>
      <c r="E2274" s="119" t="s">
        <v>1344</v>
      </c>
      <c r="F2274" s="120">
        <v>2</v>
      </c>
      <c r="G2274" s="120" t="s">
        <v>759</v>
      </c>
      <c r="H2274" s="169">
        <v>51500</v>
      </c>
      <c r="J2274"/>
      <c r="K2274"/>
    </row>
    <row r="2275" spans="1:11" x14ac:dyDescent="0.25">
      <c r="A2275" s="115">
        <v>2274</v>
      </c>
      <c r="B2275" s="167">
        <v>45868</v>
      </c>
      <c r="C2275" s="117">
        <v>2025</v>
      </c>
      <c r="D2275" s="119" t="s">
        <v>35</v>
      </c>
      <c r="E2275" s="119" t="s">
        <v>1500</v>
      </c>
      <c r="F2275" s="120">
        <v>1</v>
      </c>
      <c r="G2275" s="120" t="s">
        <v>759</v>
      </c>
      <c r="H2275" s="169">
        <v>585000</v>
      </c>
      <c r="J2275"/>
      <c r="K2275"/>
    </row>
    <row r="2276" spans="1:11" x14ac:dyDescent="0.25">
      <c r="A2276" s="115">
        <v>2275</v>
      </c>
      <c r="B2276" s="167">
        <v>45868</v>
      </c>
      <c r="C2276" s="117">
        <v>2025</v>
      </c>
      <c r="D2276" s="119" t="s">
        <v>35</v>
      </c>
      <c r="E2276" s="119" t="s">
        <v>1057</v>
      </c>
      <c r="F2276" s="120">
        <v>1</v>
      </c>
      <c r="G2276" s="120" t="s">
        <v>759</v>
      </c>
      <c r="H2276" s="169">
        <v>9285</v>
      </c>
      <c r="J2276"/>
      <c r="K2276"/>
    </row>
    <row r="2277" spans="1:11" x14ac:dyDescent="0.25">
      <c r="A2277" s="115">
        <v>2276</v>
      </c>
      <c r="B2277" s="167">
        <v>45868</v>
      </c>
      <c r="C2277" s="117">
        <v>2025</v>
      </c>
      <c r="D2277" s="119" t="s">
        <v>35</v>
      </c>
      <c r="E2277" s="119" t="s">
        <v>1501</v>
      </c>
      <c r="F2277" s="120">
        <v>2</v>
      </c>
      <c r="G2277" s="120" t="s">
        <v>759</v>
      </c>
      <c r="H2277" s="169">
        <v>200000</v>
      </c>
      <c r="J2277"/>
      <c r="K2277"/>
    </row>
    <row r="2278" spans="1:11" x14ac:dyDescent="0.25">
      <c r="A2278" s="115">
        <v>2277</v>
      </c>
      <c r="B2278" s="167">
        <v>45868</v>
      </c>
      <c r="C2278" s="117">
        <v>2025</v>
      </c>
      <c r="D2278" s="119" t="s">
        <v>35</v>
      </c>
      <c r="E2278" s="119" t="s">
        <v>1156</v>
      </c>
      <c r="F2278" s="120">
        <v>1</v>
      </c>
      <c r="G2278" s="120" t="s">
        <v>759</v>
      </c>
      <c r="H2278" s="169">
        <v>75000</v>
      </c>
      <c r="J2278"/>
      <c r="K2278"/>
    </row>
    <row r="2279" spans="1:11" x14ac:dyDescent="0.25">
      <c r="A2279" s="115">
        <v>2278</v>
      </c>
      <c r="B2279" s="167">
        <v>45869</v>
      </c>
      <c r="C2279" s="117">
        <v>2025</v>
      </c>
      <c r="D2279" s="119" t="s">
        <v>35</v>
      </c>
      <c r="E2279" s="119" t="s">
        <v>761</v>
      </c>
      <c r="F2279" s="120">
        <v>2</v>
      </c>
      <c r="G2279" s="120" t="s">
        <v>759</v>
      </c>
      <c r="H2279" s="169">
        <v>3150000</v>
      </c>
      <c r="J2279"/>
      <c r="K2279"/>
    </row>
    <row r="2280" spans="1:11" x14ac:dyDescent="0.25">
      <c r="A2280" s="115">
        <v>2279</v>
      </c>
      <c r="B2280" s="167">
        <v>45870</v>
      </c>
      <c r="C2280" s="117">
        <v>2025</v>
      </c>
      <c r="D2280" s="119" t="s">
        <v>833</v>
      </c>
      <c r="E2280" s="119" t="s">
        <v>1502</v>
      </c>
      <c r="F2280" s="120">
        <v>6</v>
      </c>
      <c r="G2280" s="120" t="s">
        <v>759</v>
      </c>
      <c r="H2280" s="169">
        <v>24000</v>
      </c>
      <c r="J2280"/>
      <c r="K2280"/>
    </row>
    <row r="2281" spans="1:11" x14ac:dyDescent="0.25">
      <c r="A2281" s="115">
        <v>2280</v>
      </c>
      <c r="B2281" s="167">
        <v>45870</v>
      </c>
      <c r="C2281" s="117">
        <v>2025</v>
      </c>
      <c r="D2281" s="119" t="s">
        <v>35</v>
      </c>
      <c r="E2281" s="119" t="s">
        <v>1503</v>
      </c>
      <c r="F2281" s="120">
        <v>10</v>
      </c>
      <c r="G2281" s="120" t="s">
        <v>759</v>
      </c>
      <c r="H2281" s="169">
        <v>6600000</v>
      </c>
      <c r="J2281"/>
      <c r="K2281"/>
    </row>
    <row r="2282" spans="1:11" x14ac:dyDescent="0.25">
      <c r="A2282" s="115">
        <v>2281</v>
      </c>
      <c r="B2282" s="167">
        <v>45870</v>
      </c>
      <c r="C2282" s="117">
        <v>2025</v>
      </c>
      <c r="D2282" s="119" t="s">
        <v>35</v>
      </c>
      <c r="E2282" s="119" t="s">
        <v>1503</v>
      </c>
      <c r="F2282" s="120">
        <v>1</v>
      </c>
      <c r="G2282" s="120" t="s">
        <v>759</v>
      </c>
      <c r="H2282" s="169">
        <v>990000</v>
      </c>
      <c r="J2282"/>
      <c r="K2282"/>
    </row>
    <row r="2283" spans="1:11" x14ac:dyDescent="0.25">
      <c r="A2283" s="115">
        <v>2282</v>
      </c>
      <c r="B2283" s="167">
        <v>45870</v>
      </c>
      <c r="C2283" s="117">
        <v>2025</v>
      </c>
      <c r="D2283" s="119" t="s">
        <v>35</v>
      </c>
      <c r="E2283" s="119" t="s">
        <v>1503</v>
      </c>
      <c r="F2283" s="120">
        <v>2</v>
      </c>
      <c r="G2283" s="120" t="s">
        <v>759</v>
      </c>
      <c r="H2283" s="169">
        <v>2640000</v>
      </c>
      <c r="J2283"/>
      <c r="K2283"/>
    </row>
    <row r="2284" spans="1:11" x14ac:dyDescent="0.25">
      <c r="A2284" s="115">
        <v>2283</v>
      </c>
      <c r="B2284" s="167">
        <v>45870</v>
      </c>
      <c r="C2284" s="117">
        <v>2025</v>
      </c>
      <c r="D2284" s="119" t="s">
        <v>35</v>
      </c>
      <c r="E2284" s="119" t="s">
        <v>1504</v>
      </c>
      <c r="F2284" s="120">
        <v>1</v>
      </c>
      <c r="G2284" s="120" t="s">
        <v>759</v>
      </c>
      <c r="H2284" s="169">
        <v>225000</v>
      </c>
      <c r="J2284"/>
      <c r="K2284"/>
    </row>
    <row r="2285" spans="1:11" x14ac:dyDescent="0.25">
      <c r="A2285" s="115">
        <v>2284</v>
      </c>
      <c r="B2285" s="167">
        <v>45870</v>
      </c>
      <c r="C2285" s="117">
        <v>2025</v>
      </c>
      <c r="D2285" s="119" t="s">
        <v>35</v>
      </c>
      <c r="E2285" s="119" t="s">
        <v>1504</v>
      </c>
      <c r="F2285" s="120">
        <v>4</v>
      </c>
      <c r="G2285" s="120" t="s">
        <v>759</v>
      </c>
      <c r="H2285" s="169">
        <v>1200000</v>
      </c>
      <c r="J2285"/>
      <c r="K2285"/>
    </row>
    <row r="2286" spans="1:11" x14ac:dyDescent="0.25">
      <c r="A2286" s="115">
        <v>2285</v>
      </c>
      <c r="B2286" s="167">
        <v>45870</v>
      </c>
      <c r="C2286" s="117">
        <v>2025</v>
      </c>
      <c r="D2286" s="119" t="s">
        <v>35</v>
      </c>
      <c r="E2286" s="119" t="s">
        <v>1504</v>
      </c>
      <c r="F2286" s="120">
        <v>6</v>
      </c>
      <c r="G2286" s="120" t="s">
        <v>759</v>
      </c>
      <c r="H2286" s="169">
        <v>6600000</v>
      </c>
      <c r="J2286"/>
      <c r="K2286"/>
    </row>
    <row r="2287" spans="1:11" x14ac:dyDescent="0.25">
      <c r="A2287" s="115">
        <v>2286</v>
      </c>
      <c r="B2287" s="167">
        <v>45870</v>
      </c>
      <c r="C2287" s="117">
        <v>2025</v>
      </c>
      <c r="D2287" s="119" t="s">
        <v>35</v>
      </c>
      <c r="E2287" s="119" t="s">
        <v>1504</v>
      </c>
      <c r="F2287" s="120">
        <v>2</v>
      </c>
      <c r="G2287" s="120" t="s">
        <v>759</v>
      </c>
      <c r="H2287" s="169">
        <v>4300000</v>
      </c>
      <c r="J2287"/>
      <c r="K2287"/>
    </row>
    <row r="2288" spans="1:11" x14ac:dyDescent="0.25">
      <c r="A2288" s="115">
        <v>2287</v>
      </c>
      <c r="B2288" s="167">
        <v>45873</v>
      </c>
      <c r="C2288" s="117">
        <v>2025</v>
      </c>
      <c r="D2288" s="119" t="s">
        <v>35</v>
      </c>
      <c r="E2288" s="119" t="s">
        <v>476</v>
      </c>
      <c r="F2288" s="120">
        <v>10</v>
      </c>
      <c r="G2288" s="120" t="s">
        <v>759</v>
      </c>
      <c r="H2288" s="169">
        <v>251900</v>
      </c>
      <c r="J2288"/>
      <c r="K2288"/>
    </row>
    <row r="2289" spans="1:11" x14ac:dyDescent="0.25">
      <c r="A2289" s="115">
        <v>2288</v>
      </c>
      <c r="B2289" s="167">
        <v>45873</v>
      </c>
      <c r="C2289" s="117">
        <v>2025</v>
      </c>
      <c r="D2289" s="119" t="s">
        <v>35</v>
      </c>
      <c r="E2289" s="119" t="s">
        <v>184</v>
      </c>
      <c r="F2289" s="120">
        <v>2</v>
      </c>
      <c r="G2289" s="120" t="s">
        <v>759</v>
      </c>
      <c r="H2289" s="169">
        <v>7000</v>
      </c>
      <c r="J2289"/>
      <c r="K2289"/>
    </row>
    <row r="2290" spans="1:11" x14ac:dyDescent="0.25">
      <c r="A2290" s="115">
        <v>2289</v>
      </c>
      <c r="B2290" s="167">
        <v>45873</v>
      </c>
      <c r="C2290" s="117">
        <v>2025</v>
      </c>
      <c r="D2290" s="119" t="s">
        <v>35</v>
      </c>
      <c r="E2290" s="119" t="s">
        <v>367</v>
      </c>
      <c r="F2290" s="120">
        <v>4</v>
      </c>
      <c r="G2290" s="120" t="s">
        <v>759</v>
      </c>
      <c r="H2290" s="169">
        <v>50000</v>
      </c>
      <c r="J2290"/>
      <c r="K2290"/>
    </row>
    <row r="2291" spans="1:11" x14ac:dyDescent="0.25">
      <c r="A2291" s="115">
        <v>2290</v>
      </c>
      <c r="B2291" s="167">
        <v>45873</v>
      </c>
      <c r="C2291" s="117">
        <v>2025</v>
      </c>
      <c r="D2291" s="119" t="s">
        <v>35</v>
      </c>
      <c r="E2291" s="119" t="s">
        <v>365</v>
      </c>
      <c r="F2291" s="120">
        <v>2</v>
      </c>
      <c r="G2291" s="120" t="s">
        <v>759</v>
      </c>
      <c r="H2291" s="169">
        <v>3000</v>
      </c>
      <c r="J2291"/>
      <c r="K2291"/>
    </row>
    <row r="2292" spans="1:11" x14ac:dyDescent="0.25">
      <c r="A2292" s="115">
        <v>2291</v>
      </c>
      <c r="B2292" s="167">
        <v>45874</v>
      </c>
      <c r="C2292" s="117">
        <v>2025</v>
      </c>
      <c r="D2292" s="119" t="s">
        <v>35</v>
      </c>
      <c r="E2292" s="119" t="s">
        <v>1325</v>
      </c>
      <c r="F2292" s="120">
        <v>1</v>
      </c>
      <c r="G2292" s="120" t="s">
        <v>759</v>
      </c>
      <c r="H2292" s="169">
        <v>15650</v>
      </c>
      <c r="J2292"/>
      <c r="K2292"/>
    </row>
    <row r="2293" spans="1:11" x14ac:dyDescent="0.25">
      <c r="A2293" s="115">
        <v>2292</v>
      </c>
      <c r="B2293" s="167">
        <v>45874</v>
      </c>
      <c r="C2293" s="117">
        <v>2025</v>
      </c>
      <c r="D2293" s="119" t="s">
        <v>35</v>
      </c>
      <c r="E2293" s="119" t="s">
        <v>1342</v>
      </c>
      <c r="F2293" s="120">
        <v>10</v>
      </c>
      <c r="G2293" s="120" t="s">
        <v>759</v>
      </c>
      <c r="H2293" s="169">
        <v>6500000</v>
      </c>
      <c r="J2293"/>
      <c r="K2293"/>
    </row>
    <row r="2294" spans="1:11" x14ac:dyDescent="0.25">
      <c r="A2294" s="115">
        <v>2293</v>
      </c>
      <c r="B2294" s="167">
        <v>45875</v>
      </c>
      <c r="C2294" s="117">
        <v>2025</v>
      </c>
      <c r="D2294" s="119" t="s">
        <v>833</v>
      </c>
      <c r="E2294" s="119" t="s">
        <v>542</v>
      </c>
      <c r="F2294" s="120">
        <v>5</v>
      </c>
      <c r="G2294" s="120" t="s">
        <v>759</v>
      </c>
      <c r="H2294" s="169">
        <v>450000</v>
      </c>
      <c r="J2294"/>
      <c r="K2294"/>
    </row>
    <row r="2295" spans="1:11" x14ac:dyDescent="0.25">
      <c r="A2295" s="115">
        <v>2294</v>
      </c>
      <c r="B2295" s="167">
        <v>45875</v>
      </c>
      <c r="C2295" s="117">
        <v>2025</v>
      </c>
      <c r="D2295" s="119" t="s">
        <v>35</v>
      </c>
      <c r="E2295" s="119" t="s">
        <v>1325</v>
      </c>
      <c r="F2295" s="120">
        <v>3</v>
      </c>
      <c r="G2295" s="120" t="s">
        <v>759</v>
      </c>
      <c r="H2295" s="169">
        <v>16872</v>
      </c>
      <c r="J2295"/>
      <c r="K2295"/>
    </row>
    <row r="2296" spans="1:11" x14ac:dyDescent="0.25">
      <c r="A2296" s="115">
        <v>2295</v>
      </c>
      <c r="B2296" s="167">
        <v>45875</v>
      </c>
      <c r="C2296" s="117">
        <v>2025</v>
      </c>
      <c r="D2296" s="119" t="s">
        <v>35</v>
      </c>
      <c r="E2296" s="119" t="s">
        <v>69</v>
      </c>
      <c r="F2296" s="120">
        <v>2</v>
      </c>
      <c r="G2296" s="120" t="s">
        <v>759</v>
      </c>
      <c r="H2296" s="169">
        <v>190000</v>
      </c>
      <c r="J2296"/>
      <c r="K2296"/>
    </row>
    <row r="2297" spans="1:11" x14ac:dyDescent="0.25">
      <c r="A2297" s="115">
        <v>2296</v>
      </c>
      <c r="B2297" s="167">
        <v>45875</v>
      </c>
      <c r="C2297" s="117">
        <v>2025</v>
      </c>
      <c r="D2297" s="119" t="s">
        <v>1118</v>
      </c>
      <c r="E2297" s="119" t="s">
        <v>1505</v>
      </c>
      <c r="F2297" s="120">
        <v>4</v>
      </c>
      <c r="G2297" s="120" t="s">
        <v>759</v>
      </c>
      <c r="H2297" s="169">
        <v>180000</v>
      </c>
      <c r="J2297"/>
      <c r="K2297"/>
    </row>
    <row r="2298" spans="1:11" x14ac:dyDescent="0.25">
      <c r="A2298" s="115">
        <v>2297</v>
      </c>
      <c r="B2298" s="167">
        <v>45875</v>
      </c>
      <c r="C2298" s="117">
        <v>2025</v>
      </c>
      <c r="D2298" s="119" t="s">
        <v>833</v>
      </c>
      <c r="E2298" s="119" t="s">
        <v>1506</v>
      </c>
      <c r="F2298" s="120">
        <v>2</v>
      </c>
      <c r="G2298" s="120" t="s">
        <v>759</v>
      </c>
      <c r="H2298" s="169">
        <v>5000</v>
      </c>
      <c r="J2298"/>
      <c r="K2298"/>
    </row>
    <row r="2299" spans="1:11" x14ac:dyDescent="0.25">
      <c r="A2299" s="115">
        <v>2298</v>
      </c>
      <c r="B2299" s="167">
        <v>45876</v>
      </c>
      <c r="C2299" s="117">
        <v>2025</v>
      </c>
      <c r="D2299" s="119" t="s">
        <v>35</v>
      </c>
      <c r="E2299" s="119" t="s">
        <v>1294</v>
      </c>
      <c r="F2299" s="120">
        <v>1</v>
      </c>
      <c r="G2299" s="120" t="s">
        <v>759</v>
      </c>
      <c r="H2299" s="169">
        <v>17900</v>
      </c>
      <c r="J2299"/>
      <c r="K2299"/>
    </row>
    <row r="2300" spans="1:11" x14ac:dyDescent="0.25">
      <c r="A2300" s="115">
        <v>2299</v>
      </c>
      <c r="B2300" s="167">
        <v>45876</v>
      </c>
      <c r="C2300" s="117">
        <v>2025</v>
      </c>
      <c r="D2300" s="119" t="s">
        <v>833</v>
      </c>
      <c r="E2300" s="119" t="s">
        <v>494</v>
      </c>
      <c r="F2300" s="120">
        <v>3</v>
      </c>
      <c r="G2300" s="120" t="s">
        <v>759</v>
      </c>
      <c r="H2300" s="169">
        <v>7002</v>
      </c>
      <c r="J2300"/>
      <c r="K2300"/>
    </row>
    <row r="2301" spans="1:11" x14ac:dyDescent="0.25">
      <c r="A2301" s="115">
        <v>2300</v>
      </c>
      <c r="B2301" s="167">
        <v>45876</v>
      </c>
      <c r="C2301" s="117">
        <v>2025</v>
      </c>
      <c r="D2301" s="119" t="s">
        <v>1118</v>
      </c>
      <c r="E2301" s="119" t="s">
        <v>1356</v>
      </c>
      <c r="F2301" s="120">
        <v>3</v>
      </c>
      <c r="G2301" s="120" t="s">
        <v>759</v>
      </c>
      <c r="H2301" s="169">
        <v>10902</v>
      </c>
      <c r="J2301"/>
      <c r="K2301"/>
    </row>
    <row r="2302" spans="1:11" x14ac:dyDescent="0.25">
      <c r="A2302" s="115">
        <v>2301</v>
      </c>
      <c r="B2302" s="167">
        <v>45876</v>
      </c>
      <c r="C2302" s="117">
        <v>2025</v>
      </c>
      <c r="D2302" s="119" t="s">
        <v>1118</v>
      </c>
      <c r="E2302" s="119" t="s">
        <v>1356</v>
      </c>
      <c r="F2302" s="120">
        <v>3</v>
      </c>
      <c r="G2302" s="120" t="s">
        <v>759</v>
      </c>
      <c r="H2302" s="169">
        <v>4902</v>
      </c>
      <c r="J2302"/>
      <c r="K2302"/>
    </row>
    <row r="2303" spans="1:11" x14ac:dyDescent="0.25">
      <c r="A2303" s="115">
        <v>2302</v>
      </c>
      <c r="B2303" s="167">
        <v>45877</v>
      </c>
      <c r="C2303" s="117">
        <v>2025</v>
      </c>
      <c r="D2303" s="119" t="s">
        <v>259</v>
      </c>
      <c r="E2303" s="119" t="s">
        <v>331</v>
      </c>
      <c r="F2303" s="120">
        <v>8</v>
      </c>
      <c r="G2303" s="120" t="s">
        <v>759</v>
      </c>
      <c r="H2303" s="169">
        <v>1762504</v>
      </c>
      <c r="J2303"/>
      <c r="K2303"/>
    </row>
    <row r="2304" spans="1:11" x14ac:dyDescent="0.25">
      <c r="A2304" s="115">
        <v>2303</v>
      </c>
      <c r="B2304" s="167">
        <v>45877</v>
      </c>
      <c r="C2304" s="117">
        <v>2025</v>
      </c>
      <c r="D2304" s="119" t="s">
        <v>259</v>
      </c>
      <c r="E2304" s="119" t="s">
        <v>343</v>
      </c>
      <c r="F2304" s="120">
        <v>1</v>
      </c>
      <c r="G2304" s="120" t="s">
        <v>759</v>
      </c>
      <c r="H2304" s="169">
        <v>1197500</v>
      </c>
      <c r="J2304"/>
      <c r="K2304"/>
    </row>
    <row r="2305" spans="1:11" x14ac:dyDescent="0.25">
      <c r="A2305" s="115">
        <v>2304</v>
      </c>
      <c r="B2305" s="167">
        <v>45877</v>
      </c>
      <c r="C2305" s="117">
        <v>2025</v>
      </c>
      <c r="D2305" s="119" t="s">
        <v>259</v>
      </c>
      <c r="E2305" s="119" t="s">
        <v>338</v>
      </c>
      <c r="F2305" s="120">
        <v>2</v>
      </c>
      <c r="G2305" s="120" t="s">
        <v>759</v>
      </c>
      <c r="H2305" s="169">
        <v>850000</v>
      </c>
      <c r="J2305"/>
      <c r="K2305"/>
    </row>
    <row r="2306" spans="1:11" x14ac:dyDescent="0.25">
      <c r="A2306" s="115">
        <v>2305</v>
      </c>
      <c r="B2306" s="167">
        <v>45878</v>
      </c>
      <c r="C2306" s="117">
        <v>2025</v>
      </c>
      <c r="D2306" s="119" t="s">
        <v>35</v>
      </c>
      <c r="E2306" s="119" t="s">
        <v>1507</v>
      </c>
      <c r="F2306" s="120">
        <v>1</v>
      </c>
      <c r="G2306" s="120" t="s">
        <v>759</v>
      </c>
      <c r="H2306" s="169">
        <v>60700</v>
      </c>
      <c r="J2306"/>
      <c r="K2306"/>
    </row>
    <row r="2307" spans="1:11" x14ac:dyDescent="0.25">
      <c r="A2307" s="115">
        <v>2306</v>
      </c>
      <c r="B2307" s="167">
        <v>45880</v>
      </c>
      <c r="C2307" s="117">
        <v>2025</v>
      </c>
      <c r="D2307" s="119" t="s">
        <v>35</v>
      </c>
      <c r="E2307" s="119" t="s">
        <v>252</v>
      </c>
      <c r="F2307" s="120">
        <v>2</v>
      </c>
      <c r="G2307" s="120" t="s">
        <v>759</v>
      </c>
      <c r="H2307" s="169">
        <v>2400000</v>
      </c>
      <c r="J2307"/>
      <c r="K2307"/>
    </row>
    <row r="2308" spans="1:11" x14ac:dyDescent="0.25">
      <c r="A2308" s="115">
        <v>2307</v>
      </c>
      <c r="B2308" s="167">
        <v>45880</v>
      </c>
      <c r="C2308" s="117">
        <v>2025</v>
      </c>
      <c r="D2308" s="119" t="s">
        <v>35</v>
      </c>
      <c r="E2308" s="119" t="s">
        <v>1450</v>
      </c>
      <c r="F2308" s="120">
        <v>1</v>
      </c>
      <c r="G2308" s="120" t="s">
        <v>759</v>
      </c>
      <c r="H2308" s="169">
        <v>65000</v>
      </c>
      <c r="J2308"/>
      <c r="K2308"/>
    </row>
    <row r="2309" spans="1:11" x14ac:dyDescent="0.25">
      <c r="A2309" s="115">
        <v>2308</v>
      </c>
      <c r="B2309" s="167">
        <v>45880</v>
      </c>
      <c r="C2309" s="117">
        <v>2025</v>
      </c>
      <c r="D2309" s="119" t="s">
        <v>35</v>
      </c>
      <c r="E2309" s="119" t="s">
        <v>72</v>
      </c>
      <c r="F2309" s="120">
        <v>1</v>
      </c>
      <c r="G2309" s="120" t="s">
        <v>759</v>
      </c>
      <c r="H2309" s="169">
        <v>25000</v>
      </c>
      <c r="J2309"/>
      <c r="K2309"/>
    </row>
    <row r="2310" spans="1:11" x14ac:dyDescent="0.25">
      <c r="A2310" s="115">
        <v>2309</v>
      </c>
      <c r="B2310" s="167">
        <v>45881</v>
      </c>
      <c r="C2310" s="117">
        <v>2025</v>
      </c>
      <c r="D2310" s="119" t="s">
        <v>35</v>
      </c>
      <c r="E2310" s="119" t="s">
        <v>211</v>
      </c>
      <c r="F2310" s="120">
        <v>15</v>
      </c>
      <c r="G2310" s="120" t="s">
        <v>759</v>
      </c>
      <c r="H2310" s="169">
        <v>227010</v>
      </c>
      <c r="J2310"/>
      <c r="K2310"/>
    </row>
    <row r="2311" spans="1:11" x14ac:dyDescent="0.25">
      <c r="A2311" s="115">
        <v>2310</v>
      </c>
      <c r="B2311" s="167">
        <v>45881</v>
      </c>
      <c r="C2311" s="117">
        <v>2025</v>
      </c>
      <c r="D2311" s="119" t="s">
        <v>35</v>
      </c>
      <c r="E2311" s="119" t="s">
        <v>1291</v>
      </c>
      <c r="F2311" s="120">
        <v>100</v>
      </c>
      <c r="G2311" s="120" t="s">
        <v>759</v>
      </c>
      <c r="H2311" s="169">
        <v>850000</v>
      </c>
      <c r="J2311"/>
      <c r="K2311"/>
    </row>
    <row r="2312" spans="1:11" x14ac:dyDescent="0.25">
      <c r="A2312" s="115">
        <v>2311</v>
      </c>
      <c r="B2312" s="167">
        <v>45881</v>
      </c>
      <c r="C2312" s="117">
        <v>2025</v>
      </c>
      <c r="D2312" s="119" t="s">
        <v>851</v>
      </c>
      <c r="E2312" s="119" t="s">
        <v>299</v>
      </c>
      <c r="F2312" s="120">
        <v>54</v>
      </c>
      <c r="G2312" s="120" t="s">
        <v>759</v>
      </c>
      <c r="H2312" s="169">
        <v>412236</v>
      </c>
      <c r="J2312"/>
      <c r="K2312"/>
    </row>
    <row r="2313" spans="1:11" x14ac:dyDescent="0.25">
      <c r="A2313" s="115">
        <v>2312</v>
      </c>
      <c r="B2313" s="167">
        <v>45881</v>
      </c>
      <c r="C2313" s="117">
        <v>2025</v>
      </c>
      <c r="D2313" s="119" t="s">
        <v>35</v>
      </c>
      <c r="E2313" s="119" t="s">
        <v>130</v>
      </c>
      <c r="F2313" s="120">
        <v>1</v>
      </c>
      <c r="G2313" s="120" t="s">
        <v>759</v>
      </c>
      <c r="H2313" s="169">
        <v>195000</v>
      </c>
      <c r="J2313"/>
      <c r="K2313"/>
    </row>
    <row r="2314" spans="1:11" x14ac:dyDescent="0.25">
      <c r="A2314" s="115">
        <v>2313</v>
      </c>
      <c r="B2314" s="167">
        <v>45882</v>
      </c>
      <c r="C2314" s="117">
        <v>2025</v>
      </c>
      <c r="D2314" s="119" t="s">
        <v>35</v>
      </c>
      <c r="E2314" s="119" t="s">
        <v>761</v>
      </c>
      <c r="F2314" s="120">
        <v>2</v>
      </c>
      <c r="G2314" s="120" t="s">
        <v>759</v>
      </c>
      <c r="H2314" s="169">
        <v>3150000</v>
      </c>
      <c r="J2314"/>
      <c r="K2314"/>
    </row>
    <row r="2315" spans="1:11" x14ac:dyDescent="0.25">
      <c r="A2315" s="115">
        <v>2314</v>
      </c>
      <c r="B2315" s="167">
        <v>45882</v>
      </c>
      <c r="C2315" s="117">
        <v>2025</v>
      </c>
      <c r="D2315" s="119" t="s">
        <v>35</v>
      </c>
      <c r="E2315" s="119" t="s">
        <v>852</v>
      </c>
      <c r="F2315" s="120">
        <v>2</v>
      </c>
      <c r="G2315" s="120" t="s">
        <v>759</v>
      </c>
      <c r="H2315" s="169">
        <v>11400</v>
      </c>
      <c r="J2315"/>
      <c r="K2315"/>
    </row>
    <row r="2316" spans="1:11" x14ac:dyDescent="0.25">
      <c r="A2316" s="115">
        <v>2315</v>
      </c>
      <c r="B2316" s="167">
        <v>45882</v>
      </c>
      <c r="C2316" s="117">
        <v>2025</v>
      </c>
      <c r="D2316" s="119" t="s">
        <v>1118</v>
      </c>
      <c r="E2316" s="119" t="s">
        <v>576</v>
      </c>
      <c r="F2316" s="120">
        <v>1</v>
      </c>
      <c r="G2316" s="120" t="s">
        <v>759</v>
      </c>
      <c r="H2316" s="169">
        <v>52179</v>
      </c>
      <c r="J2316"/>
      <c r="K2316"/>
    </row>
    <row r="2317" spans="1:11" x14ac:dyDescent="0.25">
      <c r="A2317" s="115">
        <v>2316</v>
      </c>
      <c r="B2317" s="167">
        <v>45883</v>
      </c>
      <c r="C2317" s="117">
        <v>2025</v>
      </c>
      <c r="D2317" s="119" t="s">
        <v>35</v>
      </c>
      <c r="E2317" s="119" t="s">
        <v>128</v>
      </c>
      <c r="F2317" s="120">
        <v>1</v>
      </c>
      <c r="G2317" s="120" t="s">
        <v>759</v>
      </c>
      <c r="H2317" s="169">
        <v>175000</v>
      </c>
      <c r="J2317"/>
      <c r="K2317"/>
    </row>
    <row r="2318" spans="1:11" x14ac:dyDescent="0.25">
      <c r="A2318" s="115">
        <v>2317</v>
      </c>
      <c r="B2318" s="167">
        <v>45883</v>
      </c>
      <c r="C2318" s="117">
        <v>2025</v>
      </c>
      <c r="D2318" s="119" t="s">
        <v>35</v>
      </c>
      <c r="E2318" s="119" t="s">
        <v>235</v>
      </c>
      <c r="F2318" s="120">
        <v>1</v>
      </c>
      <c r="G2318" s="120" t="s">
        <v>759</v>
      </c>
      <c r="H2318" s="169">
        <v>136900</v>
      </c>
      <c r="J2318"/>
      <c r="K2318"/>
    </row>
    <row r="2319" spans="1:11" x14ac:dyDescent="0.25">
      <c r="A2319" s="115">
        <v>2318</v>
      </c>
      <c r="B2319" s="167">
        <v>45883</v>
      </c>
      <c r="C2319" s="117">
        <v>2025</v>
      </c>
      <c r="D2319" s="119" t="s">
        <v>833</v>
      </c>
      <c r="E2319" s="119" t="s">
        <v>644</v>
      </c>
      <c r="F2319" s="120">
        <v>5</v>
      </c>
      <c r="G2319" s="120" t="s">
        <v>759</v>
      </c>
      <c r="H2319" s="169">
        <v>125775</v>
      </c>
      <c r="J2319"/>
      <c r="K2319"/>
    </row>
    <row r="2320" spans="1:11" x14ac:dyDescent="0.25">
      <c r="A2320" s="115">
        <v>2319</v>
      </c>
      <c r="B2320" s="167">
        <v>45884</v>
      </c>
      <c r="C2320" s="117">
        <v>2025</v>
      </c>
      <c r="D2320" s="119" t="s">
        <v>833</v>
      </c>
      <c r="E2320" s="119" t="s">
        <v>175</v>
      </c>
      <c r="F2320" s="120">
        <v>75</v>
      </c>
      <c r="G2320" s="120" t="s">
        <v>759</v>
      </c>
      <c r="H2320" s="169">
        <v>862500</v>
      </c>
      <c r="J2320"/>
      <c r="K2320"/>
    </row>
    <row r="2321" spans="1:11" x14ac:dyDescent="0.25">
      <c r="A2321" s="115">
        <v>2320</v>
      </c>
      <c r="B2321" s="167">
        <v>45884</v>
      </c>
      <c r="C2321" s="117">
        <v>2025</v>
      </c>
      <c r="D2321" s="119" t="s">
        <v>833</v>
      </c>
      <c r="E2321" s="119" t="s">
        <v>79</v>
      </c>
      <c r="F2321" s="120">
        <v>3</v>
      </c>
      <c r="G2321" s="120" t="s">
        <v>759</v>
      </c>
      <c r="H2321" s="169">
        <v>177078</v>
      </c>
      <c r="J2321"/>
      <c r="K2321"/>
    </row>
    <row r="2322" spans="1:11" x14ac:dyDescent="0.25">
      <c r="A2322" s="115">
        <v>2321</v>
      </c>
      <c r="B2322" s="167">
        <v>45884</v>
      </c>
      <c r="C2322" s="117">
        <v>2025</v>
      </c>
      <c r="D2322" s="119" t="s">
        <v>833</v>
      </c>
      <c r="E2322" s="119" t="s">
        <v>493</v>
      </c>
      <c r="F2322" s="120">
        <v>10</v>
      </c>
      <c r="G2322" s="120" t="s">
        <v>759</v>
      </c>
      <c r="H2322" s="169">
        <v>95000</v>
      </c>
      <c r="J2322"/>
      <c r="K2322"/>
    </row>
    <row r="2323" spans="1:11" x14ac:dyDescent="0.25">
      <c r="A2323" s="115">
        <v>2322</v>
      </c>
      <c r="B2323" s="167">
        <v>45884</v>
      </c>
      <c r="C2323" s="117">
        <v>2025</v>
      </c>
      <c r="D2323" s="119" t="s">
        <v>833</v>
      </c>
      <c r="E2323" s="119" t="s">
        <v>171</v>
      </c>
      <c r="F2323" s="120">
        <v>3</v>
      </c>
      <c r="G2323" s="120" t="s">
        <v>759</v>
      </c>
      <c r="H2323" s="169">
        <v>28800</v>
      </c>
      <c r="J2323"/>
      <c r="K2323"/>
    </row>
    <row r="2324" spans="1:11" x14ac:dyDescent="0.25">
      <c r="A2324" s="115">
        <v>2323</v>
      </c>
      <c r="B2324" s="167">
        <v>45884</v>
      </c>
      <c r="C2324" s="117">
        <v>2025</v>
      </c>
      <c r="D2324" s="119" t="s">
        <v>833</v>
      </c>
      <c r="E2324" s="119" t="s">
        <v>168</v>
      </c>
      <c r="F2324" s="120">
        <v>24</v>
      </c>
      <c r="G2324" s="120" t="s">
        <v>759</v>
      </c>
      <c r="H2324" s="169">
        <v>199032</v>
      </c>
      <c r="J2324"/>
      <c r="K2324"/>
    </row>
    <row r="2325" spans="1:11" x14ac:dyDescent="0.25">
      <c r="A2325" s="115">
        <v>2324</v>
      </c>
      <c r="B2325" s="167">
        <v>45884</v>
      </c>
      <c r="C2325" s="117">
        <v>2025</v>
      </c>
      <c r="D2325" s="119" t="s">
        <v>833</v>
      </c>
      <c r="E2325" s="119" t="s">
        <v>1302</v>
      </c>
      <c r="F2325" s="120">
        <v>3</v>
      </c>
      <c r="G2325" s="120" t="s">
        <v>759</v>
      </c>
      <c r="H2325" s="169">
        <v>73602</v>
      </c>
      <c r="J2325"/>
      <c r="K2325"/>
    </row>
    <row r="2326" spans="1:11" x14ac:dyDescent="0.25">
      <c r="A2326" s="115">
        <v>2325</v>
      </c>
      <c r="B2326" s="167">
        <v>45887</v>
      </c>
      <c r="C2326" s="117">
        <v>2025</v>
      </c>
      <c r="D2326" s="119" t="s">
        <v>35</v>
      </c>
      <c r="E2326" s="119" t="s">
        <v>252</v>
      </c>
      <c r="F2326" s="120">
        <v>2</v>
      </c>
      <c r="G2326" s="120" t="s">
        <v>759</v>
      </c>
      <c r="H2326" s="169">
        <v>2140000</v>
      </c>
      <c r="J2326"/>
      <c r="K2326"/>
    </row>
    <row r="2327" spans="1:11" x14ac:dyDescent="0.25">
      <c r="A2327" s="115">
        <v>2326</v>
      </c>
      <c r="B2327" s="167">
        <v>45887</v>
      </c>
      <c r="C2327" s="117">
        <v>2025</v>
      </c>
      <c r="D2327" s="119" t="s">
        <v>35</v>
      </c>
      <c r="E2327" s="119" t="s">
        <v>761</v>
      </c>
      <c r="F2327" s="120">
        <v>2</v>
      </c>
      <c r="G2327" s="120" t="s">
        <v>759</v>
      </c>
      <c r="H2327" s="169">
        <v>3150000</v>
      </c>
      <c r="J2327"/>
      <c r="K2327"/>
    </row>
    <row r="2328" spans="1:11" x14ac:dyDescent="0.25">
      <c r="A2328" s="115">
        <v>2327</v>
      </c>
      <c r="B2328" s="167">
        <v>45887</v>
      </c>
      <c r="C2328" s="117">
        <v>2025</v>
      </c>
      <c r="D2328" s="119" t="s">
        <v>851</v>
      </c>
      <c r="E2328" s="119" t="s">
        <v>1508</v>
      </c>
      <c r="F2328" s="120">
        <v>50</v>
      </c>
      <c r="G2328" s="120" t="s">
        <v>759</v>
      </c>
      <c r="H2328" s="169">
        <v>29550</v>
      </c>
      <c r="J2328"/>
      <c r="K2328"/>
    </row>
    <row r="2329" spans="1:11" x14ac:dyDescent="0.25">
      <c r="A2329" s="115">
        <v>2328</v>
      </c>
      <c r="B2329" s="167">
        <v>45887</v>
      </c>
      <c r="C2329" s="117">
        <v>2025</v>
      </c>
      <c r="D2329" s="119" t="s">
        <v>1118</v>
      </c>
      <c r="E2329" s="119" t="s">
        <v>589</v>
      </c>
      <c r="F2329" s="120">
        <v>25</v>
      </c>
      <c r="G2329" s="120" t="s">
        <v>759</v>
      </c>
      <c r="H2329" s="169">
        <v>40000</v>
      </c>
      <c r="J2329"/>
      <c r="K2329"/>
    </row>
    <row r="2330" spans="1:11" x14ac:dyDescent="0.25">
      <c r="A2330" s="115">
        <v>2329</v>
      </c>
      <c r="B2330" s="167">
        <v>45887</v>
      </c>
      <c r="C2330" s="117">
        <v>2025</v>
      </c>
      <c r="D2330" s="119" t="s">
        <v>833</v>
      </c>
      <c r="E2330" s="119" t="s">
        <v>1509</v>
      </c>
      <c r="F2330" s="120">
        <v>1</v>
      </c>
      <c r="G2330" s="120" t="s">
        <v>759</v>
      </c>
      <c r="H2330" s="169">
        <v>19400</v>
      </c>
      <c r="J2330"/>
      <c r="K2330"/>
    </row>
    <row r="2331" spans="1:11" x14ac:dyDescent="0.25">
      <c r="A2331" s="115">
        <v>2330</v>
      </c>
      <c r="B2331" s="167">
        <v>45888</v>
      </c>
      <c r="C2331" s="117">
        <v>2025</v>
      </c>
      <c r="D2331" s="119" t="s">
        <v>35</v>
      </c>
      <c r="E2331" s="119" t="s">
        <v>1510</v>
      </c>
      <c r="F2331" s="120">
        <v>1</v>
      </c>
      <c r="G2331" s="120" t="s">
        <v>759</v>
      </c>
      <c r="H2331" s="169">
        <v>1700000</v>
      </c>
      <c r="J2331"/>
      <c r="K2331"/>
    </row>
    <row r="2332" spans="1:11" x14ac:dyDescent="0.25">
      <c r="A2332" s="115">
        <v>2331</v>
      </c>
      <c r="B2332" s="167">
        <v>45888</v>
      </c>
      <c r="C2332" s="117">
        <v>2025</v>
      </c>
      <c r="D2332" s="119" t="s">
        <v>35</v>
      </c>
      <c r="E2332" s="119" t="s">
        <v>1511</v>
      </c>
      <c r="F2332" s="120">
        <v>1</v>
      </c>
      <c r="G2332" s="120" t="s">
        <v>759</v>
      </c>
      <c r="H2332" s="169">
        <v>1600000</v>
      </c>
      <c r="J2332"/>
      <c r="K2332"/>
    </row>
    <row r="2333" spans="1:11" x14ac:dyDescent="0.25">
      <c r="A2333" s="115">
        <v>2332</v>
      </c>
      <c r="B2333" s="167">
        <v>45888</v>
      </c>
      <c r="C2333" s="117">
        <v>2025</v>
      </c>
      <c r="D2333" s="119" t="s">
        <v>259</v>
      </c>
      <c r="E2333" s="119" t="s">
        <v>1292</v>
      </c>
      <c r="F2333" s="120">
        <v>1</v>
      </c>
      <c r="G2333" s="120" t="s">
        <v>759</v>
      </c>
      <c r="H2333" s="169">
        <v>131410</v>
      </c>
      <c r="J2333"/>
      <c r="K2333"/>
    </row>
    <row r="2334" spans="1:11" x14ac:dyDescent="0.25">
      <c r="A2334" s="115">
        <v>2333</v>
      </c>
      <c r="B2334" s="167">
        <v>45888</v>
      </c>
      <c r="C2334" s="117">
        <v>2025</v>
      </c>
      <c r="D2334" s="119" t="s">
        <v>851</v>
      </c>
      <c r="E2334" s="119" t="s">
        <v>704</v>
      </c>
      <c r="F2334" s="120">
        <v>190</v>
      </c>
      <c r="G2334" s="120" t="s">
        <v>759</v>
      </c>
      <c r="H2334" s="169">
        <v>1372180</v>
      </c>
      <c r="J2334"/>
      <c r="K2334"/>
    </row>
    <row r="2335" spans="1:11" x14ac:dyDescent="0.25">
      <c r="A2335" s="115">
        <v>2334</v>
      </c>
      <c r="B2335" s="167">
        <v>45888</v>
      </c>
      <c r="C2335" s="117">
        <v>2025</v>
      </c>
      <c r="D2335" s="119" t="s">
        <v>851</v>
      </c>
      <c r="E2335" s="119" t="s">
        <v>1249</v>
      </c>
      <c r="F2335" s="120">
        <v>1</v>
      </c>
      <c r="G2335" s="120" t="s">
        <v>759</v>
      </c>
      <c r="H2335" s="169">
        <v>56900</v>
      </c>
      <c r="J2335"/>
      <c r="K2335"/>
    </row>
    <row r="2336" spans="1:11" x14ac:dyDescent="0.25">
      <c r="A2336" s="115">
        <v>2335</v>
      </c>
      <c r="B2336" s="167">
        <v>45888</v>
      </c>
      <c r="C2336" s="117">
        <v>2025</v>
      </c>
      <c r="D2336" s="119" t="s">
        <v>35</v>
      </c>
      <c r="E2336" s="119" t="s">
        <v>1401</v>
      </c>
      <c r="F2336" s="120">
        <v>2</v>
      </c>
      <c r="G2336" s="120" t="s">
        <v>759</v>
      </c>
      <c r="H2336" s="169">
        <v>22400</v>
      </c>
      <c r="J2336"/>
      <c r="K2336"/>
    </row>
    <row r="2337" spans="1:11" x14ac:dyDescent="0.25">
      <c r="A2337" s="115">
        <v>2336</v>
      </c>
      <c r="B2337" s="167">
        <v>45889</v>
      </c>
      <c r="C2337" s="117">
        <v>2025</v>
      </c>
      <c r="D2337" s="119" t="s">
        <v>35</v>
      </c>
      <c r="E2337" s="119" t="s">
        <v>1512</v>
      </c>
      <c r="F2337" s="120">
        <v>1</v>
      </c>
      <c r="G2337" s="120" t="s">
        <v>759</v>
      </c>
      <c r="H2337" s="169">
        <v>44605</v>
      </c>
      <c r="J2337"/>
      <c r="K2337"/>
    </row>
    <row r="2338" spans="1:11" x14ac:dyDescent="0.25">
      <c r="A2338" s="115">
        <v>2337</v>
      </c>
      <c r="B2338" s="167">
        <v>45889</v>
      </c>
      <c r="C2338" s="117">
        <v>2025</v>
      </c>
      <c r="D2338" s="119" t="s">
        <v>35</v>
      </c>
      <c r="E2338" s="119" t="s">
        <v>1484</v>
      </c>
      <c r="F2338" s="120">
        <v>1</v>
      </c>
      <c r="G2338" s="120" t="s">
        <v>759</v>
      </c>
      <c r="H2338" s="169">
        <v>150000</v>
      </c>
      <c r="J2338"/>
      <c r="K2338"/>
    </row>
    <row r="2339" spans="1:11" x14ac:dyDescent="0.25">
      <c r="A2339" s="115">
        <v>2338</v>
      </c>
      <c r="B2339" s="167">
        <v>45889</v>
      </c>
      <c r="C2339" s="117">
        <v>2025</v>
      </c>
      <c r="D2339" s="119" t="s">
        <v>833</v>
      </c>
      <c r="E2339" s="119" t="s">
        <v>658</v>
      </c>
      <c r="F2339" s="120">
        <v>5</v>
      </c>
      <c r="G2339" s="120" t="s">
        <v>759</v>
      </c>
      <c r="H2339" s="169">
        <v>157650</v>
      </c>
      <c r="J2339"/>
      <c r="K2339"/>
    </row>
    <row r="2340" spans="1:11" x14ac:dyDescent="0.25">
      <c r="A2340" s="115">
        <v>2339</v>
      </c>
      <c r="B2340" s="167">
        <v>45889</v>
      </c>
      <c r="C2340" s="117">
        <v>2025</v>
      </c>
      <c r="D2340" s="119" t="s">
        <v>35</v>
      </c>
      <c r="E2340" s="119" t="s">
        <v>1470</v>
      </c>
      <c r="F2340" s="120">
        <v>1</v>
      </c>
      <c r="G2340" s="120" t="s">
        <v>759</v>
      </c>
      <c r="H2340" s="169">
        <v>100000</v>
      </c>
      <c r="J2340"/>
      <c r="K2340"/>
    </row>
    <row r="2341" spans="1:11" x14ac:dyDescent="0.25">
      <c r="A2341" s="115">
        <v>2340</v>
      </c>
      <c r="B2341" s="167">
        <v>45889</v>
      </c>
      <c r="C2341" s="117">
        <v>2025</v>
      </c>
      <c r="D2341" s="119" t="s">
        <v>35</v>
      </c>
      <c r="E2341" s="119" t="s">
        <v>1367</v>
      </c>
      <c r="F2341" s="120">
        <v>1</v>
      </c>
      <c r="G2341" s="120" t="s">
        <v>759</v>
      </c>
      <c r="H2341" s="169">
        <v>23300</v>
      </c>
      <c r="J2341"/>
      <c r="K2341"/>
    </row>
    <row r="2342" spans="1:11" x14ac:dyDescent="0.25">
      <c r="A2342" s="115">
        <v>2341</v>
      </c>
      <c r="B2342" s="167">
        <v>45889</v>
      </c>
      <c r="C2342" s="117">
        <v>2025</v>
      </c>
      <c r="D2342" s="119" t="s">
        <v>35</v>
      </c>
      <c r="E2342" s="119" t="s">
        <v>684</v>
      </c>
      <c r="F2342" s="120">
        <v>5</v>
      </c>
      <c r="G2342" s="120" t="s">
        <v>759</v>
      </c>
      <c r="H2342" s="169">
        <v>93395</v>
      </c>
      <c r="J2342"/>
      <c r="K2342"/>
    </row>
    <row r="2343" spans="1:11" x14ac:dyDescent="0.25">
      <c r="A2343" s="115">
        <v>2342</v>
      </c>
      <c r="B2343" s="167">
        <v>45890</v>
      </c>
      <c r="C2343" s="117">
        <v>2025</v>
      </c>
      <c r="D2343" s="119" t="s">
        <v>35</v>
      </c>
      <c r="E2343" s="119" t="s">
        <v>668</v>
      </c>
      <c r="F2343" s="120">
        <v>1</v>
      </c>
      <c r="G2343" s="120" t="s">
        <v>759</v>
      </c>
      <c r="H2343" s="169">
        <v>46349</v>
      </c>
      <c r="J2343"/>
      <c r="K2343"/>
    </row>
    <row r="2344" spans="1:11" x14ac:dyDescent="0.25">
      <c r="A2344" s="115">
        <v>2343</v>
      </c>
      <c r="B2344" s="167">
        <v>45890</v>
      </c>
      <c r="C2344" s="117">
        <v>2025</v>
      </c>
      <c r="D2344" s="119" t="s">
        <v>833</v>
      </c>
      <c r="E2344" s="119" t="s">
        <v>635</v>
      </c>
      <c r="F2344" s="120">
        <v>12</v>
      </c>
      <c r="G2344" s="120" t="s">
        <v>759</v>
      </c>
      <c r="H2344" s="169">
        <v>20700</v>
      </c>
      <c r="J2344"/>
      <c r="K2344"/>
    </row>
    <row r="2345" spans="1:11" x14ac:dyDescent="0.25">
      <c r="A2345" s="115">
        <v>2344</v>
      </c>
      <c r="B2345" s="167">
        <v>45890</v>
      </c>
      <c r="C2345" s="117">
        <v>2025</v>
      </c>
      <c r="D2345" s="119" t="s">
        <v>833</v>
      </c>
      <c r="E2345" s="119" t="s">
        <v>563</v>
      </c>
      <c r="F2345" s="120">
        <v>3</v>
      </c>
      <c r="G2345" s="120" t="s">
        <v>759</v>
      </c>
      <c r="H2345" s="169">
        <v>31152</v>
      </c>
      <c r="J2345"/>
      <c r="K2345"/>
    </row>
    <row r="2346" spans="1:11" x14ac:dyDescent="0.25">
      <c r="A2346" s="115">
        <v>2345</v>
      </c>
      <c r="B2346" s="167">
        <v>45891</v>
      </c>
      <c r="C2346" s="117">
        <v>2025</v>
      </c>
      <c r="D2346" s="119" t="s">
        <v>35</v>
      </c>
      <c r="E2346" s="119" t="s">
        <v>739</v>
      </c>
      <c r="F2346" s="120">
        <v>75</v>
      </c>
      <c r="G2346" s="120" t="s">
        <v>759</v>
      </c>
      <c r="H2346" s="169">
        <v>585000</v>
      </c>
      <c r="J2346"/>
      <c r="K2346"/>
    </row>
    <row r="2347" spans="1:11" x14ac:dyDescent="0.25">
      <c r="A2347" s="115">
        <v>2346</v>
      </c>
      <c r="B2347" s="167">
        <v>45891</v>
      </c>
      <c r="C2347" s="117">
        <v>2025</v>
      </c>
      <c r="D2347" s="119" t="s">
        <v>35</v>
      </c>
      <c r="E2347" s="119" t="s">
        <v>1244</v>
      </c>
      <c r="F2347" s="120">
        <v>1</v>
      </c>
      <c r="G2347" s="120" t="s">
        <v>759</v>
      </c>
      <c r="H2347" s="169">
        <v>17641</v>
      </c>
      <c r="J2347"/>
      <c r="K2347"/>
    </row>
    <row r="2348" spans="1:11" x14ac:dyDescent="0.25">
      <c r="A2348" s="115">
        <v>2347</v>
      </c>
      <c r="B2348" s="167">
        <v>45891</v>
      </c>
      <c r="C2348" s="117">
        <v>2025</v>
      </c>
      <c r="D2348" s="119" t="s">
        <v>35</v>
      </c>
      <c r="E2348" s="119" t="s">
        <v>1513</v>
      </c>
      <c r="F2348" s="120">
        <v>1</v>
      </c>
      <c r="G2348" s="120" t="s">
        <v>759</v>
      </c>
      <c r="H2348" s="169">
        <v>42920</v>
      </c>
      <c r="J2348"/>
      <c r="K2348"/>
    </row>
    <row r="2349" spans="1:11" x14ac:dyDescent="0.25">
      <c r="A2349" s="115">
        <v>2348</v>
      </c>
      <c r="B2349" s="167">
        <v>45892</v>
      </c>
      <c r="C2349" s="117">
        <v>2025</v>
      </c>
      <c r="D2349" s="119" t="s">
        <v>35</v>
      </c>
      <c r="E2349" s="119" t="s">
        <v>1030</v>
      </c>
      <c r="F2349" s="120">
        <v>6</v>
      </c>
      <c r="G2349" s="120" t="s">
        <v>759</v>
      </c>
      <c r="H2349" s="169">
        <v>30900</v>
      </c>
      <c r="J2349"/>
      <c r="K2349"/>
    </row>
    <row r="2350" spans="1:11" x14ac:dyDescent="0.25">
      <c r="A2350" s="115">
        <v>2349</v>
      </c>
      <c r="B2350" s="167">
        <v>45892</v>
      </c>
      <c r="C2350" s="117">
        <v>2025</v>
      </c>
      <c r="D2350" s="119" t="s">
        <v>35</v>
      </c>
      <c r="E2350" s="119" t="s">
        <v>852</v>
      </c>
      <c r="F2350" s="120">
        <v>1</v>
      </c>
      <c r="G2350" s="120" t="s">
        <v>759</v>
      </c>
      <c r="H2350" s="169">
        <v>7450</v>
      </c>
      <c r="J2350"/>
      <c r="K2350"/>
    </row>
    <row r="2351" spans="1:11" x14ac:dyDescent="0.25">
      <c r="A2351" s="115">
        <v>2350</v>
      </c>
      <c r="B2351" s="167">
        <v>45894</v>
      </c>
      <c r="C2351" s="117">
        <v>2025</v>
      </c>
      <c r="D2351" s="119" t="s">
        <v>35</v>
      </c>
      <c r="E2351" s="119" t="s">
        <v>252</v>
      </c>
      <c r="F2351" s="120">
        <v>2</v>
      </c>
      <c r="G2351" s="120" t="s">
        <v>759</v>
      </c>
      <c r="H2351" s="169">
        <v>2140000</v>
      </c>
      <c r="J2351"/>
      <c r="K2351"/>
    </row>
    <row r="2352" spans="1:11" x14ac:dyDescent="0.25">
      <c r="A2352" s="115">
        <v>2351</v>
      </c>
      <c r="B2352" s="167">
        <v>45894</v>
      </c>
      <c r="C2352" s="117">
        <v>2025</v>
      </c>
      <c r="D2352" s="119" t="s">
        <v>851</v>
      </c>
      <c r="E2352" s="119" t="s">
        <v>1514</v>
      </c>
      <c r="F2352" s="120">
        <v>1</v>
      </c>
      <c r="G2352" s="120" t="s">
        <v>759</v>
      </c>
      <c r="H2352" s="169">
        <v>50000</v>
      </c>
      <c r="J2352"/>
      <c r="K2352"/>
    </row>
    <row r="2353" spans="1:11" x14ac:dyDescent="0.25">
      <c r="A2353" s="115">
        <v>2352</v>
      </c>
      <c r="B2353" s="167">
        <v>45894</v>
      </c>
      <c r="C2353" s="117">
        <v>2025</v>
      </c>
      <c r="D2353" s="119" t="s">
        <v>851</v>
      </c>
      <c r="E2353" s="119" t="s">
        <v>927</v>
      </c>
      <c r="F2353" s="120">
        <v>1</v>
      </c>
      <c r="G2353" s="120" t="s">
        <v>759</v>
      </c>
      <c r="H2353" s="169">
        <v>37700</v>
      </c>
      <c r="J2353"/>
      <c r="K2353"/>
    </row>
    <row r="2354" spans="1:11" x14ac:dyDescent="0.25">
      <c r="A2354" s="115">
        <v>2353</v>
      </c>
      <c r="B2354" s="167">
        <v>45894</v>
      </c>
      <c r="C2354" s="117">
        <v>2025</v>
      </c>
      <c r="D2354" s="119" t="s">
        <v>851</v>
      </c>
      <c r="E2354" s="119" t="s">
        <v>927</v>
      </c>
      <c r="F2354" s="120">
        <v>1</v>
      </c>
      <c r="G2354" s="120" t="s">
        <v>759</v>
      </c>
      <c r="H2354" s="169">
        <v>37700</v>
      </c>
      <c r="J2354"/>
      <c r="K2354"/>
    </row>
    <row r="2355" spans="1:11" x14ac:dyDescent="0.25">
      <c r="A2355" s="115">
        <v>2354</v>
      </c>
      <c r="B2355" s="167">
        <v>45895</v>
      </c>
      <c r="C2355" s="117">
        <v>2025</v>
      </c>
      <c r="D2355" s="119" t="s">
        <v>1118</v>
      </c>
      <c r="E2355" s="119" t="s">
        <v>576</v>
      </c>
      <c r="F2355" s="120">
        <v>1</v>
      </c>
      <c r="G2355" s="120" t="s">
        <v>759</v>
      </c>
      <c r="H2355" s="169">
        <v>49276</v>
      </c>
      <c r="J2355"/>
      <c r="K2355"/>
    </row>
    <row r="2356" spans="1:11" x14ac:dyDescent="0.25">
      <c r="A2356" s="115">
        <v>2355</v>
      </c>
      <c r="B2356" s="167">
        <v>45896</v>
      </c>
      <c r="C2356" s="117">
        <v>2025</v>
      </c>
      <c r="D2356" s="119" t="s">
        <v>35</v>
      </c>
      <c r="E2356" s="119" t="s">
        <v>211</v>
      </c>
      <c r="F2356" s="120">
        <v>10</v>
      </c>
      <c r="G2356" s="120" t="s">
        <v>759</v>
      </c>
      <c r="H2356" s="169">
        <v>210000</v>
      </c>
      <c r="J2356"/>
      <c r="K2356"/>
    </row>
    <row r="2357" spans="1:11" x14ac:dyDescent="0.25">
      <c r="A2357" s="115">
        <v>2356</v>
      </c>
      <c r="B2357" s="167">
        <v>45896</v>
      </c>
      <c r="C2357" s="117">
        <v>2025</v>
      </c>
      <c r="D2357" s="119" t="s">
        <v>35</v>
      </c>
      <c r="E2357" s="119" t="s">
        <v>211</v>
      </c>
      <c r="F2357" s="120">
        <v>3</v>
      </c>
      <c r="G2357" s="120" t="s">
        <v>759</v>
      </c>
      <c r="H2357" s="169">
        <v>58500</v>
      </c>
      <c r="J2357"/>
      <c r="K2357"/>
    </row>
    <row r="2358" spans="1:11" x14ac:dyDescent="0.25">
      <c r="A2358" s="115">
        <v>2357</v>
      </c>
      <c r="B2358" s="167">
        <v>45896</v>
      </c>
      <c r="C2358" s="117">
        <v>2025</v>
      </c>
      <c r="D2358" s="119" t="s">
        <v>35</v>
      </c>
      <c r="E2358" s="119" t="s">
        <v>1244</v>
      </c>
      <c r="F2358" s="120">
        <v>1</v>
      </c>
      <c r="G2358" s="120" t="s">
        <v>759</v>
      </c>
      <c r="H2358" s="169">
        <v>15950</v>
      </c>
      <c r="J2358"/>
      <c r="K2358"/>
    </row>
    <row r="2359" spans="1:11" x14ac:dyDescent="0.25">
      <c r="A2359" s="115">
        <v>2358</v>
      </c>
      <c r="B2359" s="167">
        <v>45896</v>
      </c>
      <c r="C2359" s="117">
        <v>2025</v>
      </c>
      <c r="D2359" s="119" t="s">
        <v>35</v>
      </c>
      <c r="E2359" s="119" t="s">
        <v>1515</v>
      </c>
      <c r="F2359" s="120">
        <v>1</v>
      </c>
      <c r="G2359" s="120" t="s">
        <v>759</v>
      </c>
      <c r="H2359" s="169">
        <v>19950</v>
      </c>
      <c r="J2359"/>
      <c r="K2359"/>
    </row>
    <row r="2360" spans="1:11" x14ac:dyDescent="0.25">
      <c r="A2360" s="115">
        <v>2359</v>
      </c>
      <c r="B2360" s="167">
        <v>45897</v>
      </c>
      <c r="C2360" s="117">
        <v>2025</v>
      </c>
      <c r="D2360" s="119" t="s">
        <v>35</v>
      </c>
      <c r="E2360" s="119" t="s">
        <v>252</v>
      </c>
      <c r="F2360" s="120">
        <v>2</v>
      </c>
      <c r="G2360" s="120" t="s">
        <v>759</v>
      </c>
      <c r="H2360" s="169">
        <v>2140000</v>
      </c>
      <c r="J2360"/>
      <c r="K2360"/>
    </row>
    <row r="2361" spans="1:11" x14ac:dyDescent="0.25">
      <c r="A2361" s="115">
        <v>2360</v>
      </c>
      <c r="B2361" s="167">
        <v>45897</v>
      </c>
      <c r="C2361" s="117">
        <v>2025</v>
      </c>
      <c r="D2361" s="119" t="s">
        <v>851</v>
      </c>
      <c r="E2361" s="119" t="s">
        <v>1516</v>
      </c>
      <c r="F2361" s="120">
        <v>1</v>
      </c>
      <c r="G2361" s="120" t="s">
        <v>759</v>
      </c>
      <c r="H2361" s="169">
        <v>8500000</v>
      </c>
      <c r="J2361"/>
      <c r="K2361"/>
    </row>
    <row r="2362" spans="1:11" x14ac:dyDescent="0.25">
      <c r="A2362" s="115">
        <v>2361</v>
      </c>
      <c r="B2362" s="167">
        <v>45897</v>
      </c>
      <c r="C2362" s="117">
        <v>2025</v>
      </c>
      <c r="D2362" s="119" t="s">
        <v>259</v>
      </c>
      <c r="E2362" s="119" t="s">
        <v>1517</v>
      </c>
      <c r="F2362" s="120">
        <v>1</v>
      </c>
      <c r="G2362" s="120" t="s">
        <v>759</v>
      </c>
      <c r="H2362" s="169">
        <v>6900</v>
      </c>
      <c r="J2362"/>
      <c r="K2362"/>
    </row>
    <row r="2363" spans="1:11" x14ac:dyDescent="0.25">
      <c r="A2363" s="115">
        <v>2362</v>
      </c>
      <c r="B2363" s="167">
        <v>45898</v>
      </c>
      <c r="C2363" s="117">
        <v>2025</v>
      </c>
      <c r="D2363" s="119" t="s">
        <v>766</v>
      </c>
      <c r="E2363" s="119" t="s">
        <v>1471</v>
      </c>
      <c r="F2363" s="120">
        <v>3500</v>
      </c>
      <c r="G2363" s="120" t="s">
        <v>759</v>
      </c>
      <c r="H2363" s="169">
        <v>47250000</v>
      </c>
      <c r="J2363"/>
      <c r="K2363"/>
    </row>
    <row r="2364" spans="1:11" x14ac:dyDescent="0.25">
      <c r="A2364" s="115">
        <v>2363</v>
      </c>
      <c r="B2364" s="167">
        <v>45901</v>
      </c>
      <c r="C2364" s="117">
        <v>2025</v>
      </c>
      <c r="D2364" s="119" t="s">
        <v>35</v>
      </c>
      <c r="E2364" s="119" t="s">
        <v>252</v>
      </c>
      <c r="F2364" s="120">
        <v>2</v>
      </c>
      <c r="G2364" s="120" t="s">
        <v>759</v>
      </c>
      <c r="H2364" s="169">
        <v>2140000</v>
      </c>
      <c r="J2364"/>
      <c r="K2364"/>
    </row>
    <row r="2365" spans="1:11" x14ac:dyDescent="0.25">
      <c r="A2365" s="115">
        <v>2364</v>
      </c>
      <c r="B2365" s="167">
        <v>45901</v>
      </c>
      <c r="C2365" s="117">
        <v>2025</v>
      </c>
      <c r="D2365" s="119" t="s">
        <v>35</v>
      </c>
      <c r="E2365" s="119" t="s">
        <v>1241</v>
      </c>
      <c r="F2365" s="120">
        <v>1</v>
      </c>
      <c r="G2365" s="120" t="s">
        <v>759</v>
      </c>
      <c r="H2365" s="169">
        <v>5415000</v>
      </c>
      <c r="J2365"/>
      <c r="K2365"/>
    </row>
    <row r="2366" spans="1:11" x14ac:dyDescent="0.25">
      <c r="A2366" s="115">
        <v>2365</v>
      </c>
      <c r="B2366" s="167">
        <v>45901</v>
      </c>
      <c r="C2366" s="117">
        <v>2025</v>
      </c>
      <c r="D2366" s="119" t="s">
        <v>35</v>
      </c>
      <c r="E2366" s="119" t="s">
        <v>43</v>
      </c>
      <c r="F2366" s="120">
        <v>2</v>
      </c>
      <c r="G2366" s="120" t="s">
        <v>759</v>
      </c>
      <c r="H2366" s="169">
        <v>120000</v>
      </c>
      <c r="J2366"/>
      <c r="K2366"/>
    </row>
    <row r="2367" spans="1:11" x14ac:dyDescent="0.25">
      <c r="A2367" s="115">
        <v>2366</v>
      </c>
      <c r="B2367" s="167">
        <v>45901</v>
      </c>
      <c r="C2367" s="117">
        <v>2025</v>
      </c>
      <c r="D2367" s="119" t="s">
        <v>1118</v>
      </c>
      <c r="E2367" s="119" t="s">
        <v>1518</v>
      </c>
      <c r="F2367" s="120">
        <v>6</v>
      </c>
      <c r="G2367" s="120" t="s">
        <v>759</v>
      </c>
      <c r="H2367" s="169">
        <v>695004</v>
      </c>
      <c r="J2367"/>
      <c r="K2367"/>
    </row>
    <row r="2368" spans="1:11" x14ac:dyDescent="0.25">
      <c r="A2368" s="115">
        <v>2367</v>
      </c>
      <c r="B2368" s="167">
        <v>45901</v>
      </c>
      <c r="C2368" s="117">
        <v>2025</v>
      </c>
      <c r="D2368" s="119" t="s">
        <v>766</v>
      </c>
      <c r="E2368" s="119" t="s">
        <v>1490</v>
      </c>
      <c r="F2368" s="120">
        <v>9</v>
      </c>
      <c r="G2368" s="120" t="s">
        <v>759</v>
      </c>
      <c r="H2368" s="169">
        <v>132003</v>
      </c>
      <c r="J2368"/>
      <c r="K2368"/>
    </row>
    <row r="2369" spans="1:11" x14ac:dyDescent="0.25">
      <c r="A2369" s="115">
        <v>2368</v>
      </c>
      <c r="B2369" s="167">
        <v>45902</v>
      </c>
      <c r="C2369" s="117">
        <v>2025</v>
      </c>
      <c r="D2369" s="119" t="s">
        <v>259</v>
      </c>
      <c r="E2369" s="119" t="s">
        <v>758</v>
      </c>
      <c r="F2369" s="120">
        <v>2</v>
      </c>
      <c r="G2369" s="120" t="s">
        <v>759</v>
      </c>
      <c r="H2369" s="169">
        <v>31900</v>
      </c>
      <c r="J2369"/>
      <c r="K2369"/>
    </row>
    <row r="2370" spans="1:11" x14ac:dyDescent="0.25">
      <c r="A2370" s="115">
        <v>2369</v>
      </c>
      <c r="B2370" s="167">
        <v>45902</v>
      </c>
      <c r="C2370" s="117">
        <v>2025</v>
      </c>
      <c r="D2370" s="119" t="s">
        <v>35</v>
      </c>
      <c r="E2370" s="119" t="s">
        <v>211</v>
      </c>
      <c r="F2370" s="120">
        <v>10</v>
      </c>
      <c r="G2370" s="120" t="s">
        <v>759</v>
      </c>
      <c r="H2370" s="169">
        <v>152000</v>
      </c>
      <c r="J2370"/>
      <c r="K2370"/>
    </row>
    <row r="2371" spans="1:11" x14ac:dyDescent="0.25">
      <c r="A2371" s="115">
        <v>2370</v>
      </c>
      <c r="B2371" s="167">
        <v>45902</v>
      </c>
      <c r="C2371" s="117">
        <v>2025</v>
      </c>
      <c r="D2371" s="119" t="s">
        <v>35</v>
      </c>
      <c r="E2371" s="119" t="s">
        <v>184</v>
      </c>
      <c r="F2371" s="120">
        <v>2</v>
      </c>
      <c r="G2371" s="120" t="s">
        <v>759</v>
      </c>
      <c r="H2371" s="169">
        <v>7000</v>
      </c>
      <c r="J2371"/>
      <c r="K2371"/>
    </row>
    <row r="2372" spans="1:11" x14ac:dyDescent="0.25">
      <c r="A2372" s="115">
        <v>2371</v>
      </c>
      <c r="B2372" s="167">
        <v>45902</v>
      </c>
      <c r="C2372" s="117">
        <v>2025</v>
      </c>
      <c r="D2372" s="119" t="s">
        <v>35</v>
      </c>
      <c r="E2372" s="119" t="s">
        <v>1519</v>
      </c>
      <c r="F2372" s="120">
        <v>2</v>
      </c>
      <c r="G2372" s="120" t="s">
        <v>759</v>
      </c>
      <c r="H2372" s="169">
        <v>25000</v>
      </c>
      <c r="J2372"/>
      <c r="K2372"/>
    </row>
    <row r="2373" spans="1:11" x14ac:dyDescent="0.25">
      <c r="A2373" s="115">
        <v>2372</v>
      </c>
      <c r="B2373" s="167">
        <v>45902</v>
      </c>
      <c r="C2373" s="117">
        <v>2025</v>
      </c>
      <c r="D2373" s="119" t="s">
        <v>35</v>
      </c>
      <c r="E2373" s="119" t="s">
        <v>439</v>
      </c>
      <c r="F2373" s="120">
        <v>1</v>
      </c>
      <c r="G2373" s="120" t="s">
        <v>759</v>
      </c>
      <c r="H2373" s="169">
        <v>7500</v>
      </c>
      <c r="J2373"/>
      <c r="K2373"/>
    </row>
    <row r="2374" spans="1:11" x14ac:dyDescent="0.25">
      <c r="A2374" s="115">
        <v>2373</v>
      </c>
      <c r="B2374" s="167">
        <v>45902</v>
      </c>
      <c r="C2374" s="117">
        <v>2025</v>
      </c>
      <c r="D2374" s="119" t="s">
        <v>851</v>
      </c>
      <c r="E2374" s="119" t="s">
        <v>588</v>
      </c>
      <c r="F2374" s="120">
        <v>3</v>
      </c>
      <c r="G2374" s="120" t="s">
        <v>759</v>
      </c>
      <c r="H2374" s="169">
        <v>15702</v>
      </c>
      <c r="J2374"/>
      <c r="K2374"/>
    </row>
    <row r="2375" spans="1:11" x14ac:dyDescent="0.25">
      <c r="A2375" s="115">
        <v>2374</v>
      </c>
      <c r="B2375" s="167">
        <v>45903</v>
      </c>
      <c r="C2375" s="117">
        <v>2025</v>
      </c>
      <c r="D2375" s="119" t="s">
        <v>259</v>
      </c>
      <c r="E2375" s="119" t="s">
        <v>398</v>
      </c>
      <c r="F2375" s="120">
        <v>3</v>
      </c>
      <c r="G2375" s="120" t="s">
        <v>759</v>
      </c>
      <c r="H2375" s="169">
        <v>17484</v>
      </c>
      <c r="J2375"/>
      <c r="K2375"/>
    </row>
    <row r="2376" spans="1:11" x14ac:dyDescent="0.25">
      <c r="A2376" s="115">
        <v>2375</v>
      </c>
      <c r="B2376" s="167">
        <v>45903</v>
      </c>
      <c r="C2376" s="117">
        <v>2025</v>
      </c>
      <c r="D2376" s="119" t="s">
        <v>35</v>
      </c>
      <c r="E2376" s="119" t="s">
        <v>1461</v>
      </c>
      <c r="F2376" s="120">
        <v>2</v>
      </c>
      <c r="G2376" s="120" t="s">
        <v>759</v>
      </c>
      <c r="H2376" s="169">
        <v>10000</v>
      </c>
      <c r="J2376"/>
      <c r="K2376"/>
    </row>
    <row r="2377" spans="1:11" x14ac:dyDescent="0.25">
      <c r="A2377" s="115">
        <v>2376</v>
      </c>
      <c r="B2377" s="167">
        <v>45903</v>
      </c>
      <c r="C2377" s="117">
        <v>2025</v>
      </c>
      <c r="D2377" s="119" t="s">
        <v>35</v>
      </c>
      <c r="E2377" s="119" t="s">
        <v>1520</v>
      </c>
      <c r="F2377" s="120">
        <v>1</v>
      </c>
      <c r="G2377" s="120" t="s">
        <v>759</v>
      </c>
      <c r="H2377" s="169">
        <v>46400</v>
      </c>
      <c r="J2377"/>
      <c r="K2377"/>
    </row>
    <row r="2378" spans="1:11" x14ac:dyDescent="0.25">
      <c r="A2378" s="115">
        <v>2377</v>
      </c>
      <c r="B2378" s="167">
        <v>45903</v>
      </c>
      <c r="C2378" s="117">
        <v>2025</v>
      </c>
      <c r="D2378" s="119" t="s">
        <v>35</v>
      </c>
      <c r="E2378" s="119" t="s">
        <v>1521</v>
      </c>
      <c r="F2378" s="120">
        <v>1</v>
      </c>
      <c r="G2378" s="120" t="s">
        <v>759</v>
      </c>
      <c r="H2378" s="169">
        <v>7900</v>
      </c>
      <c r="J2378"/>
      <c r="K2378"/>
    </row>
    <row r="2379" spans="1:11" x14ac:dyDescent="0.25">
      <c r="A2379" s="115">
        <v>2378</v>
      </c>
      <c r="B2379" s="167">
        <v>45903</v>
      </c>
      <c r="C2379" s="117">
        <v>2025</v>
      </c>
      <c r="D2379" s="119" t="s">
        <v>35</v>
      </c>
      <c r="E2379" s="119" t="s">
        <v>1522</v>
      </c>
      <c r="F2379" s="120">
        <v>1</v>
      </c>
      <c r="G2379" s="120" t="s">
        <v>759</v>
      </c>
      <c r="H2379" s="169">
        <v>60000</v>
      </c>
      <c r="J2379"/>
      <c r="K2379"/>
    </row>
    <row r="2380" spans="1:11" x14ac:dyDescent="0.25">
      <c r="A2380" s="115">
        <v>2379</v>
      </c>
      <c r="B2380" s="167">
        <v>45903</v>
      </c>
      <c r="C2380" s="117">
        <v>2025</v>
      </c>
      <c r="D2380" s="119" t="s">
        <v>35</v>
      </c>
      <c r="E2380" s="119" t="s">
        <v>1523</v>
      </c>
      <c r="F2380" s="120">
        <v>1</v>
      </c>
      <c r="G2380" s="120" t="s">
        <v>759</v>
      </c>
      <c r="H2380" s="169">
        <v>125000</v>
      </c>
      <c r="J2380"/>
      <c r="K2380"/>
    </row>
    <row r="2381" spans="1:11" x14ac:dyDescent="0.25">
      <c r="A2381" s="115">
        <v>2380</v>
      </c>
      <c r="B2381" s="167">
        <v>45904</v>
      </c>
      <c r="C2381" s="117">
        <v>2025</v>
      </c>
      <c r="D2381" s="119" t="s">
        <v>851</v>
      </c>
      <c r="E2381" s="119" t="s">
        <v>240</v>
      </c>
      <c r="F2381" s="120">
        <v>1</v>
      </c>
      <c r="G2381" s="120" t="s">
        <v>759</v>
      </c>
      <c r="H2381" s="169">
        <v>82975</v>
      </c>
      <c r="J2381"/>
      <c r="K2381"/>
    </row>
    <row r="2382" spans="1:11" x14ac:dyDescent="0.25">
      <c r="A2382" s="115">
        <v>2381</v>
      </c>
      <c r="B2382" s="167">
        <v>45904</v>
      </c>
      <c r="C2382" s="117">
        <v>2025</v>
      </c>
      <c r="D2382" s="119" t="s">
        <v>35</v>
      </c>
      <c r="E2382" s="119" t="s">
        <v>1524</v>
      </c>
      <c r="F2382" s="120">
        <v>1</v>
      </c>
      <c r="G2382" s="120" t="s">
        <v>759</v>
      </c>
      <c r="H2382" s="169">
        <v>51505</v>
      </c>
      <c r="J2382"/>
      <c r="K2382"/>
    </row>
    <row r="2383" spans="1:11" x14ac:dyDescent="0.25">
      <c r="A2383" s="115">
        <v>2382</v>
      </c>
      <c r="B2383" s="167">
        <v>45908</v>
      </c>
      <c r="C2383" s="117">
        <v>2025</v>
      </c>
      <c r="D2383" s="119" t="s">
        <v>35</v>
      </c>
      <c r="E2383" s="119" t="s">
        <v>761</v>
      </c>
      <c r="F2383" s="120">
        <v>4</v>
      </c>
      <c r="G2383" s="120" t="s">
        <v>759</v>
      </c>
      <c r="H2383" s="169">
        <v>9000000</v>
      </c>
      <c r="J2383"/>
      <c r="K2383"/>
    </row>
    <row r="2384" spans="1:11" x14ac:dyDescent="0.25">
      <c r="A2384" s="115">
        <v>2383</v>
      </c>
      <c r="B2384" s="167">
        <v>45908</v>
      </c>
      <c r="C2384" s="117">
        <v>2025</v>
      </c>
      <c r="D2384" s="119" t="s">
        <v>35</v>
      </c>
      <c r="E2384" s="119" t="s">
        <v>806</v>
      </c>
      <c r="F2384" s="120">
        <v>1</v>
      </c>
      <c r="G2384" s="120" t="s">
        <v>759</v>
      </c>
      <c r="H2384" s="169">
        <v>300000</v>
      </c>
      <c r="J2384"/>
      <c r="K2384"/>
    </row>
    <row r="2385" spans="1:11" x14ac:dyDescent="0.25">
      <c r="A2385" s="115">
        <v>2384</v>
      </c>
      <c r="B2385" s="167">
        <v>45908</v>
      </c>
      <c r="C2385" s="117">
        <v>2025</v>
      </c>
      <c r="D2385" s="119" t="s">
        <v>35</v>
      </c>
      <c r="E2385" s="119" t="s">
        <v>365</v>
      </c>
      <c r="F2385" s="120">
        <v>4</v>
      </c>
      <c r="G2385" s="120" t="s">
        <v>759</v>
      </c>
      <c r="H2385" s="169">
        <v>6000</v>
      </c>
      <c r="J2385"/>
      <c r="K2385"/>
    </row>
    <row r="2386" spans="1:11" x14ac:dyDescent="0.25">
      <c r="A2386" s="115">
        <v>2385</v>
      </c>
      <c r="B2386" s="167">
        <v>45909</v>
      </c>
      <c r="C2386" s="117">
        <v>2025</v>
      </c>
      <c r="D2386" s="119" t="s">
        <v>35</v>
      </c>
      <c r="E2386" s="119" t="s">
        <v>252</v>
      </c>
      <c r="F2386" s="120">
        <v>1</v>
      </c>
      <c r="G2386" s="120" t="s">
        <v>759</v>
      </c>
      <c r="H2386" s="169">
        <v>1685000</v>
      </c>
      <c r="J2386"/>
      <c r="K2386"/>
    </row>
    <row r="2387" spans="1:11" x14ac:dyDescent="0.25">
      <c r="A2387" s="115">
        <v>2386</v>
      </c>
      <c r="B2387" s="167">
        <v>45909</v>
      </c>
      <c r="C2387" s="117">
        <v>2025</v>
      </c>
      <c r="D2387" s="119" t="s">
        <v>35</v>
      </c>
      <c r="E2387" s="119" t="s">
        <v>252</v>
      </c>
      <c r="F2387" s="120">
        <v>2</v>
      </c>
      <c r="G2387" s="120" t="s">
        <v>759</v>
      </c>
      <c r="H2387" s="169">
        <v>1880000</v>
      </c>
      <c r="J2387"/>
      <c r="K2387"/>
    </row>
    <row r="2388" spans="1:11" x14ac:dyDescent="0.25">
      <c r="A2388" s="115">
        <v>2387</v>
      </c>
      <c r="B2388" s="167">
        <v>45909</v>
      </c>
      <c r="C2388" s="117">
        <v>2025</v>
      </c>
      <c r="D2388" s="119" t="s">
        <v>35</v>
      </c>
      <c r="E2388" s="119" t="s">
        <v>252</v>
      </c>
      <c r="F2388" s="120">
        <v>1</v>
      </c>
      <c r="G2388" s="120" t="s">
        <v>759</v>
      </c>
      <c r="H2388" s="169">
        <v>2075000</v>
      </c>
      <c r="J2388"/>
      <c r="K2388"/>
    </row>
    <row r="2389" spans="1:11" x14ac:dyDescent="0.25">
      <c r="A2389" s="115">
        <v>2388</v>
      </c>
      <c r="B2389" s="167">
        <v>45909</v>
      </c>
      <c r="C2389" s="117">
        <v>2025</v>
      </c>
      <c r="D2389" s="119" t="s">
        <v>259</v>
      </c>
      <c r="E2389" s="119" t="s">
        <v>1365</v>
      </c>
      <c r="F2389" s="120">
        <v>1</v>
      </c>
      <c r="G2389" s="120" t="s">
        <v>759</v>
      </c>
      <c r="H2389" s="169">
        <v>39373</v>
      </c>
      <c r="J2389"/>
      <c r="K2389"/>
    </row>
    <row r="2390" spans="1:11" x14ac:dyDescent="0.25">
      <c r="A2390" s="115">
        <v>2389</v>
      </c>
      <c r="B2390" s="167">
        <v>45909</v>
      </c>
      <c r="C2390" s="117">
        <v>2025</v>
      </c>
      <c r="D2390" s="119" t="s">
        <v>766</v>
      </c>
      <c r="E2390" s="119" t="s">
        <v>1471</v>
      </c>
      <c r="F2390" s="120">
        <v>2000</v>
      </c>
      <c r="G2390" s="120" t="s">
        <v>759</v>
      </c>
      <c r="H2390" s="169">
        <v>30000000</v>
      </c>
      <c r="J2390"/>
      <c r="K2390"/>
    </row>
    <row r="2391" spans="1:11" x14ac:dyDescent="0.25">
      <c r="A2391" s="115">
        <v>2390</v>
      </c>
      <c r="B2391" s="167">
        <v>45909</v>
      </c>
      <c r="C2391" s="117">
        <v>2025</v>
      </c>
      <c r="D2391" s="119" t="s">
        <v>833</v>
      </c>
      <c r="E2391" s="119" t="s">
        <v>478</v>
      </c>
      <c r="F2391" s="120">
        <v>10</v>
      </c>
      <c r="G2391" s="120" t="s">
        <v>759</v>
      </c>
      <c r="H2391" s="169">
        <v>362500</v>
      </c>
      <c r="J2391"/>
      <c r="K2391"/>
    </row>
    <row r="2392" spans="1:11" x14ac:dyDescent="0.25">
      <c r="A2392" s="115">
        <v>2391</v>
      </c>
      <c r="B2392" s="167">
        <v>45910</v>
      </c>
      <c r="C2392" s="117">
        <v>2025</v>
      </c>
      <c r="D2392" s="119" t="s">
        <v>833</v>
      </c>
      <c r="E2392" s="119" t="s">
        <v>103</v>
      </c>
      <c r="F2392" s="120">
        <v>36</v>
      </c>
      <c r="G2392" s="120" t="s">
        <v>759</v>
      </c>
      <c r="H2392" s="169">
        <v>30708</v>
      </c>
      <c r="J2392"/>
      <c r="K2392"/>
    </row>
    <row r="2393" spans="1:11" x14ac:dyDescent="0.25">
      <c r="A2393" s="115">
        <v>2392</v>
      </c>
      <c r="B2393" s="167">
        <v>45910</v>
      </c>
      <c r="C2393" s="117">
        <v>2025</v>
      </c>
      <c r="D2393" s="119" t="s">
        <v>833</v>
      </c>
      <c r="E2393" s="119" t="s">
        <v>544</v>
      </c>
      <c r="F2393" s="120">
        <v>10</v>
      </c>
      <c r="G2393" s="120" t="s">
        <v>759</v>
      </c>
      <c r="H2393" s="169">
        <v>187900</v>
      </c>
      <c r="J2393"/>
      <c r="K2393"/>
    </row>
    <row r="2394" spans="1:11" x14ac:dyDescent="0.25">
      <c r="A2394" s="115">
        <v>2393</v>
      </c>
      <c r="B2394" s="167">
        <v>45910</v>
      </c>
      <c r="C2394" s="117">
        <v>2025</v>
      </c>
      <c r="D2394" s="119" t="s">
        <v>833</v>
      </c>
      <c r="E2394" s="119" t="s">
        <v>290</v>
      </c>
      <c r="F2394" s="120">
        <v>10</v>
      </c>
      <c r="G2394" s="120" t="s">
        <v>759</v>
      </c>
      <c r="H2394" s="169">
        <v>260400</v>
      </c>
      <c r="J2394"/>
      <c r="K2394"/>
    </row>
    <row r="2395" spans="1:11" x14ac:dyDescent="0.25">
      <c r="A2395" s="115">
        <v>2394</v>
      </c>
      <c r="B2395" s="167">
        <v>45910</v>
      </c>
      <c r="C2395" s="117">
        <v>2025</v>
      </c>
      <c r="D2395" s="119" t="s">
        <v>833</v>
      </c>
      <c r="E2395" s="119" t="s">
        <v>299</v>
      </c>
      <c r="F2395" s="120">
        <v>12</v>
      </c>
      <c r="G2395" s="120" t="s">
        <v>759</v>
      </c>
      <c r="H2395" s="169">
        <v>164016</v>
      </c>
      <c r="J2395"/>
      <c r="K2395"/>
    </row>
    <row r="2396" spans="1:11" x14ac:dyDescent="0.25">
      <c r="A2396" s="115">
        <v>2395</v>
      </c>
      <c r="B2396" s="167">
        <v>45910</v>
      </c>
      <c r="C2396" s="117">
        <v>2025</v>
      </c>
      <c r="D2396" s="119" t="s">
        <v>833</v>
      </c>
      <c r="E2396" s="119" t="s">
        <v>299</v>
      </c>
      <c r="F2396" s="120">
        <v>54</v>
      </c>
      <c r="G2396" s="120" t="s">
        <v>759</v>
      </c>
      <c r="H2396" s="169">
        <v>442800</v>
      </c>
      <c r="J2396"/>
      <c r="K2396"/>
    </row>
    <row r="2397" spans="1:11" x14ac:dyDescent="0.25">
      <c r="A2397" s="115">
        <v>2396</v>
      </c>
      <c r="B2397" s="167">
        <v>45910</v>
      </c>
      <c r="C2397" s="117">
        <v>2025</v>
      </c>
      <c r="D2397" s="119" t="s">
        <v>833</v>
      </c>
      <c r="E2397" s="119" t="s">
        <v>299</v>
      </c>
      <c r="F2397" s="120">
        <v>54</v>
      </c>
      <c r="G2397" s="120" t="s">
        <v>759</v>
      </c>
      <c r="H2397" s="169">
        <v>442800</v>
      </c>
      <c r="J2397"/>
      <c r="K2397"/>
    </row>
    <row r="2398" spans="1:11" x14ac:dyDescent="0.25">
      <c r="A2398" s="115">
        <v>2397</v>
      </c>
      <c r="B2398" s="167">
        <v>45910</v>
      </c>
      <c r="C2398" s="117">
        <v>2025</v>
      </c>
      <c r="D2398" s="119" t="s">
        <v>35</v>
      </c>
      <c r="E2398" s="119" t="s">
        <v>180</v>
      </c>
      <c r="F2398" s="120">
        <v>20</v>
      </c>
      <c r="G2398" s="120" t="s">
        <v>759</v>
      </c>
      <c r="H2398" s="169">
        <v>50000</v>
      </c>
      <c r="J2398"/>
      <c r="K2398"/>
    </row>
    <row r="2399" spans="1:11" x14ac:dyDescent="0.25">
      <c r="A2399" s="115">
        <v>2398</v>
      </c>
      <c r="B2399" s="167">
        <v>45910</v>
      </c>
      <c r="C2399" s="117">
        <v>2025</v>
      </c>
      <c r="D2399" s="119" t="s">
        <v>833</v>
      </c>
      <c r="E2399" s="119" t="s">
        <v>1293</v>
      </c>
      <c r="F2399" s="120">
        <v>12</v>
      </c>
      <c r="G2399" s="120" t="s">
        <v>759</v>
      </c>
      <c r="H2399" s="169">
        <v>231480</v>
      </c>
      <c r="J2399"/>
      <c r="K2399"/>
    </row>
    <row r="2400" spans="1:11" x14ac:dyDescent="0.25">
      <c r="A2400" s="115">
        <v>2399</v>
      </c>
      <c r="B2400" s="167">
        <v>45910</v>
      </c>
      <c r="C2400" s="117">
        <v>2025</v>
      </c>
      <c r="D2400" s="119" t="s">
        <v>833</v>
      </c>
      <c r="E2400" s="119" t="s">
        <v>1312</v>
      </c>
      <c r="F2400" s="120">
        <v>12</v>
      </c>
      <c r="G2400" s="120" t="s">
        <v>759</v>
      </c>
      <c r="H2400" s="169">
        <v>159972</v>
      </c>
      <c r="J2400"/>
      <c r="K2400"/>
    </row>
    <row r="2401" spans="1:11" x14ac:dyDescent="0.25">
      <c r="A2401" s="115">
        <v>2400</v>
      </c>
      <c r="B2401" s="167">
        <v>45910</v>
      </c>
      <c r="C2401" s="117">
        <v>2025</v>
      </c>
      <c r="D2401" s="119" t="s">
        <v>766</v>
      </c>
      <c r="E2401" s="119" t="s">
        <v>1270</v>
      </c>
      <c r="F2401" s="120">
        <v>5</v>
      </c>
      <c r="G2401" s="120" t="s">
        <v>759</v>
      </c>
      <c r="H2401" s="169">
        <v>150000</v>
      </c>
      <c r="J2401"/>
      <c r="K2401"/>
    </row>
    <row r="2402" spans="1:11" x14ac:dyDescent="0.25">
      <c r="A2402" s="115">
        <v>2401</v>
      </c>
      <c r="B2402" s="167">
        <v>45910</v>
      </c>
      <c r="C2402" s="117">
        <v>2025</v>
      </c>
      <c r="D2402" s="119" t="s">
        <v>766</v>
      </c>
      <c r="E2402" s="119" t="s">
        <v>1270</v>
      </c>
      <c r="F2402" s="120">
        <v>12</v>
      </c>
      <c r="G2402" s="120" t="s">
        <v>759</v>
      </c>
      <c r="H2402" s="169">
        <v>387000</v>
      </c>
      <c r="J2402"/>
      <c r="K2402"/>
    </row>
    <row r="2403" spans="1:11" x14ac:dyDescent="0.25">
      <c r="A2403" s="115">
        <v>2402</v>
      </c>
      <c r="B2403" s="167">
        <v>45910</v>
      </c>
      <c r="C2403" s="117">
        <v>2025</v>
      </c>
      <c r="D2403" s="119" t="s">
        <v>259</v>
      </c>
      <c r="E2403" s="119" t="s">
        <v>1525</v>
      </c>
      <c r="F2403" s="120">
        <v>1</v>
      </c>
      <c r="G2403" s="120" t="s">
        <v>759</v>
      </c>
      <c r="H2403" s="169">
        <v>270369</v>
      </c>
      <c r="J2403"/>
      <c r="K2403"/>
    </row>
    <row r="2404" spans="1:11" x14ac:dyDescent="0.25">
      <c r="A2404" s="115">
        <v>2403</v>
      </c>
      <c r="B2404" s="167">
        <v>45910</v>
      </c>
      <c r="C2404" s="117">
        <v>2025</v>
      </c>
      <c r="D2404" s="119" t="s">
        <v>259</v>
      </c>
      <c r="E2404" s="119" t="s">
        <v>1526</v>
      </c>
      <c r="F2404" s="120">
        <v>3</v>
      </c>
      <c r="G2404" s="120" t="s">
        <v>759</v>
      </c>
      <c r="H2404" s="169">
        <v>10902</v>
      </c>
      <c r="J2404"/>
      <c r="K2404"/>
    </row>
    <row r="2405" spans="1:11" x14ac:dyDescent="0.25">
      <c r="A2405" s="115">
        <v>2404</v>
      </c>
      <c r="B2405" s="167">
        <v>45910</v>
      </c>
      <c r="C2405" s="117">
        <v>2025</v>
      </c>
      <c r="D2405" s="119" t="s">
        <v>766</v>
      </c>
      <c r="E2405" s="119" t="s">
        <v>1409</v>
      </c>
      <c r="F2405" s="120">
        <v>1</v>
      </c>
      <c r="G2405" s="120" t="s">
        <v>759</v>
      </c>
      <c r="H2405" s="169">
        <v>3200000</v>
      </c>
      <c r="J2405"/>
      <c r="K2405"/>
    </row>
    <row r="2406" spans="1:11" x14ac:dyDescent="0.25">
      <c r="A2406" s="115">
        <v>2405</v>
      </c>
      <c r="B2406" s="167">
        <v>45910</v>
      </c>
      <c r="C2406" s="117">
        <v>2025</v>
      </c>
      <c r="D2406" s="119" t="s">
        <v>35</v>
      </c>
      <c r="E2406" s="119" t="s">
        <v>572</v>
      </c>
      <c r="F2406" s="120">
        <v>3</v>
      </c>
      <c r="G2406" s="120" t="s">
        <v>759</v>
      </c>
      <c r="H2406" s="169">
        <v>20700</v>
      </c>
      <c r="J2406"/>
      <c r="K2406"/>
    </row>
    <row r="2407" spans="1:11" x14ac:dyDescent="0.25">
      <c r="A2407" s="115">
        <v>2406</v>
      </c>
      <c r="B2407" s="167">
        <v>45910</v>
      </c>
      <c r="C2407" s="117">
        <v>2025</v>
      </c>
      <c r="D2407" s="119" t="s">
        <v>833</v>
      </c>
      <c r="E2407" s="119" t="s">
        <v>84</v>
      </c>
      <c r="F2407" s="120">
        <v>2</v>
      </c>
      <c r="G2407" s="120" t="s">
        <v>759</v>
      </c>
      <c r="H2407" s="169">
        <v>27376</v>
      </c>
      <c r="J2407"/>
      <c r="K2407"/>
    </row>
    <row r="2408" spans="1:11" x14ac:dyDescent="0.25">
      <c r="A2408" s="115">
        <v>2407</v>
      </c>
      <c r="B2408" s="167">
        <v>45911</v>
      </c>
      <c r="C2408" s="117">
        <v>2025</v>
      </c>
      <c r="D2408" s="119" t="s">
        <v>766</v>
      </c>
      <c r="E2408" s="119" t="s">
        <v>1471</v>
      </c>
      <c r="F2408" s="120">
        <v>2000</v>
      </c>
      <c r="G2408" s="120" t="s">
        <v>759</v>
      </c>
      <c r="H2408" s="169">
        <v>31000000</v>
      </c>
      <c r="J2408"/>
      <c r="K2408"/>
    </row>
    <row r="2409" spans="1:11" x14ac:dyDescent="0.25">
      <c r="A2409" s="115">
        <v>2408</v>
      </c>
      <c r="B2409" s="167">
        <v>45912</v>
      </c>
      <c r="C2409" s="117">
        <v>2025</v>
      </c>
      <c r="D2409" s="119" t="s">
        <v>35</v>
      </c>
      <c r="E2409" s="119" t="s">
        <v>473</v>
      </c>
      <c r="F2409" s="120">
        <v>6</v>
      </c>
      <c r="G2409" s="120" t="s">
        <v>759</v>
      </c>
      <c r="H2409" s="169">
        <v>111000</v>
      </c>
      <c r="J2409"/>
      <c r="K2409"/>
    </row>
    <row r="2410" spans="1:11" x14ac:dyDescent="0.25">
      <c r="A2410" s="115">
        <v>2409</v>
      </c>
      <c r="B2410" s="167">
        <v>45912</v>
      </c>
      <c r="C2410" s="117">
        <v>2025</v>
      </c>
      <c r="D2410" s="119" t="s">
        <v>1118</v>
      </c>
      <c r="E2410" s="119" t="s">
        <v>576</v>
      </c>
      <c r="F2410" s="120">
        <v>1</v>
      </c>
      <c r="G2410" s="120" t="s">
        <v>759</v>
      </c>
      <c r="H2410" s="169">
        <v>52179</v>
      </c>
      <c r="J2410"/>
      <c r="K2410"/>
    </row>
    <row r="2411" spans="1:11" x14ac:dyDescent="0.25">
      <c r="A2411" s="115">
        <v>2410</v>
      </c>
      <c r="B2411" s="167">
        <v>45912</v>
      </c>
      <c r="C2411" s="117">
        <v>2025</v>
      </c>
      <c r="D2411" s="119" t="s">
        <v>35</v>
      </c>
      <c r="E2411" s="119" t="s">
        <v>687</v>
      </c>
      <c r="F2411" s="120">
        <v>3</v>
      </c>
      <c r="G2411" s="120" t="s">
        <v>759</v>
      </c>
      <c r="H2411" s="169">
        <v>49500</v>
      </c>
      <c r="J2411"/>
      <c r="K2411"/>
    </row>
    <row r="2412" spans="1:11" x14ac:dyDescent="0.25">
      <c r="A2412" s="115">
        <v>2411</v>
      </c>
      <c r="B2412" s="167">
        <v>45913</v>
      </c>
      <c r="C2412" s="117">
        <v>2025</v>
      </c>
      <c r="D2412" s="119" t="s">
        <v>35</v>
      </c>
      <c r="E2412" s="119" t="s">
        <v>1527</v>
      </c>
      <c r="F2412" s="120">
        <v>1</v>
      </c>
      <c r="G2412" s="120" t="s">
        <v>759</v>
      </c>
      <c r="H2412" s="169">
        <v>185000</v>
      </c>
      <c r="J2412"/>
      <c r="K2412"/>
    </row>
    <row r="2413" spans="1:11" x14ac:dyDescent="0.25">
      <c r="A2413" s="115">
        <v>2412</v>
      </c>
      <c r="B2413" s="167">
        <v>45915</v>
      </c>
      <c r="C2413" s="117">
        <v>2025</v>
      </c>
      <c r="D2413" s="119" t="s">
        <v>35</v>
      </c>
      <c r="E2413" s="119" t="s">
        <v>252</v>
      </c>
      <c r="F2413" s="120">
        <v>2</v>
      </c>
      <c r="G2413" s="120" t="s">
        <v>759</v>
      </c>
      <c r="H2413" s="169">
        <v>2400000</v>
      </c>
      <c r="J2413"/>
      <c r="K2413"/>
    </row>
    <row r="2414" spans="1:11" x14ac:dyDescent="0.25">
      <c r="A2414" s="115">
        <v>2413</v>
      </c>
      <c r="B2414" s="167">
        <v>45915</v>
      </c>
      <c r="C2414" s="117">
        <v>2025</v>
      </c>
      <c r="D2414" s="119" t="s">
        <v>35</v>
      </c>
      <c r="E2414" s="119" t="s">
        <v>1450</v>
      </c>
      <c r="F2414" s="120">
        <v>1</v>
      </c>
      <c r="G2414" s="120" t="s">
        <v>759</v>
      </c>
      <c r="H2414" s="169">
        <v>65000</v>
      </c>
      <c r="J2414"/>
      <c r="K2414"/>
    </row>
    <row r="2415" spans="1:11" x14ac:dyDescent="0.25">
      <c r="A2415" s="115">
        <v>2414</v>
      </c>
      <c r="B2415" s="167">
        <v>45915</v>
      </c>
      <c r="C2415" s="117">
        <v>2025</v>
      </c>
      <c r="D2415" s="119" t="s">
        <v>35</v>
      </c>
      <c r="E2415" s="119" t="s">
        <v>72</v>
      </c>
      <c r="F2415" s="120">
        <v>2</v>
      </c>
      <c r="G2415" s="120" t="s">
        <v>759</v>
      </c>
      <c r="H2415" s="169">
        <v>50000</v>
      </c>
      <c r="J2415"/>
      <c r="K2415"/>
    </row>
    <row r="2416" spans="1:11" x14ac:dyDescent="0.25">
      <c r="A2416" s="115">
        <v>2415</v>
      </c>
      <c r="B2416" s="167">
        <v>45916</v>
      </c>
      <c r="C2416" s="117">
        <v>2025</v>
      </c>
      <c r="D2416" s="119" t="s">
        <v>35</v>
      </c>
      <c r="E2416" s="119" t="s">
        <v>211</v>
      </c>
      <c r="F2416" s="120">
        <v>10</v>
      </c>
      <c r="G2416" s="120" t="s">
        <v>759</v>
      </c>
      <c r="H2416" s="169">
        <v>210000</v>
      </c>
      <c r="J2416"/>
      <c r="K2416"/>
    </row>
    <row r="2417" spans="1:11" x14ac:dyDescent="0.25">
      <c r="A2417" s="115">
        <v>2416</v>
      </c>
      <c r="B2417" s="167">
        <v>45916</v>
      </c>
      <c r="C2417" s="117">
        <v>2025</v>
      </c>
      <c r="D2417" s="119" t="s">
        <v>35</v>
      </c>
      <c r="E2417" s="119" t="s">
        <v>211</v>
      </c>
      <c r="F2417" s="120">
        <v>10</v>
      </c>
      <c r="G2417" s="120" t="s">
        <v>759</v>
      </c>
      <c r="H2417" s="169">
        <v>190000</v>
      </c>
      <c r="J2417"/>
      <c r="K2417"/>
    </row>
    <row r="2418" spans="1:11" x14ac:dyDescent="0.25">
      <c r="A2418" s="115">
        <v>2417</v>
      </c>
      <c r="B2418" s="167">
        <v>45916</v>
      </c>
      <c r="C2418" s="117">
        <v>2025</v>
      </c>
      <c r="D2418" s="119" t="s">
        <v>35</v>
      </c>
      <c r="E2418" s="119" t="s">
        <v>211</v>
      </c>
      <c r="F2418" s="120">
        <v>2</v>
      </c>
      <c r="G2418" s="120" t="s">
        <v>759</v>
      </c>
      <c r="H2418" s="169">
        <v>39000</v>
      </c>
      <c r="J2418"/>
      <c r="K2418"/>
    </row>
    <row r="2419" spans="1:11" x14ac:dyDescent="0.25">
      <c r="A2419" s="115">
        <v>2418</v>
      </c>
      <c r="B2419" s="167">
        <v>45916</v>
      </c>
      <c r="C2419" s="117">
        <v>2025</v>
      </c>
      <c r="D2419" s="119" t="s">
        <v>833</v>
      </c>
      <c r="E2419" s="119" t="s">
        <v>1528</v>
      </c>
      <c r="F2419" s="120">
        <v>1</v>
      </c>
      <c r="G2419" s="120" t="s">
        <v>759</v>
      </c>
      <c r="H2419" s="169">
        <v>76800</v>
      </c>
      <c r="J2419"/>
      <c r="K2419"/>
    </row>
    <row r="2420" spans="1:11" x14ac:dyDescent="0.25">
      <c r="A2420" s="115">
        <v>2419</v>
      </c>
      <c r="B2420" s="167">
        <v>45916</v>
      </c>
      <c r="C2420" s="117">
        <v>2025</v>
      </c>
      <c r="D2420" s="119" t="s">
        <v>766</v>
      </c>
      <c r="E2420" s="119" t="s">
        <v>1490</v>
      </c>
      <c r="F2420" s="120">
        <v>6</v>
      </c>
      <c r="G2420" s="120" t="s">
        <v>759</v>
      </c>
      <c r="H2420" s="169">
        <v>132000</v>
      </c>
      <c r="J2420"/>
      <c r="K2420"/>
    </row>
    <row r="2421" spans="1:11" x14ac:dyDescent="0.25">
      <c r="A2421" s="115">
        <v>2420</v>
      </c>
      <c r="B2421" s="167">
        <v>45922</v>
      </c>
      <c r="C2421" s="117">
        <v>2025</v>
      </c>
      <c r="D2421" s="119" t="s">
        <v>35</v>
      </c>
      <c r="E2421" s="119" t="s">
        <v>252</v>
      </c>
      <c r="F2421" s="120">
        <v>2</v>
      </c>
      <c r="G2421" s="120" t="s">
        <v>759</v>
      </c>
      <c r="H2421" s="169">
        <v>2140000</v>
      </c>
      <c r="J2421"/>
      <c r="K2421"/>
    </row>
    <row r="2422" spans="1:11" x14ac:dyDescent="0.25">
      <c r="A2422" s="115">
        <v>2421</v>
      </c>
      <c r="B2422" s="167">
        <v>45922</v>
      </c>
      <c r="C2422" s="117">
        <v>2025</v>
      </c>
      <c r="D2422" s="119" t="s">
        <v>35</v>
      </c>
      <c r="E2422" s="119" t="s">
        <v>1529</v>
      </c>
      <c r="F2422" s="120">
        <v>1</v>
      </c>
      <c r="G2422" s="120" t="s">
        <v>759</v>
      </c>
      <c r="H2422" s="169">
        <v>67500</v>
      </c>
      <c r="J2422"/>
      <c r="K2422"/>
    </row>
    <row r="2423" spans="1:11" x14ac:dyDescent="0.25">
      <c r="A2423" s="115">
        <v>2422</v>
      </c>
      <c r="B2423" s="167">
        <v>45922</v>
      </c>
      <c r="C2423" s="117">
        <v>2025</v>
      </c>
      <c r="D2423" s="119" t="s">
        <v>35</v>
      </c>
      <c r="E2423" s="119" t="s">
        <v>1450</v>
      </c>
      <c r="F2423" s="120">
        <v>1</v>
      </c>
      <c r="G2423" s="120" t="s">
        <v>759</v>
      </c>
      <c r="H2423" s="169">
        <v>65000</v>
      </c>
      <c r="J2423"/>
      <c r="K2423"/>
    </row>
    <row r="2424" spans="1:11" x14ac:dyDescent="0.25">
      <c r="A2424" s="115">
        <v>2423</v>
      </c>
      <c r="B2424" s="167">
        <v>45922</v>
      </c>
      <c r="C2424" s="117">
        <v>2025</v>
      </c>
      <c r="D2424" s="119" t="s">
        <v>35</v>
      </c>
      <c r="E2424" s="119" t="s">
        <v>205</v>
      </c>
      <c r="F2424" s="120">
        <v>4</v>
      </c>
      <c r="G2424" s="120" t="s">
        <v>759</v>
      </c>
      <c r="H2424" s="169">
        <v>80000</v>
      </c>
      <c r="J2424"/>
      <c r="K2424"/>
    </row>
    <row r="2425" spans="1:11" x14ac:dyDescent="0.25">
      <c r="A2425" s="115">
        <v>2424</v>
      </c>
      <c r="B2425" s="167">
        <v>45922</v>
      </c>
      <c r="C2425" s="117">
        <v>2025</v>
      </c>
      <c r="D2425" s="119" t="s">
        <v>35</v>
      </c>
      <c r="E2425" s="119" t="s">
        <v>1189</v>
      </c>
      <c r="F2425" s="120">
        <v>3</v>
      </c>
      <c r="G2425" s="120" t="s">
        <v>759</v>
      </c>
      <c r="H2425" s="169">
        <v>13500</v>
      </c>
      <c r="J2425"/>
      <c r="K2425"/>
    </row>
    <row r="2426" spans="1:11" x14ac:dyDescent="0.25">
      <c r="A2426" s="115">
        <v>2425</v>
      </c>
      <c r="B2426" s="167">
        <v>45922</v>
      </c>
      <c r="C2426" s="117">
        <v>2025</v>
      </c>
      <c r="D2426" s="119" t="s">
        <v>851</v>
      </c>
      <c r="E2426" s="119" t="s">
        <v>1530</v>
      </c>
      <c r="F2426" s="120">
        <v>1</v>
      </c>
      <c r="G2426" s="120" t="s">
        <v>759</v>
      </c>
      <c r="H2426" s="169">
        <v>419957</v>
      </c>
      <c r="J2426"/>
      <c r="K2426"/>
    </row>
    <row r="2427" spans="1:11" x14ac:dyDescent="0.25">
      <c r="A2427" s="115">
        <v>2426</v>
      </c>
      <c r="B2427" s="167">
        <v>45922</v>
      </c>
      <c r="C2427" s="117">
        <v>2025</v>
      </c>
      <c r="D2427" s="119" t="s">
        <v>35</v>
      </c>
      <c r="E2427" s="119" t="s">
        <v>1531</v>
      </c>
      <c r="F2427" s="120">
        <v>1</v>
      </c>
      <c r="G2427" s="120" t="s">
        <v>759</v>
      </c>
      <c r="H2427" s="169">
        <v>42080</v>
      </c>
      <c r="J2427"/>
      <c r="K2427"/>
    </row>
    <row r="2428" spans="1:11" x14ac:dyDescent="0.25">
      <c r="A2428" s="115">
        <v>2427</v>
      </c>
      <c r="B2428" s="167">
        <v>45923</v>
      </c>
      <c r="C2428" s="117">
        <v>2025</v>
      </c>
      <c r="D2428" s="119" t="s">
        <v>833</v>
      </c>
      <c r="E2428" s="119" t="s">
        <v>612</v>
      </c>
      <c r="F2428" s="120">
        <v>2</v>
      </c>
      <c r="G2428" s="120" t="s">
        <v>759</v>
      </c>
      <c r="H2428" s="169">
        <v>11866</v>
      </c>
      <c r="J2428"/>
      <c r="K2428"/>
    </row>
    <row r="2429" spans="1:11" x14ac:dyDescent="0.25">
      <c r="A2429" s="115">
        <v>2428</v>
      </c>
      <c r="B2429" s="167">
        <v>45923</v>
      </c>
      <c r="C2429" s="117">
        <v>2025</v>
      </c>
      <c r="D2429" s="119" t="s">
        <v>833</v>
      </c>
      <c r="E2429" s="119" t="s">
        <v>1532</v>
      </c>
      <c r="F2429" s="120">
        <v>1</v>
      </c>
      <c r="G2429" s="120" t="s">
        <v>759</v>
      </c>
      <c r="H2429" s="169">
        <v>2976</v>
      </c>
      <c r="J2429"/>
      <c r="K2429"/>
    </row>
    <row r="2430" spans="1:11" x14ac:dyDescent="0.25">
      <c r="A2430" s="115">
        <v>2429</v>
      </c>
      <c r="B2430" s="167">
        <v>45923</v>
      </c>
      <c r="C2430" s="117">
        <v>2025</v>
      </c>
      <c r="D2430" s="119" t="s">
        <v>833</v>
      </c>
      <c r="E2430" s="119" t="s">
        <v>1533</v>
      </c>
      <c r="F2430" s="120">
        <v>2</v>
      </c>
      <c r="G2430" s="120" t="s">
        <v>759</v>
      </c>
      <c r="H2430" s="169">
        <v>6540</v>
      </c>
      <c r="J2430"/>
      <c r="K2430"/>
    </row>
    <row r="2431" spans="1:11" x14ac:dyDescent="0.25">
      <c r="A2431" s="115">
        <v>2430</v>
      </c>
      <c r="B2431" s="167">
        <v>45923</v>
      </c>
      <c r="C2431" s="117">
        <v>2025</v>
      </c>
      <c r="D2431" s="119" t="s">
        <v>833</v>
      </c>
      <c r="E2431" s="119" t="s">
        <v>1534</v>
      </c>
      <c r="F2431" s="120">
        <v>1</v>
      </c>
      <c r="G2431" s="120" t="s">
        <v>759</v>
      </c>
      <c r="H2431" s="169">
        <v>2128</v>
      </c>
      <c r="J2431"/>
      <c r="K2431"/>
    </row>
    <row r="2432" spans="1:11" x14ac:dyDescent="0.25">
      <c r="A2432" s="115">
        <v>2431</v>
      </c>
      <c r="B2432" s="167">
        <v>45924</v>
      </c>
      <c r="C2432" s="117">
        <v>2025</v>
      </c>
      <c r="D2432" s="119" t="s">
        <v>35</v>
      </c>
      <c r="E2432" s="119" t="s">
        <v>739</v>
      </c>
      <c r="F2432" s="120">
        <v>75</v>
      </c>
      <c r="G2432" s="120" t="s">
        <v>759</v>
      </c>
      <c r="H2432" s="169">
        <v>645000</v>
      </c>
      <c r="J2432"/>
      <c r="K2432"/>
    </row>
    <row r="2433" spans="1:11" x14ac:dyDescent="0.25">
      <c r="A2433" s="115">
        <v>2432</v>
      </c>
      <c r="B2433" s="167">
        <v>45925</v>
      </c>
      <c r="C2433" s="117">
        <v>2025</v>
      </c>
      <c r="D2433" s="119" t="s">
        <v>833</v>
      </c>
      <c r="E2433" s="119" t="s">
        <v>1535</v>
      </c>
      <c r="F2433" s="120">
        <v>1</v>
      </c>
      <c r="G2433" s="120" t="s">
        <v>759</v>
      </c>
      <c r="H2433" s="169">
        <v>1971000</v>
      </c>
      <c r="J2433"/>
      <c r="K2433"/>
    </row>
    <row r="2434" spans="1:11" x14ac:dyDescent="0.25">
      <c r="A2434" s="115">
        <v>2433</v>
      </c>
      <c r="B2434" s="167">
        <v>45925</v>
      </c>
      <c r="C2434" s="117">
        <v>2025</v>
      </c>
      <c r="D2434" s="119" t="s">
        <v>35</v>
      </c>
      <c r="E2434" s="119" t="s">
        <v>1536</v>
      </c>
      <c r="F2434" s="120">
        <v>1</v>
      </c>
      <c r="G2434" s="120" t="s">
        <v>759</v>
      </c>
      <c r="H2434" s="169">
        <v>802000</v>
      </c>
      <c r="J2434"/>
      <c r="K2434"/>
    </row>
    <row r="2435" spans="1:11" x14ac:dyDescent="0.25">
      <c r="A2435" s="115">
        <v>2434</v>
      </c>
      <c r="B2435" s="167">
        <v>45926</v>
      </c>
      <c r="C2435" s="117">
        <v>2025</v>
      </c>
      <c r="D2435" s="119" t="s">
        <v>35</v>
      </c>
      <c r="E2435" s="119" t="s">
        <v>1537</v>
      </c>
      <c r="F2435" s="120">
        <v>1</v>
      </c>
      <c r="G2435" s="120" t="s">
        <v>759</v>
      </c>
      <c r="H2435" s="169">
        <v>180000</v>
      </c>
      <c r="J2435"/>
      <c r="K2435"/>
    </row>
    <row r="2436" spans="1:11" x14ac:dyDescent="0.25">
      <c r="A2436" s="115">
        <v>2435</v>
      </c>
      <c r="B2436" s="167">
        <v>45926</v>
      </c>
      <c r="C2436" s="117">
        <v>2025</v>
      </c>
      <c r="D2436" s="119" t="s">
        <v>35</v>
      </c>
      <c r="E2436" s="119" t="s">
        <v>1538</v>
      </c>
      <c r="F2436" s="120">
        <v>1</v>
      </c>
      <c r="G2436" s="120" t="s">
        <v>759</v>
      </c>
      <c r="H2436" s="169">
        <v>25400</v>
      </c>
      <c r="J2436"/>
      <c r="K2436"/>
    </row>
    <row r="2437" spans="1:11" x14ac:dyDescent="0.25">
      <c r="A2437" s="115">
        <v>2436</v>
      </c>
      <c r="B2437" s="167">
        <v>45926</v>
      </c>
      <c r="C2437" s="117">
        <v>2025</v>
      </c>
      <c r="D2437" s="119" t="s">
        <v>35</v>
      </c>
      <c r="E2437" s="119" t="s">
        <v>1539</v>
      </c>
      <c r="F2437" s="120">
        <v>1</v>
      </c>
      <c r="G2437" s="120" t="s">
        <v>759</v>
      </c>
      <c r="H2437" s="169">
        <v>57200</v>
      </c>
      <c r="J2437"/>
      <c r="K2437"/>
    </row>
    <row r="2438" spans="1:11" x14ac:dyDescent="0.25">
      <c r="A2438" s="115">
        <v>2437</v>
      </c>
      <c r="B2438" s="167">
        <v>45929</v>
      </c>
      <c r="C2438" s="117">
        <v>2025</v>
      </c>
      <c r="D2438" s="119" t="s">
        <v>833</v>
      </c>
      <c r="E2438" s="119" t="s">
        <v>517</v>
      </c>
      <c r="F2438" s="120">
        <v>10</v>
      </c>
      <c r="G2438" s="120" t="s">
        <v>759</v>
      </c>
      <c r="H2438" s="169">
        <v>18400</v>
      </c>
      <c r="J2438"/>
      <c r="K2438"/>
    </row>
    <row r="2439" spans="1:11" x14ac:dyDescent="0.25">
      <c r="A2439" s="115">
        <v>2438</v>
      </c>
      <c r="B2439" s="167">
        <v>45929</v>
      </c>
      <c r="C2439" s="117">
        <v>2025</v>
      </c>
      <c r="D2439" s="119" t="s">
        <v>851</v>
      </c>
      <c r="E2439" s="119" t="s">
        <v>517</v>
      </c>
      <c r="F2439" s="120">
        <v>10</v>
      </c>
      <c r="G2439" s="120" t="s">
        <v>759</v>
      </c>
      <c r="H2439" s="169">
        <v>14000</v>
      </c>
      <c r="J2439"/>
      <c r="K2439"/>
    </row>
    <row r="2440" spans="1:11" x14ac:dyDescent="0.25">
      <c r="A2440" s="115">
        <v>2439</v>
      </c>
      <c r="B2440" s="167">
        <v>45929</v>
      </c>
      <c r="C2440" s="117">
        <v>2025</v>
      </c>
      <c r="D2440" s="119" t="s">
        <v>851</v>
      </c>
      <c r="E2440" s="119" t="s">
        <v>661</v>
      </c>
      <c r="F2440" s="120">
        <v>4</v>
      </c>
      <c r="G2440" s="120" t="s">
        <v>759</v>
      </c>
      <c r="H2440" s="169">
        <v>19596</v>
      </c>
      <c r="J2440"/>
      <c r="K2440"/>
    </row>
    <row r="2441" spans="1:11" x14ac:dyDescent="0.25">
      <c r="A2441" s="115">
        <v>2440</v>
      </c>
      <c r="B2441" s="167">
        <v>45930</v>
      </c>
      <c r="C2441" s="117">
        <v>2025</v>
      </c>
      <c r="D2441" s="119" t="s">
        <v>35</v>
      </c>
      <c r="E2441" s="119" t="s">
        <v>761</v>
      </c>
      <c r="F2441" s="120">
        <v>2</v>
      </c>
      <c r="G2441" s="120" t="s">
        <v>759</v>
      </c>
      <c r="H2441" s="169">
        <v>3100000</v>
      </c>
      <c r="J2441"/>
      <c r="K2441"/>
    </row>
    <row r="2442" spans="1:11" x14ac:dyDescent="0.25">
      <c r="A2442" s="115">
        <v>2441</v>
      </c>
      <c r="B2442" s="167">
        <v>45930</v>
      </c>
      <c r="C2442" s="117">
        <v>2025</v>
      </c>
      <c r="D2442" s="119" t="s">
        <v>35</v>
      </c>
      <c r="E2442" s="119" t="s">
        <v>98</v>
      </c>
      <c r="F2442" s="120">
        <v>5</v>
      </c>
      <c r="G2442" s="120" t="s">
        <v>759</v>
      </c>
      <c r="H2442" s="169">
        <v>148020</v>
      </c>
      <c r="J2442"/>
      <c r="K2442"/>
    </row>
    <row r="2443" spans="1:11" x14ac:dyDescent="0.25">
      <c r="A2443" s="115">
        <v>2442</v>
      </c>
      <c r="B2443" s="167">
        <v>45931</v>
      </c>
      <c r="C2443" s="117">
        <v>2025</v>
      </c>
      <c r="D2443" s="119" t="s">
        <v>851</v>
      </c>
      <c r="E2443" s="119" t="s">
        <v>666</v>
      </c>
      <c r="F2443" s="120">
        <v>1</v>
      </c>
      <c r="G2443" s="120" t="s">
        <v>759</v>
      </c>
      <c r="H2443" s="169">
        <v>26899</v>
      </c>
      <c r="J2443"/>
      <c r="K2443"/>
    </row>
    <row r="2444" spans="1:11" x14ac:dyDescent="0.25">
      <c r="A2444" s="115">
        <v>2443</v>
      </c>
      <c r="B2444" s="167">
        <v>45931</v>
      </c>
      <c r="C2444" s="117">
        <v>2025</v>
      </c>
      <c r="D2444" s="119" t="s">
        <v>851</v>
      </c>
      <c r="E2444" s="119" t="s">
        <v>1396</v>
      </c>
      <c r="F2444" s="120">
        <v>1</v>
      </c>
      <c r="G2444" s="120" t="s">
        <v>759</v>
      </c>
      <c r="H2444" s="169">
        <v>7400</v>
      </c>
      <c r="J2444"/>
      <c r="K2444"/>
    </row>
    <row r="2445" spans="1:11" x14ac:dyDescent="0.25">
      <c r="A2445" s="115">
        <v>2444</v>
      </c>
      <c r="B2445" s="167">
        <v>45932</v>
      </c>
      <c r="C2445" s="117">
        <v>2025</v>
      </c>
      <c r="D2445" s="119" t="s">
        <v>259</v>
      </c>
      <c r="E2445" s="119" t="s">
        <v>1540</v>
      </c>
      <c r="F2445" s="120">
        <v>1</v>
      </c>
      <c r="G2445" s="120" t="s">
        <v>759</v>
      </c>
      <c r="H2445" s="169">
        <v>8470000</v>
      </c>
      <c r="J2445"/>
      <c r="K2445"/>
    </row>
    <row r="2446" spans="1:11" x14ac:dyDescent="0.25">
      <c r="A2446" s="115">
        <v>2445</v>
      </c>
      <c r="B2446" s="167">
        <v>45932</v>
      </c>
      <c r="C2446" s="117">
        <v>2025</v>
      </c>
      <c r="D2446" s="119" t="s">
        <v>35</v>
      </c>
      <c r="E2446" s="119" t="s">
        <v>1541</v>
      </c>
      <c r="F2446" s="120">
        <v>1</v>
      </c>
      <c r="G2446" s="120" t="s">
        <v>759</v>
      </c>
      <c r="H2446" s="169">
        <v>41680</v>
      </c>
      <c r="J2446"/>
      <c r="K2446"/>
    </row>
    <row r="2447" spans="1:11" x14ac:dyDescent="0.25">
      <c r="A2447" s="115">
        <v>2446</v>
      </c>
      <c r="B2447" s="167">
        <v>45933</v>
      </c>
      <c r="C2447" s="117">
        <v>2025</v>
      </c>
      <c r="D2447" s="119" t="s">
        <v>851</v>
      </c>
      <c r="E2447" s="119" t="s">
        <v>1066</v>
      </c>
      <c r="F2447" s="120">
        <v>1</v>
      </c>
      <c r="G2447" s="120" t="s">
        <v>759</v>
      </c>
      <c r="H2447" s="169">
        <v>11600</v>
      </c>
      <c r="J2447"/>
      <c r="K2447"/>
    </row>
    <row r="2448" spans="1:11" x14ac:dyDescent="0.25">
      <c r="A2448" s="115">
        <v>2447</v>
      </c>
      <c r="B2448" s="167">
        <v>45933</v>
      </c>
      <c r="C2448" s="117">
        <v>2025</v>
      </c>
      <c r="D2448" s="119" t="s">
        <v>35</v>
      </c>
      <c r="E2448" s="119" t="s">
        <v>1542</v>
      </c>
      <c r="F2448" s="120">
        <v>1</v>
      </c>
      <c r="G2448" s="120" t="s">
        <v>759</v>
      </c>
      <c r="H2448" s="169">
        <v>4900</v>
      </c>
      <c r="J2448"/>
      <c r="K2448"/>
    </row>
    <row r="2449" spans="1:11" x14ac:dyDescent="0.25">
      <c r="A2449" s="115">
        <v>2448</v>
      </c>
      <c r="B2449" s="167">
        <v>45933</v>
      </c>
      <c r="C2449" s="117">
        <v>2025</v>
      </c>
      <c r="D2449" s="119" t="s">
        <v>35</v>
      </c>
      <c r="E2449" s="119" t="s">
        <v>1543</v>
      </c>
      <c r="F2449" s="120">
        <v>1</v>
      </c>
      <c r="G2449" s="120" t="s">
        <v>759</v>
      </c>
      <c r="H2449" s="169">
        <v>23400</v>
      </c>
      <c r="J2449"/>
      <c r="K2449"/>
    </row>
    <row r="2450" spans="1:11" x14ac:dyDescent="0.25">
      <c r="A2450" s="115">
        <v>2449</v>
      </c>
      <c r="B2450" s="167">
        <v>45934</v>
      </c>
      <c r="C2450" s="117">
        <v>2025</v>
      </c>
      <c r="D2450" s="119" t="s">
        <v>35</v>
      </c>
      <c r="E2450" s="119" t="s">
        <v>72</v>
      </c>
      <c r="F2450" s="120">
        <v>2</v>
      </c>
      <c r="G2450" s="120" t="s">
        <v>759</v>
      </c>
      <c r="H2450" s="169">
        <v>50000</v>
      </c>
      <c r="J2450"/>
      <c r="K2450"/>
    </row>
    <row r="2451" spans="1:11" x14ac:dyDescent="0.25">
      <c r="A2451" s="115">
        <v>2450</v>
      </c>
      <c r="B2451" s="167">
        <v>45934</v>
      </c>
      <c r="C2451" s="117">
        <v>2025</v>
      </c>
      <c r="D2451" s="119" t="s">
        <v>35</v>
      </c>
      <c r="E2451" s="119" t="s">
        <v>1544</v>
      </c>
      <c r="F2451" s="120">
        <v>10</v>
      </c>
      <c r="G2451" s="120" t="s">
        <v>759</v>
      </c>
      <c r="H2451" s="169">
        <v>25000</v>
      </c>
      <c r="J2451"/>
      <c r="K2451"/>
    </row>
    <row r="2452" spans="1:11" x14ac:dyDescent="0.25">
      <c r="A2452" s="115">
        <v>2451</v>
      </c>
      <c r="B2452" s="167">
        <v>45934</v>
      </c>
      <c r="C2452" s="117">
        <v>2025</v>
      </c>
      <c r="D2452" s="119" t="s">
        <v>833</v>
      </c>
      <c r="E2452" s="119" t="s">
        <v>563</v>
      </c>
      <c r="F2452" s="120">
        <v>3</v>
      </c>
      <c r="G2452" s="120" t="s">
        <v>759</v>
      </c>
      <c r="H2452" s="169">
        <v>30402</v>
      </c>
      <c r="J2452"/>
      <c r="K2452"/>
    </row>
    <row r="2453" spans="1:11" x14ac:dyDescent="0.25">
      <c r="A2453" s="115">
        <v>2452</v>
      </c>
      <c r="B2453" s="167">
        <v>45934</v>
      </c>
      <c r="C2453" s="117">
        <v>2025</v>
      </c>
      <c r="D2453" s="119" t="s">
        <v>35</v>
      </c>
      <c r="E2453" s="119" t="s">
        <v>1486</v>
      </c>
      <c r="F2453" s="120">
        <v>4</v>
      </c>
      <c r="G2453" s="120" t="s">
        <v>759</v>
      </c>
      <c r="H2453" s="169">
        <v>300000</v>
      </c>
      <c r="J2453"/>
      <c r="K2453"/>
    </row>
    <row r="2454" spans="1:11" x14ac:dyDescent="0.25">
      <c r="A2454" s="115">
        <v>2453</v>
      </c>
      <c r="B2454" s="167">
        <v>45936</v>
      </c>
      <c r="C2454" s="117">
        <v>2025</v>
      </c>
      <c r="D2454" s="119" t="s">
        <v>259</v>
      </c>
      <c r="E2454" s="119" t="s">
        <v>1242</v>
      </c>
      <c r="F2454" s="120">
        <v>1</v>
      </c>
      <c r="G2454" s="120" t="s">
        <v>759</v>
      </c>
      <c r="H2454" s="169">
        <v>769000</v>
      </c>
      <c r="J2454"/>
      <c r="K2454"/>
    </row>
    <row r="2455" spans="1:11" x14ac:dyDescent="0.25">
      <c r="A2455" s="115">
        <v>2454</v>
      </c>
      <c r="B2455" s="167">
        <v>45936</v>
      </c>
      <c r="C2455" s="117">
        <v>2025</v>
      </c>
      <c r="D2455" s="119" t="s">
        <v>35</v>
      </c>
      <c r="E2455" s="119" t="s">
        <v>1217</v>
      </c>
      <c r="F2455" s="120">
        <v>1</v>
      </c>
      <c r="G2455" s="120" t="s">
        <v>759</v>
      </c>
      <c r="H2455" s="169">
        <v>40000</v>
      </c>
      <c r="J2455"/>
      <c r="K2455"/>
    </row>
    <row r="2456" spans="1:11" x14ac:dyDescent="0.25">
      <c r="A2456" s="115">
        <v>2455</v>
      </c>
      <c r="B2456" s="167">
        <v>45937</v>
      </c>
      <c r="C2456" s="117">
        <v>2025</v>
      </c>
      <c r="D2456" s="119" t="s">
        <v>35</v>
      </c>
      <c r="E2456" s="119" t="s">
        <v>1545</v>
      </c>
      <c r="F2456" s="120">
        <v>80</v>
      </c>
      <c r="G2456" s="120" t="s">
        <v>759</v>
      </c>
      <c r="H2456" s="169">
        <v>960000</v>
      </c>
      <c r="J2456"/>
      <c r="K2456"/>
    </row>
    <row r="2457" spans="1:11" x14ac:dyDescent="0.25">
      <c r="A2457" s="115">
        <v>2456</v>
      </c>
      <c r="B2457" s="167">
        <v>45937</v>
      </c>
      <c r="C2457" s="117">
        <v>2025</v>
      </c>
      <c r="D2457" s="119" t="s">
        <v>35</v>
      </c>
      <c r="E2457" s="119" t="s">
        <v>1486</v>
      </c>
      <c r="F2457" s="120">
        <v>2</v>
      </c>
      <c r="G2457" s="120" t="s">
        <v>759</v>
      </c>
      <c r="H2457" s="169">
        <v>150000</v>
      </c>
      <c r="J2457"/>
      <c r="K2457"/>
    </row>
    <row r="2458" spans="1:11" x14ac:dyDescent="0.25">
      <c r="A2458" s="115">
        <v>2457</v>
      </c>
      <c r="B2458" s="167">
        <v>45938</v>
      </c>
      <c r="C2458" s="117">
        <v>2025</v>
      </c>
      <c r="D2458" s="119" t="s">
        <v>259</v>
      </c>
      <c r="E2458" s="119" t="s">
        <v>1376</v>
      </c>
      <c r="F2458" s="120">
        <v>1</v>
      </c>
      <c r="G2458" s="120" t="s">
        <v>759</v>
      </c>
      <c r="H2458" s="169">
        <v>1072500</v>
      </c>
      <c r="J2458"/>
      <c r="K2458"/>
    </row>
    <row r="2459" spans="1:11" x14ac:dyDescent="0.25">
      <c r="A2459" s="115">
        <v>2458</v>
      </c>
      <c r="B2459" s="167">
        <v>45938</v>
      </c>
      <c r="C2459" s="117">
        <v>2025</v>
      </c>
      <c r="D2459" s="119" t="s">
        <v>259</v>
      </c>
      <c r="E2459" s="119" t="s">
        <v>1528</v>
      </c>
      <c r="F2459" s="120">
        <v>1</v>
      </c>
      <c r="G2459" s="120" t="s">
        <v>759</v>
      </c>
      <c r="H2459" s="169">
        <v>66400</v>
      </c>
      <c r="J2459"/>
      <c r="K2459"/>
    </row>
    <row r="2460" spans="1:11" x14ac:dyDescent="0.25">
      <c r="A2460" s="115">
        <v>2459</v>
      </c>
      <c r="B2460" s="167">
        <v>45938</v>
      </c>
      <c r="C2460" s="117">
        <v>2025</v>
      </c>
      <c r="D2460" s="119" t="s">
        <v>259</v>
      </c>
      <c r="E2460" s="119" t="s">
        <v>1377</v>
      </c>
      <c r="F2460" s="120">
        <v>1</v>
      </c>
      <c r="G2460" s="120" t="s">
        <v>759</v>
      </c>
      <c r="H2460" s="169">
        <v>302900</v>
      </c>
      <c r="J2460"/>
      <c r="K2460"/>
    </row>
    <row r="2461" spans="1:11" x14ac:dyDescent="0.25">
      <c r="A2461" s="115">
        <v>2460</v>
      </c>
      <c r="B2461" s="167">
        <v>45938</v>
      </c>
      <c r="C2461" s="117">
        <v>2025</v>
      </c>
      <c r="D2461" s="119" t="s">
        <v>35</v>
      </c>
      <c r="E2461" s="119" t="s">
        <v>1546</v>
      </c>
      <c r="F2461" s="120">
        <v>1</v>
      </c>
      <c r="G2461" s="120" t="s">
        <v>759</v>
      </c>
      <c r="H2461" s="169">
        <v>45000</v>
      </c>
      <c r="J2461"/>
      <c r="K2461"/>
    </row>
    <row r="2462" spans="1:11" x14ac:dyDescent="0.25">
      <c r="A2462" s="115">
        <v>2461</v>
      </c>
      <c r="B2462" s="167">
        <v>45938</v>
      </c>
      <c r="C2462" s="117">
        <v>2025</v>
      </c>
      <c r="D2462" s="119" t="s">
        <v>35</v>
      </c>
      <c r="E2462" s="119" t="s">
        <v>1547</v>
      </c>
      <c r="F2462" s="120">
        <v>1</v>
      </c>
      <c r="G2462" s="120" t="s">
        <v>759</v>
      </c>
      <c r="H2462" s="169">
        <v>55000</v>
      </c>
      <c r="J2462"/>
      <c r="K2462"/>
    </row>
    <row r="2463" spans="1:11" x14ac:dyDescent="0.25">
      <c r="A2463" s="115">
        <v>2462</v>
      </c>
      <c r="B2463" s="167">
        <v>45938</v>
      </c>
      <c r="C2463" s="117">
        <v>2025</v>
      </c>
      <c r="D2463" s="119" t="s">
        <v>259</v>
      </c>
      <c r="E2463" s="119" t="s">
        <v>1141</v>
      </c>
      <c r="F2463" s="120">
        <v>1</v>
      </c>
      <c r="G2463" s="120" t="s">
        <v>759</v>
      </c>
      <c r="H2463" s="169">
        <v>52390</v>
      </c>
      <c r="J2463"/>
      <c r="K2463"/>
    </row>
    <row r="2464" spans="1:11" x14ac:dyDescent="0.25">
      <c r="A2464" s="115">
        <v>2463</v>
      </c>
      <c r="B2464" s="167">
        <v>45938</v>
      </c>
      <c r="C2464" s="117">
        <v>2025</v>
      </c>
      <c r="D2464" s="119" t="s">
        <v>35</v>
      </c>
      <c r="E2464" s="119" t="s">
        <v>1459</v>
      </c>
      <c r="F2464" s="120">
        <v>1</v>
      </c>
      <c r="G2464" s="120" t="s">
        <v>759</v>
      </c>
      <c r="H2464" s="169">
        <v>55000</v>
      </c>
      <c r="J2464"/>
      <c r="K2464"/>
    </row>
    <row r="2465" spans="1:11" x14ac:dyDescent="0.25">
      <c r="A2465" s="115">
        <v>2464</v>
      </c>
      <c r="B2465" s="167">
        <v>45939</v>
      </c>
      <c r="C2465" s="117">
        <v>2025</v>
      </c>
      <c r="D2465" s="119" t="s">
        <v>35</v>
      </c>
      <c r="E2465" s="119" t="s">
        <v>1548</v>
      </c>
      <c r="F2465" s="120">
        <v>1</v>
      </c>
      <c r="G2465" s="120" t="s">
        <v>759</v>
      </c>
      <c r="H2465" s="169">
        <v>39900</v>
      </c>
      <c r="J2465"/>
      <c r="K2465"/>
    </row>
    <row r="2466" spans="1:11" x14ac:dyDescent="0.25">
      <c r="A2466" s="115">
        <v>2465</v>
      </c>
      <c r="B2466" s="167">
        <v>45939</v>
      </c>
      <c r="C2466" s="117">
        <v>2025</v>
      </c>
      <c r="D2466" s="119" t="s">
        <v>35</v>
      </c>
      <c r="E2466" s="119" t="s">
        <v>478</v>
      </c>
      <c r="F2466" s="120">
        <v>100</v>
      </c>
      <c r="G2466" s="120" t="s">
        <v>759</v>
      </c>
      <c r="H2466" s="169">
        <v>102900</v>
      </c>
      <c r="J2466"/>
      <c r="K2466"/>
    </row>
    <row r="2467" spans="1:11" x14ac:dyDescent="0.25">
      <c r="A2467" s="115">
        <v>2466</v>
      </c>
      <c r="B2467" s="167">
        <v>45939</v>
      </c>
      <c r="C2467" s="117">
        <v>2025</v>
      </c>
      <c r="D2467" s="119" t="s">
        <v>35</v>
      </c>
      <c r="E2467" s="119" t="s">
        <v>1302</v>
      </c>
      <c r="F2467" s="120">
        <v>3</v>
      </c>
      <c r="G2467" s="120" t="s">
        <v>759</v>
      </c>
      <c r="H2467" s="169">
        <v>53202</v>
      </c>
      <c r="J2467"/>
      <c r="K2467"/>
    </row>
    <row r="2468" spans="1:11" x14ac:dyDescent="0.25">
      <c r="A2468" s="115">
        <v>2467</v>
      </c>
      <c r="B2468" s="167">
        <v>45939</v>
      </c>
      <c r="C2468" s="117">
        <v>2025</v>
      </c>
      <c r="D2468" s="119" t="s">
        <v>35</v>
      </c>
      <c r="E2468" s="119" t="s">
        <v>684</v>
      </c>
      <c r="F2468" s="120">
        <v>12</v>
      </c>
      <c r="G2468" s="120" t="s">
        <v>759</v>
      </c>
      <c r="H2468" s="169">
        <v>206904</v>
      </c>
      <c r="J2468"/>
      <c r="K2468"/>
    </row>
    <row r="2469" spans="1:11" x14ac:dyDescent="0.25">
      <c r="A2469" s="115">
        <v>2468</v>
      </c>
      <c r="B2469" s="167">
        <v>45939</v>
      </c>
      <c r="C2469" s="117">
        <v>2025</v>
      </c>
      <c r="D2469" s="119" t="s">
        <v>833</v>
      </c>
      <c r="E2469" s="119" t="s">
        <v>588</v>
      </c>
      <c r="F2469" s="120">
        <v>12</v>
      </c>
      <c r="G2469" s="120" t="s">
        <v>759</v>
      </c>
      <c r="H2469" s="169">
        <v>52908</v>
      </c>
      <c r="J2469"/>
      <c r="K2469"/>
    </row>
    <row r="2470" spans="1:11" x14ac:dyDescent="0.25">
      <c r="A2470" s="115">
        <v>2469</v>
      </c>
      <c r="B2470" s="167">
        <v>45939</v>
      </c>
      <c r="C2470" s="117">
        <v>2025</v>
      </c>
      <c r="D2470" s="119" t="s">
        <v>35</v>
      </c>
      <c r="E2470" s="119" t="s">
        <v>685</v>
      </c>
      <c r="F2470" s="120">
        <v>12</v>
      </c>
      <c r="G2470" s="120" t="s">
        <v>759</v>
      </c>
      <c r="H2470" s="169">
        <v>57288</v>
      </c>
      <c r="J2470"/>
      <c r="K2470"/>
    </row>
    <row r="2471" spans="1:11" x14ac:dyDescent="0.25">
      <c r="A2471" s="115">
        <v>2470</v>
      </c>
      <c r="B2471" s="167">
        <v>45940</v>
      </c>
      <c r="C2471" s="117">
        <v>2025</v>
      </c>
      <c r="D2471" s="119" t="s">
        <v>833</v>
      </c>
      <c r="E2471" s="119" t="s">
        <v>175</v>
      </c>
      <c r="F2471" s="120">
        <v>50</v>
      </c>
      <c r="G2471" s="120" t="s">
        <v>759</v>
      </c>
      <c r="H2471" s="169">
        <v>392500</v>
      </c>
      <c r="J2471"/>
      <c r="K2471"/>
    </row>
    <row r="2472" spans="1:11" x14ac:dyDescent="0.25">
      <c r="A2472" s="115">
        <v>2471</v>
      </c>
      <c r="B2472" s="167">
        <v>45940</v>
      </c>
      <c r="C2472" s="117">
        <v>2025</v>
      </c>
      <c r="D2472" s="119" t="s">
        <v>833</v>
      </c>
      <c r="E2472" s="119" t="s">
        <v>398</v>
      </c>
      <c r="F2472" s="120">
        <v>12</v>
      </c>
      <c r="G2472" s="120" t="s">
        <v>759</v>
      </c>
      <c r="H2472" s="169">
        <v>13176</v>
      </c>
      <c r="J2472"/>
      <c r="K2472"/>
    </row>
    <row r="2473" spans="1:11" x14ac:dyDescent="0.25">
      <c r="A2473" s="115">
        <v>2472</v>
      </c>
      <c r="B2473" s="167">
        <v>45940</v>
      </c>
      <c r="C2473" s="117">
        <v>2025</v>
      </c>
      <c r="D2473" s="119" t="s">
        <v>833</v>
      </c>
      <c r="E2473" s="119" t="s">
        <v>481</v>
      </c>
      <c r="F2473" s="120">
        <v>10</v>
      </c>
      <c r="G2473" s="120" t="s">
        <v>759</v>
      </c>
      <c r="H2473" s="169">
        <v>171900</v>
      </c>
      <c r="J2473"/>
      <c r="K2473"/>
    </row>
    <row r="2474" spans="1:11" x14ac:dyDescent="0.25">
      <c r="A2474" s="115">
        <v>2473</v>
      </c>
      <c r="B2474" s="167">
        <v>45940</v>
      </c>
      <c r="C2474" s="117">
        <v>2025</v>
      </c>
      <c r="D2474" s="119" t="s">
        <v>833</v>
      </c>
      <c r="E2474" s="119" t="s">
        <v>481</v>
      </c>
      <c r="F2474" s="120">
        <v>10</v>
      </c>
      <c r="G2474" s="120" t="s">
        <v>759</v>
      </c>
      <c r="H2474" s="169">
        <v>139900</v>
      </c>
      <c r="J2474"/>
      <c r="K2474"/>
    </row>
    <row r="2475" spans="1:11" x14ac:dyDescent="0.25">
      <c r="A2475" s="115">
        <v>2474</v>
      </c>
      <c r="B2475" s="167">
        <v>45940</v>
      </c>
      <c r="C2475" s="117">
        <v>2025</v>
      </c>
      <c r="D2475" s="119" t="s">
        <v>833</v>
      </c>
      <c r="E2475" s="119" t="s">
        <v>580</v>
      </c>
      <c r="F2475" s="120">
        <v>3</v>
      </c>
      <c r="G2475" s="120" t="s">
        <v>759</v>
      </c>
      <c r="H2475" s="169">
        <v>139989</v>
      </c>
      <c r="J2475"/>
      <c r="K2475"/>
    </row>
    <row r="2476" spans="1:11" x14ac:dyDescent="0.25">
      <c r="A2476" s="115">
        <v>2475</v>
      </c>
      <c r="B2476" s="167">
        <v>45940</v>
      </c>
      <c r="C2476" s="117">
        <v>2025</v>
      </c>
      <c r="D2476" s="119" t="s">
        <v>833</v>
      </c>
      <c r="E2476" s="119" t="s">
        <v>580</v>
      </c>
      <c r="F2476" s="120">
        <v>3</v>
      </c>
      <c r="G2476" s="120" t="s">
        <v>759</v>
      </c>
      <c r="H2476" s="169">
        <v>139989</v>
      </c>
      <c r="J2476"/>
      <c r="K2476"/>
    </row>
    <row r="2477" spans="1:11" x14ac:dyDescent="0.25">
      <c r="A2477" s="115">
        <v>2476</v>
      </c>
      <c r="B2477" s="167">
        <v>45940</v>
      </c>
      <c r="C2477" s="117">
        <v>2025</v>
      </c>
      <c r="D2477" s="119" t="s">
        <v>833</v>
      </c>
      <c r="E2477" s="119" t="s">
        <v>580</v>
      </c>
      <c r="F2477" s="120">
        <v>3</v>
      </c>
      <c r="G2477" s="120" t="s">
        <v>759</v>
      </c>
      <c r="H2477" s="169">
        <v>139989</v>
      </c>
      <c r="J2477"/>
      <c r="K2477"/>
    </row>
    <row r="2478" spans="1:11" x14ac:dyDescent="0.25">
      <c r="A2478" s="115">
        <v>2477</v>
      </c>
      <c r="B2478" s="167">
        <v>45943</v>
      </c>
      <c r="C2478" s="117">
        <v>2025</v>
      </c>
      <c r="D2478" s="119" t="s">
        <v>35</v>
      </c>
      <c r="E2478" s="119" t="s">
        <v>1068</v>
      </c>
      <c r="F2478" s="120">
        <v>1</v>
      </c>
      <c r="G2478" s="120" t="s">
        <v>759</v>
      </c>
      <c r="H2478" s="169">
        <v>30760</v>
      </c>
      <c r="J2478"/>
      <c r="K2478"/>
    </row>
    <row r="2479" spans="1:11" x14ac:dyDescent="0.25">
      <c r="A2479" s="115">
        <v>2478</v>
      </c>
      <c r="B2479" s="167">
        <v>45943</v>
      </c>
      <c r="C2479" s="117">
        <v>2025</v>
      </c>
      <c r="D2479" s="119" t="s">
        <v>35</v>
      </c>
      <c r="E2479" s="119" t="s">
        <v>1216</v>
      </c>
      <c r="F2479" s="120">
        <v>1</v>
      </c>
      <c r="G2479" s="120" t="s">
        <v>759</v>
      </c>
      <c r="H2479" s="169">
        <v>2500</v>
      </c>
      <c r="J2479"/>
      <c r="K2479"/>
    </row>
    <row r="2480" spans="1:11" x14ac:dyDescent="0.25">
      <c r="A2480" s="115">
        <v>2479</v>
      </c>
      <c r="B2480" s="167">
        <v>45943</v>
      </c>
      <c r="C2480" s="117">
        <v>2025</v>
      </c>
      <c r="D2480" s="119" t="s">
        <v>35</v>
      </c>
      <c r="E2480" s="119" t="s">
        <v>1069</v>
      </c>
      <c r="F2480" s="120">
        <v>1</v>
      </c>
      <c r="G2480" s="120" t="s">
        <v>759</v>
      </c>
      <c r="H2480" s="169">
        <v>10000</v>
      </c>
      <c r="J2480"/>
      <c r="K2480"/>
    </row>
    <row r="2481" spans="1:11" x14ac:dyDescent="0.25">
      <c r="A2481" s="115">
        <v>2480</v>
      </c>
      <c r="B2481" s="167">
        <v>45943</v>
      </c>
      <c r="C2481" s="117">
        <v>2025</v>
      </c>
      <c r="D2481" s="119" t="s">
        <v>35</v>
      </c>
      <c r="E2481" s="119" t="s">
        <v>378</v>
      </c>
      <c r="F2481" s="120">
        <v>20</v>
      </c>
      <c r="G2481" s="120" t="s">
        <v>759</v>
      </c>
      <c r="H2481" s="169">
        <v>5900</v>
      </c>
      <c r="J2481"/>
      <c r="K2481"/>
    </row>
    <row r="2482" spans="1:11" x14ac:dyDescent="0.25">
      <c r="A2482" s="115">
        <v>2481</v>
      </c>
      <c r="B2482" s="167">
        <v>45943</v>
      </c>
      <c r="C2482" s="117">
        <v>2025</v>
      </c>
      <c r="D2482" s="119" t="s">
        <v>35</v>
      </c>
      <c r="E2482" s="119" t="s">
        <v>1057</v>
      </c>
      <c r="F2482" s="120">
        <v>1</v>
      </c>
      <c r="G2482" s="120" t="s">
        <v>759</v>
      </c>
      <c r="H2482" s="169">
        <v>9348</v>
      </c>
      <c r="J2482"/>
      <c r="K2482"/>
    </row>
    <row r="2483" spans="1:11" x14ac:dyDescent="0.25">
      <c r="A2483" s="115">
        <v>2482</v>
      </c>
      <c r="B2483" s="167">
        <v>45943</v>
      </c>
      <c r="C2483" s="117">
        <v>2025</v>
      </c>
      <c r="D2483" s="119" t="s">
        <v>35</v>
      </c>
      <c r="E2483" s="119" t="s">
        <v>1308</v>
      </c>
      <c r="F2483" s="120">
        <v>1</v>
      </c>
      <c r="G2483" s="120" t="s">
        <v>759</v>
      </c>
      <c r="H2483" s="169">
        <v>18900</v>
      </c>
      <c r="J2483"/>
      <c r="K2483"/>
    </row>
    <row r="2484" spans="1:11" x14ac:dyDescent="0.25">
      <c r="A2484" s="115">
        <v>2483</v>
      </c>
      <c r="B2484" s="167">
        <v>45943</v>
      </c>
      <c r="C2484" s="117">
        <v>2025</v>
      </c>
      <c r="D2484" s="119" t="s">
        <v>35</v>
      </c>
      <c r="E2484" s="119" t="s">
        <v>1549</v>
      </c>
      <c r="F2484" s="120">
        <v>1</v>
      </c>
      <c r="G2484" s="120" t="s">
        <v>759</v>
      </c>
      <c r="H2484" s="169">
        <v>94618</v>
      </c>
      <c r="J2484"/>
      <c r="K2484"/>
    </row>
    <row r="2485" spans="1:11" x14ac:dyDescent="0.25">
      <c r="A2485" s="115">
        <v>2484</v>
      </c>
      <c r="B2485" s="167">
        <v>45943</v>
      </c>
      <c r="C2485" s="117">
        <v>2025</v>
      </c>
      <c r="D2485" s="119" t="s">
        <v>851</v>
      </c>
      <c r="E2485" s="119" t="s">
        <v>1431</v>
      </c>
      <c r="F2485" s="120">
        <v>1</v>
      </c>
      <c r="G2485" s="120" t="s">
        <v>759</v>
      </c>
      <c r="H2485" s="169">
        <v>13250</v>
      </c>
      <c r="J2485"/>
      <c r="K2485"/>
    </row>
    <row r="2486" spans="1:11" x14ac:dyDescent="0.25">
      <c r="A2486" s="115">
        <v>2485</v>
      </c>
      <c r="B2486" s="167">
        <v>45944</v>
      </c>
      <c r="C2486" s="117">
        <v>2025</v>
      </c>
      <c r="D2486" s="119" t="s">
        <v>35</v>
      </c>
      <c r="E2486" s="119" t="s">
        <v>700</v>
      </c>
      <c r="F2486" s="120">
        <v>8</v>
      </c>
      <c r="G2486" s="120" t="s">
        <v>759</v>
      </c>
      <c r="H2486" s="169">
        <v>236904</v>
      </c>
      <c r="J2486"/>
      <c r="K2486"/>
    </row>
    <row r="2487" spans="1:11" x14ac:dyDescent="0.25">
      <c r="A2487" s="115">
        <v>2486</v>
      </c>
      <c r="B2487" s="167">
        <v>45944</v>
      </c>
      <c r="C2487" s="117">
        <v>2025</v>
      </c>
      <c r="D2487" s="119" t="s">
        <v>35</v>
      </c>
      <c r="E2487" s="119" t="s">
        <v>1515</v>
      </c>
      <c r="F2487" s="120">
        <v>1</v>
      </c>
      <c r="G2487" s="120" t="s">
        <v>759</v>
      </c>
      <c r="H2487" s="169">
        <v>21150</v>
      </c>
      <c r="J2487"/>
      <c r="K2487"/>
    </row>
    <row r="2488" spans="1:11" x14ac:dyDescent="0.25">
      <c r="A2488" s="115">
        <v>2487</v>
      </c>
      <c r="B2488" s="167">
        <v>45945</v>
      </c>
      <c r="C2488" s="117">
        <v>2025</v>
      </c>
      <c r="D2488" s="119" t="s">
        <v>35</v>
      </c>
      <c r="E2488" s="119" t="s">
        <v>211</v>
      </c>
      <c r="F2488" s="120">
        <v>5</v>
      </c>
      <c r="G2488" s="120" t="s">
        <v>759</v>
      </c>
      <c r="H2488" s="169">
        <v>105000</v>
      </c>
      <c r="J2488"/>
      <c r="K2488"/>
    </row>
    <row r="2489" spans="1:11" x14ac:dyDescent="0.25">
      <c r="A2489" s="115">
        <v>2488</v>
      </c>
      <c r="B2489" s="167">
        <v>45945</v>
      </c>
      <c r="C2489" s="117">
        <v>2025</v>
      </c>
      <c r="D2489" s="119" t="s">
        <v>35</v>
      </c>
      <c r="E2489" s="119" t="s">
        <v>211</v>
      </c>
      <c r="F2489" s="120">
        <v>3</v>
      </c>
      <c r="G2489" s="120" t="s">
        <v>759</v>
      </c>
      <c r="H2489" s="169">
        <v>58500</v>
      </c>
      <c r="J2489"/>
      <c r="K2489"/>
    </row>
    <row r="2490" spans="1:11" x14ac:dyDescent="0.25">
      <c r="A2490" s="115">
        <v>2489</v>
      </c>
      <c r="B2490" s="167">
        <v>45945</v>
      </c>
      <c r="C2490" s="117">
        <v>2025</v>
      </c>
      <c r="D2490" s="119" t="s">
        <v>35</v>
      </c>
      <c r="E2490" s="119" t="s">
        <v>1545</v>
      </c>
      <c r="F2490" s="120">
        <v>80</v>
      </c>
      <c r="G2490" s="120" t="s">
        <v>759</v>
      </c>
      <c r="H2490" s="169">
        <v>3960000</v>
      </c>
      <c r="J2490"/>
      <c r="K2490"/>
    </row>
    <row r="2491" spans="1:11" x14ac:dyDescent="0.25">
      <c r="A2491" s="115">
        <v>2490</v>
      </c>
      <c r="B2491" s="167">
        <v>45945</v>
      </c>
      <c r="C2491" s="117">
        <v>2025</v>
      </c>
      <c r="D2491" s="119" t="s">
        <v>35</v>
      </c>
      <c r="E2491" s="119" t="s">
        <v>1312</v>
      </c>
      <c r="F2491" s="120">
        <v>10</v>
      </c>
      <c r="G2491" s="120" t="s">
        <v>759</v>
      </c>
      <c r="H2491" s="169">
        <v>128350</v>
      </c>
      <c r="J2491"/>
      <c r="K2491"/>
    </row>
    <row r="2492" spans="1:11" x14ac:dyDescent="0.25">
      <c r="A2492" s="115">
        <v>2491</v>
      </c>
      <c r="B2492" s="167">
        <v>45945</v>
      </c>
      <c r="C2492" s="117">
        <v>2025</v>
      </c>
      <c r="D2492" s="119" t="s">
        <v>35</v>
      </c>
      <c r="E2492" s="119" t="s">
        <v>643</v>
      </c>
      <c r="F2492" s="120">
        <v>1</v>
      </c>
      <c r="G2492" s="120" t="s">
        <v>759</v>
      </c>
      <c r="H2492" s="169">
        <v>3500</v>
      </c>
      <c r="J2492"/>
      <c r="K2492"/>
    </row>
    <row r="2493" spans="1:11" x14ac:dyDescent="0.25">
      <c r="A2493" s="115">
        <v>2492</v>
      </c>
      <c r="B2493" s="167">
        <v>45945</v>
      </c>
      <c r="C2493" s="117">
        <v>2025</v>
      </c>
      <c r="D2493" s="119" t="s">
        <v>35</v>
      </c>
      <c r="E2493" s="119" t="s">
        <v>1459</v>
      </c>
      <c r="F2493" s="120">
        <v>1</v>
      </c>
      <c r="G2493" s="120" t="s">
        <v>759</v>
      </c>
      <c r="H2493" s="169">
        <v>60000</v>
      </c>
      <c r="J2493"/>
      <c r="K2493"/>
    </row>
    <row r="2494" spans="1:11" x14ac:dyDescent="0.25">
      <c r="A2494" s="115">
        <v>2493</v>
      </c>
      <c r="B2494" s="167">
        <v>45946</v>
      </c>
      <c r="C2494" s="117">
        <v>2025</v>
      </c>
      <c r="D2494" s="119" t="s">
        <v>35</v>
      </c>
      <c r="E2494" s="119" t="s">
        <v>378</v>
      </c>
      <c r="F2494" s="120">
        <v>20</v>
      </c>
      <c r="G2494" s="120" t="s">
        <v>759</v>
      </c>
      <c r="H2494" s="169">
        <v>5120</v>
      </c>
      <c r="J2494"/>
      <c r="K2494"/>
    </row>
    <row r="2495" spans="1:11" x14ac:dyDescent="0.25">
      <c r="A2495" s="115">
        <v>2494</v>
      </c>
      <c r="B2495" s="167">
        <v>45946</v>
      </c>
      <c r="C2495" s="117">
        <v>2025</v>
      </c>
      <c r="D2495" s="119" t="s">
        <v>833</v>
      </c>
      <c r="E2495" s="119" t="s">
        <v>834</v>
      </c>
      <c r="F2495" s="120">
        <v>5</v>
      </c>
      <c r="G2495" s="120" t="s">
        <v>759</v>
      </c>
      <c r="H2495" s="169">
        <v>20900</v>
      </c>
      <c r="J2495"/>
      <c r="K2495"/>
    </row>
    <row r="2496" spans="1:11" x14ac:dyDescent="0.25">
      <c r="A2496" s="115">
        <v>2495</v>
      </c>
      <c r="B2496" s="167">
        <v>45947</v>
      </c>
      <c r="C2496" s="117">
        <v>2025</v>
      </c>
      <c r="D2496" s="119" t="s">
        <v>35</v>
      </c>
      <c r="E2496" s="119" t="s">
        <v>557</v>
      </c>
      <c r="F2496" s="120">
        <v>3</v>
      </c>
      <c r="G2496" s="120" t="s">
        <v>759</v>
      </c>
      <c r="H2496" s="169">
        <v>286902</v>
      </c>
      <c r="J2496"/>
      <c r="K2496"/>
    </row>
    <row r="2497" spans="1:11" x14ac:dyDescent="0.25">
      <c r="A2497" s="115">
        <v>2496</v>
      </c>
      <c r="B2497" s="167">
        <v>45947</v>
      </c>
      <c r="C2497" s="117">
        <v>2025</v>
      </c>
      <c r="D2497" s="119" t="s">
        <v>35</v>
      </c>
      <c r="E2497" s="119" t="s">
        <v>853</v>
      </c>
      <c r="F2497" s="120">
        <v>1</v>
      </c>
      <c r="G2497" s="120" t="s">
        <v>759</v>
      </c>
      <c r="H2497" s="169">
        <v>7750</v>
      </c>
      <c r="J2497"/>
      <c r="K2497"/>
    </row>
    <row r="2498" spans="1:11" x14ac:dyDescent="0.25">
      <c r="A2498" s="115">
        <v>2497</v>
      </c>
      <c r="B2498" s="167">
        <v>45947</v>
      </c>
      <c r="C2498" s="117">
        <v>2025</v>
      </c>
      <c r="D2498" s="119" t="s">
        <v>35</v>
      </c>
      <c r="E2498" s="119" t="s">
        <v>130</v>
      </c>
      <c r="F2498" s="120">
        <v>1</v>
      </c>
      <c r="G2498" s="120" t="s">
        <v>759</v>
      </c>
      <c r="H2498" s="169">
        <v>190000</v>
      </c>
      <c r="J2498"/>
      <c r="K2498"/>
    </row>
    <row r="2499" spans="1:11" x14ac:dyDescent="0.25">
      <c r="A2499" s="115">
        <v>2498</v>
      </c>
      <c r="B2499" s="167">
        <v>45948</v>
      </c>
      <c r="C2499" s="117">
        <v>2025</v>
      </c>
      <c r="D2499" s="119" t="s">
        <v>35</v>
      </c>
      <c r="E2499" s="119" t="s">
        <v>1550</v>
      </c>
      <c r="F2499" s="120">
        <v>2</v>
      </c>
      <c r="G2499" s="120" t="s">
        <v>759</v>
      </c>
      <c r="H2499" s="169">
        <v>7620</v>
      </c>
      <c r="J2499"/>
      <c r="K2499"/>
    </row>
    <row r="2500" spans="1:11" x14ac:dyDescent="0.25">
      <c r="A2500" s="115">
        <v>2499</v>
      </c>
      <c r="B2500" s="167">
        <v>45948</v>
      </c>
      <c r="C2500" s="117">
        <v>2025</v>
      </c>
      <c r="D2500" s="119" t="s">
        <v>1118</v>
      </c>
      <c r="E2500" s="119" t="s">
        <v>535</v>
      </c>
      <c r="F2500" s="120">
        <v>60</v>
      </c>
      <c r="G2500" s="120" t="s">
        <v>759</v>
      </c>
      <c r="H2500" s="169">
        <v>68700</v>
      </c>
      <c r="J2500"/>
      <c r="K2500"/>
    </row>
    <row r="2501" spans="1:11" x14ac:dyDescent="0.25">
      <c r="A2501" s="115">
        <v>2500</v>
      </c>
      <c r="B2501" s="167">
        <v>45948</v>
      </c>
      <c r="C2501" s="117">
        <v>2025</v>
      </c>
      <c r="D2501" s="119" t="s">
        <v>766</v>
      </c>
      <c r="E2501" s="119" t="s">
        <v>1471</v>
      </c>
      <c r="F2501" s="120">
        <v>2000</v>
      </c>
      <c r="G2501" s="120" t="s">
        <v>759</v>
      </c>
      <c r="H2501" s="169">
        <v>31000000</v>
      </c>
      <c r="J2501"/>
      <c r="K2501"/>
    </row>
    <row r="2502" spans="1:11" x14ac:dyDescent="0.25">
      <c r="A2502" s="115">
        <v>2501</v>
      </c>
      <c r="B2502" s="167">
        <v>45948</v>
      </c>
      <c r="C2502" s="117">
        <v>2025</v>
      </c>
      <c r="D2502" s="119" t="s">
        <v>833</v>
      </c>
      <c r="E2502" s="119" t="s">
        <v>1315</v>
      </c>
      <c r="F2502" s="120">
        <v>1</v>
      </c>
      <c r="G2502" s="120" t="s">
        <v>759</v>
      </c>
      <c r="H2502" s="169">
        <v>30000</v>
      </c>
      <c r="J2502"/>
      <c r="K2502"/>
    </row>
    <row r="2503" spans="1:11" x14ac:dyDescent="0.25">
      <c r="A2503" s="115">
        <v>2502</v>
      </c>
      <c r="B2503" s="167">
        <v>45948</v>
      </c>
      <c r="C2503" s="117">
        <v>2025</v>
      </c>
      <c r="D2503" s="119" t="s">
        <v>35</v>
      </c>
      <c r="E2503" s="119" t="s">
        <v>124</v>
      </c>
      <c r="F2503" s="120">
        <v>1</v>
      </c>
      <c r="G2503" s="120" t="s">
        <v>759</v>
      </c>
      <c r="H2503" s="169">
        <v>7280000</v>
      </c>
      <c r="J2503"/>
      <c r="K2503"/>
    </row>
    <row r="2504" spans="1:11" x14ac:dyDescent="0.25">
      <c r="A2504" s="115">
        <v>2503</v>
      </c>
      <c r="B2504" s="167">
        <v>45950</v>
      </c>
      <c r="C2504" s="117">
        <v>2025</v>
      </c>
      <c r="D2504" s="119" t="s">
        <v>259</v>
      </c>
      <c r="E2504" s="119" t="s">
        <v>1551</v>
      </c>
      <c r="F2504" s="120">
        <v>1</v>
      </c>
      <c r="G2504" s="120" t="s">
        <v>759</v>
      </c>
      <c r="H2504" s="169">
        <v>3205500</v>
      </c>
      <c r="J2504"/>
      <c r="K2504"/>
    </row>
    <row r="2505" spans="1:11" x14ac:dyDescent="0.25">
      <c r="A2505" s="115">
        <v>2504</v>
      </c>
      <c r="B2505" s="167">
        <v>45950</v>
      </c>
      <c r="C2505" s="117">
        <v>2025</v>
      </c>
      <c r="D2505" s="119" t="s">
        <v>259</v>
      </c>
      <c r="E2505" s="119" t="s">
        <v>1552</v>
      </c>
      <c r="F2505" s="120">
        <v>1</v>
      </c>
      <c r="G2505" s="120" t="s">
        <v>759</v>
      </c>
      <c r="H2505" s="169">
        <v>1802500</v>
      </c>
      <c r="J2505"/>
      <c r="K2505"/>
    </row>
    <row r="2506" spans="1:11" x14ac:dyDescent="0.25">
      <c r="A2506" s="115">
        <v>2505</v>
      </c>
      <c r="B2506" s="167">
        <v>45950</v>
      </c>
      <c r="C2506" s="117">
        <v>2025</v>
      </c>
      <c r="D2506" s="119" t="s">
        <v>259</v>
      </c>
      <c r="E2506" s="119" t="s">
        <v>1553</v>
      </c>
      <c r="F2506" s="120">
        <v>1</v>
      </c>
      <c r="G2506" s="120" t="s">
        <v>759</v>
      </c>
      <c r="H2506" s="169">
        <v>159900</v>
      </c>
      <c r="J2506"/>
      <c r="K2506"/>
    </row>
    <row r="2507" spans="1:11" x14ac:dyDescent="0.25">
      <c r="A2507" s="115">
        <v>2506</v>
      </c>
      <c r="B2507" s="167">
        <v>45951</v>
      </c>
      <c r="C2507" s="117">
        <v>2025</v>
      </c>
      <c r="D2507" s="119" t="s">
        <v>35</v>
      </c>
      <c r="E2507" s="119" t="s">
        <v>1554</v>
      </c>
      <c r="F2507" s="120">
        <v>1</v>
      </c>
      <c r="G2507" s="120" t="s">
        <v>759</v>
      </c>
      <c r="H2507" s="169">
        <v>68500</v>
      </c>
      <c r="J2507"/>
      <c r="K2507"/>
    </row>
    <row r="2508" spans="1:11" x14ac:dyDescent="0.25">
      <c r="A2508" s="115">
        <v>2507</v>
      </c>
      <c r="B2508" s="167">
        <v>45951</v>
      </c>
      <c r="C2508" s="117">
        <v>2025</v>
      </c>
      <c r="D2508" s="119" t="s">
        <v>35</v>
      </c>
      <c r="E2508" s="119" t="s">
        <v>1555</v>
      </c>
      <c r="F2508" s="120">
        <v>1</v>
      </c>
      <c r="G2508" s="120" t="s">
        <v>759</v>
      </c>
      <c r="H2508" s="169">
        <v>253900</v>
      </c>
      <c r="J2508"/>
      <c r="K2508"/>
    </row>
    <row r="2509" spans="1:11" x14ac:dyDescent="0.25">
      <c r="A2509" s="115">
        <v>2508</v>
      </c>
      <c r="B2509" s="167">
        <v>45951</v>
      </c>
      <c r="C2509" s="117">
        <v>2025</v>
      </c>
      <c r="D2509" s="119" t="s">
        <v>35</v>
      </c>
      <c r="E2509" s="119" t="s">
        <v>1556</v>
      </c>
      <c r="F2509" s="120">
        <v>1</v>
      </c>
      <c r="G2509" s="120" t="s">
        <v>759</v>
      </c>
      <c r="H2509" s="169">
        <v>1001900</v>
      </c>
      <c r="J2509"/>
      <c r="K2509"/>
    </row>
    <row r="2510" spans="1:11" x14ac:dyDescent="0.25">
      <c r="A2510" s="115">
        <v>2509</v>
      </c>
      <c r="B2510" s="167">
        <v>45951</v>
      </c>
      <c r="C2510" s="117">
        <v>2025</v>
      </c>
      <c r="D2510" s="119" t="s">
        <v>35</v>
      </c>
      <c r="E2510" s="119" t="s">
        <v>1557</v>
      </c>
      <c r="F2510" s="120">
        <v>1</v>
      </c>
      <c r="G2510" s="120" t="s">
        <v>759</v>
      </c>
      <c r="H2510" s="169">
        <v>16900</v>
      </c>
      <c r="J2510"/>
      <c r="K2510"/>
    </row>
    <row r="2511" spans="1:11" x14ac:dyDescent="0.25">
      <c r="A2511" s="115">
        <v>2510</v>
      </c>
      <c r="B2511" s="167">
        <v>45951</v>
      </c>
      <c r="C2511" s="117">
        <v>2025</v>
      </c>
      <c r="D2511" s="119" t="s">
        <v>35</v>
      </c>
      <c r="E2511" s="119" t="s">
        <v>1558</v>
      </c>
      <c r="F2511" s="120">
        <v>2</v>
      </c>
      <c r="G2511" s="120" t="s">
        <v>759</v>
      </c>
      <c r="H2511" s="169">
        <v>21000</v>
      </c>
      <c r="J2511"/>
      <c r="K2511"/>
    </row>
    <row r="2512" spans="1:11" x14ac:dyDescent="0.25">
      <c r="A2512" s="115">
        <v>2511</v>
      </c>
      <c r="B2512" s="167">
        <v>45951</v>
      </c>
      <c r="C2512" s="117">
        <v>2025</v>
      </c>
      <c r="D2512" s="119" t="s">
        <v>35</v>
      </c>
      <c r="E2512" s="119" t="s">
        <v>375</v>
      </c>
      <c r="F2512" s="120">
        <v>1</v>
      </c>
      <c r="G2512" s="120" t="s">
        <v>759</v>
      </c>
      <c r="H2512" s="169">
        <v>6900</v>
      </c>
      <c r="J2512"/>
      <c r="K2512"/>
    </row>
    <row r="2513" spans="1:11" x14ac:dyDescent="0.25">
      <c r="A2513" s="115">
        <v>2512</v>
      </c>
      <c r="B2513" s="167">
        <v>45951</v>
      </c>
      <c r="C2513" s="117">
        <v>2025</v>
      </c>
      <c r="D2513" s="119" t="s">
        <v>35</v>
      </c>
      <c r="E2513" s="119" t="s">
        <v>375</v>
      </c>
      <c r="F2513" s="120">
        <v>1</v>
      </c>
      <c r="G2513" s="120" t="s">
        <v>759</v>
      </c>
      <c r="H2513" s="169">
        <v>21900</v>
      </c>
      <c r="J2513"/>
      <c r="K2513"/>
    </row>
    <row r="2514" spans="1:11" x14ac:dyDescent="0.25">
      <c r="A2514" s="115">
        <v>2513</v>
      </c>
      <c r="B2514" s="167">
        <v>45951</v>
      </c>
      <c r="C2514" s="117">
        <v>2025</v>
      </c>
      <c r="D2514" s="119" t="s">
        <v>35</v>
      </c>
      <c r="E2514" s="119" t="s">
        <v>1559</v>
      </c>
      <c r="F2514" s="120">
        <v>1</v>
      </c>
      <c r="G2514" s="120" t="s">
        <v>759</v>
      </c>
      <c r="H2514" s="169">
        <v>150000</v>
      </c>
      <c r="J2514"/>
      <c r="K2514"/>
    </row>
    <row r="2515" spans="1:11" x14ac:dyDescent="0.25">
      <c r="A2515" s="115">
        <v>2514</v>
      </c>
      <c r="B2515" s="167">
        <v>45951</v>
      </c>
      <c r="C2515" s="117">
        <v>2025</v>
      </c>
      <c r="D2515" s="119" t="s">
        <v>259</v>
      </c>
      <c r="E2515" s="119" t="s">
        <v>1560</v>
      </c>
      <c r="F2515" s="120">
        <v>1</v>
      </c>
      <c r="G2515" s="120" t="s">
        <v>759</v>
      </c>
      <c r="H2515" s="169">
        <v>104900</v>
      </c>
      <c r="J2515"/>
      <c r="K2515"/>
    </row>
    <row r="2516" spans="1:11" x14ac:dyDescent="0.25">
      <c r="A2516" s="115">
        <v>2515</v>
      </c>
      <c r="B2516" s="167">
        <v>45951</v>
      </c>
      <c r="C2516" s="117">
        <v>2025</v>
      </c>
      <c r="D2516" s="119" t="s">
        <v>851</v>
      </c>
      <c r="E2516" s="119" t="s">
        <v>1561</v>
      </c>
      <c r="F2516" s="120">
        <v>1</v>
      </c>
      <c r="G2516" s="120" t="s">
        <v>759</v>
      </c>
      <c r="H2516" s="169">
        <v>840400</v>
      </c>
      <c r="J2516"/>
      <c r="K2516"/>
    </row>
    <row r="2517" spans="1:11" x14ac:dyDescent="0.25">
      <c r="A2517" s="115">
        <v>2516</v>
      </c>
      <c r="B2517" s="167">
        <v>45951</v>
      </c>
      <c r="C2517" s="117">
        <v>2025</v>
      </c>
      <c r="D2517" s="119" t="s">
        <v>35</v>
      </c>
      <c r="E2517" s="119" t="s">
        <v>1418</v>
      </c>
      <c r="F2517" s="120">
        <v>3</v>
      </c>
      <c r="G2517" s="120" t="s">
        <v>759</v>
      </c>
      <c r="H2517" s="169">
        <v>280002</v>
      </c>
      <c r="J2517"/>
      <c r="K2517"/>
    </row>
    <row r="2518" spans="1:11" x14ac:dyDescent="0.25">
      <c r="A2518" s="115">
        <v>2517</v>
      </c>
      <c r="B2518" s="167">
        <v>45952</v>
      </c>
      <c r="C2518" s="117">
        <v>2025</v>
      </c>
      <c r="D2518" s="119" t="s">
        <v>35</v>
      </c>
      <c r="E2518" s="119" t="s">
        <v>761</v>
      </c>
      <c r="F2518" s="120">
        <v>4</v>
      </c>
      <c r="G2518" s="120" t="s">
        <v>759</v>
      </c>
      <c r="H2518" s="169">
        <v>9000000</v>
      </c>
      <c r="J2518"/>
      <c r="K2518"/>
    </row>
    <row r="2519" spans="1:11" x14ac:dyDescent="0.25">
      <c r="A2519" s="115">
        <v>2518</v>
      </c>
      <c r="B2519" s="167">
        <v>45952</v>
      </c>
      <c r="C2519" s="117">
        <v>2025</v>
      </c>
      <c r="D2519" s="119" t="s">
        <v>35</v>
      </c>
      <c r="E2519" s="119" t="s">
        <v>739</v>
      </c>
      <c r="F2519" s="120">
        <v>75</v>
      </c>
      <c r="G2519" s="120" t="s">
        <v>759</v>
      </c>
      <c r="H2519" s="169">
        <v>630000</v>
      </c>
      <c r="J2519"/>
      <c r="K2519"/>
    </row>
    <row r="2520" spans="1:11" x14ac:dyDescent="0.25">
      <c r="A2520" s="115">
        <v>2519</v>
      </c>
      <c r="B2520" s="167">
        <v>45952</v>
      </c>
      <c r="C2520" s="117">
        <v>2025</v>
      </c>
      <c r="D2520" s="119" t="s">
        <v>35</v>
      </c>
      <c r="E2520" s="119" t="s">
        <v>1562</v>
      </c>
      <c r="F2520" s="120">
        <v>80</v>
      </c>
      <c r="G2520" s="120" t="s">
        <v>759</v>
      </c>
      <c r="H2520" s="169">
        <v>290000</v>
      </c>
      <c r="J2520"/>
      <c r="K2520"/>
    </row>
    <row r="2521" spans="1:11" x14ac:dyDescent="0.25">
      <c r="A2521" s="115">
        <v>2520</v>
      </c>
      <c r="B2521" s="167">
        <v>45952</v>
      </c>
      <c r="C2521" s="117">
        <v>2025</v>
      </c>
      <c r="D2521" s="119" t="s">
        <v>35</v>
      </c>
      <c r="E2521" s="119" t="s">
        <v>1470</v>
      </c>
      <c r="F2521" s="120">
        <v>1</v>
      </c>
      <c r="G2521" s="120" t="s">
        <v>759</v>
      </c>
      <c r="H2521" s="169">
        <v>100000</v>
      </c>
      <c r="J2521"/>
      <c r="K2521"/>
    </row>
    <row r="2522" spans="1:11" x14ac:dyDescent="0.25">
      <c r="A2522" s="115">
        <v>2521</v>
      </c>
      <c r="B2522" s="167">
        <v>45952</v>
      </c>
      <c r="C2522" s="117">
        <v>2025</v>
      </c>
      <c r="D2522" s="119" t="s">
        <v>35</v>
      </c>
      <c r="E2522" s="119" t="s">
        <v>1563</v>
      </c>
      <c r="F2522" s="120">
        <v>5</v>
      </c>
      <c r="G2522" s="120" t="s">
        <v>759</v>
      </c>
      <c r="H2522" s="169">
        <v>15000</v>
      </c>
      <c r="J2522"/>
      <c r="K2522"/>
    </row>
    <row r="2523" spans="1:11" x14ac:dyDescent="0.25">
      <c r="A2523" s="115">
        <v>2522</v>
      </c>
      <c r="B2523" s="167">
        <v>45952</v>
      </c>
      <c r="C2523" s="117">
        <v>2025</v>
      </c>
      <c r="D2523" s="119" t="s">
        <v>35</v>
      </c>
      <c r="E2523" s="119" t="s">
        <v>46</v>
      </c>
      <c r="F2523" s="120">
        <v>5</v>
      </c>
      <c r="G2523" s="120" t="s">
        <v>759</v>
      </c>
      <c r="H2523" s="169">
        <v>15000</v>
      </c>
      <c r="J2523"/>
      <c r="K2523"/>
    </row>
    <row r="2524" spans="1:11" x14ac:dyDescent="0.25">
      <c r="A2524" s="115">
        <v>2523</v>
      </c>
      <c r="B2524" s="167">
        <v>45953</v>
      </c>
      <c r="C2524" s="117">
        <v>2025</v>
      </c>
      <c r="D2524" s="119" t="s">
        <v>35</v>
      </c>
      <c r="E2524" s="119" t="s">
        <v>414</v>
      </c>
      <c r="F2524" s="120">
        <v>12</v>
      </c>
      <c r="G2524" s="120" t="s">
        <v>759</v>
      </c>
      <c r="H2524" s="169">
        <v>4080000</v>
      </c>
      <c r="J2524"/>
      <c r="K2524"/>
    </row>
    <row r="2525" spans="1:11" x14ac:dyDescent="0.25">
      <c r="A2525" s="115">
        <v>2524</v>
      </c>
      <c r="B2525" s="167">
        <v>45954</v>
      </c>
      <c r="C2525" s="117">
        <v>2025</v>
      </c>
      <c r="D2525" s="119" t="s">
        <v>833</v>
      </c>
      <c r="E2525" s="119" t="s">
        <v>671</v>
      </c>
      <c r="F2525" s="120">
        <v>12</v>
      </c>
      <c r="G2525" s="120" t="s">
        <v>759</v>
      </c>
      <c r="H2525" s="169">
        <v>38208</v>
      </c>
      <c r="J2525"/>
      <c r="K2525"/>
    </row>
    <row r="2526" spans="1:11" x14ac:dyDescent="0.25">
      <c r="A2526" s="115">
        <v>2525</v>
      </c>
      <c r="B2526" s="167">
        <v>45954</v>
      </c>
      <c r="C2526" s="117">
        <v>2025</v>
      </c>
      <c r="D2526" s="119" t="s">
        <v>833</v>
      </c>
      <c r="E2526" s="119" t="s">
        <v>675</v>
      </c>
      <c r="F2526" s="120">
        <v>12</v>
      </c>
      <c r="G2526" s="120" t="s">
        <v>759</v>
      </c>
      <c r="H2526" s="169">
        <v>252000</v>
      </c>
      <c r="J2526"/>
      <c r="K2526"/>
    </row>
    <row r="2527" spans="1:11" x14ac:dyDescent="0.25">
      <c r="A2527" s="115">
        <v>2526</v>
      </c>
      <c r="B2527" s="167">
        <v>45954</v>
      </c>
      <c r="C2527" s="117">
        <v>2025</v>
      </c>
      <c r="D2527" s="119" t="s">
        <v>35</v>
      </c>
      <c r="E2527" s="119" t="s">
        <v>1564</v>
      </c>
      <c r="F2527" s="120">
        <v>1</v>
      </c>
      <c r="G2527" s="120" t="s">
        <v>759</v>
      </c>
      <c r="H2527" s="169">
        <v>58456</v>
      </c>
      <c r="J2527"/>
      <c r="K2527"/>
    </row>
    <row r="2528" spans="1:11" x14ac:dyDescent="0.25">
      <c r="A2528" s="115">
        <v>2527</v>
      </c>
      <c r="B2528" s="167">
        <v>45954</v>
      </c>
      <c r="C2528" s="117">
        <v>2025</v>
      </c>
      <c r="D2528" s="119" t="s">
        <v>833</v>
      </c>
      <c r="E2528" s="119" t="s">
        <v>620</v>
      </c>
      <c r="F2528" s="120">
        <v>4</v>
      </c>
      <c r="G2528" s="120" t="s">
        <v>759</v>
      </c>
      <c r="H2528" s="169">
        <v>104300</v>
      </c>
      <c r="J2528"/>
      <c r="K2528"/>
    </row>
    <row r="2529" spans="1:11" x14ac:dyDescent="0.25">
      <c r="A2529" s="115">
        <v>2528</v>
      </c>
      <c r="B2529" s="167">
        <v>45954</v>
      </c>
      <c r="C2529" s="117">
        <v>2025</v>
      </c>
      <c r="D2529" s="119" t="s">
        <v>833</v>
      </c>
      <c r="E2529" s="119" t="s">
        <v>489</v>
      </c>
      <c r="F2529" s="120">
        <v>5</v>
      </c>
      <c r="G2529" s="120" t="s">
        <v>759</v>
      </c>
      <c r="H2529" s="169">
        <v>9895</v>
      </c>
      <c r="J2529"/>
      <c r="K2529"/>
    </row>
    <row r="2530" spans="1:11" x14ac:dyDescent="0.25">
      <c r="A2530" s="115">
        <v>2529</v>
      </c>
      <c r="B2530" s="167">
        <v>45954</v>
      </c>
      <c r="C2530" s="117">
        <v>2025</v>
      </c>
      <c r="D2530" s="119" t="s">
        <v>35</v>
      </c>
      <c r="E2530" s="119" t="s">
        <v>382</v>
      </c>
      <c r="F2530" s="120">
        <v>50</v>
      </c>
      <c r="G2530" s="120" t="s">
        <v>759</v>
      </c>
      <c r="H2530" s="169">
        <v>9400</v>
      </c>
      <c r="J2530"/>
      <c r="K2530"/>
    </row>
    <row r="2531" spans="1:11" x14ac:dyDescent="0.25">
      <c r="A2531" s="115">
        <v>2530</v>
      </c>
      <c r="B2531" s="167">
        <v>45954</v>
      </c>
      <c r="C2531" s="117">
        <v>2025</v>
      </c>
      <c r="D2531" s="119" t="s">
        <v>833</v>
      </c>
      <c r="E2531" s="119" t="s">
        <v>1565</v>
      </c>
      <c r="F2531" s="120">
        <v>1</v>
      </c>
      <c r="G2531" s="120" t="s">
        <v>759</v>
      </c>
      <c r="H2531" s="169">
        <v>31000</v>
      </c>
      <c r="J2531"/>
      <c r="K2531"/>
    </row>
    <row r="2532" spans="1:11" x14ac:dyDescent="0.25">
      <c r="A2532" s="115">
        <v>2531</v>
      </c>
      <c r="B2532" s="167">
        <v>45954</v>
      </c>
      <c r="C2532" s="117">
        <v>2025</v>
      </c>
      <c r="D2532" s="119" t="s">
        <v>833</v>
      </c>
      <c r="E2532" s="119" t="s">
        <v>576</v>
      </c>
      <c r="F2532" s="120">
        <v>1</v>
      </c>
      <c r="G2532" s="120" t="s">
        <v>759</v>
      </c>
      <c r="H2532" s="169">
        <v>45835</v>
      </c>
      <c r="J2532"/>
      <c r="K2532"/>
    </row>
    <row r="2533" spans="1:11" x14ac:dyDescent="0.25">
      <c r="A2533" s="115">
        <v>2532</v>
      </c>
      <c r="B2533" s="167">
        <v>45954</v>
      </c>
      <c r="C2533" s="117">
        <v>2025</v>
      </c>
      <c r="D2533" s="119" t="s">
        <v>833</v>
      </c>
      <c r="E2533" s="119" t="s">
        <v>576</v>
      </c>
      <c r="F2533" s="120">
        <v>1</v>
      </c>
      <c r="G2533" s="120" t="s">
        <v>759</v>
      </c>
      <c r="H2533" s="169">
        <v>45835</v>
      </c>
      <c r="J2533"/>
      <c r="K2533"/>
    </row>
    <row r="2534" spans="1:11" x14ac:dyDescent="0.25">
      <c r="A2534" s="115">
        <v>2533</v>
      </c>
      <c r="B2534" s="167">
        <v>45954</v>
      </c>
      <c r="C2534" s="117">
        <v>2025</v>
      </c>
      <c r="D2534" s="119" t="s">
        <v>833</v>
      </c>
      <c r="E2534" s="119" t="s">
        <v>576</v>
      </c>
      <c r="F2534" s="120">
        <v>1</v>
      </c>
      <c r="G2534" s="120" t="s">
        <v>759</v>
      </c>
      <c r="H2534" s="169">
        <v>45835</v>
      </c>
      <c r="J2534"/>
      <c r="K2534"/>
    </row>
    <row r="2535" spans="1:11" x14ac:dyDescent="0.25">
      <c r="A2535" s="115">
        <v>2534</v>
      </c>
      <c r="B2535" s="167">
        <v>45954</v>
      </c>
      <c r="C2535" s="117">
        <v>2025</v>
      </c>
      <c r="D2535" s="119" t="s">
        <v>833</v>
      </c>
      <c r="E2535" s="119" t="s">
        <v>576</v>
      </c>
      <c r="F2535" s="120">
        <v>3</v>
      </c>
      <c r="G2535" s="120" t="s">
        <v>759</v>
      </c>
      <c r="H2535" s="169">
        <v>133707</v>
      </c>
      <c r="J2535"/>
      <c r="K2535"/>
    </row>
    <row r="2536" spans="1:11" x14ac:dyDescent="0.25">
      <c r="A2536" s="115">
        <v>2535</v>
      </c>
      <c r="B2536" s="167">
        <v>45954</v>
      </c>
      <c r="C2536" s="117">
        <v>2025</v>
      </c>
      <c r="D2536" s="119" t="s">
        <v>833</v>
      </c>
      <c r="E2536" s="119" t="s">
        <v>586</v>
      </c>
      <c r="F2536" s="120">
        <v>3</v>
      </c>
      <c r="G2536" s="120" t="s">
        <v>759</v>
      </c>
      <c r="H2536" s="169">
        <v>154899</v>
      </c>
      <c r="J2536"/>
      <c r="K2536"/>
    </row>
    <row r="2537" spans="1:11" x14ac:dyDescent="0.25">
      <c r="A2537" s="115">
        <v>2536</v>
      </c>
      <c r="B2537" s="167">
        <v>45954</v>
      </c>
      <c r="C2537" s="117">
        <v>2025</v>
      </c>
      <c r="D2537" s="119" t="s">
        <v>833</v>
      </c>
      <c r="E2537" s="119" t="s">
        <v>685</v>
      </c>
      <c r="F2537" s="120">
        <v>12</v>
      </c>
      <c r="G2537" s="120" t="s">
        <v>759</v>
      </c>
      <c r="H2537" s="169">
        <v>158712</v>
      </c>
      <c r="J2537"/>
      <c r="K2537"/>
    </row>
    <row r="2538" spans="1:11" x14ac:dyDescent="0.25">
      <c r="A2538" s="115">
        <v>2537</v>
      </c>
      <c r="B2538" s="167">
        <v>45955</v>
      </c>
      <c r="C2538" s="117">
        <v>2025</v>
      </c>
      <c r="D2538" s="119" t="s">
        <v>35</v>
      </c>
      <c r="E2538" s="119" t="s">
        <v>1566</v>
      </c>
      <c r="F2538" s="120">
        <v>100</v>
      </c>
      <c r="G2538" s="120" t="s">
        <v>759</v>
      </c>
      <c r="H2538" s="169">
        <v>26900</v>
      </c>
      <c r="J2538"/>
      <c r="K2538"/>
    </row>
    <row r="2539" spans="1:11" x14ac:dyDescent="0.25">
      <c r="A2539" s="115">
        <v>2538</v>
      </c>
      <c r="B2539" s="167">
        <v>45955</v>
      </c>
      <c r="C2539" s="117">
        <v>2025</v>
      </c>
      <c r="D2539" s="119" t="s">
        <v>35</v>
      </c>
      <c r="E2539" s="119" t="s">
        <v>1057</v>
      </c>
      <c r="F2539" s="120">
        <v>1</v>
      </c>
      <c r="G2539" s="120" t="s">
        <v>759</v>
      </c>
      <c r="H2539" s="169">
        <v>12900</v>
      </c>
      <c r="J2539"/>
      <c r="K2539"/>
    </row>
    <row r="2540" spans="1:11" x14ac:dyDescent="0.25">
      <c r="A2540" s="115">
        <v>2539</v>
      </c>
      <c r="B2540" s="167">
        <v>45957</v>
      </c>
      <c r="C2540" s="117">
        <v>2025</v>
      </c>
      <c r="D2540" s="119" t="s">
        <v>35</v>
      </c>
      <c r="E2540" s="119" t="s">
        <v>1567</v>
      </c>
      <c r="F2540" s="120">
        <v>1</v>
      </c>
      <c r="G2540" s="120" t="s">
        <v>759</v>
      </c>
      <c r="H2540" s="169">
        <v>676600</v>
      </c>
      <c r="J2540"/>
      <c r="K2540"/>
    </row>
    <row r="2541" spans="1:11" x14ac:dyDescent="0.25">
      <c r="A2541" s="115">
        <v>2540</v>
      </c>
      <c r="B2541" s="167">
        <v>45957</v>
      </c>
      <c r="C2541" s="117">
        <v>2025</v>
      </c>
      <c r="D2541" s="119" t="s">
        <v>35</v>
      </c>
      <c r="E2541" s="119" t="s">
        <v>407</v>
      </c>
      <c r="F2541" s="120">
        <v>3</v>
      </c>
      <c r="G2541" s="120" t="s">
        <v>759</v>
      </c>
      <c r="H2541" s="169">
        <v>330000</v>
      </c>
      <c r="J2541"/>
      <c r="K2541"/>
    </row>
    <row r="2542" spans="1:11" x14ac:dyDescent="0.25">
      <c r="A2542" s="115">
        <v>2541</v>
      </c>
      <c r="B2542" s="167">
        <v>45957</v>
      </c>
      <c r="C2542" s="117">
        <v>2025</v>
      </c>
      <c r="D2542" s="119" t="s">
        <v>35</v>
      </c>
      <c r="E2542" s="119" t="s">
        <v>118</v>
      </c>
      <c r="F2542" s="120">
        <v>3</v>
      </c>
      <c r="G2542" s="120" t="s">
        <v>759</v>
      </c>
      <c r="H2542" s="169">
        <v>210000</v>
      </c>
      <c r="J2542"/>
      <c r="K2542"/>
    </row>
    <row r="2543" spans="1:11" x14ac:dyDescent="0.25">
      <c r="A2543" s="115">
        <v>2542</v>
      </c>
      <c r="B2543" s="167">
        <v>45957</v>
      </c>
      <c r="C2543" s="117">
        <v>2025</v>
      </c>
      <c r="D2543" s="119" t="s">
        <v>35</v>
      </c>
      <c r="E2543" s="119" t="s">
        <v>403</v>
      </c>
      <c r="F2543" s="120">
        <v>3</v>
      </c>
      <c r="G2543" s="120" t="s">
        <v>759</v>
      </c>
      <c r="H2543" s="169">
        <v>367500</v>
      </c>
      <c r="J2543"/>
      <c r="K2543"/>
    </row>
    <row r="2544" spans="1:11" x14ac:dyDescent="0.25">
      <c r="A2544" s="115">
        <v>2543</v>
      </c>
      <c r="B2544" s="167">
        <v>45957</v>
      </c>
      <c r="C2544" s="117">
        <v>2025</v>
      </c>
      <c r="D2544" s="119" t="s">
        <v>35</v>
      </c>
      <c r="E2544" s="119" t="s">
        <v>120</v>
      </c>
      <c r="F2544" s="120">
        <v>3</v>
      </c>
      <c r="G2544" s="120" t="s">
        <v>759</v>
      </c>
      <c r="H2544" s="169">
        <v>285000</v>
      </c>
      <c r="J2544"/>
      <c r="K2544"/>
    </row>
    <row r="2545" spans="1:11" x14ac:dyDescent="0.25">
      <c r="A2545" s="115">
        <v>2544</v>
      </c>
      <c r="B2545" s="167">
        <v>45957</v>
      </c>
      <c r="C2545" s="117">
        <v>2025</v>
      </c>
      <c r="D2545" s="119" t="s">
        <v>35</v>
      </c>
      <c r="E2545" s="119" t="s">
        <v>405</v>
      </c>
      <c r="F2545" s="120">
        <v>3</v>
      </c>
      <c r="G2545" s="120" t="s">
        <v>759</v>
      </c>
      <c r="H2545" s="169">
        <v>540000</v>
      </c>
      <c r="J2545"/>
      <c r="K2545"/>
    </row>
    <row r="2546" spans="1:11" x14ac:dyDescent="0.25">
      <c r="A2546" s="115">
        <v>2545</v>
      </c>
      <c r="B2546" s="167">
        <v>45957</v>
      </c>
      <c r="C2546" s="117">
        <v>2025</v>
      </c>
      <c r="D2546" s="119" t="s">
        <v>35</v>
      </c>
      <c r="E2546" s="119" t="s">
        <v>122</v>
      </c>
      <c r="F2546" s="120">
        <v>3</v>
      </c>
      <c r="G2546" s="120" t="s">
        <v>759</v>
      </c>
      <c r="H2546" s="169">
        <v>555000</v>
      </c>
      <c r="J2546"/>
      <c r="K2546"/>
    </row>
    <row r="2547" spans="1:11" x14ac:dyDescent="0.25">
      <c r="A2547" s="115">
        <v>2546</v>
      </c>
      <c r="B2547" s="167">
        <v>45957</v>
      </c>
      <c r="C2547" s="117">
        <v>2025</v>
      </c>
      <c r="D2547" s="119" t="s">
        <v>35</v>
      </c>
      <c r="E2547" s="119" t="s">
        <v>1568</v>
      </c>
      <c r="F2547" s="120">
        <v>1</v>
      </c>
      <c r="G2547" s="120" t="s">
        <v>759</v>
      </c>
      <c r="H2547" s="169">
        <v>119899</v>
      </c>
      <c r="J2547"/>
      <c r="K2547"/>
    </row>
    <row r="2548" spans="1:11" x14ac:dyDescent="0.25">
      <c r="A2548" s="115">
        <v>2547</v>
      </c>
      <c r="B2548" s="167">
        <v>45957</v>
      </c>
      <c r="C2548" s="117">
        <v>2025</v>
      </c>
      <c r="D2548" s="119" t="s">
        <v>35</v>
      </c>
      <c r="E2548" s="119" t="s">
        <v>955</v>
      </c>
      <c r="F2548" s="120">
        <v>6</v>
      </c>
      <c r="G2548" s="120" t="s">
        <v>759</v>
      </c>
      <c r="H2548" s="169">
        <v>1230000</v>
      </c>
      <c r="J2548"/>
      <c r="K2548"/>
    </row>
    <row r="2549" spans="1:11" x14ac:dyDescent="0.25">
      <c r="A2549" s="115">
        <v>2548</v>
      </c>
      <c r="B2549" s="167">
        <v>45957</v>
      </c>
      <c r="C2549" s="117">
        <v>2025</v>
      </c>
      <c r="D2549" s="119" t="s">
        <v>35</v>
      </c>
      <c r="E2549" s="119" t="s">
        <v>955</v>
      </c>
      <c r="F2549" s="120">
        <v>6</v>
      </c>
      <c r="G2549" s="120" t="s">
        <v>759</v>
      </c>
      <c r="H2549" s="169">
        <v>1068000</v>
      </c>
      <c r="J2549"/>
      <c r="K2549"/>
    </row>
    <row r="2550" spans="1:11" x14ac:dyDescent="0.25">
      <c r="A2550" s="115">
        <v>2549</v>
      </c>
      <c r="B2550" s="167">
        <v>45957</v>
      </c>
      <c r="C2550" s="117">
        <v>2025</v>
      </c>
      <c r="D2550" s="119" t="s">
        <v>35</v>
      </c>
      <c r="E2550" s="119" t="s">
        <v>842</v>
      </c>
      <c r="F2550" s="120">
        <v>6</v>
      </c>
      <c r="G2550" s="120" t="s">
        <v>759</v>
      </c>
      <c r="H2550" s="169">
        <v>1169004</v>
      </c>
      <c r="J2550"/>
      <c r="K2550"/>
    </row>
    <row r="2551" spans="1:11" x14ac:dyDescent="0.25">
      <c r="A2551" s="115">
        <v>2550</v>
      </c>
      <c r="B2551" s="167">
        <v>45957</v>
      </c>
      <c r="C2551" s="117">
        <v>2025</v>
      </c>
      <c r="D2551" s="119" t="s">
        <v>35</v>
      </c>
      <c r="E2551" s="119" t="s">
        <v>842</v>
      </c>
      <c r="F2551" s="120">
        <v>6</v>
      </c>
      <c r="G2551" s="120" t="s">
        <v>759</v>
      </c>
      <c r="H2551" s="169">
        <v>1127004</v>
      </c>
      <c r="J2551"/>
      <c r="K2551"/>
    </row>
    <row r="2552" spans="1:11" x14ac:dyDescent="0.25">
      <c r="A2552" s="115">
        <v>2551</v>
      </c>
      <c r="B2552" s="167">
        <v>45957</v>
      </c>
      <c r="C2552" s="117">
        <v>2025</v>
      </c>
      <c r="D2552" s="119" t="s">
        <v>35</v>
      </c>
      <c r="E2552" s="119" t="s">
        <v>687</v>
      </c>
      <c r="F2552" s="120">
        <v>12</v>
      </c>
      <c r="G2552" s="120" t="s">
        <v>759</v>
      </c>
      <c r="H2552" s="169">
        <v>198000</v>
      </c>
      <c r="J2552"/>
      <c r="K2552"/>
    </row>
    <row r="2553" spans="1:11" x14ac:dyDescent="0.25">
      <c r="A2553" s="115">
        <v>2552</v>
      </c>
      <c r="B2553" s="167">
        <v>45958</v>
      </c>
      <c r="C2553" s="117">
        <v>2025</v>
      </c>
      <c r="D2553" s="119" t="s">
        <v>259</v>
      </c>
      <c r="E2553" s="119" t="s">
        <v>1569</v>
      </c>
      <c r="F2553" s="120">
        <v>1</v>
      </c>
      <c r="G2553" s="120" t="s">
        <v>759</v>
      </c>
      <c r="H2553" s="169">
        <v>80900</v>
      </c>
      <c r="J2553"/>
      <c r="K2553"/>
    </row>
    <row r="2554" spans="1:11" x14ac:dyDescent="0.25">
      <c r="A2554" s="115">
        <v>2553</v>
      </c>
      <c r="B2554" s="167">
        <v>45959</v>
      </c>
      <c r="C2554" s="117">
        <v>2025</v>
      </c>
      <c r="D2554" s="119" t="s">
        <v>35</v>
      </c>
      <c r="E2554" s="119" t="s">
        <v>295</v>
      </c>
      <c r="F2554" s="120">
        <v>3</v>
      </c>
      <c r="G2554" s="120" t="s">
        <v>759</v>
      </c>
      <c r="H2554" s="169">
        <v>273900</v>
      </c>
      <c r="J2554"/>
      <c r="K2554"/>
    </row>
    <row r="2555" spans="1:11" x14ac:dyDescent="0.25">
      <c r="A2555" s="115">
        <v>2554</v>
      </c>
      <c r="B2555" s="167">
        <v>45959</v>
      </c>
      <c r="C2555" s="117">
        <v>2025</v>
      </c>
      <c r="D2555" s="119" t="s">
        <v>35</v>
      </c>
      <c r="E2555" s="119" t="s">
        <v>130</v>
      </c>
      <c r="F2555" s="120">
        <v>1</v>
      </c>
      <c r="G2555" s="120" t="s">
        <v>759</v>
      </c>
      <c r="H2555" s="169">
        <v>195000</v>
      </c>
      <c r="J2555"/>
      <c r="K2555"/>
    </row>
    <row r="2556" spans="1:11" x14ac:dyDescent="0.25">
      <c r="A2556" s="115">
        <v>2555</v>
      </c>
      <c r="B2556" s="167">
        <v>45960</v>
      </c>
      <c r="C2556" s="117">
        <v>2025</v>
      </c>
      <c r="D2556" s="119" t="s">
        <v>766</v>
      </c>
      <c r="E2556" s="119" t="s">
        <v>1471</v>
      </c>
      <c r="F2556" s="120">
        <v>2000</v>
      </c>
      <c r="G2556" s="120" t="s">
        <v>759</v>
      </c>
      <c r="H2556" s="169">
        <v>34000000</v>
      </c>
      <c r="J2556"/>
      <c r="K2556"/>
    </row>
    <row r="2557" spans="1:11" x14ac:dyDescent="0.25">
      <c r="A2557" s="115">
        <v>2556</v>
      </c>
      <c r="B2557" s="167">
        <v>45960</v>
      </c>
      <c r="C2557" s="117">
        <v>2025</v>
      </c>
      <c r="D2557" s="119" t="s">
        <v>35</v>
      </c>
      <c r="E2557" s="119" t="s">
        <v>240</v>
      </c>
      <c r="F2557" s="120">
        <v>1</v>
      </c>
      <c r="G2557" s="120" t="s">
        <v>759</v>
      </c>
      <c r="H2557" s="169">
        <v>16850</v>
      </c>
      <c r="J2557"/>
      <c r="K2557"/>
    </row>
    <row r="2558" spans="1:11" x14ac:dyDescent="0.25">
      <c r="A2558" s="115">
        <v>2557</v>
      </c>
      <c r="B2558" s="167">
        <v>45961</v>
      </c>
      <c r="C2558" s="117">
        <v>2025</v>
      </c>
      <c r="D2558" s="119" t="s">
        <v>766</v>
      </c>
      <c r="E2558" s="119" t="s">
        <v>1570</v>
      </c>
      <c r="F2558" s="120">
        <v>5000</v>
      </c>
      <c r="G2558" s="120" t="s">
        <v>759</v>
      </c>
      <c r="H2558" s="169">
        <v>26250000</v>
      </c>
      <c r="J2558"/>
      <c r="K2558"/>
    </row>
    <row r="2559" spans="1:11" x14ac:dyDescent="0.25">
      <c r="A2559" s="115">
        <v>2558</v>
      </c>
      <c r="B2559" s="167">
        <v>45961</v>
      </c>
      <c r="C2559" s="117">
        <v>2025</v>
      </c>
      <c r="D2559" s="119" t="s">
        <v>766</v>
      </c>
      <c r="E2559" s="119" t="s">
        <v>1571</v>
      </c>
      <c r="F2559" s="120">
        <v>250</v>
      </c>
      <c r="G2559" s="120" t="s">
        <v>759</v>
      </c>
      <c r="H2559" s="169">
        <v>3625000</v>
      </c>
      <c r="J2559"/>
      <c r="K2559"/>
    </row>
    <row r="2560" spans="1:11" x14ac:dyDescent="0.25">
      <c r="A2560" s="115">
        <v>2559</v>
      </c>
      <c r="B2560" s="167">
        <v>45962</v>
      </c>
      <c r="C2560" s="117">
        <v>2025</v>
      </c>
      <c r="D2560" s="119" t="s">
        <v>833</v>
      </c>
      <c r="E2560" s="119" t="s">
        <v>612</v>
      </c>
      <c r="F2560" s="120">
        <v>2</v>
      </c>
      <c r="G2560" s="120" t="s">
        <v>759</v>
      </c>
      <c r="H2560" s="169">
        <v>12000</v>
      </c>
      <c r="J2560"/>
      <c r="K2560"/>
    </row>
    <row r="2561" spans="1:11" x14ac:dyDescent="0.25">
      <c r="A2561" s="115">
        <v>2560</v>
      </c>
      <c r="B2561" s="167">
        <v>45962</v>
      </c>
      <c r="C2561" s="117">
        <v>2025</v>
      </c>
      <c r="D2561" s="119" t="s">
        <v>833</v>
      </c>
      <c r="E2561" s="119" t="s">
        <v>1572</v>
      </c>
      <c r="F2561" s="120">
        <v>1</v>
      </c>
      <c r="G2561" s="120" t="s">
        <v>759</v>
      </c>
      <c r="H2561" s="169">
        <v>31500</v>
      </c>
      <c r="J2561"/>
      <c r="K2561"/>
    </row>
    <row r="2562" spans="1:11" x14ac:dyDescent="0.25">
      <c r="A2562" s="115">
        <v>2561</v>
      </c>
      <c r="B2562" s="167">
        <v>45962</v>
      </c>
      <c r="C2562" s="117">
        <v>2025</v>
      </c>
      <c r="D2562" s="119" t="s">
        <v>259</v>
      </c>
      <c r="E2562" s="119" t="s">
        <v>425</v>
      </c>
      <c r="F2562" s="120">
        <v>10</v>
      </c>
      <c r="G2562" s="120" t="s">
        <v>759</v>
      </c>
      <c r="H2562" s="169">
        <v>364700</v>
      </c>
      <c r="J2562"/>
      <c r="K2562"/>
    </row>
    <row r="2563" spans="1:11" x14ac:dyDescent="0.25">
      <c r="A2563" s="115">
        <v>2562</v>
      </c>
      <c r="B2563" s="167">
        <v>45964</v>
      </c>
      <c r="C2563" s="117">
        <v>2025</v>
      </c>
      <c r="D2563" s="119" t="s">
        <v>35</v>
      </c>
      <c r="E2563" s="119" t="s">
        <v>1291</v>
      </c>
      <c r="F2563" s="120">
        <v>100</v>
      </c>
      <c r="G2563" s="120" t="s">
        <v>759</v>
      </c>
      <c r="H2563" s="169">
        <v>920000</v>
      </c>
      <c r="J2563"/>
      <c r="K2563"/>
    </row>
    <row r="2564" spans="1:11" x14ac:dyDescent="0.25">
      <c r="A2564" s="115">
        <v>2563</v>
      </c>
      <c r="B2564" s="167">
        <v>45964</v>
      </c>
      <c r="C2564" s="117">
        <v>2025</v>
      </c>
      <c r="D2564" s="119" t="s">
        <v>851</v>
      </c>
      <c r="E2564" s="119" t="s">
        <v>240</v>
      </c>
      <c r="F2564" s="120">
        <v>1</v>
      </c>
      <c r="G2564" s="120" t="s">
        <v>759</v>
      </c>
      <c r="H2564" s="169">
        <v>29900</v>
      </c>
      <c r="J2564"/>
      <c r="K2564"/>
    </row>
    <row r="2565" spans="1:11" x14ac:dyDescent="0.25">
      <c r="A2565" s="115">
        <v>2564</v>
      </c>
      <c r="B2565" s="167">
        <v>45965</v>
      </c>
      <c r="C2565" s="117">
        <v>2025</v>
      </c>
      <c r="D2565" s="119" t="s">
        <v>259</v>
      </c>
      <c r="E2565" s="119" t="s">
        <v>1573</v>
      </c>
      <c r="F2565" s="120">
        <v>1</v>
      </c>
      <c r="G2565" s="120" t="s">
        <v>759</v>
      </c>
      <c r="H2565" s="169">
        <v>34400</v>
      </c>
      <c r="J2565"/>
      <c r="K2565"/>
    </row>
    <row r="2566" spans="1:11" x14ac:dyDescent="0.25">
      <c r="A2566" s="115">
        <v>2565</v>
      </c>
      <c r="B2566" s="167">
        <v>45966</v>
      </c>
      <c r="C2566" s="117">
        <v>2025</v>
      </c>
      <c r="D2566" s="119" t="s">
        <v>35</v>
      </c>
      <c r="E2566" s="119" t="s">
        <v>643</v>
      </c>
      <c r="F2566" s="120">
        <v>3</v>
      </c>
      <c r="G2566" s="120" t="s">
        <v>759</v>
      </c>
      <c r="H2566" s="169">
        <v>10500</v>
      </c>
      <c r="J2566"/>
      <c r="K2566"/>
    </row>
    <row r="2567" spans="1:11" x14ac:dyDescent="0.25">
      <c r="A2567" s="115">
        <v>2566</v>
      </c>
      <c r="B2567" s="167">
        <v>45966</v>
      </c>
      <c r="C2567" s="117">
        <v>2025</v>
      </c>
      <c r="D2567" s="119" t="s">
        <v>35</v>
      </c>
      <c r="E2567" s="119" t="s">
        <v>1392</v>
      </c>
      <c r="F2567" s="120">
        <v>4</v>
      </c>
      <c r="G2567" s="120" t="s">
        <v>759</v>
      </c>
      <c r="H2567" s="169">
        <v>160000</v>
      </c>
      <c r="J2567"/>
      <c r="K2567"/>
    </row>
    <row r="2568" spans="1:11" x14ac:dyDescent="0.25">
      <c r="A2568" s="115">
        <v>2567</v>
      </c>
      <c r="B2568" s="167">
        <v>45967</v>
      </c>
      <c r="C2568" s="117">
        <v>2025</v>
      </c>
      <c r="D2568" s="119" t="s">
        <v>35</v>
      </c>
      <c r="E2568" s="119" t="s">
        <v>1537</v>
      </c>
      <c r="F2568" s="120">
        <v>1</v>
      </c>
      <c r="G2568" s="120" t="s">
        <v>759</v>
      </c>
      <c r="H2568" s="169">
        <v>180000</v>
      </c>
      <c r="J2568"/>
      <c r="K2568"/>
    </row>
    <row r="2569" spans="1:11" x14ac:dyDescent="0.25">
      <c r="A2569" s="115">
        <v>2568</v>
      </c>
      <c r="B2569" s="167">
        <v>45967</v>
      </c>
      <c r="C2569" s="117">
        <v>2025</v>
      </c>
      <c r="D2569" s="119" t="s">
        <v>259</v>
      </c>
      <c r="E2569" s="119" t="s">
        <v>1574</v>
      </c>
      <c r="F2569" s="120">
        <v>1</v>
      </c>
      <c r="G2569" s="120" t="s">
        <v>759</v>
      </c>
      <c r="H2569" s="169">
        <v>15000</v>
      </c>
      <c r="J2569"/>
      <c r="K2569"/>
    </row>
    <row r="2570" spans="1:11" x14ac:dyDescent="0.25">
      <c r="A2570" s="115">
        <v>2569</v>
      </c>
      <c r="B2570" s="167">
        <v>45967</v>
      </c>
      <c r="C2570" s="117">
        <v>2025</v>
      </c>
      <c r="D2570" s="119" t="s">
        <v>35</v>
      </c>
      <c r="E2570" s="119" t="s">
        <v>1470</v>
      </c>
      <c r="F2570" s="120">
        <v>1</v>
      </c>
      <c r="G2570" s="120" t="s">
        <v>759</v>
      </c>
      <c r="H2570" s="169">
        <v>100000</v>
      </c>
      <c r="J2570"/>
      <c r="K2570"/>
    </row>
    <row r="2571" spans="1:11" x14ac:dyDescent="0.25">
      <c r="A2571" s="115">
        <v>2570</v>
      </c>
      <c r="B2571" s="167">
        <v>45967</v>
      </c>
      <c r="C2571" s="117">
        <v>2025</v>
      </c>
      <c r="D2571" s="119" t="s">
        <v>35</v>
      </c>
      <c r="E2571" s="119" t="s">
        <v>1575</v>
      </c>
      <c r="F2571" s="120">
        <v>1</v>
      </c>
      <c r="G2571" s="120" t="s">
        <v>759</v>
      </c>
      <c r="H2571" s="169">
        <v>5380</v>
      </c>
      <c r="J2571"/>
      <c r="K2571"/>
    </row>
    <row r="2572" spans="1:11" x14ac:dyDescent="0.25">
      <c r="A2572" s="115">
        <v>2571</v>
      </c>
      <c r="B2572" s="167">
        <v>45967</v>
      </c>
      <c r="C2572" s="117">
        <v>2025</v>
      </c>
      <c r="D2572" s="119" t="s">
        <v>851</v>
      </c>
      <c r="E2572" s="119" t="s">
        <v>107</v>
      </c>
      <c r="F2572" s="120">
        <v>2</v>
      </c>
      <c r="G2572" s="120" t="s">
        <v>759</v>
      </c>
      <c r="H2572" s="169">
        <v>25900</v>
      </c>
      <c r="J2572"/>
      <c r="K2572"/>
    </row>
    <row r="2573" spans="1:11" x14ac:dyDescent="0.25">
      <c r="A2573" s="115">
        <v>2572</v>
      </c>
      <c r="B2573" s="167">
        <v>45968</v>
      </c>
      <c r="C2573" s="117">
        <v>2025</v>
      </c>
      <c r="D2573" s="119" t="s">
        <v>35</v>
      </c>
      <c r="E2573" s="119" t="s">
        <v>1576</v>
      </c>
      <c r="F2573" s="120">
        <v>1</v>
      </c>
      <c r="G2573" s="120" t="s">
        <v>759</v>
      </c>
      <c r="H2573" s="169">
        <v>29400</v>
      </c>
      <c r="J2573"/>
      <c r="K2573"/>
    </row>
    <row r="2574" spans="1:11" x14ac:dyDescent="0.25">
      <c r="A2574" s="115">
        <v>2573</v>
      </c>
      <c r="B2574" s="167">
        <v>45968</v>
      </c>
      <c r="C2574" s="117">
        <v>2025</v>
      </c>
      <c r="D2574" s="119" t="s">
        <v>35</v>
      </c>
      <c r="E2574" s="119" t="s">
        <v>137</v>
      </c>
      <c r="F2574" s="120">
        <v>3</v>
      </c>
      <c r="G2574" s="120" t="s">
        <v>759</v>
      </c>
      <c r="H2574" s="169">
        <v>385902</v>
      </c>
      <c r="J2574"/>
      <c r="K2574"/>
    </row>
    <row r="2575" spans="1:11" x14ac:dyDescent="0.25">
      <c r="A2575" s="115">
        <v>2574</v>
      </c>
      <c r="B2575" s="167">
        <v>45968</v>
      </c>
      <c r="C2575" s="117">
        <v>2025</v>
      </c>
      <c r="D2575" s="119" t="s">
        <v>35</v>
      </c>
      <c r="E2575" s="119" t="s">
        <v>139</v>
      </c>
      <c r="F2575" s="120">
        <v>1</v>
      </c>
      <c r="G2575" s="120" t="s">
        <v>759</v>
      </c>
      <c r="H2575" s="169">
        <v>124400</v>
      </c>
      <c r="J2575"/>
      <c r="K2575"/>
    </row>
    <row r="2576" spans="1:11" x14ac:dyDescent="0.25">
      <c r="A2576" s="115">
        <v>2575</v>
      </c>
      <c r="B2576" s="167">
        <v>45969</v>
      </c>
      <c r="C2576" s="117">
        <v>2025</v>
      </c>
      <c r="D2576" s="119" t="s">
        <v>259</v>
      </c>
      <c r="E2576" s="119" t="s">
        <v>758</v>
      </c>
      <c r="F2576" s="120">
        <v>2</v>
      </c>
      <c r="G2576" s="120" t="s">
        <v>759</v>
      </c>
      <c r="H2576" s="169">
        <v>41900</v>
      </c>
      <c r="J2576"/>
      <c r="K2576"/>
    </row>
    <row r="2577" spans="1:11" x14ac:dyDescent="0.25">
      <c r="A2577" s="115">
        <v>2576</v>
      </c>
      <c r="B2577" s="167">
        <v>45969</v>
      </c>
      <c r="C2577" s="117">
        <v>2025</v>
      </c>
      <c r="D2577" s="119" t="s">
        <v>35</v>
      </c>
      <c r="E2577" s="119" t="s">
        <v>211</v>
      </c>
      <c r="F2577" s="120">
        <v>10</v>
      </c>
      <c r="G2577" s="120" t="s">
        <v>759</v>
      </c>
      <c r="H2577" s="169">
        <v>210000</v>
      </c>
      <c r="J2577"/>
      <c r="K2577"/>
    </row>
    <row r="2578" spans="1:11" x14ac:dyDescent="0.25">
      <c r="A2578" s="115">
        <v>2577</v>
      </c>
      <c r="B2578" s="167">
        <v>45969</v>
      </c>
      <c r="C2578" s="117">
        <v>2025</v>
      </c>
      <c r="D2578" s="119" t="s">
        <v>35</v>
      </c>
      <c r="E2578" s="119" t="s">
        <v>211</v>
      </c>
      <c r="F2578" s="120">
        <v>10</v>
      </c>
      <c r="G2578" s="120" t="s">
        <v>759</v>
      </c>
      <c r="H2578" s="169">
        <v>190000</v>
      </c>
      <c r="J2578"/>
      <c r="K2578"/>
    </row>
    <row r="2579" spans="1:11" x14ac:dyDescent="0.25">
      <c r="A2579" s="115">
        <v>2578</v>
      </c>
      <c r="B2579" s="167">
        <v>45969</v>
      </c>
      <c r="C2579" s="117">
        <v>2025</v>
      </c>
      <c r="D2579" s="119" t="s">
        <v>35</v>
      </c>
      <c r="E2579" s="119" t="s">
        <v>211</v>
      </c>
      <c r="F2579" s="120">
        <v>2</v>
      </c>
      <c r="G2579" s="120" t="s">
        <v>759</v>
      </c>
      <c r="H2579" s="169">
        <v>39000</v>
      </c>
      <c r="J2579"/>
      <c r="K2579"/>
    </row>
    <row r="2580" spans="1:11" x14ac:dyDescent="0.25">
      <c r="A2580" s="115">
        <v>2579</v>
      </c>
      <c r="B2580" s="167">
        <v>45971</v>
      </c>
      <c r="C2580" s="117">
        <v>2025</v>
      </c>
      <c r="D2580" s="119" t="s">
        <v>35</v>
      </c>
      <c r="E2580" s="119" t="s">
        <v>1461</v>
      </c>
      <c r="F2580" s="120">
        <v>4</v>
      </c>
      <c r="G2580" s="120" t="s">
        <v>759</v>
      </c>
      <c r="H2580" s="169">
        <v>14000</v>
      </c>
      <c r="J2580"/>
      <c r="K2580"/>
    </row>
    <row r="2581" spans="1:11" x14ac:dyDescent="0.25">
      <c r="A2581" s="115">
        <v>2580</v>
      </c>
      <c r="B2581" s="167">
        <v>45971</v>
      </c>
      <c r="C2581" s="117">
        <v>2025</v>
      </c>
      <c r="D2581" s="119" t="s">
        <v>851</v>
      </c>
      <c r="E2581" s="119" t="s">
        <v>101</v>
      </c>
      <c r="F2581" s="120">
        <v>3</v>
      </c>
      <c r="G2581" s="120" t="s">
        <v>759</v>
      </c>
      <c r="H2581" s="169">
        <v>7899</v>
      </c>
      <c r="J2581"/>
      <c r="K2581"/>
    </row>
    <row r="2582" spans="1:11" x14ac:dyDescent="0.25">
      <c r="A2582" s="115">
        <v>2581</v>
      </c>
      <c r="B2582" s="167">
        <v>45971</v>
      </c>
      <c r="C2582" s="117">
        <v>2025</v>
      </c>
      <c r="D2582" s="119" t="s">
        <v>35</v>
      </c>
      <c r="E2582" s="119" t="s">
        <v>1470</v>
      </c>
      <c r="F2582" s="120">
        <v>1</v>
      </c>
      <c r="G2582" s="120" t="s">
        <v>759</v>
      </c>
      <c r="H2582" s="169">
        <v>100000</v>
      </c>
      <c r="J2582"/>
      <c r="K2582"/>
    </row>
    <row r="2583" spans="1:11" x14ac:dyDescent="0.25">
      <c r="A2583" s="115">
        <v>2582</v>
      </c>
      <c r="B2583" s="167">
        <v>45971</v>
      </c>
      <c r="C2583" s="117">
        <v>2025</v>
      </c>
      <c r="D2583" s="119" t="s">
        <v>833</v>
      </c>
      <c r="E2583" s="119" t="s">
        <v>493</v>
      </c>
      <c r="F2583" s="120">
        <v>10</v>
      </c>
      <c r="G2583" s="120" t="s">
        <v>759</v>
      </c>
      <c r="H2583" s="169">
        <v>95000</v>
      </c>
      <c r="J2583"/>
      <c r="K2583"/>
    </row>
    <row r="2584" spans="1:11" x14ac:dyDescent="0.25">
      <c r="A2584" s="115">
        <v>2583</v>
      </c>
      <c r="B2584" s="167">
        <v>45971</v>
      </c>
      <c r="C2584" s="117">
        <v>2025</v>
      </c>
      <c r="D2584" s="119" t="s">
        <v>35</v>
      </c>
      <c r="E2584" s="119" t="s">
        <v>1462</v>
      </c>
      <c r="F2584" s="120">
        <v>1</v>
      </c>
      <c r="G2584" s="120" t="s">
        <v>759</v>
      </c>
      <c r="H2584" s="169">
        <v>52500</v>
      </c>
      <c r="J2584"/>
      <c r="K2584"/>
    </row>
    <row r="2585" spans="1:11" x14ac:dyDescent="0.25">
      <c r="A2585" s="115">
        <v>2584</v>
      </c>
      <c r="B2585" s="167">
        <v>45973</v>
      </c>
      <c r="C2585" s="117">
        <v>2025</v>
      </c>
      <c r="D2585" s="119" t="s">
        <v>35</v>
      </c>
      <c r="E2585" s="119" t="s">
        <v>1244</v>
      </c>
      <c r="F2585" s="120">
        <v>1</v>
      </c>
      <c r="G2585" s="120" t="s">
        <v>759</v>
      </c>
      <c r="H2585" s="169">
        <v>17482</v>
      </c>
      <c r="J2585"/>
      <c r="K2585"/>
    </row>
    <row r="2586" spans="1:11" x14ac:dyDescent="0.25">
      <c r="A2586" s="115">
        <v>2585</v>
      </c>
      <c r="B2586" s="167">
        <v>45973</v>
      </c>
      <c r="C2586" s="117">
        <v>2025</v>
      </c>
      <c r="D2586" s="119" t="s">
        <v>35</v>
      </c>
      <c r="E2586" s="119" t="s">
        <v>1539</v>
      </c>
      <c r="F2586" s="120">
        <v>1</v>
      </c>
      <c r="G2586" s="120" t="s">
        <v>759</v>
      </c>
      <c r="H2586" s="169">
        <v>73899</v>
      </c>
      <c r="J2586"/>
      <c r="K2586"/>
    </row>
    <row r="2587" spans="1:11" x14ac:dyDescent="0.25">
      <c r="A2587" s="115">
        <v>2586</v>
      </c>
      <c r="B2587" s="167">
        <v>45975</v>
      </c>
      <c r="C2587" s="117">
        <v>2025</v>
      </c>
      <c r="D2587" s="119" t="s">
        <v>851</v>
      </c>
      <c r="E2587" s="119" t="s">
        <v>175</v>
      </c>
      <c r="F2587" s="120">
        <v>30</v>
      </c>
      <c r="G2587" s="120" t="s">
        <v>759</v>
      </c>
      <c r="H2587" s="169">
        <v>541890</v>
      </c>
      <c r="J2587"/>
      <c r="K2587"/>
    </row>
    <row r="2588" spans="1:11" x14ac:dyDescent="0.25">
      <c r="A2588" s="115">
        <v>2587</v>
      </c>
      <c r="B2588" s="167">
        <v>45975</v>
      </c>
      <c r="C2588" s="117">
        <v>2025</v>
      </c>
      <c r="D2588" s="119" t="s">
        <v>833</v>
      </c>
      <c r="E2588" s="119" t="s">
        <v>473</v>
      </c>
      <c r="F2588" s="120">
        <v>12</v>
      </c>
      <c r="G2588" s="120" t="s">
        <v>759</v>
      </c>
      <c r="H2588" s="169">
        <v>222000</v>
      </c>
      <c r="J2588"/>
      <c r="K2588"/>
    </row>
    <row r="2589" spans="1:11" x14ac:dyDescent="0.25">
      <c r="A2589" s="115">
        <v>2588</v>
      </c>
      <c r="B2589" s="167">
        <v>45975</v>
      </c>
      <c r="C2589" s="117">
        <v>2025</v>
      </c>
      <c r="D2589" s="119" t="s">
        <v>833</v>
      </c>
      <c r="E2589" s="119" t="s">
        <v>481</v>
      </c>
      <c r="F2589" s="120">
        <v>15</v>
      </c>
      <c r="G2589" s="120" t="s">
        <v>759</v>
      </c>
      <c r="H2589" s="169">
        <v>298350</v>
      </c>
      <c r="J2589"/>
      <c r="K2589"/>
    </row>
    <row r="2590" spans="1:11" x14ac:dyDescent="0.25">
      <c r="A2590" s="115">
        <v>2589</v>
      </c>
      <c r="B2590" s="167">
        <v>45976</v>
      </c>
      <c r="C2590" s="117">
        <v>2025</v>
      </c>
      <c r="D2590" s="119" t="s">
        <v>35</v>
      </c>
      <c r="E2590" s="119" t="s">
        <v>761</v>
      </c>
      <c r="F2590" s="120">
        <v>2</v>
      </c>
      <c r="G2590" s="120" t="s">
        <v>759</v>
      </c>
      <c r="H2590" s="169">
        <v>3100000</v>
      </c>
      <c r="J2590"/>
      <c r="K2590"/>
    </row>
    <row r="2591" spans="1:11" x14ac:dyDescent="0.25">
      <c r="A2591" s="115">
        <v>2590</v>
      </c>
      <c r="B2591" s="167">
        <v>45976</v>
      </c>
      <c r="C2591" s="117">
        <v>2025</v>
      </c>
      <c r="D2591" s="119" t="s">
        <v>833</v>
      </c>
      <c r="E2591" s="119" t="s">
        <v>306</v>
      </c>
      <c r="F2591" s="120">
        <v>6</v>
      </c>
      <c r="G2591" s="120" t="s">
        <v>759</v>
      </c>
      <c r="H2591" s="169">
        <v>7902</v>
      </c>
      <c r="J2591"/>
      <c r="K2591"/>
    </row>
    <row r="2592" spans="1:11" x14ac:dyDescent="0.25">
      <c r="A2592" s="115">
        <v>2591</v>
      </c>
      <c r="B2592" s="167">
        <v>45976</v>
      </c>
      <c r="C2592" s="117">
        <v>2025</v>
      </c>
      <c r="D2592" s="119" t="s">
        <v>35</v>
      </c>
      <c r="E2592" s="119" t="s">
        <v>1026</v>
      </c>
      <c r="F2592" s="120">
        <v>1</v>
      </c>
      <c r="G2592" s="120" t="s">
        <v>759</v>
      </c>
      <c r="H2592" s="169">
        <v>31800</v>
      </c>
      <c r="J2592"/>
      <c r="K2592"/>
    </row>
    <row r="2593" spans="1:11" x14ac:dyDescent="0.25">
      <c r="A2593" s="115">
        <v>2592</v>
      </c>
      <c r="B2593" s="167">
        <v>45978</v>
      </c>
      <c r="C2593" s="117">
        <v>2025</v>
      </c>
      <c r="D2593" s="119" t="s">
        <v>259</v>
      </c>
      <c r="E2593" s="119" t="s">
        <v>1577</v>
      </c>
      <c r="F2593" s="120">
        <v>1</v>
      </c>
      <c r="G2593" s="120" t="s">
        <v>759</v>
      </c>
      <c r="H2593" s="169">
        <v>291900</v>
      </c>
      <c r="J2593"/>
      <c r="K2593"/>
    </row>
    <row r="2594" spans="1:11" x14ac:dyDescent="0.25">
      <c r="A2594" s="115">
        <v>2593</v>
      </c>
      <c r="B2594" s="167">
        <v>45978</v>
      </c>
      <c r="C2594" s="117">
        <v>2025</v>
      </c>
      <c r="D2594" s="119" t="s">
        <v>851</v>
      </c>
      <c r="E2594" s="119" t="s">
        <v>1346</v>
      </c>
      <c r="F2594" s="120">
        <v>1</v>
      </c>
      <c r="G2594" s="120" t="s">
        <v>759</v>
      </c>
      <c r="H2594" s="169">
        <v>9275</v>
      </c>
      <c r="J2594"/>
      <c r="K2594"/>
    </row>
    <row r="2595" spans="1:11" x14ac:dyDescent="0.25">
      <c r="A2595" s="115">
        <v>2594</v>
      </c>
      <c r="B2595" s="167">
        <v>45978</v>
      </c>
      <c r="C2595" s="117">
        <v>2025</v>
      </c>
      <c r="D2595" s="119" t="s">
        <v>851</v>
      </c>
      <c r="E2595" s="119" t="s">
        <v>1461</v>
      </c>
      <c r="F2595" s="120">
        <v>2</v>
      </c>
      <c r="G2595" s="120" t="s">
        <v>759</v>
      </c>
      <c r="H2595" s="169">
        <v>5000</v>
      </c>
      <c r="J2595"/>
      <c r="K2595"/>
    </row>
    <row r="2596" spans="1:11" x14ac:dyDescent="0.25">
      <c r="A2596" s="115">
        <v>2595</v>
      </c>
      <c r="B2596" s="167">
        <v>45978</v>
      </c>
      <c r="C2596" s="117">
        <v>2025</v>
      </c>
      <c r="D2596" s="119" t="s">
        <v>766</v>
      </c>
      <c r="E2596" s="119" t="s">
        <v>1490</v>
      </c>
      <c r="F2596" s="120">
        <v>5000</v>
      </c>
      <c r="G2596" s="120" t="s">
        <v>759</v>
      </c>
      <c r="H2596" s="169">
        <v>900000</v>
      </c>
      <c r="J2596"/>
      <c r="K2596"/>
    </row>
    <row r="2597" spans="1:11" x14ac:dyDescent="0.25">
      <c r="A2597" s="115">
        <v>2596</v>
      </c>
      <c r="B2597" s="167">
        <v>45979</v>
      </c>
      <c r="C2597" s="117">
        <v>2025</v>
      </c>
      <c r="D2597" s="119" t="s">
        <v>851</v>
      </c>
      <c r="E2597" s="119" t="s">
        <v>1578</v>
      </c>
      <c r="F2597" s="120">
        <v>1</v>
      </c>
      <c r="G2597" s="120" t="s">
        <v>759</v>
      </c>
      <c r="H2597" s="169">
        <v>81000</v>
      </c>
      <c r="J2597"/>
      <c r="K2597"/>
    </row>
    <row r="2598" spans="1:11" x14ac:dyDescent="0.25">
      <c r="A2598" s="115">
        <v>2597</v>
      </c>
      <c r="B2598" s="167">
        <v>45979</v>
      </c>
      <c r="C2598" s="117">
        <v>2025</v>
      </c>
      <c r="D2598" s="119" t="s">
        <v>259</v>
      </c>
      <c r="E2598" s="119" t="s">
        <v>1540</v>
      </c>
      <c r="F2598" s="120">
        <v>1</v>
      </c>
      <c r="G2598" s="120" t="s">
        <v>759</v>
      </c>
      <c r="H2598" s="169">
        <v>630000</v>
      </c>
      <c r="J2598"/>
      <c r="K2598"/>
    </row>
    <row r="2599" spans="1:11" x14ac:dyDescent="0.25">
      <c r="A2599" s="115">
        <v>2598</v>
      </c>
      <c r="B2599" s="167">
        <v>45979</v>
      </c>
      <c r="C2599" s="117">
        <v>2025</v>
      </c>
      <c r="D2599" s="119" t="s">
        <v>35</v>
      </c>
      <c r="E2599" s="119" t="s">
        <v>1579</v>
      </c>
      <c r="F2599" s="120">
        <v>1</v>
      </c>
      <c r="G2599" s="120" t="s">
        <v>759</v>
      </c>
      <c r="H2599" s="169">
        <v>171900</v>
      </c>
      <c r="J2599"/>
      <c r="K2599"/>
    </row>
    <row r="2600" spans="1:11" x14ac:dyDescent="0.25">
      <c r="A2600" s="115">
        <v>2599</v>
      </c>
      <c r="B2600" s="167">
        <v>45979</v>
      </c>
      <c r="C2600" s="117">
        <v>2025</v>
      </c>
      <c r="D2600" s="119" t="s">
        <v>851</v>
      </c>
      <c r="E2600" s="119" t="s">
        <v>1580</v>
      </c>
      <c r="F2600" s="120">
        <v>1</v>
      </c>
      <c r="G2600" s="120" t="s">
        <v>759</v>
      </c>
      <c r="H2600" s="169">
        <v>35000</v>
      </c>
      <c r="J2600"/>
      <c r="K2600"/>
    </row>
    <row r="2601" spans="1:11" x14ac:dyDescent="0.25">
      <c r="A2601" s="115">
        <v>2600</v>
      </c>
      <c r="B2601" s="167">
        <v>45979</v>
      </c>
      <c r="C2601" s="117">
        <v>2025</v>
      </c>
      <c r="D2601" s="119" t="s">
        <v>35</v>
      </c>
      <c r="E2601" s="119" t="s">
        <v>49</v>
      </c>
      <c r="F2601" s="120">
        <v>1</v>
      </c>
      <c r="G2601" s="120" t="s">
        <v>759</v>
      </c>
      <c r="H2601" s="169">
        <v>15000</v>
      </c>
      <c r="J2601"/>
      <c r="K2601"/>
    </row>
    <row r="2602" spans="1:11" x14ac:dyDescent="0.25">
      <c r="A2602" s="115">
        <v>2601</v>
      </c>
      <c r="B2602" s="167">
        <v>45979</v>
      </c>
      <c r="C2602" s="117">
        <v>2025</v>
      </c>
      <c r="D2602" s="119" t="s">
        <v>35</v>
      </c>
      <c r="E2602" s="119" t="s">
        <v>46</v>
      </c>
      <c r="F2602" s="120">
        <v>1</v>
      </c>
      <c r="G2602" s="120" t="s">
        <v>759</v>
      </c>
      <c r="H2602" s="169">
        <v>3000</v>
      </c>
      <c r="J2602"/>
      <c r="K2602"/>
    </row>
    <row r="2603" spans="1:11" x14ac:dyDescent="0.25">
      <c r="A2603" s="115">
        <v>2602</v>
      </c>
      <c r="B2603" s="167">
        <v>45979</v>
      </c>
      <c r="C2603" s="117">
        <v>2025</v>
      </c>
      <c r="D2603" s="119" t="s">
        <v>35</v>
      </c>
      <c r="E2603" s="119" t="s">
        <v>350</v>
      </c>
      <c r="F2603" s="120">
        <v>3</v>
      </c>
      <c r="G2603" s="120" t="s">
        <v>759</v>
      </c>
      <c r="H2603" s="169">
        <v>73032</v>
      </c>
      <c r="J2603"/>
      <c r="K2603"/>
    </row>
    <row r="2604" spans="1:11" x14ac:dyDescent="0.25">
      <c r="A2604" s="115">
        <v>2603</v>
      </c>
      <c r="B2604" s="167">
        <v>45979</v>
      </c>
      <c r="C2604" s="117">
        <v>2025</v>
      </c>
      <c r="D2604" s="119" t="s">
        <v>35</v>
      </c>
      <c r="E2604" s="119" t="s">
        <v>1459</v>
      </c>
      <c r="F2604" s="120">
        <v>1</v>
      </c>
      <c r="G2604" s="120" t="s">
        <v>759</v>
      </c>
      <c r="H2604" s="169">
        <v>55000</v>
      </c>
      <c r="J2604"/>
      <c r="K2604"/>
    </row>
    <row r="2605" spans="1:11" x14ac:dyDescent="0.25">
      <c r="A2605" s="115">
        <v>2604</v>
      </c>
      <c r="B2605" s="167">
        <v>45980</v>
      </c>
      <c r="C2605" s="117">
        <v>2025</v>
      </c>
      <c r="D2605" s="119" t="s">
        <v>851</v>
      </c>
      <c r="E2605" s="119" t="s">
        <v>652</v>
      </c>
      <c r="F2605" s="120">
        <v>2</v>
      </c>
      <c r="G2605" s="120" t="s">
        <v>759</v>
      </c>
      <c r="H2605" s="169">
        <v>7900</v>
      </c>
      <c r="J2605"/>
      <c r="K2605"/>
    </row>
    <row r="2606" spans="1:11" x14ac:dyDescent="0.25">
      <c r="A2606" s="115">
        <v>2605</v>
      </c>
      <c r="B2606" s="167">
        <v>45980</v>
      </c>
      <c r="C2606" s="117">
        <v>2025</v>
      </c>
      <c r="D2606" s="119" t="s">
        <v>851</v>
      </c>
      <c r="E2606" s="119" t="s">
        <v>1346</v>
      </c>
      <c r="F2606" s="120">
        <v>1</v>
      </c>
      <c r="G2606" s="120" t="s">
        <v>759</v>
      </c>
      <c r="H2606" s="169">
        <v>21650</v>
      </c>
      <c r="J2606"/>
      <c r="K2606"/>
    </row>
    <row r="2607" spans="1:11" x14ac:dyDescent="0.25">
      <c r="A2607" s="115">
        <v>2606</v>
      </c>
      <c r="B2607" s="167">
        <v>45980</v>
      </c>
      <c r="C2607" s="117">
        <v>2025</v>
      </c>
      <c r="D2607" s="119" t="s">
        <v>35</v>
      </c>
      <c r="E2607" s="119" t="s">
        <v>1579</v>
      </c>
      <c r="F2607" s="120">
        <v>1</v>
      </c>
      <c r="G2607" s="120" t="s">
        <v>759</v>
      </c>
      <c r="H2607" s="169">
        <v>171900</v>
      </c>
      <c r="J2607"/>
      <c r="K2607"/>
    </row>
    <row r="2608" spans="1:11" x14ac:dyDescent="0.25">
      <c r="A2608" s="115">
        <v>2607</v>
      </c>
      <c r="B2608" s="167">
        <v>45980</v>
      </c>
      <c r="C2608" s="117">
        <v>2025</v>
      </c>
      <c r="D2608" s="119" t="s">
        <v>766</v>
      </c>
      <c r="E2608" s="119" t="s">
        <v>1471</v>
      </c>
      <c r="F2608" s="120">
        <v>2500</v>
      </c>
      <c r="G2608" s="120" t="s">
        <v>759</v>
      </c>
      <c r="H2608" s="169">
        <v>37500000</v>
      </c>
      <c r="J2608"/>
      <c r="K2608"/>
    </row>
    <row r="2609" spans="1:11" x14ac:dyDescent="0.25">
      <c r="A2609" s="115">
        <v>2608</v>
      </c>
      <c r="B2609" s="167">
        <v>45980</v>
      </c>
      <c r="C2609" s="117">
        <v>2025</v>
      </c>
      <c r="D2609" s="119" t="s">
        <v>35</v>
      </c>
      <c r="E2609" s="119" t="s">
        <v>1312</v>
      </c>
      <c r="F2609" s="120">
        <v>10</v>
      </c>
      <c r="G2609" s="120" t="s">
        <v>759</v>
      </c>
      <c r="H2609" s="169">
        <v>142400</v>
      </c>
      <c r="J2609"/>
      <c r="K2609"/>
    </row>
    <row r="2610" spans="1:11" x14ac:dyDescent="0.25">
      <c r="A2610" s="115">
        <v>2609</v>
      </c>
      <c r="B2610" s="167">
        <v>45980</v>
      </c>
      <c r="C2610" s="117">
        <v>2025</v>
      </c>
      <c r="D2610" s="119" t="s">
        <v>833</v>
      </c>
      <c r="E2610" s="119" t="s">
        <v>1525</v>
      </c>
      <c r="F2610" s="120">
        <v>1</v>
      </c>
      <c r="G2610" s="120" t="s">
        <v>759</v>
      </c>
      <c r="H2610" s="169">
        <v>315400</v>
      </c>
      <c r="J2610"/>
      <c r="K2610"/>
    </row>
    <row r="2611" spans="1:11" x14ac:dyDescent="0.25">
      <c r="A2611" s="115">
        <v>2610</v>
      </c>
      <c r="B2611" s="167">
        <v>45980</v>
      </c>
      <c r="C2611" s="117">
        <v>2025</v>
      </c>
      <c r="D2611" s="119" t="s">
        <v>833</v>
      </c>
      <c r="E2611" s="119" t="s">
        <v>341</v>
      </c>
      <c r="F2611" s="120">
        <v>1</v>
      </c>
      <c r="G2611" s="120" t="s">
        <v>759</v>
      </c>
      <c r="H2611" s="169">
        <v>2200000</v>
      </c>
      <c r="J2611"/>
      <c r="K2611"/>
    </row>
    <row r="2612" spans="1:11" x14ac:dyDescent="0.25">
      <c r="A2612" s="115">
        <v>2611</v>
      </c>
      <c r="B2612" s="167">
        <v>45981</v>
      </c>
      <c r="C2612" s="117">
        <v>2025</v>
      </c>
      <c r="D2612" s="119" t="s">
        <v>35</v>
      </c>
      <c r="E2612" s="119" t="s">
        <v>398</v>
      </c>
      <c r="F2612" s="120">
        <v>3</v>
      </c>
      <c r="G2612" s="120" t="s">
        <v>759</v>
      </c>
      <c r="H2612" s="169">
        <v>18000</v>
      </c>
      <c r="J2612"/>
      <c r="K2612"/>
    </row>
    <row r="2613" spans="1:11" x14ac:dyDescent="0.25">
      <c r="A2613" s="115">
        <v>2612</v>
      </c>
      <c r="B2613" s="167">
        <v>45981</v>
      </c>
      <c r="C2613" s="117">
        <v>2025</v>
      </c>
      <c r="D2613" s="119" t="s">
        <v>35</v>
      </c>
      <c r="E2613" s="119" t="s">
        <v>180</v>
      </c>
      <c r="F2613" s="120">
        <v>20</v>
      </c>
      <c r="G2613" s="120" t="s">
        <v>759</v>
      </c>
      <c r="H2613" s="169">
        <v>50000</v>
      </c>
      <c r="J2613"/>
      <c r="K2613"/>
    </row>
    <row r="2614" spans="1:11" x14ac:dyDescent="0.25">
      <c r="A2614" s="115">
        <v>2613</v>
      </c>
      <c r="B2614" s="167">
        <v>45982</v>
      </c>
      <c r="C2614" s="117">
        <v>2025</v>
      </c>
      <c r="D2614" s="119" t="s">
        <v>833</v>
      </c>
      <c r="E2614" s="119" t="s">
        <v>87</v>
      </c>
      <c r="F2614" s="120">
        <v>12</v>
      </c>
      <c r="G2614" s="120" t="s">
        <v>759</v>
      </c>
      <c r="H2614" s="169">
        <v>20700</v>
      </c>
      <c r="J2614"/>
      <c r="K2614"/>
    </row>
    <row r="2615" spans="1:11" x14ac:dyDescent="0.25">
      <c r="A2615" s="115">
        <v>2614</v>
      </c>
      <c r="B2615" s="167">
        <v>45982</v>
      </c>
      <c r="C2615" s="117">
        <v>2025</v>
      </c>
      <c r="D2615" s="119" t="s">
        <v>833</v>
      </c>
      <c r="E2615" s="119" t="s">
        <v>1315</v>
      </c>
      <c r="F2615" s="120">
        <v>1</v>
      </c>
      <c r="G2615" s="120" t="s">
        <v>759</v>
      </c>
      <c r="H2615" s="169">
        <v>25899</v>
      </c>
      <c r="J2615"/>
      <c r="K2615"/>
    </row>
    <row r="2616" spans="1:11" x14ac:dyDescent="0.25">
      <c r="A2616" s="115">
        <v>2615</v>
      </c>
      <c r="B2616" s="167">
        <v>45982</v>
      </c>
      <c r="C2616" s="117">
        <v>2025</v>
      </c>
      <c r="D2616" s="119" t="s">
        <v>833</v>
      </c>
      <c r="E2616" s="119" t="s">
        <v>478</v>
      </c>
      <c r="F2616" s="120">
        <v>30</v>
      </c>
      <c r="G2616" s="120" t="s">
        <v>759</v>
      </c>
      <c r="H2616" s="169">
        <v>1092360</v>
      </c>
      <c r="J2616"/>
      <c r="K2616"/>
    </row>
    <row r="2617" spans="1:11" x14ac:dyDescent="0.25">
      <c r="A2617" s="115">
        <v>2616</v>
      </c>
      <c r="B2617" s="167">
        <v>45982</v>
      </c>
      <c r="C2617" s="117">
        <v>2025</v>
      </c>
      <c r="D2617" s="119" t="s">
        <v>833</v>
      </c>
      <c r="E2617" s="119" t="s">
        <v>478</v>
      </c>
      <c r="F2617" s="120">
        <v>75</v>
      </c>
      <c r="G2617" s="120" t="s">
        <v>759</v>
      </c>
      <c r="H2617" s="169">
        <v>2798700</v>
      </c>
      <c r="J2617"/>
      <c r="K2617"/>
    </row>
    <row r="2618" spans="1:11" x14ac:dyDescent="0.25">
      <c r="A2618" s="115">
        <v>2617</v>
      </c>
      <c r="B2618" s="167">
        <v>45982</v>
      </c>
      <c r="C2618" s="117">
        <v>2025</v>
      </c>
      <c r="D2618" s="119" t="s">
        <v>833</v>
      </c>
      <c r="E2618" s="119" t="s">
        <v>481</v>
      </c>
      <c r="F2618" s="120">
        <v>15</v>
      </c>
      <c r="G2618" s="120" t="s">
        <v>759</v>
      </c>
      <c r="H2618" s="169">
        <v>279405</v>
      </c>
      <c r="J2618"/>
      <c r="K2618"/>
    </row>
    <row r="2619" spans="1:11" x14ac:dyDescent="0.25">
      <c r="A2619" s="115">
        <v>2618</v>
      </c>
      <c r="B2619" s="167">
        <v>45982</v>
      </c>
      <c r="C2619" s="117">
        <v>2025</v>
      </c>
      <c r="D2619" s="119" t="s">
        <v>833</v>
      </c>
      <c r="E2619" s="119" t="s">
        <v>299</v>
      </c>
      <c r="F2619" s="120">
        <v>54</v>
      </c>
      <c r="G2619" s="120" t="s">
        <v>759</v>
      </c>
      <c r="H2619" s="169">
        <v>402516</v>
      </c>
      <c r="J2619"/>
      <c r="K2619"/>
    </row>
    <row r="2620" spans="1:11" x14ac:dyDescent="0.25">
      <c r="A2620" s="115">
        <v>2619</v>
      </c>
      <c r="B2620" s="167">
        <v>45982</v>
      </c>
      <c r="C2620" s="117">
        <v>2025</v>
      </c>
      <c r="D2620" s="119" t="s">
        <v>833</v>
      </c>
      <c r="E2620" s="119" t="s">
        <v>299</v>
      </c>
      <c r="F2620" s="120">
        <v>54</v>
      </c>
      <c r="G2620" s="120" t="s">
        <v>759</v>
      </c>
      <c r="H2620" s="169">
        <v>402516</v>
      </c>
      <c r="J2620"/>
      <c r="K2620"/>
    </row>
    <row r="2621" spans="1:11" x14ac:dyDescent="0.25">
      <c r="A2621" s="115">
        <v>2620</v>
      </c>
      <c r="B2621" s="167">
        <v>45982</v>
      </c>
      <c r="C2621" s="117">
        <v>2025</v>
      </c>
      <c r="D2621" s="119" t="s">
        <v>833</v>
      </c>
      <c r="E2621" s="119" t="s">
        <v>171</v>
      </c>
      <c r="F2621" s="120">
        <v>3</v>
      </c>
      <c r="G2621" s="120" t="s">
        <v>759</v>
      </c>
      <c r="H2621" s="169">
        <v>30792</v>
      </c>
      <c r="J2621"/>
      <c r="K2621"/>
    </row>
    <row r="2622" spans="1:11" x14ac:dyDescent="0.25">
      <c r="A2622" s="115">
        <v>2621</v>
      </c>
      <c r="B2622" s="167">
        <v>45982</v>
      </c>
      <c r="C2622" s="117">
        <v>2025</v>
      </c>
      <c r="D2622" s="119" t="s">
        <v>833</v>
      </c>
      <c r="E2622" s="119" t="s">
        <v>393</v>
      </c>
      <c r="F2622" s="120">
        <v>12</v>
      </c>
      <c r="G2622" s="120" t="s">
        <v>759</v>
      </c>
      <c r="H2622" s="169">
        <v>149508</v>
      </c>
      <c r="J2622"/>
      <c r="K2622"/>
    </row>
    <row r="2623" spans="1:11" x14ac:dyDescent="0.25">
      <c r="A2623" s="115">
        <v>2622</v>
      </c>
      <c r="B2623" s="167">
        <v>45982</v>
      </c>
      <c r="C2623" s="117">
        <v>2025</v>
      </c>
      <c r="D2623" s="119" t="s">
        <v>833</v>
      </c>
      <c r="E2623" s="119" t="s">
        <v>588</v>
      </c>
      <c r="F2623" s="120">
        <v>12</v>
      </c>
      <c r="G2623" s="120" t="s">
        <v>759</v>
      </c>
      <c r="H2623" s="169">
        <v>37596</v>
      </c>
      <c r="J2623"/>
      <c r="K2623"/>
    </row>
    <row r="2624" spans="1:11" x14ac:dyDescent="0.25">
      <c r="A2624" s="115">
        <v>2623</v>
      </c>
      <c r="B2624" s="167">
        <v>45983</v>
      </c>
      <c r="C2624" s="117">
        <v>2025</v>
      </c>
      <c r="D2624" s="119" t="s">
        <v>35</v>
      </c>
      <c r="E2624" s="119" t="s">
        <v>476</v>
      </c>
      <c r="F2624" s="120">
        <v>1</v>
      </c>
      <c r="G2624" s="120" t="s">
        <v>759</v>
      </c>
      <c r="H2624" s="169">
        <v>9898</v>
      </c>
      <c r="J2624"/>
      <c r="K2624"/>
    </row>
    <row r="2625" spans="1:11" x14ac:dyDescent="0.25">
      <c r="A2625" s="115">
        <v>2624</v>
      </c>
      <c r="B2625" s="167">
        <v>45983</v>
      </c>
      <c r="C2625" s="117">
        <v>2025</v>
      </c>
      <c r="D2625" s="119" t="s">
        <v>259</v>
      </c>
      <c r="E2625" s="119" t="s">
        <v>1482</v>
      </c>
      <c r="F2625" s="120">
        <v>2</v>
      </c>
      <c r="G2625" s="120" t="s">
        <v>759</v>
      </c>
      <c r="H2625" s="169">
        <v>1739500</v>
      </c>
      <c r="J2625"/>
      <c r="K2625"/>
    </row>
    <row r="2626" spans="1:11" x14ac:dyDescent="0.25">
      <c r="A2626" s="115">
        <v>2625</v>
      </c>
      <c r="B2626" s="167">
        <v>45983</v>
      </c>
      <c r="C2626" s="117">
        <v>2025</v>
      </c>
      <c r="D2626" s="119" t="s">
        <v>35</v>
      </c>
      <c r="E2626" s="119" t="s">
        <v>1486</v>
      </c>
      <c r="F2626" s="120">
        <v>2</v>
      </c>
      <c r="G2626" s="120" t="s">
        <v>759</v>
      </c>
      <c r="H2626" s="169">
        <v>150000</v>
      </c>
      <c r="J2626"/>
      <c r="K2626"/>
    </row>
    <row r="2627" spans="1:11" x14ac:dyDescent="0.25">
      <c r="A2627" s="115">
        <v>2626</v>
      </c>
      <c r="B2627" s="167">
        <v>45985</v>
      </c>
      <c r="C2627" s="117">
        <v>2025</v>
      </c>
      <c r="D2627" s="119" t="s">
        <v>35</v>
      </c>
      <c r="E2627" s="119" t="s">
        <v>1581</v>
      </c>
      <c r="F2627" s="120">
        <v>2</v>
      </c>
      <c r="G2627" s="120" t="s">
        <v>759</v>
      </c>
      <c r="H2627" s="169">
        <v>40000</v>
      </c>
      <c r="J2627"/>
      <c r="K2627"/>
    </row>
    <row r="2628" spans="1:11" x14ac:dyDescent="0.25">
      <c r="A2628" s="115">
        <v>2627</v>
      </c>
      <c r="B2628" s="167">
        <v>45985</v>
      </c>
      <c r="C2628" s="117">
        <v>2025</v>
      </c>
      <c r="D2628" s="119" t="s">
        <v>851</v>
      </c>
      <c r="E2628" s="119" t="s">
        <v>1580</v>
      </c>
      <c r="F2628" s="120">
        <v>1</v>
      </c>
      <c r="G2628" s="120" t="s">
        <v>759</v>
      </c>
      <c r="H2628" s="169">
        <v>35000</v>
      </c>
      <c r="J2628"/>
      <c r="K2628"/>
    </row>
    <row r="2629" spans="1:11" x14ac:dyDescent="0.25">
      <c r="A2629" s="115">
        <v>2628</v>
      </c>
      <c r="B2629" s="167">
        <v>45985</v>
      </c>
      <c r="C2629" s="117">
        <v>2025</v>
      </c>
      <c r="D2629" s="119" t="s">
        <v>851</v>
      </c>
      <c r="E2629" s="119" t="s">
        <v>1311</v>
      </c>
      <c r="F2629" s="120">
        <v>2</v>
      </c>
      <c r="G2629" s="120" t="s">
        <v>759</v>
      </c>
      <c r="H2629" s="169">
        <v>30000</v>
      </c>
      <c r="J2629"/>
      <c r="K2629"/>
    </row>
    <row r="2630" spans="1:11" x14ac:dyDescent="0.25">
      <c r="A2630" s="115">
        <v>2629</v>
      </c>
      <c r="B2630" s="167">
        <v>45985</v>
      </c>
      <c r="C2630" s="117">
        <v>2025</v>
      </c>
      <c r="D2630" s="119" t="s">
        <v>35</v>
      </c>
      <c r="E2630" s="119" t="s">
        <v>1582</v>
      </c>
      <c r="F2630" s="120">
        <v>1</v>
      </c>
      <c r="G2630" s="120" t="s">
        <v>759</v>
      </c>
      <c r="H2630" s="169">
        <v>47900</v>
      </c>
      <c r="J2630"/>
      <c r="K2630"/>
    </row>
    <row r="2631" spans="1:11" x14ac:dyDescent="0.25">
      <c r="A2631" s="115">
        <v>2630</v>
      </c>
      <c r="B2631" s="167">
        <v>45986</v>
      </c>
      <c r="C2631" s="117">
        <v>2025</v>
      </c>
      <c r="D2631" s="119" t="s">
        <v>35</v>
      </c>
      <c r="E2631" s="119" t="s">
        <v>739</v>
      </c>
      <c r="F2631" s="120">
        <v>75</v>
      </c>
      <c r="G2631" s="120" t="s">
        <v>759</v>
      </c>
      <c r="H2631" s="169">
        <v>600000</v>
      </c>
      <c r="J2631"/>
      <c r="K2631"/>
    </row>
    <row r="2632" spans="1:11" x14ac:dyDescent="0.25">
      <c r="A2632" s="115">
        <v>2631</v>
      </c>
      <c r="B2632" s="167">
        <v>45986</v>
      </c>
      <c r="C2632" s="117">
        <v>2025</v>
      </c>
      <c r="D2632" s="119" t="s">
        <v>851</v>
      </c>
      <c r="E2632" s="119" t="s">
        <v>1461</v>
      </c>
      <c r="F2632" s="120">
        <v>5</v>
      </c>
      <c r="G2632" s="120" t="s">
        <v>759</v>
      </c>
      <c r="H2632" s="169">
        <v>12500</v>
      </c>
      <c r="J2632"/>
      <c r="K2632"/>
    </row>
    <row r="2633" spans="1:11" x14ac:dyDescent="0.25">
      <c r="A2633" s="115">
        <v>2632</v>
      </c>
      <c r="B2633" s="167">
        <v>45986</v>
      </c>
      <c r="C2633" s="117">
        <v>2025</v>
      </c>
      <c r="D2633" s="119" t="s">
        <v>35</v>
      </c>
      <c r="E2633" s="119" t="s">
        <v>1583</v>
      </c>
      <c r="F2633" s="120">
        <v>1</v>
      </c>
      <c r="G2633" s="120" t="s">
        <v>759</v>
      </c>
      <c r="H2633" s="169">
        <v>11467</v>
      </c>
      <c r="J2633"/>
      <c r="K2633"/>
    </row>
    <row r="2634" spans="1:11" x14ac:dyDescent="0.25">
      <c r="A2634" s="115">
        <v>2633</v>
      </c>
      <c r="B2634" s="167">
        <v>45986</v>
      </c>
      <c r="C2634" s="117">
        <v>2025</v>
      </c>
      <c r="D2634" s="119" t="s">
        <v>259</v>
      </c>
      <c r="E2634" s="119" t="s">
        <v>762</v>
      </c>
      <c r="F2634" s="120">
        <v>1</v>
      </c>
      <c r="G2634" s="120" t="s">
        <v>759</v>
      </c>
      <c r="H2634" s="169">
        <v>4766300</v>
      </c>
      <c r="J2634"/>
      <c r="K2634"/>
    </row>
    <row r="2635" spans="1:11" x14ac:dyDescent="0.25">
      <c r="A2635" s="115">
        <v>2634</v>
      </c>
      <c r="B2635" s="167">
        <v>45986</v>
      </c>
      <c r="C2635" s="117">
        <v>2025</v>
      </c>
      <c r="D2635" s="119" t="s">
        <v>35</v>
      </c>
      <c r="E2635" s="119" t="s">
        <v>49</v>
      </c>
      <c r="F2635" s="120">
        <v>1</v>
      </c>
      <c r="G2635" s="120" t="s">
        <v>759</v>
      </c>
      <c r="H2635" s="169">
        <v>15000</v>
      </c>
      <c r="J2635"/>
      <c r="K2635"/>
    </row>
    <row r="2636" spans="1:11" x14ac:dyDescent="0.25">
      <c r="A2636" s="115">
        <v>2635</v>
      </c>
      <c r="B2636" s="167">
        <v>45986</v>
      </c>
      <c r="C2636" s="117">
        <v>2025</v>
      </c>
      <c r="D2636" s="119" t="s">
        <v>35</v>
      </c>
      <c r="E2636" s="119" t="s">
        <v>1563</v>
      </c>
      <c r="F2636" s="120">
        <v>1</v>
      </c>
      <c r="G2636" s="120" t="s">
        <v>759</v>
      </c>
      <c r="H2636" s="169">
        <v>3000</v>
      </c>
      <c r="J2636"/>
      <c r="K2636"/>
    </row>
    <row r="2637" spans="1:11" x14ac:dyDescent="0.25">
      <c r="A2637" s="115">
        <v>2636</v>
      </c>
      <c r="B2637" s="167">
        <v>45986</v>
      </c>
      <c r="C2637" s="117">
        <v>2025</v>
      </c>
      <c r="D2637" s="119" t="s">
        <v>35</v>
      </c>
      <c r="E2637" s="119" t="s">
        <v>1584</v>
      </c>
      <c r="F2637" s="120">
        <v>1</v>
      </c>
      <c r="G2637" s="120" t="s">
        <v>759</v>
      </c>
      <c r="H2637" s="169">
        <v>6650</v>
      </c>
      <c r="J2637"/>
      <c r="K2637"/>
    </row>
    <row r="2638" spans="1:11" x14ac:dyDescent="0.25">
      <c r="A2638" s="115">
        <v>2637</v>
      </c>
      <c r="B2638" s="167">
        <v>45987</v>
      </c>
      <c r="C2638" s="117">
        <v>2025</v>
      </c>
      <c r="D2638" s="119" t="s">
        <v>851</v>
      </c>
      <c r="E2638" s="119" t="s">
        <v>652</v>
      </c>
      <c r="F2638" s="120">
        <v>10</v>
      </c>
      <c r="G2638" s="120" t="s">
        <v>759</v>
      </c>
      <c r="H2638" s="169">
        <v>12040</v>
      </c>
      <c r="J2638"/>
      <c r="K2638"/>
    </row>
    <row r="2639" spans="1:11" x14ac:dyDescent="0.25">
      <c r="A2639" s="115">
        <v>2638</v>
      </c>
      <c r="B2639" s="167">
        <v>45987</v>
      </c>
      <c r="C2639" s="117">
        <v>2025</v>
      </c>
      <c r="D2639" s="119" t="s">
        <v>851</v>
      </c>
      <c r="E2639" s="119" t="s">
        <v>600</v>
      </c>
      <c r="F2639" s="120">
        <v>36</v>
      </c>
      <c r="G2639" s="120" t="s">
        <v>759</v>
      </c>
      <c r="H2639" s="169">
        <v>83556</v>
      </c>
      <c r="J2639"/>
      <c r="K2639"/>
    </row>
    <row r="2640" spans="1:11" x14ac:dyDescent="0.25">
      <c r="A2640" s="115">
        <v>2639</v>
      </c>
      <c r="B2640" s="167">
        <v>45987</v>
      </c>
      <c r="C2640" s="117">
        <v>2025</v>
      </c>
      <c r="D2640" s="119" t="s">
        <v>851</v>
      </c>
      <c r="E2640" s="119" t="s">
        <v>1066</v>
      </c>
      <c r="F2640" s="120">
        <v>1</v>
      </c>
      <c r="G2640" s="120" t="s">
        <v>759</v>
      </c>
      <c r="H2640" s="169">
        <v>9400</v>
      </c>
      <c r="J2640"/>
      <c r="K2640"/>
    </row>
    <row r="2641" spans="1:11" x14ac:dyDescent="0.25">
      <c r="A2641" s="115">
        <v>2640</v>
      </c>
      <c r="B2641" s="167">
        <v>45988</v>
      </c>
      <c r="C2641" s="117">
        <v>2025</v>
      </c>
      <c r="D2641" s="119" t="s">
        <v>35</v>
      </c>
      <c r="E2641" s="119" t="s">
        <v>211</v>
      </c>
      <c r="F2641" s="120">
        <v>10</v>
      </c>
      <c r="G2641" s="120" t="s">
        <v>759</v>
      </c>
      <c r="H2641" s="169">
        <v>210000</v>
      </c>
      <c r="J2641"/>
      <c r="K2641"/>
    </row>
    <row r="2642" spans="1:11" x14ac:dyDescent="0.25">
      <c r="A2642" s="115">
        <v>2641</v>
      </c>
      <c r="B2642" s="167">
        <v>45988</v>
      </c>
      <c r="C2642" s="117">
        <v>2025</v>
      </c>
      <c r="D2642" s="119" t="s">
        <v>35</v>
      </c>
      <c r="E2642" s="119" t="s">
        <v>211</v>
      </c>
      <c r="F2642" s="120">
        <v>5</v>
      </c>
      <c r="G2642" s="120" t="s">
        <v>759</v>
      </c>
      <c r="H2642" s="169">
        <v>95000</v>
      </c>
      <c r="J2642"/>
      <c r="K2642"/>
    </row>
    <row r="2643" spans="1:11" x14ac:dyDescent="0.25">
      <c r="A2643" s="115">
        <v>2642</v>
      </c>
      <c r="B2643" s="167">
        <v>45988</v>
      </c>
      <c r="C2643" s="117">
        <v>2025</v>
      </c>
      <c r="D2643" s="119" t="s">
        <v>35</v>
      </c>
      <c r="E2643" s="119" t="s">
        <v>211</v>
      </c>
      <c r="F2643" s="120">
        <v>3</v>
      </c>
      <c r="G2643" s="120" t="s">
        <v>759</v>
      </c>
      <c r="H2643" s="169">
        <v>58500</v>
      </c>
      <c r="J2643"/>
      <c r="K2643"/>
    </row>
    <row r="2644" spans="1:11" x14ac:dyDescent="0.25">
      <c r="A2644" s="115">
        <v>2643</v>
      </c>
      <c r="B2644" s="167">
        <v>45988</v>
      </c>
      <c r="C2644" s="117">
        <v>2025</v>
      </c>
      <c r="D2644" s="119" t="s">
        <v>35</v>
      </c>
      <c r="E2644" s="119" t="s">
        <v>403</v>
      </c>
      <c r="F2644" s="120">
        <v>3</v>
      </c>
      <c r="G2644" s="120" t="s">
        <v>759</v>
      </c>
      <c r="H2644" s="169">
        <v>367500</v>
      </c>
      <c r="J2644"/>
      <c r="K2644"/>
    </row>
    <row r="2645" spans="1:11" x14ac:dyDescent="0.25">
      <c r="A2645" s="115">
        <v>2644</v>
      </c>
      <c r="B2645" s="167">
        <v>45988</v>
      </c>
      <c r="C2645" s="117">
        <v>2025</v>
      </c>
      <c r="D2645" s="119" t="s">
        <v>35</v>
      </c>
      <c r="E2645" s="119" t="s">
        <v>405</v>
      </c>
      <c r="F2645" s="120">
        <v>3</v>
      </c>
      <c r="G2645" s="120" t="s">
        <v>759</v>
      </c>
      <c r="H2645" s="169">
        <v>540000</v>
      </c>
      <c r="J2645"/>
      <c r="K2645"/>
    </row>
    <row r="2646" spans="1:11" x14ac:dyDescent="0.25">
      <c r="A2646" s="115">
        <v>2645</v>
      </c>
      <c r="B2646" s="167">
        <v>45988</v>
      </c>
      <c r="C2646" s="117">
        <v>2025</v>
      </c>
      <c r="D2646" s="119" t="s">
        <v>35</v>
      </c>
      <c r="E2646" s="119" t="s">
        <v>1579</v>
      </c>
      <c r="F2646" s="120">
        <v>1</v>
      </c>
      <c r="G2646" s="120" t="s">
        <v>759</v>
      </c>
      <c r="H2646" s="169">
        <v>611900</v>
      </c>
      <c r="J2646"/>
      <c r="K2646"/>
    </row>
    <row r="2647" spans="1:11" x14ac:dyDescent="0.25">
      <c r="A2647" s="115">
        <v>2646</v>
      </c>
      <c r="B2647" s="167">
        <v>45989</v>
      </c>
      <c r="C2647" s="117">
        <v>2025</v>
      </c>
      <c r="D2647" s="119" t="s">
        <v>35</v>
      </c>
      <c r="E2647" s="119" t="s">
        <v>668</v>
      </c>
      <c r="F2647" s="120">
        <v>2</v>
      </c>
      <c r="G2647" s="120" t="s">
        <v>759</v>
      </c>
      <c r="H2647" s="169">
        <v>86500</v>
      </c>
      <c r="J2647"/>
      <c r="K2647"/>
    </row>
    <row r="2648" spans="1:11" x14ac:dyDescent="0.25">
      <c r="A2648" s="115">
        <v>2647</v>
      </c>
      <c r="B2648" s="167">
        <v>45992</v>
      </c>
      <c r="C2648" s="117">
        <v>2025</v>
      </c>
      <c r="D2648" s="119" t="s">
        <v>35</v>
      </c>
      <c r="E2648" s="119" t="s">
        <v>407</v>
      </c>
      <c r="F2648" s="120">
        <v>3</v>
      </c>
      <c r="G2648" s="120" t="s">
        <v>759</v>
      </c>
      <c r="H2648" s="169">
        <v>330000</v>
      </c>
      <c r="J2648"/>
      <c r="K2648"/>
    </row>
    <row r="2649" spans="1:11" x14ac:dyDescent="0.25">
      <c r="A2649" s="115">
        <v>2648</v>
      </c>
      <c r="B2649" s="167">
        <v>45992</v>
      </c>
      <c r="C2649" s="117">
        <v>2025</v>
      </c>
      <c r="D2649" s="119" t="s">
        <v>35</v>
      </c>
      <c r="E2649" s="119" t="s">
        <v>628</v>
      </c>
      <c r="F2649" s="120">
        <v>5</v>
      </c>
      <c r="G2649" s="120" t="s">
        <v>759</v>
      </c>
      <c r="H2649" s="169">
        <v>134960</v>
      </c>
      <c r="J2649"/>
      <c r="K2649"/>
    </row>
    <row r="2650" spans="1:11" x14ac:dyDescent="0.25">
      <c r="A2650" s="115">
        <v>2649</v>
      </c>
      <c r="B2650" s="167">
        <v>45992</v>
      </c>
      <c r="C2650" s="117">
        <v>2025</v>
      </c>
      <c r="D2650" s="119" t="s">
        <v>35</v>
      </c>
      <c r="E2650" s="119" t="s">
        <v>49</v>
      </c>
      <c r="F2650" s="120">
        <v>1</v>
      </c>
      <c r="G2650" s="120" t="s">
        <v>759</v>
      </c>
      <c r="H2650" s="169">
        <v>15000</v>
      </c>
      <c r="J2650"/>
      <c r="K2650"/>
    </row>
    <row r="2651" spans="1:11" x14ac:dyDescent="0.25">
      <c r="A2651" s="115">
        <v>2650</v>
      </c>
      <c r="B2651" s="167">
        <v>45992</v>
      </c>
      <c r="C2651" s="117">
        <v>2025</v>
      </c>
      <c r="D2651" s="119" t="s">
        <v>35</v>
      </c>
      <c r="E2651" s="119" t="s">
        <v>1563</v>
      </c>
      <c r="F2651" s="120">
        <v>1</v>
      </c>
      <c r="G2651" s="120" t="s">
        <v>759</v>
      </c>
      <c r="H2651" s="169">
        <v>3000</v>
      </c>
      <c r="J2651"/>
      <c r="K2651"/>
    </row>
    <row r="2652" spans="1:11" x14ac:dyDescent="0.25">
      <c r="A2652" s="115">
        <v>2651</v>
      </c>
      <c r="B2652" s="167">
        <v>45993</v>
      </c>
      <c r="C2652" s="117">
        <v>2025</v>
      </c>
      <c r="D2652" s="119" t="s">
        <v>35</v>
      </c>
      <c r="E2652" s="119" t="s">
        <v>1133</v>
      </c>
      <c r="F2652" s="120">
        <v>1</v>
      </c>
      <c r="G2652" s="120" t="s">
        <v>759</v>
      </c>
      <c r="H2652" s="169">
        <v>10299</v>
      </c>
      <c r="J2652"/>
      <c r="K2652"/>
    </row>
    <row r="2653" spans="1:11" x14ac:dyDescent="0.25">
      <c r="A2653" s="115">
        <v>2652</v>
      </c>
      <c r="B2653" s="167">
        <v>45993</v>
      </c>
      <c r="C2653" s="117">
        <v>2025</v>
      </c>
      <c r="D2653" s="119" t="s">
        <v>259</v>
      </c>
      <c r="E2653" s="119" t="s">
        <v>1479</v>
      </c>
      <c r="F2653" s="120">
        <v>1</v>
      </c>
      <c r="G2653" s="120" t="s">
        <v>759</v>
      </c>
      <c r="H2653" s="169">
        <v>1337500</v>
      </c>
      <c r="J2653"/>
      <c r="K2653"/>
    </row>
    <row r="2654" spans="1:11" x14ac:dyDescent="0.25">
      <c r="A2654" s="115">
        <v>2653</v>
      </c>
      <c r="B2654" s="167">
        <v>45993</v>
      </c>
      <c r="C2654" s="117">
        <v>2025</v>
      </c>
      <c r="D2654" s="119" t="s">
        <v>259</v>
      </c>
      <c r="E2654" s="119" t="s">
        <v>1585</v>
      </c>
      <c r="F2654" s="120">
        <v>2</v>
      </c>
      <c r="G2654" s="120" t="s">
        <v>759</v>
      </c>
      <c r="H2654" s="169">
        <v>365900</v>
      </c>
      <c r="J2654"/>
      <c r="K2654"/>
    </row>
    <row r="2655" spans="1:11" x14ac:dyDescent="0.25">
      <c r="A2655" s="115">
        <v>2654</v>
      </c>
      <c r="B2655" s="167">
        <v>45993</v>
      </c>
      <c r="C2655" s="117">
        <v>2025</v>
      </c>
      <c r="D2655" s="119" t="s">
        <v>259</v>
      </c>
      <c r="E2655" s="119" t="s">
        <v>760</v>
      </c>
      <c r="F2655" s="120">
        <v>1</v>
      </c>
      <c r="G2655" s="120" t="s">
        <v>759</v>
      </c>
      <c r="H2655" s="169">
        <v>206900</v>
      </c>
      <c r="J2655"/>
      <c r="K2655"/>
    </row>
    <row r="2656" spans="1:11" x14ac:dyDescent="0.25">
      <c r="A2656" s="115">
        <v>2655</v>
      </c>
      <c r="B2656" s="167">
        <v>45993</v>
      </c>
      <c r="C2656" s="117">
        <v>2025</v>
      </c>
      <c r="D2656" s="119" t="s">
        <v>35</v>
      </c>
      <c r="E2656" s="119" t="s">
        <v>1586</v>
      </c>
      <c r="F2656" s="120">
        <v>1</v>
      </c>
      <c r="G2656" s="120" t="s">
        <v>759</v>
      </c>
      <c r="H2656" s="169">
        <v>100894</v>
      </c>
      <c r="J2656"/>
      <c r="K2656"/>
    </row>
    <row r="2657" spans="1:11" x14ac:dyDescent="0.25">
      <c r="A2657" s="115">
        <v>2656</v>
      </c>
      <c r="B2657" s="167">
        <v>45993</v>
      </c>
      <c r="C2657" s="117">
        <v>2025</v>
      </c>
      <c r="D2657" s="119" t="s">
        <v>259</v>
      </c>
      <c r="E2657" s="119" t="s">
        <v>1587</v>
      </c>
      <c r="F2657" s="120">
        <v>1</v>
      </c>
      <c r="G2657" s="120" t="s">
        <v>759</v>
      </c>
      <c r="H2657" s="169">
        <v>701500</v>
      </c>
      <c r="J2657"/>
      <c r="K2657"/>
    </row>
    <row r="2658" spans="1:11" x14ac:dyDescent="0.25">
      <c r="A2658" s="115">
        <v>2657</v>
      </c>
      <c r="B2658" s="167">
        <v>45993</v>
      </c>
      <c r="C2658" s="117">
        <v>2025</v>
      </c>
      <c r="D2658" s="119" t="s">
        <v>259</v>
      </c>
      <c r="E2658" s="119" t="s">
        <v>1588</v>
      </c>
      <c r="F2658" s="120">
        <v>1</v>
      </c>
      <c r="G2658" s="120" t="s">
        <v>759</v>
      </c>
      <c r="H2658" s="169">
        <v>906700</v>
      </c>
      <c r="J2658"/>
      <c r="K2658"/>
    </row>
    <row r="2659" spans="1:11" x14ac:dyDescent="0.25">
      <c r="A2659" s="115">
        <v>2658</v>
      </c>
      <c r="B2659" s="167">
        <v>45993</v>
      </c>
      <c r="C2659" s="117">
        <v>2025</v>
      </c>
      <c r="D2659" s="119" t="s">
        <v>259</v>
      </c>
      <c r="E2659" s="119" t="s">
        <v>1589</v>
      </c>
      <c r="F2659" s="120">
        <v>1</v>
      </c>
      <c r="G2659" s="120" t="s">
        <v>759</v>
      </c>
      <c r="H2659" s="169">
        <v>146900</v>
      </c>
      <c r="J2659"/>
      <c r="K2659"/>
    </row>
    <row r="2660" spans="1:11" x14ac:dyDescent="0.25">
      <c r="A2660" s="115">
        <v>2659</v>
      </c>
      <c r="B2660" s="167">
        <v>45993</v>
      </c>
      <c r="C2660" s="117">
        <v>2025</v>
      </c>
      <c r="D2660" s="119" t="s">
        <v>259</v>
      </c>
      <c r="E2660" s="119" t="s">
        <v>335</v>
      </c>
      <c r="F2660" s="120">
        <v>1</v>
      </c>
      <c r="G2660" s="120" t="s">
        <v>759</v>
      </c>
      <c r="H2660" s="169">
        <v>141900</v>
      </c>
      <c r="J2660"/>
      <c r="K2660"/>
    </row>
    <row r="2661" spans="1:11" x14ac:dyDescent="0.25">
      <c r="A2661" s="115">
        <v>2660</v>
      </c>
      <c r="B2661" s="167">
        <v>45993</v>
      </c>
      <c r="C2661" s="117">
        <v>2025</v>
      </c>
      <c r="D2661" s="119" t="s">
        <v>259</v>
      </c>
      <c r="E2661" s="119" t="s">
        <v>989</v>
      </c>
      <c r="F2661" s="120">
        <v>1</v>
      </c>
      <c r="G2661" s="120" t="s">
        <v>759</v>
      </c>
      <c r="H2661" s="169">
        <v>712500</v>
      </c>
      <c r="J2661"/>
      <c r="K2661"/>
    </row>
    <row r="2662" spans="1:11" x14ac:dyDescent="0.25">
      <c r="A2662" s="115">
        <v>2661</v>
      </c>
      <c r="B2662" s="167">
        <v>45993</v>
      </c>
      <c r="C2662" s="117">
        <v>2025</v>
      </c>
      <c r="D2662" s="119" t="s">
        <v>35</v>
      </c>
      <c r="E2662" s="119" t="s">
        <v>1030</v>
      </c>
      <c r="F2662" s="120">
        <v>1</v>
      </c>
      <c r="G2662" s="120" t="s">
        <v>759</v>
      </c>
      <c r="H2662" s="169">
        <v>17900</v>
      </c>
      <c r="J2662"/>
      <c r="K2662"/>
    </row>
    <row r="2663" spans="1:11" x14ac:dyDescent="0.25">
      <c r="A2663" s="115">
        <v>2662</v>
      </c>
      <c r="B2663" s="167">
        <v>45993</v>
      </c>
      <c r="C2663" s="117">
        <v>2025</v>
      </c>
      <c r="D2663" s="119" t="s">
        <v>259</v>
      </c>
      <c r="E2663" s="119" t="s">
        <v>990</v>
      </c>
      <c r="F2663" s="120">
        <v>1</v>
      </c>
      <c r="G2663" s="120" t="s">
        <v>759</v>
      </c>
      <c r="H2663" s="169">
        <v>462500</v>
      </c>
      <c r="J2663"/>
      <c r="K2663"/>
    </row>
    <row r="2664" spans="1:11" x14ac:dyDescent="0.25">
      <c r="A2664" s="115">
        <v>2663</v>
      </c>
      <c r="B2664" s="167">
        <v>45993</v>
      </c>
      <c r="C2664" s="117">
        <v>2025</v>
      </c>
      <c r="D2664" s="119" t="s">
        <v>851</v>
      </c>
      <c r="E2664" s="119" t="s">
        <v>1431</v>
      </c>
      <c r="F2664" s="120">
        <v>1</v>
      </c>
      <c r="G2664" s="120" t="s">
        <v>759</v>
      </c>
      <c r="H2664" s="169">
        <v>13250</v>
      </c>
      <c r="J2664"/>
      <c r="K2664"/>
    </row>
    <row r="2665" spans="1:11" x14ac:dyDescent="0.25">
      <c r="A2665" s="115">
        <v>2664</v>
      </c>
      <c r="B2665" s="167">
        <v>45993</v>
      </c>
      <c r="C2665" s="117">
        <v>2025</v>
      </c>
      <c r="D2665" s="119" t="s">
        <v>259</v>
      </c>
      <c r="E2665" s="119" t="s">
        <v>338</v>
      </c>
      <c r="F2665" s="120">
        <v>1</v>
      </c>
      <c r="G2665" s="120" t="s">
        <v>759</v>
      </c>
      <c r="H2665" s="169">
        <v>505000</v>
      </c>
      <c r="J2665"/>
      <c r="K2665"/>
    </row>
    <row r="2666" spans="1:11" x14ac:dyDescent="0.25">
      <c r="A2666" s="115">
        <v>2665</v>
      </c>
      <c r="B2666" s="167">
        <v>45993</v>
      </c>
      <c r="C2666" s="117">
        <v>2025</v>
      </c>
      <c r="D2666" s="119" t="s">
        <v>259</v>
      </c>
      <c r="E2666" s="119" t="s">
        <v>1590</v>
      </c>
      <c r="F2666" s="120">
        <v>1</v>
      </c>
      <c r="G2666" s="120" t="s">
        <v>759</v>
      </c>
      <c r="H2666" s="169">
        <v>20620</v>
      </c>
      <c r="J2666"/>
      <c r="K2666"/>
    </row>
    <row r="2667" spans="1:11" x14ac:dyDescent="0.25">
      <c r="A2667" s="115">
        <v>2666</v>
      </c>
      <c r="B2667" s="167">
        <v>45993</v>
      </c>
      <c r="C2667" s="117">
        <v>2025</v>
      </c>
      <c r="D2667" s="119" t="s">
        <v>259</v>
      </c>
      <c r="E2667" s="119" t="s">
        <v>1591</v>
      </c>
      <c r="F2667" s="120">
        <v>1</v>
      </c>
      <c r="G2667" s="120" t="s">
        <v>759</v>
      </c>
      <c r="H2667" s="169">
        <v>1101500</v>
      </c>
      <c r="J2667"/>
      <c r="K2667"/>
    </row>
    <row r="2668" spans="1:11" x14ac:dyDescent="0.25">
      <c r="A2668" s="115">
        <v>2667</v>
      </c>
      <c r="B2668" s="167">
        <v>45994</v>
      </c>
      <c r="C2668" s="117">
        <v>2025</v>
      </c>
      <c r="D2668" s="119" t="s">
        <v>851</v>
      </c>
      <c r="E2668" s="119" t="s">
        <v>175</v>
      </c>
      <c r="F2668" s="120">
        <v>100</v>
      </c>
      <c r="G2668" s="120" t="s">
        <v>759</v>
      </c>
      <c r="H2668" s="169">
        <v>31400</v>
      </c>
      <c r="J2668"/>
      <c r="K2668"/>
    </row>
    <row r="2669" spans="1:11" x14ac:dyDescent="0.25">
      <c r="A2669" s="115">
        <v>2668</v>
      </c>
      <c r="B2669" s="167">
        <v>45994</v>
      </c>
      <c r="C2669" s="117">
        <v>2025</v>
      </c>
      <c r="D2669" s="119" t="s">
        <v>35</v>
      </c>
      <c r="E2669" s="119" t="s">
        <v>1592</v>
      </c>
      <c r="F2669" s="120">
        <v>1</v>
      </c>
      <c r="G2669" s="120" t="s">
        <v>759</v>
      </c>
      <c r="H2669" s="169">
        <v>250000</v>
      </c>
      <c r="J2669"/>
      <c r="K2669"/>
    </row>
    <row r="2670" spans="1:11" x14ac:dyDescent="0.25">
      <c r="A2670" s="115">
        <v>2669</v>
      </c>
      <c r="B2670" s="167">
        <v>45994</v>
      </c>
      <c r="C2670" s="117">
        <v>2025</v>
      </c>
      <c r="D2670" s="119" t="s">
        <v>35</v>
      </c>
      <c r="E2670" s="119" t="s">
        <v>124</v>
      </c>
      <c r="F2670" s="120">
        <v>1</v>
      </c>
      <c r="G2670" s="120" t="s">
        <v>759</v>
      </c>
      <c r="H2670" s="169">
        <v>7280000</v>
      </c>
      <c r="J2670"/>
      <c r="K2670"/>
    </row>
    <row r="2671" spans="1:11" x14ac:dyDescent="0.25">
      <c r="A2671" s="115">
        <v>2670</v>
      </c>
      <c r="B2671" s="167">
        <v>45994</v>
      </c>
      <c r="C2671" s="117">
        <v>2025</v>
      </c>
      <c r="D2671" s="119" t="s">
        <v>851</v>
      </c>
      <c r="E2671" s="119" t="s">
        <v>107</v>
      </c>
      <c r="F2671" s="120">
        <v>3</v>
      </c>
      <c r="G2671" s="120" t="s">
        <v>759</v>
      </c>
      <c r="H2671" s="169">
        <v>37902</v>
      </c>
      <c r="J2671"/>
      <c r="K2671"/>
    </row>
    <row r="2672" spans="1:11" x14ac:dyDescent="0.25">
      <c r="A2672" s="115">
        <v>2671</v>
      </c>
      <c r="B2672" s="167">
        <v>45994</v>
      </c>
      <c r="C2672" s="117">
        <v>2025</v>
      </c>
      <c r="D2672" s="119" t="s">
        <v>851</v>
      </c>
      <c r="E2672" s="119" t="s">
        <v>84</v>
      </c>
      <c r="F2672" s="120">
        <v>2</v>
      </c>
      <c r="G2672" s="120" t="s">
        <v>759</v>
      </c>
      <c r="H2672" s="169">
        <v>27900</v>
      </c>
      <c r="J2672"/>
      <c r="K2672"/>
    </row>
    <row r="2673" spans="1:11" x14ac:dyDescent="0.25">
      <c r="A2673" s="115">
        <v>2672</v>
      </c>
      <c r="B2673" s="167">
        <v>45995</v>
      </c>
      <c r="C2673" s="117">
        <v>2025</v>
      </c>
      <c r="D2673" s="119" t="s">
        <v>35</v>
      </c>
      <c r="E2673" s="119" t="s">
        <v>853</v>
      </c>
      <c r="F2673" s="120">
        <v>1</v>
      </c>
      <c r="G2673" s="120" t="s">
        <v>759</v>
      </c>
      <c r="H2673" s="169">
        <v>7900</v>
      </c>
      <c r="J2673"/>
      <c r="K2673"/>
    </row>
    <row r="2674" spans="1:11" x14ac:dyDescent="0.25">
      <c r="A2674" s="115">
        <v>2673</v>
      </c>
      <c r="B2674" s="167">
        <v>45996</v>
      </c>
      <c r="C2674" s="117">
        <v>2025</v>
      </c>
      <c r="D2674" s="119" t="s">
        <v>35</v>
      </c>
      <c r="E2674" s="119" t="s">
        <v>1550</v>
      </c>
      <c r="F2674" s="120">
        <v>1</v>
      </c>
      <c r="G2674" s="120" t="s">
        <v>759</v>
      </c>
      <c r="H2674" s="169">
        <v>92500</v>
      </c>
      <c r="J2674"/>
      <c r="K2674"/>
    </row>
    <row r="2675" spans="1:11" x14ac:dyDescent="0.25">
      <c r="A2675" s="115">
        <v>2674</v>
      </c>
      <c r="B2675" s="167">
        <v>45996</v>
      </c>
      <c r="C2675" s="117">
        <v>2025</v>
      </c>
      <c r="D2675" s="119" t="s">
        <v>35</v>
      </c>
      <c r="E2675" s="119" t="s">
        <v>1550</v>
      </c>
      <c r="F2675" s="120">
        <v>1</v>
      </c>
      <c r="G2675" s="120" t="s">
        <v>759</v>
      </c>
      <c r="H2675" s="169">
        <v>92500</v>
      </c>
      <c r="J2675"/>
      <c r="K2675"/>
    </row>
    <row r="2676" spans="1:11" x14ac:dyDescent="0.25">
      <c r="A2676" s="115">
        <v>2675</v>
      </c>
      <c r="B2676" s="167">
        <v>45996</v>
      </c>
      <c r="C2676" s="117">
        <v>2025</v>
      </c>
      <c r="D2676" s="119" t="s">
        <v>35</v>
      </c>
      <c r="E2676" s="119" t="s">
        <v>1461</v>
      </c>
      <c r="F2676" s="120">
        <v>4</v>
      </c>
      <c r="G2676" s="120" t="s">
        <v>759</v>
      </c>
      <c r="H2676" s="169">
        <v>12000</v>
      </c>
      <c r="J2676"/>
      <c r="K2676"/>
    </row>
    <row r="2677" spans="1:11" x14ac:dyDescent="0.25">
      <c r="A2677" s="115">
        <v>2676</v>
      </c>
      <c r="B2677" s="167">
        <v>45997</v>
      </c>
      <c r="C2677" s="117">
        <v>2025</v>
      </c>
      <c r="D2677" s="119" t="s">
        <v>35</v>
      </c>
      <c r="E2677" s="119" t="s">
        <v>761</v>
      </c>
      <c r="F2677" s="120">
        <v>4</v>
      </c>
      <c r="G2677" s="120" t="s">
        <v>759</v>
      </c>
      <c r="H2677" s="169">
        <v>9000000</v>
      </c>
      <c r="J2677"/>
      <c r="K2677"/>
    </row>
    <row r="2678" spans="1:11" x14ac:dyDescent="0.25">
      <c r="A2678" s="115">
        <v>2677</v>
      </c>
      <c r="B2678" s="167">
        <v>45997</v>
      </c>
      <c r="C2678" s="117">
        <v>2025</v>
      </c>
      <c r="D2678" s="119" t="s">
        <v>259</v>
      </c>
      <c r="E2678" s="119" t="s">
        <v>1574</v>
      </c>
      <c r="F2678" s="120">
        <v>1</v>
      </c>
      <c r="G2678" s="120" t="s">
        <v>759</v>
      </c>
      <c r="H2678" s="169">
        <v>15000</v>
      </c>
      <c r="J2678"/>
      <c r="K2678"/>
    </row>
    <row r="2679" spans="1:11" x14ac:dyDescent="0.25">
      <c r="A2679" s="115">
        <v>2678</v>
      </c>
      <c r="B2679" s="167">
        <v>45997</v>
      </c>
      <c r="C2679" s="117">
        <v>2025</v>
      </c>
      <c r="D2679" s="119" t="s">
        <v>35</v>
      </c>
      <c r="E2679" s="119" t="s">
        <v>571</v>
      </c>
      <c r="F2679" s="120">
        <v>2</v>
      </c>
      <c r="G2679" s="120" t="s">
        <v>759</v>
      </c>
      <c r="H2679" s="169">
        <v>34000</v>
      </c>
      <c r="J2679"/>
      <c r="K2679"/>
    </row>
    <row r="2680" spans="1:11" x14ac:dyDescent="0.25">
      <c r="A2680" s="115">
        <v>2679</v>
      </c>
      <c r="B2680" s="167">
        <v>45997</v>
      </c>
      <c r="C2680" s="117">
        <v>2025</v>
      </c>
      <c r="D2680" s="119" t="s">
        <v>35</v>
      </c>
      <c r="E2680" s="119" t="s">
        <v>573</v>
      </c>
      <c r="F2680" s="120">
        <v>2</v>
      </c>
      <c r="G2680" s="120" t="s">
        <v>759</v>
      </c>
      <c r="H2680" s="169">
        <v>34000</v>
      </c>
      <c r="J2680"/>
      <c r="K2680"/>
    </row>
    <row r="2681" spans="1:11" x14ac:dyDescent="0.25">
      <c r="A2681" s="115">
        <v>2680</v>
      </c>
      <c r="B2681" s="167">
        <v>45997</v>
      </c>
      <c r="C2681" s="117">
        <v>2025</v>
      </c>
      <c r="D2681" s="119" t="s">
        <v>35</v>
      </c>
      <c r="E2681" s="119" t="s">
        <v>573</v>
      </c>
      <c r="F2681" s="120">
        <v>2</v>
      </c>
      <c r="G2681" s="120" t="s">
        <v>759</v>
      </c>
      <c r="H2681" s="169">
        <v>21900</v>
      </c>
      <c r="J2681"/>
      <c r="K2681"/>
    </row>
    <row r="2682" spans="1:11" x14ac:dyDescent="0.25">
      <c r="A2682" s="115">
        <v>2681</v>
      </c>
      <c r="B2682" s="167">
        <v>45997</v>
      </c>
      <c r="C2682" s="117">
        <v>2025</v>
      </c>
      <c r="D2682" s="119" t="s">
        <v>35</v>
      </c>
      <c r="E2682" s="119" t="s">
        <v>963</v>
      </c>
      <c r="F2682" s="120">
        <v>1</v>
      </c>
      <c r="G2682" s="120" t="s">
        <v>759</v>
      </c>
      <c r="H2682" s="169">
        <v>85500</v>
      </c>
      <c r="J2682"/>
      <c r="K2682"/>
    </row>
    <row r="2683" spans="1:11" x14ac:dyDescent="0.25">
      <c r="A2683" s="115">
        <v>2682</v>
      </c>
      <c r="B2683" s="167">
        <v>45999</v>
      </c>
      <c r="C2683" s="117">
        <v>2025</v>
      </c>
      <c r="D2683" s="119" t="s">
        <v>1118</v>
      </c>
      <c r="E2683" s="119" t="s">
        <v>28</v>
      </c>
      <c r="F2683" s="120">
        <v>1</v>
      </c>
      <c r="G2683" s="120" t="s">
        <v>759</v>
      </c>
      <c r="H2683" s="169">
        <v>700000</v>
      </c>
      <c r="J2683"/>
      <c r="K2683"/>
    </row>
    <row r="2684" spans="1:11" x14ac:dyDescent="0.25">
      <c r="A2684" s="115">
        <v>2683</v>
      </c>
      <c r="B2684" s="167">
        <v>46000</v>
      </c>
      <c r="C2684" s="117">
        <v>2025</v>
      </c>
      <c r="D2684" s="119" t="s">
        <v>259</v>
      </c>
      <c r="E2684" s="119" t="s">
        <v>1315</v>
      </c>
      <c r="F2684" s="120">
        <v>1</v>
      </c>
      <c r="G2684" s="120" t="s">
        <v>759</v>
      </c>
      <c r="H2684" s="169">
        <v>31396</v>
      </c>
      <c r="J2684"/>
      <c r="K2684"/>
    </row>
    <row r="2685" spans="1:11" x14ac:dyDescent="0.25">
      <c r="A2685" s="115">
        <v>2684</v>
      </c>
      <c r="B2685" s="167">
        <v>46001</v>
      </c>
      <c r="C2685" s="117">
        <v>2025</v>
      </c>
      <c r="D2685" s="119" t="s">
        <v>35</v>
      </c>
      <c r="E2685" s="119" t="s">
        <v>1593</v>
      </c>
      <c r="F2685" s="120">
        <v>1</v>
      </c>
      <c r="G2685" s="120" t="s">
        <v>759</v>
      </c>
      <c r="H2685" s="169">
        <v>23100</v>
      </c>
      <c r="J2685"/>
      <c r="K2685"/>
    </row>
    <row r="2686" spans="1:11" x14ac:dyDescent="0.25">
      <c r="A2686" s="115">
        <v>2685</v>
      </c>
      <c r="B2686" s="167">
        <v>46001</v>
      </c>
      <c r="C2686" s="117">
        <v>2025</v>
      </c>
      <c r="D2686" s="119" t="s">
        <v>35</v>
      </c>
      <c r="E2686" s="119" t="s">
        <v>1594</v>
      </c>
      <c r="F2686" s="120">
        <v>1</v>
      </c>
      <c r="G2686" s="120" t="s">
        <v>759</v>
      </c>
      <c r="H2686" s="169">
        <v>8500</v>
      </c>
      <c r="J2686"/>
      <c r="K2686"/>
    </row>
    <row r="2687" spans="1:11" x14ac:dyDescent="0.25">
      <c r="A2687" s="115">
        <v>2686</v>
      </c>
      <c r="B2687" s="167">
        <v>46001</v>
      </c>
      <c r="C2687" s="117">
        <v>2025</v>
      </c>
      <c r="D2687" s="119" t="s">
        <v>35</v>
      </c>
      <c r="E2687" s="119" t="s">
        <v>1595</v>
      </c>
      <c r="F2687" s="120">
        <v>1</v>
      </c>
      <c r="G2687" s="120" t="s">
        <v>759</v>
      </c>
      <c r="H2687" s="169">
        <v>55000</v>
      </c>
      <c r="J2687"/>
      <c r="K2687"/>
    </row>
    <row r="2688" spans="1:11" x14ac:dyDescent="0.25">
      <c r="A2688" s="115">
        <v>2687</v>
      </c>
      <c r="B2688" s="167">
        <v>46001</v>
      </c>
      <c r="C2688" s="117">
        <v>2025</v>
      </c>
      <c r="D2688" s="119" t="s">
        <v>35</v>
      </c>
      <c r="E2688" s="119" t="s">
        <v>1596</v>
      </c>
      <c r="F2688" s="120">
        <v>1</v>
      </c>
      <c r="G2688" s="120" t="s">
        <v>759</v>
      </c>
      <c r="H2688" s="169">
        <v>44900</v>
      </c>
      <c r="J2688"/>
      <c r="K2688"/>
    </row>
    <row r="2689" spans="1:11" x14ac:dyDescent="0.25">
      <c r="A2689" s="115">
        <v>2688</v>
      </c>
      <c r="B2689" s="167">
        <v>46001</v>
      </c>
      <c r="C2689" s="117">
        <v>2025</v>
      </c>
      <c r="D2689" s="119" t="s">
        <v>35</v>
      </c>
      <c r="E2689" s="119" t="s">
        <v>365</v>
      </c>
      <c r="F2689" s="120">
        <v>2</v>
      </c>
      <c r="G2689" s="120" t="s">
        <v>759</v>
      </c>
      <c r="H2689" s="169">
        <v>5000</v>
      </c>
      <c r="J2689"/>
      <c r="K2689"/>
    </row>
    <row r="2690" spans="1:11" x14ac:dyDescent="0.25">
      <c r="A2690" s="115">
        <v>2689</v>
      </c>
      <c r="B2690" s="167">
        <v>46001</v>
      </c>
      <c r="C2690" s="117">
        <v>2025</v>
      </c>
      <c r="D2690" s="119" t="s">
        <v>35</v>
      </c>
      <c r="E2690" s="119" t="s">
        <v>186</v>
      </c>
      <c r="F2690" s="120">
        <v>1</v>
      </c>
      <c r="G2690" s="120" t="s">
        <v>759</v>
      </c>
      <c r="H2690" s="169">
        <v>87500</v>
      </c>
      <c r="J2690"/>
      <c r="K2690"/>
    </row>
    <row r="2691" spans="1:11" x14ac:dyDescent="0.25">
      <c r="A2691" s="115">
        <v>2690</v>
      </c>
      <c r="B2691" s="167">
        <v>46001</v>
      </c>
      <c r="C2691" s="117">
        <v>2025</v>
      </c>
      <c r="D2691" s="119" t="s">
        <v>35</v>
      </c>
      <c r="E2691" s="119" t="s">
        <v>240</v>
      </c>
      <c r="F2691" s="120">
        <v>1</v>
      </c>
      <c r="G2691" s="120" t="s">
        <v>759</v>
      </c>
      <c r="H2691" s="169">
        <v>9025</v>
      </c>
      <c r="J2691"/>
      <c r="K2691"/>
    </row>
    <row r="2692" spans="1:11" x14ac:dyDescent="0.25">
      <c r="A2692" s="115">
        <v>2691</v>
      </c>
      <c r="B2692" s="167">
        <v>46002</v>
      </c>
      <c r="C2692" s="117">
        <v>2025</v>
      </c>
      <c r="D2692" s="119" t="s">
        <v>35</v>
      </c>
      <c r="E2692" s="119" t="s">
        <v>403</v>
      </c>
      <c r="F2692" s="120">
        <v>3</v>
      </c>
      <c r="G2692" s="120" t="s">
        <v>759</v>
      </c>
      <c r="H2692" s="169">
        <v>367500</v>
      </c>
      <c r="J2692"/>
      <c r="K2692"/>
    </row>
    <row r="2693" spans="1:11" x14ac:dyDescent="0.25">
      <c r="A2693" s="115">
        <v>2692</v>
      </c>
      <c r="B2693" s="167">
        <v>46002</v>
      </c>
      <c r="C2693" s="117">
        <v>2025</v>
      </c>
      <c r="D2693" s="119" t="s">
        <v>35</v>
      </c>
      <c r="E2693" s="119" t="s">
        <v>405</v>
      </c>
      <c r="F2693" s="120">
        <v>3</v>
      </c>
      <c r="G2693" s="120" t="s">
        <v>759</v>
      </c>
      <c r="H2693" s="169">
        <v>540000</v>
      </c>
      <c r="J2693"/>
      <c r="K2693"/>
    </row>
    <row r="2694" spans="1:11" x14ac:dyDescent="0.25">
      <c r="A2694" s="115">
        <v>2693</v>
      </c>
      <c r="B2694" s="167">
        <v>46002</v>
      </c>
      <c r="C2694" s="117">
        <v>2025</v>
      </c>
      <c r="D2694" s="119" t="s">
        <v>35</v>
      </c>
      <c r="E2694" s="119" t="s">
        <v>1542</v>
      </c>
      <c r="F2694" s="120">
        <v>1</v>
      </c>
      <c r="G2694" s="120" t="s">
        <v>759</v>
      </c>
      <c r="H2694" s="169">
        <v>7777</v>
      </c>
      <c r="J2694"/>
      <c r="K2694"/>
    </row>
    <row r="2695" spans="1:11" x14ac:dyDescent="0.25">
      <c r="A2695" s="115">
        <v>2694</v>
      </c>
      <c r="B2695" s="167">
        <v>46002</v>
      </c>
      <c r="C2695" s="117">
        <v>2025</v>
      </c>
      <c r="D2695" s="119" t="s">
        <v>35</v>
      </c>
      <c r="E2695" s="119" t="s">
        <v>1119</v>
      </c>
      <c r="F2695" s="120">
        <v>2</v>
      </c>
      <c r="G2695" s="120" t="s">
        <v>759</v>
      </c>
      <c r="H2695" s="169">
        <v>870000</v>
      </c>
      <c r="J2695"/>
      <c r="K2695"/>
    </row>
    <row r="2696" spans="1:11" x14ac:dyDescent="0.25">
      <c r="A2696" s="115">
        <v>2695</v>
      </c>
      <c r="B2696" s="167">
        <v>46003</v>
      </c>
      <c r="C2696" s="117">
        <v>2025</v>
      </c>
      <c r="D2696" s="119" t="s">
        <v>35</v>
      </c>
      <c r="E2696" s="119" t="s">
        <v>365</v>
      </c>
      <c r="F2696" s="120">
        <v>2</v>
      </c>
      <c r="G2696" s="120" t="s">
        <v>759</v>
      </c>
      <c r="H2696" s="169">
        <v>5000</v>
      </c>
      <c r="J2696"/>
      <c r="K2696"/>
    </row>
    <row r="2697" spans="1:11" x14ac:dyDescent="0.25">
      <c r="A2697" s="115">
        <v>2696</v>
      </c>
      <c r="B2697" s="167">
        <v>46003</v>
      </c>
      <c r="C2697" s="117">
        <v>2025</v>
      </c>
      <c r="D2697" s="119" t="s">
        <v>35</v>
      </c>
      <c r="E2697" s="119" t="s">
        <v>186</v>
      </c>
      <c r="F2697" s="120">
        <v>2</v>
      </c>
      <c r="G2697" s="120" t="s">
        <v>759</v>
      </c>
      <c r="H2697" s="169">
        <v>175000</v>
      </c>
      <c r="J2697"/>
      <c r="K2697"/>
    </row>
    <row r="2698" spans="1:11" x14ac:dyDescent="0.25">
      <c r="A2698" s="115">
        <v>2697</v>
      </c>
      <c r="B2698" s="167">
        <v>46004</v>
      </c>
      <c r="C2698" s="117">
        <v>2025</v>
      </c>
      <c r="D2698" s="119" t="s">
        <v>766</v>
      </c>
      <c r="E2698" s="119" t="s">
        <v>614</v>
      </c>
      <c r="F2698" s="120">
        <v>6</v>
      </c>
      <c r="G2698" s="120" t="s">
        <v>759</v>
      </c>
      <c r="H2698" s="169">
        <v>581004</v>
      </c>
      <c r="J2698"/>
      <c r="K2698"/>
    </row>
    <row r="2699" spans="1:11" x14ac:dyDescent="0.25">
      <c r="A2699" s="115">
        <v>2698</v>
      </c>
      <c r="B2699" s="167">
        <v>46006</v>
      </c>
      <c r="C2699" s="117">
        <v>2025</v>
      </c>
      <c r="D2699" s="119" t="s">
        <v>35</v>
      </c>
      <c r="E2699" s="119" t="s">
        <v>1545</v>
      </c>
      <c r="F2699" s="120">
        <v>15</v>
      </c>
      <c r="G2699" s="120" t="s">
        <v>759</v>
      </c>
      <c r="H2699" s="169">
        <v>825000</v>
      </c>
      <c r="J2699"/>
      <c r="K2699"/>
    </row>
    <row r="2700" spans="1:11" x14ac:dyDescent="0.25">
      <c r="A2700" s="115">
        <v>2699</v>
      </c>
      <c r="B2700" s="167">
        <v>46006</v>
      </c>
      <c r="C2700" s="117">
        <v>2025</v>
      </c>
      <c r="D2700" s="119" t="s">
        <v>259</v>
      </c>
      <c r="E2700" s="119" t="s">
        <v>1391</v>
      </c>
      <c r="F2700" s="120">
        <v>30</v>
      </c>
      <c r="G2700" s="120" t="s">
        <v>759</v>
      </c>
      <c r="H2700" s="169">
        <v>30420</v>
      </c>
      <c r="J2700"/>
      <c r="K2700"/>
    </row>
    <row r="2701" spans="1:11" x14ac:dyDescent="0.25">
      <c r="A2701" s="115">
        <v>2700</v>
      </c>
      <c r="B2701" s="167">
        <v>46006</v>
      </c>
      <c r="C2701" s="117">
        <v>2025</v>
      </c>
      <c r="D2701" s="119" t="s">
        <v>851</v>
      </c>
      <c r="E2701" s="119" t="s">
        <v>299</v>
      </c>
      <c r="F2701" s="120">
        <v>4</v>
      </c>
      <c r="G2701" s="120" t="s">
        <v>759</v>
      </c>
      <c r="H2701" s="169">
        <v>41900</v>
      </c>
      <c r="J2701"/>
      <c r="K2701"/>
    </row>
    <row r="2702" spans="1:11" x14ac:dyDescent="0.25">
      <c r="A2702" s="115">
        <v>2701</v>
      </c>
      <c r="B2702" s="167">
        <v>46006</v>
      </c>
      <c r="C2702" s="117">
        <v>2025</v>
      </c>
      <c r="D2702" s="119" t="s">
        <v>851</v>
      </c>
      <c r="E2702" s="119" t="s">
        <v>1057</v>
      </c>
      <c r="F2702" s="120">
        <v>7</v>
      </c>
      <c r="G2702" s="120" t="s">
        <v>759</v>
      </c>
      <c r="H2702" s="169">
        <v>141400</v>
      </c>
      <c r="J2702"/>
      <c r="K2702"/>
    </row>
    <row r="2703" spans="1:11" x14ac:dyDescent="0.25">
      <c r="A2703" s="115">
        <v>2702</v>
      </c>
      <c r="B2703" s="167">
        <v>46006</v>
      </c>
      <c r="C2703" s="117">
        <v>2025</v>
      </c>
      <c r="D2703" s="119" t="s">
        <v>35</v>
      </c>
      <c r="E2703" s="119" t="s">
        <v>1030</v>
      </c>
      <c r="F2703" s="120">
        <v>2</v>
      </c>
      <c r="G2703" s="120" t="s">
        <v>759</v>
      </c>
      <c r="H2703" s="169">
        <v>15000</v>
      </c>
      <c r="J2703"/>
      <c r="K2703"/>
    </row>
    <row r="2704" spans="1:11" x14ac:dyDescent="0.25">
      <c r="A2704" s="115">
        <v>2703</v>
      </c>
      <c r="B2704" s="167">
        <v>46006</v>
      </c>
      <c r="C2704" s="117">
        <v>2025</v>
      </c>
      <c r="D2704" s="119" t="s">
        <v>851</v>
      </c>
      <c r="E2704" s="119" t="s">
        <v>1308</v>
      </c>
      <c r="F2704" s="120">
        <v>2</v>
      </c>
      <c r="G2704" s="120" t="s">
        <v>759</v>
      </c>
      <c r="H2704" s="169">
        <v>21898</v>
      </c>
      <c r="J2704"/>
      <c r="K2704"/>
    </row>
    <row r="2705" spans="1:11" x14ac:dyDescent="0.25">
      <c r="A2705" s="115">
        <v>2704</v>
      </c>
      <c r="B2705" s="167">
        <v>46006</v>
      </c>
      <c r="C2705" s="117">
        <v>2025</v>
      </c>
      <c r="D2705" s="119" t="s">
        <v>851</v>
      </c>
      <c r="E2705" s="119" t="s">
        <v>661</v>
      </c>
      <c r="F2705" s="120">
        <v>9</v>
      </c>
      <c r="G2705" s="120" t="s">
        <v>759</v>
      </c>
      <c r="H2705" s="169">
        <v>46008</v>
      </c>
      <c r="J2705"/>
      <c r="K2705"/>
    </row>
    <row r="2706" spans="1:11" x14ac:dyDescent="0.25">
      <c r="A2706" s="115">
        <v>2705</v>
      </c>
      <c r="B2706" s="167">
        <v>46007</v>
      </c>
      <c r="C2706" s="117">
        <v>2025</v>
      </c>
      <c r="D2706" s="119" t="s">
        <v>35</v>
      </c>
      <c r="E2706" s="119" t="s">
        <v>476</v>
      </c>
      <c r="F2706" s="120">
        <v>4</v>
      </c>
      <c r="G2706" s="120" t="s">
        <v>759</v>
      </c>
      <c r="H2706" s="169">
        <v>107000</v>
      </c>
      <c r="J2706"/>
      <c r="K2706"/>
    </row>
    <row r="2707" spans="1:11" x14ac:dyDescent="0.25">
      <c r="A2707" s="115">
        <v>2706</v>
      </c>
      <c r="B2707" s="167">
        <v>46007</v>
      </c>
      <c r="C2707" s="117">
        <v>2025</v>
      </c>
      <c r="D2707" s="119" t="s">
        <v>851</v>
      </c>
      <c r="E2707" s="119" t="s">
        <v>1311</v>
      </c>
      <c r="F2707" s="120">
        <v>2</v>
      </c>
      <c r="G2707" s="120" t="s">
        <v>759</v>
      </c>
      <c r="H2707" s="169">
        <v>30000</v>
      </c>
      <c r="J2707"/>
      <c r="K2707"/>
    </row>
    <row r="2708" spans="1:11" x14ac:dyDescent="0.25">
      <c r="A2708" s="115">
        <v>2707</v>
      </c>
      <c r="B2708" s="167">
        <v>46007</v>
      </c>
      <c r="C2708" s="117">
        <v>2025</v>
      </c>
      <c r="D2708" s="119" t="s">
        <v>35</v>
      </c>
      <c r="E2708" s="119" t="s">
        <v>1312</v>
      </c>
      <c r="F2708" s="120">
        <v>20</v>
      </c>
      <c r="G2708" s="120" t="s">
        <v>759</v>
      </c>
      <c r="H2708" s="169">
        <v>250180</v>
      </c>
      <c r="J2708"/>
      <c r="K2708"/>
    </row>
    <row r="2709" spans="1:11" x14ac:dyDescent="0.25">
      <c r="A2709" s="115">
        <v>2708</v>
      </c>
      <c r="B2709" s="167">
        <v>46007</v>
      </c>
      <c r="C2709" s="117">
        <v>2025</v>
      </c>
      <c r="D2709" s="119" t="s">
        <v>35</v>
      </c>
      <c r="E2709" s="119" t="s">
        <v>115</v>
      </c>
      <c r="F2709" s="120">
        <v>2</v>
      </c>
      <c r="G2709" s="120" t="s">
        <v>759</v>
      </c>
      <c r="H2709" s="169">
        <v>160000</v>
      </c>
      <c r="J2709"/>
      <c r="K2709"/>
    </row>
    <row r="2710" spans="1:11" x14ac:dyDescent="0.25">
      <c r="A2710" s="115">
        <v>2709</v>
      </c>
      <c r="B2710" s="167">
        <v>46007</v>
      </c>
      <c r="C2710" s="117">
        <v>2025</v>
      </c>
      <c r="D2710" s="119" t="s">
        <v>766</v>
      </c>
      <c r="E2710" s="119" t="s">
        <v>1409</v>
      </c>
      <c r="F2710" s="120">
        <v>1</v>
      </c>
      <c r="G2710" s="120" t="s">
        <v>759</v>
      </c>
      <c r="H2710" s="169">
        <v>2800000</v>
      </c>
      <c r="J2710"/>
      <c r="K2710"/>
    </row>
    <row r="2711" spans="1:11" x14ac:dyDescent="0.25">
      <c r="A2711" s="115">
        <v>2710</v>
      </c>
      <c r="B2711" s="167">
        <v>46008</v>
      </c>
      <c r="C2711" s="117">
        <v>2025</v>
      </c>
      <c r="D2711" s="119" t="s">
        <v>35</v>
      </c>
      <c r="E2711" s="119" t="s">
        <v>230</v>
      </c>
      <c r="F2711" s="120">
        <v>2</v>
      </c>
      <c r="G2711" s="120" t="s">
        <v>759</v>
      </c>
      <c r="H2711" s="169">
        <v>140000</v>
      </c>
      <c r="J2711"/>
      <c r="K2711"/>
    </row>
    <row r="2712" spans="1:11" x14ac:dyDescent="0.25">
      <c r="A2712" s="115">
        <v>2711</v>
      </c>
      <c r="B2712" s="167">
        <v>46008</v>
      </c>
      <c r="C2712" s="117">
        <v>2025</v>
      </c>
      <c r="D2712" s="119" t="s">
        <v>35</v>
      </c>
      <c r="E2712" s="119" t="s">
        <v>1342</v>
      </c>
      <c r="F2712" s="120">
        <v>1</v>
      </c>
      <c r="G2712" s="120" t="s">
        <v>759</v>
      </c>
      <c r="H2712" s="169">
        <v>375000</v>
      </c>
      <c r="J2712"/>
      <c r="K2712"/>
    </row>
    <row r="2713" spans="1:11" x14ac:dyDescent="0.25">
      <c r="A2713" s="115">
        <v>2712</v>
      </c>
      <c r="B2713" s="167">
        <v>46009</v>
      </c>
      <c r="C2713" s="117">
        <v>2025</v>
      </c>
      <c r="D2713" s="119" t="s">
        <v>35</v>
      </c>
      <c r="E2713" s="119" t="s">
        <v>211</v>
      </c>
      <c r="F2713" s="120">
        <v>6</v>
      </c>
      <c r="G2713" s="120" t="s">
        <v>759</v>
      </c>
      <c r="H2713" s="169">
        <v>126000</v>
      </c>
      <c r="J2713"/>
      <c r="K2713"/>
    </row>
    <row r="2714" spans="1:11" x14ac:dyDescent="0.25">
      <c r="A2714" s="115">
        <v>2713</v>
      </c>
      <c r="B2714" s="167">
        <v>46009</v>
      </c>
      <c r="C2714" s="117">
        <v>2025</v>
      </c>
      <c r="D2714" s="119" t="s">
        <v>35</v>
      </c>
      <c r="E2714" s="119" t="s">
        <v>211</v>
      </c>
      <c r="F2714" s="120">
        <v>10</v>
      </c>
      <c r="G2714" s="120" t="s">
        <v>759</v>
      </c>
      <c r="H2714" s="169">
        <v>190000</v>
      </c>
      <c r="J2714"/>
      <c r="K2714"/>
    </row>
    <row r="2715" spans="1:11" x14ac:dyDescent="0.25">
      <c r="A2715" s="115">
        <v>2714</v>
      </c>
      <c r="B2715" s="167">
        <v>46009</v>
      </c>
      <c r="C2715" s="117">
        <v>2025</v>
      </c>
      <c r="D2715" s="119" t="s">
        <v>35</v>
      </c>
      <c r="E2715" s="119" t="s">
        <v>211</v>
      </c>
      <c r="F2715" s="120">
        <v>2</v>
      </c>
      <c r="G2715" s="120" t="s">
        <v>759</v>
      </c>
      <c r="H2715" s="169">
        <v>39000</v>
      </c>
      <c r="J2715"/>
      <c r="K2715"/>
    </row>
    <row r="2716" spans="1:11" x14ac:dyDescent="0.25">
      <c r="A2716" s="115">
        <v>2715</v>
      </c>
      <c r="B2716" s="167">
        <v>46009</v>
      </c>
      <c r="C2716" s="117">
        <v>2025</v>
      </c>
      <c r="D2716" s="118" t="s">
        <v>766</v>
      </c>
      <c r="E2716" s="119" t="s">
        <v>1265</v>
      </c>
      <c r="F2716" s="120">
        <v>26</v>
      </c>
      <c r="G2716" s="120" t="s">
        <v>759</v>
      </c>
      <c r="H2716" s="169">
        <v>17550000</v>
      </c>
    </row>
    <row r="2717" spans="1:11" x14ac:dyDescent="0.25">
      <c r="A2717" s="115">
        <v>2716</v>
      </c>
      <c r="B2717" s="167">
        <v>46009</v>
      </c>
      <c r="C2717" s="117">
        <v>2025</v>
      </c>
      <c r="D2717" s="118" t="s">
        <v>766</v>
      </c>
      <c r="E2717" s="119" t="s">
        <v>1266</v>
      </c>
      <c r="F2717" s="120">
        <v>16</v>
      </c>
      <c r="G2717" s="120" t="s">
        <v>759</v>
      </c>
      <c r="H2717" s="169">
        <v>8720000</v>
      </c>
    </row>
    <row r="2718" spans="1:11" x14ac:dyDescent="0.25">
      <c r="A2718" s="115">
        <v>2717</v>
      </c>
      <c r="B2718" s="167">
        <v>46009</v>
      </c>
      <c r="C2718" s="117">
        <v>2025</v>
      </c>
      <c r="D2718" s="118" t="s">
        <v>766</v>
      </c>
      <c r="E2718" s="119" t="s">
        <v>1267</v>
      </c>
      <c r="F2718" s="120">
        <v>11</v>
      </c>
      <c r="G2718" s="120" t="s">
        <v>759</v>
      </c>
      <c r="H2718" s="169">
        <v>5225000</v>
      </c>
    </row>
    <row r="2719" spans="1:11" x14ac:dyDescent="0.25">
      <c r="A2719" s="115">
        <v>2718</v>
      </c>
      <c r="B2719" s="167">
        <v>46009</v>
      </c>
      <c r="C2719" s="117">
        <v>2025</v>
      </c>
      <c r="D2719" s="118" t="s">
        <v>766</v>
      </c>
      <c r="E2719" s="119" t="s">
        <v>1268</v>
      </c>
      <c r="F2719" s="120">
        <v>15</v>
      </c>
      <c r="G2719" s="120" t="s">
        <v>759</v>
      </c>
      <c r="H2719" s="169">
        <v>5250000</v>
      </c>
    </row>
    <row r="2720" spans="1:11" x14ac:dyDescent="0.25">
      <c r="A2720" s="115">
        <v>2719</v>
      </c>
      <c r="B2720" s="167">
        <v>46009</v>
      </c>
      <c r="C2720" s="117">
        <v>2025</v>
      </c>
      <c r="D2720" s="118" t="s">
        <v>766</v>
      </c>
      <c r="E2720" s="119" t="s">
        <v>1269</v>
      </c>
      <c r="F2720" s="120">
        <v>19</v>
      </c>
      <c r="G2720" s="120" t="s">
        <v>759</v>
      </c>
      <c r="H2720" s="169">
        <v>5225000</v>
      </c>
    </row>
    <row r="2721" spans="1:8" x14ac:dyDescent="0.25">
      <c r="A2721" s="115">
        <v>2720</v>
      </c>
      <c r="B2721" s="167">
        <v>46009</v>
      </c>
      <c r="C2721" s="117">
        <v>2025</v>
      </c>
      <c r="D2721" s="119" t="s">
        <v>35</v>
      </c>
      <c r="E2721" s="119" t="s">
        <v>1597</v>
      </c>
      <c r="F2721" s="120">
        <v>1</v>
      </c>
      <c r="G2721" s="120" t="s">
        <v>759</v>
      </c>
      <c r="H2721" s="169">
        <v>30000</v>
      </c>
    </row>
    <row r="2722" spans="1:8" x14ac:dyDescent="0.25">
      <c r="A2722" s="115">
        <v>2721</v>
      </c>
      <c r="B2722" s="167">
        <v>46009</v>
      </c>
      <c r="C2722" s="117">
        <v>2025</v>
      </c>
      <c r="D2722" s="119" t="s">
        <v>35</v>
      </c>
      <c r="E2722" s="119" t="s">
        <v>1598</v>
      </c>
      <c r="F2722" s="120">
        <v>1</v>
      </c>
      <c r="G2722" s="120" t="s">
        <v>759</v>
      </c>
      <c r="H2722" s="169">
        <v>8300</v>
      </c>
    </row>
    <row r="2723" spans="1:8" x14ac:dyDescent="0.25">
      <c r="A2723" s="115">
        <v>2722</v>
      </c>
      <c r="B2723" s="167">
        <v>46010</v>
      </c>
      <c r="C2723" s="117">
        <v>2025</v>
      </c>
      <c r="D2723" s="119" t="s">
        <v>35</v>
      </c>
      <c r="E2723" s="119" t="s">
        <v>407</v>
      </c>
      <c r="F2723" s="120">
        <v>7</v>
      </c>
      <c r="G2723" s="120" t="s">
        <v>759</v>
      </c>
      <c r="H2723" s="169">
        <v>770000</v>
      </c>
    </row>
    <row r="2724" spans="1:8" x14ac:dyDescent="0.25">
      <c r="A2724" s="115">
        <v>2723</v>
      </c>
      <c r="B2724" s="167">
        <v>46010</v>
      </c>
      <c r="C2724" s="117">
        <v>2025</v>
      </c>
      <c r="D2724" s="119" t="s">
        <v>766</v>
      </c>
      <c r="E2724" s="119" t="s">
        <v>1219</v>
      </c>
      <c r="F2724" s="120">
        <v>2</v>
      </c>
      <c r="G2724" s="120" t="s">
        <v>759</v>
      </c>
      <c r="H2724" s="169">
        <v>3150000</v>
      </c>
    </row>
    <row r="2725" spans="1:8" x14ac:dyDescent="0.25">
      <c r="A2725" s="115">
        <v>2724</v>
      </c>
      <c r="B2725" s="167">
        <v>46010</v>
      </c>
      <c r="C2725" s="117">
        <v>2025</v>
      </c>
      <c r="D2725" s="119" t="s">
        <v>35</v>
      </c>
      <c r="E2725" s="119" t="s">
        <v>1599</v>
      </c>
      <c r="F2725" s="120">
        <v>1</v>
      </c>
      <c r="G2725" s="120" t="s">
        <v>759</v>
      </c>
      <c r="H2725" s="169">
        <v>290000</v>
      </c>
    </row>
    <row r="2726" spans="1:8" x14ac:dyDescent="0.25">
      <c r="A2726" s="115">
        <v>2725</v>
      </c>
      <c r="B2726" s="167">
        <v>46011</v>
      </c>
      <c r="C2726" s="117">
        <v>2025</v>
      </c>
      <c r="D2726" s="119" t="s">
        <v>851</v>
      </c>
      <c r="E2726" s="119" t="s">
        <v>1600</v>
      </c>
      <c r="F2726" s="120">
        <v>10</v>
      </c>
      <c r="G2726" s="120" t="s">
        <v>759</v>
      </c>
      <c r="H2726" s="169">
        <v>100000</v>
      </c>
    </row>
    <row r="2727" spans="1:8" x14ac:dyDescent="0.25">
      <c r="A2727" s="115">
        <v>2726</v>
      </c>
      <c r="B2727" s="167">
        <v>46013</v>
      </c>
      <c r="C2727" s="117">
        <v>2025</v>
      </c>
      <c r="D2727" s="119" t="s">
        <v>833</v>
      </c>
      <c r="E2727" s="119" t="s">
        <v>620</v>
      </c>
      <c r="F2727" s="120">
        <v>4</v>
      </c>
      <c r="G2727" s="120" t="s">
        <v>759</v>
      </c>
      <c r="H2727" s="169">
        <v>104400</v>
      </c>
    </row>
    <row r="2728" spans="1:8" x14ac:dyDescent="0.25">
      <c r="A2728" s="115">
        <v>2727</v>
      </c>
      <c r="B2728" s="167">
        <v>46013</v>
      </c>
      <c r="C2728" s="117">
        <v>2025</v>
      </c>
      <c r="D2728" s="119" t="s">
        <v>833</v>
      </c>
      <c r="E2728" s="119" t="s">
        <v>544</v>
      </c>
      <c r="F2728" s="120">
        <v>10</v>
      </c>
      <c r="G2728" s="120" t="s">
        <v>759</v>
      </c>
      <c r="H2728" s="169">
        <v>179100</v>
      </c>
    </row>
    <row r="2729" spans="1:8" x14ac:dyDescent="0.25">
      <c r="A2729" s="115">
        <v>2728</v>
      </c>
      <c r="B2729" s="167">
        <v>46013</v>
      </c>
      <c r="C2729" s="117">
        <v>2025</v>
      </c>
      <c r="D2729" s="119" t="s">
        <v>35</v>
      </c>
      <c r="E2729" s="119" t="s">
        <v>1601</v>
      </c>
      <c r="F2729" s="120">
        <v>4</v>
      </c>
      <c r="G2729" s="120" t="s">
        <v>759</v>
      </c>
      <c r="H2729" s="169">
        <v>210000</v>
      </c>
    </row>
    <row r="2730" spans="1:8" x14ac:dyDescent="0.25">
      <c r="A2730" s="115">
        <v>2729</v>
      </c>
      <c r="B2730" s="167">
        <v>46013</v>
      </c>
      <c r="C2730" s="117">
        <v>2025</v>
      </c>
      <c r="D2730" s="119" t="s">
        <v>35</v>
      </c>
      <c r="E2730" s="119" t="s">
        <v>220</v>
      </c>
      <c r="F2730" s="120">
        <v>1</v>
      </c>
      <c r="G2730" s="120" t="s">
        <v>759</v>
      </c>
      <c r="H2730" s="169">
        <v>25400</v>
      </c>
    </row>
    <row r="2731" spans="1:8" x14ac:dyDescent="0.25">
      <c r="A2731" s="115">
        <v>2730</v>
      </c>
      <c r="B2731" s="167">
        <v>46013</v>
      </c>
      <c r="C2731" s="117">
        <v>2025</v>
      </c>
      <c r="D2731" s="119" t="s">
        <v>833</v>
      </c>
      <c r="E2731" s="119" t="s">
        <v>486</v>
      </c>
      <c r="F2731" s="120">
        <v>10</v>
      </c>
      <c r="G2731" s="120" t="s">
        <v>759</v>
      </c>
      <c r="H2731" s="169">
        <v>222480</v>
      </c>
    </row>
    <row r="2732" spans="1:8" x14ac:dyDescent="0.25">
      <c r="A2732" s="115">
        <v>2731</v>
      </c>
      <c r="B2732" s="167">
        <v>46013</v>
      </c>
      <c r="C2732" s="117">
        <v>2025</v>
      </c>
      <c r="D2732" s="119" t="s">
        <v>766</v>
      </c>
      <c r="E2732" s="119" t="s">
        <v>762</v>
      </c>
      <c r="F2732" s="120">
        <v>1</v>
      </c>
      <c r="G2732" s="120" t="s">
        <v>759</v>
      </c>
      <c r="H2732" s="169">
        <v>4950000</v>
      </c>
    </row>
    <row r="2733" spans="1:8" x14ac:dyDescent="0.25">
      <c r="A2733" s="115">
        <v>2732</v>
      </c>
      <c r="B2733" s="167">
        <v>46013</v>
      </c>
      <c r="C2733" s="117">
        <v>2025</v>
      </c>
      <c r="D2733" s="119" t="s">
        <v>833</v>
      </c>
      <c r="E2733" s="119" t="s">
        <v>350</v>
      </c>
      <c r="F2733" s="120">
        <v>3</v>
      </c>
      <c r="G2733" s="120" t="s">
        <v>759</v>
      </c>
      <c r="H2733" s="169">
        <v>72528</v>
      </c>
    </row>
    <row r="2734" spans="1:8" x14ac:dyDescent="0.25">
      <c r="A2734" s="115">
        <v>2733</v>
      </c>
      <c r="B2734" s="167">
        <v>46014</v>
      </c>
      <c r="C2734" s="117">
        <v>2025</v>
      </c>
      <c r="D2734" s="119" t="s">
        <v>35</v>
      </c>
      <c r="E2734" s="119" t="s">
        <v>739</v>
      </c>
      <c r="F2734" s="120">
        <v>75</v>
      </c>
      <c r="G2734" s="120" t="s">
        <v>759</v>
      </c>
      <c r="H2734" s="169">
        <v>660000</v>
      </c>
    </row>
    <row r="2735" spans="1:8" x14ac:dyDescent="0.25">
      <c r="A2735" s="115">
        <v>2734</v>
      </c>
      <c r="B2735" s="167">
        <v>46014</v>
      </c>
      <c r="C2735" s="117">
        <v>2025</v>
      </c>
      <c r="D2735" s="119" t="s">
        <v>851</v>
      </c>
      <c r="E2735" s="119" t="s">
        <v>107</v>
      </c>
      <c r="F2735" s="120">
        <v>5</v>
      </c>
      <c r="G2735" s="120" t="s">
        <v>759</v>
      </c>
      <c r="H2735" s="169">
        <v>49650</v>
      </c>
    </row>
    <row r="2736" spans="1:8" x14ac:dyDescent="0.25">
      <c r="A2736" s="115">
        <v>2735</v>
      </c>
      <c r="B2736" s="167">
        <v>46014</v>
      </c>
      <c r="C2736" s="117">
        <v>2025</v>
      </c>
      <c r="D2736" s="119" t="s">
        <v>35</v>
      </c>
      <c r="E2736" s="119" t="s">
        <v>1493</v>
      </c>
      <c r="F2736" s="120">
        <v>1</v>
      </c>
      <c r="G2736" s="120" t="s">
        <v>759</v>
      </c>
      <c r="H2736" s="169">
        <v>42350</v>
      </c>
    </row>
    <row r="2737" spans="1:8" x14ac:dyDescent="0.25">
      <c r="A2737" s="115">
        <v>2736</v>
      </c>
      <c r="B2737" s="167">
        <v>46015</v>
      </c>
      <c r="C2737" s="117">
        <v>2025</v>
      </c>
      <c r="D2737" s="119" t="s">
        <v>35</v>
      </c>
      <c r="E2737" s="119" t="s">
        <v>476</v>
      </c>
      <c r="F2737" s="120">
        <v>6</v>
      </c>
      <c r="G2737" s="120" t="s">
        <v>759</v>
      </c>
      <c r="H2737" s="169">
        <v>147600</v>
      </c>
    </row>
    <row r="2738" spans="1:8" x14ac:dyDescent="0.25">
      <c r="A2738" s="115">
        <v>2737</v>
      </c>
      <c r="B2738" s="167">
        <v>46017</v>
      </c>
      <c r="C2738" s="117">
        <v>2025</v>
      </c>
      <c r="D2738" s="119" t="s">
        <v>35</v>
      </c>
      <c r="E2738" s="119" t="s">
        <v>1602</v>
      </c>
      <c r="F2738" s="120">
        <v>1</v>
      </c>
      <c r="G2738" s="120" t="s">
        <v>759</v>
      </c>
      <c r="H2738" s="169">
        <v>17288</v>
      </c>
    </row>
    <row r="2739" spans="1:8" x14ac:dyDescent="0.25">
      <c r="A2739" s="115">
        <v>2738</v>
      </c>
      <c r="B2739" s="167">
        <v>46017</v>
      </c>
      <c r="C2739" s="117">
        <v>2025</v>
      </c>
      <c r="D2739" s="119" t="s">
        <v>35</v>
      </c>
      <c r="E2739" s="119" t="s">
        <v>1596</v>
      </c>
      <c r="F2739" s="120">
        <v>1</v>
      </c>
      <c r="G2739" s="120" t="s">
        <v>759</v>
      </c>
      <c r="H2739" s="169">
        <v>44899</v>
      </c>
    </row>
    <row r="2740" spans="1:8" x14ac:dyDescent="0.25">
      <c r="A2740" s="115">
        <v>2739</v>
      </c>
      <c r="B2740" s="167">
        <v>46018</v>
      </c>
      <c r="C2740" s="117">
        <v>2025</v>
      </c>
      <c r="D2740" s="119" t="s">
        <v>259</v>
      </c>
      <c r="E2740" s="119" t="s">
        <v>1574</v>
      </c>
      <c r="F2740" s="120">
        <v>1</v>
      </c>
      <c r="G2740" s="120" t="s">
        <v>759</v>
      </c>
      <c r="H2740" s="169">
        <v>15000</v>
      </c>
    </row>
    <row r="2741" spans="1:8" x14ac:dyDescent="0.25">
      <c r="A2741" s="115">
        <v>2740</v>
      </c>
      <c r="B2741" s="167">
        <v>46018</v>
      </c>
      <c r="C2741" s="117">
        <v>2025</v>
      </c>
      <c r="D2741" s="119" t="s">
        <v>259</v>
      </c>
      <c r="E2741" s="119" t="s">
        <v>1292</v>
      </c>
      <c r="F2741" s="120">
        <v>1</v>
      </c>
      <c r="G2741" s="120" t="s">
        <v>759</v>
      </c>
      <c r="H2741" s="169">
        <v>147100</v>
      </c>
    </row>
    <row r="2742" spans="1:8" x14ac:dyDescent="0.25">
      <c r="A2742" s="115">
        <v>2741</v>
      </c>
      <c r="B2742" s="167">
        <v>46020</v>
      </c>
      <c r="C2742" s="117">
        <v>2025</v>
      </c>
      <c r="D2742" s="119" t="s">
        <v>851</v>
      </c>
      <c r="E2742" s="119" t="s">
        <v>763</v>
      </c>
      <c r="F2742" s="120">
        <v>1</v>
      </c>
      <c r="G2742" s="120" t="s">
        <v>759</v>
      </c>
      <c r="H2742" s="169">
        <v>104340000</v>
      </c>
    </row>
    <row r="2743" spans="1:8" x14ac:dyDescent="0.25">
      <c r="A2743" s="115">
        <v>2742</v>
      </c>
      <c r="B2743" s="167">
        <v>46020</v>
      </c>
      <c r="C2743" s="117">
        <v>2025</v>
      </c>
      <c r="D2743" s="119" t="s">
        <v>35</v>
      </c>
      <c r="E2743" s="119" t="s">
        <v>1601</v>
      </c>
      <c r="F2743" s="120">
        <v>4</v>
      </c>
      <c r="G2743" s="120" t="s">
        <v>759</v>
      </c>
      <c r="H2743" s="169">
        <v>210000</v>
      </c>
    </row>
    <row r="2744" spans="1:8" x14ac:dyDescent="0.25">
      <c r="A2744" s="115">
        <v>2743</v>
      </c>
      <c r="B2744" s="167">
        <v>46021</v>
      </c>
      <c r="C2744" s="117">
        <v>2025</v>
      </c>
      <c r="D2744" s="119" t="s">
        <v>35</v>
      </c>
      <c r="E2744" s="119" t="s">
        <v>553</v>
      </c>
      <c r="F2744" s="120">
        <v>1</v>
      </c>
      <c r="G2744" s="120" t="s">
        <v>759</v>
      </c>
      <c r="H2744" s="169">
        <v>6900</v>
      </c>
    </row>
    <row r="2745" spans="1:8" x14ac:dyDescent="0.25">
      <c r="A2745" s="115">
        <v>2744</v>
      </c>
      <c r="B2745" s="167">
        <v>46022</v>
      </c>
      <c r="C2745" s="117">
        <v>2025</v>
      </c>
      <c r="D2745" s="119" t="s">
        <v>35</v>
      </c>
      <c r="E2745" s="119" t="s">
        <v>1603</v>
      </c>
      <c r="F2745" s="120">
        <v>1</v>
      </c>
      <c r="G2745" s="120" t="s">
        <v>759</v>
      </c>
      <c r="H2745" s="169">
        <v>10000</v>
      </c>
    </row>
    <row r="2746" spans="1:8" x14ac:dyDescent="0.25">
      <c r="A2746" s="115">
        <v>2745</v>
      </c>
      <c r="B2746" s="167">
        <v>46022</v>
      </c>
      <c r="C2746" s="117">
        <v>2025</v>
      </c>
      <c r="D2746" s="119" t="s">
        <v>35</v>
      </c>
      <c r="E2746" s="119" t="s">
        <v>637</v>
      </c>
      <c r="F2746" s="120">
        <v>1</v>
      </c>
      <c r="G2746" s="120" t="s">
        <v>759</v>
      </c>
      <c r="H2746" s="169">
        <v>33400</v>
      </c>
    </row>
    <row r="2747" spans="1:8" x14ac:dyDescent="0.25">
      <c r="A2747" s="115">
        <v>2746</v>
      </c>
      <c r="B2747" s="167">
        <v>46022</v>
      </c>
      <c r="C2747" s="117">
        <v>2025</v>
      </c>
      <c r="D2747" s="119" t="s">
        <v>35</v>
      </c>
      <c r="E2747" s="119" t="s">
        <v>365</v>
      </c>
      <c r="F2747" s="120">
        <v>2</v>
      </c>
      <c r="G2747" s="120" t="s">
        <v>759</v>
      </c>
      <c r="H2747" s="169">
        <v>3000</v>
      </c>
    </row>
    <row r="2748" spans="1:8" x14ac:dyDescent="0.25">
      <c r="A2748" s="115">
        <v>2747</v>
      </c>
      <c r="B2748" s="167">
        <v>46022</v>
      </c>
      <c r="C2748" s="117">
        <v>2025</v>
      </c>
      <c r="D2748" s="119" t="s">
        <v>35</v>
      </c>
      <c r="E2748" s="119" t="s">
        <v>1604</v>
      </c>
      <c r="F2748" s="120">
        <v>2</v>
      </c>
      <c r="G2748" s="120" t="s">
        <v>759</v>
      </c>
      <c r="H2748" s="169">
        <v>100000</v>
      </c>
    </row>
    <row r="2749" spans="1:8" x14ac:dyDescent="0.25">
      <c r="A2749" s="115">
        <v>2748</v>
      </c>
      <c r="B2749" s="167">
        <v>46025</v>
      </c>
      <c r="C2749" s="117">
        <v>2026</v>
      </c>
      <c r="D2749" s="119" t="s">
        <v>833</v>
      </c>
      <c r="E2749" s="119" t="s">
        <v>478</v>
      </c>
      <c r="F2749" s="120">
        <v>7</v>
      </c>
      <c r="G2749" s="120" t="s">
        <v>759</v>
      </c>
      <c r="H2749" s="169">
        <v>3147277</v>
      </c>
    </row>
    <row r="2750" spans="1:8" x14ac:dyDescent="0.25">
      <c r="A2750" s="115">
        <v>2749</v>
      </c>
      <c r="B2750" s="167">
        <v>46025</v>
      </c>
      <c r="C2750" s="117">
        <v>2026</v>
      </c>
      <c r="D2750" s="119" t="s">
        <v>833</v>
      </c>
      <c r="E2750" s="119" t="s">
        <v>478</v>
      </c>
      <c r="F2750" s="120">
        <v>6</v>
      </c>
      <c r="G2750" s="120" t="s">
        <v>759</v>
      </c>
      <c r="H2750" s="169">
        <v>1968306</v>
      </c>
    </row>
    <row r="2751" spans="1:8" x14ac:dyDescent="0.25">
      <c r="A2751" s="115">
        <v>2750</v>
      </c>
      <c r="B2751" s="167">
        <v>46025</v>
      </c>
      <c r="C2751" s="117">
        <v>2026</v>
      </c>
      <c r="D2751" s="119" t="s">
        <v>35</v>
      </c>
      <c r="E2751" s="119" t="s">
        <v>220</v>
      </c>
      <c r="F2751" s="120">
        <v>3</v>
      </c>
      <c r="G2751" s="120" t="s">
        <v>759</v>
      </c>
      <c r="H2751" s="169">
        <v>96402</v>
      </c>
    </row>
    <row r="2752" spans="1:8" x14ac:dyDescent="0.25">
      <c r="A2752" s="115">
        <v>2751</v>
      </c>
      <c r="B2752" s="167">
        <v>46025</v>
      </c>
      <c r="C2752" s="117">
        <v>2026</v>
      </c>
      <c r="D2752" s="119" t="s">
        <v>851</v>
      </c>
      <c r="E2752" s="119" t="s">
        <v>1506</v>
      </c>
      <c r="F2752" s="120">
        <v>4</v>
      </c>
      <c r="G2752" s="120" t="s">
        <v>759</v>
      </c>
      <c r="H2752" s="169">
        <v>10900</v>
      </c>
    </row>
    <row r="2753" spans="1:8" x14ac:dyDescent="0.25">
      <c r="A2753" s="115">
        <v>2752</v>
      </c>
      <c r="B2753" s="167">
        <v>46025</v>
      </c>
      <c r="C2753" s="117">
        <v>2026</v>
      </c>
      <c r="D2753" s="119" t="s">
        <v>851</v>
      </c>
      <c r="E2753" s="119" t="s">
        <v>171</v>
      </c>
      <c r="F2753" s="120">
        <v>3</v>
      </c>
      <c r="G2753" s="120" t="s">
        <v>759</v>
      </c>
      <c r="H2753" s="169">
        <v>31902</v>
      </c>
    </row>
    <row r="2754" spans="1:8" x14ac:dyDescent="0.25">
      <c r="A2754" s="115">
        <v>2753</v>
      </c>
      <c r="B2754" s="167">
        <v>46025</v>
      </c>
      <c r="C2754" s="117">
        <v>2026</v>
      </c>
      <c r="D2754" s="119" t="s">
        <v>851</v>
      </c>
      <c r="E2754" s="119" t="s">
        <v>1294</v>
      </c>
      <c r="F2754" s="120">
        <v>3</v>
      </c>
      <c r="G2754" s="120" t="s">
        <v>759</v>
      </c>
      <c r="H2754" s="169">
        <v>31902</v>
      </c>
    </row>
    <row r="2755" spans="1:8" x14ac:dyDescent="0.25">
      <c r="A2755" s="115">
        <v>2754</v>
      </c>
      <c r="B2755" s="167">
        <v>46027</v>
      </c>
      <c r="C2755" s="117">
        <v>2026</v>
      </c>
      <c r="D2755" s="119" t="s">
        <v>833</v>
      </c>
      <c r="E2755" s="119" t="s">
        <v>175</v>
      </c>
      <c r="F2755" s="120">
        <v>75</v>
      </c>
      <c r="G2755" s="120" t="s">
        <v>759</v>
      </c>
      <c r="H2755" s="169">
        <v>862500</v>
      </c>
    </row>
    <row r="2756" spans="1:8" x14ac:dyDescent="0.25">
      <c r="A2756" s="115">
        <v>2755</v>
      </c>
      <c r="B2756" s="167">
        <v>46027</v>
      </c>
      <c r="C2756" s="117">
        <v>2026</v>
      </c>
      <c r="D2756" s="119" t="s">
        <v>35</v>
      </c>
      <c r="E2756" s="119" t="s">
        <v>1601</v>
      </c>
      <c r="F2756" s="120">
        <v>4</v>
      </c>
      <c r="G2756" s="120" t="s">
        <v>759</v>
      </c>
      <c r="H2756" s="169">
        <v>210000</v>
      </c>
    </row>
    <row r="2757" spans="1:8" x14ac:dyDescent="0.25">
      <c r="A2757" s="115">
        <v>2756</v>
      </c>
      <c r="B2757" s="167">
        <v>46027</v>
      </c>
      <c r="C2757" s="117">
        <v>2026</v>
      </c>
      <c r="D2757" s="119" t="s">
        <v>833</v>
      </c>
      <c r="E2757" s="119" t="s">
        <v>702</v>
      </c>
      <c r="F2757" s="120">
        <v>1</v>
      </c>
      <c r="G2757" s="120" t="s">
        <v>759</v>
      </c>
      <c r="H2757" s="169">
        <v>34400</v>
      </c>
    </row>
    <row r="2758" spans="1:8" x14ac:dyDescent="0.25">
      <c r="A2758" s="115">
        <v>2757</v>
      </c>
      <c r="B2758" s="167">
        <v>46028</v>
      </c>
      <c r="C2758" s="117">
        <v>2026</v>
      </c>
      <c r="D2758" s="119" t="s">
        <v>851</v>
      </c>
      <c r="E2758" s="119" t="s">
        <v>1605</v>
      </c>
      <c r="F2758" s="120">
        <v>1</v>
      </c>
      <c r="G2758" s="120" t="s">
        <v>759</v>
      </c>
      <c r="H2758" s="169">
        <v>21000000</v>
      </c>
    </row>
    <row r="2759" spans="1:8" x14ac:dyDescent="0.25">
      <c r="A2759" s="115">
        <v>2758</v>
      </c>
      <c r="B2759" s="167">
        <v>46028</v>
      </c>
      <c r="C2759" s="117">
        <v>2026</v>
      </c>
      <c r="D2759" s="119" t="s">
        <v>35</v>
      </c>
      <c r="E2759" s="119" t="s">
        <v>1509</v>
      </c>
      <c r="F2759" s="120">
        <v>1</v>
      </c>
      <c r="G2759" s="120" t="s">
        <v>759</v>
      </c>
      <c r="H2759" s="169">
        <v>43400</v>
      </c>
    </row>
    <row r="2760" spans="1:8" x14ac:dyDescent="0.25">
      <c r="A2760" s="115">
        <v>2759</v>
      </c>
      <c r="B2760" s="167">
        <v>46028</v>
      </c>
      <c r="C2760" s="117">
        <v>2026</v>
      </c>
      <c r="D2760" s="119" t="s">
        <v>35</v>
      </c>
      <c r="E2760" s="119" t="s">
        <v>1606</v>
      </c>
      <c r="F2760" s="120">
        <v>1</v>
      </c>
      <c r="G2760" s="120" t="s">
        <v>759</v>
      </c>
      <c r="H2760" s="169">
        <v>47689</v>
      </c>
    </row>
    <row r="2761" spans="1:8" x14ac:dyDescent="0.25">
      <c r="A2761" s="115">
        <v>2760</v>
      </c>
      <c r="B2761" s="167">
        <v>46029</v>
      </c>
      <c r="C2761" s="117">
        <v>2026</v>
      </c>
      <c r="D2761" s="119" t="s">
        <v>35</v>
      </c>
      <c r="E2761" s="119" t="s">
        <v>1607</v>
      </c>
      <c r="F2761" s="120">
        <v>1</v>
      </c>
      <c r="G2761" s="120" t="s">
        <v>759</v>
      </c>
      <c r="H2761" s="169">
        <v>21000</v>
      </c>
    </row>
    <row r="2762" spans="1:8" x14ac:dyDescent="0.25">
      <c r="A2762" s="115">
        <v>2761</v>
      </c>
      <c r="B2762" s="167">
        <v>46029</v>
      </c>
      <c r="C2762" s="117">
        <v>2026</v>
      </c>
      <c r="D2762" s="119" t="s">
        <v>851</v>
      </c>
      <c r="E2762" s="119" t="s">
        <v>1608</v>
      </c>
      <c r="F2762" s="120">
        <v>1</v>
      </c>
      <c r="G2762" s="120" t="s">
        <v>759</v>
      </c>
      <c r="H2762" s="169">
        <v>20800</v>
      </c>
    </row>
    <row r="2763" spans="1:8" x14ac:dyDescent="0.25">
      <c r="A2763" s="115">
        <v>2762</v>
      </c>
      <c r="B2763" s="167">
        <v>46029</v>
      </c>
      <c r="C2763" s="117">
        <v>2026</v>
      </c>
      <c r="D2763" s="119" t="s">
        <v>35</v>
      </c>
      <c r="E2763" s="119" t="s">
        <v>98</v>
      </c>
      <c r="F2763" s="120">
        <v>4</v>
      </c>
      <c r="G2763" s="120" t="s">
        <v>759</v>
      </c>
      <c r="H2763" s="169">
        <v>111900</v>
      </c>
    </row>
    <row r="2764" spans="1:8" x14ac:dyDescent="0.25">
      <c r="A2764" s="115">
        <v>2763</v>
      </c>
      <c r="B2764" s="167">
        <v>46030</v>
      </c>
      <c r="C2764" s="117">
        <v>2026</v>
      </c>
      <c r="D2764" s="119" t="s">
        <v>851</v>
      </c>
      <c r="E2764" s="119" t="s">
        <v>1349</v>
      </c>
      <c r="F2764" s="120">
        <v>2</v>
      </c>
      <c r="G2764" s="120" t="s">
        <v>759</v>
      </c>
      <c r="H2764" s="169">
        <v>195060</v>
      </c>
    </row>
    <row r="2765" spans="1:8" x14ac:dyDescent="0.25">
      <c r="A2765" s="115">
        <v>2764</v>
      </c>
      <c r="B2765" s="167">
        <v>46030</v>
      </c>
      <c r="C2765" s="117">
        <v>2026</v>
      </c>
      <c r="D2765" s="119" t="s">
        <v>259</v>
      </c>
      <c r="E2765" s="119" t="s">
        <v>654</v>
      </c>
      <c r="F2765" s="120">
        <v>5</v>
      </c>
      <c r="G2765" s="120" t="s">
        <v>759</v>
      </c>
      <c r="H2765" s="169">
        <v>23550</v>
      </c>
    </row>
    <row r="2766" spans="1:8" x14ac:dyDescent="0.25">
      <c r="A2766" s="115">
        <v>2765</v>
      </c>
      <c r="B2766" s="167">
        <v>46030</v>
      </c>
      <c r="C2766" s="117">
        <v>2026</v>
      </c>
      <c r="D2766" s="119" t="s">
        <v>35</v>
      </c>
      <c r="E2766" s="119" t="s">
        <v>1609</v>
      </c>
      <c r="F2766" s="120">
        <v>1</v>
      </c>
      <c r="G2766" s="120" t="s">
        <v>759</v>
      </c>
      <c r="H2766" s="169">
        <v>9149</v>
      </c>
    </row>
    <row r="2767" spans="1:8" x14ac:dyDescent="0.25">
      <c r="A2767" s="115">
        <v>2766</v>
      </c>
      <c r="B2767" s="167">
        <v>46030</v>
      </c>
      <c r="C2767" s="117">
        <v>2026</v>
      </c>
      <c r="D2767" s="119" t="s">
        <v>35</v>
      </c>
      <c r="E2767" s="119" t="s">
        <v>1610</v>
      </c>
      <c r="F2767" s="120">
        <v>2</v>
      </c>
      <c r="G2767" s="120" t="s">
        <v>759</v>
      </c>
      <c r="H2767" s="169">
        <v>19800</v>
      </c>
    </row>
    <row r="2768" spans="1:8" x14ac:dyDescent="0.25">
      <c r="A2768" s="115">
        <v>2767</v>
      </c>
      <c r="B2768" s="167">
        <v>46030</v>
      </c>
      <c r="C2768" s="117">
        <v>2026</v>
      </c>
      <c r="D2768" s="119" t="s">
        <v>851</v>
      </c>
      <c r="E2768" s="119" t="s">
        <v>1140</v>
      </c>
      <c r="F2768" s="120">
        <v>2</v>
      </c>
      <c r="G2768" s="120" t="s">
        <v>759</v>
      </c>
      <c r="H2768" s="169">
        <v>64200</v>
      </c>
    </row>
    <row r="2769" spans="1:8" x14ac:dyDescent="0.25">
      <c r="A2769" s="115">
        <v>2768</v>
      </c>
      <c r="B2769" s="167">
        <v>46031</v>
      </c>
      <c r="C2769" s="117">
        <v>2026</v>
      </c>
      <c r="D2769" s="119" t="s">
        <v>35</v>
      </c>
      <c r="E2769" s="119" t="s">
        <v>1611</v>
      </c>
      <c r="F2769" s="120">
        <v>1</v>
      </c>
      <c r="G2769" s="120" t="s">
        <v>759</v>
      </c>
      <c r="H2769" s="169">
        <v>59800</v>
      </c>
    </row>
    <row r="2770" spans="1:8" x14ac:dyDescent="0.25">
      <c r="A2770" s="115">
        <v>2769</v>
      </c>
      <c r="B2770" s="167">
        <v>46031</v>
      </c>
      <c r="C2770" s="117">
        <v>2026</v>
      </c>
      <c r="D2770" s="119" t="s">
        <v>833</v>
      </c>
      <c r="E2770" s="119" t="s">
        <v>563</v>
      </c>
      <c r="F2770" s="120">
        <v>5</v>
      </c>
      <c r="G2770" s="120" t="s">
        <v>759</v>
      </c>
      <c r="H2770" s="169">
        <v>55350</v>
      </c>
    </row>
    <row r="2771" spans="1:8" x14ac:dyDescent="0.25">
      <c r="A2771" s="115">
        <v>2770</v>
      </c>
      <c r="B2771" s="167">
        <v>46031</v>
      </c>
      <c r="C2771" s="117">
        <v>2026</v>
      </c>
      <c r="D2771" s="119" t="s">
        <v>833</v>
      </c>
      <c r="E2771" s="119" t="s">
        <v>684</v>
      </c>
      <c r="F2771" s="120">
        <v>12</v>
      </c>
      <c r="G2771" s="120" t="s">
        <v>759</v>
      </c>
      <c r="H2771" s="169">
        <v>157368</v>
      </c>
    </row>
    <row r="2772" spans="1:8" x14ac:dyDescent="0.25">
      <c r="A2772" s="115">
        <v>2771</v>
      </c>
      <c r="B2772" s="167">
        <v>46031</v>
      </c>
      <c r="C2772" s="117">
        <v>2026</v>
      </c>
      <c r="D2772" s="119" t="s">
        <v>35</v>
      </c>
      <c r="E2772" s="119" t="s">
        <v>1539</v>
      </c>
      <c r="F2772" s="120">
        <v>2</v>
      </c>
      <c r="G2772" s="120" t="s">
        <v>759</v>
      </c>
      <c r="H2772" s="169">
        <v>151900</v>
      </c>
    </row>
    <row r="2773" spans="1:8" x14ac:dyDescent="0.25">
      <c r="A2773" s="115">
        <v>2772</v>
      </c>
      <c r="B2773" s="167">
        <v>46032</v>
      </c>
      <c r="C2773" s="117">
        <v>2026</v>
      </c>
      <c r="D2773" s="119" t="s">
        <v>259</v>
      </c>
      <c r="E2773" s="119" t="s">
        <v>762</v>
      </c>
      <c r="F2773" s="120">
        <v>1</v>
      </c>
      <c r="G2773" s="120" t="s">
        <v>759</v>
      </c>
      <c r="H2773" s="169">
        <v>5096700</v>
      </c>
    </row>
    <row r="2774" spans="1:8" x14ac:dyDescent="0.25">
      <c r="A2774" s="115">
        <v>2773</v>
      </c>
      <c r="B2774" s="167">
        <v>46032</v>
      </c>
      <c r="C2774" s="117">
        <v>2026</v>
      </c>
      <c r="D2774" s="119" t="s">
        <v>259</v>
      </c>
      <c r="E2774" s="119" t="s">
        <v>1612</v>
      </c>
      <c r="F2774" s="120">
        <v>1</v>
      </c>
      <c r="G2774" s="120" t="s">
        <v>759</v>
      </c>
      <c r="H2774" s="169">
        <v>4900000</v>
      </c>
    </row>
    <row r="2775" spans="1:8" x14ac:dyDescent="0.25">
      <c r="A2775" s="115">
        <v>2774</v>
      </c>
      <c r="B2775" s="167">
        <v>46034</v>
      </c>
      <c r="C2775" s="117">
        <v>2026</v>
      </c>
      <c r="D2775" s="119" t="s">
        <v>35</v>
      </c>
      <c r="E2775" s="119" t="s">
        <v>211</v>
      </c>
      <c r="F2775" s="120">
        <v>10</v>
      </c>
      <c r="G2775" s="120" t="s">
        <v>759</v>
      </c>
      <c r="H2775" s="169">
        <v>210000</v>
      </c>
    </row>
    <row r="2776" spans="1:8" x14ac:dyDescent="0.25">
      <c r="A2776" s="115">
        <v>2775</v>
      </c>
      <c r="B2776" s="167">
        <v>46034</v>
      </c>
      <c r="C2776" s="117">
        <v>2026</v>
      </c>
      <c r="D2776" s="119" t="s">
        <v>35</v>
      </c>
      <c r="E2776" s="119" t="s">
        <v>211</v>
      </c>
      <c r="F2776" s="120">
        <v>5</v>
      </c>
      <c r="G2776" s="120" t="s">
        <v>759</v>
      </c>
      <c r="H2776" s="169">
        <v>95000</v>
      </c>
    </row>
    <row r="2777" spans="1:8" x14ac:dyDescent="0.25">
      <c r="A2777" s="115">
        <v>2776</v>
      </c>
      <c r="B2777" s="167">
        <v>46034</v>
      </c>
      <c r="C2777" s="117">
        <v>2026</v>
      </c>
      <c r="D2777" s="119" t="s">
        <v>35</v>
      </c>
      <c r="E2777" s="119" t="s">
        <v>211</v>
      </c>
      <c r="F2777" s="120">
        <v>2</v>
      </c>
      <c r="G2777" s="120" t="s">
        <v>759</v>
      </c>
      <c r="H2777" s="169">
        <v>39000</v>
      </c>
    </row>
    <row r="2778" spans="1:8" x14ac:dyDescent="0.25">
      <c r="A2778" s="115">
        <v>2777</v>
      </c>
      <c r="B2778" s="167">
        <v>46034</v>
      </c>
      <c r="C2778" s="117">
        <v>2026</v>
      </c>
      <c r="D2778" s="119" t="s">
        <v>851</v>
      </c>
      <c r="E2778" s="119" t="s">
        <v>763</v>
      </c>
      <c r="F2778" s="120">
        <v>1</v>
      </c>
      <c r="G2778" s="120" t="s">
        <v>759</v>
      </c>
      <c r="H2778" s="169">
        <v>104340000</v>
      </c>
    </row>
    <row r="2779" spans="1:8" x14ac:dyDescent="0.25">
      <c r="A2779" s="115">
        <v>2778</v>
      </c>
      <c r="B2779" s="167">
        <v>46034</v>
      </c>
      <c r="C2779" s="117">
        <v>2026</v>
      </c>
      <c r="D2779" s="119" t="s">
        <v>35</v>
      </c>
      <c r="E2779" s="119" t="s">
        <v>1611</v>
      </c>
      <c r="F2779" s="120">
        <v>1</v>
      </c>
      <c r="G2779" s="120" t="s">
        <v>759</v>
      </c>
      <c r="H2779" s="169">
        <v>55400</v>
      </c>
    </row>
    <row r="2780" spans="1:8" x14ac:dyDescent="0.25">
      <c r="A2780" s="115">
        <v>2779</v>
      </c>
      <c r="B2780" s="167">
        <v>46034</v>
      </c>
      <c r="C2780" s="117">
        <v>2026</v>
      </c>
      <c r="D2780" s="119" t="s">
        <v>851</v>
      </c>
      <c r="E2780" s="119" t="s">
        <v>1613</v>
      </c>
      <c r="F2780" s="120">
        <v>1</v>
      </c>
      <c r="G2780" s="120" t="s">
        <v>759</v>
      </c>
      <c r="H2780" s="169">
        <v>2379010</v>
      </c>
    </row>
    <row r="2781" spans="1:8" x14ac:dyDescent="0.25">
      <c r="A2781" s="115">
        <v>2780</v>
      </c>
      <c r="B2781" s="167">
        <v>46034</v>
      </c>
      <c r="C2781" s="117">
        <v>2026</v>
      </c>
      <c r="D2781" s="119" t="s">
        <v>766</v>
      </c>
      <c r="E2781" s="119" t="s">
        <v>1614</v>
      </c>
      <c r="F2781" s="120">
        <v>2000</v>
      </c>
      <c r="G2781" s="120" t="s">
        <v>759</v>
      </c>
      <c r="H2781" s="169">
        <v>7600000</v>
      </c>
    </row>
    <row r="2782" spans="1:8" x14ac:dyDescent="0.25">
      <c r="A2782" s="115">
        <v>2781</v>
      </c>
      <c r="B2782" s="167">
        <v>46034</v>
      </c>
      <c r="C2782" s="117">
        <v>2026</v>
      </c>
      <c r="D2782" s="119" t="s">
        <v>766</v>
      </c>
      <c r="E2782" s="119" t="s">
        <v>1615</v>
      </c>
      <c r="F2782" s="120">
        <v>100</v>
      </c>
      <c r="G2782" s="120" t="s">
        <v>759</v>
      </c>
      <c r="H2782" s="169">
        <v>1425000</v>
      </c>
    </row>
    <row r="2783" spans="1:8" x14ac:dyDescent="0.25">
      <c r="A2783" s="115">
        <v>2782</v>
      </c>
      <c r="B2783" s="167">
        <v>46035</v>
      </c>
      <c r="C2783" s="117">
        <v>2026</v>
      </c>
      <c r="D2783" s="119" t="s">
        <v>35</v>
      </c>
      <c r="E2783" s="119" t="s">
        <v>118</v>
      </c>
      <c r="F2783" s="120">
        <v>3</v>
      </c>
      <c r="G2783" s="120" t="s">
        <v>759</v>
      </c>
      <c r="H2783" s="169">
        <v>210000</v>
      </c>
    </row>
    <row r="2784" spans="1:8" x14ac:dyDescent="0.25">
      <c r="A2784" s="115">
        <v>2783</v>
      </c>
      <c r="B2784" s="167">
        <v>46035</v>
      </c>
      <c r="C2784" s="117">
        <v>2026</v>
      </c>
      <c r="D2784" s="119" t="s">
        <v>35</v>
      </c>
      <c r="E2784" s="119" t="s">
        <v>403</v>
      </c>
      <c r="F2784" s="120">
        <v>3</v>
      </c>
      <c r="G2784" s="120" t="s">
        <v>759</v>
      </c>
      <c r="H2784" s="169">
        <v>367500</v>
      </c>
    </row>
    <row r="2785" spans="1:8" x14ac:dyDescent="0.25">
      <c r="A2785" s="115">
        <v>2784</v>
      </c>
      <c r="B2785" s="167">
        <v>46035</v>
      </c>
      <c r="C2785" s="117">
        <v>2026</v>
      </c>
      <c r="D2785" s="119" t="s">
        <v>35</v>
      </c>
      <c r="E2785" s="119" t="s">
        <v>120</v>
      </c>
      <c r="F2785" s="120">
        <v>3</v>
      </c>
      <c r="G2785" s="120" t="s">
        <v>759</v>
      </c>
      <c r="H2785" s="169">
        <v>285000</v>
      </c>
    </row>
    <row r="2786" spans="1:8" x14ac:dyDescent="0.25">
      <c r="A2786" s="115">
        <v>2785</v>
      </c>
      <c r="B2786" s="167">
        <v>46035</v>
      </c>
      <c r="C2786" s="117">
        <v>2026</v>
      </c>
      <c r="D2786" s="119" t="s">
        <v>35</v>
      </c>
      <c r="E2786" s="119" t="s">
        <v>405</v>
      </c>
      <c r="F2786" s="120">
        <v>3</v>
      </c>
      <c r="G2786" s="120" t="s">
        <v>759</v>
      </c>
      <c r="H2786" s="169">
        <v>540000</v>
      </c>
    </row>
    <row r="2787" spans="1:8" x14ac:dyDescent="0.25">
      <c r="A2787" s="115">
        <v>2786</v>
      </c>
      <c r="B2787" s="167">
        <v>46036</v>
      </c>
      <c r="C2787" s="117">
        <v>2026</v>
      </c>
      <c r="D2787" s="119" t="s">
        <v>35</v>
      </c>
      <c r="E2787" s="119" t="s">
        <v>437</v>
      </c>
      <c r="F2787" s="120">
        <v>6</v>
      </c>
      <c r="G2787" s="120" t="s">
        <v>759</v>
      </c>
      <c r="H2787" s="169">
        <v>10542</v>
      </c>
    </row>
    <row r="2788" spans="1:8" x14ac:dyDescent="0.25">
      <c r="A2788" s="115">
        <v>2787</v>
      </c>
      <c r="B2788" s="167">
        <v>46036</v>
      </c>
      <c r="C2788" s="117">
        <v>2026</v>
      </c>
      <c r="D2788" s="119" t="s">
        <v>35</v>
      </c>
      <c r="E2788" s="119" t="s">
        <v>184</v>
      </c>
      <c r="F2788" s="120">
        <v>2</v>
      </c>
      <c r="G2788" s="120" t="s">
        <v>759</v>
      </c>
      <c r="H2788" s="169">
        <v>7000</v>
      </c>
    </row>
    <row r="2789" spans="1:8" x14ac:dyDescent="0.25">
      <c r="A2789" s="115">
        <v>2788</v>
      </c>
      <c r="B2789" s="167">
        <v>46036</v>
      </c>
      <c r="C2789" s="117">
        <v>2026</v>
      </c>
      <c r="D2789" s="119" t="s">
        <v>35</v>
      </c>
      <c r="E2789" s="119" t="s">
        <v>367</v>
      </c>
      <c r="F2789" s="120">
        <v>2</v>
      </c>
      <c r="G2789" s="120" t="s">
        <v>759</v>
      </c>
      <c r="H2789" s="169">
        <v>25000</v>
      </c>
    </row>
    <row r="2790" spans="1:8" x14ac:dyDescent="0.25">
      <c r="A2790" s="115">
        <v>2789</v>
      </c>
      <c r="B2790" s="167">
        <v>46036</v>
      </c>
      <c r="C2790" s="117">
        <v>2026</v>
      </c>
      <c r="D2790" s="119" t="s">
        <v>35</v>
      </c>
      <c r="E2790" s="119" t="s">
        <v>478</v>
      </c>
      <c r="F2790" s="120">
        <v>100</v>
      </c>
      <c r="G2790" s="120" t="s">
        <v>759</v>
      </c>
      <c r="H2790" s="169">
        <v>97900</v>
      </c>
    </row>
    <row r="2791" spans="1:8" x14ac:dyDescent="0.25">
      <c r="A2791" s="115">
        <v>2790</v>
      </c>
      <c r="B2791" s="167">
        <v>46036</v>
      </c>
      <c r="C2791" s="117">
        <v>2026</v>
      </c>
      <c r="D2791" s="119" t="s">
        <v>35</v>
      </c>
      <c r="E2791" s="119" t="s">
        <v>1616</v>
      </c>
      <c r="F2791" s="120">
        <v>1</v>
      </c>
      <c r="G2791" s="120" t="s">
        <v>759</v>
      </c>
      <c r="H2791" s="169">
        <v>250000</v>
      </c>
    </row>
    <row r="2792" spans="1:8" x14ac:dyDescent="0.25">
      <c r="A2792" s="115">
        <v>2791</v>
      </c>
      <c r="B2792" s="167">
        <v>46036</v>
      </c>
      <c r="C2792" s="117">
        <v>2026</v>
      </c>
      <c r="D2792" s="119" t="s">
        <v>851</v>
      </c>
      <c r="E2792" s="119" t="s">
        <v>299</v>
      </c>
      <c r="F2792" s="120">
        <v>54</v>
      </c>
      <c r="G2792" s="120" t="s">
        <v>759</v>
      </c>
      <c r="H2792" s="169">
        <v>402516</v>
      </c>
    </row>
    <row r="2793" spans="1:8" x14ac:dyDescent="0.25">
      <c r="A2793" s="115">
        <v>2792</v>
      </c>
      <c r="B2793" s="167">
        <v>46036</v>
      </c>
      <c r="C2793" s="117">
        <v>2026</v>
      </c>
      <c r="D2793" s="119" t="s">
        <v>35</v>
      </c>
      <c r="E2793" s="119" t="s">
        <v>637</v>
      </c>
      <c r="F2793" s="120">
        <v>2</v>
      </c>
      <c r="G2793" s="120" t="s">
        <v>759</v>
      </c>
      <c r="H2793" s="169">
        <v>61900</v>
      </c>
    </row>
    <row r="2794" spans="1:8" x14ac:dyDescent="0.25">
      <c r="A2794" s="115">
        <v>2793</v>
      </c>
      <c r="B2794" s="167">
        <v>46036</v>
      </c>
      <c r="C2794" s="117">
        <v>2026</v>
      </c>
      <c r="D2794" s="119" t="s">
        <v>35</v>
      </c>
      <c r="E2794" s="119" t="s">
        <v>365</v>
      </c>
      <c r="F2794" s="120">
        <v>4</v>
      </c>
      <c r="G2794" s="120" t="s">
        <v>759</v>
      </c>
      <c r="H2794" s="169">
        <v>6000</v>
      </c>
    </row>
    <row r="2795" spans="1:8" x14ac:dyDescent="0.25">
      <c r="A2795" s="115">
        <v>2794</v>
      </c>
      <c r="B2795" s="167">
        <v>46037</v>
      </c>
      <c r="C2795" s="117">
        <v>2026</v>
      </c>
      <c r="D2795" s="119" t="s">
        <v>766</v>
      </c>
      <c r="E2795" s="119" t="s">
        <v>1471</v>
      </c>
      <c r="F2795" s="120">
        <v>2000</v>
      </c>
      <c r="G2795" s="120" t="s">
        <v>759</v>
      </c>
      <c r="H2795" s="169">
        <v>31000000</v>
      </c>
    </row>
    <row r="2796" spans="1:8" x14ac:dyDescent="0.25">
      <c r="A2796" s="115">
        <v>2795</v>
      </c>
      <c r="B2796" s="167">
        <v>46037</v>
      </c>
      <c r="C2796" s="117">
        <v>2026</v>
      </c>
      <c r="D2796" s="119" t="s">
        <v>35</v>
      </c>
      <c r="E2796" s="119" t="s">
        <v>1617</v>
      </c>
      <c r="F2796" s="120">
        <v>5</v>
      </c>
      <c r="G2796" s="120" t="s">
        <v>759</v>
      </c>
      <c r="H2796" s="169">
        <v>250000</v>
      </c>
    </row>
    <row r="2797" spans="1:8" x14ac:dyDescent="0.25">
      <c r="A2797" s="115">
        <v>2796</v>
      </c>
      <c r="B2797" s="167">
        <v>46039</v>
      </c>
      <c r="C2797" s="117">
        <v>2026</v>
      </c>
      <c r="D2797" s="119" t="s">
        <v>851</v>
      </c>
      <c r="E2797" s="119" t="s">
        <v>1027</v>
      </c>
      <c r="F2797" s="120">
        <v>2</v>
      </c>
      <c r="G2797" s="120" t="s">
        <v>759</v>
      </c>
      <c r="H2797" s="169">
        <v>260000</v>
      </c>
    </row>
    <row r="2798" spans="1:8" x14ac:dyDescent="0.25">
      <c r="A2798" s="115">
        <v>2797</v>
      </c>
      <c r="B2798" s="167">
        <v>46039</v>
      </c>
      <c r="C2798" s="117">
        <v>2026</v>
      </c>
      <c r="D2798" s="119" t="s">
        <v>35</v>
      </c>
      <c r="E2798" s="119" t="s">
        <v>180</v>
      </c>
      <c r="F2798" s="120">
        <v>20</v>
      </c>
      <c r="G2798" s="120" t="s">
        <v>759</v>
      </c>
      <c r="H2798" s="169">
        <v>46900</v>
      </c>
    </row>
    <row r="2799" spans="1:8" x14ac:dyDescent="0.25">
      <c r="A2799" s="115">
        <v>2798</v>
      </c>
      <c r="B2799" s="167">
        <v>46039</v>
      </c>
      <c r="C2799" s="117">
        <v>2026</v>
      </c>
      <c r="D2799" s="119" t="s">
        <v>259</v>
      </c>
      <c r="E2799" s="119" t="s">
        <v>1618</v>
      </c>
      <c r="F2799" s="120">
        <v>1</v>
      </c>
      <c r="G2799" s="120" t="s">
        <v>759</v>
      </c>
      <c r="H2799" s="169">
        <v>468300</v>
      </c>
    </row>
    <row r="2800" spans="1:8" x14ac:dyDescent="0.25">
      <c r="A2800" s="115">
        <v>2799</v>
      </c>
      <c r="B2800" s="167">
        <v>46041</v>
      </c>
      <c r="C2800" s="117">
        <v>2026</v>
      </c>
      <c r="D2800" s="119" t="s">
        <v>35</v>
      </c>
      <c r="E2800" s="119" t="s">
        <v>610</v>
      </c>
      <c r="F2800" s="120">
        <v>2</v>
      </c>
      <c r="G2800" s="120" t="s">
        <v>759</v>
      </c>
      <c r="H2800" s="169">
        <v>40900</v>
      </c>
    </row>
    <row r="2801" spans="1:8" x14ac:dyDescent="0.25">
      <c r="A2801" s="115">
        <v>2800</v>
      </c>
      <c r="B2801" s="167">
        <v>46041</v>
      </c>
      <c r="C2801" s="117">
        <v>2026</v>
      </c>
      <c r="D2801" s="118" t="s">
        <v>766</v>
      </c>
      <c r="E2801" s="119" t="s">
        <v>914</v>
      </c>
      <c r="F2801" s="120">
        <v>325</v>
      </c>
      <c r="G2801" s="120" t="s">
        <v>759</v>
      </c>
      <c r="H2801" s="169">
        <v>2015000</v>
      </c>
    </row>
    <row r="2802" spans="1:8" x14ac:dyDescent="0.25">
      <c r="A2802" s="115">
        <v>2801</v>
      </c>
      <c r="B2802" s="167">
        <v>46041</v>
      </c>
      <c r="C2802" s="117">
        <v>2026</v>
      </c>
      <c r="D2802" s="118" t="s">
        <v>766</v>
      </c>
      <c r="E2802" s="119" t="s">
        <v>915</v>
      </c>
      <c r="F2802" s="120">
        <v>375</v>
      </c>
      <c r="G2802" s="120" t="s">
        <v>759</v>
      </c>
      <c r="H2802" s="169">
        <v>1959375</v>
      </c>
    </row>
    <row r="2803" spans="1:8" x14ac:dyDescent="0.25">
      <c r="A2803" s="115">
        <v>2802</v>
      </c>
      <c r="B2803" s="167">
        <v>46041</v>
      </c>
      <c r="C2803" s="117">
        <v>2026</v>
      </c>
      <c r="D2803" s="119" t="s">
        <v>35</v>
      </c>
      <c r="E2803" s="119" t="s">
        <v>407</v>
      </c>
      <c r="F2803" s="120">
        <v>3</v>
      </c>
      <c r="G2803" s="120" t="s">
        <v>759</v>
      </c>
      <c r="H2803" s="169">
        <v>330000</v>
      </c>
    </row>
    <row r="2804" spans="1:8" x14ac:dyDescent="0.25">
      <c r="A2804" s="115">
        <v>2803</v>
      </c>
      <c r="B2804" s="167">
        <v>46041</v>
      </c>
      <c r="C2804" s="117">
        <v>2026</v>
      </c>
      <c r="D2804" s="119" t="s">
        <v>35</v>
      </c>
      <c r="E2804" s="119" t="s">
        <v>1315</v>
      </c>
      <c r="F2804" s="120">
        <v>1</v>
      </c>
      <c r="G2804" s="120" t="s">
        <v>759</v>
      </c>
      <c r="H2804" s="169">
        <v>36710</v>
      </c>
    </row>
    <row r="2805" spans="1:8" x14ac:dyDescent="0.25">
      <c r="A2805" s="115">
        <v>2804</v>
      </c>
      <c r="B2805" s="167">
        <v>46041</v>
      </c>
      <c r="C2805" s="117">
        <v>2026</v>
      </c>
      <c r="D2805" s="119" t="s">
        <v>35</v>
      </c>
      <c r="E2805" s="119" t="s">
        <v>677</v>
      </c>
      <c r="F2805" s="120">
        <v>5</v>
      </c>
      <c r="G2805" s="120" t="s">
        <v>759</v>
      </c>
      <c r="H2805" s="169">
        <v>35590</v>
      </c>
    </row>
    <row r="2806" spans="1:8" x14ac:dyDescent="0.25">
      <c r="A2806" s="115">
        <v>2805</v>
      </c>
      <c r="B2806" s="167">
        <v>46041</v>
      </c>
      <c r="C2806" s="117">
        <v>2026</v>
      </c>
      <c r="D2806" s="119" t="s">
        <v>35</v>
      </c>
      <c r="E2806" s="119" t="s">
        <v>1619</v>
      </c>
      <c r="F2806" s="120">
        <v>1</v>
      </c>
      <c r="G2806" s="120" t="s">
        <v>759</v>
      </c>
      <c r="H2806" s="169">
        <v>35000</v>
      </c>
    </row>
    <row r="2807" spans="1:8" x14ac:dyDescent="0.25">
      <c r="A2807" s="115">
        <v>2806</v>
      </c>
      <c r="B2807" s="167">
        <v>46042</v>
      </c>
      <c r="C2807" s="117">
        <v>2026</v>
      </c>
      <c r="D2807" s="119" t="s">
        <v>833</v>
      </c>
      <c r="E2807" s="119" t="s">
        <v>175</v>
      </c>
      <c r="F2807" s="120">
        <v>5</v>
      </c>
      <c r="G2807" s="120" t="s">
        <v>759</v>
      </c>
      <c r="H2807" s="169">
        <v>71400</v>
      </c>
    </row>
    <row r="2808" spans="1:8" x14ac:dyDescent="0.25">
      <c r="A2808" s="115">
        <v>2807</v>
      </c>
      <c r="B2808" s="167">
        <v>46042</v>
      </c>
      <c r="C2808" s="117">
        <v>2026</v>
      </c>
      <c r="D2808" s="119" t="s">
        <v>833</v>
      </c>
      <c r="E2808" s="119" t="s">
        <v>175</v>
      </c>
      <c r="F2808" s="120">
        <v>5</v>
      </c>
      <c r="G2808" s="120" t="s">
        <v>759</v>
      </c>
      <c r="H2808" s="169">
        <v>92500</v>
      </c>
    </row>
    <row r="2809" spans="1:8" x14ac:dyDescent="0.25">
      <c r="A2809" s="115">
        <v>2808</v>
      </c>
      <c r="B2809" s="167">
        <v>46042</v>
      </c>
      <c r="C2809" s="117">
        <v>2026</v>
      </c>
      <c r="D2809" s="119" t="s">
        <v>833</v>
      </c>
      <c r="E2809" s="119" t="s">
        <v>91</v>
      </c>
      <c r="F2809" s="120">
        <v>5</v>
      </c>
      <c r="G2809" s="120" t="s">
        <v>759</v>
      </c>
      <c r="H2809" s="169">
        <v>20660</v>
      </c>
    </row>
    <row r="2810" spans="1:8" x14ac:dyDescent="0.25">
      <c r="A2810" s="115">
        <v>2809</v>
      </c>
      <c r="B2810" s="167">
        <v>46042</v>
      </c>
      <c r="C2810" s="117">
        <v>2026</v>
      </c>
      <c r="D2810" s="119" t="s">
        <v>35</v>
      </c>
      <c r="E2810" s="119" t="s">
        <v>1620</v>
      </c>
      <c r="F2810" s="120">
        <v>1</v>
      </c>
      <c r="G2810" s="120" t="s">
        <v>759</v>
      </c>
      <c r="H2810" s="169">
        <v>137100</v>
      </c>
    </row>
    <row r="2811" spans="1:8" x14ac:dyDescent="0.25">
      <c r="A2811" s="115">
        <v>2810</v>
      </c>
      <c r="B2811" s="167">
        <v>46042</v>
      </c>
      <c r="C2811" s="117">
        <v>2026</v>
      </c>
      <c r="D2811" s="119" t="s">
        <v>1118</v>
      </c>
      <c r="E2811" s="119" t="s">
        <v>28</v>
      </c>
      <c r="F2811" s="120">
        <v>1</v>
      </c>
      <c r="G2811" s="120" t="s">
        <v>759</v>
      </c>
      <c r="H2811" s="169">
        <v>750000</v>
      </c>
    </row>
    <row r="2812" spans="1:8" x14ac:dyDescent="0.25">
      <c r="A2812" s="115">
        <v>2811</v>
      </c>
      <c r="B2812" s="167">
        <v>46042</v>
      </c>
      <c r="C2812" s="117">
        <v>2026</v>
      </c>
      <c r="D2812" s="119" t="s">
        <v>35</v>
      </c>
      <c r="E2812" s="119" t="s">
        <v>1601</v>
      </c>
      <c r="F2812" s="120">
        <v>4</v>
      </c>
      <c r="G2812" s="120" t="s">
        <v>759</v>
      </c>
      <c r="H2812" s="169">
        <v>210000</v>
      </c>
    </row>
    <row r="2813" spans="1:8" x14ac:dyDescent="0.25">
      <c r="A2813" s="115">
        <v>2812</v>
      </c>
      <c r="B2813" s="167">
        <v>46042</v>
      </c>
      <c r="C2813" s="117">
        <v>2026</v>
      </c>
      <c r="D2813" s="119" t="s">
        <v>833</v>
      </c>
      <c r="E2813" s="119" t="s">
        <v>692</v>
      </c>
      <c r="F2813" s="120">
        <v>80</v>
      </c>
      <c r="G2813" s="120" t="s">
        <v>759</v>
      </c>
      <c r="H2813" s="169">
        <v>36800000</v>
      </c>
    </row>
    <row r="2814" spans="1:8" x14ac:dyDescent="0.25">
      <c r="A2814" s="115">
        <v>2813</v>
      </c>
      <c r="B2814" s="167">
        <v>46042</v>
      </c>
      <c r="C2814" s="117">
        <v>2026</v>
      </c>
      <c r="D2814" s="119" t="s">
        <v>35</v>
      </c>
      <c r="E2814" s="119" t="s">
        <v>220</v>
      </c>
      <c r="F2814" s="120">
        <v>1</v>
      </c>
      <c r="G2814" s="120" t="s">
        <v>759</v>
      </c>
      <c r="H2814" s="169">
        <v>204600</v>
      </c>
    </row>
    <row r="2815" spans="1:8" x14ac:dyDescent="0.25">
      <c r="A2815" s="115">
        <v>2814</v>
      </c>
      <c r="B2815" s="167">
        <v>46042</v>
      </c>
      <c r="C2815" s="117">
        <v>2026</v>
      </c>
      <c r="D2815" s="119" t="s">
        <v>35</v>
      </c>
      <c r="E2815" s="119" t="s">
        <v>101</v>
      </c>
      <c r="F2815" s="120">
        <v>3</v>
      </c>
      <c r="G2815" s="120" t="s">
        <v>759</v>
      </c>
      <c r="H2815" s="169">
        <v>10131</v>
      </c>
    </row>
    <row r="2816" spans="1:8" x14ac:dyDescent="0.25">
      <c r="A2816" s="115">
        <v>2815</v>
      </c>
      <c r="B2816" s="167">
        <v>46042</v>
      </c>
      <c r="C2816" s="117">
        <v>2026</v>
      </c>
      <c r="D2816" s="119" t="s">
        <v>833</v>
      </c>
      <c r="E2816" s="119" t="s">
        <v>493</v>
      </c>
      <c r="F2816" s="120">
        <v>15</v>
      </c>
      <c r="G2816" s="120" t="s">
        <v>759</v>
      </c>
      <c r="H2816" s="169">
        <v>135000</v>
      </c>
    </row>
    <row r="2817" spans="1:8" x14ac:dyDescent="0.25">
      <c r="A2817" s="115">
        <v>2816</v>
      </c>
      <c r="B2817" s="167">
        <v>46042</v>
      </c>
      <c r="C2817" s="117">
        <v>2026</v>
      </c>
      <c r="D2817" s="119" t="s">
        <v>833</v>
      </c>
      <c r="E2817" s="119" t="s">
        <v>523</v>
      </c>
      <c r="F2817" s="120">
        <v>3</v>
      </c>
      <c r="G2817" s="120" t="s">
        <v>759</v>
      </c>
      <c r="H2817" s="169">
        <v>49449</v>
      </c>
    </row>
    <row r="2818" spans="1:8" x14ac:dyDescent="0.25">
      <c r="A2818" s="115">
        <v>2817</v>
      </c>
      <c r="B2818" s="167">
        <v>46042</v>
      </c>
      <c r="C2818" s="117">
        <v>2026</v>
      </c>
      <c r="D2818" s="119" t="s">
        <v>35</v>
      </c>
      <c r="E2818" s="119" t="s">
        <v>1399</v>
      </c>
      <c r="F2818" s="120">
        <v>1</v>
      </c>
      <c r="G2818" s="120" t="s">
        <v>759</v>
      </c>
      <c r="H2818" s="169">
        <v>19400</v>
      </c>
    </row>
    <row r="2819" spans="1:8" x14ac:dyDescent="0.25">
      <c r="A2819" s="115">
        <v>2818</v>
      </c>
      <c r="B2819" s="167">
        <v>46042</v>
      </c>
      <c r="C2819" s="117">
        <v>2026</v>
      </c>
      <c r="D2819" s="119" t="s">
        <v>833</v>
      </c>
      <c r="E2819" s="119" t="s">
        <v>495</v>
      </c>
      <c r="F2819" s="120">
        <v>8</v>
      </c>
      <c r="G2819" s="120" t="s">
        <v>759</v>
      </c>
      <c r="H2819" s="169">
        <v>387504</v>
      </c>
    </row>
    <row r="2820" spans="1:8" x14ac:dyDescent="0.25">
      <c r="A2820" s="115">
        <v>2819</v>
      </c>
      <c r="B2820" s="167">
        <v>46043</v>
      </c>
      <c r="C2820" s="117">
        <v>2026</v>
      </c>
      <c r="D2820" s="119" t="s">
        <v>35</v>
      </c>
      <c r="E2820" s="119" t="s">
        <v>677</v>
      </c>
      <c r="F2820" s="120">
        <v>2</v>
      </c>
      <c r="G2820" s="120" t="s">
        <v>759</v>
      </c>
      <c r="H2820" s="169">
        <v>19900</v>
      </c>
    </row>
    <row r="2821" spans="1:8" x14ac:dyDescent="0.25">
      <c r="A2821" s="115">
        <v>2820</v>
      </c>
      <c r="B2821" s="167">
        <v>46044</v>
      </c>
      <c r="C2821" s="117">
        <v>2026</v>
      </c>
      <c r="D2821" s="119" t="s">
        <v>35</v>
      </c>
      <c r="E2821" s="119" t="s">
        <v>252</v>
      </c>
      <c r="F2821" s="120">
        <v>2</v>
      </c>
      <c r="G2821" s="120" t="s">
        <v>759</v>
      </c>
      <c r="H2821" s="169">
        <v>2140000</v>
      </c>
    </row>
    <row r="2822" spans="1:8" x14ac:dyDescent="0.25">
      <c r="A2822" s="115">
        <v>2821</v>
      </c>
      <c r="B2822" s="167">
        <v>46044</v>
      </c>
      <c r="C2822" s="117">
        <v>2026</v>
      </c>
      <c r="D2822" s="119" t="s">
        <v>35</v>
      </c>
      <c r="E2822" s="119" t="s">
        <v>761</v>
      </c>
      <c r="F2822" s="120">
        <v>2</v>
      </c>
      <c r="G2822" s="120" t="s">
        <v>759</v>
      </c>
      <c r="H2822" s="169">
        <v>3150000</v>
      </c>
    </row>
    <row r="2823" spans="1:8" x14ac:dyDescent="0.25">
      <c r="A2823" s="115">
        <v>2822</v>
      </c>
      <c r="B2823" s="167">
        <v>46044</v>
      </c>
      <c r="C2823" s="117">
        <v>2026</v>
      </c>
      <c r="D2823" s="119" t="s">
        <v>35</v>
      </c>
      <c r="E2823" s="119" t="s">
        <v>761</v>
      </c>
      <c r="F2823" s="120">
        <v>4</v>
      </c>
      <c r="G2823" s="120" t="s">
        <v>759</v>
      </c>
      <c r="H2823" s="169">
        <v>9000000</v>
      </c>
    </row>
    <row r="2824" spans="1:8" x14ac:dyDescent="0.25">
      <c r="A2824" s="115">
        <v>2823</v>
      </c>
      <c r="B2824" s="167">
        <v>46044</v>
      </c>
      <c r="C2824" s="117">
        <v>2026</v>
      </c>
      <c r="D2824" s="119" t="s">
        <v>35</v>
      </c>
      <c r="E2824" s="119" t="s">
        <v>414</v>
      </c>
      <c r="F2824" s="120">
        <v>12</v>
      </c>
      <c r="G2824" s="120" t="s">
        <v>759</v>
      </c>
      <c r="H2824" s="169">
        <v>4080000</v>
      </c>
    </row>
    <row r="2825" spans="1:8" x14ac:dyDescent="0.25">
      <c r="A2825" s="115">
        <v>2824</v>
      </c>
      <c r="B2825" s="167">
        <v>46044</v>
      </c>
      <c r="C2825" s="117">
        <v>2026</v>
      </c>
      <c r="D2825" s="119" t="s">
        <v>35</v>
      </c>
      <c r="E2825" s="119" t="s">
        <v>1586</v>
      </c>
      <c r="F2825" s="120">
        <v>1</v>
      </c>
      <c r="G2825" s="120" t="s">
        <v>759</v>
      </c>
      <c r="H2825" s="169">
        <v>101083</v>
      </c>
    </row>
    <row r="2826" spans="1:8" x14ac:dyDescent="0.25">
      <c r="A2826" s="115">
        <v>2825</v>
      </c>
      <c r="B2826" s="167">
        <v>46044</v>
      </c>
      <c r="C2826" s="117">
        <v>2026</v>
      </c>
      <c r="D2826" s="119" t="s">
        <v>35</v>
      </c>
      <c r="E2826" s="119" t="s">
        <v>1450</v>
      </c>
      <c r="F2826" s="120">
        <v>1</v>
      </c>
      <c r="G2826" s="120" t="s">
        <v>759</v>
      </c>
      <c r="H2826" s="169">
        <v>65000</v>
      </c>
    </row>
    <row r="2827" spans="1:8" x14ac:dyDescent="0.25">
      <c r="A2827" s="115">
        <v>2826</v>
      </c>
      <c r="B2827" s="167">
        <v>46044</v>
      </c>
      <c r="C2827" s="117">
        <v>2026</v>
      </c>
      <c r="D2827" s="119" t="s">
        <v>35</v>
      </c>
      <c r="E2827" s="119" t="s">
        <v>72</v>
      </c>
      <c r="F2827" s="120">
        <v>1</v>
      </c>
      <c r="G2827" s="120" t="s">
        <v>759</v>
      </c>
      <c r="H2827" s="169">
        <v>25000</v>
      </c>
    </row>
    <row r="2828" spans="1:8" x14ac:dyDescent="0.25">
      <c r="A2828" s="115">
        <v>2827</v>
      </c>
      <c r="B2828" s="167">
        <v>46044</v>
      </c>
      <c r="C2828" s="117">
        <v>2026</v>
      </c>
      <c r="D2828" s="119" t="s">
        <v>851</v>
      </c>
      <c r="E2828" s="119" t="s">
        <v>107</v>
      </c>
      <c r="F2828" s="120">
        <v>5</v>
      </c>
      <c r="G2828" s="120" t="s">
        <v>759</v>
      </c>
      <c r="H2828" s="169">
        <v>51900</v>
      </c>
    </row>
    <row r="2829" spans="1:8" x14ac:dyDescent="0.25">
      <c r="A2829" s="115">
        <v>2828</v>
      </c>
      <c r="B2829" s="167">
        <v>46044</v>
      </c>
      <c r="C2829" s="117">
        <v>2026</v>
      </c>
      <c r="D2829" s="119" t="s">
        <v>35</v>
      </c>
      <c r="E2829" s="119" t="s">
        <v>852</v>
      </c>
      <c r="F2829" s="120">
        <v>1</v>
      </c>
      <c r="G2829" s="120" t="s">
        <v>759</v>
      </c>
      <c r="H2829" s="169">
        <v>19900</v>
      </c>
    </row>
    <row r="2830" spans="1:8" x14ac:dyDescent="0.25">
      <c r="A2830" s="115">
        <v>2829</v>
      </c>
      <c r="B2830" s="167">
        <v>46044</v>
      </c>
      <c r="C2830" s="117">
        <v>2026</v>
      </c>
      <c r="D2830" s="119" t="s">
        <v>833</v>
      </c>
      <c r="E2830" s="119" t="s">
        <v>425</v>
      </c>
      <c r="F2830" s="120">
        <v>12</v>
      </c>
      <c r="G2830" s="120" t="s">
        <v>759</v>
      </c>
      <c r="H2830" s="169">
        <v>528900</v>
      </c>
    </row>
    <row r="2831" spans="1:8" x14ac:dyDescent="0.25">
      <c r="A2831" s="115">
        <v>2830</v>
      </c>
      <c r="B2831" s="167">
        <v>46045</v>
      </c>
      <c r="C2831" s="117">
        <v>2026</v>
      </c>
      <c r="D2831" s="119" t="s">
        <v>833</v>
      </c>
      <c r="E2831" s="119" t="s">
        <v>1505</v>
      </c>
      <c r="F2831" s="120">
        <v>1</v>
      </c>
      <c r="G2831" s="120" t="s">
        <v>759</v>
      </c>
      <c r="H2831" s="169">
        <v>45000</v>
      </c>
    </row>
    <row r="2832" spans="1:8" x14ac:dyDescent="0.25">
      <c r="A2832" s="115">
        <v>2831</v>
      </c>
      <c r="B2832" s="167">
        <v>46045</v>
      </c>
      <c r="C2832" s="117">
        <v>2026</v>
      </c>
      <c r="D2832" s="119" t="s">
        <v>35</v>
      </c>
      <c r="E2832" s="119" t="s">
        <v>1621</v>
      </c>
      <c r="F2832" s="120">
        <v>1</v>
      </c>
      <c r="G2832" s="120" t="s">
        <v>759</v>
      </c>
      <c r="H2832" s="169">
        <v>1250000</v>
      </c>
    </row>
    <row r="2833" spans="1:8" x14ac:dyDescent="0.25">
      <c r="A2833" s="115">
        <v>2832</v>
      </c>
      <c r="B2833" s="167">
        <v>46046</v>
      </c>
      <c r="C2833" s="117">
        <v>2026</v>
      </c>
      <c r="D2833" s="119" t="s">
        <v>35</v>
      </c>
      <c r="E2833" s="119" t="s">
        <v>612</v>
      </c>
      <c r="F2833" s="120">
        <v>4</v>
      </c>
      <c r="G2833" s="120" t="s">
        <v>759</v>
      </c>
      <c r="H2833" s="169">
        <v>24700</v>
      </c>
    </row>
    <row r="2834" spans="1:8" x14ac:dyDescent="0.25">
      <c r="A2834" s="115">
        <v>2833</v>
      </c>
      <c r="B2834" s="167">
        <v>46046</v>
      </c>
      <c r="C2834" s="117">
        <v>2026</v>
      </c>
      <c r="D2834" s="119" t="s">
        <v>35</v>
      </c>
      <c r="E2834" s="119" t="s">
        <v>1622</v>
      </c>
      <c r="F2834" s="120">
        <v>1</v>
      </c>
      <c r="G2834" s="120" t="s">
        <v>759</v>
      </c>
      <c r="H2834" s="169">
        <v>7650</v>
      </c>
    </row>
    <row r="2835" spans="1:8" x14ac:dyDescent="0.25">
      <c r="A2835" s="115">
        <v>2834</v>
      </c>
      <c r="B2835" s="167">
        <v>46046</v>
      </c>
      <c r="C2835" s="117">
        <v>2026</v>
      </c>
      <c r="D2835" s="119" t="s">
        <v>1118</v>
      </c>
      <c r="E2835" s="119" t="s">
        <v>28</v>
      </c>
      <c r="F2835" s="120">
        <v>1</v>
      </c>
      <c r="G2835" s="120" t="s">
        <v>759</v>
      </c>
      <c r="H2835" s="169">
        <v>1500000</v>
      </c>
    </row>
    <row r="2836" spans="1:8" x14ac:dyDescent="0.25">
      <c r="A2836" s="115">
        <v>2835</v>
      </c>
      <c r="B2836" s="167">
        <v>46046</v>
      </c>
      <c r="C2836" s="117">
        <v>2026</v>
      </c>
      <c r="D2836" s="119" t="s">
        <v>35</v>
      </c>
      <c r="E2836" s="119" t="s">
        <v>1623</v>
      </c>
      <c r="F2836" s="120">
        <v>1</v>
      </c>
      <c r="G2836" s="120" t="s">
        <v>759</v>
      </c>
      <c r="H2836" s="169">
        <v>55984</v>
      </c>
    </row>
    <row r="2837" spans="1:8" x14ac:dyDescent="0.25">
      <c r="A2837" s="115">
        <v>2836</v>
      </c>
      <c r="B2837" s="167">
        <v>46046</v>
      </c>
      <c r="C2837" s="117">
        <v>2026</v>
      </c>
      <c r="D2837" s="119" t="s">
        <v>35</v>
      </c>
      <c r="E2837" s="119" t="s">
        <v>1624</v>
      </c>
      <c r="F2837" s="120">
        <v>2</v>
      </c>
      <c r="G2837" s="120" t="s">
        <v>759</v>
      </c>
      <c r="H2837" s="169">
        <v>67500</v>
      </c>
    </row>
    <row r="2838" spans="1:8" x14ac:dyDescent="0.25">
      <c r="A2838" s="115">
        <v>2837</v>
      </c>
      <c r="B2838" s="167">
        <v>46046</v>
      </c>
      <c r="C2838" s="117">
        <v>2026</v>
      </c>
      <c r="D2838" s="119" t="s">
        <v>35</v>
      </c>
      <c r="E2838" s="119" t="s">
        <v>679</v>
      </c>
      <c r="F2838" s="120">
        <v>1</v>
      </c>
      <c r="G2838" s="120" t="s">
        <v>759</v>
      </c>
      <c r="H2838" s="169">
        <v>30899</v>
      </c>
    </row>
    <row r="2839" spans="1:8" x14ac:dyDescent="0.25">
      <c r="A2839" s="115">
        <v>2838</v>
      </c>
      <c r="B2839" s="167">
        <v>46048</v>
      </c>
      <c r="C2839" s="117">
        <v>2026</v>
      </c>
      <c r="D2839" s="119" t="s">
        <v>35</v>
      </c>
      <c r="E2839" s="119" t="s">
        <v>739</v>
      </c>
      <c r="F2839" s="120">
        <v>75</v>
      </c>
      <c r="G2839" s="120" t="s">
        <v>759</v>
      </c>
      <c r="H2839" s="169">
        <v>660000</v>
      </c>
    </row>
    <row r="2840" spans="1:8" x14ac:dyDescent="0.25">
      <c r="A2840" s="115">
        <v>2839</v>
      </c>
      <c r="B2840" s="167">
        <v>46048</v>
      </c>
      <c r="C2840" s="117">
        <v>2026</v>
      </c>
      <c r="D2840" s="119" t="s">
        <v>35</v>
      </c>
      <c r="E2840" s="119" t="s">
        <v>1611</v>
      </c>
      <c r="F2840" s="120">
        <v>26</v>
      </c>
      <c r="G2840" s="120" t="s">
        <v>759</v>
      </c>
      <c r="H2840" s="169">
        <v>1214278</v>
      </c>
    </row>
    <row r="2841" spans="1:8" x14ac:dyDescent="0.25">
      <c r="A2841" s="115">
        <v>2840</v>
      </c>
      <c r="B2841" s="167">
        <v>46048</v>
      </c>
      <c r="C2841" s="117">
        <v>2026</v>
      </c>
      <c r="D2841" s="119" t="s">
        <v>851</v>
      </c>
      <c r="E2841" s="119" t="s">
        <v>1325</v>
      </c>
      <c r="F2841" s="120">
        <v>1</v>
      </c>
      <c r="G2841" s="120" t="s">
        <v>759</v>
      </c>
      <c r="H2841" s="169">
        <v>15500</v>
      </c>
    </row>
    <row r="2842" spans="1:8" x14ac:dyDescent="0.25">
      <c r="A2842" s="115">
        <v>2841</v>
      </c>
      <c r="B2842" s="167">
        <v>46048</v>
      </c>
      <c r="C2842" s="117">
        <v>2026</v>
      </c>
      <c r="D2842" s="119" t="s">
        <v>35</v>
      </c>
      <c r="E2842" s="119" t="s">
        <v>1069</v>
      </c>
      <c r="F2842" s="120">
        <v>1</v>
      </c>
      <c r="G2842" s="120" t="s">
        <v>759</v>
      </c>
      <c r="H2842" s="169">
        <v>56400</v>
      </c>
    </row>
    <row r="2843" spans="1:8" x14ac:dyDescent="0.25">
      <c r="A2843" s="115">
        <v>2842</v>
      </c>
      <c r="B2843" s="167">
        <v>46048</v>
      </c>
      <c r="C2843" s="117">
        <v>2026</v>
      </c>
      <c r="D2843" s="119" t="s">
        <v>35</v>
      </c>
      <c r="E2843" s="119" t="s">
        <v>1030</v>
      </c>
      <c r="F2843" s="120">
        <v>2</v>
      </c>
      <c r="G2843" s="120" t="s">
        <v>759</v>
      </c>
      <c r="H2843" s="169">
        <v>15000</v>
      </c>
    </row>
    <row r="2844" spans="1:8" x14ac:dyDescent="0.25">
      <c r="A2844" s="115">
        <v>2843</v>
      </c>
      <c r="B2844" s="167">
        <v>46048</v>
      </c>
      <c r="C2844" s="117">
        <v>2026</v>
      </c>
      <c r="D2844" s="119" t="s">
        <v>35</v>
      </c>
      <c r="E2844" s="119" t="s">
        <v>1030</v>
      </c>
      <c r="F2844" s="120">
        <v>2</v>
      </c>
      <c r="G2844" s="120" t="s">
        <v>759</v>
      </c>
      <c r="H2844" s="169">
        <v>13900</v>
      </c>
    </row>
    <row r="2845" spans="1:8" x14ac:dyDescent="0.25">
      <c r="A2845" s="115">
        <v>2844</v>
      </c>
      <c r="B2845" s="167">
        <v>46048</v>
      </c>
      <c r="C2845" s="117">
        <v>2026</v>
      </c>
      <c r="D2845" s="119" t="s">
        <v>35</v>
      </c>
      <c r="E2845" s="119" t="s">
        <v>1459</v>
      </c>
      <c r="F2845" s="120">
        <v>2</v>
      </c>
      <c r="G2845" s="120" t="s">
        <v>759</v>
      </c>
      <c r="H2845" s="169">
        <v>110000</v>
      </c>
    </row>
    <row r="2846" spans="1:8" x14ac:dyDescent="0.25">
      <c r="A2846" s="115">
        <v>2845</v>
      </c>
      <c r="B2846" s="167">
        <v>46049</v>
      </c>
      <c r="C2846" s="117">
        <v>2026</v>
      </c>
      <c r="D2846" s="119" t="s">
        <v>35</v>
      </c>
      <c r="E2846" s="119" t="s">
        <v>192</v>
      </c>
      <c r="F2846" s="120">
        <v>12</v>
      </c>
      <c r="G2846" s="120" t="s">
        <v>759</v>
      </c>
      <c r="H2846" s="169">
        <v>35484</v>
      </c>
    </row>
    <row r="2847" spans="1:8" x14ac:dyDescent="0.25">
      <c r="A2847" s="115">
        <v>2846</v>
      </c>
      <c r="B2847" s="167">
        <v>46049</v>
      </c>
      <c r="C2847" s="117">
        <v>2026</v>
      </c>
      <c r="D2847" s="119" t="s">
        <v>35</v>
      </c>
      <c r="E2847" s="119" t="s">
        <v>36</v>
      </c>
      <c r="F2847" s="120">
        <v>3</v>
      </c>
      <c r="G2847" s="120" t="s">
        <v>759</v>
      </c>
      <c r="H2847" s="169">
        <v>17652</v>
      </c>
    </row>
    <row r="2848" spans="1:8" x14ac:dyDescent="0.25">
      <c r="A2848" s="115">
        <v>2847</v>
      </c>
      <c r="B2848" s="167">
        <v>46049</v>
      </c>
      <c r="C2848" s="117">
        <v>2026</v>
      </c>
      <c r="D2848" s="119" t="s">
        <v>35</v>
      </c>
      <c r="E2848" s="119" t="s">
        <v>643</v>
      </c>
      <c r="F2848" s="120">
        <v>5</v>
      </c>
      <c r="G2848" s="120" t="s">
        <v>759</v>
      </c>
      <c r="H2848" s="169">
        <v>14950</v>
      </c>
    </row>
    <row r="2849" spans="1:8" x14ac:dyDescent="0.25">
      <c r="A2849" s="115">
        <v>2848</v>
      </c>
      <c r="B2849" s="167">
        <v>46050</v>
      </c>
      <c r="C2849" s="117">
        <v>2026</v>
      </c>
      <c r="D2849" s="119" t="s">
        <v>851</v>
      </c>
      <c r="E2849" s="119" t="s">
        <v>211</v>
      </c>
      <c r="F2849" s="120">
        <v>1</v>
      </c>
      <c r="G2849" s="120" t="s">
        <v>759</v>
      </c>
      <c r="H2849" s="169">
        <v>30000</v>
      </c>
    </row>
    <row r="2850" spans="1:8" x14ac:dyDescent="0.25">
      <c r="A2850" s="115">
        <v>2849</v>
      </c>
      <c r="B2850" s="167">
        <v>46050</v>
      </c>
      <c r="C2850" s="117">
        <v>2026</v>
      </c>
      <c r="D2850" s="119" t="s">
        <v>35</v>
      </c>
      <c r="E2850" s="119" t="s">
        <v>1601</v>
      </c>
      <c r="F2850" s="120">
        <v>4</v>
      </c>
      <c r="G2850" s="120" t="s">
        <v>759</v>
      </c>
      <c r="H2850" s="169">
        <v>210000</v>
      </c>
    </row>
    <row r="2851" spans="1:8" x14ac:dyDescent="0.25">
      <c r="A2851" s="115">
        <v>2850</v>
      </c>
      <c r="B2851" s="167">
        <v>46050</v>
      </c>
      <c r="C2851" s="117">
        <v>2026</v>
      </c>
      <c r="D2851" s="119" t="s">
        <v>35</v>
      </c>
      <c r="E2851" s="119" t="s">
        <v>1601</v>
      </c>
      <c r="F2851" s="120">
        <v>4</v>
      </c>
      <c r="G2851" s="120" t="s">
        <v>759</v>
      </c>
      <c r="H2851" s="169">
        <v>210000</v>
      </c>
    </row>
    <row r="2852" spans="1:8" x14ac:dyDescent="0.25">
      <c r="A2852" s="115">
        <v>2851</v>
      </c>
      <c r="B2852" s="167">
        <v>46050</v>
      </c>
      <c r="C2852" s="117">
        <v>2026</v>
      </c>
      <c r="D2852" s="119" t="s">
        <v>35</v>
      </c>
      <c r="E2852" s="119" t="s">
        <v>1601</v>
      </c>
      <c r="F2852" s="120">
        <v>4</v>
      </c>
      <c r="G2852" s="120" t="s">
        <v>759</v>
      </c>
      <c r="H2852" s="169">
        <v>210000</v>
      </c>
    </row>
    <row r="2853" spans="1:8" x14ac:dyDescent="0.25">
      <c r="A2853" s="115">
        <v>2852</v>
      </c>
      <c r="B2853" s="167">
        <v>46050</v>
      </c>
      <c r="C2853" s="117">
        <v>2026</v>
      </c>
      <c r="D2853" s="119" t="s">
        <v>35</v>
      </c>
      <c r="E2853" s="119" t="s">
        <v>478</v>
      </c>
      <c r="F2853" s="120">
        <v>100</v>
      </c>
      <c r="G2853" s="120" t="s">
        <v>759</v>
      </c>
      <c r="H2853" s="169">
        <v>42700</v>
      </c>
    </row>
    <row r="2854" spans="1:8" x14ac:dyDescent="0.25">
      <c r="A2854" s="115">
        <v>2853</v>
      </c>
      <c r="B2854" s="167">
        <v>46050</v>
      </c>
      <c r="C2854" s="117">
        <v>2026</v>
      </c>
      <c r="D2854" s="119" t="s">
        <v>35</v>
      </c>
      <c r="E2854" s="119" t="s">
        <v>629</v>
      </c>
      <c r="F2854" s="120">
        <v>1</v>
      </c>
      <c r="G2854" s="120" t="s">
        <v>759</v>
      </c>
      <c r="H2854" s="169">
        <v>27500</v>
      </c>
    </row>
    <row r="2855" spans="1:8" x14ac:dyDescent="0.25">
      <c r="A2855" s="115">
        <v>2854</v>
      </c>
      <c r="B2855" s="167">
        <v>46050</v>
      </c>
      <c r="C2855" s="117">
        <v>2026</v>
      </c>
      <c r="D2855" s="119" t="s">
        <v>35</v>
      </c>
      <c r="E2855" s="119" t="s">
        <v>629</v>
      </c>
      <c r="F2855" s="120">
        <v>2</v>
      </c>
      <c r="G2855" s="120" t="s">
        <v>759</v>
      </c>
      <c r="H2855" s="169">
        <v>33900</v>
      </c>
    </row>
    <row r="2856" spans="1:8" x14ac:dyDescent="0.25">
      <c r="A2856" s="115">
        <v>2855</v>
      </c>
      <c r="B2856" s="167">
        <v>46050</v>
      </c>
      <c r="C2856" s="117">
        <v>2026</v>
      </c>
      <c r="D2856" s="119" t="s">
        <v>35</v>
      </c>
      <c r="E2856" s="119" t="s">
        <v>1625</v>
      </c>
      <c r="F2856" s="120">
        <v>1</v>
      </c>
      <c r="G2856" s="120" t="s">
        <v>759</v>
      </c>
      <c r="H2856" s="169">
        <v>100799</v>
      </c>
    </row>
    <row r="2857" spans="1:8" x14ac:dyDescent="0.25">
      <c r="A2857" s="115">
        <v>2856</v>
      </c>
      <c r="B2857" s="167">
        <v>46050</v>
      </c>
      <c r="C2857" s="117">
        <v>2026</v>
      </c>
      <c r="D2857" s="119" t="s">
        <v>35</v>
      </c>
      <c r="E2857" s="119" t="s">
        <v>1470</v>
      </c>
      <c r="F2857" s="120">
        <v>1</v>
      </c>
      <c r="G2857" s="120" t="s">
        <v>759</v>
      </c>
      <c r="H2857" s="169">
        <v>100000</v>
      </c>
    </row>
    <row r="2858" spans="1:8" x14ac:dyDescent="0.25">
      <c r="A2858" s="115">
        <v>2857</v>
      </c>
      <c r="B2858" s="167">
        <v>46050</v>
      </c>
      <c r="C2858" s="117">
        <v>2026</v>
      </c>
      <c r="D2858" s="119" t="s">
        <v>851</v>
      </c>
      <c r="E2858" s="119" t="s">
        <v>171</v>
      </c>
      <c r="F2858" s="120">
        <v>6</v>
      </c>
      <c r="G2858" s="120" t="s">
        <v>759</v>
      </c>
      <c r="H2858" s="169">
        <v>58362</v>
      </c>
    </row>
    <row r="2859" spans="1:8" x14ac:dyDescent="0.25">
      <c r="A2859" s="115">
        <v>2858</v>
      </c>
      <c r="B2859" s="167">
        <v>46050</v>
      </c>
      <c r="C2859" s="117">
        <v>2026</v>
      </c>
      <c r="D2859" s="119" t="s">
        <v>35</v>
      </c>
      <c r="E2859" s="119" t="s">
        <v>708</v>
      </c>
      <c r="F2859" s="120">
        <v>30</v>
      </c>
      <c r="G2859" s="120" t="s">
        <v>759</v>
      </c>
      <c r="H2859" s="169">
        <v>154020</v>
      </c>
    </row>
    <row r="2860" spans="1:8" x14ac:dyDescent="0.25">
      <c r="A2860" s="115">
        <v>2859</v>
      </c>
      <c r="B2860" s="167">
        <v>46051</v>
      </c>
      <c r="C2860" s="117">
        <v>2026</v>
      </c>
      <c r="D2860" s="119" t="s">
        <v>259</v>
      </c>
      <c r="E2860" s="119" t="s">
        <v>1626</v>
      </c>
      <c r="F2860" s="120">
        <v>2</v>
      </c>
      <c r="G2860" s="120" t="s">
        <v>759</v>
      </c>
      <c r="H2860" s="169">
        <v>43900</v>
      </c>
    </row>
    <row r="2861" spans="1:8" x14ac:dyDescent="0.25">
      <c r="A2861" s="115">
        <v>2860</v>
      </c>
      <c r="B2861" s="167">
        <v>46051</v>
      </c>
      <c r="C2861" s="117">
        <v>2026</v>
      </c>
      <c r="D2861" s="119" t="s">
        <v>259</v>
      </c>
      <c r="E2861" s="119" t="s">
        <v>1627</v>
      </c>
      <c r="F2861" s="120">
        <v>15</v>
      </c>
      <c r="G2861" s="120" t="s">
        <v>759</v>
      </c>
      <c r="H2861" s="169">
        <v>31905</v>
      </c>
    </row>
    <row r="2862" spans="1:8" x14ac:dyDescent="0.25">
      <c r="A2862" s="115">
        <v>2861</v>
      </c>
      <c r="B2862" s="167">
        <v>46051</v>
      </c>
      <c r="C2862" s="117">
        <v>2026</v>
      </c>
      <c r="D2862" s="119" t="s">
        <v>259</v>
      </c>
      <c r="E2862" s="119" t="s">
        <v>1628</v>
      </c>
      <c r="F2862" s="120">
        <v>1</v>
      </c>
      <c r="G2862" s="120" t="s">
        <v>759</v>
      </c>
      <c r="H2862" s="169">
        <v>122100</v>
      </c>
    </row>
    <row r="2863" spans="1:8" x14ac:dyDescent="0.25">
      <c r="A2863" s="115">
        <v>2862</v>
      </c>
      <c r="B2863" s="167">
        <v>46051</v>
      </c>
      <c r="C2863" s="117">
        <v>2026</v>
      </c>
      <c r="D2863" s="119" t="s">
        <v>259</v>
      </c>
      <c r="E2863" s="119" t="s">
        <v>1629</v>
      </c>
      <c r="F2863" s="120">
        <v>1</v>
      </c>
      <c r="G2863" s="120" t="s">
        <v>759</v>
      </c>
      <c r="H2863" s="169">
        <v>106900</v>
      </c>
    </row>
    <row r="2864" spans="1:8" x14ac:dyDescent="0.25">
      <c r="A2864" s="115">
        <v>2863</v>
      </c>
      <c r="B2864" s="167">
        <v>46051</v>
      </c>
      <c r="C2864" s="117">
        <v>2026</v>
      </c>
      <c r="D2864" s="119" t="s">
        <v>259</v>
      </c>
      <c r="E2864" s="119" t="s">
        <v>110</v>
      </c>
      <c r="F2864" s="120">
        <v>2</v>
      </c>
      <c r="G2864" s="120" t="s">
        <v>759</v>
      </c>
      <c r="H2864" s="169">
        <v>20760</v>
      </c>
    </row>
    <row r="2865" spans="1:8" x14ac:dyDescent="0.25">
      <c r="A2865" s="115">
        <v>2864</v>
      </c>
      <c r="B2865" s="167">
        <v>46051</v>
      </c>
      <c r="C2865" s="117">
        <v>2026</v>
      </c>
      <c r="D2865" s="119" t="s">
        <v>259</v>
      </c>
      <c r="E2865" s="119" t="s">
        <v>1525</v>
      </c>
      <c r="F2865" s="120">
        <v>9</v>
      </c>
      <c r="G2865" s="120" t="s">
        <v>759</v>
      </c>
      <c r="H2865" s="169">
        <v>2389005</v>
      </c>
    </row>
    <row r="2866" spans="1:8" x14ac:dyDescent="0.25">
      <c r="A2866" s="115">
        <v>2865</v>
      </c>
      <c r="B2866" s="167">
        <v>46051</v>
      </c>
      <c r="C2866" s="117">
        <v>2026</v>
      </c>
      <c r="D2866" s="119" t="s">
        <v>259</v>
      </c>
      <c r="E2866" s="119" t="s">
        <v>1630</v>
      </c>
      <c r="F2866" s="120">
        <v>1</v>
      </c>
      <c r="G2866" s="120" t="s">
        <v>759</v>
      </c>
      <c r="H2866" s="169">
        <v>22400</v>
      </c>
    </row>
    <row r="2867" spans="1:8" x14ac:dyDescent="0.25">
      <c r="A2867" s="115">
        <v>2866</v>
      </c>
      <c r="B2867" s="167">
        <v>46051</v>
      </c>
      <c r="C2867" s="117">
        <v>2026</v>
      </c>
      <c r="D2867" s="119" t="s">
        <v>259</v>
      </c>
      <c r="E2867" s="119" t="s">
        <v>1526</v>
      </c>
      <c r="F2867" s="120">
        <v>14</v>
      </c>
      <c r="G2867" s="120" t="s">
        <v>759</v>
      </c>
      <c r="H2867" s="169">
        <v>43904</v>
      </c>
    </row>
    <row r="2868" spans="1:8" x14ac:dyDescent="0.25">
      <c r="A2868" s="115">
        <v>2867</v>
      </c>
      <c r="B2868" s="167">
        <v>46051</v>
      </c>
      <c r="C2868" s="117">
        <v>2026</v>
      </c>
      <c r="D2868" s="119" t="s">
        <v>35</v>
      </c>
      <c r="E2868" s="119" t="s">
        <v>1631</v>
      </c>
      <c r="F2868" s="120">
        <v>1</v>
      </c>
      <c r="G2868" s="120" t="s">
        <v>759</v>
      </c>
      <c r="H2868" s="169">
        <v>116900</v>
      </c>
    </row>
    <row r="2869" spans="1:8" x14ac:dyDescent="0.25">
      <c r="A2869" s="115">
        <v>2868</v>
      </c>
      <c r="B2869" s="167">
        <v>46051</v>
      </c>
      <c r="C2869" s="117">
        <v>2026</v>
      </c>
      <c r="D2869" s="119" t="s">
        <v>259</v>
      </c>
      <c r="E2869" s="119" t="s">
        <v>1632</v>
      </c>
      <c r="F2869" s="120">
        <v>1</v>
      </c>
      <c r="G2869" s="120" t="s">
        <v>759</v>
      </c>
      <c r="H2869" s="169">
        <v>292900</v>
      </c>
    </row>
    <row r="2870" spans="1:8" x14ac:dyDescent="0.25">
      <c r="A2870" s="115">
        <v>2869</v>
      </c>
      <c r="B2870" s="167">
        <v>46052</v>
      </c>
      <c r="C2870" s="117">
        <v>2026</v>
      </c>
      <c r="D2870" s="119" t="s">
        <v>35</v>
      </c>
      <c r="E2870" s="119" t="s">
        <v>668</v>
      </c>
      <c r="F2870" s="120">
        <v>2</v>
      </c>
      <c r="G2870" s="120" t="s">
        <v>759</v>
      </c>
      <c r="H2870" s="169">
        <v>66900</v>
      </c>
    </row>
    <row r="2871" spans="1:8" x14ac:dyDescent="0.25">
      <c r="A2871" s="115">
        <v>2870</v>
      </c>
      <c r="B2871" s="167">
        <v>46053</v>
      </c>
      <c r="C2871" s="117">
        <v>2026</v>
      </c>
      <c r="D2871" s="119" t="s">
        <v>851</v>
      </c>
      <c r="E2871" s="119" t="s">
        <v>527</v>
      </c>
      <c r="F2871" s="120">
        <v>3</v>
      </c>
      <c r="G2871" s="120" t="s">
        <v>759</v>
      </c>
      <c r="H2871" s="169">
        <v>25602</v>
      </c>
    </row>
    <row r="2872" spans="1:8" x14ac:dyDescent="0.25">
      <c r="A2872" s="115">
        <v>2871</v>
      </c>
      <c r="B2872" s="167">
        <v>46053</v>
      </c>
      <c r="C2872" s="117">
        <v>2026</v>
      </c>
      <c r="D2872" s="119" t="s">
        <v>35</v>
      </c>
      <c r="E2872" s="119" t="s">
        <v>486</v>
      </c>
      <c r="F2872" s="120">
        <v>4</v>
      </c>
      <c r="G2872" s="120" t="s">
        <v>759</v>
      </c>
      <c r="H2872" s="169">
        <v>186252</v>
      </c>
    </row>
    <row r="2873" spans="1:8" x14ac:dyDescent="0.25">
      <c r="A2873" s="115">
        <v>2872</v>
      </c>
      <c r="B2873" s="167">
        <v>46053</v>
      </c>
      <c r="C2873" s="117">
        <v>2026</v>
      </c>
      <c r="D2873" s="119" t="s">
        <v>35</v>
      </c>
      <c r="E2873" s="119" t="s">
        <v>124</v>
      </c>
      <c r="F2873" s="120">
        <v>1</v>
      </c>
      <c r="G2873" s="120" t="s">
        <v>759</v>
      </c>
      <c r="H2873" s="169">
        <v>7230000</v>
      </c>
    </row>
    <row r="2874" spans="1:8" x14ac:dyDescent="0.25">
      <c r="A2874" s="115">
        <v>2873</v>
      </c>
      <c r="B2874" s="167">
        <v>46053</v>
      </c>
      <c r="C2874" s="117">
        <v>2026</v>
      </c>
      <c r="D2874" s="119" t="s">
        <v>851</v>
      </c>
      <c r="E2874" s="119" t="s">
        <v>382</v>
      </c>
      <c r="F2874" s="120">
        <v>1</v>
      </c>
      <c r="G2874" s="120" t="s">
        <v>759</v>
      </c>
      <c r="H2874" s="169">
        <v>20277</v>
      </c>
    </row>
    <row r="2875" spans="1:8" x14ac:dyDescent="0.25">
      <c r="A2875" s="115">
        <v>2874</v>
      </c>
      <c r="B2875" s="167">
        <v>46053</v>
      </c>
      <c r="C2875" s="117">
        <v>2026</v>
      </c>
      <c r="D2875" s="118" t="s">
        <v>766</v>
      </c>
      <c r="E2875" s="119" t="s">
        <v>1445</v>
      </c>
      <c r="F2875" s="120">
        <v>12</v>
      </c>
      <c r="G2875" s="120" t="s">
        <v>759</v>
      </c>
      <c r="H2875" s="169">
        <v>8400000</v>
      </c>
    </row>
    <row r="2876" spans="1:8" x14ac:dyDescent="0.25">
      <c r="A2876" s="115">
        <v>2875</v>
      </c>
      <c r="B2876" s="167">
        <v>46053</v>
      </c>
      <c r="C2876" s="117">
        <v>2026</v>
      </c>
      <c r="D2876" s="118" t="s">
        <v>766</v>
      </c>
      <c r="E2876" s="119" t="s">
        <v>1446</v>
      </c>
      <c r="F2876" s="120">
        <v>4</v>
      </c>
      <c r="G2876" s="120" t="s">
        <v>759</v>
      </c>
      <c r="H2876" s="169">
        <v>2280000</v>
      </c>
    </row>
    <row r="2877" spans="1:8" x14ac:dyDescent="0.25">
      <c r="A2877" s="115">
        <v>2876</v>
      </c>
      <c r="B2877" s="167">
        <v>46053</v>
      </c>
      <c r="C2877" s="117">
        <v>2026</v>
      </c>
      <c r="D2877" s="118" t="s">
        <v>766</v>
      </c>
      <c r="E2877" s="119" t="s">
        <v>1447</v>
      </c>
      <c r="F2877" s="120">
        <v>9</v>
      </c>
      <c r="G2877" s="120" t="s">
        <v>759</v>
      </c>
      <c r="H2877" s="169">
        <v>4500000</v>
      </c>
    </row>
    <row r="2878" spans="1:8" x14ac:dyDescent="0.25">
      <c r="A2878" s="115">
        <v>2877</v>
      </c>
      <c r="B2878" s="167">
        <v>46053</v>
      </c>
      <c r="C2878" s="117">
        <v>2026</v>
      </c>
      <c r="D2878" s="118" t="s">
        <v>766</v>
      </c>
      <c r="E2878" s="119" t="s">
        <v>1448</v>
      </c>
      <c r="F2878" s="120">
        <v>26</v>
      </c>
      <c r="G2878" s="120" t="s">
        <v>759</v>
      </c>
      <c r="H2878" s="169">
        <v>9750000</v>
      </c>
    </row>
    <row r="2879" spans="1:8" x14ac:dyDescent="0.25">
      <c r="A2879" s="115">
        <v>2878</v>
      </c>
      <c r="B2879" s="167">
        <v>46053</v>
      </c>
      <c r="C2879" s="117">
        <v>2026</v>
      </c>
      <c r="D2879" s="118" t="s">
        <v>766</v>
      </c>
      <c r="E2879" s="119" t="s">
        <v>1449</v>
      </c>
      <c r="F2879" s="120">
        <v>12</v>
      </c>
      <c r="G2879" s="120" t="s">
        <v>759</v>
      </c>
      <c r="H2879" s="169">
        <v>3600000</v>
      </c>
    </row>
    <row r="2880" spans="1:8" x14ac:dyDescent="0.25">
      <c r="A2880" s="115">
        <v>2879</v>
      </c>
      <c r="B2880" s="167">
        <v>46053</v>
      </c>
      <c r="C2880" s="117">
        <v>2026</v>
      </c>
      <c r="D2880" s="119" t="s">
        <v>35</v>
      </c>
      <c r="E2880" s="119" t="s">
        <v>1610</v>
      </c>
      <c r="F2880" s="120">
        <v>2</v>
      </c>
      <c r="G2880" s="120" t="s">
        <v>759</v>
      </c>
      <c r="H2880" s="169">
        <v>22000</v>
      </c>
    </row>
    <row r="2881" spans="1:8" x14ac:dyDescent="0.25">
      <c r="A2881" s="115">
        <v>2880</v>
      </c>
      <c r="B2881" s="167">
        <v>46056</v>
      </c>
      <c r="C2881" s="117">
        <v>2026</v>
      </c>
      <c r="D2881" s="119" t="s">
        <v>35</v>
      </c>
      <c r="E2881" s="119" t="s">
        <v>252</v>
      </c>
      <c r="F2881" s="120">
        <v>2</v>
      </c>
      <c r="G2881" s="120" t="s">
        <v>759</v>
      </c>
      <c r="H2881" s="169">
        <v>2140000</v>
      </c>
    </row>
    <row r="2882" spans="1:8" x14ac:dyDescent="0.25">
      <c r="A2882" s="115">
        <v>2881</v>
      </c>
      <c r="B2882" s="167">
        <v>46056</v>
      </c>
      <c r="C2882" s="117">
        <v>2026</v>
      </c>
      <c r="D2882" s="119" t="s">
        <v>35</v>
      </c>
      <c r="E2882" s="119" t="s">
        <v>761</v>
      </c>
      <c r="F2882" s="120">
        <v>1</v>
      </c>
      <c r="G2882" s="120" t="s">
        <v>759</v>
      </c>
      <c r="H2882" s="169">
        <v>2250000</v>
      </c>
    </row>
    <row r="2883" spans="1:8" x14ac:dyDescent="0.25">
      <c r="A2883" s="115">
        <v>2882</v>
      </c>
      <c r="B2883" s="167">
        <v>46056</v>
      </c>
      <c r="C2883" s="117">
        <v>2026</v>
      </c>
      <c r="D2883" s="119" t="s">
        <v>35</v>
      </c>
      <c r="E2883" s="119" t="s">
        <v>1450</v>
      </c>
      <c r="F2883" s="120">
        <v>1</v>
      </c>
      <c r="G2883" s="120" t="s">
        <v>759</v>
      </c>
      <c r="H2883" s="169">
        <v>65000</v>
      </c>
    </row>
    <row r="2884" spans="1:8" x14ac:dyDescent="0.25">
      <c r="A2884" s="115">
        <v>2883</v>
      </c>
      <c r="B2884" s="167">
        <v>46056</v>
      </c>
      <c r="C2884" s="117">
        <v>2026</v>
      </c>
      <c r="D2884" s="119" t="s">
        <v>35</v>
      </c>
      <c r="E2884" s="119" t="s">
        <v>72</v>
      </c>
      <c r="F2884" s="120">
        <v>1</v>
      </c>
      <c r="G2884" s="120" t="s">
        <v>759</v>
      </c>
      <c r="H2884" s="169">
        <v>25000</v>
      </c>
    </row>
    <row r="2885" spans="1:8" x14ac:dyDescent="0.25">
      <c r="A2885" s="115">
        <v>2884</v>
      </c>
      <c r="B2885" s="167">
        <v>46056</v>
      </c>
      <c r="C2885" s="117">
        <v>2026</v>
      </c>
      <c r="D2885" s="119" t="s">
        <v>851</v>
      </c>
      <c r="E2885" s="119" t="s">
        <v>1633</v>
      </c>
      <c r="F2885" s="120">
        <v>12</v>
      </c>
      <c r="G2885" s="120" t="s">
        <v>759</v>
      </c>
      <c r="H2885" s="169">
        <v>1000008</v>
      </c>
    </row>
    <row r="2886" spans="1:8" x14ac:dyDescent="0.25">
      <c r="A2886" s="115">
        <v>2885</v>
      </c>
      <c r="B2886" s="167">
        <v>46057</v>
      </c>
      <c r="C2886" s="117">
        <v>2026</v>
      </c>
      <c r="D2886" s="119" t="s">
        <v>35</v>
      </c>
      <c r="E2886" s="119" t="s">
        <v>211</v>
      </c>
      <c r="F2886" s="120">
        <v>10</v>
      </c>
      <c r="G2886" s="120" t="s">
        <v>759</v>
      </c>
      <c r="H2886" s="169">
        <v>220000</v>
      </c>
    </row>
    <row r="2887" spans="1:8" x14ac:dyDescent="0.25">
      <c r="A2887" s="115">
        <v>2886</v>
      </c>
      <c r="B2887" s="167">
        <v>46057</v>
      </c>
      <c r="C2887" s="117">
        <v>2026</v>
      </c>
      <c r="D2887" s="119" t="s">
        <v>35</v>
      </c>
      <c r="E2887" s="119" t="s">
        <v>211</v>
      </c>
      <c r="F2887" s="120">
        <v>2</v>
      </c>
      <c r="G2887" s="120" t="s">
        <v>759</v>
      </c>
      <c r="H2887" s="169">
        <v>39000</v>
      </c>
    </row>
    <row r="2888" spans="1:8" x14ac:dyDescent="0.25">
      <c r="A2888" s="115">
        <v>2887</v>
      </c>
      <c r="B2888" s="167">
        <v>46057</v>
      </c>
      <c r="C2888" s="117">
        <v>2026</v>
      </c>
      <c r="D2888" s="119" t="s">
        <v>35</v>
      </c>
      <c r="E2888" s="119" t="s">
        <v>1634</v>
      </c>
      <c r="F2888" s="120">
        <v>3</v>
      </c>
      <c r="G2888" s="120" t="s">
        <v>759</v>
      </c>
      <c r="H2888" s="169">
        <v>199350</v>
      </c>
    </row>
    <row r="2889" spans="1:8" x14ac:dyDescent="0.25">
      <c r="A2889" s="115">
        <v>2888</v>
      </c>
      <c r="B2889" s="167">
        <v>46057</v>
      </c>
      <c r="C2889" s="117">
        <v>2026</v>
      </c>
      <c r="D2889" s="119" t="s">
        <v>766</v>
      </c>
      <c r="E2889" s="119" t="s">
        <v>1434</v>
      </c>
      <c r="F2889" s="120">
        <v>50</v>
      </c>
      <c r="G2889" s="120" t="s">
        <v>759</v>
      </c>
      <c r="H2889" s="169">
        <v>575000</v>
      </c>
    </row>
    <row r="2890" spans="1:8" x14ac:dyDescent="0.25">
      <c r="A2890" s="115">
        <v>2889</v>
      </c>
      <c r="B2890" s="167">
        <v>46058</v>
      </c>
      <c r="C2890" s="117">
        <v>2026</v>
      </c>
      <c r="D2890" s="119" t="s">
        <v>35</v>
      </c>
      <c r="E2890" s="119" t="s">
        <v>761</v>
      </c>
      <c r="F2890" s="120">
        <v>3</v>
      </c>
      <c r="G2890" s="120" t="s">
        <v>759</v>
      </c>
      <c r="H2890" s="169">
        <v>6750000</v>
      </c>
    </row>
    <row r="2891" spans="1:8" x14ac:dyDescent="0.25">
      <c r="A2891" s="115">
        <v>2890</v>
      </c>
      <c r="B2891" s="167">
        <v>46058</v>
      </c>
      <c r="C2891" s="117">
        <v>2026</v>
      </c>
      <c r="D2891" s="119" t="s">
        <v>35</v>
      </c>
      <c r="E2891" s="119" t="s">
        <v>1312</v>
      </c>
      <c r="F2891" s="120">
        <v>12</v>
      </c>
      <c r="G2891" s="120" t="s">
        <v>759</v>
      </c>
      <c r="H2891" s="169">
        <v>181104</v>
      </c>
    </row>
    <row r="2892" spans="1:8" x14ac:dyDescent="0.25">
      <c r="A2892" s="115">
        <v>2891</v>
      </c>
      <c r="B2892" s="167">
        <v>46058</v>
      </c>
      <c r="C2892" s="117">
        <v>2026</v>
      </c>
      <c r="D2892" s="119" t="s">
        <v>35</v>
      </c>
      <c r="E2892" s="119" t="s">
        <v>350</v>
      </c>
      <c r="F2892" s="120">
        <v>3</v>
      </c>
      <c r="G2892" s="120" t="s">
        <v>759</v>
      </c>
      <c r="H2892" s="169">
        <v>74799</v>
      </c>
    </row>
    <row r="2893" spans="1:8" x14ac:dyDescent="0.25">
      <c r="A2893" s="115">
        <v>2892</v>
      </c>
      <c r="B2893" s="167">
        <v>46059</v>
      </c>
      <c r="C2893" s="117">
        <v>2026</v>
      </c>
      <c r="D2893" s="119" t="s">
        <v>35</v>
      </c>
      <c r="E2893" s="119" t="s">
        <v>761</v>
      </c>
      <c r="F2893" s="120">
        <v>2</v>
      </c>
      <c r="G2893" s="120" t="s">
        <v>759</v>
      </c>
      <c r="H2893" s="169">
        <v>3150000</v>
      </c>
    </row>
    <row r="2894" spans="1:8" x14ac:dyDescent="0.25">
      <c r="A2894" s="115">
        <v>2893</v>
      </c>
      <c r="B2894" s="167">
        <v>46059</v>
      </c>
      <c r="C2894" s="117">
        <v>2026</v>
      </c>
      <c r="D2894" s="119" t="s">
        <v>35</v>
      </c>
      <c r="E2894" s="119" t="s">
        <v>670</v>
      </c>
      <c r="F2894" s="120">
        <v>10</v>
      </c>
      <c r="G2894" s="120" t="s">
        <v>759</v>
      </c>
      <c r="H2894" s="169">
        <v>23900</v>
      </c>
    </row>
    <row r="2895" spans="1:8" x14ac:dyDescent="0.25">
      <c r="A2895" s="115">
        <v>2894</v>
      </c>
      <c r="B2895" s="167">
        <v>46059</v>
      </c>
      <c r="C2895" s="117">
        <v>2026</v>
      </c>
      <c r="D2895" s="119" t="s">
        <v>35</v>
      </c>
      <c r="E2895" s="119" t="s">
        <v>1635</v>
      </c>
      <c r="F2895" s="120">
        <v>2</v>
      </c>
      <c r="G2895" s="120" t="s">
        <v>759</v>
      </c>
      <c r="H2895" s="169">
        <v>90900</v>
      </c>
    </row>
    <row r="2896" spans="1:8" x14ac:dyDescent="0.25">
      <c r="A2896" s="115">
        <v>2895</v>
      </c>
      <c r="B2896" s="167">
        <v>46059</v>
      </c>
      <c r="C2896" s="117">
        <v>2026</v>
      </c>
      <c r="D2896" s="119" t="s">
        <v>35</v>
      </c>
      <c r="E2896" s="119" t="s">
        <v>84</v>
      </c>
      <c r="F2896" s="120">
        <v>2</v>
      </c>
      <c r="G2896" s="120" t="s">
        <v>759</v>
      </c>
      <c r="H2896" s="169">
        <v>29700</v>
      </c>
    </row>
    <row r="2897" spans="1:8" x14ac:dyDescent="0.25">
      <c r="A2897" s="115">
        <v>2896</v>
      </c>
      <c r="B2897" s="167">
        <v>46060</v>
      </c>
      <c r="C2897" s="117">
        <v>2026</v>
      </c>
      <c r="D2897" s="119" t="s">
        <v>851</v>
      </c>
      <c r="E2897" s="119" t="s">
        <v>706</v>
      </c>
      <c r="F2897" s="120">
        <v>100</v>
      </c>
      <c r="G2897" s="120" t="s">
        <v>759</v>
      </c>
      <c r="H2897" s="169">
        <v>206900</v>
      </c>
    </row>
    <row r="2898" spans="1:8" x14ac:dyDescent="0.25">
      <c r="A2898" s="115">
        <v>2897</v>
      </c>
      <c r="B2898" s="167">
        <v>46060</v>
      </c>
      <c r="C2898" s="117">
        <v>2026</v>
      </c>
      <c r="D2898" s="119" t="s">
        <v>35</v>
      </c>
      <c r="E2898" s="119" t="s">
        <v>628</v>
      </c>
      <c r="F2898" s="120">
        <v>6</v>
      </c>
      <c r="G2898" s="120" t="s">
        <v>759</v>
      </c>
      <c r="H2898" s="169">
        <v>165096</v>
      </c>
    </row>
    <row r="2899" spans="1:8" x14ac:dyDescent="0.25">
      <c r="A2899" s="115">
        <v>2898</v>
      </c>
      <c r="B2899" s="167">
        <v>46060</v>
      </c>
      <c r="C2899" s="117">
        <v>2026</v>
      </c>
      <c r="D2899" s="119" t="s">
        <v>35</v>
      </c>
      <c r="E2899" s="119" t="s">
        <v>1328</v>
      </c>
      <c r="F2899" s="120">
        <v>1</v>
      </c>
      <c r="G2899" s="120" t="s">
        <v>759</v>
      </c>
      <c r="H2899" s="169">
        <v>10350</v>
      </c>
    </row>
    <row r="2900" spans="1:8" x14ac:dyDescent="0.25">
      <c r="A2900" s="115">
        <v>2899</v>
      </c>
      <c r="B2900" s="167">
        <v>46063</v>
      </c>
      <c r="C2900" s="117">
        <v>2026</v>
      </c>
      <c r="D2900" s="119" t="s">
        <v>35</v>
      </c>
      <c r="E2900" s="119" t="s">
        <v>46</v>
      </c>
      <c r="F2900" s="120">
        <v>15</v>
      </c>
      <c r="G2900" s="120" t="s">
        <v>759</v>
      </c>
      <c r="H2900" s="169">
        <v>45000</v>
      </c>
    </row>
    <row r="2901" spans="1:8" x14ac:dyDescent="0.25">
      <c r="A2901" s="115">
        <v>2900</v>
      </c>
      <c r="B2901" s="167">
        <v>46064</v>
      </c>
      <c r="C2901" s="117">
        <v>2026</v>
      </c>
      <c r="D2901" s="119" t="s">
        <v>851</v>
      </c>
      <c r="E2901" s="119" t="s">
        <v>1636</v>
      </c>
      <c r="F2901" s="120">
        <v>1</v>
      </c>
      <c r="G2901" s="120" t="s">
        <v>759</v>
      </c>
      <c r="H2901" s="169">
        <v>61400</v>
      </c>
    </row>
    <row r="2902" spans="1:8" x14ac:dyDescent="0.25">
      <c r="A2902" s="115">
        <v>2901</v>
      </c>
      <c r="B2902" s="167">
        <v>46065</v>
      </c>
      <c r="C2902" s="117">
        <v>2026</v>
      </c>
      <c r="D2902" s="119" t="s">
        <v>35</v>
      </c>
      <c r="E2902" s="119" t="s">
        <v>1291</v>
      </c>
      <c r="F2902" s="120">
        <v>100</v>
      </c>
      <c r="G2902" s="120" t="s">
        <v>759</v>
      </c>
      <c r="H2902" s="169">
        <v>900000</v>
      </c>
    </row>
    <row r="2903" spans="1:8" x14ac:dyDescent="0.25">
      <c r="A2903" s="115">
        <v>2902</v>
      </c>
      <c r="B2903" s="167">
        <v>46065</v>
      </c>
      <c r="C2903" s="117">
        <v>2026</v>
      </c>
      <c r="D2903" s="119" t="s">
        <v>766</v>
      </c>
      <c r="E2903" s="119" t="s">
        <v>1270</v>
      </c>
      <c r="F2903" s="120">
        <v>22</v>
      </c>
      <c r="G2903" s="120" t="s">
        <v>759</v>
      </c>
      <c r="H2903" s="169">
        <v>660000</v>
      </c>
    </row>
    <row r="2904" spans="1:8" x14ac:dyDescent="0.25">
      <c r="A2904" s="115">
        <v>2903</v>
      </c>
      <c r="B2904" s="167">
        <v>46065</v>
      </c>
      <c r="C2904" s="117">
        <v>2026</v>
      </c>
      <c r="D2904" s="119" t="s">
        <v>35</v>
      </c>
      <c r="E2904" s="119" t="s">
        <v>1610</v>
      </c>
      <c r="F2904" s="120">
        <v>2</v>
      </c>
      <c r="G2904" s="120" t="s">
        <v>759</v>
      </c>
      <c r="H2904" s="169">
        <v>22000</v>
      </c>
    </row>
    <row r="2905" spans="1:8" x14ac:dyDescent="0.25">
      <c r="A2905" s="115">
        <v>2904</v>
      </c>
      <c r="B2905" s="167">
        <v>46065</v>
      </c>
      <c r="C2905" s="117">
        <v>2026</v>
      </c>
      <c r="D2905" s="119" t="s">
        <v>35</v>
      </c>
      <c r="E2905" s="119" t="s">
        <v>1637</v>
      </c>
      <c r="F2905" s="120">
        <v>4</v>
      </c>
      <c r="G2905" s="120" t="s">
        <v>759</v>
      </c>
      <c r="H2905" s="169">
        <v>7500</v>
      </c>
    </row>
    <row r="2906" spans="1:8" x14ac:dyDescent="0.25">
      <c r="A2906" s="115">
        <v>2905</v>
      </c>
      <c r="B2906" s="167">
        <v>46066</v>
      </c>
      <c r="C2906" s="117">
        <v>2026</v>
      </c>
      <c r="D2906" s="119" t="s">
        <v>259</v>
      </c>
      <c r="E2906" s="119" t="s">
        <v>260</v>
      </c>
      <c r="F2906" s="120">
        <v>1</v>
      </c>
      <c r="G2906" s="120" t="s">
        <v>759</v>
      </c>
      <c r="H2906" s="169">
        <v>686900</v>
      </c>
    </row>
    <row r="2907" spans="1:8" x14ac:dyDescent="0.25">
      <c r="A2907" s="115">
        <v>2906</v>
      </c>
      <c r="B2907" s="167">
        <v>46066</v>
      </c>
      <c r="C2907" s="117">
        <v>2026</v>
      </c>
      <c r="D2907" s="119" t="s">
        <v>259</v>
      </c>
      <c r="E2907" s="119" t="s">
        <v>1638</v>
      </c>
      <c r="F2907" s="120">
        <v>1</v>
      </c>
      <c r="G2907" s="120" t="s">
        <v>759</v>
      </c>
      <c r="H2907" s="169">
        <v>54900</v>
      </c>
    </row>
    <row r="2908" spans="1:8" x14ac:dyDescent="0.25">
      <c r="A2908" s="115">
        <v>2907</v>
      </c>
      <c r="B2908" s="167">
        <v>46066</v>
      </c>
      <c r="C2908" s="117">
        <v>2026</v>
      </c>
      <c r="D2908" s="119" t="s">
        <v>259</v>
      </c>
      <c r="E2908" s="119" t="s">
        <v>1639</v>
      </c>
      <c r="F2908" s="120">
        <v>1</v>
      </c>
      <c r="G2908" s="120" t="s">
        <v>759</v>
      </c>
      <c r="H2908" s="169">
        <v>22900</v>
      </c>
    </row>
    <row r="2909" spans="1:8" x14ac:dyDescent="0.25">
      <c r="A2909" s="115">
        <v>2908</v>
      </c>
      <c r="B2909" s="167">
        <v>46067</v>
      </c>
      <c r="C2909" s="117">
        <v>2026</v>
      </c>
      <c r="D2909" s="119" t="s">
        <v>766</v>
      </c>
      <c r="E2909" s="119" t="s">
        <v>356</v>
      </c>
      <c r="F2909" s="120">
        <v>10</v>
      </c>
      <c r="G2909" s="120" t="s">
        <v>759</v>
      </c>
      <c r="H2909" s="169">
        <v>435000</v>
      </c>
    </row>
    <row r="2910" spans="1:8" x14ac:dyDescent="0.25">
      <c r="A2910" s="115">
        <v>2909</v>
      </c>
      <c r="B2910" s="167">
        <v>46067</v>
      </c>
      <c r="C2910" s="117">
        <v>2026</v>
      </c>
      <c r="D2910" s="119" t="s">
        <v>35</v>
      </c>
      <c r="E2910" s="119" t="s">
        <v>407</v>
      </c>
      <c r="F2910" s="120">
        <v>5</v>
      </c>
      <c r="G2910" s="120" t="s">
        <v>759</v>
      </c>
      <c r="H2910" s="169">
        <v>500000</v>
      </c>
    </row>
    <row r="2911" spans="1:8" x14ac:dyDescent="0.25">
      <c r="A2911" s="115">
        <v>2910</v>
      </c>
      <c r="B2911" s="167">
        <v>46067</v>
      </c>
      <c r="C2911" s="117">
        <v>2026</v>
      </c>
      <c r="D2911" s="119" t="s">
        <v>35</v>
      </c>
      <c r="E2911" s="119" t="s">
        <v>118</v>
      </c>
      <c r="F2911" s="120">
        <v>3</v>
      </c>
      <c r="G2911" s="120" t="s">
        <v>759</v>
      </c>
      <c r="H2911" s="169">
        <v>210000</v>
      </c>
    </row>
    <row r="2912" spans="1:8" x14ac:dyDescent="0.25">
      <c r="A2912" s="115">
        <v>2911</v>
      </c>
      <c r="B2912" s="167">
        <v>46067</v>
      </c>
      <c r="C2912" s="117">
        <v>2026</v>
      </c>
      <c r="D2912" s="119" t="s">
        <v>35</v>
      </c>
      <c r="E2912" s="119" t="s">
        <v>403</v>
      </c>
      <c r="F2912" s="120">
        <v>3</v>
      </c>
      <c r="G2912" s="120" t="s">
        <v>759</v>
      </c>
      <c r="H2912" s="169">
        <v>360000</v>
      </c>
    </row>
    <row r="2913" spans="1:8" x14ac:dyDescent="0.25">
      <c r="A2913" s="115">
        <v>2912</v>
      </c>
      <c r="B2913" s="167">
        <v>46067</v>
      </c>
      <c r="C2913" s="117">
        <v>2026</v>
      </c>
      <c r="D2913" s="119" t="s">
        <v>35</v>
      </c>
      <c r="E2913" s="119" t="s">
        <v>120</v>
      </c>
      <c r="F2913" s="120">
        <v>3</v>
      </c>
      <c r="G2913" s="120" t="s">
        <v>759</v>
      </c>
      <c r="H2913" s="169">
        <v>297000</v>
      </c>
    </row>
    <row r="2914" spans="1:8" x14ac:dyDescent="0.25">
      <c r="A2914" s="115">
        <v>2913</v>
      </c>
      <c r="B2914" s="167">
        <v>46067</v>
      </c>
      <c r="C2914" s="117">
        <v>2026</v>
      </c>
      <c r="D2914" s="119" t="s">
        <v>35</v>
      </c>
      <c r="E2914" s="119" t="s">
        <v>405</v>
      </c>
      <c r="F2914" s="120">
        <v>3</v>
      </c>
      <c r="G2914" s="120" t="s">
        <v>759</v>
      </c>
      <c r="H2914" s="169">
        <v>540000</v>
      </c>
    </row>
    <row r="2915" spans="1:8" x14ac:dyDescent="0.25">
      <c r="A2915" s="115">
        <v>2914</v>
      </c>
      <c r="B2915" s="167">
        <v>46067</v>
      </c>
      <c r="C2915" s="117">
        <v>2026</v>
      </c>
      <c r="D2915" s="119" t="s">
        <v>35</v>
      </c>
      <c r="E2915" s="119" t="s">
        <v>122</v>
      </c>
      <c r="F2915" s="120">
        <v>4</v>
      </c>
      <c r="G2915" s="120" t="s">
        <v>759</v>
      </c>
      <c r="H2915" s="169">
        <v>720000</v>
      </c>
    </row>
    <row r="2916" spans="1:8" x14ac:dyDescent="0.25">
      <c r="A2916" s="115">
        <v>2915</v>
      </c>
      <c r="B2916" s="167">
        <v>46067</v>
      </c>
      <c r="C2916" s="117">
        <v>2026</v>
      </c>
      <c r="D2916" s="119" t="s">
        <v>35</v>
      </c>
      <c r="E2916" s="119" t="s">
        <v>361</v>
      </c>
      <c r="F2916" s="120">
        <v>2</v>
      </c>
      <c r="G2916" s="120" t="s">
        <v>759</v>
      </c>
      <c r="H2916" s="169">
        <v>9000</v>
      </c>
    </row>
    <row r="2917" spans="1:8" x14ac:dyDescent="0.25">
      <c r="A2917" s="115">
        <v>2916</v>
      </c>
      <c r="B2917" s="167">
        <v>46067</v>
      </c>
      <c r="C2917" s="117">
        <v>2026</v>
      </c>
      <c r="D2917" s="119" t="s">
        <v>35</v>
      </c>
      <c r="E2917" s="119" t="s">
        <v>806</v>
      </c>
      <c r="F2917" s="120">
        <v>1</v>
      </c>
      <c r="G2917" s="120" t="s">
        <v>759</v>
      </c>
      <c r="H2917" s="169">
        <v>300000</v>
      </c>
    </row>
    <row r="2918" spans="1:8" x14ac:dyDescent="0.25">
      <c r="A2918" s="115">
        <v>2917</v>
      </c>
      <c r="B2918" s="167">
        <v>46067</v>
      </c>
      <c r="C2918" s="117">
        <v>2026</v>
      </c>
      <c r="D2918" s="119" t="s">
        <v>766</v>
      </c>
      <c r="E2918" s="119" t="s">
        <v>1471</v>
      </c>
      <c r="F2918" s="120">
        <v>20</v>
      </c>
      <c r="G2918" s="120" t="s">
        <v>759</v>
      </c>
      <c r="H2918" s="169">
        <v>2050000</v>
      </c>
    </row>
    <row r="2919" spans="1:8" x14ac:dyDescent="0.25">
      <c r="A2919" s="115">
        <v>2918</v>
      </c>
      <c r="B2919" s="167">
        <v>46067</v>
      </c>
      <c r="C2919" s="117">
        <v>2026</v>
      </c>
      <c r="D2919" s="119" t="s">
        <v>766</v>
      </c>
      <c r="E2919" s="119" t="s">
        <v>1640</v>
      </c>
      <c r="F2919" s="120">
        <v>4</v>
      </c>
      <c r="G2919" s="120" t="s">
        <v>759</v>
      </c>
      <c r="H2919" s="169">
        <v>961400</v>
      </c>
    </row>
    <row r="2920" spans="1:8" x14ac:dyDescent="0.25">
      <c r="A2920" s="115">
        <v>2919</v>
      </c>
      <c r="B2920" s="167">
        <v>46067</v>
      </c>
      <c r="C2920" s="117">
        <v>2026</v>
      </c>
      <c r="D2920" s="119" t="s">
        <v>35</v>
      </c>
      <c r="E2920" s="119" t="s">
        <v>1610</v>
      </c>
      <c r="F2920" s="120">
        <v>2</v>
      </c>
      <c r="G2920" s="120" t="s">
        <v>759</v>
      </c>
      <c r="H2920" s="169">
        <v>22000</v>
      </c>
    </row>
    <row r="2921" spans="1:8" x14ac:dyDescent="0.25">
      <c r="A2921" s="115">
        <v>2920</v>
      </c>
      <c r="B2921" s="167">
        <v>46067</v>
      </c>
      <c r="C2921" s="117">
        <v>2026</v>
      </c>
      <c r="D2921" s="119" t="s">
        <v>35</v>
      </c>
      <c r="E2921" s="119" t="s">
        <v>1637</v>
      </c>
      <c r="F2921" s="120">
        <v>4</v>
      </c>
      <c r="G2921" s="120" t="s">
        <v>759</v>
      </c>
      <c r="H2921" s="169">
        <v>8000</v>
      </c>
    </row>
    <row r="2922" spans="1:8" x14ac:dyDescent="0.25">
      <c r="A2922" s="115">
        <v>2921</v>
      </c>
      <c r="B2922" s="167">
        <v>46067</v>
      </c>
      <c r="C2922" s="117">
        <v>2026</v>
      </c>
      <c r="D2922" s="119" t="s">
        <v>35</v>
      </c>
      <c r="E2922" s="119" t="s">
        <v>1329</v>
      </c>
      <c r="F2922" s="120">
        <v>1</v>
      </c>
      <c r="G2922" s="120" t="s">
        <v>759</v>
      </c>
      <c r="H2922" s="169">
        <v>48500</v>
      </c>
    </row>
    <row r="2923" spans="1:8" x14ac:dyDescent="0.25">
      <c r="A2923" s="115">
        <v>2922</v>
      </c>
      <c r="B2923" s="167">
        <v>46069</v>
      </c>
      <c r="C2923" s="117">
        <v>2026</v>
      </c>
      <c r="D2923" s="119" t="s">
        <v>851</v>
      </c>
      <c r="E2923" s="119" t="s">
        <v>481</v>
      </c>
      <c r="F2923" s="120">
        <v>15</v>
      </c>
      <c r="G2923" s="120" t="s">
        <v>759</v>
      </c>
      <c r="H2923" s="169">
        <v>180225</v>
      </c>
    </row>
    <row r="2924" spans="1:8" x14ac:dyDescent="0.25">
      <c r="A2924" s="115">
        <v>2923</v>
      </c>
      <c r="B2924" s="167">
        <v>46069</v>
      </c>
      <c r="C2924" s="117">
        <v>2026</v>
      </c>
      <c r="D2924" s="119" t="s">
        <v>851</v>
      </c>
      <c r="E2924" s="119" t="s">
        <v>481</v>
      </c>
      <c r="F2924" s="120">
        <v>10</v>
      </c>
      <c r="G2924" s="120" t="s">
        <v>759</v>
      </c>
      <c r="H2924" s="169">
        <v>117440</v>
      </c>
    </row>
    <row r="2925" spans="1:8" x14ac:dyDescent="0.25">
      <c r="A2925" s="115">
        <v>2924</v>
      </c>
      <c r="B2925" s="167">
        <v>46069</v>
      </c>
      <c r="C2925" s="117">
        <v>2026</v>
      </c>
      <c r="D2925" s="119" t="s">
        <v>851</v>
      </c>
      <c r="E2925" s="119" t="s">
        <v>481</v>
      </c>
      <c r="F2925" s="120">
        <v>10</v>
      </c>
      <c r="G2925" s="120" t="s">
        <v>759</v>
      </c>
      <c r="H2925" s="169">
        <v>201600</v>
      </c>
    </row>
    <row r="2926" spans="1:8" x14ac:dyDescent="0.25">
      <c r="A2926" s="115">
        <v>2925</v>
      </c>
      <c r="B2926" s="167">
        <v>46069</v>
      </c>
      <c r="C2926" s="117">
        <v>2026</v>
      </c>
      <c r="D2926" s="119" t="s">
        <v>851</v>
      </c>
      <c r="E2926" s="119" t="s">
        <v>299</v>
      </c>
      <c r="F2926" s="120">
        <v>54</v>
      </c>
      <c r="G2926" s="120" t="s">
        <v>759</v>
      </c>
      <c r="H2926" s="169">
        <v>452142</v>
      </c>
    </row>
    <row r="2927" spans="1:8" x14ac:dyDescent="0.25">
      <c r="A2927" s="115">
        <v>2926</v>
      </c>
      <c r="B2927" s="167">
        <v>46069</v>
      </c>
      <c r="C2927" s="117">
        <v>2026</v>
      </c>
      <c r="D2927" s="119" t="s">
        <v>259</v>
      </c>
      <c r="E2927" s="119" t="s">
        <v>341</v>
      </c>
      <c r="F2927" s="120">
        <v>1</v>
      </c>
      <c r="G2927" s="120" t="s">
        <v>759</v>
      </c>
      <c r="H2927" s="169">
        <v>2175000</v>
      </c>
    </row>
    <row r="2928" spans="1:8" x14ac:dyDescent="0.25">
      <c r="A2928" s="115">
        <v>2927</v>
      </c>
      <c r="B2928" s="167">
        <v>46071</v>
      </c>
      <c r="C2928" s="117">
        <v>2026</v>
      </c>
      <c r="D2928" s="119" t="s">
        <v>35</v>
      </c>
      <c r="E2928" s="119" t="s">
        <v>761</v>
      </c>
      <c r="F2928" s="120">
        <v>2</v>
      </c>
      <c r="G2928" s="120" t="s">
        <v>759</v>
      </c>
      <c r="H2928" s="169">
        <v>3150000</v>
      </c>
    </row>
    <row r="2929" spans="1:8" x14ac:dyDescent="0.25">
      <c r="A2929" s="115">
        <v>2928</v>
      </c>
      <c r="B2929" s="167">
        <v>46071</v>
      </c>
      <c r="C2929" s="117">
        <v>2026</v>
      </c>
      <c r="D2929" s="119" t="s">
        <v>766</v>
      </c>
      <c r="E2929" s="119" t="s">
        <v>1641</v>
      </c>
      <c r="F2929" s="120">
        <v>1</v>
      </c>
      <c r="G2929" s="120" t="s">
        <v>759</v>
      </c>
      <c r="H2929" s="169">
        <v>515000</v>
      </c>
    </row>
    <row r="2930" spans="1:8" x14ac:dyDescent="0.25">
      <c r="A2930" s="115">
        <v>2929</v>
      </c>
      <c r="B2930" s="167">
        <v>46071</v>
      </c>
      <c r="C2930" s="117">
        <v>2026</v>
      </c>
      <c r="D2930" s="119" t="s">
        <v>833</v>
      </c>
      <c r="E2930" s="119" t="s">
        <v>645</v>
      </c>
      <c r="F2930" s="120">
        <v>3</v>
      </c>
      <c r="G2930" s="120" t="s">
        <v>759</v>
      </c>
      <c r="H2930" s="169">
        <v>7500</v>
      </c>
    </row>
    <row r="2931" spans="1:8" x14ac:dyDescent="0.25">
      <c r="A2931" s="115">
        <v>2930</v>
      </c>
      <c r="B2931" s="167">
        <v>46071</v>
      </c>
      <c r="C2931" s="117">
        <v>2026</v>
      </c>
      <c r="D2931" s="119" t="s">
        <v>833</v>
      </c>
      <c r="E2931" s="119" t="s">
        <v>282</v>
      </c>
      <c r="F2931" s="120">
        <v>1</v>
      </c>
      <c r="G2931" s="120" t="s">
        <v>759</v>
      </c>
      <c r="H2931" s="169">
        <v>5500</v>
      </c>
    </row>
    <row r="2932" spans="1:8" x14ac:dyDescent="0.25">
      <c r="A2932" s="115">
        <v>2931</v>
      </c>
      <c r="B2932" s="167">
        <v>46071</v>
      </c>
      <c r="C2932" s="117">
        <v>2026</v>
      </c>
      <c r="D2932" s="119" t="s">
        <v>35</v>
      </c>
      <c r="E2932" s="119" t="s">
        <v>1642</v>
      </c>
      <c r="F2932" s="120">
        <v>4</v>
      </c>
      <c r="G2932" s="120" t="s">
        <v>759</v>
      </c>
      <c r="H2932" s="169">
        <v>50000</v>
      </c>
    </row>
    <row r="2933" spans="1:8" x14ac:dyDescent="0.25">
      <c r="A2933" s="115">
        <v>2932</v>
      </c>
      <c r="B2933" s="167">
        <v>46072</v>
      </c>
      <c r="C2933" s="117">
        <v>2026</v>
      </c>
      <c r="D2933" s="119" t="s">
        <v>833</v>
      </c>
      <c r="E2933" s="119" t="s">
        <v>603</v>
      </c>
      <c r="F2933" s="120">
        <v>100</v>
      </c>
      <c r="G2933" s="120" t="s">
        <v>759</v>
      </c>
      <c r="H2933" s="169">
        <v>24900</v>
      </c>
    </row>
    <row r="2934" spans="1:8" x14ac:dyDescent="0.25">
      <c r="A2934" s="115">
        <v>2933</v>
      </c>
      <c r="B2934" s="167">
        <v>46072</v>
      </c>
      <c r="C2934" s="117">
        <v>2026</v>
      </c>
      <c r="D2934" s="119" t="s">
        <v>35</v>
      </c>
      <c r="E2934" s="119" t="s">
        <v>1550</v>
      </c>
      <c r="F2934" s="120">
        <v>4</v>
      </c>
      <c r="G2934" s="120" t="s">
        <v>759</v>
      </c>
      <c r="H2934" s="169">
        <v>8000</v>
      </c>
    </row>
    <row r="2935" spans="1:8" x14ac:dyDescent="0.25">
      <c r="A2935" s="115">
        <v>2934</v>
      </c>
      <c r="B2935" s="167">
        <v>46072</v>
      </c>
      <c r="C2935" s="117">
        <v>2026</v>
      </c>
      <c r="D2935" s="119" t="s">
        <v>833</v>
      </c>
      <c r="E2935" s="119" t="s">
        <v>535</v>
      </c>
      <c r="F2935" s="120">
        <v>60</v>
      </c>
      <c r="G2935" s="120" t="s">
        <v>759</v>
      </c>
      <c r="H2935" s="169">
        <v>68700</v>
      </c>
    </row>
    <row r="2936" spans="1:8" x14ac:dyDescent="0.25">
      <c r="A2936" s="115">
        <v>2935</v>
      </c>
      <c r="B2936" s="167">
        <v>46072</v>
      </c>
      <c r="C2936" s="117">
        <v>2026</v>
      </c>
      <c r="D2936" s="119" t="s">
        <v>833</v>
      </c>
      <c r="E2936" s="119" t="s">
        <v>630</v>
      </c>
      <c r="F2936" s="120">
        <v>24</v>
      </c>
      <c r="G2936" s="120" t="s">
        <v>759</v>
      </c>
      <c r="H2936" s="169">
        <v>22608</v>
      </c>
    </row>
    <row r="2937" spans="1:8" x14ac:dyDescent="0.25">
      <c r="A2937" s="115">
        <v>2936</v>
      </c>
      <c r="B2937" s="167">
        <v>46072</v>
      </c>
      <c r="C2937" s="117">
        <v>2026</v>
      </c>
      <c r="D2937" s="119" t="s">
        <v>833</v>
      </c>
      <c r="E2937" s="119" t="s">
        <v>517</v>
      </c>
      <c r="F2937" s="120">
        <v>10</v>
      </c>
      <c r="G2937" s="120" t="s">
        <v>759</v>
      </c>
      <c r="H2937" s="169">
        <v>20400</v>
      </c>
    </row>
    <row r="2938" spans="1:8" x14ac:dyDescent="0.25">
      <c r="A2938" s="115">
        <v>2937</v>
      </c>
      <c r="B2938" s="167">
        <v>46072</v>
      </c>
      <c r="C2938" s="117">
        <v>2026</v>
      </c>
      <c r="D2938" s="119" t="s">
        <v>833</v>
      </c>
      <c r="E2938" s="119" t="s">
        <v>517</v>
      </c>
      <c r="F2938" s="120">
        <v>10</v>
      </c>
      <c r="G2938" s="120" t="s">
        <v>759</v>
      </c>
      <c r="H2938" s="169">
        <v>18400</v>
      </c>
    </row>
    <row r="2939" spans="1:8" x14ac:dyDescent="0.25">
      <c r="A2939" s="115">
        <v>2938</v>
      </c>
      <c r="B2939" s="167">
        <v>46072</v>
      </c>
      <c r="C2939" s="117">
        <v>2026</v>
      </c>
      <c r="D2939" s="119" t="s">
        <v>833</v>
      </c>
      <c r="E2939" s="119" t="s">
        <v>1344</v>
      </c>
      <c r="F2939" s="120">
        <v>5</v>
      </c>
      <c r="G2939" s="120" t="s">
        <v>759</v>
      </c>
      <c r="H2939" s="169">
        <v>87500</v>
      </c>
    </row>
    <row r="2940" spans="1:8" x14ac:dyDescent="0.25">
      <c r="A2940" s="115">
        <v>2939</v>
      </c>
      <c r="B2940" s="167">
        <v>46072</v>
      </c>
      <c r="C2940" s="117">
        <v>2026</v>
      </c>
      <c r="D2940" s="119" t="s">
        <v>833</v>
      </c>
      <c r="E2940" s="119" t="s">
        <v>588</v>
      </c>
      <c r="F2940" s="120">
        <v>12</v>
      </c>
      <c r="G2940" s="120" t="s">
        <v>759</v>
      </c>
      <c r="H2940" s="169">
        <v>57708</v>
      </c>
    </row>
    <row r="2941" spans="1:8" x14ac:dyDescent="0.25">
      <c r="A2941" s="115">
        <v>2940</v>
      </c>
      <c r="B2941" s="167">
        <v>46073</v>
      </c>
      <c r="C2941" s="117">
        <v>2026</v>
      </c>
      <c r="D2941" s="119" t="s">
        <v>766</v>
      </c>
      <c r="E2941" s="119" t="s">
        <v>356</v>
      </c>
      <c r="F2941" s="120">
        <v>50</v>
      </c>
      <c r="G2941" s="120" t="s">
        <v>759</v>
      </c>
      <c r="H2941" s="169">
        <v>575000</v>
      </c>
    </row>
    <row r="2942" spans="1:8" x14ac:dyDescent="0.25">
      <c r="A2942" s="115">
        <v>2941</v>
      </c>
      <c r="B2942" s="167">
        <v>46073</v>
      </c>
      <c r="C2942" s="117">
        <v>2026</v>
      </c>
      <c r="D2942" s="119" t="s">
        <v>766</v>
      </c>
      <c r="E2942" s="119" t="s">
        <v>356</v>
      </c>
      <c r="F2942" s="120">
        <v>25</v>
      </c>
      <c r="G2942" s="120" t="s">
        <v>759</v>
      </c>
      <c r="H2942" s="169">
        <v>875000</v>
      </c>
    </row>
    <row r="2943" spans="1:8" x14ac:dyDescent="0.25">
      <c r="A2943" s="115">
        <v>2942</v>
      </c>
      <c r="B2943" s="167">
        <v>46073</v>
      </c>
      <c r="C2943" s="117">
        <v>2026</v>
      </c>
      <c r="D2943" s="119" t="s">
        <v>766</v>
      </c>
      <c r="E2943" s="119" t="s">
        <v>1471</v>
      </c>
      <c r="F2943" s="120">
        <v>3000</v>
      </c>
      <c r="G2943" s="120" t="s">
        <v>759</v>
      </c>
      <c r="H2943" s="169">
        <v>46500000</v>
      </c>
    </row>
    <row r="2944" spans="1:8" x14ac:dyDescent="0.25">
      <c r="A2944" s="115">
        <v>2943</v>
      </c>
      <c r="B2944" s="167">
        <v>46073</v>
      </c>
      <c r="C2944" s="117">
        <v>2026</v>
      </c>
      <c r="D2944" s="119" t="s">
        <v>35</v>
      </c>
      <c r="E2944" s="119" t="s">
        <v>69</v>
      </c>
      <c r="F2944" s="120">
        <v>2</v>
      </c>
      <c r="G2944" s="120" t="s">
        <v>759</v>
      </c>
      <c r="H2944" s="169">
        <v>190000</v>
      </c>
    </row>
    <row r="2945" spans="1:8" x14ac:dyDescent="0.25">
      <c r="A2945" s="115">
        <v>2944</v>
      </c>
      <c r="B2945" s="167">
        <v>46073</v>
      </c>
      <c r="C2945" s="117">
        <v>2026</v>
      </c>
      <c r="D2945" s="119" t="s">
        <v>35</v>
      </c>
      <c r="E2945" s="119" t="s">
        <v>180</v>
      </c>
      <c r="F2945" s="120">
        <v>20</v>
      </c>
      <c r="G2945" s="120" t="s">
        <v>759</v>
      </c>
      <c r="H2945" s="169">
        <v>46900</v>
      </c>
    </row>
    <row r="2946" spans="1:8" x14ac:dyDescent="0.25">
      <c r="A2946" s="115">
        <v>2945</v>
      </c>
      <c r="B2946" s="167">
        <v>46073</v>
      </c>
      <c r="C2946" s="117">
        <v>2026</v>
      </c>
      <c r="D2946" s="119" t="s">
        <v>851</v>
      </c>
      <c r="E2946" s="119" t="s">
        <v>1429</v>
      </c>
      <c r="F2946" s="120">
        <v>20</v>
      </c>
      <c r="G2946" s="120" t="s">
        <v>759</v>
      </c>
      <c r="H2946" s="169">
        <v>17120</v>
      </c>
    </row>
    <row r="2947" spans="1:8" x14ac:dyDescent="0.25">
      <c r="A2947" s="115">
        <v>2946</v>
      </c>
      <c r="B2947" s="167">
        <v>46073</v>
      </c>
      <c r="C2947" s="117">
        <v>2026</v>
      </c>
      <c r="D2947" s="119" t="s">
        <v>35</v>
      </c>
      <c r="E2947" s="119" t="s">
        <v>1459</v>
      </c>
      <c r="F2947" s="120">
        <v>1</v>
      </c>
      <c r="G2947" s="120" t="s">
        <v>759</v>
      </c>
      <c r="H2947" s="169">
        <v>110000</v>
      </c>
    </row>
    <row r="2948" spans="1:8" x14ac:dyDescent="0.25">
      <c r="A2948" s="115">
        <v>2947</v>
      </c>
      <c r="B2948" s="167">
        <v>46074</v>
      </c>
      <c r="C2948" s="117">
        <v>2026</v>
      </c>
      <c r="D2948" s="119" t="s">
        <v>766</v>
      </c>
      <c r="E2948" s="119" t="s">
        <v>1643</v>
      </c>
      <c r="F2948" s="120">
        <v>3</v>
      </c>
      <c r="G2948" s="120" t="s">
        <v>759</v>
      </c>
      <c r="H2948" s="169">
        <v>9500001</v>
      </c>
    </row>
    <row r="2949" spans="1:8" x14ac:dyDescent="0.25">
      <c r="A2949" s="115">
        <v>2948</v>
      </c>
      <c r="B2949" s="167">
        <v>46074</v>
      </c>
      <c r="C2949" s="117">
        <v>2026</v>
      </c>
      <c r="D2949" s="119" t="s">
        <v>35</v>
      </c>
      <c r="E2949" s="119" t="s">
        <v>128</v>
      </c>
      <c r="F2949" s="120">
        <v>1</v>
      </c>
      <c r="G2949" s="120" t="s">
        <v>759</v>
      </c>
      <c r="H2949" s="169">
        <v>175000</v>
      </c>
    </row>
    <row r="2950" spans="1:8" x14ac:dyDescent="0.25">
      <c r="A2950" s="115">
        <v>2949</v>
      </c>
      <c r="B2950" s="167">
        <v>46074</v>
      </c>
      <c r="C2950" s="117">
        <v>2026</v>
      </c>
      <c r="D2950" s="119" t="s">
        <v>851</v>
      </c>
      <c r="E2950" s="119" t="s">
        <v>1644</v>
      </c>
      <c r="F2950" s="120">
        <v>1</v>
      </c>
      <c r="G2950" s="120" t="s">
        <v>759</v>
      </c>
      <c r="H2950" s="169">
        <v>73890</v>
      </c>
    </row>
    <row r="2951" spans="1:8" x14ac:dyDescent="0.25">
      <c r="A2951" s="115">
        <v>2950</v>
      </c>
      <c r="B2951" s="167">
        <v>46074</v>
      </c>
      <c r="C2951" s="117">
        <v>2026</v>
      </c>
      <c r="D2951" s="119" t="s">
        <v>35</v>
      </c>
      <c r="E2951" s="119" t="s">
        <v>205</v>
      </c>
      <c r="F2951" s="120">
        <v>1</v>
      </c>
      <c r="G2951" s="120" t="s">
        <v>759</v>
      </c>
      <c r="H2951" s="169">
        <v>20000</v>
      </c>
    </row>
    <row r="2952" spans="1:8" x14ac:dyDescent="0.25">
      <c r="A2952" s="115">
        <v>2951</v>
      </c>
      <c r="B2952" s="167">
        <v>46074</v>
      </c>
      <c r="C2952" s="117">
        <v>2026</v>
      </c>
      <c r="D2952" s="119" t="s">
        <v>833</v>
      </c>
      <c r="E2952" s="119" t="s">
        <v>306</v>
      </c>
      <c r="F2952" s="120">
        <v>12</v>
      </c>
      <c r="G2952" s="120" t="s">
        <v>759</v>
      </c>
      <c r="H2952" s="169">
        <v>15300</v>
      </c>
    </row>
    <row r="2953" spans="1:8" x14ac:dyDescent="0.25">
      <c r="A2953" s="115">
        <v>2952</v>
      </c>
      <c r="B2953" s="167">
        <v>46077</v>
      </c>
      <c r="C2953" s="117">
        <v>2026</v>
      </c>
      <c r="D2953" s="119" t="s">
        <v>35</v>
      </c>
      <c r="E2953" s="119" t="s">
        <v>1645</v>
      </c>
      <c r="F2953" s="120">
        <v>8</v>
      </c>
      <c r="G2953" s="120" t="s">
        <v>759</v>
      </c>
      <c r="H2953" s="169">
        <v>277904</v>
      </c>
    </row>
    <row r="2954" spans="1:8" x14ac:dyDescent="0.25">
      <c r="A2954" s="115">
        <v>2953</v>
      </c>
      <c r="B2954" s="167">
        <v>46077</v>
      </c>
      <c r="C2954" s="117">
        <v>2026</v>
      </c>
      <c r="D2954" s="119" t="s">
        <v>35</v>
      </c>
      <c r="E2954" s="119" t="s">
        <v>1646</v>
      </c>
      <c r="F2954" s="120">
        <v>2</v>
      </c>
      <c r="G2954" s="120" t="s">
        <v>759</v>
      </c>
      <c r="H2954" s="169">
        <v>241900</v>
      </c>
    </row>
    <row r="2955" spans="1:8" x14ac:dyDescent="0.25">
      <c r="A2955" s="115">
        <v>2954</v>
      </c>
      <c r="B2955" s="167">
        <v>46077</v>
      </c>
      <c r="C2955" s="117">
        <v>2026</v>
      </c>
      <c r="D2955" s="119" t="s">
        <v>35</v>
      </c>
      <c r="E2955" s="119" t="s">
        <v>1647</v>
      </c>
      <c r="F2955" s="120">
        <v>3</v>
      </c>
      <c r="G2955" s="120" t="s">
        <v>759</v>
      </c>
      <c r="H2955" s="169">
        <v>54402</v>
      </c>
    </row>
    <row r="2956" spans="1:8" x14ac:dyDescent="0.25">
      <c r="A2956" s="115">
        <v>2955</v>
      </c>
      <c r="B2956" s="167">
        <v>46077</v>
      </c>
      <c r="C2956" s="117">
        <v>2026</v>
      </c>
      <c r="D2956" s="119" t="s">
        <v>35</v>
      </c>
      <c r="E2956" s="119" t="s">
        <v>1392</v>
      </c>
      <c r="F2956" s="120">
        <v>4</v>
      </c>
      <c r="G2956" s="120" t="s">
        <v>759</v>
      </c>
      <c r="H2956" s="169">
        <v>160000</v>
      </c>
    </row>
    <row r="2957" spans="1:8" x14ac:dyDescent="0.25">
      <c r="A2957" s="115">
        <v>2956</v>
      </c>
      <c r="B2957" s="167">
        <v>46078</v>
      </c>
      <c r="C2957" s="117">
        <v>2026</v>
      </c>
      <c r="D2957" s="119" t="s">
        <v>35</v>
      </c>
      <c r="E2957" s="119" t="s">
        <v>739</v>
      </c>
      <c r="F2957" s="120">
        <v>75</v>
      </c>
      <c r="G2957" s="120" t="s">
        <v>759</v>
      </c>
      <c r="H2957" s="169">
        <v>660000</v>
      </c>
    </row>
    <row r="2958" spans="1:8" x14ac:dyDescent="0.25">
      <c r="A2958" s="115">
        <v>2957</v>
      </c>
      <c r="B2958" s="167">
        <v>46078</v>
      </c>
      <c r="C2958" s="117">
        <v>2026</v>
      </c>
      <c r="D2958" s="119" t="s">
        <v>259</v>
      </c>
      <c r="E2958" s="119" t="s">
        <v>1618</v>
      </c>
      <c r="F2958" s="120">
        <v>1</v>
      </c>
      <c r="G2958" s="120" t="s">
        <v>759</v>
      </c>
      <c r="H2958" s="169">
        <v>508900</v>
      </c>
    </row>
    <row r="2959" spans="1:8" x14ac:dyDescent="0.25">
      <c r="A2959" s="115">
        <v>2958</v>
      </c>
      <c r="B2959" s="167">
        <v>46079</v>
      </c>
      <c r="C2959" s="117">
        <v>2026</v>
      </c>
      <c r="D2959" s="119" t="s">
        <v>35</v>
      </c>
      <c r="E2959" s="119" t="s">
        <v>610</v>
      </c>
      <c r="F2959" s="120">
        <v>2</v>
      </c>
      <c r="G2959" s="120" t="s">
        <v>759</v>
      </c>
      <c r="H2959" s="169">
        <v>41700</v>
      </c>
    </row>
    <row r="2960" spans="1:8" x14ac:dyDescent="0.25">
      <c r="A2960" s="115">
        <v>2959</v>
      </c>
      <c r="B2960" s="167">
        <v>46079</v>
      </c>
      <c r="C2960" s="117">
        <v>2026</v>
      </c>
      <c r="D2960" s="119" t="s">
        <v>35</v>
      </c>
      <c r="E2960" s="119" t="s">
        <v>79</v>
      </c>
      <c r="F2960" s="120">
        <v>4</v>
      </c>
      <c r="G2960" s="120" t="s">
        <v>759</v>
      </c>
      <c r="H2960" s="169">
        <v>189900</v>
      </c>
    </row>
    <row r="2961" spans="1:8" x14ac:dyDescent="0.25">
      <c r="A2961" s="115">
        <v>2960</v>
      </c>
      <c r="B2961" s="167">
        <v>46079</v>
      </c>
      <c r="C2961" s="117">
        <v>2026</v>
      </c>
      <c r="D2961" s="119" t="s">
        <v>851</v>
      </c>
      <c r="E2961" s="119" t="s">
        <v>1648</v>
      </c>
      <c r="F2961" s="120">
        <v>1</v>
      </c>
      <c r="G2961" s="120" t="s">
        <v>759</v>
      </c>
      <c r="H2961" s="169">
        <v>13900</v>
      </c>
    </row>
    <row r="2962" spans="1:8" x14ac:dyDescent="0.25">
      <c r="A2962" s="115">
        <v>2961</v>
      </c>
      <c r="B2962" s="167">
        <v>46079</v>
      </c>
      <c r="C2962" s="117">
        <v>2026</v>
      </c>
      <c r="D2962" s="119" t="s">
        <v>35</v>
      </c>
      <c r="E2962" s="119" t="s">
        <v>378</v>
      </c>
      <c r="F2962" s="120">
        <v>50</v>
      </c>
      <c r="G2962" s="120" t="s">
        <v>759</v>
      </c>
      <c r="H2962" s="169">
        <v>12150</v>
      </c>
    </row>
    <row r="2963" spans="1:8" x14ac:dyDescent="0.25">
      <c r="A2963" s="115">
        <v>2962</v>
      </c>
      <c r="B2963" s="167">
        <v>46079</v>
      </c>
      <c r="C2963" s="117">
        <v>2026</v>
      </c>
      <c r="D2963" s="119" t="s">
        <v>35</v>
      </c>
      <c r="E2963" s="119" t="s">
        <v>1397</v>
      </c>
      <c r="F2963" s="120">
        <v>10</v>
      </c>
      <c r="G2963" s="120" t="s">
        <v>759</v>
      </c>
      <c r="H2963" s="169">
        <v>240000</v>
      </c>
    </row>
    <row r="2964" spans="1:8" x14ac:dyDescent="0.25">
      <c r="A2964" s="115">
        <v>2963</v>
      </c>
      <c r="B2964" s="167">
        <v>46079</v>
      </c>
      <c r="C2964" s="117">
        <v>2026</v>
      </c>
      <c r="D2964" s="119" t="s">
        <v>35</v>
      </c>
      <c r="E2964" s="119" t="s">
        <v>1527</v>
      </c>
      <c r="F2964" s="120">
        <v>1</v>
      </c>
      <c r="G2964" s="120" t="s">
        <v>759</v>
      </c>
      <c r="H2964" s="169">
        <v>200000</v>
      </c>
    </row>
    <row r="2965" spans="1:8" x14ac:dyDescent="0.25">
      <c r="A2965" s="115">
        <v>2964</v>
      </c>
      <c r="B2965" s="167">
        <v>46080</v>
      </c>
      <c r="C2965" s="117">
        <v>2026</v>
      </c>
      <c r="D2965" s="119" t="s">
        <v>35</v>
      </c>
      <c r="E2965" s="119" t="s">
        <v>36</v>
      </c>
      <c r="F2965" s="120">
        <v>3</v>
      </c>
      <c r="G2965" s="120" t="s">
        <v>759</v>
      </c>
      <c r="H2965" s="169">
        <v>17775</v>
      </c>
    </row>
    <row r="2966" spans="1:8" x14ac:dyDescent="0.25">
      <c r="A2966" s="115">
        <v>2965</v>
      </c>
      <c r="B2966" s="167">
        <v>46080</v>
      </c>
      <c r="C2966" s="117">
        <v>2026</v>
      </c>
      <c r="D2966" s="119" t="s">
        <v>35</v>
      </c>
      <c r="E2966" s="119" t="s">
        <v>110</v>
      </c>
      <c r="F2966" s="120">
        <v>2</v>
      </c>
      <c r="G2966" s="120" t="s">
        <v>759</v>
      </c>
      <c r="H2966" s="169">
        <v>17898</v>
      </c>
    </row>
    <row r="2967" spans="1:8" x14ac:dyDescent="0.25">
      <c r="A2967" s="115">
        <v>2966</v>
      </c>
      <c r="B2967" s="167">
        <v>46080</v>
      </c>
      <c r="C2967" s="117">
        <v>2026</v>
      </c>
      <c r="D2967" s="119" t="s">
        <v>35</v>
      </c>
      <c r="E2967" s="119" t="s">
        <v>1398</v>
      </c>
      <c r="F2967" s="120">
        <v>4</v>
      </c>
      <c r="G2967" s="120" t="s">
        <v>759</v>
      </c>
      <c r="H2967" s="169">
        <v>89700</v>
      </c>
    </row>
    <row r="2968" spans="1:8" x14ac:dyDescent="0.25">
      <c r="A2968" s="115">
        <v>2967</v>
      </c>
      <c r="B2968" s="167">
        <v>46081</v>
      </c>
      <c r="C2968" s="117">
        <v>2026</v>
      </c>
      <c r="D2968" s="119" t="s">
        <v>35</v>
      </c>
      <c r="E2968" s="119" t="s">
        <v>761</v>
      </c>
      <c r="F2968" s="120">
        <v>2</v>
      </c>
      <c r="G2968" s="120" t="s">
        <v>759</v>
      </c>
      <c r="H2968" s="169">
        <v>3150000</v>
      </c>
    </row>
    <row r="2969" spans="1:8" x14ac:dyDescent="0.25">
      <c r="A2969" s="115">
        <v>2968</v>
      </c>
      <c r="B2969" s="167">
        <v>46081</v>
      </c>
      <c r="C2969" s="117">
        <v>2026</v>
      </c>
      <c r="D2969" s="119" t="s">
        <v>35</v>
      </c>
      <c r="E2969" s="119" t="s">
        <v>1586</v>
      </c>
      <c r="F2969" s="120">
        <v>1</v>
      </c>
      <c r="G2969" s="120" t="s">
        <v>759</v>
      </c>
      <c r="H2969" s="169">
        <v>105900</v>
      </c>
    </row>
    <row r="2970" spans="1:8" x14ac:dyDescent="0.25">
      <c r="A2970" s="115">
        <v>2969</v>
      </c>
      <c r="B2970" s="167">
        <v>46081</v>
      </c>
      <c r="C2970" s="117">
        <v>2026</v>
      </c>
      <c r="D2970" s="119" t="s">
        <v>35</v>
      </c>
      <c r="E2970" s="119" t="s">
        <v>69</v>
      </c>
      <c r="F2970" s="120">
        <v>2</v>
      </c>
      <c r="G2970" s="120" t="s">
        <v>759</v>
      </c>
      <c r="H2970" s="169">
        <v>190000</v>
      </c>
    </row>
    <row r="2971" spans="1:8" x14ac:dyDescent="0.25">
      <c r="A2971" s="115">
        <v>2970</v>
      </c>
      <c r="B2971" s="167">
        <v>46081</v>
      </c>
      <c r="C2971" s="117">
        <v>2026</v>
      </c>
      <c r="D2971" s="119" t="s">
        <v>35</v>
      </c>
      <c r="E2971" s="119" t="s">
        <v>165</v>
      </c>
      <c r="F2971" s="120">
        <v>1</v>
      </c>
      <c r="G2971" s="120" t="s">
        <v>759</v>
      </c>
      <c r="H2971" s="169">
        <v>30000</v>
      </c>
    </row>
    <row r="2972" spans="1:8" x14ac:dyDescent="0.25">
      <c r="A2972" s="115">
        <v>2971</v>
      </c>
      <c r="B2972" s="167">
        <v>46081</v>
      </c>
      <c r="C2972" s="117">
        <v>2026</v>
      </c>
      <c r="D2972" s="119" t="s">
        <v>35</v>
      </c>
      <c r="E2972" s="119" t="s">
        <v>1631</v>
      </c>
      <c r="F2972" s="120">
        <v>2</v>
      </c>
      <c r="G2972" s="120" t="s">
        <v>759</v>
      </c>
      <c r="H2972" s="169">
        <v>231900</v>
      </c>
    </row>
    <row r="2973" spans="1:8" x14ac:dyDescent="0.25">
      <c r="A2973" s="115">
        <v>2972</v>
      </c>
      <c r="B2973" s="167">
        <v>46083</v>
      </c>
      <c r="C2973" s="117">
        <v>2026</v>
      </c>
      <c r="D2973" s="119" t="s">
        <v>259</v>
      </c>
      <c r="E2973" s="119" t="s">
        <v>1649</v>
      </c>
      <c r="F2973" s="120">
        <v>1</v>
      </c>
      <c r="G2973" s="120" t="s">
        <v>759</v>
      </c>
      <c r="H2973" s="169">
        <v>420000</v>
      </c>
    </row>
    <row r="2974" spans="1:8" x14ac:dyDescent="0.25">
      <c r="A2974" s="115">
        <v>2973</v>
      </c>
      <c r="B2974" s="167">
        <v>46083</v>
      </c>
      <c r="C2974" s="117">
        <v>2026</v>
      </c>
      <c r="D2974" s="119" t="s">
        <v>259</v>
      </c>
      <c r="E2974" s="119" t="s">
        <v>1650</v>
      </c>
      <c r="F2974" s="120">
        <v>1</v>
      </c>
      <c r="G2974" s="120" t="s">
        <v>759</v>
      </c>
      <c r="H2974" s="169">
        <v>100000</v>
      </c>
    </row>
    <row r="2975" spans="1:8" x14ac:dyDescent="0.25">
      <c r="A2975" s="115">
        <v>2974</v>
      </c>
      <c r="B2975" s="167">
        <v>46084</v>
      </c>
      <c r="C2975" s="117">
        <v>2026</v>
      </c>
      <c r="D2975" s="119" t="s">
        <v>35</v>
      </c>
      <c r="E2975" s="119" t="s">
        <v>211</v>
      </c>
      <c r="F2975" s="120">
        <v>10</v>
      </c>
      <c r="G2975" s="120" t="s">
        <v>759</v>
      </c>
      <c r="H2975" s="169">
        <v>152000</v>
      </c>
    </row>
    <row r="2976" spans="1:8" x14ac:dyDescent="0.25">
      <c r="A2976" s="115">
        <v>2975</v>
      </c>
      <c r="B2976" s="167">
        <v>46084</v>
      </c>
      <c r="C2976" s="117">
        <v>2026</v>
      </c>
      <c r="D2976" s="119" t="s">
        <v>35</v>
      </c>
      <c r="E2976" s="119" t="s">
        <v>407</v>
      </c>
      <c r="F2976" s="120">
        <v>5</v>
      </c>
      <c r="G2976" s="120" t="s">
        <v>759</v>
      </c>
      <c r="H2976" s="169">
        <v>525000</v>
      </c>
    </row>
    <row r="2977" spans="1:8" x14ac:dyDescent="0.25">
      <c r="A2977" s="115">
        <v>2976</v>
      </c>
      <c r="B2977" s="167">
        <v>46084</v>
      </c>
      <c r="C2977" s="117">
        <v>2026</v>
      </c>
      <c r="D2977" s="119" t="s">
        <v>35</v>
      </c>
      <c r="E2977" s="119" t="s">
        <v>118</v>
      </c>
      <c r="F2977" s="120">
        <v>3</v>
      </c>
      <c r="G2977" s="120" t="s">
        <v>759</v>
      </c>
      <c r="H2977" s="169">
        <v>210000</v>
      </c>
    </row>
    <row r="2978" spans="1:8" x14ac:dyDescent="0.25">
      <c r="A2978" s="115">
        <v>2977</v>
      </c>
      <c r="B2978" s="167">
        <v>46084</v>
      </c>
      <c r="C2978" s="117">
        <v>2026</v>
      </c>
      <c r="D2978" s="119" t="s">
        <v>35</v>
      </c>
      <c r="E2978" s="119" t="s">
        <v>403</v>
      </c>
      <c r="F2978" s="120">
        <v>5</v>
      </c>
      <c r="G2978" s="120" t="s">
        <v>759</v>
      </c>
      <c r="H2978" s="169">
        <v>600000</v>
      </c>
    </row>
    <row r="2979" spans="1:8" x14ac:dyDescent="0.25">
      <c r="A2979" s="115">
        <v>2978</v>
      </c>
      <c r="B2979" s="167">
        <v>46084</v>
      </c>
      <c r="C2979" s="117">
        <v>2026</v>
      </c>
      <c r="D2979" s="119" t="s">
        <v>35</v>
      </c>
      <c r="E2979" s="119" t="s">
        <v>120</v>
      </c>
      <c r="F2979" s="120">
        <v>3</v>
      </c>
      <c r="G2979" s="120" t="s">
        <v>759</v>
      </c>
      <c r="H2979" s="169">
        <v>292500</v>
      </c>
    </row>
    <row r="2980" spans="1:8" x14ac:dyDescent="0.25">
      <c r="A2980" s="115">
        <v>2979</v>
      </c>
      <c r="B2980" s="167">
        <v>46084</v>
      </c>
      <c r="C2980" s="117">
        <v>2026</v>
      </c>
      <c r="D2980" s="119" t="s">
        <v>35</v>
      </c>
      <c r="E2980" s="119" t="s">
        <v>405</v>
      </c>
      <c r="F2980" s="120">
        <v>5</v>
      </c>
      <c r="G2980" s="120" t="s">
        <v>759</v>
      </c>
      <c r="H2980" s="169">
        <v>900000</v>
      </c>
    </row>
    <row r="2981" spans="1:8" x14ac:dyDescent="0.25">
      <c r="A2981" s="115">
        <v>2980</v>
      </c>
      <c r="B2981" s="167">
        <v>46084</v>
      </c>
      <c r="C2981" s="117">
        <v>2026</v>
      </c>
      <c r="D2981" s="119" t="s">
        <v>35</v>
      </c>
      <c r="E2981" s="119" t="s">
        <v>476</v>
      </c>
      <c r="F2981" s="120">
        <v>3</v>
      </c>
      <c r="G2981" s="120" t="s">
        <v>759</v>
      </c>
      <c r="H2981" s="169">
        <v>74652</v>
      </c>
    </row>
    <row r="2982" spans="1:8" x14ac:dyDescent="0.25">
      <c r="A2982" s="115">
        <v>2981</v>
      </c>
      <c r="B2982" s="167">
        <v>46084</v>
      </c>
      <c r="C2982" s="117">
        <v>2026</v>
      </c>
      <c r="D2982" s="119" t="s">
        <v>35</v>
      </c>
      <c r="E2982" s="119" t="s">
        <v>1651</v>
      </c>
      <c r="F2982" s="120">
        <v>3</v>
      </c>
      <c r="G2982" s="120" t="s">
        <v>759</v>
      </c>
      <c r="H2982" s="169">
        <v>108000</v>
      </c>
    </row>
    <row r="2983" spans="1:8" x14ac:dyDescent="0.25">
      <c r="A2983" s="115">
        <v>2982</v>
      </c>
      <c r="B2983" s="167">
        <v>46084</v>
      </c>
      <c r="C2983" s="117">
        <v>2026</v>
      </c>
      <c r="D2983" s="119" t="s">
        <v>833</v>
      </c>
      <c r="E2983" s="119" t="s">
        <v>220</v>
      </c>
      <c r="F2983" s="120">
        <v>1</v>
      </c>
      <c r="G2983" s="120" t="s">
        <v>759</v>
      </c>
      <c r="H2983" s="169">
        <v>204400</v>
      </c>
    </row>
    <row r="2984" spans="1:8" x14ac:dyDescent="0.25">
      <c r="A2984" s="115">
        <v>2983</v>
      </c>
      <c r="B2984" s="167">
        <v>46084</v>
      </c>
      <c r="C2984" s="117">
        <v>2026</v>
      </c>
      <c r="D2984" s="119" t="s">
        <v>35</v>
      </c>
      <c r="E2984" s="119" t="s">
        <v>165</v>
      </c>
      <c r="F2984" s="120">
        <v>1</v>
      </c>
      <c r="G2984" s="120" t="s">
        <v>759</v>
      </c>
      <c r="H2984" s="169">
        <v>96800</v>
      </c>
    </row>
    <row r="2985" spans="1:8" x14ac:dyDescent="0.25">
      <c r="A2985" s="115">
        <v>2984</v>
      </c>
      <c r="B2985" s="167">
        <v>46084</v>
      </c>
      <c r="C2985" s="117">
        <v>2026</v>
      </c>
      <c r="D2985" s="119" t="s">
        <v>35</v>
      </c>
      <c r="E2985" s="119" t="s">
        <v>1389</v>
      </c>
      <c r="F2985" s="120">
        <v>1</v>
      </c>
      <c r="G2985" s="120" t="s">
        <v>759</v>
      </c>
      <c r="H2985" s="169">
        <v>96900</v>
      </c>
    </row>
    <row r="2986" spans="1:8" x14ac:dyDescent="0.25">
      <c r="A2986" s="115">
        <v>2985</v>
      </c>
      <c r="B2986" s="167">
        <v>46084</v>
      </c>
      <c r="C2986" s="117">
        <v>2026</v>
      </c>
      <c r="D2986" s="119" t="s">
        <v>851</v>
      </c>
      <c r="E2986" s="119" t="s">
        <v>84</v>
      </c>
      <c r="F2986" s="120">
        <v>2</v>
      </c>
      <c r="G2986" s="120" t="s">
        <v>759</v>
      </c>
      <c r="H2986" s="169">
        <v>29348</v>
      </c>
    </row>
    <row r="2987" spans="1:8" x14ac:dyDescent="0.25">
      <c r="A2987" s="115">
        <v>2986</v>
      </c>
      <c r="B2987" s="167">
        <v>46085</v>
      </c>
      <c r="C2987" s="117">
        <v>2026</v>
      </c>
      <c r="D2987" s="119" t="s">
        <v>35</v>
      </c>
      <c r="E2987" s="119" t="s">
        <v>299</v>
      </c>
      <c r="F2987" s="120">
        <v>3</v>
      </c>
      <c r="G2987" s="120" t="s">
        <v>759</v>
      </c>
      <c r="H2987" s="169">
        <v>24000</v>
      </c>
    </row>
    <row r="2988" spans="1:8" x14ac:dyDescent="0.25">
      <c r="A2988" s="115">
        <v>2987</v>
      </c>
      <c r="B2988" s="167">
        <v>46085</v>
      </c>
      <c r="C2988" s="117">
        <v>2026</v>
      </c>
      <c r="D2988" s="119" t="s">
        <v>35</v>
      </c>
      <c r="E2988" s="119" t="s">
        <v>1544</v>
      </c>
      <c r="F2988" s="120">
        <v>10</v>
      </c>
      <c r="G2988" s="120" t="s">
        <v>759</v>
      </c>
      <c r="H2988" s="169">
        <v>25000</v>
      </c>
    </row>
    <row r="2989" spans="1:8" x14ac:dyDescent="0.25">
      <c r="A2989" s="115">
        <v>2988</v>
      </c>
      <c r="B2989" s="167">
        <v>46086</v>
      </c>
      <c r="C2989" s="117">
        <v>2026</v>
      </c>
      <c r="D2989" s="119" t="s">
        <v>35</v>
      </c>
      <c r="E2989" s="119" t="s">
        <v>1056</v>
      </c>
      <c r="F2989" s="120">
        <v>3</v>
      </c>
      <c r="G2989" s="120" t="s">
        <v>759</v>
      </c>
      <c r="H2989" s="169">
        <v>31902</v>
      </c>
    </row>
    <row r="2990" spans="1:8" x14ac:dyDescent="0.25">
      <c r="A2990" s="115">
        <v>2989</v>
      </c>
      <c r="B2990" s="167">
        <v>46086</v>
      </c>
      <c r="C2990" s="117">
        <v>2026</v>
      </c>
      <c r="D2990" s="119" t="s">
        <v>35</v>
      </c>
      <c r="E2990" s="119" t="s">
        <v>1057</v>
      </c>
      <c r="F2990" s="120">
        <v>3</v>
      </c>
      <c r="G2990" s="120" t="s">
        <v>759</v>
      </c>
      <c r="H2990" s="169">
        <v>61152</v>
      </c>
    </row>
    <row r="2991" spans="1:8" x14ac:dyDescent="0.25">
      <c r="A2991" s="115">
        <v>2990</v>
      </c>
      <c r="B2991" s="167">
        <v>46086</v>
      </c>
      <c r="C2991" s="117">
        <v>2026</v>
      </c>
      <c r="D2991" s="119" t="s">
        <v>35</v>
      </c>
      <c r="E2991" s="119" t="s">
        <v>1308</v>
      </c>
      <c r="F2991" s="120">
        <v>3</v>
      </c>
      <c r="G2991" s="120" t="s">
        <v>759</v>
      </c>
      <c r="H2991" s="169">
        <v>31752</v>
      </c>
    </row>
    <row r="2992" spans="1:8" x14ac:dyDescent="0.25">
      <c r="A2992" s="115">
        <v>2991</v>
      </c>
      <c r="B2992" s="167">
        <v>46087</v>
      </c>
      <c r="C2992" s="117">
        <v>2026</v>
      </c>
      <c r="D2992" s="119" t="s">
        <v>259</v>
      </c>
      <c r="E2992" s="119" t="s">
        <v>341</v>
      </c>
      <c r="F2992" s="120">
        <v>1</v>
      </c>
      <c r="G2992" s="120" t="s">
        <v>759</v>
      </c>
      <c r="H2992" s="169">
        <v>2175000</v>
      </c>
    </row>
    <row r="2993" spans="1:8" x14ac:dyDescent="0.25">
      <c r="A2993" s="115">
        <v>2992</v>
      </c>
      <c r="B2993" s="167">
        <v>46088</v>
      </c>
      <c r="C2993" s="117">
        <v>2026</v>
      </c>
      <c r="D2993" s="119" t="s">
        <v>259</v>
      </c>
      <c r="E2993" s="119" t="s">
        <v>1652</v>
      </c>
      <c r="F2993" s="120">
        <v>2</v>
      </c>
      <c r="G2993" s="120" t="s">
        <v>759</v>
      </c>
      <c r="H2993" s="169">
        <v>36900</v>
      </c>
    </row>
    <row r="2994" spans="1:8" x14ac:dyDescent="0.25">
      <c r="A2994" s="115">
        <v>2993</v>
      </c>
      <c r="B2994" s="167">
        <v>46088</v>
      </c>
      <c r="C2994" s="117">
        <v>2026</v>
      </c>
      <c r="D2994" s="119" t="s">
        <v>259</v>
      </c>
      <c r="E2994" s="119" t="s">
        <v>758</v>
      </c>
      <c r="F2994" s="120">
        <v>5</v>
      </c>
      <c r="G2994" s="120" t="s">
        <v>759</v>
      </c>
      <c r="H2994" s="169">
        <v>139400</v>
      </c>
    </row>
    <row r="2995" spans="1:8" x14ac:dyDescent="0.25">
      <c r="A2995" s="115">
        <v>2994</v>
      </c>
      <c r="B2995" s="167">
        <v>46088</v>
      </c>
      <c r="C2995" s="117">
        <v>2026</v>
      </c>
      <c r="D2995" s="119" t="s">
        <v>259</v>
      </c>
      <c r="E2995" s="119" t="s">
        <v>1653</v>
      </c>
      <c r="F2995" s="120">
        <v>4</v>
      </c>
      <c r="G2995" s="120" t="s">
        <v>759</v>
      </c>
      <c r="H2995" s="169">
        <v>1623900</v>
      </c>
    </row>
    <row r="2996" spans="1:8" x14ac:dyDescent="0.25">
      <c r="A2996" s="115">
        <v>2995</v>
      </c>
      <c r="B2996" s="167">
        <v>46088</v>
      </c>
      <c r="C2996" s="117">
        <v>2026</v>
      </c>
      <c r="D2996" s="119" t="s">
        <v>35</v>
      </c>
      <c r="E2996" s="119" t="s">
        <v>1654</v>
      </c>
      <c r="F2996" s="120">
        <v>1</v>
      </c>
      <c r="G2996" s="120" t="s">
        <v>759</v>
      </c>
      <c r="H2996" s="169">
        <v>13400</v>
      </c>
    </row>
    <row r="2997" spans="1:8" x14ac:dyDescent="0.25">
      <c r="A2997" s="115">
        <v>2996</v>
      </c>
      <c r="B2997" s="167">
        <v>46088</v>
      </c>
      <c r="C2997" s="117">
        <v>2026</v>
      </c>
      <c r="D2997" s="119" t="s">
        <v>259</v>
      </c>
      <c r="E2997" s="119" t="s">
        <v>1377</v>
      </c>
      <c r="F2997" s="120">
        <v>3</v>
      </c>
      <c r="G2997" s="120" t="s">
        <v>759</v>
      </c>
      <c r="H2997" s="169">
        <v>919182</v>
      </c>
    </row>
    <row r="2998" spans="1:8" x14ac:dyDescent="0.25">
      <c r="A2998" s="115">
        <v>2997</v>
      </c>
      <c r="B2998" s="167">
        <v>46088</v>
      </c>
      <c r="C2998" s="117">
        <v>2026</v>
      </c>
      <c r="D2998" s="119" t="s">
        <v>259</v>
      </c>
      <c r="E2998" s="119" t="s">
        <v>1391</v>
      </c>
      <c r="F2998" s="120">
        <v>100</v>
      </c>
      <c r="G2998" s="120" t="s">
        <v>759</v>
      </c>
      <c r="H2998" s="169">
        <v>106800</v>
      </c>
    </row>
    <row r="2999" spans="1:8" x14ac:dyDescent="0.25">
      <c r="A2999" s="115">
        <v>2998</v>
      </c>
      <c r="B2999" s="167">
        <v>46090</v>
      </c>
      <c r="C2999" s="117">
        <v>2026</v>
      </c>
      <c r="D2999" s="119" t="s">
        <v>35</v>
      </c>
      <c r="E2999" s="119" t="s">
        <v>1262</v>
      </c>
      <c r="F2999" s="120">
        <v>2</v>
      </c>
      <c r="G2999" s="120" t="s">
        <v>759</v>
      </c>
      <c r="H2999" s="169">
        <v>499000</v>
      </c>
    </row>
    <row r="3000" spans="1:8" x14ac:dyDescent="0.25">
      <c r="A3000" s="115">
        <v>2999</v>
      </c>
      <c r="B3000" s="167">
        <v>46091</v>
      </c>
      <c r="C3000" s="117">
        <v>2026</v>
      </c>
      <c r="D3000" s="119" t="s">
        <v>35</v>
      </c>
      <c r="E3000" s="119" t="s">
        <v>761</v>
      </c>
      <c r="F3000" s="120">
        <v>2</v>
      </c>
      <c r="G3000" s="120" t="s">
        <v>759</v>
      </c>
      <c r="H3000" s="169">
        <v>3150000</v>
      </c>
    </row>
    <row r="3001" spans="1:8" x14ac:dyDescent="0.25">
      <c r="A3001" s="115">
        <v>3000</v>
      </c>
      <c r="B3001" s="167">
        <v>46091</v>
      </c>
      <c r="C3001" s="117">
        <v>2026</v>
      </c>
      <c r="D3001" s="119" t="s">
        <v>35</v>
      </c>
      <c r="E3001" s="119" t="s">
        <v>1655</v>
      </c>
      <c r="F3001" s="120">
        <v>1</v>
      </c>
      <c r="G3001" s="120" t="s">
        <v>759</v>
      </c>
      <c r="H3001" s="169">
        <v>140000</v>
      </c>
    </row>
    <row r="3002" spans="1:8" x14ac:dyDescent="0.25">
      <c r="A3002" s="115">
        <v>3001</v>
      </c>
      <c r="B3002" s="167">
        <v>46091</v>
      </c>
      <c r="C3002" s="117">
        <v>2026</v>
      </c>
      <c r="D3002" s="119" t="s">
        <v>851</v>
      </c>
      <c r="E3002" s="119" t="s">
        <v>299</v>
      </c>
      <c r="F3002" s="120">
        <v>54</v>
      </c>
      <c r="G3002" s="120" t="s">
        <v>759</v>
      </c>
      <c r="H3002" s="169">
        <v>425304</v>
      </c>
    </row>
    <row r="3003" spans="1:8" x14ac:dyDescent="0.25">
      <c r="A3003" s="115">
        <v>3002</v>
      </c>
      <c r="B3003" s="167">
        <v>46091</v>
      </c>
      <c r="C3003" s="117">
        <v>2026</v>
      </c>
      <c r="D3003" s="119" t="s">
        <v>35</v>
      </c>
      <c r="E3003" s="119" t="s">
        <v>115</v>
      </c>
      <c r="F3003" s="120">
        <v>2</v>
      </c>
      <c r="G3003" s="120" t="s">
        <v>759</v>
      </c>
      <c r="H3003" s="169">
        <v>160000</v>
      </c>
    </row>
    <row r="3004" spans="1:8" x14ac:dyDescent="0.25">
      <c r="A3004" s="115">
        <v>3003</v>
      </c>
      <c r="B3004" s="167">
        <v>46091</v>
      </c>
      <c r="C3004" s="117">
        <v>2026</v>
      </c>
      <c r="D3004" s="119" t="s">
        <v>851</v>
      </c>
      <c r="E3004" s="119" t="s">
        <v>1249</v>
      </c>
      <c r="F3004" s="120">
        <v>2</v>
      </c>
      <c r="G3004" s="120" t="s">
        <v>759</v>
      </c>
      <c r="H3004" s="169">
        <v>113900</v>
      </c>
    </row>
    <row r="3005" spans="1:8" x14ac:dyDescent="0.25">
      <c r="A3005" s="115">
        <v>3004</v>
      </c>
      <c r="B3005" s="167">
        <v>46091</v>
      </c>
      <c r="C3005" s="117">
        <v>2026</v>
      </c>
      <c r="D3005" s="119" t="s">
        <v>35</v>
      </c>
      <c r="E3005" s="119" t="s">
        <v>1656</v>
      </c>
      <c r="F3005" s="120">
        <v>13</v>
      </c>
      <c r="G3005" s="120" t="s">
        <v>759</v>
      </c>
      <c r="H3005" s="169">
        <v>700011</v>
      </c>
    </row>
    <row r="3006" spans="1:8" x14ac:dyDescent="0.25">
      <c r="A3006" s="115">
        <v>3005</v>
      </c>
      <c r="B3006" s="167">
        <v>46092</v>
      </c>
      <c r="C3006" s="117">
        <v>2026</v>
      </c>
      <c r="D3006" s="119" t="s">
        <v>35</v>
      </c>
      <c r="E3006" s="119" t="s">
        <v>761</v>
      </c>
      <c r="F3006" s="120">
        <v>2</v>
      </c>
      <c r="G3006" s="120" t="s">
        <v>759</v>
      </c>
      <c r="H3006" s="169">
        <v>3150000</v>
      </c>
    </row>
    <row r="3007" spans="1:8" x14ac:dyDescent="0.25">
      <c r="A3007" s="115">
        <v>3006</v>
      </c>
      <c r="B3007" s="167">
        <v>46092</v>
      </c>
      <c r="C3007" s="117">
        <v>2026</v>
      </c>
      <c r="D3007" s="119" t="s">
        <v>833</v>
      </c>
      <c r="E3007" s="119" t="s">
        <v>1657</v>
      </c>
      <c r="F3007" s="120">
        <v>2</v>
      </c>
      <c r="G3007" s="120" t="s">
        <v>759</v>
      </c>
      <c r="H3007" s="169">
        <v>12548</v>
      </c>
    </row>
    <row r="3008" spans="1:8" x14ac:dyDescent="0.25">
      <c r="A3008" s="115">
        <v>3007</v>
      </c>
      <c r="B3008" s="167">
        <v>46093</v>
      </c>
      <c r="C3008" s="117">
        <v>2026</v>
      </c>
      <c r="D3008" s="119" t="s">
        <v>35</v>
      </c>
      <c r="E3008" s="119" t="s">
        <v>211</v>
      </c>
      <c r="F3008" s="120">
        <v>10</v>
      </c>
      <c r="G3008" s="120" t="s">
        <v>759</v>
      </c>
      <c r="H3008" s="169">
        <v>195000</v>
      </c>
    </row>
    <row r="3009" spans="1:8" x14ac:dyDescent="0.25">
      <c r="A3009" s="115">
        <v>3008</v>
      </c>
      <c r="B3009" s="167">
        <v>46093</v>
      </c>
      <c r="C3009" s="117">
        <v>2026</v>
      </c>
      <c r="D3009" s="119" t="s">
        <v>35</v>
      </c>
      <c r="E3009" s="119" t="s">
        <v>211</v>
      </c>
      <c r="F3009" s="120">
        <v>3</v>
      </c>
      <c r="G3009" s="120" t="s">
        <v>759</v>
      </c>
      <c r="H3009" s="169">
        <v>58500</v>
      </c>
    </row>
    <row r="3010" spans="1:8" x14ac:dyDescent="0.25">
      <c r="A3010" s="115">
        <v>3009</v>
      </c>
      <c r="B3010" s="167">
        <v>46093</v>
      </c>
      <c r="C3010" s="117">
        <v>2026</v>
      </c>
      <c r="D3010" s="119" t="s">
        <v>35</v>
      </c>
      <c r="E3010" s="119" t="s">
        <v>356</v>
      </c>
      <c r="F3010" s="120">
        <v>1</v>
      </c>
      <c r="G3010" s="120" t="s">
        <v>759</v>
      </c>
      <c r="H3010" s="169">
        <v>34000</v>
      </c>
    </row>
    <row r="3011" spans="1:8" x14ac:dyDescent="0.25">
      <c r="A3011" s="115">
        <v>3010</v>
      </c>
      <c r="B3011" s="167">
        <v>46093</v>
      </c>
      <c r="C3011" s="117">
        <v>2026</v>
      </c>
      <c r="D3011" s="119" t="s">
        <v>259</v>
      </c>
      <c r="E3011" s="119" t="s">
        <v>331</v>
      </c>
      <c r="F3011" s="120">
        <v>3</v>
      </c>
      <c r="G3011" s="120" t="s">
        <v>759</v>
      </c>
      <c r="H3011" s="169">
        <v>721902</v>
      </c>
    </row>
    <row r="3012" spans="1:8" x14ac:dyDescent="0.25">
      <c r="A3012" s="115">
        <v>3011</v>
      </c>
      <c r="B3012" s="167">
        <v>46093</v>
      </c>
      <c r="C3012" s="117">
        <v>2026</v>
      </c>
      <c r="D3012" s="119" t="s">
        <v>35</v>
      </c>
      <c r="E3012" s="119" t="s">
        <v>1504</v>
      </c>
      <c r="F3012" s="120">
        <v>9</v>
      </c>
      <c r="G3012" s="120" t="s">
        <v>759</v>
      </c>
      <c r="H3012" s="169">
        <v>10387548</v>
      </c>
    </row>
    <row r="3013" spans="1:8" x14ac:dyDescent="0.25">
      <c r="A3013" s="115">
        <v>3012</v>
      </c>
      <c r="B3013" s="167">
        <v>46093</v>
      </c>
      <c r="C3013" s="117">
        <v>2026</v>
      </c>
      <c r="D3013" s="119" t="s">
        <v>35</v>
      </c>
      <c r="E3013" s="119" t="s">
        <v>1504</v>
      </c>
      <c r="F3013" s="120">
        <v>3</v>
      </c>
      <c r="G3013" s="120" t="s">
        <v>759</v>
      </c>
      <c r="H3013" s="169">
        <v>16424748</v>
      </c>
    </row>
    <row r="3014" spans="1:8" x14ac:dyDescent="0.25">
      <c r="A3014" s="115">
        <v>3013</v>
      </c>
      <c r="B3014" s="167">
        <v>46093</v>
      </c>
      <c r="C3014" s="117">
        <v>2026</v>
      </c>
      <c r="D3014" s="119" t="s">
        <v>35</v>
      </c>
      <c r="E3014" s="119" t="s">
        <v>1504</v>
      </c>
      <c r="F3014" s="120">
        <v>1</v>
      </c>
      <c r="G3014" s="120" t="s">
        <v>759</v>
      </c>
      <c r="H3014" s="169">
        <v>8187712</v>
      </c>
    </row>
    <row r="3015" spans="1:8" x14ac:dyDescent="0.25">
      <c r="A3015" s="115">
        <v>3014</v>
      </c>
      <c r="B3015" s="167">
        <v>46093</v>
      </c>
      <c r="C3015" s="117">
        <v>2026</v>
      </c>
      <c r="D3015" s="119" t="s">
        <v>259</v>
      </c>
      <c r="E3015" s="119" t="s">
        <v>1658</v>
      </c>
      <c r="F3015" s="120">
        <v>1</v>
      </c>
      <c r="G3015" s="120" t="s">
        <v>759</v>
      </c>
      <c r="H3015" s="169">
        <v>79966</v>
      </c>
    </row>
    <row r="3016" spans="1:8" x14ac:dyDescent="0.25">
      <c r="A3016" s="115">
        <v>3015</v>
      </c>
      <c r="B3016" s="167">
        <v>46094</v>
      </c>
      <c r="C3016" s="117">
        <v>2026</v>
      </c>
      <c r="D3016" s="119" t="s">
        <v>35</v>
      </c>
      <c r="E3016" s="119" t="s">
        <v>761</v>
      </c>
      <c r="F3016" s="120">
        <v>2</v>
      </c>
      <c r="G3016" s="120" t="s">
        <v>759</v>
      </c>
      <c r="H3016" s="169">
        <v>3150000</v>
      </c>
    </row>
    <row r="3017" spans="1:8" x14ac:dyDescent="0.25">
      <c r="A3017" s="115">
        <v>3016</v>
      </c>
      <c r="B3017" s="167">
        <v>46094</v>
      </c>
      <c r="C3017" s="117">
        <v>2026</v>
      </c>
      <c r="D3017" s="119" t="s">
        <v>35</v>
      </c>
      <c r="E3017" s="119" t="s">
        <v>761</v>
      </c>
      <c r="F3017" s="120">
        <v>4</v>
      </c>
      <c r="G3017" s="120" t="s">
        <v>759</v>
      </c>
      <c r="H3017" s="169">
        <v>9000000</v>
      </c>
    </row>
    <row r="3018" spans="1:8" x14ac:dyDescent="0.25">
      <c r="A3018" s="115">
        <v>3017</v>
      </c>
      <c r="B3018" s="167">
        <v>46094</v>
      </c>
      <c r="C3018" s="117">
        <v>2026</v>
      </c>
      <c r="D3018" s="119" t="s">
        <v>35</v>
      </c>
      <c r="E3018" s="119" t="s">
        <v>1380</v>
      </c>
      <c r="F3018" s="120">
        <v>12</v>
      </c>
      <c r="G3018" s="120" t="s">
        <v>759</v>
      </c>
      <c r="H3018" s="169">
        <v>186000</v>
      </c>
    </row>
    <row r="3019" spans="1:8" x14ac:dyDescent="0.25">
      <c r="A3019" s="115">
        <v>3018</v>
      </c>
      <c r="B3019" s="167">
        <v>46094</v>
      </c>
      <c r="C3019" s="117">
        <v>2026</v>
      </c>
      <c r="D3019" s="119" t="s">
        <v>35</v>
      </c>
      <c r="E3019" s="119" t="s">
        <v>1381</v>
      </c>
      <c r="F3019" s="120">
        <v>22</v>
      </c>
      <c r="G3019" s="120" t="s">
        <v>759</v>
      </c>
      <c r="H3019" s="169">
        <v>2250006</v>
      </c>
    </row>
    <row r="3020" spans="1:8" x14ac:dyDescent="0.25">
      <c r="A3020" s="115">
        <v>3019</v>
      </c>
      <c r="B3020" s="167">
        <v>46094</v>
      </c>
      <c r="C3020" s="117">
        <v>2026</v>
      </c>
      <c r="D3020" s="119" t="s">
        <v>35</v>
      </c>
      <c r="E3020" s="119" t="s">
        <v>1382</v>
      </c>
      <c r="F3020" s="120">
        <v>22</v>
      </c>
      <c r="G3020" s="120" t="s">
        <v>759</v>
      </c>
      <c r="H3020" s="169">
        <v>2250006</v>
      </c>
    </row>
    <row r="3021" spans="1:8" x14ac:dyDescent="0.25">
      <c r="A3021" s="115">
        <v>3020</v>
      </c>
      <c r="B3021" s="167">
        <v>46094</v>
      </c>
      <c r="C3021" s="117">
        <v>2026</v>
      </c>
      <c r="D3021" s="119" t="s">
        <v>35</v>
      </c>
      <c r="E3021" s="119" t="s">
        <v>1659</v>
      </c>
      <c r="F3021" s="120">
        <v>2</v>
      </c>
      <c r="G3021" s="120" t="s">
        <v>759</v>
      </c>
      <c r="H3021" s="169">
        <v>24000</v>
      </c>
    </row>
    <row r="3022" spans="1:8" x14ac:dyDescent="0.25">
      <c r="A3022" s="115">
        <v>3021</v>
      </c>
      <c r="B3022" s="167">
        <v>46094</v>
      </c>
      <c r="C3022" s="117">
        <v>2026</v>
      </c>
      <c r="D3022" s="119" t="s">
        <v>851</v>
      </c>
      <c r="E3022" s="119" t="s">
        <v>107</v>
      </c>
      <c r="F3022" s="120">
        <v>1</v>
      </c>
      <c r="G3022" s="120" t="s">
        <v>759</v>
      </c>
      <c r="H3022" s="169">
        <v>54899</v>
      </c>
    </row>
    <row r="3023" spans="1:8" x14ac:dyDescent="0.25">
      <c r="A3023" s="115">
        <v>3022</v>
      </c>
      <c r="B3023" s="167">
        <v>46094</v>
      </c>
      <c r="C3023" s="117">
        <v>2026</v>
      </c>
      <c r="D3023" s="119" t="s">
        <v>35</v>
      </c>
      <c r="E3023" s="119" t="s">
        <v>1364</v>
      </c>
      <c r="F3023" s="120">
        <v>12</v>
      </c>
      <c r="G3023" s="120" t="s">
        <v>759</v>
      </c>
      <c r="H3023" s="169">
        <v>2329308</v>
      </c>
    </row>
    <row r="3024" spans="1:8" x14ac:dyDescent="0.25">
      <c r="A3024" s="115">
        <v>3023</v>
      </c>
      <c r="B3024" s="167">
        <v>46095</v>
      </c>
      <c r="C3024" s="117">
        <v>2026</v>
      </c>
      <c r="D3024" s="119" t="s">
        <v>35</v>
      </c>
      <c r="E3024" s="119" t="s">
        <v>761</v>
      </c>
      <c r="F3024" s="120">
        <v>2</v>
      </c>
      <c r="G3024" s="120" t="s">
        <v>759</v>
      </c>
      <c r="H3024" s="169">
        <v>3150000</v>
      </c>
    </row>
    <row r="3025" spans="1:8" x14ac:dyDescent="0.25">
      <c r="A3025" s="115">
        <v>3024</v>
      </c>
      <c r="B3025" s="167">
        <v>46095</v>
      </c>
      <c r="C3025" s="117">
        <v>2026</v>
      </c>
      <c r="D3025" s="119" t="s">
        <v>851</v>
      </c>
      <c r="E3025" s="119" t="s">
        <v>600</v>
      </c>
      <c r="F3025" s="120">
        <v>24</v>
      </c>
      <c r="G3025" s="120" t="s">
        <v>759</v>
      </c>
      <c r="H3025" s="169">
        <v>56640</v>
      </c>
    </row>
    <row r="3026" spans="1:8" x14ac:dyDescent="0.25">
      <c r="A3026" s="115">
        <v>3025</v>
      </c>
      <c r="B3026" s="167">
        <v>46095</v>
      </c>
      <c r="C3026" s="117">
        <v>2026</v>
      </c>
      <c r="D3026" s="119" t="s">
        <v>851</v>
      </c>
      <c r="E3026" s="119" t="s">
        <v>544</v>
      </c>
      <c r="F3026" s="120">
        <v>10</v>
      </c>
      <c r="G3026" s="120" t="s">
        <v>759</v>
      </c>
      <c r="H3026" s="169">
        <v>182900</v>
      </c>
    </row>
    <row r="3027" spans="1:8" x14ac:dyDescent="0.25">
      <c r="A3027" s="115">
        <v>3026</v>
      </c>
      <c r="B3027" s="167">
        <v>46095</v>
      </c>
      <c r="C3027" s="117">
        <v>2026</v>
      </c>
      <c r="D3027" s="119" t="s">
        <v>35</v>
      </c>
      <c r="E3027" s="119" t="s">
        <v>486</v>
      </c>
      <c r="F3027" s="120">
        <v>4</v>
      </c>
      <c r="G3027" s="120" t="s">
        <v>759</v>
      </c>
      <c r="H3027" s="169">
        <v>186056</v>
      </c>
    </row>
    <row r="3028" spans="1:8" x14ac:dyDescent="0.25">
      <c r="A3028" s="115">
        <v>3027</v>
      </c>
      <c r="B3028" s="167">
        <v>46097</v>
      </c>
      <c r="C3028" s="117">
        <v>2026</v>
      </c>
      <c r="D3028" s="119" t="s">
        <v>35</v>
      </c>
      <c r="E3028" s="119" t="s">
        <v>124</v>
      </c>
      <c r="F3028" s="120">
        <v>1</v>
      </c>
      <c r="G3028" s="120" t="s">
        <v>759</v>
      </c>
      <c r="H3028" s="169">
        <v>7230000</v>
      </c>
    </row>
    <row r="3029" spans="1:8" x14ac:dyDescent="0.25">
      <c r="A3029" s="115">
        <v>3028</v>
      </c>
      <c r="B3029" s="167">
        <v>46097</v>
      </c>
      <c r="C3029" s="117">
        <v>2026</v>
      </c>
      <c r="D3029" s="119" t="s">
        <v>833</v>
      </c>
      <c r="E3029" s="119" t="s">
        <v>1660</v>
      </c>
      <c r="F3029" s="120">
        <v>1</v>
      </c>
      <c r="G3029" s="120" t="s">
        <v>759</v>
      </c>
      <c r="H3029" s="169">
        <v>8770</v>
      </c>
    </row>
    <row r="3030" spans="1:8" x14ac:dyDescent="0.25">
      <c r="A3030" s="115">
        <v>3029</v>
      </c>
      <c r="B3030" s="167">
        <v>46097</v>
      </c>
      <c r="C3030" s="117">
        <v>2026</v>
      </c>
      <c r="D3030" s="119" t="s">
        <v>35</v>
      </c>
      <c r="E3030" s="119" t="s">
        <v>1429</v>
      </c>
      <c r="F3030" s="120">
        <v>13</v>
      </c>
      <c r="G3030" s="120" t="s">
        <v>759</v>
      </c>
      <c r="H3030" s="169">
        <v>14911</v>
      </c>
    </row>
    <row r="3031" spans="1:8" x14ac:dyDescent="0.25">
      <c r="A3031" s="115">
        <v>3030</v>
      </c>
      <c r="B3031" s="167">
        <v>46097</v>
      </c>
      <c r="C3031" s="117">
        <v>2026</v>
      </c>
      <c r="D3031" s="119" t="s">
        <v>35</v>
      </c>
      <c r="E3031" s="119" t="s">
        <v>1661</v>
      </c>
      <c r="F3031" s="120">
        <v>9</v>
      </c>
      <c r="G3031" s="120" t="s">
        <v>759</v>
      </c>
      <c r="H3031" s="169">
        <v>55908</v>
      </c>
    </row>
    <row r="3032" spans="1:8" x14ac:dyDescent="0.25">
      <c r="A3032" s="115">
        <v>3031</v>
      </c>
      <c r="B3032" s="167">
        <v>46099</v>
      </c>
      <c r="C3032" s="117">
        <v>2026</v>
      </c>
      <c r="D3032" s="119" t="s">
        <v>35</v>
      </c>
      <c r="E3032" s="119" t="s">
        <v>565</v>
      </c>
      <c r="F3032" s="120">
        <v>1</v>
      </c>
      <c r="G3032" s="120" t="s">
        <v>759</v>
      </c>
      <c r="H3032" s="169">
        <v>46800</v>
      </c>
    </row>
    <row r="3033" spans="1:8" x14ac:dyDescent="0.25">
      <c r="A3033" s="115">
        <v>3032</v>
      </c>
      <c r="B3033" s="167">
        <v>46107</v>
      </c>
      <c r="C3033" s="117">
        <v>2026</v>
      </c>
      <c r="D3033" s="119" t="s">
        <v>35</v>
      </c>
      <c r="E3033" s="119" t="s">
        <v>761</v>
      </c>
      <c r="F3033" s="120">
        <v>4</v>
      </c>
      <c r="G3033" s="120" t="s">
        <v>759</v>
      </c>
      <c r="H3033" s="169">
        <v>9200000</v>
      </c>
    </row>
    <row r="3034" spans="1:8" x14ac:dyDescent="0.25">
      <c r="A3034" s="115">
        <v>3033</v>
      </c>
      <c r="B3034" s="167">
        <v>46107</v>
      </c>
      <c r="C3034" s="117">
        <v>2026</v>
      </c>
      <c r="D3034" s="119" t="s">
        <v>35</v>
      </c>
      <c r="E3034" s="119" t="s">
        <v>761</v>
      </c>
      <c r="F3034" s="120">
        <v>4</v>
      </c>
      <c r="G3034" s="120" t="s">
        <v>759</v>
      </c>
      <c r="H3034" s="169">
        <v>9200000</v>
      </c>
    </row>
    <row r="3035" spans="1:8" x14ac:dyDescent="0.25">
      <c r="A3035" s="115">
        <v>3034</v>
      </c>
      <c r="B3035" s="167">
        <v>46107</v>
      </c>
      <c r="C3035" s="117">
        <v>2026</v>
      </c>
      <c r="D3035" s="119" t="s">
        <v>851</v>
      </c>
      <c r="E3035" s="119" t="s">
        <v>1365</v>
      </c>
      <c r="F3035" s="120">
        <v>1</v>
      </c>
      <c r="G3035" s="120" t="s">
        <v>759</v>
      </c>
      <c r="H3035" s="169">
        <v>36699</v>
      </c>
    </row>
    <row r="3036" spans="1:8" x14ac:dyDescent="0.25">
      <c r="A3036" s="115">
        <v>3035</v>
      </c>
      <c r="B3036" s="167">
        <v>46107</v>
      </c>
      <c r="C3036" s="117">
        <v>2026</v>
      </c>
      <c r="D3036" s="118" t="s">
        <v>766</v>
      </c>
      <c r="E3036" s="119" t="s">
        <v>1440</v>
      </c>
      <c r="F3036" s="120">
        <v>84</v>
      </c>
      <c r="G3036" s="120" t="s">
        <v>759</v>
      </c>
      <c r="H3036" s="169">
        <v>55444284</v>
      </c>
    </row>
    <row r="3037" spans="1:8" x14ac:dyDescent="0.25">
      <c r="A3037" s="115">
        <v>3036</v>
      </c>
      <c r="B3037" s="167">
        <v>46107</v>
      </c>
      <c r="C3037" s="117">
        <v>2026</v>
      </c>
      <c r="D3037" s="118" t="s">
        <v>766</v>
      </c>
      <c r="E3037" s="119" t="s">
        <v>1441</v>
      </c>
      <c r="F3037" s="120">
        <v>63</v>
      </c>
      <c r="G3037" s="120" t="s">
        <v>759</v>
      </c>
      <c r="H3037" s="169">
        <v>30230235</v>
      </c>
    </row>
    <row r="3038" spans="1:8" x14ac:dyDescent="0.25">
      <c r="A3038" s="115">
        <v>3037</v>
      </c>
      <c r="B3038" s="167">
        <v>46107</v>
      </c>
      <c r="C3038" s="117">
        <v>2026</v>
      </c>
      <c r="D3038" s="118" t="s">
        <v>766</v>
      </c>
      <c r="E3038" s="119" t="s">
        <v>1442</v>
      </c>
      <c r="F3038" s="120">
        <v>59</v>
      </c>
      <c r="G3038" s="120" t="s">
        <v>759</v>
      </c>
      <c r="H3038" s="169">
        <v>24787552</v>
      </c>
    </row>
    <row r="3039" spans="1:8" x14ac:dyDescent="0.25">
      <c r="A3039" s="115">
        <v>3038</v>
      </c>
      <c r="B3039" s="167">
        <v>46107</v>
      </c>
      <c r="C3039" s="117">
        <v>2026</v>
      </c>
      <c r="D3039" s="118" t="s">
        <v>766</v>
      </c>
      <c r="E3039" s="119" t="s">
        <v>1443</v>
      </c>
      <c r="F3039" s="120">
        <v>269</v>
      </c>
      <c r="G3039" s="120" t="s">
        <v>759</v>
      </c>
      <c r="H3039" s="169">
        <v>100875000</v>
      </c>
    </row>
    <row r="3040" spans="1:8" x14ac:dyDescent="0.25">
      <c r="A3040" s="115">
        <v>3039</v>
      </c>
      <c r="B3040" s="167">
        <v>46107</v>
      </c>
      <c r="C3040" s="117">
        <v>2026</v>
      </c>
      <c r="D3040" s="118" t="s">
        <v>766</v>
      </c>
      <c r="E3040" s="119" t="s">
        <v>1444</v>
      </c>
      <c r="F3040" s="120">
        <v>126</v>
      </c>
      <c r="G3040" s="120" t="s">
        <v>759</v>
      </c>
      <c r="H3040" s="169">
        <v>37800000</v>
      </c>
    </row>
    <row r="3041" spans="1:8" x14ac:dyDescent="0.25">
      <c r="A3041" s="115">
        <v>3040</v>
      </c>
      <c r="B3041" s="167">
        <v>46107</v>
      </c>
      <c r="C3041" s="117">
        <v>2026</v>
      </c>
      <c r="D3041" s="118" t="s">
        <v>766</v>
      </c>
      <c r="E3041" s="119" t="s">
        <v>1444</v>
      </c>
      <c r="F3041" s="120">
        <v>12</v>
      </c>
      <c r="G3041" s="120" t="s">
        <v>759</v>
      </c>
      <c r="H3041" s="169">
        <v>3600000</v>
      </c>
    </row>
    <row r="3042" spans="1:8" x14ac:dyDescent="0.25">
      <c r="A3042" s="115">
        <v>3041</v>
      </c>
      <c r="B3042" s="167">
        <v>46108</v>
      </c>
      <c r="C3042" s="117">
        <v>2026</v>
      </c>
      <c r="D3042" s="119" t="s">
        <v>35</v>
      </c>
      <c r="E3042" s="119" t="s">
        <v>414</v>
      </c>
      <c r="F3042" s="120">
        <v>12</v>
      </c>
      <c r="G3042" s="120" t="s">
        <v>759</v>
      </c>
      <c r="H3042" s="169">
        <v>4080000</v>
      </c>
    </row>
    <row r="3043" spans="1:8" x14ac:dyDescent="0.25">
      <c r="A3043" s="115">
        <v>3042</v>
      </c>
      <c r="B3043" s="167">
        <v>46109</v>
      </c>
      <c r="C3043" s="117">
        <v>2026</v>
      </c>
      <c r="D3043" s="119" t="s">
        <v>35</v>
      </c>
      <c r="E3043" s="119" t="s">
        <v>739</v>
      </c>
      <c r="F3043" s="120">
        <v>75</v>
      </c>
      <c r="G3043" s="120" t="s">
        <v>759</v>
      </c>
      <c r="H3043" s="169">
        <v>660000</v>
      </c>
    </row>
    <row r="3044" spans="1:8" x14ac:dyDescent="0.25">
      <c r="A3044" s="115">
        <v>3043</v>
      </c>
      <c r="B3044" s="167">
        <v>46109</v>
      </c>
      <c r="C3044" s="117">
        <v>2026</v>
      </c>
      <c r="D3044" s="119" t="s">
        <v>35</v>
      </c>
      <c r="E3044" s="119" t="s">
        <v>929</v>
      </c>
      <c r="F3044" s="120">
        <v>1</v>
      </c>
      <c r="G3044" s="120" t="s">
        <v>759</v>
      </c>
      <c r="H3044" s="169">
        <v>135000</v>
      </c>
    </row>
    <row r="3045" spans="1:8" x14ac:dyDescent="0.25">
      <c r="A3045" s="115">
        <v>3044</v>
      </c>
      <c r="B3045" s="167">
        <v>46109</v>
      </c>
      <c r="C3045" s="117">
        <v>2026</v>
      </c>
      <c r="D3045" s="119" t="s">
        <v>851</v>
      </c>
      <c r="E3045" s="119" t="s">
        <v>493</v>
      </c>
      <c r="F3045" s="120">
        <v>15</v>
      </c>
      <c r="G3045" s="120" t="s">
        <v>759</v>
      </c>
      <c r="H3045" s="169">
        <v>135000</v>
      </c>
    </row>
    <row r="3046" spans="1:8" x14ac:dyDescent="0.25">
      <c r="A3046" s="115">
        <v>3045</v>
      </c>
      <c r="B3046" s="167">
        <v>46112</v>
      </c>
      <c r="C3046" s="117">
        <v>2026</v>
      </c>
      <c r="D3046" s="119" t="s">
        <v>35</v>
      </c>
      <c r="E3046" s="119" t="s">
        <v>1133</v>
      </c>
      <c r="F3046" s="120">
        <v>1</v>
      </c>
      <c r="G3046" s="120" t="s">
        <v>759</v>
      </c>
      <c r="H3046" s="169">
        <v>15799</v>
      </c>
    </row>
    <row r="3047" spans="1:8" x14ac:dyDescent="0.25">
      <c r="A3047" s="115">
        <v>3046</v>
      </c>
      <c r="B3047" s="167">
        <v>46112</v>
      </c>
      <c r="C3047" s="117">
        <v>2026</v>
      </c>
      <c r="D3047" s="119" t="s">
        <v>35</v>
      </c>
      <c r="E3047" s="119" t="s">
        <v>761</v>
      </c>
      <c r="F3047" s="120">
        <v>4</v>
      </c>
      <c r="G3047" s="120" t="s">
        <v>759</v>
      </c>
      <c r="H3047" s="169">
        <v>9200000</v>
      </c>
    </row>
    <row r="3048" spans="1:8" x14ac:dyDescent="0.25">
      <c r="A3048" s="115">
        <v>3047</v>
      </c>
      <c r="B3048" s="167">
        <v>46112</v>
      </c>
      <c r="C3048" s="117">
        <v>2026</v>
      </c>
      <c r="D3048" s="119" t="s">
        <v>35</v>
      </c>
      <c r="E3048" s="119" t="s">
        <v>1529</v>
      </c>
      <c r="F3048" s="120">
        <v>1</v>
      </c>
      <c r="G3048" s="120" t="s">
        <v>759</v>
      </c>
      <c r="H3048" s="169">
        <v>59800</v>
      </c>
    </row>
    <row r="3049" spans="1:8" x14ac:dyDescent="0.25">
      <c r="A3049" s="115">
        <v>3048</v>
      </c>
      <c r="B3049" s="167">
        <v>46116</v>
      </c>
      <c r="C3049" s="117">
        <v>2026</v>
      </c>
      <c r="D3049" s="119" t="s">
        <v>35</v>
      </c>
      <c r="E3049" s="119" t="s">
        <v>1367</v>
      </c>
      <c r="F3049" s="120">
        <v>1</v>
      </c>
      <c r="G3049" s="120" t="s">
        <v>759</v>
      </c>
      <c r="H3049" s="169">
        <v>26200</v>
      </c>
    </row>
    <row r="3050" spans="1:8" x14ac:dyDescent="0.25">
      <c r="A3050" s="115">
        <v>3049</v>
      </c>
      <c r="B3050" s="167">
        <v>46118</v>
      </c>
      <c r="C3050" s="117">
        <v>2026</v>
      </c>
      <c r="D3050" s="119" t="s">
        <v>259</v>
      </c>
      <c r="E3050" s="119" t="s">
        <v>1662</v>
      </c>
      <c r="F3050" s="120">
        <v>1</v>
      </c>
      <c r="G3050" s="120" t="s">
        <v>759</v>
      </c>
      <c r="H3050" s="169">
        <v>1023900</v>
      </c>
    </row>
    <row r="3051" spans="1:8" x14ac:dyDescent="0.25">
      <c r="A3051" s="115">
        <v>3050</v>
      </c>
      <c r="B3051" s="167">
        <v>46118</v>
      </c>
      <c r="C3051" s="117">
        <v>2026</v>
      </c>
      <c r="D3051" s="119" t="s">
        <v>35</v>
      </c>
      <c r="E3051" s="119" t="s">
        <v>679</v>
      </c>
      <c r="F3051" s="120">
        <v>2</v>
      </c>
      <c r="G3051" s="120" t="s">
        <v>759</v>
      </c>
      <c r="H3051" s="169">
        <v>63798</v>
      </c>
    </row>
    <row r="3052" spans="1:8" x14ac:dyDescent="0.25">
      <c r="A3052" s="115">
        <v>3051</v>
      </c>
      <c r="B3052" s="167">
        <v>46118</v>
      </c>
      <c r="C3052" s="117">
        <v>2026</v>
      </c>
      <c r="D3052" s="119" t="s">
        <v>259</v>
      </c>
      <c r="E3052" s="119" t="s">
        <v>1663</v>
      </c>
      <c r="F3052" s="120">
        <v>1</v>
      </c>
      <c r="G3052" s="120" t="s">
        <v>759</v>
      </c>
      <c r="H3052" s="169">
        <v>749000</v>
      </c>
    </row>
    <row r="3053" spans="1:8" x14ac:dyDescent="0.25">
      <c r="A3053" s="115">
        <v>3052</v>
      </c>
      <c r="B3053" s="167">
        <v>46118</v>
      </c>
      <c r="C3053" s="117">
        <v>2026</v>
      </c>
      <c r="D3053" s="119" t="s">
        <v>259</v>
      </c>
      <c r="E3053" s="119" t="s">
        <v>1664</v>
      </c>
      <c r="F3053" s="120">
        <v>1</v>
      </c>
      <c r="G3053" s="120" t="s">
        <v>759</v>
      </c>
      <c r="H3053" s="169">
        <v>1014500</v>
      </c>
    </row>
    <row r="3054" spans="1:8" x14ac:dyDescent="0.25">
      <c r="A3054" s="115">
        <v>3053</v>
      </c>
      <c r="B3054" s="167">
        <v>46119</v>
      </c>
      <c r="C3054" s="117">
        <v>2026</v>
      </c>
      <c r="D3054" s="119" t="s">
        <v>35</v>
      </c>
      <c r="E3054" s="119" t="s">
        <v>806</v>
      </c>
      <c r="F3054" s="120">
        <v>1</v>
      </c>
      <c r="G3054" s="120" t="s">
        <v>759</v>
      </c>
      <c r="H3054" s="169">
        <v>300000</v>
      </c>
    </row>
    <row r="3055" spans="1:8" x14ac:dyDescent="0.25">
      <c r="A3055" s="115">
        <v>3054</v>
      </c>
      <c r="B3055" s="167">
        <v>46119</v>
      </c>
      <c r="C3055" s="117">
        <v>2026</v>
      </c>
      <c r="D3055" s="119" t="s">
        <v>35</v>
      </c>
      <c r="E3055" s="119" t="s">
        <v>180</v>
      </c>
      <c r="F3055" s="120">
        <v>20</v>
      </c>
      <c r="G3055" s="120" t="s">
        <v>759</v>
      </c>
      <c r="H3055" s="169">
        <v>47900</v>
      </c>
    </row>
    <row r="3056" spans="1:8" x14ac:dyDescent="0.25">
      <c r="A3056" s="115">
        <v>3055</v>
      </c>
      <c r="B3056" s="167">
        <v>46119</v>
      </c>
      <c r="C3056" s="117">
        <v>2026</v>
      </c>
      <c r="D3056" s="119" t="s">
        <v>35</v>
      </c>
      <c r="E3056" s="119" t="s">
        <v>1595</v>
      </c>
      <c r="F3056" s="120">
        <v>1</v>
      </c>
      <c r="G3056" s="120" t="s">
        <v>759</v>
      </c>
      <c r="H3056" s="169">
        <v>55000</v>
      </c>
    </row>
    <row r="3057" spans="1:8" x14ac:dyDescent="0.25">
      <c r="A3057" s="115">
        <v>3056</v>
      </c>
      <c r="B3057" s="167">
        <v>46119</v>
      </c>
      <c r="C3057" s="117">
        <v>2026</v>
      </c>
      <c r="D3057" s="119" t="s">
        <v>35</v>
      </c>
      <c r="E3057" s="119" t="s">
        <v>785</v>
      </c>
      <c r="F3057" s="120">
        <v>5</v>
      </c>
      <c r="G3057" s="120" t="s">
        <v>759</v>
      </c>
      <c r="H3057" s="169">
        <v>450000</v>
      </c>
    </row>
    <row r="3058" spans="1:8" x14ac:dyDescent="0.25">
      <c r="A3058" s="115">
        <v>3057</v>
      </c>
      <c r="B3058" s="167">
        <v>46119</v>
      </c>
      <c r="C3058" s="117">
        <v>2026</v>
      </c>
      <c r="D3058" s="119" t="s">
        <v>35</v>
      </c>
      <c r="E3058" s="119" t="s">
        <v>365</v>
      </c>
      <c r="F3058" s="120">
        <v>4</v>
      </c>
      <c r="G3058" s="120" t="s">
        <v>759</v>
      </c>
      <c r="H3058" s="169">
        <v>10000</v>
      </c>
    </row>
    <row r="3059" spans="1:8" x14ac:dyDescent="0.25">
      <c r="A3059" s="115">
        <v>3058</v>
      </c>
      <c r="B3059" s="167">
        <v>46119</v>
      </c>
      <c r="C3059" s="117">
        <v>2026</v>
      </c>
      <c r="D3059" s="119" t="s">
        <v>35</v>
      </c>
      <c r="E3059" s="119" t="s">
        <v>679</v>
      </c>
      <c r="F3059" s="120">
        <v>6</v>
      </c>
      <c r="G3059" s="120" t="s">
        <v>759</v>
      </c>
      <c r="H3059" s="169">
        <v>181896</v>
      </c>
    </row>
    <row r="3060" spans="1:8" x14ac:dyDescent="0.25">
      <c r="A3060" s="115">
        <v>3059</v>
      </c>
      <c r="B3060" s="167">
        <v>46119</v>
      </c>
      <c r="C3060" s="117">
        <v>2026</v>
      </c>
      <c r="D3060" s="119" t="s">
        <v>1118</v>
      </c>
      <c r="E3060" s="119" t="s">
        <v>1665</v>
      </c>
      <c r="F3060" s="120">
        <v>1</v>
      </c>
      <c r="G3060" s="120" t="s">
        <v>759</v>
      </c>
      <c r="H3060" s="169">
        <v>160000</v>
      </c>
    </row>
    <row r="3061" spans="1:8" x14ac:dyDescent="0.25">
      <c r="A3061" s="115">
        <v>3060</v>
      </c>
      <c r="B3061" s="167">
        <v>46119</v>
      </c>
      <c r="C3061" s="117">
        <v>2026</v>
      </c>
      <c r="D3061" s="119" t="s">
        <v>35</v>
      </c>
      <c r="E3061" s="119" t="s">
        <v>1631</v>
      </c>
      <c r="F3061" s="120">
        <v>2</v>
      </c>
      <c r="G3061" s="120" t="s">
        <v>759</v>
      </c>
      <c r="H3061" s="169">
        <v>151900</v>
      </c>
    </row>
    <row r="3062" spans="1:8" x14ac:dyDescent="0.25">
      <c r="A3062" s="115">
        <v>3061</v>
      </c>
      <c r="B3062" s="167">
        <v>46120</v>
      </c>
      <c r="C3062" s="117">
        <v>2026</v>
      </c>
      <c r="D3062" s="119" t="s">
        <v>35</v>
      </c>
      <c r="E3062" s="119" t="s">
        <v>1666</v>
      </c>
      <c r="F3062" s="120">
        <v>4</v>
      </c>
      <c r="G3062" s="120" t="s">
        <v>759</v>
      </c>
      <c r="H3062" s="169">
        <v>1000000</v>
      </c>
    </row>
    <row r="3063" spans="1:8" x14ac:dyDescent="0.25">
      <c r="A3063" s="115">
        <v>3062</v>
      </c>
      <c r="B3063" s="167">
        <v>46120</v>
      </c>
      <c r="C3063" s="117">
        <v>2026</v>
      </c>
      <c r="D3063" s="119" t="s">
        <v>35</v>
      </c>
      <c r="E3063" s="119" t="s">
        <v>612</v>
      </c>
      <c r="F3063" s="120">
        <v>5</v>
      </c>
      <c r="G3063" s="120" t="s">
        <v>759</v>
      </c>
      <c r="H3063" s="169">
        <v>30000</v>
      </c>
    </row>
    <row r="3064" spans="1:8" x14ac:dyDescent="0.25">
      <c r="A3064" s="115">
        <v>3063</v>
      </c>
      <c r="B3064" s="167">
        <v>46120</v>
      </c>
      <c r="C3064" s="117">
        <v>2026</v>
      </c>
      <c r="D3064" s="119" t="s">
        <v>35</v>
      </c>
      <c r="E3064" s="119" t="s">
        <v>1532</v>
      </c>
      <c r="F3064" s="120">
        <v>2</v>
      </c>
      <c r="G3064" s="120" t="s">
        <v>759</v>
      </c>
      <c r="H3064" s="169">
        <v>13800</v>
      </c>
    </row>
    <row r="3065" spans="1:8" x14ac:dyDescent="0.25">
      <c r="A3065" s="115">
        <v>3064</v>
      </c>
      <c r="B3065" s="167">
        <v>46120</v>
      </c>
      <c r="C3065" s="117">
        <v>2026</v>
      </c>
      <c r="D3065" s="119" t="s">
        <v>35</v>
      </c>
      <c r="E3065" s="119" t="s">
        <v>220</v>
      </c>
      <c r="F3065" s="120">
        <v>5</v>
      </c>
      <c r="G3065" s="120" t="s">
        <v>759</v>
      </c>
      <c r="H3065" s="169">
        <v>75350</v>
      </c>
    </row>
    <row r="3066" spans="1:8" x14ac:dyDescent="0.25">
      <c r="A3066" s="115">
        <v>3065</v>
      </c>
      <c r="B3066" s="167">
        <v>46120</v>
      </c>
      <c r="C3066" s="117">
        <v>2026</v>
      </c>
      <c r="D3066" s="119" t="s">
        <v>35</v>
      </c>
      <c r="E3066" s="119" t="s">
        <v>1667</v>
      </c>
      <c r="F3066" s="120">
        <v>1</v>
      </c>
      <c r="G3066" s="120" t="s">
        <v>759</v>
      </c>
      <c r="H3066" s="169">
        <v>25000</v>
      </c>
    </row>
    <row r="3067" spans="1:8" x14ac:dyDescent="0.25">
      <c r="A3067" s="115">
        <v>3066</v>
      </c>
      <c r="B3067" s="167">
        <v>46120</v>
      </c>
      <c r="C3067" s="117">
        <v>2026</v>
      </c>
      <c r="D3067" s="119" t="s">
        <v>35</v>
      </c>
      <c r="E3067" s="119" t="s">
        <v>1668</v>
      </c>
      <c r="F3067" s="120">
        <v>1</v>
      </c>
      <c r="G3067" s="120" t="s">
        <v>759</v>
      </c>
      <c r="H3067" s="169">
        <v>400000</v>
      </c>
    </row>
    <row r="3068" spans="1:8" x14ac:dyDescent="0.25">
      <c r="A3068" s="115">
        <v>3067</v>
      </c>
      <c r="B3068" s="167">
        <v>46120</v>
      </c>
      <c r="C3068" s="117">
        <v>2026</v>
      </c>
      <c r="D3068" s="119" t="s">
        <v>35</v>
      </c>
      <c r="E3068" s="119" t="s">
        <v>1669</v>
      </c>
      <c r="F3068" s="120">
        <v>1</v>
      </c>
      <c r="G3068" s="120" t="s">
        <v>759</v>
      </c>
      <c r="H3068" s="169">
        <v>380000</v>
      </c>
    </row>
    <row r="3069" spans="1:8" x14ac:dyDescent="0.25">
      <c r="A3069" s="115">
        <v>3068</v>
      </c>
      <c r="B3069" s="167">
        <v>46120</v>
      </c>
      <c r="C3069" s="117">
        <v>2026</v>
      </c>
      <c r="D3069" s="119" t="s">
        <v>35</v>
      </c>
      <c r="E3069" s="119" t="s">
        <v>1670</v>
      </c>
      <c r="F3069" s="120">
        <v>1</v>
      </c>
      <c r="G3069" s="120" t="s">
        <v>759</v>
      </c>
      <c r="H3069" s="169">
        <v>765000</v>
      </c>
    </row>
    <row r="3070" spans="1:8" x14ac:dyDescent="0.25">
      <c r="A3070" s="115">
        <v>3069</v>
      </c>
      <c r="B3070" s="167">
        <v>46120</v>
      </c>
      <c r="C3070" s="117">
        <v>2026</v>
      </c>
      <c r="D3070" s="119" t="s">
        <v>35</v>
      </c>
      <c r="E3070" s="119" t="s">
        <v>1534</v>
      </c>
      <c r="F3070" s="120">
        <v>2</v>
      </c>
      <c r="G3070" s="120" t="s">
        <v>759</v>
      </c>
      <c r="H3070" s="169">
        <v>5000</v>
      </c>
    </row>
    <row r="3071" spans="1:8" x14ac:dyDescent="0.25">
      <c r="A3071" s="115">
        <v>3070</v>
      </c>
      <c r="B3071" s="167">
        <v>46120</v>
      </c>
      <c r="C3071" s="117">
        <v>2026</v>
      </c>
      <c r="D3071" s="119" t="s">
        <v>35</v>
      </c>
      <c r="E3071" s="119" t="s">
        <v>1671</v>
      </c>
      <c r="F3071" s="120">
        <v>4</v>
      </c>
      <c r="G3071" s="120" t="s">
        <v>759</v>
      </c>
      <c r="H3071" s="169">
        <v>4200000</v>
      </c>
    </row>
    <row r="3072" spans="1:8" x14ac:dyDescent="0.25">
      <c r="A3072" s="115">
        <v>3071</v>
      </c>
      <c r="B3072" s="167">
        <v>46120</v>
      </c>
      <c r="C3072" s="117">
        <v>2026</v>
      </c>
      <c r="D3072" s="119" t="s">
        <v>35</v>
      </c>
      <c r="E3072" s="119" t="s">
        <v>1399</v>
      </c>
      <c r="F3072" s="120">
        <v>1</v>
      </c>
      <c r="G3072" s="120" t="s">
        <v>759</v>
      </c>
      <c r="H3072" s="169">
        <v>22900</v>
      </c>
    </row>
    <row r="3073" spans="1:8" x14ac:dyDescent="0.25">
      <c r="A3073" s="115">
        <v>3072</v>
      </c>
      <c r="B3073" s="167">
        <v>46120</v>
      </c>
      <c r="C3073" s="117">
        <v>2026</v>
      </c>
      <c r="D3073" s="119" t="s">
        <v>35</v>
      </c>
      <c r="E3073" s="119" t="s">
        <v>1672</v>
      </c>
      <c r="F3073" s="120">
        <v>4</v>
      </c>
      <c r="G3073" s="120" t="s">
        <v>759</v>
      </c>
      <c r="H3073" s="169">
        <v>1100000</v>
      </c>
    </row>
    <row r="3074" spans="1:8" x14ac:dyDescent="0.25">
      <c r="A3074" s="115">
        <v>3073</v>
      </c>
      <c r="B3074" s="167">
        <v>46121</v>
      </c>
      <c r="C3074" s="117">
        <v>2026</v>
      </c>
      <c r="D3074" s="119" t="s">
        <v>35</v>
      </c>
      <c r="E3074" s="119" t="s">
        <v>356</v>
      </c>
      <c r="F3074" s="120">
        <v>2</v>
      </c>
      <c r="G3074" s="120" t="s">
        <v>759</v>
      </c>
      <c r="H3074" s="169">
        <v>80000</v>
      </c>
    </row>
    <row r="3075" spans="1:8" x14ac:dyDescent="0.25">
      <c r="A3075" s="115">
        <v>3074</v>
      </c>
      <c r="B3075" s="167">
        <v>46121</v>
      </c>
      <c r="C3075" s="117">
        <v>2026</v>
      </c>
      <c r="D3075" s="119" t="s">
        <v>35</v>
      </c>
      <c r="E3075" s="119" t="s">
        <v>1355</v>
      </c>
      <c r="F3075" s="120">
        <v>2</v>
      </c>
      <c r="G3075" s="120" t="s">
        <v>759</v>
      </c>
      <c r="H3075" s="169">
        <v>20000</v>
      </c>
    </row>
    <row r="3076" spans="1:8" x14ac:dyDescent="0.25">
      <c r="A3076" s="115">
        <v>3075</v>
      </c>
      <c r="B3076" s="167">
        <v>46122</v>
      </c>
      <c r="C3076" s="117">
        <v>2026</v>
      </c>
      <c r="D3076" s="119" t="s">
        <v>35</v>
      </c>
      <c r="E3076" s="119" t="s">
        <v>211</v>
      </c>
      <c r="F3076" s="120">
        <v>2</v>
      </c>
      <c r="G3076" s="120" t="s">
        <v>759</v>
      </c>
      <c r="H3076" s="169">
        <v>92000</v>
      </c>
    </row>
    <row r="3077" spans="1:8" x14ac:dyDescent="0.25">
      <c r="A3077" s="115">
        <v>3076</v>
      </c>
      <c r="B3077" s="167">
        <v>46122</v>
      </c>
      <c r="C3077" s="117">
        <v>2026</v>
      </c>
      <c r="D3077" s="119" t="s">
        <v>35</v>
      </c>
      <c r="E3077" s="119" t="s">
        <v>43</v>
      </c>
      <c r="F3077" s="120">
        <v>1</v>
      </c>
      <c r="G3077" s="120" t="s">
        <v>759</v>
      </c>
      <c r="H3077" s="169">
        <v>30000</v>
      </c>
    </row>
    <row r="3078" spans="1:8" x14ac:dyDescent="0.25">
      <c r="A3078" s="115">
        <v>3077</v>
      </c>
      <c r="B3078" s="167">
        <v>46122</v>
      </c>
      <c r="C3078" s="117">
        <v>2026</v>
      </c>
      <c r="D3078" s="119" t="s">
        <v>35</v>
      </c>
      <c r="E3078" s="119" t="s">
        <v>1583</v>
      </c>
      <c r="F3078" s="120">
        <v>2</v>
      </c>
      <c r="G3078" s="120" t="s">
        <v>759</v>
      </c>
      <c r="H3078" s="169">
        <v>39000</v>
      </c>
    </row>
    <row r="3079" spans="1:8" x14ac:dyDescent="0.25">
      <c r="A3079" s="115">
        <v>3078</v>
      </c>
      <c r="B3079" s="167">
        <v>46123</v>
      </c>
      <c r="C3079" s="117">
        <v>2026</v>
      </c>
      <c r="D3079" s="119" t="s">
        <v>833</v>
      </c>
      <c r="E3079" s="119" t="s">
        <v>192</v>
      </c>
      <c r="F3079" s="120">
        <v>12</v>
      </c>
      <c r="G3079" s="120" t="s">
        <v>759</v>
      </c>
      <c r="H3079" s="169">
        <v>57300</v>
      </c>
    </row>
    <row r="3080" spans="1:8" x14ac:dyDescent="0.25">
      <c r="A3080" s="115">
        <v>3079</v>
      </c>
      <c r="B3080" s="167">
        <v>46123</v>
      </c>
      <c r="C3080" s="117">
        <v>2026</v>
      </c>
      <c r="D3080" s="119" t="s">
        <v>833</v>
      </c>
      <c r="E3080" s="119" t="s">
        <v>473</v>
      </c>
      <c r="F3080" s="120">
        <v>12</v>
      </c>
      <c r="G3080" s="120" t="s">
        <v>759</v>
      </c>
      <c r="H3080" s="169">
        <v>241776</v>
      </c>
    </row>
    <row r="3081" spans="1:8" x14ac:dyDescent="0.25">
      <c r="A3081" s="115">
        <v>3080</v>
      </c>
      <c r="B3081" s="167">
        <v>46123</v>
      </c>
      <c r="C3081" s="117">
        <v>2026</v>
      </c>
      <c r="D3081" s="119" t="s">
        <v>833</v>
      </c>
      <c r="E3081" s="119" t="s">
        <v>103</v>
      </c>
      <c r="F3081" s="120">
        <v>24</v>
      </c>
      <c r="G3081" s="120" t="s">
        <v>759</v>
      </c>
      <c r="H3081" s="169">
        <v>21912</v>
      </c>
    </row>
    <row r="3082" spans="1:8" x14ac:dyDescent="0.25">
      <c r="A3082" s="115">
        <v>3081</v>
      </c>
      <c r="B3082" s="167">
        <v>46123</v>
      </c>
      <c r="C3082" s="117">
        <v>2026</v>
      </c>
      <c r="D3082" s="119" t="s">
        <v>833</v>
      </c>
      <c r="E3082" s="119" t="s">
        <v>290</v>
      </c>
      <c r="F3082" s="120">
        <v>10</v>
      </c>
      <c r="G3082" s="120" t="s">
        <v>759</v>
      </c>
      <c r="H3082" s="169">
        <v>251900</v>
      </c>
    </row>
    <row r="3083" spans="1:8" x14ac:dyDescent="0.25">
      <c r="A3083" s="115">
        <v>3082</v>
      </c>
      <c r="B3083" s="167">
        <v>46123</v>
      </c>
      <c r="C3083" s="117">
        <v>2026</v>
      </c>
      <c r="D3083" s="119" t="s">
        <v>833</v>
      </c>
      <c r="E3083" s="119" t="s">
        <v>481</v>
      </c>
      <c r="F3083" s="120">
        <v>10</v>
      </c>
      <c r="G3083" s="120" t="s">
        <v>759</v>
      </c>
      <c r="H3083" s="169">
        <v>141600</v>
      </c>
    </row>
    <row r="3084" spans="1:8" x14ac:dyDescent="0.25">
      <c r="A3084" s="115">
        <v>3083</v>
      </c>
      <c r="B3084" s="167">
        <v>46123</v>
      </c>
      <c r="C3084" s="117">
        <v>2026</v>
      </c>
      <c r="D3084" s="119" t="s">
        <v>833</v>
      </c>
      <c r="E3084" s="119" t="s">
        <v>481</v>
      </c>
      <c r="F3084" s="120">
        <v>5</v>
      </c>
      <c r="G3084" s="120" t="s">
        <v>759</v>
      </c>
      <c r="H3084" s="169">
        <v>86880</v>
      </c>
    </row>
    <row r="3085" spans="1:8" x14ac:dyDescent="0.25">
      <c r="A3085" s="115">
        <v>3084</v>
      </c>
      <c r="B3085" s="167">
        <v>46123</v>
      </c>
      <c r="C3085" s="117">
        <v>2026</v>
      </c>
      <c r="D3085" s="119" t="s">
        <v>833</v>
      </c>
      <c r="E3085" s="119" t="s">
        <v>486</v>
      </c>
      <c r="F3085" s="120">
        <v>10</v>
      </c>
      <c r="G3085" s="120" t="s">
        <v>759</v>
      </c>
      <c r="H3085" s="169">
        <v>153400</v>
      </c>
    </row>
    <row r="3086" spans="1:8" x14ac:dyDescent="0.25">
      <c r="A3086" s="115">
        <v>3085</v>
      </c>
      <c r="B3086" s="167">
        <v>46123</v>
      </c>
      <c r="C3086" s="117">
        <v>2026</v>
      </c>
      <c r="D3086" s="119" t="s">
        <v>833</v>
      </c>
      <c r="E3086" s="119" t="s">
        <v>491</v>
      </c>
      <c r="F3086" s="120">
        <v>5</v>
      </c>
      <c r="G3086" s="120" t="s">
        <v>759</v>
      </c>
      <c r="H3086" s="169">
        <v>42400</v>
      </c>
    </row>
    <row r="3087" spans="1:8" x14ac:dyDescent="0.25">
      <c r="A3087" s="115">
        <v>3086</v>
      </c>
      <c r="B3087" s="167">
        <v>46123</v>
      </c>
      <c r="C3087" s="117">
        <v>2026</v>
      </c>
      <c r="D3087" s="119" t="s">
        <v>35</v>
      </c>
      <c r="E3087" s="119" t="s">
        <v>1433</v>
      </c>
      <c r="F3087" s="120">
        <v>1</v>
      </c>
      <c r="G3087" s="120" t="s">
        <v>759</v>
      </c>
      <c r="H3087" s="169">
        <v>9000</v>
      </c>
    </row>
    <row r="3088" spans="1:8" x14ac:dyDescent="0.25">
      <c r="A3088" s="115">
        <v>3087</v>
      </c>
      <c r="B3088" s="167">
        <v>46125</v>
      </c>
      <c r="C3088" s="117">
        <v>2026</v>
      </c>
      <c r="D3088" s="119" t="s">
        <v>35</v>
      </c>
      <c r="E3088" s="119" t="s">
        <v>130</v>
      </c>
      <c r="F3088" s="120">
        <v>1</v>
      </c>
      <c r="G3088" s="120" t="s">
        <v>759</v>
      </c>
      <c r="H3088" s="169">
        <v>220000</v>
      </c>
    </row>
    <row r="3089" spans="1:8" x14ac:dyDescent="0.25">
      <c r="A3089" s="115">
        <v>3088</v>
      </c>
      <c r="B3089" s="167">
        <v>46126</v>
      </c>
      <c r="C3089" s="117">
        <v>2026</v>
      </c>
      <c r="D3089" s="119" t="s">
        <v>35</v>
      </c>
      <c r="E3089" s="119" t="s">
        <v>211</v>
      </c>
      <c r="F3089" s="120">
        <v>10</v>
      </c>
      <c r="G3089" s="120" t="s">
        <v>759</v>
      </c>
      <c r="H3089" s="169">
        <v>182000</v>
      </c>
    </row>
    <row r="3090" spans="1:8" x14ac:dyDescent="0.25">
      <c r="A3090" s="115">
        <v>3089</v>
      </c>
      <c r="B3090" s="167">
        <v>46126</v>
      </c>
      <c r="C3090" s="117">
        <v>2026</v>
      </c>
      <c r="D3090" s="119" t="s">
        <v>35</v>
      </c>
      <c r="E3090" s="119" t="s">
        <v>478</v>
      </c>
      <c r="F3090" s="120">
        <v>100</v>
      </c>
      <c r="G3090" s="120" t="s">
        <v>759</v>
      </c>
      <c r="H3090" s="169">
        <v>97900</v>
      </c>
    </row>
    <row r="3091" spans="1:8" x14ac:dyDescent="0.25">
      <c r="A3091" s="115">
        <v>3090</v>
      </c>
      <c r="B3091" s="167">
        <v>46126</v>
      </c>
      <c r="C3091" s="117">
        <v>2026</v>
      </c>
      <c r="D3091" s="119" t="s">
        <v>35</v>
      </c>
      <c r="E3091" s="119" t="s">
        <v>571</v>
      </c>
      <c r="F3091" s="120">
        <v>2</v>
      </c>
      <c r="G3091" s="120" t="s">
        <v>759</v>
      </c>
      <c r="H3091" s="169">
        <v>34000</v>
      </c>
    </row>
    <row r="3092" spans="1:8" x14ac:dyDescent="0.25">
      <c r="A3092" s="115">
        <v>3091</v>
      </c>
      <c r="B3092" s="167">
        <v>46126</v>
      </c>
      <c r="C3092" s="117">
        <v>2026</v>
      </c>
      <c r="D3092" s="119" t="s">
        <v>35</v>
      </c>
      <c r="E3092" s="119" t="s">
        <v>573</v>
      </c>
      <c r="F3092" s="120">
        <v>2</v>
      </c>
      <c r="G3092" s="120" t="s">
        <v>759</v>
      </c>
      <c r="H3092" s="169">
        <v>33900</v>
      </c>
    </row>
    <row r="3093" spans="1:8" x14ac:dyDescent="0.25">
      <c r="A3093" s="115">
        <v>3092</v>
      </c>
      <c r="B3093" s="167">
        <v>46127</v>
      </c>
      <c r="C3093" s="117">
        <v>2026</v>
      </c>
      <c r="D3093" s="119" t="s">
        <v>35</v>
      </c>
      <c r="E3093" s="119" t="s">
        <v>761</v>
      </c>
      <c r="F3093" s="120">
        <v>4</v>
      </c>
      <c r="G3093" s="120" t="s">
        <v>759</v>
      </c>
      <c r="H3093" s="169">
        <v>9200000</v>
      </c>
    </row>
    <row r="3094" spans="1:8" x14ac:dyDescent="0.25">
      <c r="A3094" s="115">
        <v>3093</v>
      </c>
      <c r="B3094" s="167">
        <v>46127</v>
      </c>
      <c r="C3094" s="117">
        <v>2026</v>
      </c>
      <c r="D3094" s="119" t="s">
        <v>35</v>
      </c>
      <c r="E3094" s="119" t="s">
        <v>1602</v>
      </c>
      <c r="F3094" s="120">
        <v>1</v>
      </c>
      <c r="G3094" s="120" t="s">
        <v>759</v>
      </c>
      <c r="H3094" s="169">
        <v>17398</v>
      </c>
    </row>
    <row r="3095" spans="1:8" x14ac:dyDescent="0.25">
      <c r="A3095" s="115">
        <v>3094</v>
      </c>
      <c r="B3095" s="167">
        <v>46127</v>
      </c>
      <c r="C3095" s="117">
        <v>2026</v>
      </c>
      <c r="D3095" s="119" t="s">
        <v>35</v>
      </c>
      <c r="E3095" s="119" t="s">
        <v>1249</v>
      </c>
      <c r="F3095" s="120">
        <v>1</v>
      </c>
      <c r="G3095" s="120" t="s">
        <v>759</v>
      </c>
      <c r="H3095" s="169">
        <v>57900</v>
      </c>
    </row>
    <row r="3096" spans="1:8" x14ac:dyDescent="0.25">
      <c r="A3096" s="115">
        <v>3095</v>
      </c>
      <c r="B3096" s="167">
        <v>46127</v>
      </c>
      <c r="C3096" s="117">
        <v>2026</v>
      </c>
      <c r="D3096" s="119" t="s">
        <v>35</v>
      </c>
      <c r="E3096" s="119" t="s">
        <v>1673</v>
      </c>
      <c r="F3096" s="120">
        <v>1</v>
      </c>
      <c r="G3096" s="120" t="s">
        <v>759</v>
      </c>
      <c r="H3096" s="169">
        <v>119399</v>
      </c>
    </row>
    <row r="3097" spans="1:8" x14ac:dyDescent="0.25">
      <c r="A3097" s="115">
        <v>3096</v>
      </c>
      <c r="B3097" s="167">
        <v>46128</v>
      </c>
      <c r="C3097" s="117">
        <v>2026</v>
      </c>
      <c r="D3097" s="119" t="s">
        <v>35</v>
      </c>
      <c r="E3097" s="119" t="s">
        <v>407</v>
      </c>
      <c r="F3097" s="120">
        <v>5</v>
      </c>
      <c r="G3097" s="120" t="s">
        <v>759</v>
      </c>
      <c r="H3097" s="169">
        <v>525000</v>
      </c>
    </row>
    <row r="3098" spans="1:8" x14ac:dyDescent="0.25">
      <c r="A3098" s="115">
        <v>3097</v>
      </c>
      <c r="B3098" s="167">
        <v>46128</v>
      </c>
      <c r="C3098" s="117">
        <v>2026</v>
      </c>
      <c r="D3098" s="119" t="s">
        <v>35</v>
      </c>
      <c r="E3098" s="119" t="s">
        <v>403</v>
      </c>
      <c r="F3098" s="120">
        <v>5</v>
      </c>
      <c r="G3098" s="120" t="s">
        <v>759</v>
      </c>
      <c r="H3098" s="169">
        <v>575000</v>
      </c>
    </row>
    <row r="3099" spans="1:8" x14ac:dyDescent="0.25">
      <c r="A3099" s="115">
        <v>3098</v>
      </c>
      <c r="B3099" s="167">
        <v>46128</v>
      </c>
      <c r="C3099" s="117">
        <v>2026</v>
      </c>
      <c r="D3099" s="119" t="s">
        <v>35</v>
      </c>
      <c r="E3099" s="119" t="s">
        <v>405</v>
      </c>
      <c r="F3099" s="120">
        <v>5</v>
      </c>
      <c r="G3099" s="120" t="s">
        <v>759</v>
      </c>
      <c r="H3099" s="169">
        <v>587500</v>
      </c>
    </row>
    <row r="3100" spans="1:8" x14ac:dyDescent="0.25">
      <c r="A3100" s="115">
        <v>3099</v>
      </c>
      <c r="B3100" s="167">
        <v>46128</v>
      </c>
      <c r="C3100" s="117">
        <v>2026</v>
      </c>
      <c r="D3100" s="119" t="s">
        <v>35</v>
      </c>
      <c r="E3100" s="119" t="s">
        <v>69</v>
      </c>
      <c r="F3100" s="120">
        <v>2</v>
      </c>
      <c r="G3100" s="120" t="s">
        <v>759</v>
      </c>
      <c r="H3100" s="169">
        <v>220000</v>
      </c>
    </row>
    <row r="3101" spans="1:8" x14ac:dyDescent="0.25">
      <c r="A3101" s="115">
        <v>3100</v>
      </c>
      <c r="B3101" s="167">
        <v>46128</v>
      </c>
      <c r="C3101" s="117">
        <v>2026</v>
      </c>
      <c r="D3101" s="119" t="s">
        <v>35</v>
      </c>
      <c r="E3101" s="119" t="s">
        <v>1674</v>
      </c>
      <c r="F3101" s="120">
        <v>1</v>
      </c>
      <c r="G3101" s="120" t="s">
        <v>759</v>
      </c>
      <c r="H3101" s="169">
        <v>18564</v>
      </c>
    </row>
    <row r="3102" spans="1:8" x14ac:dyDescent="0.25">
      <c r="A3102" s="115">
        <v>3101</v>
      </c>
      <c r="B3102" s="167">
        <v>46128</v>
      </c>
      <c r="C3102" s="117">
        <v>2026</v>
      </c>
      <c r="D3102" s="119" t="s">
        <v>35</v>
      </c>
      <c r="E3102" s="119" t="s">
        <v>955</v>
      </c>
      <c r="F3102" s="120">
        <v>6</v>
      </c>
      <c r="G3102" s="120" t="s">
        <v>759</v>
      </c>
      <c r="H3102" s="169">
        <v>1294998</v>
      </c>
    </row>
    <row r="3103" spans="1:8" x14ac:dyDescent="0.25">
      <c r="A3103" s="115">
        <v>3102</v>
      </c>
      <c r="B3103" s="167">
        <v>46128</v>
      </c>
      <c r="C3103" s="117">
        <v>2026</v>
      </c>
      <c r="D3103" s="119" t="s">
        <v>35</v>
      </c>
      <c r="E3103" s="119" t="s">
        <v>842</v>
      </c>
      <c r="F3103" s="120">
        <v>6</v>
      </c>
      <c r="G3103" s="120" t="s">
        <v>759</v>
      </c>
      <c r="H3103" s="169">
        <v>1230000</v>
      </c>
    </row>
    <row r="3104" spans="1:8" x14ac:dyDescent="0.25">
      <c r="A3104" s="115">
        <v>3103</v>
      </c>
      <c r="B3104" s="167">
        <v>46129</v>
      </c>
      <c r="C3104" s="117">
        <v>2026</v>
      </c>
      <c r="D3104" s="119" t="s">
        <v>35</v>
      </c>
      <c r="E3104" s="119" t="s">
        <v>761</v>
      </c>
      <c r="F3104" s="120">
        <v>2</v>
      </c>
      <c r="G3104" s="120" t="s">
        <v>759</v>
      </c>
      <c r="H3104" s="169">
        <v>3150000</v>
      </c>
    </row>
    <row r="3105" spans="1:8" x14ac:dyDescent="0.25">
      <c r="A3105" s="115">
        <v>3104</v>
      </c>
      <c r="B3105" s="167">
        <v>46129</v>
      </c>
      <c r="C3105" s="117">
        <v>2026</v>
      </c>
      <c r="D3105" s="119" t="s">
        <v>35</v>
      </c>
      <c r="E3105" s="119" t="s">
        <v>761</v>
      </c>
      <c r="F3105" s="120">
        <v>4</v>
      </c>
      <c r="G3105" s="120" t="s">
        <v>759</v>
      </c>
      <c r="H3105" s="169">
        <v>9200000</v>
      </c>
    </row>
    <row r="3106" spans="1:8" x14ac:dyDescent="0.25">
      <c r="A3106" s="115">
        <v>3105</v>
      </c>
      <c r="B3106" s="167">
        <v>46129</v>
      </c>
      <c r="C3106" s="117">
        <v>2026</v>
      </c>
      <c r="D3106" s="119" t="s">
        <v>35</v>
      </c>
      <c r="E3106" s="119" t="s">
        <v>761</v>
      </c>
      <c r="F3106" s="120">
        <v>2</v>
      </c>
      <c r="G3106" s="120" t="s">
        <v>759</v>
      </c>
      <c r="H3106" s="169">
        <v>3150000</v>
      </c>
    </row>
    <row r="3107" spans="1:8" x14ac:dyDescent="0.25">
      <c r="A3107" s="115">
        <v>3106</v>
      </c>
      <c r="B3107" s="167">
        <v>46129</v>
      </c>
      <c r="C3107" s="117">
        <v>2026</v>
      </c>
      <c r="D3107" s="119" t="s">
        <v>35</v>
      </c>
      <c r="E3107" s="119" t="s">
        <v>1244</v>
      </c>
      <c r="F3107" s="120">
        <v>4</v>
      </c>
      <c r="G3107" s="120" t="s">
        <v>759</v>
      </c>
      <c r="H3107" s="169">
        <v>220000</v>
      </c>
    </row>
    <row r="3108" spans="1:8" x14ac:dyDescent="0.25">
      <c r="A3108" s="115">
        <v>3107</v>
      </c>
      <c r="B3108" s="167">
        <v>46129</v>
      </c>
      <c r="C3108" s="117">
        <v>2026</v>
      </c>
      <c r="D3108" s="119" t="s">
        <v>35</v>
      </c>
      <c r="E3108" s="119" t="s">
        <v>43</v>
      </c>
      <c r="F3108" s="120">
        <v>2</v>
      </c>
      <c r="G3108" s="120" t="s">
        <v>759</v>
      </c>
      <c r="H3108" s="169">
        <v>60000</v>
      </c>
    </row>
    <row r="3109" spans="1:8" x14ac:dyDescent="0.25">
      <c r="A3109" s="115">
        <v>3108</v>
      </c>
      <c r="B3109" s="167">
        <v>46130</v>
      </c>
      <c r="C3109" s="117">
        <v>2026</v>
      </c>
      <c r="D3109" s="119" t="s">
        <v>35</v>
      </c>
      <c r="E3109" s="119" t="s">
        <v>356</v>
      </c>
      <c r="F3109" s="120">
        <v>1</v>
      </c>
      <c r="G3109" s="120" t="s">
        <v>759</v>
      </c>
      <c r="H3109" s="169">
        <v>102000</v>
      </c>
    </row>
    <row r="3110" spans="1:8" x14ac:dyDescent="0.25">
      <c r="A3110" s="115">
        <v>3109</v>
      </c>
      <c r="B3110" s="167">
        <v>46130</v>
      </c>
      <c r="C3110" s="117">
        <v>2026</v>
      </c>
      <c r="D3110" s="119" t="s">
        <v>35</v>
      </c>
      <c r="E3110" s="119" t="s">
        <v>476</v>
      </c>
      <c r="F3110" s="120">
        <v>6</v>
      </c>
      <c r="G3110" s="120" t="s">
        <v>759</v>
      </c>
      <c r="H3110" s="169">
        <v>169302</v>
      </c>
    </row>
    <row r="3111" spans="1:8" x14ac:dyDescent="0.25">
      <c r="A3111" s="115">
        <v>3110</v>
      </c>
      <c r="B3111" s="167">
        <v>46130</v>
      </c>
      <c r="C3111" s="117">
        <v>2026</v>
      </c>
      <c r="D3111" s="119" t="s">
        <v>35</v>
      </c>
      <c r="E3111" s="119" t="s">
        <v>1188</v>
      </c>
      <c r="F3111" s="120">
        <v>2</v>
      </c>
      <c r="G3111" s="120" t="s">
        <v>759</v>
      </c>
      <c r="H3111" s="169">
        <v>307500</v>
      </c>
    </row>
    <row r="3112" spans="1:8" x14ac:dyDescent="0.25">
      <c r="A3112" s="115">
        <v>3111</v>
      </c>
      <c r="B3112" s="167">
        <v>46130</v>
      </c>
      <c r="C3112" s="117">
        <v>2026</v>
      </c>
      <c r="D3112" s="119" t="s">
        <v>851</v>
      </c>
      <c r="E3112" s="119" t="s">
        <v>299</v>
      </c>
      <c r="F3112" s="120">
        <v>12</v>
      </c>
      <c r="G3112" s="120" t="s">
        <v>759</v>
      </c>
      <c r="H3112" s="169">
        <v>204708</v>
      </c>
    </row>
    <row r="3113" spans="1:8" x14ac:dyDescent="0.25">
      <c r="A3113" s="115">
        <v>3112</v>
      </c>
      <c r="B3113" s="167">
        <v>46130</v>
      </c>
      <c r="C3113" s="117">
        <v>2026</v>
      </c>
      <c r="D3113" s="119" t="s">
        <v>851</v>
      </c>
      <c r="E3113" s="119" t="s">
        <v>1675</v>
      </c>
      <c r="F3113" s="120">
        <v>1</v>
      </c>
      <c r="G3113" s="120" t="s">
        <v>759</v>
      </c>
      <c r="H3113" s="169">
        <v>24500</v>
      </c>
    </row>
    <row r="3114" spans="1:8" x14ac:dyDescent="0.25">
      <c r="A3114" s="115">
        <v>3113</v>
      </c>
      <c r="B3114" s="167">
        <v>46130</v>
      </c>
      <c r="C3114" s="117">
        <v>2026</v>
      </c>
      <c r="D3114" s="119" t="s">
        <v>35</v>
      </c>
      <c r="E3114" s="119" t="s">
        <v>71</v>
      </c>
      <c r="F3114" s="120">
        <v>1</v>
      </c>
      <c r="G3114" s="120" t="s">
        <v>759</v>
      </c>
      <c r="H3114" s="169">
        <v>2500</v>
      </c>
    </row>
    <row r="3115" spans="1:8" x14ac:dyDescent="0.25">
      <c r="A3115" s="115">
        <v>3114</v>
      </c>
      <c r="B3115" s="167">
        <v>46130</v>
      </c>
      <c r="C3115" s="117">
        <v>2026</v>
      </c>
      <c r="D3115" s="119" t="s">
        <v>35</v>
      </c>
      <c r="E3115" s="119" t="s">
        <v>1486</v>
      </c>
      <c r="F3115" s="120">
        <v>2</v>
      </c>
      <c r="G3115" s="120" t="s">
        <v>759</v>
      </c>
      <c r="H3115" s="169">
        <v>70000</v>
      </c>
    </row>
    <row r="3116" spans="1:8" x14ac:dyDescent="0.25">
      <c r="A3116" s="115">
        <v>3115</v>
      </c>
      <c r="B3116" s="167">
        <v>46132</v>
      </c>
      <c r="C3116" s="117">
        <v>2026</v>
      </c>
      <c r="D3116" s="119" t="s">
        <v>35</v>
      </c>
      <c r="E3116" s="119" t="s">
        <v>761</v>
      </c>
      <c r="F3116" s="120">
        <v>2</v>
      </c>
      <c r="G3116" s="120" t="s">
        <v>759</v>
      </c>
      <c r="H3116" s="169">
        <v>3150000</v>
      </c>
    </row>
    <row r="3117" spans="1:8" x14ac:dyDescent="0.25">
      <c r="A3117" s="115">
        <v>3116</v>
      </c>
      <c r="B3117" s="167">
        <v>46132</v>
      </c>
      <c r="C3117" s="117">
        <v>2026</v>
      </c>
      <c r="D3117" s="119" t="s">
        <v>35</v>
      </c>
      <c r="E3117" s="119" t="s">
        <v>761</v>
      </c>
      <c r="F3117" s="120">
        <v>4</v>
      </c>
      <c r="G3117" s="120" t="s">
        <v>759</v>
      </c>
      <c r="H3117" s="169">
        <v>5100000</v>
      </c>
    </row>
    <row r="3118" spans="1:8" x14ac:dyDescent="0.25">
      <c r="A3118" s="115">
        <v>3117</v>
      </c>
      <c r="B3118" s="167">
        <v>46132</v>
      </c>
      <c r="C3118" s="117">
        <v>2026</v>
      </c>
      <c r="D3118" s="119" t="s">
        <v>35</v>
      </c>
      <c r="E3118" s="119" t="s">
        <v>761</v>
      </c>
      <c r="F3118" s="120">
        <v>2</v>
      </c>
      <c r="G3118" s="120" t="s">
        <v>759</v>
      </c>
      <c r="H3118" s="169">
        <v>3150000</v>
      </c>
    </row>
    <row r="3119" spans="1:8" x14ac:dyDescent="0.25">
      <c r="A3119" s="115">
        <v>3118</v>
      </c>
      <c r="B3119" s="167">
        <v>46132</v>
      </c>
      <c r="C3119" s="117">
        <v>2026</v>
      </c>
      <c r="D3119" s="119" t="s">
        <v>35</v>
      </c>
      <c r="E3119" s="119" t="s">
        <v>382</v>
      </c>
      <c r="F3119" s="120">
        <v>1</v>
      </c>
      <c r="G3119" s="120" t="s">
        <v>759</v>
      </c>
      <c r="H3119" s="169">
        <v>10000</v>
      </c>
    </row>
    <row r="3120" spans="1:8" x14ac:dyDescent="0.25">
      <c r="A3120" s="115">
        <v>3119</v>
      </c>
      <c r="B3120" s="167">
        <v>46132</v>
      </c>
      <c r="C3120" s="117">
        <v>2026</v>
      </c>
      <c r="D3120" s="119" t="s">
        <v>35</v>
      </c>
      <c r="E3120" s="119" t="s">
        <v>1676</v>
      </c>
      <c r="F3120" s="120">
        <v>1</v>
      </c>
      <c r="G3120" s="120" t="s">
        <v>759</v>
      </c>
      <c r="H3120" s="169">
        <v>20050</v>
      </c>
    </row>
    <row r="3121" spans="1:8" x14ac:dyDescent="0.25">
      <c r="A3121" s="115">
        <v>3120</v>
      </c>
      <c r="B3121" s="167">
        <v>46133</v>
      </c>
      <c r="C3121" s="117">
        <v>2026</v>
      </c>
      <c r="D3121" s="118" t="s">
        <v>833</v>
      </c>
      <c r="E3121" s="119" t="s">
        <v>175</v>
      </c>
      <c r="F3121" s="120">
        <v>50</v>
      </c>
      <c r="G3121" s="120" t="s">
        <v>759</v>
      </c>
      <c r="H3121" s="169">
        <v>575000</v>
      </c>
    </row>
    <row r="3122" spans="1:8" x14ac:dyDescent="0.25">
      <c r="A3122" s="115">
        <v>3121</v>
      </c>
      <c r="B3122" s="167">
        <v>46133</v>
      </c>
      <c r="C3122" s="117">
        <v>2026</v>
      </c>
      <c r="D3122" s="118" t="s">
        <v>833</v>
      </c>
      <c r="E3122" s="119" t="s">
        <v>192</v>
      </c>
      <c r="F3122" s="120">
        <v>4</v>
      </c>
      <c r="G3122" s="120" t="s">
        <v>759</v>
      </c>
      <c r="H3122" s="169">
        <v>13400</v>
      </c>
    </row>
    <row r="3123" spans="1:8" x14ac:dyDescent="0.25">
      <c r="A3123" s="115">
        <v>3122</v>
      </c>
      <c r="B3123" s="167">
        <v>46133</v>
      </c>
      <c r="C3123" s="117">
        <v>2026</v>
      </c>
      <c r="D3123" s="119" t="s">
        <v>35</v>
      </c>
      <c r="E3123" s="119" t="s">
        <v>1139</v>
      </c>
      <c r="F3123" s="120">
        <v>1</v>
      </c>
      <c r="G3123" s="120" t="s">
        <v>759</v>
      </c>
      <c r="H3123" s="169">
        <v>111282</v>
      </c>
    </row>
    <row r="3124" spans="1:8" x14ac:dyDescent="0.25">
      <c r="A3124" s="115">
        <v>3123</v>
      </c>
      <c r="B3124" s="167">
        <v>46133</v>
      </c>
      <c r="C3124" s="117">
        <v>2026</v>
      </c>
      <c r="D3124" s="119" t="s">
        <v>851</v>
      </c>
      <c r="E3124" s="119" t="s">
        <v>1136</v>
      </c>
      <c r="F3124" s="120">
        <v>1</v>
      </c>
      <c r="G3124" s="120" t="s">
        <v>759</v>
      </c>
      <c r="H3124" s="169">
        <v>6850</v>
      </c>
    </row>
    <row r="3125" spans="1:8" x14ac:dyDescent="0.25">
      <c r="A3125" s="115">
        <v>3124</v>
      </c>
      <c r="B3125" s="167">
        <v>46133</v>
      </c>
      <c r="C3125" s="117">
        <v>2026</v>
      </c>
      <c r="D3125" s="119" t="s">
        <v>833</v>
      </c>
      <c r="E3125" s="119" t="s">
        <v>398</v>
      </c>
      <c r="F3125" s="120">
        <v>12</v>
      </c>
      <c r="G3125" s="120" t="s">
        <v>759</v>
      </c>
      <c r="H3125" s="169">
        <v>21000</v>
      </c>
    </row>
    <row r="3126" spans="1:8" x14ac:dyDescent="0.25">
      <c r="A3126" s="115">
        <v>3125</v>
      </c>
      <c r="B3126" s="167">
        <v>46133</v>
      </c>
      <c r="C3126" s="117">
        <v>2026</v>
      </c>
      <c r="D3126" s="119" t="s">
        <v>35</v>
      </c>
      <c r="E3126" s="119" t="s">
        <v>553</v>
      </c>
      <c r="F3126" s="120">
        <v>2</v>
      </c>
      <c r="G3126" s="120" t="s">
        <v>759</v>
      </c>
      <c r="H3126" s="169">
        <v>15900</v>
      </c>
    </row>
    <row r="3127" spans="1:8" x14ac:dyDescent="0.25">
      <c r="A3127" s="115">
        <v>3126</v>
      </c>
      <c r="B3127" s="167">
        <v>46133</v>
      </c>
      <c r="C3127" s="117">
        <v>2026</v>
      </c>
      <c r="D3127" s="119" t="s">
        <v>833</v>
      </c>
      <c r="E3127" s="119" t="s">
        <v>1249</v>
      </c>
      <c r="F3127" s="120">
        <v>1</v>
      </c>
      <c r="G3127" s="120" t="s">
        <v>759</v>
      </c>
      <c r="H3127" s="169">
        <v>60900</v>
      </c>
    </row>
    <row r="3128" spans="1:8" x14ac:dyDescent="0.25">
      <c r="A3128" s="115">
        <v>3127</v>
      </c>
      <c r="B3128" s="167">
        <v>46133</v>
      </c>
      <c r="C3128" s="117">
        <v>2026</v>
      </c>
      <c r="D3128" s="119" t="s">
        <v>35</v>
      </c>
      <c r="E3128" s="119" t="s">
        <v>1140</v>
      </c>
      <c r="F3128" s="120">
        <v>2</v>
      </c>
      <c r="G3128" s="120" t="s">
        <v>759</v>
      </c>
      <c r="H3128" s="169">
        <v>77900</v>
      </c>
    </row>
    <row r="3129" spans="1:8" x14ac:dyDescent="0.25">
      <c r="A3129" s="115">
        <v>3128</v>
      </c>
      <c r="B3129" s="167">
        <v>46133</v>
      </c>
      <c r="C3129" s="117">
        <v>2026</v>
      </c>
      <c r="D3129" s="119" t="s">
        <v>35</v>
      </c>
      <c r="E3129" s="119" t="s">
        <v>130</v>
      </c>
      <c r="F3129" s="120">
        <v>1</v>
      </c>
      <c r="G3129" s="120" t="s">
        <v>759</v>
      </c>
      <c r="H3129" s="169">
        <v>220000</v>
      </c>
    </row>
    <row r="3130" spans="1:8" x14ac:dyDescent="0.25">
      <c r="A3130" s="115">
        <v>3129</v>
      </c>
      <c r="B3130" s="167">
        <v>46133</v>
      </c>
      <c r="C3130" s="117">
        <v>2026</v>
      </c>
      <c r="D3130" s="118" t="s">
        <v>833</v>
      </c>
      <c r="E3130" s="119" t="s">
        <v>580</v>
      </c>
      <c r="F3130" s="120">
        <v>5</v>
      </c>
      <c r="G3130" s="120" t="s">
        <v>759</v>
      </c>
      <c r="H3130" s="169">
        <v>248355</v>
      </c>
    </row>
    <row r="3131" spans="1:8" x14ac:dyDescent="0.25">
      <c r="A3131" s="115">
        <v>3130</v>
      </c>
      <c r="B3131" s="167">
        <v>46133</v>
      </c>
      <c r="C3131" s="117">
        <v>2026</v>
      </c>
      <c r="D3131" s="118" t="s">
        <v>833</v>
      </c>
      <c r="E3131" s="119" t="s">
        <v>580</v>
      </c>
      <c r="F3131" s="120">
        <v>5</v>
      </c>
      <c r="G3131" s="120" t="s">
        <v>759</v>
      </c>
      <c r="H3131" s="169">
        <v>247690</v>
      </c>
    </row>
    <row r="3132" spans="1:8" x14ac:dyDescent="0.25">
      <c r="A3132" s="115">
        <v>3131</v>
      </c>
      <c r="B3132" s="167">
        <v>46133</v>
      </c>
      <c r="C3132" s="117">
        <v>2026</v>
      </c>
      <c r="D3132" s="118" t="s">
        <v>833</v>
      </c>
      <c r="E3132" s="119" t="s">
        <v>580</v>
      </c>
      <c r="F3132" s="120">
        <v>5</v>
      </c>
      <c r="G3132" s="120" t="s">
        <v>759</v>
      </c>
      <c r="H3132" s="169">
        <v>247860</v>
      </c>
    </row>
    <row r="3133" spans="1:8" x14ac:dyDescent="0.25">
      <c r="A3133" s="115">
        <v>3132</v>
      </c>
      <c r="B3133" s="167">
        <v>46133</v>
      </c>
      <c r="C3133" s="117">
        <v>2026</v>
      </c>
      <c r="D3133" s="118" t="s">
        <v>833</v>
      </c>
      <c r="E3133" s="119" t="s">
        <v>495</v>
      </c>
      <c r="F3133" s="120">
        <v>2</v>
      </c>
      <c r="G3133" s="120" t="s">
        <v>759</v>
      </c>
      <c r="H3133" s="169">
        <v>91900</v>
      </c>
    </row>
    <row r="3134" spans="1:8" x14ac:dyDescent="0.25">
      <c r="A3134" s="115">
        <v>3133</v>
      </c>
      <c r="B3134" s="167">
        <v>46133</v>
      </c>
      <c r="C3134" s="117">
        <v>2026</v>
      </c>
      <c r="D3134" s="118" t="s">
        <v>833</v>
      </c>
      <c r="E3134" s="119" t="s">
        <v>495</v>
      </c>
      <c r="F3134" s="120">
        <v>2</v>
      </c>
      <c r="G3134" s="120" t="s">
        <v>759</v>
      </c>
      <c r="H3134" s="169">
        <v>91900</v>
      </c>
    </row>
    <row r="3135" spans="1:8" x14ac:dyDescent="0.25">
      <c r="A3135" s="115">
        <v>3134</v>
      </c>
      <c r="B3135" s="167">
        <v>46133</v>
      </c>
      <c r="C3135" s="117">
        <v>2026</v>
      </c>
      <c r="D3135" s="118" t="s">
        <v>833</v>
      </c>
      <c r="E3135" s="119" t="s">
        <v>495</v>
      </c>
      <c r="F3135" s="120">
        <v>2</v>
      </c>
      <c r="G3135" s="120" t="s">
        <v>759</v>
      </c>
      <c r="H3135" s="169">
        <v>91900</v>
      </c>
    </row>
    <row r="3136" spans="1:8" x14ac:dyDescent="0.25">
      <c r="A3136" s="115">
        <v>3135</v>
      </c>
      <c r="B3136" s="167">
        <v>46133</v>
      </c>
      <c r="C3136" s="117">
        <v>2026</v>
      </c>
      <c r="D3136" s="118" t="s">
        <v>833</v>
      </c>
      <c r="E3136" s="119" t="s">
        <v>687</v>
      </c>
      <c r="F3136" s="120">
        <v>12</v>
      </c>
      <c r="G3136" s="120" t="s">
        <v>759</v>
      </c>
      <c r="H3136" s="169">
        <v>172896</v>
      </c>
    </row>
    <row r="3137" spans="1:8" x14ac:dyDescent="0.25">
      <c r="A3137" s="115">
        <v>3136</v>
      </c>
      <c r="B3137" s="167">
        <v>46134</v>
      </c>
      <c r="C3137" s="117">
        <v>2026</v>
      </c>
      <c r="D3137" s="119" t="s">
        <v>35</v>
      </c>
      <c r="E3137" s="119" t="s">
        <v>1677</v>
      </c>
      <c r="F3137" s="120">
        <v>30</v>
      </c>
      <c r="G3137" s="120" t="s">
        <v>759</v>
      </c>
      <c r="H3137" s="169">
        <v>14010</v>
      </c>
    </row>
    <row r="3138" spans="1:8" x14ac:dyDescent="0.25">
      <c r="A3138" s="115">
        <v>3137</v>
      </c>
      <c r="B3138" s="167">
        <v>46134</v>
      </c>
      <c r="C3138" s="117">
        <v>2026</v>
      </c>
      <c r="D3138" s="119" t="s">
        <v>35</v>
      </c>
      <c r="E3138" s="119" t="s">
        <v>929</v>
      </c>
      <c r="F3138" s="120">
        <v>1</v>
      </c>
      <c r="G3138" s="120" t="s">
        <v>759</v>
      </c>
      <c r="H3138" s="169">
        <v>135000</v>
      </c>
    </row>
    <row r="3139" spans="1:8" x14ac:dyDescent="0.25">
      <c r="A3139" s="115">
        <v>3138</v>
      </c>
      <c r="B3139" s="167">
        <v>46134</v>
      </c>
      <c r="C3139" s="117">
        <v>2026</v>
      </c>
      <c r="D3139" s="119" t="s">
        <v>35</v>
      </c>
      <c r="E3139" s="119" t="s">
        <v>1392</v>
      </c>
      <c r="F3139" s="120">
        <v>4</v>
      </c>
      <c r="G3139" s="120" t="s">
        <v>759</v>
      </c>
      <c r="H3139" s="169">
        <v>200000</v>
      </c>
    </row>
    <row r="3140" spans="1:8" x14ac:dyDescent="0.25">
      <c r="A3140" s="115">
        <v>3139</v>
      </c>
      <c r="B3140" s="167">
        <v>46135</v>
      </c>
      <c r="C3140" s="117">
        <v>2026</v>
      </c>
      <c r="D3140" s="119" t="s">
        <v>259</v>
      </c>
      <c r="E3140" s="119" t="s">
        <v>1652</v>
      </c>
      <c r="F3140" s="120">
        <v>3</v>
      </c>
      <c r="G3140" s="120" t="s">
        <v>759</v>
      </c>
      <c r="H3140" s="169">
        <v>84399</v>
      </c>
    </row>
    <row r="3141" spans="1:8" x14ac:dyDescent="0.25">
      <c r="A3141" s="115">
        <v>3140</v>
      </c>
      <c r="B3141" s="167">
        <v>46135</v>
      </c>
      <c r="C3141" s="117">
        <v>2026</v>
      </c>
      <c r="D3141" s="119" t="s">
        <v>259</v>
      </c>
      <c r="E3141" s="119" t="s">
        <v>758</v>
      </c>
      <c r="F3141" s="120">
        <v>4</v>
      </c>
      <c r="G3141" s="120" t="s">
        <v>759</v>
      </c>
      <c r="H3141" s="169">
        <v>111900</v>
      </c>
    </row>
    <row r="3142" spans="1:8" x14ac:dyDescent="0.25">
      <c r="A3142" s="115">
        <v>3141</v>
      </c>
      <c r="B3142" s="167">
        <v>46135</v>
      </c>
      <c r="C3142" s="117">
        <v>2026</v>
      </c>
      <c r="D3142" s="119" t="s">
        <v>35</v>
      </c>
      <c r="E3142" s="119" t="s">
        <v>192</v>
      </c>
      <c r="F3142" s="120">
        <v>12</v>
      </c>
      <c r="G3142" s="120" t="s">
        <v>759</v>
      </c>
      <c r="H3142" s="169">
        <v>35400</v>
      </c>
    </row>
    <row r="3143" spans="1:8" x14ac:dyDescent="0.25">
      <c r="A3143" s="115">
        <v>3142</v>
      </c>
      <c r="B3143" s="167">
        <v>46135</v>
      </c>
      <c r="C3143" s="117">
        <v>2026</v>
      </c>
      <c r="D3143" s="119" t="s">
        <v>259</v>
      </c>
      <c r="E3143" s="119" t="s">
        <v>1678</v>
      </c>
      <c r="F3143" s="120">
        <v>2</v>
      </c>
      <c r="G3143" s="120" t="s">
        <v>759</v>
      </c>
      <c r="H3143" s="169">
        <v>1048800</v>
      </c>
    </row>
    <row r="3144" spans="1:8" x14ac:dyDescent="0.25">
      <c r="A3144" s="115">
        <v>3143</v>
      </c>
      <c r="B3144" s="167">
        <v>46135</v>
      </c>
      <c r="C3144" s="117">
        <v>2026</v>
      </c>
      <c r="D3144" s="119" t="s">
        <v>259</v>
      </c>
      <c r="E3144" s="119" t="s">
        <v>1679</v>
      </c>
      <c r="F3144" s="120">
        <v>1</v>
      </c>
      <c r="G3144" s="120" t="s">
        <v>759</v>
      </c>
      <c r="H3144" s="169">
        <v>596000</v>
      </c>
    </row>
    <row r="3145" spans="1:8" x14ac:dyDescent="0.25">
      <c r="A3145" s="115">
        <v>3144</v>
      </c>
      <c r="B3145" s="167">
        <v>46135</v>
      </c>
      <c r="C3145" s="117">
        <v>2026</v>
      </c>
      <c r="D3145" s="119" t="s">
        <v>259</v>
      </c>
      <c r="E3145" s="119" t="s">
        <v>1680</v>
      </c>
      <c r="F3145" s="120">
        <v>3</v>
      </c>
      <c r="G3145" s="120" t="s">
        <v>759</v>
      </c>
      <c r="H3145" s="169">
        <v>21402</v>
      </c>
    </row>
    <row r="3146" spans="1:8" x14ac:dyDescent="0.25">
      <c r="A3146" s="115">
        <v>3145</v>
      </c>
      <c r="B3146" s="167">
        <v>46135</v>
      </c>
      <c r="C3146" s="117">
        <v>2026</v>
      </c>
      <c r="D3146" s="119" t="s">
        <v>259</v>
      </c>
      <c r="E3146" s="119" t="s">
        <v>1681</v>
      </c>
      <c r="F3146" s="120">
        <v>3</v>
      </c>
      <c r="G3146" s="120" t="s">
        <v>759</v>
      </c>
      <c r="H3146" s="169">
        <v>21888</v>
      </c>
    </row>
    <row r="3147" spans="1:8" x14ac:dyDescent="0.25">
      <c r="A3147" s="115">
        <v>3146</v>
      </c>
      <c r="B3147" s="167">
        <v>46135</v>
      </c>
      <c r="C3147" s="117">
        <v>2026</v>
      </c>
      <c r="D3147" s="119" t="s">
        <v>259</v>
      </c>
      <c r="E3147" s="119" t="s">
        <v>1682</v>
      </c>
      <c r="F3147" s="120">
        <v>2</v>
      </c>
      <c r="G3147" s="120" t="s">
        <v>759</v>
      </c>
      <c r="H3147" s="169">
        <v>43898</v>
      </c>
    </row>
    <row r="3148" spans="1:8" x14ac:dyDescent="0.25">
      <c r="A3148" s="115">
        <v>3147</v>
      </c>
      <c r="B3148" s="167">
        <v>46135</v>
      </c>
      <c r="C3148" s="117">
        <v>2026</v>
      </c>
      <c r="D3148" s="119" t="s">
        <v>259</v>
      </c>
      <c r="E3148" s="119" t="s">
        <v>1149</v>
      </c>
      <c r="F3148" s="120">
        <v>1</v>
      </c>
      <c r="G3148" s="120" t="s">
        <v>759</v>
      </c>
      <c r="H3148" s="169">
        <v>79900</v>
      </c>
    </row>
    <row r="3149" spans="1:8" x14ac:dyDescent="0.25">
      <c r="A3149" s="115">
        <v>3148</v>
      </c>
      <c r="B3149" s="167">
        <v>46136</v>
      </c>
      <c r="C3149" s="117">
        <v>2026</v>
      </c>
      <c r="D3149" s="119" t="s">
        <v>35</v>
      </c>
      <c r="E3149" s="119" t="s">
        <v>761</v>
      </c>
      <c r="F3149" s="120">
        <v>4</v>
      </c>
      <c r="G3149" s="120" t="s">
        <v>759</v>
      </c>
      <c r="H3149" s="169">
        <v>9200000</v>
      </c>
    </row>
    <row r="3150" spans="1:8" x14ac:dyDescent="0.25">
      <c r="A3150" s="115">
        <v>3149</v>
      </c>
      <c r="B3150" s="167">
        <v>46136</v>
      </c>
      <c r="C3150" s="117">
        <v>2026</v>
      </c>
      <c r="D3150" s="119" t="s">
        <v>35</v>
      </c>
      <c r="E3150" s="119" t="s">
        <v>1683</v>
      </c>
      <c r="F3150" s="120">
        <v>1</v>
      </c>
      <c r="G3150" s="120" t="s">
        <v>759</v>
      </c>
      <c r="H3150" s="169">
        <v>66900</v>
      </c>
    </row>
    <row r="3151" spans="1:8" x14ac:dyDescent="0.25">
      <c r="A3151" s="115">
        <v>3150</v>
      </c>
      <c r="B3151" s="167">
        <v>46136</v>
      </c>
      <c r="C3151" s="117">
        <v>2026</v>
      </c>
      <c r="D3151" s="119" t="s">
        <v>833</v>
      </c>
      <c r="E3151" s="119" t="s">
        <v>489</v>
      </c>
      <c r="F3151" s="120">
        <v>5</v>
      </c>
      <c r="G3151" s="120" t="s">
        <v>759</v>
      </c>
      <c r="H3151" s="169">
        <v>15340</v>
      </c>
    </row>
    <row r="3152" spans="1:8" x14ac:dyDescent="0.25">
      <c r="A3152" s="115">
        <v>3151</v>
      </c>
      <c r="B3152" s="167">
        <v>46136</v>
      </c>
      <c r="C3152" s="117">
        <v>2026</v>
      </c>
      <c r="D3152" s="119" t="s">
        <v>35</v>
      </c>
      <c r="E3152" s="119" t="s">
        <v>1684</v>
      </c>
      <c r="F3152" s="120">
        <v>1</v>
      </c>
      <c r="G3152" s="120" t="s">
        <v>759</v>
      </c>
      <c r="H3152" s="169">
        <v>275000</v>
      </c>
    </row>
    <row r="3153" spans="1:8" x14ac:dyDescent="0.25">
      <c r="A3153" s="115">
        <v>3152</v>
      </c>
      <c r="B3153" s="167">
        <v>46136</v>
      </c>
      <c r="C3153" s="117">
        <v>2026</v>
      </c>
      <c r="D3153" s="119" t="s">
        <v>35</v>
      </c>
      <c r="E3153" s="119" t="s">
        <v>1596</v>
      </c>
      <c r="F3153" s="120">
        <v>1</v>
      </c>
      <c r="G3153" s="120" t="s">
        <v>759</v>
      </c>
      <c r="H3153" s="169">
        <v>49150</v>
      </c>
    </row>
    <row r="3154" spans="1:8" x14ac:dyDescent="0.25">
      <c r="A3154" s="115">
        <v>3153</v>
      </c>
      <c r="B3154" s="167">
        <v>46137</v>
      </c>
      <c r="C3154" s="117">
        <v>2026</v>
      </c>
      <c r="D3154" s="119" t="s">
        <v>35</v>
      </c>
      <c r="E3154" s="119" t="s">
        <v>69</v>
      </c>
      <c r="F3154" s="120">
        <v>2</v>
      </c>
      <c r="G3154" s="120" t="s">
        <v>759</v>
      </c>
      <c r="H3154" s="169">
        <v>210000</v>
      </c>
    </row>
    <row r="3155" spans="1:8" x14ac:dyDescent="0.25">
      <c r="A3155" s="115">
        <v>3154</v>
      </c>
      <c r="B3155" s="167">
        <v>46137</v>
      </c>
      <c r="C3155" s="117">
        <v>2026</v>
      </c>
      <c r="D3155" s="119" t="s">
        <v>259</v>
      </c>
      <c r="E3155" s="119" t="s">
        <v>1315</v>
      </c>
      <c r="F3155" s="120">
        <v>2</v>
      </c>
      <c r="G3155" s="120" t="s">
        <v>759</v>
      </c>
      <c r="H3155" s="169">
        <v>70400</v>
      </c>
    </row>
    <row r="3156" spans="1:8" x14ac:dyDescent="0.25">
      <c r="A3156" s="115">
        <v>3155</v>
      </c>
      <c r="B3156" s="167">
        <v>46139</v>
      </c>
      <c r="C3156" s="117">
        <v>2026</v>
      </c>
      <c r="D3156" s="119" t="s">
        <v>35</v>
      </c>
      <c r="E3156" s="119" t="s">
        <v>1550</v>
      </c>
      <c r="F3156" s="120">
        <v>1</v>
      </c>
      <c r="G3156" s="120" t="s">
        <v>759</v>
      </c>
      <c r="H3156" s="169">
        <v>6000</v>
      </c>
    </row>
    <row r="3157" spans="1:8" x14ac:dyDescent="0.25">
      <c r="A3157" s="115">
        <v>3156</v>
      </c>
      <c r="B3157" s="167">
        <v>46139</v>
      </c>
      <c r="C3157" s="117">
        <v>2026</v>
      </c>
      <c r="D3157" s="119" t="s">
        <v>35</v>
      </c>
      <c r="E3157" s="119" t="s">
        <v>476</v>
      </c>
      <c r="F3157" s="120">
        <v>20</v>
      </c>
      <c r="G3157" s="120" t="s">
        <v>759</v>
      </c>
      <c r="H3157" s="169">
        <v>575000</v>
      </c>
    </row>
    <row r="3158" spans="1:8" x14ac:dyDescent="0.25">
      <c r="A3158" s="115">
        <v>3157</v>
      </c>
      <c r="B3158" s="167">
        <v>46139</v>
      </c>
      <c r="C3158" s="117">
        <v>2026</v>
      </c>
      <c r="D3158" s="119" t="s">
        <v>35</v>
      </c>
      <c r="E3158" s="119" t="s">
        <v>63</v>
      </c>
      <c r="F3158" s="120">
        <v>30</v>
      </c>
      <c r="G3158" s="120" t="s">
        <v>759</v>
      </c>
      <c r="H3158" s="169">
        <v>7170</v>
      </c>
    </row>
    <row r="3159" spans="1:8" x14ac:dyDescent="0.25">
      <c r="A3159" s="115">
        <v>3158</v>
      </c>
      <c r="B3159" s="167">
        <v>46139</v>
      </c>
      <c r="C3159" s="117">
        <v>2026</v>
      </c>
      <c r="D3159" s="119" t="s">
        <v>766</v>
      </c>
      <c r="E3159" s="119" t="s">
        <v>1490</v>
      </c>
      <c r="F3159" s="120">
        <v>5375</v>
      </c>
      <c r="G3159" s="120" t="s">
        <v>759</v>
      </c>
      <c r="H3159" s="169">
        <v>1075000</v>
      </c>
    </row>
    <row r="3160" spans="1:8" x14ac:dyDescent="0.25">
      <c r="A3160" s="115">
        <v>3159</v>
      </c>
      <c r="B3160" s="167">
        <v>46139</v>
      </c>
      <c r="C3160" s="117">
        <v>2026</v>
      </c>
      <c r="D3160" s="119" t="s">
        <v>35</v>
      </c>
      <c r="E3160" s="119" t="s">
        <v>1606</v>
      </c>
      <c r="F3160" s="120">
        <v>2</v>
      </c>
      <c r="G3160" s="120" t="s">
        <v>759</v>
      </c>
      <c r="H3160" s="169">
        <v>92000</v>
      </c>
    </row>
    <row r="3161" spans="1:8" x14ac:dyDescent="0.25">
      <c r="A3161" s="115">
        <v>3160</v>
      </c>
      <c r="B3161" s="167">
        <v>46140</v>
      </c>
      <c r="C3161" s="117">
        <v>2026</v>
      </c>
      <c r="D3161" s="119" t="s">
        <v>35</v>
      </c>
      <c r="E3161" s="119" t="s">
        <v>739</v>
      </c>
      <c r="F3161" s="120">
        <v>75</v>
      </c>
      <c r="G3161" s="120" t="s">
        <v>759</v>
      </c>
      <c r="H3161" s="169">
        <v>660000</v>
      </c>
    </row>
    <row r="3162" spans="1:8" x14ac:dyDescent="0.25">
      <c r="A3162" s="115">
        <v>3161</v>
      </c>
      <c r="B3162" s="167">
        <v>46140</v>
      </c>
      <c r="C3162" s="117">
        <v>2026</v>
      </c>
      <c r="D3162" s="119" t="s">
        <v>259</v>
      </c>
      <c r="E3162" s="119" t="s">
        <v>1560</v>
      </c>
      <c r="F3162" s="120">
        <v>2</v>
      </c>
      <c r="G3162" s="120" t="s">
        <v>759</v>
      </c>
      <c r="H3162" s="169">
        <v>363800</v>
      </c>
    </row>
    <row r="3163" spans="1:8" x14ac:dyDescent="0.25">
      <c r="A3163" s="115">
        <v>3162</v>
      </c>
      <c r="B3163" s="167">
        <v>46140</v>
      </c>
      <c r="C3163" s="117">
        <v>2026</v>
      </c>
      <c r="D3163" s="119" t="s">
        <v>35</v>
      </c>
      <c r="E3163" s="119" t="s">
        <v>918</v>
      </c>
      <c r="F3163" s="120">
        <v>1</v>
      </c>
      <c r="G3163" s="120" t="s">
        <v>759</v>
      </c>
      <c r="H3163" s="169">
        <v>75000</v>
      </c>
    </row>
    <row r="3164" spans="1:8" x14ac:dyDescent="0.25">
      <c r="A3164" s="115">
        <v>3163</v>
      </c>
      <c r="B3164" s="167">
        <v>46140</v>
      </c>
      <c r="C3164" s="117">
        <v>2026</v>
      </c>
      <c r="D3164" s="119" t="s">
        <v>35</v>
      </c>
      <c r="E3164" s="119" t="s">
        <v>124</v>
      </c>
      <c r="F3164" s="120">
        <v>1</v>
      </c>
      <c r="G3164" s="120" t="s">
        <v>759</v>
      </c>
      <c r="H3164" s="169">
        <v>430000</v>
      </c>
    </row>
    <row r="3165" spans="1:8" x14ac:dyDescent="0.25">
      <c r="A3165" s="115">
        <v>3164</v>
      </c>
      <c r="B3165" s="167">
        <v>46141</v>
      </c>
      <c r="C3165" s="117">
        <v>2026</v>
      </c>
      <c r="D3165" s="119" t="s">
        <v>833</v>
      </c>
      <c r="E3165" s="119" t="s">
        <v>1643</v>
      </c>
      <c r="F3165" s="120">
        <v>1</v>
      </c>
      <c r="G3165" s="120" t="s">
        <v>759</v>
      </c>
      <c r="H3165" s="169">
        <v>3500000</v>
      </c>
    </row>
    <row r="3166" spans="1:8" x14ac:dyDescent="0.25">
      <c r="A3166" s="115">
        <v>3165</v>
      </c>
      <c r="B3166" s="167">
        <v>46141</v>
      </c>
      <c r="C3166" s="117">
        <v>2026</v>
      </c>
      <c r="D3166" s="119" t="s">
        <v>35</v>
      </c>
      <c r="E3166" s="119" t="s">
        <v>69</v>
      </c>
      <c r="F3166" s="120">
        <v>2</v>
      </c>
      <c r="G3166" s="120" t="s">
        <v>759</v>
      </c>
      <c r="H3166" s="169">
        <v>210000</v>
      </c>
    </row>
    <row r="3167" spans="1:8" x14ac:dyDescent="0.25">
      <c r="A3167" s="115">
        <v>3166</v>
      </c>
      <c r="B3167" s="167">
        <v>46141</v>
      </c>
      <c r="C3167" s="117">
        <v>2026</v>
      </c>
      <c r="D3167" s="119" t="s">
        <v>851</v>
      </c>
      <c r="E3167" s="119" t="s">
        <v>1685</v>
      </c>
      <c r="F3167" s="120">
        <v>1</v>
      </c>
      <c r="G3167" s="120" t="s">
        <v>759</v>
      </c>
      <c r="H3167" s="169">
        <v>5000</v>
      </c>
    </row>
    <row r="3168" spans="1:8" x14ac:dyDescent="0.25">
      <c r="A3168" s="115">
        <v>3167</v>
      </c>
      <c r="B3168" s="167">
        <v>46141</v>
      </c>
      <c r="C3168" s="117">
        <v>2026</v>
      </c>
      <c r="D3168" s="119" t="s">
        <v>259</v>
      </c>
      <c r="E3168" s="119" t="s">
        <v>1686</v>
      </c>
      <c r="F3168" s="120">
        <v>1</v>
      </c>
      <c r="G3168" s="120" t="s">
        <v>759</v>
      </c>
      <c r="H3168" s="169">
        <v>220800</v>
      </c>
    </row>
    <row r="3169" spans="1:8" x14ac:dyDescent="0.25">
      <c r="A3169" s="115">
        <v>3168</v>
      </c>
      <c r="B3169" s="167">
        <v>46142</v>
      </c>
      <c r="C3169" s="117">
        <v>2026</v>
      </c>
      <c r="D3169" s="119" t="s">
        <v>35</v>
      </c>
      <c r="E3169" s="119" t="s">
        <v>325</v>
      </c>
      <c r="F3169" s="120">
        <v>1</v>
      </c>
      <c r="G3169" s="120" t="s">
        <v>759</v>
      </c>
      <c r="H3169" s="169">
        <v>2100000</v>
      </c>
    </row>
    <row r="3170" spans="1:8" x14ac:dyDescent="0.25">
      <c r="A3170" s="115">
        <v>3169</v>
      </c>
      <c r="B3170" s="167">
        <v>46142</v>
      </c>
      <c r="C3170" s="117">
        <v>2026</v>
      </c>
      <c r="D3170" s="119" t="s">
        <v>35</v>
      </c>
      <c r="E3170" s="119" t="s">
        <v>220</v>
      </c>
      <c r="F3170" s="120">
        <v>3</v>
      </c>
      <c r="G3170" s="120" t="s">
        <v>759</v>
      </c>
      <c r="H3170" s="169">
        <v>293460</v>
      </c>
    </row>
    <row r="3171" spans="1:8" x14ac:dyDescent="0.25">
      <c r="A3171" s="115">
        <v>3170</v>
      </c>
      <c r="B3171" s="167">
        <v>46142</v>
      </c>
      <c r="C3171" s="117">
        <v>2026</v>
      </c>
      <c r="D3171" s="119" t="s">
        <v>35</v>
      </c>
      <c r="E3171" s="119" t="s">
        <v>485</v>
      </c>
      <c r="F3171" s="120">
        <v>2</v>
      </c>
      <c r="G3171" s="120" t="s">
        <v>759</v>
      </c>
      <c r="H3171" s="169">
        <v>10160</v>
      </c>
    </row>
    <row r="3172" spans="1:8" x14ac:dyDescent="0.25">
      <c r="A3172" s="115">
        <v>3171</v>
      </c>
      <c r="B3172" s="167">
        <v>46142</v>
      </c>
      <c r="C3172" s="117">
        <v>2026</v>
      </c>
      <c r="D3172" s="119" t="s">
        <v>35</v>
      </c>
      <c r="E3172" s="119" t="s">
        <v>741</v>
      </c>
      <c r="F3172" s="120">
        <v>1</v>
      </c>
      <c r="G3172" s="120" t="s">
        <v>759</v>
      </c>
      <c r="H3172" s="169">
        <v>350000</v>
      </c>
    </row>
  </sheetData>
  <autoFilter ref="A4:H3172">
    <sortState ref="A5:H3172">
      <sortCondition ref="B4:B1923"/>
    </sortState>
  </autoFilter>
  <mergeCells count="13">
    <mergeCell ref="P10:P11"/>
    <mergeCell ref="J4:J5"/>
    <mergeCell ref="K4:M4"/>
    <mergeCell ref="N4:N5"/>
    <mergeCell ref="P4:P5"/>
    <mergeCell ref="Q4:Q5"/>
    <mergeCell ref="R4:T4"/>
    <mergeCell ref="B1:H1"/>
    <mergeCell ref="J1:N1"/>
    <mergeCell ref="P1:T1"/>
    <mergeCell ref="B2:H2"/>
    <mergeCell ref="J2:N2"/>
    <mergeCell ref="P2:T2"/>
  </mergeCells>
  <pageMargins left="0.7" right="0.7" top="0.75" bottom="0.75" header="0.3" footer="0.3"/>
  <pageSetup paperSize="1000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47"/>
  <sheetViews>
    <sheetView topLeftCell="G3" zoomScale="110" zoomScaleNormal="110" workbookViewId="0">
      <selection activeCell="G3" sqref="G3"/>
    </sheetView>
  </sheetViews>
  <sheetFormatPr defaultRowHeight="15" x14ac:dyDescent="0.25"/>
  <cols>
    <col min="1" max="1" width="7" customWidth="1"/>
    <col min="2" max="2" width="11.28515625" customWidth="1"/>
    <col min="3" max="3" width="8.42578125" customWidth="1"/>
    <col min="4" max="4" width="13.28515625" customWidth="1"/>
    <col min="5" max="5" width="29.140625" customWidth="1"/>
    <col min="6" max="6" width="7.5703125" customWidth="1"/>
    <col min="7" max="7" width="11.7109375" customWidth="1"/>
    <col min="9" max="9" width="13.140625" bestFit="1" customWidth="1"/>
    <col min="10" max="10" width="16.42578125" style="104" bestFit="1" customWidth="1"/>
    <col min="11" max="11" width="19.7109375" style="104" customWidth="1"/>
    <col min="12" max="12" width="18.140625" style="104" customWidth="1"/>
    <col min="13" max="13" width="4.42578125" style="104" customWidth="1"/>
    <col min="14" max="14" width="17.140625" customWidth="1"/>
    <col min="15" max="15" width="15.140625" customWidth="1"/>
    <col min="16" max="16" width="14" customWidth="1"/>
    <col min="17" max="17" width="13.7109375" customWidth="1"/>
    <col min="18" max="18" width="11.42578125" bestFit="1" customWidth="1"/>
    <col min="19" max="19" width="17.140625" customWidth="1"/>
    <col min="20" max="20" width="13.42578125" customWidth="1"/>
    <col min="21" max="21" width="13.7109375" customWidth="1"/>
  </cols>
  <sheetData>
    <row r="1" spans="1:22" ht="15.75" x14ac:dyDescent="0.25">
      <c r="A1" s="171" t="s">
        <v>1687</v>
      </c>
      <c r="B1" s="171"/>
      <c r="C1" s="171"/>
      <c r="D1" s="171"/>
      <c r="E1" s="171"/>
      <c r="F1" s="171"/>
    </row>
    <row r="2" spans="1:22" x14ac:dyDescent="0.25">
      <c r="A2" s="172" t="s">
        <v>1688</v>
      </c>
      <c r="B2" s="172"/>
      <c r="C2" s="172"/>
      <c r="D2" s="172"/>
      <c r="E2" s="172"/>
      <c r="F2" s="172"/>
    </row>
    <row r="4" spans="1:22" x14ac:dyDescent="0.25">
      <c r="A4" s="46"/>
    </row>
    <row r="5" spans="1:22" ht="24" x14ac:dyDescent="0.25">
      <c r="A5" s="173" t="s">
        <v>0</v>
      </c>
      <c r="B5" s="174" t="s">
        <v>2</v>
      </c>
      <c r="C5" s="174" t="s">
        <v>751</v>
      </c>
      <c r="D5" s="173" t="s">
        <v>4</v>
      </c>
      <c r="E5" s="173" t="s">
        <v>5</v>
      </c>
      <c r="F5" s="173" t="s">
        <v>752</v>
      </c>
      <c r="G5" s="175" t="s">
        <v>754</v>
      </c>
      <c r="I5" s="176" t="s">
        <v>1689</v>
      </c>
      <c r="J5" s="177" t="s">
        <v>751</v>
      </c>
      <c r="K5" s="178"/>
      <c r="L5" s="179"/>
      <c r="M5"/>
      <c r="N5" s="176" t="s">
        <v>1690</v>
      </c>
      <c r="O5" s="177" t="s">
        <v>757</v>
      </c>
      <c r="P5" s="178"/>
      <c r="Q5" s="179"/>
      <c r="S5" s="180"/>
      <c r="T5" s="180"/>
      <c r="U5" s="180"/>
      <c r="V5" s="180"/>
    </row>
    <row r="6" spans="1:22" x14ac:dyDescent="0.25">
      <c r="A6" s="147">
        <v>1</v>
      </c>
      <c r="B6" s="116">
        <v>45296</v>
      </c>
      <c r="C6" s="117">
        <v>2024</v>
      </c>
      <c r="D6" s="118" t="s">
        <v>35</v>
      </c>
      <c r="E6" s="119" t="s">
        <v>211</v>
      </c>
      <c r="F6" s="120">
        <v>4</v>
      </c>
      <c r="G6" s="181">
        <v>92000</v>
      </c>
      <c r="I6" s="182"/>
      <c r="J6" s="183">
        <v>2024</v>
      </c>
      <c r="K6" s="183">
        <v>2025</v>
      </c>
      <c r="L6" s="183">
        <v>2026</v>
      </c>
      <c r="M6"/>
      <c r="N6" s="184"/>
      <c r="O6" s="183">
        <v>2024</v>
      </c>
      <c r="P6" s="183">
        <v>2025</v>
      </c>
      <c r="Q6" s="183">
        <v>2026</v>
      </c>
      <c r="S6" s="180"/>
      <c r="T6" s="180"/>
      <c r="U6" s="180"/>
      <c r="V6" s="180"/>
    </row>
    <row r="7" spans="1:22" x14ac:dyDescent="0.25">
      <c r="A7" s="147">
        <v>2</v>
      </c>
      <c r="B7" s="116">
        <v>45296</v>
      </c>
      <c r="C7" s="117">
        <v>2024</v>
      </c>
      <c r="D7" s="118" t="s">
        <v>35</v>
      </c>
      <c r="E7" s="119" t="s">
        <v>211</v>
      </c>
      <c r="F7" s="120">
        <v>1</v>
      </c>
      <c r="G7" s="181">
        <v>17700</v>
      </c>
      <c r="I7" s="184"/>
      <c r="J7" s="128">
        <v>488889959</v>
      </c>
      <c r="K7" s="128">
        <v>318345396</v>
      </c>
      <c r="L7" s="128">
        <v>241749090</v>
      </c>
      <c r="M7"/>
      <c r="N7" s="5" t="s">
        <v>761</v>
      </c>
      <c r="O7" s="128">
        <v>150700000</v>
      </c>
      <c r="P7" s="128">
        <v>125266000</v>
      </c>
      <c r="Q7" s="128">
        <v>125599000</v>
      </c>
      <c r="S7" s="180"/>
      <c r="T7" s="180"/>
      <c r="U7" s="180"/>
      <c r="V7" s="180"/>
    </row>
    <row r="8" spans="1:22" x14ac:dyDescent="0.25">
      <c r="A8" s="147">
        <v>3</v>
      </c>
      <c r="B8" s="116">
        <v>45296</v>
      </c>
      <c r="C8" s="117">
        <v>2024</v>
      </c>
      <c r="D8" s="118" t="s">
        <v>35</v>
      </c>
      <c r="E8" s="119" t="s">
        <v>708</v>
      </c>
      <c r="F8" s="120">
        <v>2</v>
      </c>
      <c r="G8" s="181">
        <v>61300</v>
      </c>
      <c r="J8"/>
      <c r="K8"/>
      <c r="L8"/>
      <c r="M8"/>
    </row>
    <row r="9" spans="1:22" x14ac:dyDescent="0.25">
      <c r="A9" s="147">
        <v>4</v>
      </c>
      <c r="B9" s="116">
        <v>45296</v>
      </c>
      <c r="C9" s="117">
        <v>2024</v>
      </c>
      <c r="D9" s="118" t="s">
        <v>35</v>
      </c>
      <c r="E9" s="119" t="s">
        <v>764</v>
      </c>
      <c r="F9" s="120">
        <v>1</v>
      </c>
      <c r="G9" s="181">
        <v>50000</v>
      </c>
      <c r="J9"/>
      <c r="K9"/>
      <c r="L9"/>
      <c r="M9"/>
      <c r="N9" s="176" t="s">
        <v>1690</v>
      </c>
      <c r="O9" s="177" t="s">
        <v>1691</v>
      </c>
      <c r="P9" s="178"/>
      <c r="Q9" s="179"/>
    </row>
    <row r="10" spans="1:22" x14ac:dyDescent="0.25">
      <c r="A10" s="147">
        <v>5</v>
      </c>
      <c r="B10" s="116">
        <v>45299</v>
      </c>
      <c r="C10" s="117">
        <v>2024</v>
      </c>
      <c r="D10" s="118" t="s">
        <v>35</v>
      </c>
      <c r="E10" s="119" t="s">
        <v>765</v>
      </c>
      <c r="F10" s="120">
        <v>1</v>
      </c>
      <c r="G10" s="181">
        <v>175000</v>
      </c>
      <c r="J10"/>
      <c r="K10"/>
      <c r="L10"/>
      <c r="M10"/>
      <c r="N10" s="184"/>
      <c r="O10" s="183">
        <v>2024</v>
      </c>
      <c r="P10" s="183">
        <v>2025</v>
      </c>
      <c r="Q10" s="183">
        <v>2026</v>
      </c>
    </row>
    <row r="11" spans="1:22" x14ac:dyDescent="0.25">
      <c r="A11" s="147">
        <v>6</v>
      </c>
      <c r="B11" s="116">
        <v>45299</v>
      </c>
      <c r="C11" s="117">
        <v>2024</v>
      </c>
      <c r="D11" s="118" t="s">
        <v>35</v>
      </c>
      <c r="E11" s="119" t="s">
        <v>765</v>
      </c>
      <c r="F11" s="120">
        <v>1</v>
      </c>
      <c r="G11" s="181">
        <v>275000</v>
      </c>
      <c r="J11"/>
      <c r="K11"/>
      <c r="L11"/>
      <c r="M11"/>
      <c r="N11" s="5" t="s">
        <v>921</v>
      </c>
      <c r="O11" s="128" t="s">
        <v>1692</v>
      </c>
      <c r="P11" s="128"/>
      <c r="Q11" s="128"/>
    </row>
    <row r="12" spans="1:22" x14ac:dyDescent="0.25">
      <c r="A12" s="147">
        <v>7</v>
      </c>
      <c r="B12" s="116">
        <v>45299</v>
      </c>
      <c r="C12" s="117">
        <v>2024</v>
      </c>
      <c r="D12" s="118" t="s">
        <v>35</v>
      </c>
      <c r="E12" s="119" t="s">
        <v>770</v>
      </c>
      <c r="F12" s="120">
        <v>1</v>
      </c>
      <c r="G12" s="181">
        <v>75000</v>
      </c>
      <c r="J12"/>
      <c r="K12"/>
      <c r="L12"/>
      <c r="M12"/>
      <c r="N12" s="5" t="s">
        <v>739</v>
      </c>
      <c r="O12" s="5"/>
      <c r="P12" s="5" t="s">
        <v>1693</v>
      </c>
      <c r="Q12" s="5" t="s">
        <v>1694</v>
      </c>
    </row>
    <row r="13" spans="1:22" x14ac:dyDescent="0.25">
      <c r="A13" s="147">
        <v>8</v>
      </c>
      <c r="B13" s="116">
        <v>45299</v>
      </c>
      <c r="C13" s="117">
        <v>2024</v>
      </c>
      <c r="D13" s="118" t="s">
        <v>35</v>
      </c>
      <c r="E13" s="119" t="s">
        <v>770</v>
      </c>
      <c r="F13" s="120">
        <v>1</v>
      </c>
      <c r="G13" s="181">
        <v>27500</v>
      </c>
      <c r="J13"/>
      <c r="K13"/>
      <c r="L13"/>
      <c r="M13"/>
    </row>
    <row r="14" spans="1:22" x14ac:dyDescent="0.25">
      <c r="A14" s="147">
        <v>9</v>
      </c>
      <c r="B14" s="116">
        <v>45299</v>
      </c>
      <c r="C14" s="117">
        <v>2024</v>
      </c>
      <c r="D14" s="118" t="s">
        <v>35</v>
      </c>
      <c r="E14" s="119" t="s">
        <v>771</v>
      </c>
      <c r="F14" s="120">
        <v>1</v>
      </c>
      <c r="G14" s="181">
        <v>5000</v>
      </c>
      <c r="J14"/>
      <c r="K14"/>
      <c r="L14"/>
      <c r="M14"/>
    </row>
    <row r="15" spans="1:22" x14ac:dyDescent="0.25">
      <c r="A15" s="147">
        <v>10</v>
      </c>
      <c r="B15" s="116">
        <v>45299</v>
      </c>
      <c r="C15" s="117">
        <v>2024</v>
      </c>
      <c r="D15" s="118" t="s">
        <v>35</v>
      </c>
      <c r="E15" s="119" t="s">
        <v>770</v>
      </c>
      <c r="F15" s="120">
        <v>1</v>
      </c>
      <c r="G15" s="181">
        <v>82500</v>
      </c>
      <c r="J15"/>
      <c r="K15"/>
      <c r="L15"/>
      <c r="M15"/>
    </row>
    <row r="16" spans="1:22" x14ac:dyDescent="0.25">
      <c r="A16" s="147">
        <v>11</v>
      </c>
      <c r="B16" s="116">
        <v>45299</v>
      </c>
      <c r="C16" s="117">
        <v>2024</v>
      </c>
      <c r="D16" s="118" t="s">
        <v>35</v>
      </c>
      <c r="E16" s="119" t="s">
        <v>772</v>
      </c>
      <c r="F16" s="120">
        <v>1</v>
      </c>
      <c r="G16" s="181">
        <v>57500</v>
      </c>
      <c r="J16"/>
      <c r="K16"/>
      <c r="L16"/>
      <c r="M16"/>
    </row>
    <row r="17" spans="1:13" x14ac:dyDescent="0.25">
      <c r="A17" s="147">
        <v>12</v>
      </c>
      <c r="B17" s="116">
        <v>45299</v>
      </c>
      <c r="C17" s="117">
        <v>2024</v>
      </c>
      <c r="D17" s="118" t="s">
        <v>35</v>
      </c>
      <c r="E17" s="119" t="s">
        <v>773</v>
      </c>
      <c r="F17" s="120">
        <v>1</v>
      </c>
      <c r="G17" s="181">
        <v>6500</v>
      </c>
      <c r="J17"/>
      <c r="K17"/>
      <c r="L17"/>
      <c r="M17"/>
    </row>
    <row r="18" spans="1:13" x14ac:dyDescent="0.25">
      <c r="A18" s="147">
        <v>13</v>
      </c>
      <c r="B18" s="116">
        <v>45299</v>
      </c>
      <c r="C18" s="117">
        <v>2024</v>
      </c>
      <c r="D18" s="118" t="s">
        <v>35</v>
      </c>
      <c r="E18" s="119" t="s">
        <v>765</v>
      </c>
      <c r="F18" s="120">
        <v>1</v>
      </c>
      <c r="G18" s="181">
        <v>175000</v>
      </c>
      <c r="J18"/>
      <c r="K18"/>
      <c r="L18"/>
      <c r="M18"/>
    </row>
    <row r="19" spans="1:13" x14ac:dyDescent="0.25">
      <c r="A19" s="147">
        <v>14</v>
      </c>
      <c r="B19" s="116">
        <v>45299</v>
      </c>
      <c r="C19" s="117">
        <v>2024</v>
      </c>
      <c r="D19" s="118" t="s">
        <v>35</v>
      </c>
      <c r="E19" s="119" t="s">
        <v>765</v>
      </c>
      <c r="F19" s="120">
        <v>1</v>
      </c>
      <c r="G19" s="181">
        <v>275000</v>
      </c>
      <c r="J19"/>
      <c r="K19"/>
      <c r="L19"/>
    </row>
    <row r="20" spans="1:13" x14ac:dyDescent="0.25">
      <c r="A20" s="147">
        <v>15</v>
      </c>
      <c r="B20" s="116">
        <v>45299</v>
      </c>
      <c r="C20" s="117">
        <v>2024</v>
      </c>
      <c r="D20" s="118" t="s">
        <v>35</v>
      </c>
      <c r="E20" s="119" t="s">
        <v>770</v>
      </c>
      <c r="F20" s="120">
        <v>1</v>
      </c>
      <c r="G20" s="181">
        <v>25000</v>
      </c>
      <c r="J20"/>
      <c r="K20"/>
      <c r="L20"/>
      <c r="M20"/>
    </row>
    <row r="21" spans="1:13" x14ac:dyDescent="0.25">
      <c r="A21" s="147">
        <v>16</v>
      </c>
      <c r="B21" s="116">
        <v>45299</v>
      </c>
      <c r="C21" s="117">
        <v>2024</v>
      </c>
      <c r="D21" s="118" t="s">
        <v>35</v>
      </c>
      <c r="E21" s="119" t="s">
        <v>770</v>
      </c>
      <c r="F21" s="120">
        <v>1</v>
      </c>
      <c r="G21" s="181">
        <v>27500</v>
      </c>
      <c r="J21"/>
      <c r="K21"/>
      <c r="L21"/>
      <c r="M21"/>
    </row>
    <row r="22" spans="1:13" x14ac:dyDescent="0.25">
      <c r="A22" s="147">
        <v>17</v>
      </c>
      <c r="B22" s="116">
        <v>45299</v>
      </c>
      <c r="C22" s="117">
        <v>2024</v>
      </c>
      <c r="D22" s="118" t="s">
        <v>35</v>
      </c>
      <c r="E22" s="119" t="s">
        <v>771</v>
      </c>
      <c r="F22" s="120">
        <v>1</v>
      </c>
      <c r="G22" s="181">
        <v>5000</v>
      </c>
      <c r="J22"/>
      <c r="K22"/>
      <c r="L22"/>
      <c r="M22"/>
    </row>
    <row r="23" spans="1:13" x14ac:dyDescent="0.25">
      <c r="A23" s="147">
        <v>18</v>
      </c>
      <c r="B23" s="116">
        <v>45299</v>
      </c>
      <c r="C23" s="117">
        <v>2024</v>
      </c>
      <c r="D23" s="118" t="s">
        <v>35</v>
      </c>
      <c r="E23" s="119" t="s">
        <v>770</v>
      </c>
      <c r="F23" s="120">
        <v>1</v>
      </c>
      <c r="G23" s="181">
        <v>82500</v>
      </c>
      <c r="J23"/>
      <c r="K23"/>
      <c r="L23"/>
      <c r="M23"/>
    </row>
    <row r="24" spans="1:13" x14ac:dyDescent="0.25">
      <c r="A24" s="147">
        <v>19</v>
      </c>
      <c r="B24" s="116">
        <v>45299</v>
      </c>
      <c r="C24" s="117">
        <v>2024</v>
      </c>
      <c r="D24" s="118" t="s">
        <v>35</v>
      </c>
      <c r="E24" s="119" t="s">
        <v>765</v>
      </c>
      <c r="F24" s="120">
        <v>1</v>
      </c>
      <c r="G24" s="181">
        <v>175000</v>
      </c>
      <c r="J24" s="185"/>
      <c r="K24" s="185"/>
      <c r="L24" s="185"/>
      <c r="M24"/>
    </row>
    <row r="25" spans="1:13" x14ac:dyDescent="0.25">
      <c r="A25" s="147">
        <v>20</v>
      </c>
      <c r="B25" s="116">
        <v>45299</v>
      </c>
      <c r="C25" s="117">
        <v>2024</v>
      </c>
      <c r="D25" s="118" t="s">
        <v>35</v>
      </c>
      <c r="E25" s="119" t="s">
        <v>765</v>
      </c>
      <c r="F25" s="120">
        <v>1</v>
      </c>
      <c r="G25" s="181">
        <v>275000</v>
      </c>
      <c r="J25" s="186"/>
      <c r="K25" s="186"/>
      <c r="L25" s="186"/>
      <c r="M25"/>
    </row>
    <row r="26" spans="1:13" x14ac:dyDescent="0.25">
      <c r="A26" s="147">
        <v>21</v>
      </c>
      <c r="B26" s="116">
        <v>45299</v>
      </c>
      <c r="C26" s="117">
        <v>2024</v>
      </c>
      <c r="D26" s="118" t="s">
        <v>35</v>
      </c>
      <c r="E26" s="119" t="s">
        <v>770</v>
      </c>
      <c r="F26" s="120">
        <v>1</v>
      </c>
      <c r="G26" s="181">
        <v>25000</v>
      </c>
      <c r="J26" s="187"/>
      <c r="K26" s="187"/>
      <c r="L26" s="187"/>
      <c r="M26"/>
    </row>
    <row r="27" spans="1:13" x14ac:dyDescent="0.25">
      <c r="A27" s="147">
        <v>22</v>
      </c>
      <c r="B27" s="116">
        <v>45299</v>
      </c>
      <c r="C27" s="117">
        <v>2024</v>
      </c>
      <c r="D27" s="118" t="s">
        <v>35</v>
      </c>
      <c r="E27" s="119" t="s">
        <v>770</v>
      </c>
      <c r="F27" s="120">
        <v>1</v>
      </c>
      <c r="G27" s="181">
        <v>27500</v>
      </c>
      <c r="J27"/>
      <c r="K27"/>
      <c r="L27"/>
      <c r="M27"/>
    </row>
    <row r="28" spans="1:13" x14ac:dyDescent="0.25">
      <c r="A28" s="147">
        <v>23</v>
      </c>
      <c r="B28" s="116">
        <v>45299</v>
      </c>
      <c r="C28" s="117">
        <v>2024</v>
      </c>
      <c r="D28" s="118" t="s">
        <v>35</v>
      </c>
      <c r="E28" s="119" t="s">
        <v>771</v>
      </c>
      <c r="F28" s="120">
        <v>1</v>
      </c>
      <c r="G28" s="181">
        <v>5000</v>
      </c>
      <c r="J28"/>
      <c r="K28"/>
      <c r="L28"/>
      <c r="M28"/>
    </row>
    <row r="29" spans="1:13" x14ac:dyDescent="0.25">
      <c r="A29" s="147">
        <v>24</v>
      </c>
      <c r="B29" s="116">
        <v>45299</v>
      </c>
      <c r="C29" s="117">
        <v>2024</v>
      </c>
      <c r="D29" s="118" t="s">
        <v>35</v>
      </c>
      <c r="E29" s="119" t="s">
        <v>770</v>
      </c>
      <c r="F29" s="120">
        <v>1</v>
      </c>
      <c r="G29" s="181">
        <v>82500</v>
      </c>
      <c r="J29"/>
      <c r="K29"/>
      <c r="L29"/>
      <c r="M29"/>
    </row>
    <row r="30" spans="1:13" x14ac:dyDescent="0.25">
      <c r="A30" s="147">
        <v>25</v>
      </c>
      <c r="B30" s="116">
        <v>45299</v>
      </c>
      <c r="C30" s="117">
        <v>2024</v>
      </c>
      <c r="D30" s="118" t="s">
        <v>35</v>
      </c>
      <c r="E30" s="119" t="s">
        <v>774</v>
      </c>
      <c r="F30" s="120">
        <v>1</v>
      </c>
      <c r="G30" s="181">
        <v>15000</v>
      </c>
      <c r="J30"/>
      <c r="K30"/>
      <c r="L30"/>
      <c r="M30"/>
    </row>
    <row r="31" spans="1:13" x14ac:dyDescent="0.25">
      <c r="A31" s="147">
        <v>26</v>
      </c>
      <c r="B31" s="116">
        <v>45299</v>
      </c>
      <c r="C31" s="117">
        <v>2024</v>
      </c>
      <c r="D31" s="118" t="s">
        <v>35</v>
      </c>
      <c r="E31" s="119" t="s">
        <v>774</v>
      </c>
      <c r="F31" s="120">
        <v>1</v>
      </c>
      <c r="G31" s="181">
        <v>300000</v>
      </c>
      <c r="J31"/>
      <c r="K31"/>
      <c r="L31"/>
      <c r="M31"/>
    </row>
    <row r="32" spans="1:13" x14ac:dyDescent="0.25">
      <c r="A32" s="147">
        <v>27</v>
      </c>
      <c r="B32" s="116">
        <v>45299</v>
      </c>
      <c r="C32" s="117">
        <v>2024</v>
      </c>
      <c r="D32" s="118" t="s">
        <v>35</v>
      </c>
      <c r="E32" s="119" t="s">
        <v>775</v>
      </c>
      <c r="F32" s="120">
        <v>1</v>
      </c>
      <c r="G32" s="181">
        <v>25000</v>
      </c>
      <c r="J32"/>
      <c r="K32"/>
      <c r="L32"/>
      <c r="M32"/>
    </row>
    <row r="33" spans="1:13" x14ac:dyDescent="0.25">
      <c r="A33" s="147">
        <v>28</v>
      </c>
      <c r="B33" s="116">
        <v>45299</v>
      </c>
      <c r="C33" s="117">
        <v>2024</v>
      </c>
      <c r="D33" s="118" t="s">
        <v>35</v>
      </c>
      <c r="E33" s="119" t="s">
        <v>775</v>
      </c>
      <c r="F33" s="120">
        <v>1</v>
      </c>
      <c r="G33" s="181">
        <v>25000</v>
      </c>
      <c r="J33"/>
      <c r="K33"/>
      <c r="L33"/>
      <c r="M33"/>
    </row>
    <row r="34" spans="1:13" x14ac:dyDescent="0.25">
      <c r="A34" s="147">
        <v>29</v>
      </c>
      <c r="B34" s="116">
        <v>45299</v>
      </c>
      <c r="C34" s="117">
        <v>2024</v>
      </c>
      <c r="D34" s="118" t="s">
        <v>35</v>
      </c>
      <c r="E34" s="119" t="s">
        <v>776</v>
      </c>
      <c r="F34" s="120">
        <v>1</v>
      </c>
      <c r="G34" s="181">
        <v>40000</v>
      </c>
      <c r="J34"/>
      <c r="K34"/>
      <c r="L34"/>
      <c r="M34"/>
    </row>
    <row r="35" spans="1:13" x14ac:dyDescent="0.25">
      <c r="A35" s="147">
        <v>30</v>
      </c>
      <c r="B35" s="116">
        <v>45299</v>
      </c>
      <c r="C35" s="117">
        <v>2024</v>
      </c>
      <c r="D35" s="118" t="s">
        <v>35</v>
      </c>
      <c r="E35" s="119" t="s">
        <v>777</v>
      </c>
      <c r="F35" s="120">
        <v>1</v>
      </c>
      <c r="G35" s="181">
        <v>40000</v>
      </c>
      <c r="J35"/>
      <c r="K35"/>
      <c r="L35"/>
      <c r="M35"/>
    </row>
    <row r="36" spans="1:13" x14ac:dyDescent="0.25">
      <c r="A36" s="147">
        <v>31</v>
      </c>
      <c r="B36" s="116">
        <v>45299</v>
      </c>
      <c r="C36" s="117">
        <v>2024</v>
      </c>
      <c r="D36" s="118" t="s">
        <v>35</v>
      </c>
      <c r="E36" s="119" t="s">
        <v>778</v>
      </c>
      <c r="F36" s="120">
        <v>1</v>
      </c>
      <c r="G36" s="181">
        <v>75000</v>
      </c>
      <c r="J36"/>
      <c r="K36"/>
      <c r="L36"/>
      <c r="M36"/>
    </row>
    <row r="37" spans="1:13" x14ac:dyDescent="0.25">
      <c r="A37" s="147">
        <v>32</v>
      </c>
      <c r="B37" s="116">
        <v>45299</v>
      </c>
      <c r="C37" s="117">
        <v>2024</v>
      </c>
      <c r="D37" s="118" t="s">
        <v>35</v>
      </c>
      <c r="E37" s="119" t="s">
        <v>778</v>
      </c>
      <c r="F37" s="120">
        <v>1</v>
      </c>
      <c r="G37" s="181">
        <v>57500</v>
      </c>
      <c r="J37"/>
      <c r="K37"/>
      <c r="L37"/>
      <c r="M37"/>
    </row>
    <row r="38" spans="1:13" x14ac:dyDescent="0.25">
      <c r="A38" s="147">
        <v>33</v>
      </c>
      <c r="B38" s="116">
        <v>45299</v>
      </c>
      <c r="C38" s="117">
        <v>2024</v>
      </c>
      <c r="D38" s="118" t="s">
        <v>35</v>
      </c>
      <c r="E38" s="119" t="s">
        <v>779</v>
      </c>
      <c r="F38" s="120">
        <v>1</v>
      </c>
      <c r="G38" s="181">
        <v>6000</v>
      </c>
      <c r="J38"/>
      <c r="K38"/>
      <c r="L38"/>
      <c r="M38"/>
    </row>
    <row r="39" spans="1:13" x14ac:dyDescent="0.25">
      <c r="A39" s="147">
        <v>34</v>
      </c>
      <c r="B39" s="116">
        <v>45299</v>
      </c>
      <c r="C39" s="117">
        <v>2024</v>
      </c>
      <c r="D39" s="118" t="s">
        <v>35</v>
      </c>
      <c r="E39" s="119" t="s">
        <v>780</v>
      </c>
      <c r="F39" s="120">
        <v>1</v>
      </c>
      <c r="G39" s="181">
        <v>225000</v>
      </c>
      <c r="J39"/>
      <c r="K39"/>
      <c r="L39"/>
      <c r="M39"/>
    </row>
    <row r="40" spans="1:13" x14ac:dyDescent="0.25">
      <c r="A40" s="147">
        <v>35</v>
      </c>
      <c r="B40" s="116">
        <v>45299</v>
      </c>
      <c r="C40" s="117">
        <v>2024</v>
      </c>
      <c r="D40" s="118" t="s">
        <v>35</v>
      </c>
      <c r="E40" s="119" t="s">
        <v>781</v>
      </c>
      <c r="F40" s="120">
        <v>1</v>
      </c>
      <c r="G40" s="181">
        <v>65000</v>
      </c>
      <c r="J40"/>
      <c r="K40"/>
      <c r="L40"/>
      <c r="M40"/>
    </row>
    <row r="41" spans="1:13" x14ac:dyDescent="0.25">
      <c r="A41" s="147">
        <v>36</v>
      </c>
      <c r="B41" s="116">
        <v>45299</v>
      </c>
      <c r="C41" s="117">
        <v>2024</v>
      </c>
      <c r="D41" s="118" t="s">
        <v>35</v>
      </c>
      <c r="E41" s="119" t="s">
        <v>782</v>
      </c>
      <c r="F41" s="120">
        <v>1</v>
      </c>
      <c r="G41" s="181">
        <v>38500</v>
      </c>
      <c r="J41"/>
      <c r="K41"/>
      <c r="L41"/>
      <c r="M41"/>
    </row>
    <row r="42" spans="1:13" x14ac:dyDescent="0.25">
      <c r="A42" s="147">
        <v>37</v>
      </c>
      <c r="B42" s="116">
        <v>45299</v>
      </c>
      <c r="C42" s="117">
        <v>2024</v>
      </c>
      <c r="D42" s="118" t="s">
        <v>35</v>
      </c>
      <c r="E42" s="119" t="s">
        <v>783</v>
      </c>
      <c r="F42" s="120">
        <v>1</v>
      </c>
      <c r="G42" s="181">
        <v>525000</v>
      </c>
      <c r="J42"/>
      <c r="K42"/>
      <c r="L42"/>
      <c r="M42"/>
    </row>
    <row r="43" spans="1:13" x14ac:dyDescent="0.25">
      <c r="A43" s="147">
        <v>38</v>
      </c>
      <c r="B43" s="116">
        <v>45299</v>
      </c>
      <c r="C43" s="117">
        <v>2024</v>
      </c>
      <c r="D43" s="118" t="s">
        <v>35</v>
      </c>
      <c r="E43" s="119" t="s">
        <v>784</v>
      </c>
      <c r="F43" s="120">
        <v>1</v>
      </c>
      <c r="G43" s="181">
        <v>150000</v>
      </c>
      <c r="J43"/>
      <c r="K43"/>
      <c r="L43"/>
      <c r="M43"/>
    </row>
    <row r="44" spans="1:13" x14ac:dyDescent="0.25">
      <c r="A44" s="147">
        <v>39</v>
      </c>
      <c r="B44" s="116">
        <v>45299</v>
      </c>
      <c r="C44" s="117">
        <v>2024</v>
      </c>
      <c r="D44" s="118" t="s">
        <v>35</v>
      </c>
      <c r="E44" s="119" t="s">
        <v>776</v>
      </c>
      <c r="F44" s="120">
        <v>1</v>
      </c>
      <c r="G44" s="181">
        <v>40000</v>
      </c>
      <c r="J44"/>
      <c r="K44"/>
      <c r="L44"/>
      <c r="M44"/>
    </row>
    <row r="45" spans="1:13" x14ac:dyDescent="0.25">
      <c r="A45" s="147">
        <v>40</v>
      </c>
      <c r="B45" s="116">
        <v>45300</v>
      </c>
      <c r="C45" s="117">
        <v>2024</v>
      </c>
      <c r="D45" s="118" t="s">
        <v>35</v>
      </c>
      <c r="E45" s="119" t="s">
        <v>785</v>
      </c>
      <c r="F45" s="120">
        <v>1</v>
      </c>
      <c r="G45" s="181">
        <v>56000</v>
      </c>
      <c r="J45"/>
      <c r="K45"/>
      <c r="L45"/>
      <c r="M45"/>
    </row>
    <row r="46" spans="1:13" x14ac:dyDescent="0.25">
      <c r="A46" s="147">
        <v>41</v>
      </c>
      <c r="B46" s="116">
        <v>45300</v>
      </c>
      <c r="C46" s="117">
        <v>2024</v>
      </c>
      <c r="D46" s="118" t="s">
        <v>35</v>
      </c>
      <c r="E46" s="119" t="s">
        <v>770</v>
      </c>
      <c r="F46" s="120">
        <v>1</v>
      </c>
      <c r="G46" s="181">
        <v>59000</v>
      </c>
      <c r="J46"/>
      <c r="K46"/>
      <c r="L46"/>
      <c r="M46"/>
    </row>
    <row r="47" spans="1:13" x14ac:dyDescent="0.25">
      <c r="A47" s="147">
        <v>42</v>
      </c>
      <c r="B47" s="116">
        <v>45300</v>
      </c>
      <c r="C47" s="117">
        <v>2024</v>
      </c>
      <c r="D47" s="118" t="s">
        <v>35</v>
      </c>
      <c r="E47" s="119" t="s">
        <v>770</v>
      </c>
      <c r="F47" s="120">
        <v>1</v>
      </c>
      <c r="G47" s="181">
        <v>48000</v>
      </c>
      <c r="J47"/>
      <c r="K47"/>
      <c r="L47"/>
      <c r="M47"/>
    </row>
    <row r="48" spans="1:13" x14ac:dyDescent="0.25">
      <c r="A48" s="147">
        <v>43</v>
      </c>
      <c r="B48" s="116">
        <v>45300</v>
      </c>
      <c r="C48" s="117">
        <v>2024</v>
      </c>
      <c r="D48" s="118" t="s">
        <v>35</v>
      </c>
      <c r="E48" s="119" t="s">
        <v>770</v>
      </c>
      <c r="F48" s="120">
        <v>1</v>
      </c>
      <c r="G48" s="181">
        <v>1500</v>
      </c>
      <c r="J48"/>
      <c r="K48"/>
      <c r="L48"/>
      <c r="M48"/>
    </row>
    <row r="49" spans="1:13" x14ac:dyDescent="0.25">
      <c r="A49" s="147">
        <v>44</v>
      </c>
      <c r="B49" s="116">
        <v>45300</v>
      </c>
      <c r="C49" s="117">
        <v>2024</v>
      </c>
      <c r="D49" s="118" t="s">
        <v>35</v>
      </c>
      <c r="E49" s="119" t="s">
        <v>786</v>
      </c>
      <c r="F49" s="120">
        <v>1</v>
      </c>
      <c r="G49" s="181">
        <v>57500</v>
      </c>
      <c r="J49"/>
      <c r="K49"/>
      <c r="L49"/>
      <c r="M49"/>
    </row>
    <row r="50" spans="1:13" x14ac:dyDescent="0.25">
      <c r="A50" s="147">
        <v>45</v>
      </c>
      <c r="B50" s="116">
        <v>45300</v>
      </c>
      <c r="C50" s="117">
        <v>2024</v>
      </c>
      <c r="D50" s="118" t="s">
        <v>35</v>
      </c>
      <c r="E50" s="119" t="s">
        <v>787</v>
      </c>
      <c r="F50" s="120">
        <v>1</v>
      </c>
      <c r="G50" s="181">
        <v>18000</v>
      </c>
      <c r="J50"/>
      <c r="K50"/>
      <c r="L50"/>
      <c r="M50"/>
    </row>
    <row r="51" spans="1:13" x14ac:dyDescent="0.25">
      <c r="A51" s="147">
        <v>46</v>
      </c>
      <c r="B51" s="116">
        <v>45300</v>
      </c>
      <c r="C51" s="117">
        <v>2024</v>
      </c>
      <c r="D51" s="118" t="s">
        <v>35</v>
      </c>
      <c r="E51" s="119" t="s">
        <v>788</v>
      </c>
      <c r="F51" s="120">
        <v>1</v>
      </c>
      <c r="G51" s="181">
        <v>37500</v>
      </c>
      <c r="J51"/>
      <c r="K51"/>
      <c r="L51"/>
      <c r="M51"/>
    </row>
    <row r="52" spans="1:13" x14ac:dyDescent="0.25">
      <c r="A52" s="147">
        <v>47</v>
      </c>
      <c r="B52" s="116">
        <v>45300</v>
      </c>
      <c r="C52" s="117">
        <v>2024</v>
      </c>
      <c r="D52" s="118" t="s">
        <v>35</v>
      </c>
      <c r="E52" s="119" t="s">
        <v>789</v>
      </c>
      <c r="F52" s="120">
        <v>1</v>
      </c>
      <c r="G52" s="181">
        <v>175000</v>
      </c>
      <c r="J52"/>
      <c r="K52"/>
      <c r="L52"/>
      <c r="M52"/>
    </row>
    <row r="53" spans="1:13" x14ac:dyDescent="0.25">
      <c r="A53" s="147">
        <v>48</v>
      </c>
      <c r="B53" s="116">
        <v>45302</v>
      </c>
      <c r="C53" s="117">
        <v>2024</v>
      </c>
      <c r="D53" s="118" t="s">
        <v>35</v>
      </c>
      <c r="E53" s="119" t="s">
        <v>790</v>
      </c>
      <c r="F53" s="120">
        <v>1</v>
      </c>
      <c r="G53" s="181">
        <v>300000</v>
      </c>
      <c r="J53"/>
      <c r="K53"/>
      <c r="L53"/>
      <c r="M53"/>
    </row>
    <row r="54" spans="1:13" x14ac:dyDescent="0.25">
      <c r="A54" s="147">
        <v>49</v>
      </c>
      <c r="B54" s="116">
        <v>45304</v>
      </c>
      <c r="C54" s="117">
        <v>2024</v>
      </c>
      <c r="D54" s="118" t="s">
        <v>35</v>
      </c>
      <c r="E54" s="119" t="s">
        <v>791</v>
      </c>
      <c r="F54" s="120">
        <v>1</v>
      </c>
      <c r="G54" s="181">
        <v>225000</v>
      </c>
      <c r="J54"/>
      <c r="K54"/>
      <c r="L54"/>
      <c r="M54"/>
    </row>
    <row r="55" spans="1:13" x14ac:dyDescent="0.25">
      <c r="A55" s="147">
        <v>50</v>
      </c>
      <c r="B55" s="116">
        <v>45304</v>
      </c>
      <c r="C55" s="117">
        <v>2024</v>
      </c>
      <c r="D55" s="118" t="s">
        <v>35</v>
      </c>
      <c r="E55" s="119" t="s">
        <v>792</v>
      </c>
      <c r="F55" s="120">
        <v>1</v>
      </c>
      <c r="G55" s="181">
        <v>300000</v>
      </c>
      <c r="J55"/>
      <c r="K55"/>
      <c r="L55"/>
      <c r="M55"/>
    </row>
    <row r="56" spans="1:13" x14ac:dyDescent="0.25">
      <c r="A56" s="147">
        <v>51</v>
      </c>
      <c r="B56" s="116">
        <v>45304</v>
      </c>
      <c r="C56" s="117">
        <v>2024</v>
      </c>
      <c r="D56" s="118" t="s">
        <v>35</v>
      </c>
      <c r="E56" s="119" t="s">
        <v>256</v>
      </c>
      <c r="F56" s="120">
        <v>1</v>
      </c>
      <c r="G56" s="181">
        <v>300000</v>
      </c>
      <c r="J56"/>
      <c r="K56"/>
      <c r="L56"/>
      <c r="M56"/>
    </row>
    <row r="57" spans="1:13" x14ac:dyDescent="0.25">
      <c r="A57" s="147">
        <v>52</v>
      </c>
      <c r="B57" s="116">
        <v>45304</v>
      </c>
      <c r="C57" s="117">
        <v>2024</v>
      </c>
      <c r="D57" s="118" t="s">
        <v>35</v>
      </c>
      <c r="E57" s="119" t="s">
        <v>793</v>
      </c>
      <c r="F57" s="120">
        <v>1</v>
      </c>
      <c r="G57" s="181">
        <v>690000</v>
      </c>
      <c r="J57"/>
      <c r="K57"/>
      <c r="L57"/>
      <c r="M57"/>
    </row>
    <row r="58" spans="1:13" x14ac:dyDescent="0.25">
      <c r="A58" s="147">
        <v>53</v>
      </c>
      <c r="B58" s="116">
        <v>45304</v>
      </c>
      <c r="C58" s="117">
        <v>2024</v>
      </c>
      <c r="D58" s="118" t="s">
        <v>35</v>
      </c>
      <c r="E58" s="119" t="s">
        <v>794</v>
      </c>
      <c r="F58" s="120">
        <v>1</v>
      </c>
      <c r="G58" s="181">
        <v>166500</v>
      </c>
      <c r="J58"/>
      <c r="K58"/>
      <c r="L58"/>
      <c r="M58"/>
    </row>
    <row r="59" spans="1:13" x14ac:dyDescent="0.25">
      <c r="A59" s="147">
        <v>54</v>
      </c>
      <c r="B59" s="116">
        <v>45304</v>
      </c>
      <c r="C59" s="117">
        <v>2024</v>
      </c>
      <c r="D59" s="118" t="s">
        <v>35</v>
      </c>
      <c r="E59" s="119" t="s">
        <v>795</v>
      </c>
      <c r="F59" s="120">
        <v>1</v>
      </c>
      <c r="G59" s="181">
        <v>475000</v>
      </c>
      <c r="J59"/>
      <c r="K59"/>
      <c r="L59"/>
      <c r="M59"/>
    </row>
    <row r="60" spans="1:13" x14ac:dyDescent="0.25">
      <c r="A60" s="147">
        <v>55</v>
      </c>
      <c r="B60" s="116">
        <v>45304</v>
      </c>
      <c r="C60" s="117">
        <v>2024</v>
      </c>
      <c r="D60" s="118" t="s">
        <v>35</v>
      </c>
      <c r="E60" s="119" t="s">
        <v>796</v>
      </c>
      <c r="F60" s="120">
        <v>1</v>
      </c>
      <c r="G60" s="181">
        <v>450000</v>
      </c>
      <c r="J60"/>
      <c r="K60"/>
      <c r="L60"/>
      <c r="M60"/>
    </row>
    <row r="61" spans="1:13" x14ac:dyDescent="0.25">
      <c r="A61" s="147">
        <v>56</v>
      </c>
      <c r="B61" s="116">
        <v>45304</v>
      </c>
      <c r="C61" s="117">
        <v>2024</v>
      </c>
      <c r="D61" s="118" t="s">
        <v>35</v>
      </c>
      <c r="E61" s="119" t="s">
        <v>797</v>
      </c>
      <c r="F61" s="120">
        <v>1</v>
      </c>
      <c r="G61" s="181">
        <v>90000</v>
      </c>
      <c r="J61"/>
      <c r="K61"/>
      <c r="L61"/>
      <c r="M61"/>
    </row>
    <row r="62" spans="1:13" x14ac:dyDescent="0.25">
      <c r="A62" s="147">
        <v>57</v>
      </c>
      <c r="B62" s="116">
        <v>45304</v>
      </c>
      <c r="C62" s="117">
        <v>2024</v>
      </c>
      <c r="D62" s="118" t="s">
        <v>35</v>
      </c>
      <c r="E62" s="119" t="s">
        <v>798</v>
      </c>
      <c r="F62" s="120">
        <v>1</v>
      </c>
      <c r="G62" s="181">
        <v>80000</v>
      </c>
      <c r="J62"/>
      <c r="K62"/>
      <c r="L62"/>
      <c r="M62"/>
    </row>
    <row r="63" spans="1:13" x14ac:dyDescent="0.25">
      <c r="A63" s="147">
        <v>58</v>
      </c>
      <c r="B63" s="116">
        <v>45304</v>
      </c>
      <c r="C63" s="117">
        <v>2024</v>
      </c>
      <c r="D63" s="118" t="s">
        <v>35</v>
      </c>
      <c r="E63" s="119" t="s">
        <v>794</v>
      </c>
      <c r="F63" s="120">
        <v>1</v>
      </c>
      <c r="G63" s="181">
        <v>166500</v>
      </c>
      <c r="J63"/>
      <c r="K63"/>
      <c r="L63"/>
      <c r="M63"/>
    </row>
    <row r="64" spans="1:13" x14ac:dyDescent="0.25">
      <c r="A64" s="147">
        <v>59</v>
      </c>
      <c r="B64" s="116">
        <v>45304</v>
      </c>
      <c r="C64" s="117">
        <v>2024</v>
      </c>
      <c r="D64" s="118" t="s">
        <v>35</v>
      </c>
      <c r="E64" s="119" t="s">
        <v>799</v>
      </c>
      <c r="F64" s="120">
        <v>1</v>
      </c>
      <c r="G64" s="181">
        <v>200000</v>
      </c>
      <c r="J64"/>
      <c r="K64"/>
      <c r="L64"/>
      <c r="M64"/>
    </row>
    <row r="65" spans="1:13" x14ac:dyDescent="0.25">
      <c r="A65" s="147">
        <v>60</v>
      </c>
      <c r="B65" s="116">
        <v>45304</v>
      </c>
      <c r="C65" s="117">
        <v>2024</v>
      </c>
      <c r="D65" s="118" t="s">
        <v>35</v>
      </c>
      <c r="E65" s="119" t="s">
        <v>800</v>
      </c>
      <c r="F65" s="120">
        <v>1</v>
      </c>
      <c r="G65" s="181">
        <v>185000</v>
      </c>
      <c r="J65"/>
      <c r="K65"/>
      <c r="L65"/>
      <c r="M65"/>
    </row>
    <row r="66" spans="1:13" x14ac:dyDescent="0.25">
      <c r="A66" s="147">
        <v>61</v>
      </c>
      <c r="B66" s="116">
        <v>45304</v>
      </c>
      <c r="C66" s="117">
        <v>2024</v>
      </c>
      <c r="D66" s="118" t="s">
        <v>35</v>
      </c>
      <c r="E66" s="119" t="s">
        <v>801</v>
      </c>
      <c r="F66" s="120">
        <v>1</v>
      </c>
      <c r="G66" s="181">
        <v>40000</v>
      </c>
      <c r="J66"/>
      <c r="K66"/>
      <c r="L66"/>
      <c r="M66"/>
    </row>
    <row r="67" spans="1:13" x14ac:dyDescent="0.25">
      <c r="A67" s="147">
        <v>62</v>
      </c>
      <c r="B67" s="116">
        <v>45304</v>
      </c>
      <c r="C67" s="117">
        <v>2024</v>
      </c>
      <c r="D67" s="118" t="s">
        <v>35</v>
      </c>
      <c r="E67" s="119" t="s">
        <v>794</v>
      </c>
      <c r="F67" s="120">
        <v>1</v>
      </c>
      <c r="G67" s="181">
        <v>166500</v>
      </c>
      <c r="J67"/>
      <c r="K67"/>
      <c r="L67"/>
      <c r="M67"/>
    </row>
    <row r="68" spans="1:13" x14ac:dyDescent="0.25">
      <c r="A68" s="147">
        <v>63</v>
      </c>
      <c r="B68" s="116">
        <v>45304</v>
      </c>
      <c r="C68" s="117">
        <v>2024</v>
      </c>
      <c r="D68" s="118" t="s">
        <v>35</v>
      </c>
      <c r="E68" s="119" t="s">
        <v>802</v>
      </c>
      <c r="F68" s="120">
        <v>1</v>
      </c>
      <c r="G68" s="181">
        <v>100000</v>
      </c>
      <c r="J68"/>
      <c r="K68"/>
      <c r="L68"/>
      <c r="M68"/>
    </row>
    <row r="69" spans="1:13" x14ac:dyDescent="0.25">
      <c r="A69" s="147">
        <v>64</v>
      </c>
      <c r="B69" s="116">
        <v>45304</v>
      </c>
      <c r="C69" s="117">
        <v>2024</v>
      </c>
      <c r="D69" s="118" t="s">
        <v>35</v>
      </c>
      <c r="E69" s="119" t="s">
        <v>803</v>
      </c>
      <c r="F69" s="120">
        <v>1</v>
      </c>
      <c r="G69" s="181">
        <v>150000</v>
      </c>
      <c r="J69"/>
      <c r="K69"/>
      <c r="L69"/>
      <c r="M69"/>
    </row>
    <row r="70" spans="1:13" x14ac:dyDescent="0.25">
      <c r="A70" s="147">
        <v>65</v>
      </c>
      <c r="B70" s="116">
        <v>45304</v>
      </c>
      <c r="C70" s="117">
        <v>2024</v>
      </c>
      <c r="D70" s="118" t="s">
        <v>35</v>
      </c>
      <c r="E70" s="119" t="s">
        <v>804</v>
      </c>
      <c r="F70" s="120">
        <v>1</v>
      </c>
      <c r="G70" s="181">
        <v>130000</v>
      </c>
      <c r="J70"/>
      <c r="K70"/>
      <c r="L70"/>
      <c r="M70"/>
    </row>
    <row r="71" spans="1:13" x14ac:dyDescent="0.25">
      <c r="A71" s="147">
        <v>66</v>
      </c>
      <c r="B71" s="116">
        <v>45304</v>
      </c>
      <c r="C71" s="117">
        <v>2024</v>
      </c>
      <c r="D71" s="118" t="s">
        <v>35</v>
      </c>
      <c r="E71" s="119" t="s">
        <v>620</v>
      </c>
      <c r="F71" s="120">
        <v>1</v>
      </c>
      <c r="G71" s="181">
        <v>100000</v>
      </c>
      <c r="J71"/>
      <c r="K71"/>
      <c r="L71"/>
      <c r="M71"/>
    </row>
    <row r="72" spans="1:13" x14ac:dyDescent="0.25">
      <c r="A72" s="147">
        <v>67</v>
      </c>
      <c r="B72" s="116">
        <v>45304</v>
      </c>
      <c r="C72" s="117">
        <v>2024</v>
      </c>
      <c r="D72" s="118" t="s">
        <v>35</v>
      </c>
      <c r="E72" s="119" t="s">
        <v>805</v>
      </c>
      <c r="F72" s="120">
        <v>1</v>
      </c>
      <c r="G72" s="181">
        <v>225000</v>
      </c>
      <c r="J72"/>
      <c r="K72"/>
      <c r="L72"/>
      <c r="M72"/>
    </row>
    <row r="73" spans="1:13" x14ac:dyDescent="0.25">
      <c r="A73" s="147">
        <v>68</v>
      </c>
      <c r="B73" s="116">
        <v>45304</v>
      </c>
      <c r="C73" s="117">
        <v>2024</v>
      </c>
      <c r="D73" s="118" t="s">
        <v>35</v>
      </c>
      <c r="E73" s="119" t="s">
        <v>806</v>
      </c>
      <c r="F73" s="120">
        <v>1</v>
      </c>
      <c r="G73" s="181">
        <v>225000</v>
      </c>
      <c r="J73"/>
      <c r="K73"/>
      <c r="L73"/>
      <c r="M73"/>
    </row>
    <row r="74" spans="1:13" x14ac:dyDescent="0.25">
      <c r="A74" s="147">
        <v>69</v>
      </c>
      <c r="B74" s="116">
        <v>45304</v>
      </c>
      <c r="C74" s="117">
        <v>2024</v>
      </c>
      <c r="D74" s="118" t="s">
        <v>35</v>
      </c>
      <c r="E74" s="119" t="s">
        <v>184</v>
      </c>
      <c r="F74" s="120">
        <v>1</v>
      </c>
      <c r="G74" s="181">
        <v>40000</v>
      </c>
      <c r="J74"/>
      <c r="K74"/>
      <c r="L74"/>
      <c r="M74"/>
    </row>
    <row r="75" spans="1:13" x14ac:dyDescent="0.25">
      <c r="A75" s="147">
        <v>70</v>
      </c>
      <c r="B75" s="116">
        <v>45304</v>
      </c>
      <c r="C75" s="117">
        <v>2024</v>
      </c>
      <c r="D75" s="118" t="s">
        <v>35</v>
      </c>
      <c r="E75" s="119" t="s">
        <v>807</v>
      </c>
      <c r="F75" s="120">
        <v>1</v>
      </c>
      <c r="G75" s="181">
        <v>125000</v>
      </c>
      <c r="J75"/>
      <c r="K75"/>
      <c r="L75"/>
      <c r="M75"/>
    </row>
    <row r="76" spans="1:13" x14ac:dyDescent="0.25">
      <c r="A76" s="147">
        <v>71</v>
      </c>
      <c r="B76" s="116">
        <v>45304</v>
      </c>
      <c r="C76" s="117">
        <v>2024</v>
      </c>
      <c r="D76" s="118" t="s">
        <v>35</v>
      </c>
      <c r="E76" s="119" t="s">
        <v>808</v>
      </c>
      <c r="F76" s="120">
        <v>1</v>
      </c>
      <c r="G76" s="181">
        <v>250000</v>
      </c>
      <c r="J76"/>
      <c r="K76"/>
      <c r="L76"/>
      <c r="M76"/>
    </row>
    <row r="77" spans="1:13" x14ac:dyDescent="0.25">
      <c r="A77" s="147">
        <v>72</v>
      </c>
      <c r="B77" s="116">
        <v>45304</v>
      </c>
      <c r="C77" s="117">
        <v>2024</v>
      </c>
      <c r="D77" s="118" t="s">
        <v>35</v>
      </c>
      <c r="E77" s="119" t="s">
        <v>809</v>
      </c>
      <c r="F77" s="120">
        <v>1</v>
      </c>
      <c r="G77" s="181">
        <v>75000</v>
      </c>
      <c r="J77"/>
      <c r="K77"/>
      <c r="L77"/>
      <c r="M77"/>
    </row>
    <row r="78" spans="1:13" x14ac:dyDescent="0.25">
      <c r="A78" s="147">
        <v>73</v>
      </c>
      <c r="B78" s="116">
        <v>45304</v>
      </c>
      <c r="C78" s="117">
        <v>2024</v>
      </c>
      <c r="D78" s="118" t="s">
        <v>35</v>
      </c>
      <c r="E78" s="119" t="s">
        <v>794</v>
      </c>
      <c r="F78" s="120">
        <v>1</v>
      </c>
      <c r="G78" s="181">
        <v>166500</v>
      </c>
      <c r="J78"/>
      <c r="K78"/>
      <c r="L78"/>
      <c r="M78"/>
    </row>
    <row r="79" spans="1:13" x14ac:dyDescent="0.25">
      <c r="A79" s="147">
        <v>74</v>
      </c>
      <c r="B79" s="116">
        <v>45304</v>
      </c>
      <c r="C79" s="117">
        <v>2024</v>
      </c>
      <c r="D79" s="118" t="s">
        <v>35</v>
      </c>
      <c r="E79" s="119" t="s">
        <v>810</v>
      </c>
      <c r="F79" s="120">
        <v>1</v>
      </c>
      <c r="G79" s="181">
        <v>75000</v>
      </c>
      <c r="J79"/>
      <c r="K79"/>
      <c r="L79"/>
      <c r="M79"/>
    </row>
    <row r="80" spans="1:13" x14ac:dyDescent="0.25">
      <c r="A80" s="147">
        <v>75</v>
      </c>
      <c r="B80" s="116">
        <v>45304</v>
      </c>
      <c r="C80" s="117">
        <v>2024</v>
      </c>
      <c r="D80" s="118" t="s">
        <v>35</v>
      </c>
      <c r="E80" s="119" t="s">
        <v>811</v>
      </c>
      <c r="F80" s="120">
        <v>1</v>
      </c>
      <c r="G80" s="181">
        <v>150000</v>
      </c>
      <c r="J80"/>
      <c r="K80"/>
      <c r="L80"/>
      <c r="M80"/>
    </row>
    <row r="81" spans="1:13" x14ac:dyDescent="0.25">
      <c r="A81" s="147">
        <v>76</v>
      </c>
      <c r="B81" s="116">
        <v>45304</v>
      </c>
      <c r="C81" s="117">
        <v>2024</v>
      </c>
      <c r="D81" s="118" t="s">
        <v>35</v>
      </c>
      <c r="E81" s="119" t="s">
        <v>812</v>
      </c>
      <c r="F81" s="120">
        <v>1</v>
      </c>
      <c r="G81" s="181">
        <v>225000</v>
      </c>
      <c r="J81"/>
      <c r="K81"/>
      <c r="L81"/>
      <c r="M81"/>
    </row>
    <row r="82" spans="1:13" x14ac:dyDescent="0.25">
      <c r="A82" s="147">
        <v>77</v>
      </c>
      <c r="B82" s="116">
        <v>45304</v>
      </c>
      <c r="C82" s="117">
        <v>2024</v>
      </c>
      <c r="D82" s="118" t="s">
        <v>35</v>
      </c>
      <c r="E82" s="119" t="s">
        <v>813</v>
      </c>
      <c r="F82" s="120">
        <v>1</v>
      </c>
      <c r="G82" s="181">
        <v>125000</v>
      </c>
      <c r="J82"/>
      <c r="K82"/>
      <c r="L82"/>
      <c r="M82"/>
    </row>
    <row r="83" spans="1:13" x14ac:dyDescent="0.25">
      <c r="A83" s="147">
        <v>78</v>
      </c>
      <c r="B83" s="116">
        <v>45304</v>
      </c>
      <c r="C83" s="117">
        <v>2024</v>
      </c>
      <c r="D83" s="118" t="s">
        <v>35</v>
      </c>
      <c r="E83" s="119" t="s">
        <v>814</v>
      </c>
      <c r="F83" s="120">
        <v>1</v>
      </c>
      <c r="G83" s="181">
        <v>225000</v>
      </c>
      <c r="J83"/>
      <c r="K83"/>
      <c r="L83"/>
      <c r="M83"/>
    </row>
    <row r="84" spans="1:13" x14ac:dyDescent="0.25">
      <c r="A84" s="147">
        <v>79</v>
      </c>
      <c r="B84" s="116">
        <v>45304</v>
      </c>
      <c r="C84" s="117">
        <v>2024</v>
      </c>
      <c r="D84" s="118" t="s">
        <v>35</v>
      </c>
      <c r="E84" s="119" t="s">
        <v>815</v>
      </c>
      <c r="F84" s="120">
        <v>1</v>
      </c>
      <c r="G84" s="181">
        <v>20000</v>
      </c>
      <c r="J84"/>
      <c r="K84"/>
      <c r="L84"/>
      <c r="M84"/>
    </row>
    <row r="85" spans="1:13" x14ac:dyDescent="0.25">
      <c r="A85" s="147">
        <v>80</v>
      </c>
      <c r="B85" s="116">
        <v>45304</v>
      </c>
      <c r="C85" s="117">
        <v>2024</v>
      </c>
      <c r="D85" s="118" t="s">
        <v>35</v>
      </c>
      <c r="E85" s="119" t="s">
        <v>816</v>
      </c>
      <c r="F85" s="120">
        <v>1</v>
      </c>
      <c r="G85" s="181">
        <v>75000</v>
      </c>
      <c r="J85"/>
      <c r="K85"/>
      <c r="L85"/>
      <c r="M85"/>
    </row>
    <row r="86" spans="1:13" x14ac:dyDescent="0.25">
      <c r="A86" s="147">
        <v>81</v>
      </c>
      <c r="B86" s="116">
        <v>45304</v>
      </c>
      <c r="C86" s="117">
        <v>2024</v>
      </c>
      <c r="D86" s="118" t="s">
        <v>35</v>
      </c>
      <c r="E86" s="119" t="s">
        <v>794</v>
      </c>
      <c r="F86" s="120">
        <v>1</v>
      </c>
      <c r="G86" s="181">
        <v>166500</v>
      </c>
      <c r="J86"/>
      <c r="K86"/>
      <c r="L86"/>
      <c r="M86"/>
    </row>
    <row r="87" spans="1:13" x14ac:dyDescent="0.25">
      <c r="A87" s="147">
        <v>82</v>
      </c>
      <c r="B87" s="116">
        <v>45304</v>
      </c>
      <c r="C87" s="117">
        <v>2024</v>
      </c>
      <c r="D87" s="118" t="s">
        <v>35</v>
      </c>
      <c r="E87" s="119" t="s">
        <v>817</v>
      </c>
      <c r="F87" s="120">
        <v>1</v>
      </c>
      <c r="G87" s="181">
        <v>175000</v>
      </c>
      <c r="J87"/>
      <c r="K87"/>
      <c r="L87"/>
      <c r="M87"/>
    </row>
    <row r="88" spans="1:13" x14ac:dyDescent="0.25">
      <c r="A88" s="147">
        <v>83</v>
      </c>
      <c r="B88" s="116">
        <v>45304</v>
      </c>
      <c r="C88" s="117">
        <v>2024</v>
      </c>
      <c r="D88" s="118" t="s">
        <v>35</v>
      </c>
      <c r="E88" s="119" t="s">
        <v>818</v>
      </c>
      <c r="F88" s="120">
        <v>1</v>
      </c>
      <c r="G88" s="181">
        <v>75000</v>
      </c>
      <c r="J88"/>
      <c r="K88"/>
      <c r="L88"/>
      <c r="M88"/>
    </row>
    <row r="89" spans="1:13" x14ac:dyDescent="0.25">
      <c r="A89" s="147">
        <v>84</v>
      </c>
      <c r="B89" s="116">
        <v>45308</v>
      </c>
      <c r="C89" s="117">
        <v>2024</v>
      </c>
      <c r="D89" s="118" t="s">
        <v>35</v>
      </c>
      <c r="E89" s="119" t="s">
        <v>819</v>
      </c>
      <c r="F89" s="120">
        <v>1</v>
      </c>
      <c r="G89" s="181">
        <v>13000</v>
      </c>
      <c r="J89"/>
      <c r="K89"/>
      <c r="L89"/>
      <c r="M89"/>
    </row>
    <row r="90" spans="1:13" x14ac:dyDescent="0.25">
      <c r="A90" s="147">
        <v>85</v>
      </c>
      <c r="B90" s="116">
        <v>45309</v>
      </c>
      <c r="C90" s="117">
        <v>2024</v>
      </c>
      <c r="D90" s="118" t="s">
        <v>35</v>
      </c>
      <c r="E90" s="119" t="s">
        <v>820</v>
      </c>
      <c r="F90" s="120">
        <v>1</v>
      </c>
      <c r="G90" s="181">
        <v>2408500</v>
      </c>
      <c r="J90"/>
      <c r="K90"/>
      <c r="L90"/>
      <c r="M90"/>
    </row>
    <row r="91" spans="1:13" x14ac:dyDescent="0.25">
      <c r="A91" s="147">
        <v>86</v>
      </c>
      <c r="B91" s="116">
        <v>45309</v>
      </c>
      <c r="C91" s="117">
        <v>2024</v>
      </c>
      <c r="D91" s="118" t="s">
        <v>35</v>
      </c>
      <c r="E91" s="119" t="s">
        <v>821</v>
      </c>
      <c r="F91" s="120">
        <v>1</v>
      </c>
      <c r="G91" s="181">
        <v>100000</v>
      </c>
      <c r="J91"/>
      <c r="K91"/>
      <c r="L91"/>
      <c r="M91"/>
    </row>
    <row r="92" spans="1:13" x14ac:dyDescent="0.25">
      <c r="A92" s="147">
        <v>87</v>
      </c>
      <c r="B92" s="116">
        <v>45309</v>
      </c>
      <c r="C92" s="117">
        <v>2024</v>
      </c>
      <c r="D92" s="118" t="s">
        <v>35</v>
      </c>
      <c r="E92" s="119" t="s">
        <v>822</v>
      </c>
      <c r="F92" s="120">
        <v>1</v>
      </c>
      <c r="G92" s="181">
        <v>217000</v>
      </c>
      <c r="J92"/>
      <c r="K92"/>
      <c r="L92"/>
      <c r="M92"/>
    </row>
    <row r="93" spans="1:13" x14ac:dyDescent="0.25">
      <c r="A93" s="147">
        <v>88</v>
      </c>
      <c r="B93" s="116">
        <v>45309</v>
      </c>
      <c r="C93" s="117">
        <v>2024</v>
      </c>
      <c r="D93" s="118" t="s">
        <v>35</v>
      </c>
      <c r="E93" s="119" t="s">
        <v>823</v>
      </c>
      <c r="F93" s="120">
        <v>1</v>
      </c>
      <c r="G93" s="181">
        <v>65000</v>
      </c>
      <c r="J93"/>
      <c r="K93"/>
      <c r="L93"/>
      <c r="M93"/>
    </row>
    <row r="94" spans="1:13" x14ac:dyDescent="0.25">
      <c r="A94" s="147">
        <v>89</v>
      </c>
      <c r="B94" s="116">
        <v>45309</v>
      </c>
      <c r="C94" s="117">
        <v>2024</v>
      </c>
      <c r="D94" s="118" t="s">
        <v>35</v>
      </c>
      <c r="E94" s="119" t="s">
        <v>824</v>
      </c>
      <c r="F94" s="120">
        <v>1</v>
      </c>
      <c r="G94" s="181">
        <v>1200000</v>
      </c>
      <c r="J94"/>
      <c r="K94"/>
      <c r="L94"/>
      <c r="M94"/>
    </row>
    <row r="95" spans="1:13" x14ac:dyDescent="0.25">
      <c r="A95" s="147">
        <v>90</v>
      </c>
      <c r="B95" s="116">
        <v>45309</v>
      </c>
      <c r="C95" s="117">
        <v>2024</v>
      </c>
      <c r="D95" s="118" t="s">
        <v>35</v>
      </c>
      <c r="E95" s="119" t="s">
        <v>825</v>
      </c>
      <c r="F95" s="120">
        <v>1</v>
      </c>
      <c r="G95" s="181">
        <v>1206000</v>
      </c>
      <c r="J95"/>
      <c r="K95"/>
      <c r="L95"/>
      <c r="M95"/>
    </row>
    <row r="96" spans="1:13" x14ac:dyDescent="0.25">
      <c r="A96" s="147">
        <v>91</v>
      </c>
      <c r="B96" s="116">
        <v>45309</v>
      </c>
      <c r="C96" s="117">
        <v>2024</v>
      </c>
      <c r="D96" s="118" t="s">
        <v>35</v>
      </c>
      <c r="E96" s="119" t="s">
        <v>826</v>
      </c>
      <c r="F96" s="120">
        <v>1</v>
      </c>
      <c r="G96" s="181">
        <v>1800000</v>
      </c>
      <c r="J96"/>
      <c r="K96"/>
      <c r="L96"/>
      <c r="M96"/>
    </row>
    <row r="97" spans="1:13" x14ac:dyDescent="0.25">
      <c r="A97" s="147">
        <v>92</v>
      </c>
      <c r="B97" s="116">
        <v>45309</v>
      </c>
      <c r="C97" s="117">
        <v>2024</v>
      </c>
      <c r="D97" s="118" t="s">
        <v>35</v>
      </c>
      <c r="E97" s="119" t="s">
        <v>824</v>
      </c>
      <c r="F97" s="120">
        <v>1</v>
      </c>
      <c r="G97" s="181">
        <v>1200000</v>
      </c>
      <c r="J97"/>
      <c r="K97"/>
      <c r="L97"/>
      <c r="M97"/>
    </row>
    <row r="98" spans="1:13" x14ac:dyDescent="0.25">
      <c r="A98" s="147">
        <v>93</v>
      </c>
      <c r="B98" s="116">
        <v>45309</v>
      </c>
      <c r="C98" s="117">
        <v>2024</v>
      </c>
      <c r="D98" s="118" t="s">
        <v>35</v>
      </c>
      <c r="E98" s="119" t="s">
        <v>827</v>
      </c>
      <c r="F98" s="120">
        <v>1</v>
      </c>
      <c r="G98" s="181">
        <v>140000</v>
      </c>
      <c r="J98"/>
      <c r="K98"/>
      <c r="L98"/>
      <c r="M98"/>
    </row>
    <row r="99" spans="1:13" x14ac:dyDescent="0.25">
      <c r="A99" s="147">
        <v>94</v>
      </c>
      <c r="B99" s="116">
        <v>45313</v>
      </c>
      <c r="C99" s="117">
        <v>2024</v>
      </c>
      <c r="D99" s="118" t="s">
        <v>35</v>
      </c>
      <c r="E99" s="119" t="s">
        <v>790</v>
      </c>
      <c r="F99" s="120">
        <v>1</v>
      </c>
      <c r="G99" s="181">
        <v>175000</v>
      </c>
      <c r="J99"/>
      <c r="K99"/>
      <c r="L99"/>
      <c r="M99"/>
    </row>
    <row r="100" spans="1:13" x14ac:dyDescent="0.25">
      <c r="A100" s="147">
        <v>95</v>
      </c>
      <c r="B100" s="116">
        <v>45314</v>
      </c>
      <c r="C100" s="117">
        <v>2024</v>
      </c>
      <c r="D100" s="118" t="s">
        <v>35</v>
      </c>
      <c r="E100" s="119" t="s">
        <v>790</v>
      </c>
      <c r="F100" s="120">
        <v>1</v>
      </c>
      <c r="G100" s="181">
        <v>75000</v>
      </c>
      <c r="J100"/>
      <c r="K100"/>
      <c r="L100"/>
      <c r="M100"/>
    </row>
    <row r="101" spans="1:13" x14ac:dyDescent="0.25">
      <c r="A101" s="147">
        <v>96</v>
      </c>
      <c r="B101" s="116">
        <v>45314</v>
      </c>
      <c r="C101" s="117">
        <v>2024</v>
      </c>
      <c r="D101" s="118" t="s">
        <v>35</v>
      </c>
      <c r="E101" s="119" t="s">
        <v>790</v>
      </c>
      <c r="F101" s="120">
        <v>1</v>
      </c>
      <c r="G101" s="181">
        <v>75000</v>
      </c>
      <c r="J101"/>
      <c r="K101"/>
      <c r="L101"/>
      <c r="M101"/>
    </row>
    <row r="102" spans="1:13" x14ac:dyDescent="0.25">
      <c r="A102" s="147">
        <v>97</v>
      </c>
      <c r="B102" s="116">
        <v>45314</v>
      </c>
      <c r="C102" s="117">
        <v>2024</v>
      </c>
      <c r="D102" s="118" t="s">
        <v>35</v>
      </c>
      <c r="E102" s="119" t="s">
        <v>790</v>
      </c>
      <c r="F102" s="120">
        <v>1</v>
      </c>
      <c r="G102" s="181">
        <v>75000</v>
      </c>
      <c r="J102"/>
      <c r="K102"/>
      <c r="L102"/>
      <c r="M102"/>
    </row>
    <row r="103" spans="1:13" x14ac:dyDescent="0.25">
      <c r="A103" s="147">
        <v>98</v>
      </c>
      <c r="B103" s="116">
        <v>45315</v>
      </c>
      <c r="C103" s="117">
        <v>2024</v>
      </c>
      <c r="D103" s="118" t="s">
        <v>35</v>
      </c>
      <c r="E103" s="119" t="s">
        <v>829</v>
      </c>
      <c r="F103" s="120">
        <v>1</v>
      </c>
      <c r="G103" s="181">
        <v>166000</v>
      </c>
      <c r="J103"/>
      <c r="K103"/>
      <c r="L103"/>
      <c r="M103"/>
    </row>
    <row r="104" spans="1:13" x14ac:dyDescent="0.25">
      <c r="A104" s="147">
        <v>99</v>
      </c>
      <c r="B104" s="116">
        <v>45315</v>
      </c>
      <c r="C104" s="117">
        <v>2024</v>
      </c>
      <c r="D104" s="118" t="s">
        <v>35</v>
      </c>
      <c r="E104" s="119" t="s">
        <v>830</v>
      </c>
      <c r="F104" s="120">
        <v>1</v>
      </c>
      <c r="G104" s="181">
        <v>226800</v>
      </c>
      <c r="J104"/>
      <c r="K104"/>
      <c r="L104"/>
      <c r="M104"/>
    </row>
    <row r="105" spans="1:13" x14ac:dyDescent="0.25">
      <c r="A105" s="147">
        <v>100</v>
      </c>
      <c r="B105" s="116">
        <v>45315</v>
      </c>
      <c r="C105" s="117">
        <v>2024</v>
      </c>
      <c r="D105" s="118" t="s">
        <v>35</v>
      </c>
      <c r="E105" s="119" t="s">
        <v>830</v>
      </c>
      <c r="F105" s="120">
        <v>1</v>
      </c>
      <c r="G105" s="181">
        <v>1758143</v>
      </c>
      <c r="J105"/>
      <c r="K105"/>
      <c r="L105"/>
      <c r="M105"/>
    </row>
    <row r="106" spans="1:13" x14ac:dyDescent="0.25">
      <c r="A106" s="147">
        <v>101</v>
      </c>
      <c r="B106" s="116">
        <v>45316</v>
      </c>
      <c r="C106" s="117">
        <v>2024</v>
      </c>
      <c r="D106" s="118" t="s">
        <v>35</v>
      </c>
      <c r="E106" s="119" t="s">
        <v>831</v>
      </c>
      <c r="F106" s="120">
        <v>1</v>
      </c>
      <c r="G106" s="181">
        <v>55000</v>
      </c>
      <c r="J106"/>
      <c r="K106"/>
      <c r="L106"/>
      <c r="M106"/>
    </row>
    <row r="107" spans="1:13" x14ac:dyDescent="0.25">
      <c r="A107" s="147">
        <v>102</v>
      </c>
      <c r="B107" s="116">
        <v>45317</v>
      </c>
      <c r="C107" s="117">
        <v>2024</v>
      </c>
      <c r="D107" s="118" t="s">
        <v>35</v>
      </c>
      <c r="E107" s="119" t="s">
        <v>770</v>
      </c>
      <c r="F107" s="120">
        <v>1</v>
      </c>
      <c r="G107" s="181">
        <v>2543219</v>
      </c>
      <c r="J107"/>
      <c r="K107"/>
      <c r="L107"/>
      <c r="M107"/>
    </row>
    <row r="108" spans="1:13" x14ac:dyDescent="0.25">
      <c r="A108" s="147">
        <v>103</v>
      </c>
      <c r="B108" s="116">
        <v>45317</v>
      </c>
      <c r="C108" s="117">
        <v>2024</v>
      </c>
      <c r="D108" s="118" t="s">
        <v>35</v>
      </c>
      <c r="E108" s="119" t="s">
        <v>770</v>
      </c>
      <c r="F108" s="120">
        <v>1</v>
      </c>
      <c r="G108" s="181">
        <v>997890</v>
      </c>
      <c r="J108"/>
      <c r="K108"/>
      <c r="L108"/>
      <c r="M108"/>
    </row>
    <row r="109" spans="1:13" x14ac:dyDescent="0.25">
      <c r="A109" s="147">
        <v>104</v>
      </c>
      <c r="B109" s="116">
        <v>45318</v>
      </c>
      <c r="C109" s="117">
        <v>2024</v>
      </c>
      <c r="D109" s="118" t="s">
        <v>35</v>
      </c>
      <c r="E109" s="119" t="s">
        <v>211</v>
      </c>
      <c r="F109" s="120">
        <v>5</v>
      </c>
      <c r="G109" s="181">
        <v>251000</v>
      </c>
      <c r="J109"/>
      <c r="K109"/>
      <c r="L109"/>
      <c r="M109"/>
    </row>
    <row r="110" spans="1:13" x14ac:dyDescent="0.25">
      <c r="A110" s="147">
        <v>105</v>
      </c>
      <c r="B110" s="116">
        <v>45320</v>
      </c>
      <c r="C110" s="117">
        <v>2024</v>
      </c>
      <c r="D110" s="118" t="s">
        <v>35</v>
      </c>
      <c r="E110" s="119" t="s">
        <v>211</v>
      </c>
      <c r="F110" s="120">
        <v>1</v>
      </c>
      <c r="G110" s="181">
        <v>17700</v>
      </c>
      <c r="J110"/>
      <c r="K110"/>
      <c r="L110"/>
      <c r="M110"/>
    </row>
    <row r="111" spans="1:13" x14ac:dyDescent="0.25">
      <c r="A111" s="147">
        <v>106</v>
      </c>
      <c r="B111" s="116">
        <v>45321</v>
      </c>
      <c r="C111" s="117">
        <v>2024</v>
      </c>
      <c r="D111" s="118" t="s">
        <v>35</v>
      </c>
      <c r="E111" s="119" t="s">
        <v>770</v>
      </c>
      <c r="F111" s="120">
        <v>1</v>
      </c>
      <c r="G111" s="181">
        <v>77930</v>
      </c>
      <c r="J111"/>
      <c r="K111"/>
      <c r="L111"/>
      <c r="M111"/>
    </row>
    <row r="112" spans="1:13" x14ac:dyDescent="0.25">
      <c r="A112" s="147">
        <v>107</v>
      </c>
      <c r="B112" s="116">
        <v>45322</v>
      </c>
      <c r="C112" s="117">
        <v>2024</v>
      </c>
      <c r="D112" s="118" t="s">
        <v>35</v>
      </c>
      <c r="E112" s="119" t="s">
        <v>361</v>
      </c>
      <c r="F112" s="120">
        <v>2</v>
      </c>
      <c r="G112" s="181">
        <v>46999</v>
      </c>
      <c r="J112"/>
      <c r="K112"/>
      <c r="L112"/>
      <c r="M112"/>
    </row>
    <row r="113" spans="1:13" x14ac:dyDescent="0.25">
      <c r="A113" s="147">
        <v>108</v>
      </c>
      <c r="B113" s="116">
        <v>45322</v>
      </c>
      <c r="C113" s="117">
        <v>2024</v>
      </c>
      <c r="D113" s="118" t="s">
        <v>35</v>
      </c>
      <c r="E113" s="119" t="s">
        <v>770</v>
      </c>
      <c r="F113" s="120">
        <v>1</v>
      </c>
      <c r="G113" s="181">
        <v>802501</v>
      </c>
      <c r="J113"/>
      <c r="K113"/>
      <c r="L113"/>
      <c r="M113"/>
    </row>
    <row r="114" spans="1:13" x14ac:dyDescent="0.25">
      <c r="A114" s="147">
        <v>109</v>
      </c>
      <c r="B114" s="116">
        <v>45323</v>
      </c>
      <c r="C114" s="117">
        <v>2024</v>
      </c>
      <c r="D114" s="118" t="s">
        <v>35</v>
      </c>
      <c r="E114" s="119" t="s">
        <v>835</v>
      </c>
      <c r="F114" s="120">
        <v>1</v>
      </c>
      <c r="G114" s="181">
        <v>520000</v>
      </c>
      <c r="J114"/>
      <c r="K114"/>
      <c r="L114"/>
      <c r="M114"/>
    </row>
    <row r="115" spans="1:13" x14ac:dyDescent="0.25">
      <c r="A115" s="147">
        <v>110</v>
      </c>
      <c r="B115" s="116">
        <v>45323</v>
      </c>
      <c r="C115" s="117">
        <v>2024</v>
      </c>
      <c r="D115" s="118" t="s">
        <v>35</v>
      </c>
      <c r="E115" s="119" t="s">
        <v>836</v>
      </c>
      <c r="F115" s="120">
        <v>1</v>
      </c>
      <c r="G115" s="181">
        <v>55000</v>
      </c>
      <c r="J115"/>
      <c r="K115"/>
      <c r="L115"/>
      <c r="M115"/>
    </row>
    <row r="116" spans="1:13" x14ac:dyDescent="0.25">
      <c r="A116" s="147">
        <v>111</v>
      </c>
      <c r="B116" s="116">
        <v>45323</v>
      </c>
      <c r="C116" s="117">
        <v>2024</v>
      </c>
      <c r="D116" s="118" t="s">
        <v>35</v>
      </c>
      <c r="E116" s="119" t="s">
        <v>837</v>
      </c>
      <c r="F116" s="120">
        <v>1</v>
      </c>
      <c r="G116" s="181">
        <v>400000</v>
      </c>
      <c r="J116"/>
      <c r="K116"/>
      <c r="L116"/>
      <c r="M116"/>
    </row>
    <row r="117" spans="1:13" x14ac:dyDescent="0.25">
      <c r="A117" s="147">
        <v>112</v>
      </c>
      <c r="B117" s="116">
        <v>45323</v>
      </c>
      <c r="C117" s="117">
        <v>2024</v>
      </c>
      <c r="D117" s="118" t="s">
        <v>35</v>
      </c>
      <c r="E117" s="119" t="s">
        <v>838</v>
      </c>
      <c r="F117" s="120">
        <v>1</v>
      </c>
      <c r="G117" s="181">
        <v>47000</v>
      </c>
      <c r="J117"/>
      <c r="K117"/>
      <c r="L117"/>
      <c r="M117"/>
    </row>
    <row r="118" spans="1:13" x14ac:dyDescent="0.25">
      <c r="A118" s="147">
        <v>113</v>
      </c>
      <c r="B118" s="116">
        <v>45323</v>
      </c>
      <c r="C118" s="117">
        <v>2024</v>
      </c>
      <c r="D118" s="118" t="s">
        <v>35</v>
      </c>
      <c r="E118" s="119" t="s">
        <v>836</v>
      </c>
      <c r="F118" s="120">
        <v>1</v>
      </c>
      <c r="G118" s="181">
        <v>95000</v>
      </c>
      <c r="J118"/>
      <c r="K118"/>
      <c r="L118"/>
      <c r="M118"/>
    </row>
    <row r="119" spans="1:13" x14ac:dyDescent="0.25">
      <c r="A119" s="147">
        <v>114</v>
      </c>
      <c r="B119" s="116">
        <v>45323</v>
      </c>
      <c r="C119" s="117">
        <v>2024</v>
      </c>
      <c r="D119" s="118" t="s">
        <v>35</v>
      </c>
      <c r="E119" s="119" t="s">
        <v>839</v>
      </c>
      <c r="F119" s="120">
        <v>1</v>
      </c>
      <c r="G119" s="181">
        <v>85000</v>
      </c>
      <c r="J119"/>
      <c r="K119"/>
      <c r="L119"/>
      <c r="M119"/>
    </row>
    <row r="120" spans="1:13" x14ac:dyDescent="0.25">
      <c r="A120" s="147">
        <v>115</v>
      </c>
      <c r="B120" s="116">
        <v>45323</v>
      </c>
      <c r="C120" s="117">
        <v>2024</v>
      </c>
      <c r="D120" s="118" t="s">
        <v>35</v>
      </c>
      <c r="E120" s="119" t="s">
        <v>837</v>
      </c>
      <c r="F120" s="120">
        <v>1</v>
      </c>
      <c r="G120" s="181">
        <v>400000</v>
      </c>
      <c r="J120"/>
      <c r="K120"/>
      <c r="L120"/>
      <c r="M120"/>
    </row>
    <row r="121" spans="1:13" x14ac:dyDescent="0.25">
      <c r="A121" s="147">
        <v>116</v>
      </c>
      <c r="B121" s="116">
        <v>45323</v>
      </c>
      <c r="C121" s="117">
        <v>2024</v>
      </c>
      <c r="D121" s="118" t="s">
        <v>35</v>
      </c>
      <c r="E121" s="119" t="s">
        <v>840</v>
      </c>
      <c r="F121" s="120">
        <v>1</v>
      </c>
      <c r="G121" s="181">
        <v>50000</v>
      </c>
      <c r="J121"/>
      <c r="K121"/>
      <c r="L121"/>
      <c r="M121"/>
    </row>
    <row r="122" spans="1:13" x14ac:dyDescent="0.25">
      <c r="A122" s="147">
        <v>117</v>
      </c>
      <c r="B122" s="116">
        <v>45323</v>
      </c>
      <c r="C122" s="117">
        <v>2024</v>
      </c>
      <c r="D122" s="118" t="s">
        <v>35</v>
      </c>
      <c r="E122" s="119" t="s">
        <v>837</v>
      </c>
      <c r="F122" s="120">
        <v>1</v>
      </c>
      <c r="G122" s="181">
        <v>400000</v>
      </c>
      <c r="J122"/>
      <c r="K122"/>
      <c r="L122"/>
      <c r="M122"/>
    </row>
    <row r="123" spans="1:13" x14ac:dyDescent="0.25">
      <c r="A123" s="147">
        <v>118</v>
      </c>
      <c r="B123" s="116">
        <v>45323</v>
      </c>
      <c r="C123" s="117">
        <v>2024</v>
      </c>
      <c r="D123" s="118" t="s">
        <v>35</v>
      </c>
      <c r="E123" s="119" t="s">
        <v>837</v>
      </c>
      <c r="F123" s="120">
        <v>1</v>
      </c>
      <c r="G123" s="181">
        <v>400000</v>
      </c>
      <c r="J123"/>
      <c r="K123"/>
      <c r="L123"/>
      <c r="M123"/>
    </row>
    <row r="124" spans="1:13" x14ac:dyDescent="0.25">
      <c r="A124" s="147">
        <v>119</v>
      </c>
      <c r="B124" s="116">
        <v>45323</v>
      </c>
      <c r="C124" s="117">
        <v>2024</v>
      </c>
      <c r="D124" s="118" t="s">
        <v>35</v>
      </c>
      <c r="E124" s="119" t="s">
        <v>838</v>
      </c>
      <c r="F124" s="120">
        <v>1</v>
      </c>
      <c r="G124" s="181">
        <v>75000</v>
      </c>
      <c r="J124"/>
      <c r="K124"/>
      <c r="L124"/>
      <c r="M124"/>
    </row>
    <row r="125" spans="1:13" x14ac:dyDescent="0.25">
      <c r="A125" s="147">
        <v>120</v>
      </c>
      <c r="B125" s="116">
        <v>45323</v>
      </c>
      <c r="C125" s="117">
        <v>2024</v>
      </c>
      <c r="D125" s="118" t="s">
        <v>35</v>
      </c>
      <c r="E125" s="119" t="s">
        <v>839</v>
      </c>
      <c r="F125" s="120">
        <v>1</v>
      </c>
      <c r="G125" s="181">
        <v>140000</v>
      </c>
      <c r="J125"/>
      <c r="K125"/>
      <c r="L125"/>
      <c r="M125"/>
    </row>
    <row r="126" spans="1:13" x14ac:dyDescent="0.25">
      <c r="A126" s="147">
        <v>121</v>
      </c>
      <c r="B126" s="116">
        <v>45323</v>
      </c>
      <c r="C126" s="117">
        <v>2024</v>
      </c>
      <c r="D126" s="118" t="s">
        <v>35</v>
      </c>
      <c r="E126" s="119" t="s">
        <v>839</v>
      </c>
      <c r="F126" s="120">
        <v>1</v>
      </c>
      <c r="G126" s="181">
        <v>85000</v>
      </c>
      <c r="J126"/>
      <c r="K126"/>
      <c r="L126"/>
      <c r="M126"/>
    </row>
    <row r="127" spans="1:13" x14ac:dyDescent="0.25">
      <c r="A127" s="147">
        <v>122</v>
      </c>
      <c r="B127" s="167">
        <v>45323</v>
      </c>
      <c r="C127" s="117">
        <v>2024</v>
      </c>
      <c r="D127" s="119" t="s">
        <v>35</v>
      </c>
      <c r="E127" s="119" t="s">
        <v>837</v>
      </c>
      <c r="F127" s="120">
        <v>1</v>
      </c>
      <c r="G127" s="188">
        <v>400000</v>
      </c>
      <c r="J127"/>
      <c r="K127"/>
      <c r="L127"/>
      <c r="M127"/>
    </row>
    <row r="128" spans="1:13" x14ac:dyDescent="0.25">
      <c r="A128" s="147">
        <v>123</v>
      </c>
      <c r="B128" s="167">
        <v>45323</v>
      </c>
      <c r="C128" s="117">
        <v>2024</v>
      </c>
      <c r="D128" s="119" t="s">
        <v>35</v>
      </c>
      <c r="E128" s="119" t="s">
        <v>838</v>
      </c>
      <c r="F128" s="120">
        <v>1</v>
      </c>
      <c r="G128" s="188">
        <v>75000</v>
      </c>
      <c r="J128"/>
      <c r="K128"/>
      <c r="L128"/>
      <c r="M128"/>
    </row>
    <row r="129" spans="1:13" x14ac:dyDescent="0.25">
      <c r="A129" s="147">
        <v>124</v>
      </c>
      <c r="B129" s="167">
        <v>45323</v>
      </c>
      <c r="C129" s="117">
        <v>2024</v>
      </c>
      <c r="D129" s="119" t="s">
        <v>35</v>
      </c>
      <c r="E129" s="119" t="s">
        <v>837</v>
      </c>
      <c r="F129" s="120">
        <v>1</v>
      </c>
      <c r="G129" s="188">
        <v>400000</v>
      </c>
      <c r="J129"/>
      <c r="K129"/>
      <c r="L129"/>
      <c r="M129"/>
    </row>
    <row r="130" spans="1:13" x14ac:dyDescent="0.25">
      <c r="A130" s="147">
        <v>125</v>
      </c>
      <c r="B130" s="167">
        <v>45323</v>
      </c>
      <c r="C130" s="117">
        <v>2024</v>
      </c>
      <c r="D130" s="119" t="s">
        <v>35</v>
      </c>
      <c r="E130" s="119" t="s">
        <v>840</v>
      </c>
      <c r="F130" s="120">
        <v>1</v>
      </c>
      <c r="G130" s="188">
        <v>223000</v>
      </c>
      <c r="J130"/>
      <c r="K130"/>
      <c r="L130"/>
      <c r="M130"/>
    </row>
    <row r="131" spans="1:13" x14ac:dyDescent="0.25">
      <c r="A131" s="147">
        <v>126</v>
      </c>
      <c r="B131" s="167">
        <v>45323</v>
      </c>
      <c r="C131" s="117">
        <v>2024</v>
      </c>
      <c r="D131" s="119" t="s">
        <v>35</v>
      </c>
      <c r="E131" s="119" t="s">
        <v>838</v>
      </c>
      <c r="F131" s="120">
        <v>1</v>
      </c>
      <c r="G131" s="188">
        <v>75000</v>
      </c>
      <c r="J131"/>
      <c r="K131"/>
      <c r="L131"/>
      <c r="M131"/>
    </row>
    <row r="132" spans="1:13" x14ac:dyDescent="0.25">
      <c r="A132" s="147">
        <v>127</v>
      </c>
      <c r="B132" s="167">
        <v>45323</v>
      </c>
      <c r="C132" s="117">
        <v>2024</v>
      </c>
      <c r="D132" s="119" t="s">
        <v>35</v>
      </c>
      <c r="E132" s="119" t="s">
        <v>837</v>
      </c>
      <c r="F132" s="120">
        <v>1</v>
      </c>
      <c r="G132" s="188">
        <v>400000</v>
      </c>
      <c r="J132"/>
      <c r="K132"/>
      <c r="L132"/>
      <c r="M132"/>
    </row>
    <row r="133" spans="1:13" x14ac:dyDescent="0.25">
      <c r="A133" s="147">
        <v>128</v>
      </c>
      <c r="B133" s="167">
        <v>45323</v>
      </c>
      <c r="C133" s="117">
        <v>2024</v>
      </c>
      <c r="D133" s="119" t="s">
        <v>35</v>
      </c>
      <c r="E133" s="119" t="s">
        <v>840</v>
      </c>
      <c r="F133" s="120">
        <v>1</v>
      </c>
      <c r="G133" s="188">
        <v>50000</v>
      </c>
      <c r="J133"/>
      <c r="K133"/>
      <c r="L133"/>
      <c r="M133"/>
    </row>
    <row r="134" spans="1:13" x14ac:dyDescent="0.25">
      <c r="A134" s="147">
        <v>129</v>
      </c>
      <c r="B134" s="167">
        <v>45323</v>
      </c>
      <c r="C134" s="117">
        <v>2024</v>
      </c>
      <c r="D134" s="119" t="s">
        <v>35</v>
      </c>
      <c r="E134" s="119" t="s">
        <v>841</v>
      </c>
      <c r="F134" s="120">
        <v>1</v>
      </c>
      <c r="G134" s="188">
        <v>184000</v>
      </c>
      <c r="J134"/>
      <c r="K134"/>
      <c r="L134"/>
      <c r="M134"/>
    </row>
    <row r="135" spans="1:13" x14ac:dyDescent="0.25">
      <c r="A135" s="147">
        <v>130</v>
      </c>
      <c r="B135" s="167">
        <v>45323</v>
      </c>
      <c r="C135" s="117">
        <v>2024</v>
      </c>
      <c r="D135" s="119" t="s">
        <v>35</v>
      </c>
      <c r="E135" s="119" t="s">
        <v>838</v>
      </c>
      <c r="F135" s="120">
        <v>1</v>
      </c>
      <c r="G135" s="188">
        <v>75000</v>
      </c>
      <c r="J135"/>
      <c r="K135"/>
      <c r="L135"/>
      <c r="M135"/>
    </row>
    <row r="136" spans="1:13" x14ac:dyDescent="0.25">
      <c r="A136" s="147">
        <v>131</v>
      </c>
      <c r="B136" s="167">
        <v>45323</v>
      </c>
      <c r="C136" s="117">
        <v>2024</v>
      </c>
      <c r="D136" s="119" t="s">
        <v>35</v>
      </c>
      <c r="E136" s="119" t="s">
        <v>836</v>
      </c>
      <c r="F136" s="120">
        <v>1</v>
      </c>
      <c r="G136" s="188">
        <v>100000</v>
      </c>
      <c r="J136"/>
      <c r="K136"/>
      <c r="L136"/>
      <c r="M136"/>
    </row>
    <row r="137" spans="1:13" x14ac:dyDescent="0.25">
      <c r="A137" s="147">
        <v>132</v>
      </c>
      <c r="B137" s="167">
        <v>45323</v>
      </c>
      <c r="C137" s="117">
        <v>2024</v>
      </c>
      <c r="D137" s="119" t="s">
        <v>35</v>
      </c>
      <c r="E137" s="119" t="s">
        <v>837</v>
      </c>
      <c r="F137" s="120">
        <v>1</v>
      </c>
      <c r="G137" s="188">
        <v>400000</v>
      </c>
      <c r="J137"/>
      <c r="K137"/>
      <c r="L137"/>
      <c r="M137"/>
    </row>
    <row r="138" spans="1:13" x14ac:dyDescent="0.25">
      <c r="A138" s="147">
        <v>133</v>
      </c>
      <c r="B138" s="116">
        <v>45323</v>
      </c>
      <c r="C138" s="117">
        <v>2024</v>
      </c>
      <c r="D138" s="118" t="s">
        <v>35</v>
      </c>
      <c r="E138" s="119" t="s">
        <v>841</v>
      </c>
      <c r="F138" s="120">
        <v>1</v>
      </c>
      <c r="G138" s="181">
        <v>184000</v>
      </c>
      <c r="J138"/>
      <c r="K138"/>
      <c r="L138"/>
      <c r="M138"/>
    </row>
    <row r="139" spans="1:13" x14ac:dyDescent="0.25">
      <c r="A139" s="147">
        <v>134</v>
      </c>
      <c r="B139" s="167">
        <v>45323</v>
      </c>
      <c r="C139" s="117">
        <v>2024</v>
      </c>
      <c r="D139" s="119" t="s">
        <v>35</v>
      </c>
      <c r="E139" s="119" t="s">
        <v>840</v>
      </c>
      <c r="F139" s="120">
        <v>1</v>
      </c>
      <c r="G139" s="188">
        <v>50000</v>
      </c>
      <c r="J139"/>
      <c r="K139"/>
      <c r="L139"/>
      <c r="M139"/>
    </row>
    <row r="140" spans="1:13" x14ac:dyDescent="0.25">
      <c r="A140" s="147">
        <v>135</v>
      </c>
      <c r="B140" s="167">
        <v>45323</v>
      </c>
      <c r="C140" s="117">
        <v>2024</v>
      </c>
      <c r="D140" s="119" t="s">
        <v>35</v>
      </c>
      <c r="E140" s="119" t="s">
        <v>837</v>
      </c>
      <c r="F140" s="120">
        <v>1</v>
      </c>
      <c r="G140" s="188">
        <v>400000</v>
      </c>
      <c r="J140"/>
      <c r="K140"/>
      <c r="L140"/>
      <c r="M140"/>
    </row>
    <row r="141" spans="1:13" x14ac:dyDescent="0.25">
      <c r="A141" s="147">
        <v>136</v>
      </c>
      <c r="B141" s="167">
        <v>45323</v>
      </c>
      <c r="C141" s="117">
        <v>2024</v>
      </c>
      <c r="D141" s="119" t="s">
        <v>35</v>
      </c>
      <c r="E141" s="119" t="s">
        <v>838</v>
      </c>
      <c r="F141" s="120">
        <v>1</v>
      </c>
      <c r="G141" s="188">
        <v>75000</v>
      </c>
      <c r="J141"/>
      <c r="K141"/>
      <c r="L141"/>
      <c r="M141"/>
    </row>
    <row r="142" spans="1:13" x14ac:dyDescent="0.25">
      <c r="A142" s="147">
        <v>137</v>
      </c>
      <c r="B142" s="167">
        <v>45323</v>
      </c>
      <c r="C142" s="117">
        <v>2024</v>
      </c>
      <c r="D142" s="119" t="s">
        <v>35</v>
      </c>
      <c r="E142" s="119" t="s">
        <v>839</v>
      </c>
      <c r="F142" s="120">
        <v>1</v>
      </c>
      <c r="G142" s="188">
        <v>140000</v>
      </c>
      <c r="J142"/>
      <c r="K142"/>
      <c r="L142"/>
      <c r="M142"/>
    </row>
    <row r="143" spans="1:13" x14ac:dyDescent="0.25">
      <c r="A143" s="147">
        <v>138</v>
      </c>
      <c r="B143" s="167">
        <v>45323</v>
      </c>
      <c r="C143" s="117">
        <v>2024</v>
      </c>
      <c r="D143" s="119" t="s">
        <v>35</v>
      </c>
      <c r="E143" s="119" t="s">
        <v>837</v>
      </c>
      <c r="F143" s="120">
        <v>1</v>
      </c>
      <c r="G143" s="188">
        <v>400000</v>
      </c>
      <c r="J143"/>
      <c r="K143"/>
      <c r="L143"/>
      <c r="M143"/>
    </row>
    <row r="144" spans="1:13" x14ac:dyDescent="0.25">
      <c r="A144" s="147">
        <v>139</v>
      </c>
      <c r="B144" s="167">
        <v>45323</v>
      </c>
      <c r="C144" s="117">
        <v>2024</v>
      </c>
      <c r="D144" s="119" t="s">
        <v>35</v>
      </c>
      <c r="E144" s="119" t="s">
        <v>837</v>
      </c>
      <c r="F144" s="120">
        <v>1</v>
      </c>
      <c r="G144" s="188">
        <v>400000</v>
      </c>
      <c r="J144"/>
      <c r="K144"/>
      <c r="L144"/>
      <c r="M144"/>
    </row>
    <row r="145" spans="1:13" x14ac:dyDescent="0.25">
      <c r="A145" s="147">
        <v>140</v>
      </c>
      <c r="B145" s="167">
        <v>45323</v>
      </c>
      <c r="C145" s="117">
        <v>2024</v>
      </c>
      <c r="D145" s="119" t="s">
        <v>35</v>
      </c>
      <c r="E145" s="119" t="s">
        <v>838</v>
      </c>
      <c r="F145" s="120">
        <v>1</v>
      </c>
      <c r="G145" s="188">
        <v>75000</v>
      </c>
      <c r="J145"/>
      <c r="K145"/>
      <c r="L145"/>
      <c r="M145"/>
    </row>
    <row r="146" spans="1:13" x14ac:dyDescent="0.25">
      <c r="A146" s="147">
        <v>141</v>
      </c>
      <c r="B146" s="167">
        <v>45323</v>
      </c>
      <c r="C146" s="117">
        <v>2024</v>
      </c>
      <c r="D146" s="119" t="s">
        <v>35</v>
      </c>
      <c r="E146" s="119" t="s">
        <v>837</v>
      </c>
      <c r="F146" s="120">
        <v>1</v>
      </c>
      <c r="G146" s="188">
        <v>400000</v>
      </c>
      <c r="J146"/>
      <c r="K146"/>
      <c r="L146"/>
      <c r="M146"/>
    </row>
    <row r="147" spans="1:13" x14ac:dyDescent="0.25">
      <c r="A147" s="147">
        <v>142</v>
      </c>
      <c r="B147" s="167">
        <v>45323</v>
      </c>
      <c r="C147" s="117">
        <v>2024</v>
      </c>
      <c r="D147" s="119" t="s">
        <v>35</v>
      </c>
      <c r="E147" s="119" t="s">
        <v>838</v>
      </c>
      <c r="F147" s="120">
        <v>1</v>
      </c>
      <c r="G147" s="188">
        <v>75000</v>
      </c>
      <c r="J147"/>
      <c r="K147"/>
      <c r="L147"/>
      <c r="M147"/>
    </row>
    <row r="148" spans="1:13" x14ac:dyDescent="0.25">
      <c r="A148" s="147">
        <v>143</v>
      </c>
      <c r="B148" s="167">
        <v>45323</v>
      </c>
      <c r="C148" s="117">
        <v>2024</v>
      </c>
      <c r="D148" s="119" t="s">
        <v>35</v>
      </c>
      <c r="E148" s="119" t="s">
        <v>840</v>
      </c>
      <c r="F148" s="120">
        <v>1</v>
      </c>
      <c r="G148" s="188">
        <v>50000</v>
      </c>
      <c r="J148"/>
      <c r="K148"/>
      <c r="L148"/>
      <c r="M148"/>
    </row>
    <row r="149" spans="1:13" x14ac:dyDescent="0.25">
      <c r="A149" s="147">
        <v>144</v>
      </c>
      <c r="B149" s="167">
        <v>45323</v>
      </c>
      <c r="C149" s="117">
        <v>2024</v>
      </c>
      <c r="D149" s="119" t="s">
        <v>35</v>
      </c>
      <c r="E149" s="119" t="s">
        <v>837</v>
      </c>
      <c r="F149" s="120">
        <v>1</v>
      </c>
      <c r="G149" s="188">
        <v>400000</v>
      </c>
      <c r="J149"/>
      <c r="K149"/>
      <c r="L149"/>
      <c r="M149"/>
    </row>
    <row r="150" spans="1:13" x14ac:dyDescent="0.25">
      <c r="A150" s="147">
        <v>145</v>
      </c>
      <c r="B150" s="116">
        <v>45323</v>
      </c>
      <c r="C150" s="117">
        <v>2024</v>
      </c>
      <c r="D150" s="118" t="s">
        <v>35</v>
      </c>
      <c r="E150" s="119" t="s">
        <v>842</v>
      </c>
      <c r="F150" s="120">
        <v>1</v>
      </c>
      <c r="G150" s="181">
        <v>223000</v>
      </c>
      <c r="J150"/>
      <c r="K150"/>
      <c r="L150"/>
      <c r="M150"/>
    </row>
    <row r="151" spans="1:13" x14ac:dyDescent="0.25">
      <c r="A151" s="147">
        <v>146</v>
      </c>
      <c r="B151" s="116">
        <v>45323</v>
      </c>
      <c r="C151" s="117">
        <v>2024</v>
      </c>
      <c r="D151" s="118" t="s">
        <v>35</v>
      </c>
      <c r="E151" s="119" t="s">
        <v>836</v>
      </c>
      <c r="F151" s="120">
        <v>1</v>
      </c>
      <c r="G151" s="181">
        <v>140000</v>
      </c>
      <c r="J151"/>
      <c r="K151"/>
      <c r="L151"/>
      <c r="M151"/>
    </row>
    <row r="152" spans="1:13" x14ac:dyDescent="0.25">
      <c r="A152" s="147">
        <v>147</v>
      </c>
      <c r="B152" s="167">
        <v>45323</v>
      </c>
      <c r="C152" s="117">
        <v>2024</v>
      </c>
      <c r="D152" s="119" t="s">
        <v>35</v>
      </c>
      <c r="E152" s="119" t="s">
        <v>836</v>
      </c>
      <c r="F152" s="120">
        <v>1</v>
      </c>
      <c r="G152" s="188">
        <v>195000</v>
      </c>
      <c r="J152"/>
      <c r="K152"/>
      <c r="L152"/>
      <c r="M152"/>
    </row>
    <row r="153" spans="1:13" x14ac:dyDescent="0.25">
      <c r="A153" s="147">
        <v>148</v>
      </c>
      <c r="B153" s="167">
        <v>45323</v>
      </c>
      <c r="C153" s="117">
        <v>2024</v>
      </c>
      <c r="D153" s="119" t="s">
        <v>35</v>
      </c>
      <c r="E153" s="119" t="s">
        <v>840</v>
      </c>
      <c r="F153" s="120">
        <v>1</v>
      </c>
      <c r="G153" s="188">
        <v>50000</v>
      </c>
      <c r="J153"/>
      <c r="K153"/>
      <c r="L153"/>
      <c r="M153"/>
    </row>
    <row r="154" spans="1:13" x14ac:dyDescent="0.25">
      <c r="A154" s="147">
        <v>149</v>
      </c>
      <c r="B154" s="167">
        <v>45323</v>
      </c>
      <c r="C154" s="117">
        <v>2024</v>
      </c>
      <c r="D154" s="119" t="s">
        <v>35</v>
      </c>
      <c r="E154" s="119" t="s">
        <v>837</v>
      </c>
      <c r="F154" s="120">
        <v>1</v>
      </c>
      <c r="G154" s="188">
        <v>400000</v>
      </c>
      <c r="J154"/>
      <c r="K154"/>
      <c r="L154"/>
      <c r="M154"/>
    </row>
    <row r="155" spans="1:13" x14ac:dyDescent="0.25">
      <c r="A155" s="147">
        <v>150</v>
      </c>
      <c r="B155" s="167">
        <v>45323</v>
      </c>
      <c r="C155" s="117">
        <v>2024</v>
      </c>
      <c r="D155" s="119" t="s">
        <v>35</v>
      </c>
      <c r="E155" s="119" t="s">
        <v>838</v>
      </c>
      <c r="F155" s="120">
        <v>1</v>
      </c>
      <c r="G155" s="188">
        <v>75000</v>
      </c>
      <c r="J155"/>
      <c r="K155"/>
      <c r="L155"/>
      <c r="M155"/>
    </row>
    <row r="156" spans="1:13" x14ac:dyDescent="0.25">
      <c r="A156" s="147">
        <v>151</v>
      </c>
      <c r="B156" s="167">
        <v>45323</v>
      </c>
      <c r="C156" s="117">
        <v>2024</v>
      </c>
      <c r="D156" s="119" t="s">
        <v>35</v>
      </c>
      <c r="E156" s="119" t="s">
        <v>839</v>
      </c>
      <c r="F156" s="120">
        <v>1</v>
      </c>
      <c r="G156" s="188">
        <v>140000</v>
      </c>
      <c r="J156"/>
      <c r="K156"/>
      <c r="L156"/>
      <c r="M156"/>
    </row>
    <row r="157" spans="1:13" x14ac:dyDescent="0.25">
      <c r="A157" s="147">
        <v>152</v>
      </c>
      <c r="B157" s="167">
        <v>45323</v>
      </c>
      <c r="C157" s="117">
        <v>2024</v>
      </c>
      <c r="D157" s="119" t="s">
        <v>35</v>
      </c>
      <c r="E157" s="119" t="s">
        <v>836</v>
      </c>
      <c r="F157" s="120">
        <v>1</v>
      </c>
      <c r="G157" s="188">
        <v>95000</v>
      </c>
      <c r="J157"/>
      <c r="K157"/>
      <c r="L157"/>
      <c r="M157"/>
    </row>
    <row r="158" spans="1:13" x14ac:dyDescent="0.25">
      <c r="A158" s="147">
        <v>153</v>
      </c>
      <c r="B158" s="167">
        <v>45323</v>
      </c>
      <c r="C158" s="117">
        <v>2024</v>
      </c>
      <c r="D158" s="119" t="s">
        <v>35</v>
      </c>
      <c r="E158" s="119" t="s">
        <v>837</v>
      </c>
      <c r="F158" s="120">
        <v>1</v>
      </c>
      <c r="G158" s="188">
        <v>400000</v>
      </c>
      <c r="J158"/>
      <c r="K158"/>
      <c r="L158"/>
      <c r="M158"/>
    </row>
    <row r="159" spans="1:13" x14ac:dyDescent="0.25">
      <c r="A159" s="147">
        <v>154</v>
      </c>
      <c r="B159" s="167">
        <v>45323</v>
      </c>
      <c r="C159" s="117">
        <v>2024</v>
      </c>
      <c r="D159" s="119" t="s">
        <v>35</v>
      </c>
      <c r="E159" s="119" t="s">
        <v>838</v>
      </c>
      <c r="F159" s="120">
        <v>1</v>
      </c>
      <c r="G159" s="188">
        <v>75000</v>
      </c>
      <c r="J159"/>
      <c r="K159"/>
      <c r="L159"/>
      <c r="M159"/>
    </row>
    <row r="160" spans="1:13" x14ac:dyDescent="0.25">
      <c r="A160" s="147">
        <v>155</v>
      </c>
      <c r="B160" s="116">
        <v>45323</v>
      </c>
      <c r="C160" s="117">
        <v>2024</v>
      </c>
      <c r="D160" s="118" t="s">
        <v>35</v>
      </c>
      <c r="E160" s="119" t="s">
        <v>837</v>
      </c>
      <c r="F160" s="120">
        <v>1</v>
      </c>
      <c r="G160" s="181">
        <v>400000</v>
      </c>
      <c r="J160"/>
      <c r="K160"/>
      <c r="L160"/>
      <c r="M160"/>
    </row>
    <row r="161" spans="1:13" x14ac:dyDescent="0.25">
      <c r="A161" s="147">
        <v>156</v>
      </c>
      <c r="B161" s="116">
        <v>45323</v>
      </c>
      <c r="C161" s="117">
        <v>2024</v>
      </c>
      <c r="D161" s="118" t="s">
        <v>35</v>
      </c>
      <c r="E161" s="119" t="s">
        <v>837</v>
      </c>
      <c r="F161" s="120">
        <v>1</v>
      </c>
      <c r="G161" s="181">
        <v>400000</v>
      </c>
      <c r="J161"/>
      <c r="K161"/>
      <c r="L161"/>
      <c r="M161"/>
    </row>
    <row r="162" spans="1:13" x14ac:dyDescent="0.25">
      <c r="A162" s="147">
        <v>157</v>
      </c>
      <c r="B162" s="116">
        <v>45323</v>
      </c>
      <c r="C162" s="117">
        <v>2024</v>
      </c>
      <c r="D162" s="118" t="s">
        <v>35</v>
      </c>
      <c r="E162" s="119" t="s">
        <v>841</v>
      </c>
      <c r="F162" s="120">
        <v>1</v>
      </c>
      <c r="G162" s="181">
        <v>184000</v>
      </c>
      <c r="J162"/>
      <c r="K162"/>
      <c r="L162"/>
      <c r="M162"/>
    </row>
    <row r="163" spans="1:13" x14ac:dyDescent="0.25">
      <c r="A163" s="147">
        <v>158</v>
      </c>
      <c r="B163" s="167">
        <v>45323</v>
      </c>
      <c r="C163" s="117">
        <v>2024</v>
      </c>
      <c r="D163" s="119" t="s">
        <v>35</v>
      </c>
      <c r="E163" s="119" t="s">
        <v>842</v>
      </c>
      <c r="F163" s="120">
        <v>1</v>
      </c>
      <c r="G163" s="188">
        <v>223000</v>
      </c>
      <c r="J163"/>
      <c r="K163"/>
      <c r="L163"/>
      <c r="M163"/>
    </row>
    <row r="164" spans="1:13" x14ac:dyDescent="0.25">
      <c r="A164" s="147">
        <v>159</v>
      </c>
      <c r="B164" s="167">
        <v>45323</v>
      </c>
      <c r="C164" s="117">
        <v>2024</v>
      </c>
      <c r="D164" s="119" t="s">
        <v>35</v>
      </c>
      <c r="E164" s="119" t="s">
        <v>838</v>
      </c>
      <c r="F164" s="120">
        <v>1</v>
      </c>
      <c r="G164" s="188">
        <v>75000</v>
      </c>
      <c r="J164"/>
      <c r="K164"/>
      <c r="L164"/>
      <c r="M164"/>
    </row>
    <row r="165" spans="1:13" x14ac:dyDescent="0.25">
      <c r="A165" s="147">
        <v>160</v>
      </c>
      <c r="B165" s="116">
        <v>45325</v>
      </c>
      <c r="C165" s="117">
        <v>2024</v>
      </c>
      <c r="D165" s="118" t="s">
        <v>35</v>
      </c>
      <c r="E165" s="119" t="s">
        <v>211</v>
      </c>
      <c r="F165" s="120">
        <v>1</v>
      </c>
      <c r="G165" s="181">
        <v>17700</v>
      </c>
      <c r="J165"/>
      <c r="K165"/>
      <c r="L165"/>
      <c r="M165"/>
    </row>
    <row r="166" spans="1:13" x14ac:dyDescent="0.25">
      <c r="A166" s="147">
        <v>161</v>
      </c>
      <c r="B166" s="167">
        <v>45325</v>
      </c>
      <c r="C166" s="117">
        <v>2024</v>
      </c>
      <c r="D166" s="119" t="s">
        <v>35</v>
      </c>
      <c r="E166" s="119" t="s">
        <v>98</v>
      </c>
      <c r="F166" s="120">
        <v>1</v>
      </c>
      <c r="G166" s="188">
        <v>73000</v>
      </c>
      <c r="J166"/>
      <c r="K166"/>
      <c r="L166"/>
      <c r="M166"/>
    </row>
    <row r="167" spans="1:13" x14ac:dyDescent="0.25">
      <c r="A167" s="147">
        <v>162</v>
      </c>
      <c r="B167" s="116">
        <v>45327</v>
      </c>
      <c r="C167" s="117">
        <v>2024</v>
      </c>
      <c r="D167" s="118" t="s">
        <v>35</v>
      </c>
      <c r="E167" s="119" t="s">
        <v>843</v>
      </c>
      <c r="F167" s="120">
        <v>1</v>
      </c>
      <c r="G167" s="181">
        <v>12500</v>
      </c>
      <c r="J167"/>
      <c r="K167"/>
      <c r="L167"/>
      <c r="M167"/>
    </row>
    <row r="168" spans="1:13" x14ac:dyDescent="0.25">
      <c r="A168" s="147">
        <v>163</v>
      </c>
      <c r="B168" s="167">
        <v>45327</v>
      </c>
      <c r="C168" s="117">
        <v>2024</v>
      </c>
      <c r="D168" s="119" t="s">
        <v>35</v>
      </c>
      <c r="E168" s="119" t="s">
        <v>844</v>
      </c>
      <c r="F168" s="120">
        <v>1</v>
      </c>
      <c r="G168" s="188">
        <v>15000</v>
      </c>
      <c r="J168"/>
      <c r="K168"/>
      <c r="L168"/>
      <c r="M168"/>
    </row>
    <row r="169" spans="1:13" x14ac:dyDescent="0.25">
      <c r="A169" s="147">
        <v>164</v>
      </c>
      <c r="B169" s="167">
        <v>45334</v>
      </c>
      <c r="C169" s="117">
        <v>2024</v>
      </c>
      <c r="D169" s="119" t="s">
        <v>35</v>
      </c>
      <c r="E169" s="119" t="s">
        <v>849</v>
      </c>
      <c r="F169" s="120">
        <v>6</v>
      </c>
      <c r="G169" s="188">
        <v>57500</v>
      </c>
      <c r="J169"/>
      <c r="K169"/>
      <c r="L169"/>
      <c r="M169"/>
    </row>
    <row r="170" spans="1:13" x14ac:dyDescent="0.25">
      <c r="A170" s="147">
        <v>165</v>
      </c>
      <c r="B170" s="167">
        <v>45334</v>
      </c>
      <c r="C170" s="117">
        <v>2024</v>
      </c>
      <c r="D170" s="119" t="s">
        <v>35</v>
      </c>
      <c r="E170" s="119" t="s">
        <v>220</v>
      </c>
      <c r="F170" s="120">
        <v>4</v>
      </c>
      <c r="G170" s="188">
        <v>100000</v>
      </c>
      <c r="J170"/>
      <c r="K170"/>
      <c r="L170"/>
      <c r="M170"/>
    </row>
    <row r="171" spans="1:13" x14ac:dyDescent="0.25">
      <c r="A171" s="147">
        <v>166</v>
      </c>
      <c r="B171" s="116">
        <v>45334</v>
      </c>
      <c r="C171" s="117">
        <v>2024</v>
      </c>
      <c r="D171" s="118" t="s">
        <v>35</v>
      </c>
      <c r="E171" s="119" t="s">
        <v>850</v>
      </c>
      <c r="F171" s="120">
        <v>3</v>
      </c>
      <c r="G171" s="181">
        <v>405000</v>
      </c>
      <c r="J171"/>
      <c r="K171"/>
      <c r="L171"/>
      <c r="M171"/>
    </row>
    <row r="172" spans="1:13" x14ac:dyDescent="0.25">
      <c r="A172" s="147">
        <v>167</v>
      </c>
      <c r="B172" s="167">
        <v>45334</v>
      </c>
      <c r="C172" s="117">
        <v>2024</v>
      </c>
      <c r="D172" s="119" t="s">
        <v>35</v>
      </c>
      <c r="E172" s="119" t="s">
        <v>852</v>
      </c>
      <c r="F172" s="120">
        <v>1</v>
      </c>
      <c r="G172" s="188">
        <v>7000</v>
      </c>
      <c r="J172"/>
      <c r="K172"/>
      <c r="L172"/>
      <c r="M172"/>
    </row>
    <row r="173" spans="1:13" x14ac:dyDescent="0.25">
      <c r="A173" s="147">
        <v>168</v>
      </c>
      <c r="B173" s="167">
        <v>45334</v>
      </c>
      <c r="C173" s="117">
        <v>2024</v>
      </c>
      <c r="D173" s="119" t="s">
        <v>35</v>
      </c>
      <c r="E173" s="119" t="s">
        <v>853</v>
      </c>
      <c r="F173" s="120">
        <v>3</v>
      </c>
      <c r="G173" s="188">
        <v>28500</v>
      </c>
      <c r="J173"/>
      <c r="K173"/>
      <c r="L173"/>
      <c r="M173"/>
    </row>
    <row r="174" spans="1:13" x14ac:dyDescent="0.25">
      <c r="A174" s="147">
        <v>169</v>
      </c>
      <c r="B174" s="167">
        <v>45334</v>
      </c>
      <c r="C174" s="117">
        <v>2024</v>
      </c>
      <c r="D174" s="119" t="s">
        <v>35</v>
      </c>
      <c r="E174" s="119" t="s">
        <v>856</v>
      </c>
      <c r="F174" s="120">
        <v>1</v>
      </c>
      <c r="G174" s="188">
        <v>50000</v>
      </c>
      <c r="J174"/>
      <c r="K174"/>
      <c r="L174"/>
      <c r="M174"/>
    </row>
    <row r="175" spans="1:13" x14ac:dyDescent="0.25">
      <c r="A175" s="147">
        <v>170</v>
      </c>
      <c r="B175" s="167">
        <v>45334</v>
      </c>
      <c r="C175" s="117">
        <v>2024</v>
      </c>
      <c r="D175" s="119" t="s">
        <v>35</v>
      </c>
      <c r="E175" s="119" t="s">
        <v>794</v>
      </c>
      <c r="F175" s="120">
        <v>1</v>
      </c>
      <c r="G175" s="188">
        <v>166500</v>
      </c>
      <c r="J175"/>
      <c r="K175"/>
      <c r="L175"/>
      <c r="M175"/>
    </row>
    <row r="176" spans="1:13" x14ac:dyDescent="0.25">
      <c r="A176" s="147">
        <v>171</v>
      </c>
      <c r="B176" s="167">
        <v>45334</v>
      </c>
      <c r="C176" s="117">
        <v>2024</v>
      </c>
      <c r="D176" s="119" t="s">
        <v>35</v>
      </c>
      <c r="E176" s="119" t="s">
        <v>794</v>
      </c>
      <c r="F176" s="120">
        <v>1</v>
      </c>
      <c r="G176" s="188">
        <v>166500</v>
      </c>
      <c r="J176"/>
      <c r="K176"/>
      <c r="L176"/>
      <c r="M176"/>
    </row>
    <row r="177" spans="1:13" x14ac:dyDescent="0.25">
      <c r="A177" s="147">
        <v>172</v>
      </c>
      <c r="B177" s="116">
        <v>45334</v>
      </c>
      <c r="C177" s="117">
        <v>2024</v>
      </c>
      <c r="D177" s="118" t="s">
        <v>35</v>
      </c>
      <c r="E177" s="119" t="s">
        <v>794</v>
      </c>
      <c r="F177" s="120">
        <v>1</v>
      </c>
      <c r="G177" s="181">
        <v>166500</v>
      </c>
      <c r="J177"/>
      <c r="K177"/>
      <c r="L177"/>
      <c r="M177"/>
    </row>
    <row r="178" spans="1:13" x14ac:dyDescent="0.25">
      <c r="A178" s="147">
        <v>173</v>
      </c>
      <c r="B178" s="116">
        <v>45334</v>
      </c>
      <c r="C178" s="117">
        <v>2024</v>
      </c>
      <c r="D178" s="118" t="s">
        <v>35</v>
      </c>
      <c r="E178" s="119" t="s">
        <v>794</v>
      </c>
      <c r="F178" s="120">
        <v>1</v>
      </c>
      <c r="G178" s="181">
        <v>166500</v>
      </c>
      <c r="J178"/>
      <c r="K178"/>
      <c r="L178"/>
      <c r="M178"/>
    </row>
    <row r="179" spans="1:13" x14ac:dyDescent="0.25">
      <c r="A179" s="147">
        <v>174</v>
      </c>
      <c r="B179" s="167">
        <v>45334</v>
      </c>
      <c r="C179" s="117">
        <v>2024</v>
      </c>
      <c r="D179" s="119" t="s">
        <v>35</v>
      </c>
      <c r="E179" s="119" t="s">
        <v>794</v>
      </c>
      <c r="F179" s="120">
        <v>1</v>
      </c>
      <c r="G179" s="188">
        <v>166500</v>
      </c>
      <c r="J179"/>
      <c r="K179"/>
      <c r="L179"/>
      <c r="M179"/>
    </row>
    <row r="180" spans="1:13" x14ac:dyDescent="0.25">
      <c r="A180" s="147">
        <v>175</v>
      </c>
      <c r="B180" s="167">
        <v>45335</v>
      </c>
      <c r="C180" s="117">
        <v>2024</v>
      </c>
      <c r="D180" s="119" t="s">
        <v>35</v>
      </c>
      <c r="E180" s="119" t="s">
        <v>211</v>
      </c>
      <c r="F180" s="120">
        <v>1</v>
      </c>
      <c r="G180" s="188">
        <v>17700</v>
      </c>
      <c r="J180"/>
      <c r="K180"/>
      <c r="L180"/>
      <c r="M180"/>
    </row>
    <row r="181" spans="1:13" x14ac:dyDescent="0.25">
      <c r="A181" s="147">
        <v>176</v>
      </c>
      <c r="B181" s="167">
        <v>45337</v>
      </c>
      <c r="C181" s="117">
        <v>2024</v>
      </c>
      <c r="D181" s="119" t="s">
        <v>35</v>
      </c>
      <c r="E181" s="119" t="s">
        <v>211</v>
      </c>
      <c r="F181" s="120">
        <v>4</v>
      </c>
      <c r="G181" s="188">
        <v>92000</v>
      </c>
      <c r="J181"/>
      <c r="K181"/>
      <c r="L181"/>
      <c r="M181"/>
    </row>
    <row r="182" spans="1:13" x14ac:dyDescent="0.25">
      <c r="A182" s="147">
        <v>177</v>
      </c>
      <c r="B182" s="167">
        <v>45337</v>
      </c>
      <c r="C182" s="117">
        <v>2024</v>
      </c>
      <c r="D182" s="119" t="s">
        <v>35</v>
      </c>
      <c r="E182" s="119" t="s">
        <v>671</v>
      </c>
      <c r="F182" s="120">
        <v>1</v>
      </c>
      <c r="G182" s="181">
        <v>7500</v>
      </c>
      <c r="J182"/>
      <c r="K182"/>
      <c r="L182"/>
      <c r="M182"/>
    </row>
    <row r="183" spans="1:13" x14ac:dyDescent="0.25">
      <c r="A183" s="147">
        <v>178</v>
      </c>
      <c r="B183" s="116">
        <v>45337</v>
      </c>
      <c r="C183" s="117">
        <v>2024</v>
      </c>
      <c r="D183" s="118" t="s">
        <v>35</v>
      </c>
      <c r="E183" s="119" t="s">
        <v>857</v>
      </c>
      <c r="F183" s="120">
        <v>1</v>
      </c>
      <c r="G183" s="181">
        <v>4500000</v>
      </c>
      <c r="J183"/>
      <c r="K183"/>
      <c r="L183"/>
      <c r="M183"/>
    </row>
    <row r="184" spans="1:13" x14ac:dyDescent="0.25">
      <c r="A184" s="147">
        <v>179</v>
      </c>
      <c r="B184" s="116">
        <v>45337</v>
      </c>
      <c r="C184" s="117">
        <v>2024</v>
      </c>
      <c r="D184" s="118" t="s">
        <v>35</v>
      </c>
      <c r="E184" s="119" t="s">
        <v>811</v>
      </c>
      <c r="F184" s="120">
        <v>1</v>
      </c>
      <c r="G184" s="181">
        <v>40000</v>
      </c>
      <c r="J184"/>
      <c r="K184"/>
      <c r="L184"/>
      <c r="M184"/>
    </row>
    <row r="185" spans="1:13" x14ac:dyDescent="0.25">
      <c r="A185" s="147">
        <v>180</v>
      </c>
      <c r="B185" s="116">
        <v>45337</v>
      </c>
      <c r="C185" s="117">
        <v>2024</v>
      </c>
      <c r="D185" s="118" t="s">
        <v>35</v>
      </c>
      <c r="E185" s="119" t="s">
        <v>858</v>
      </c>
      <c r="F185" s="120">
        <v>1</v>
      </c>
      <c r="G185" s="181">
        <v>25000</v>
      </c>
      <c r="J185"/>
      <c r="K185"/>
      <c r="L185"/>
      <c r="M185"/>
    </row>
    <row r="186" spans="1:13" x14ac:dyDescent="0.25">
      <c r="A186" s="147">
        <v>181</v>
      </c>
      <c r="B186" s="116">
        <v>45337</v>
      </c>
      <c r="C186" s="117">
        <v>2024</v>
      </c>
      <c r="D186" s="118" t="s">
        <v>35</v>
      </c>
      <c r="E186" s="119" t="s">
        <v>859</v>
      </c>
      <c r="F186" s="120">
        <v>1</v>
      </c>
      <c r="G186" s="181">
        <v>140000</v>
      </c>
      <c r="J186"/>
      <c r="K186"/>
      <c r="L186"/>
      <c r="M186"/>
    </row>
    <row r="187" spans="1:13" x14ac:dyDescent="0.25">
      <c r="A187" s="147">
        <v>182</v>
      </c>
      <c r="B187" s="116">
        <v>45337</v>
      </c>
      <c r="C187" s="117">
        <v>2024</v>
      </c>
      <c r="D187" s="118" t="s">
        <v>35</v>
      </c>
      <c r="E187" s="119" t="s">
        <v>860</v>
      </c>
      <c r="F187" s="120">
        <v>1</v>
      </c>
      <c r="G187" s="181">
        <v>65000</v>
      </c>
      <c r="J187"/>
      <c r="K187"/>
      <c r="L187"/>
      <c r="M187"/>
    </row>
    <row r="188" spans="1:13" x14ac:dyDescent="0.25">
      <c r="A188" s="147">
        <v>183</v>
      </c>
      <c r="B188" s="167">
        <v>45337</v>
      </c>
      <c r="C188" s="117">
        <v>2024</v>
      </c>
      <c r="D188" s="119" t="s">
        <v>35</v>
      </c>
      <c r="E188" s="119" t="s">
        <v>771</v>
      </c>
      <c r="F188" s="120">
        <v>1</v>
      </c>
      <c r="G188" s="188">
        <v>175000</v>
      </c>
      <c r="J188"/>
      <c r="K188"/>
      <c r="L188"/>
      <c r="M188"/>
    </row>
    <row r="189" spans="1:13" x14ac:dyDescent="0.25">
      <c r="A189" s="147">
        <v>184</v>
      </c>
      <c r="B189" s="116">
        <v>45337</v>
      </c>
      <c r="C189" s="117">
        <v>2024</v>
      </c>
      <c r="D189" s="118" t="s">
        <v>35</v>
      </c>
      <c r="E189" s="119" t="s">
        <v>861</v>
      </c>
      <c r="F189" s="120">
        <v>1</v>
      </c>
      <c r="G189" s="181">
        <v>125000</v>
      </c>
      <c r="J189"/>
      <c r="K189"/>
      <c r="L189"/>
      <c r="M189"/>
    </row>
    <row r="190" spans="1:13" x14ac:dyDescent="0.25">
      <c r="A190" s="147">
        <v>185</v>
      </c>
      <c r="B190" s="116">
        <v>45337</v>
      </c>
      <c r="C190" s="117">
        <v>2024</v>
      </c>
      <c r="D190" s="118" t="s">
        <v>35</v>
      </c>
      <c r="E190" s="119" t="s">
        <v>862</v>
      </c>
      <c r="F190" s="120">
        <v>1</v>
      </c>
      <c r="G190" s="181">
        <v>10000</v>
      </c>
      <c r="J190"/>
      <c r="K190"/>
      <c r="L190"/>
      <c r="M190"/>
    </row>
    <row r="191" spans="1:13" x14ac:dyDescent="0.25">
      <c r="A191" s="147">
        <v>186</v>
      </c>
      <c r="B191" s="116">
        <v>45337</v>
      </c>
      <c r="C191" s="117">
        <v>2024</v>
      </c>
      <c r="D191" s="118" t="s">
        <v>35</v>
      </c>
      <c r="E191" s="119" t="s">
        <v>863</v>
      </c>
      <c r="F191" s="120">
        <v>1</v>
      </c>
      <c r="G191" s="181">
        <v>57500</v>
      </c>
      <c r="J191"/>
      <c r="K191"/>
      <c r="L191"/>
      <c r="M191"/>
    </row>
    <row r="192" spans="1:13" x14ac:dyDescent="0.25">
      <c r="A192" s="147">
        <v>187</v>
      </c>
      <c r="B192" s="167">
        <v>45337</v>
      </c>
      <c r="C192" s="117">
        <v>2024</v>
      </c>
      <c r="D192" s="119" t="s">
        <v>35</v>
      </c>
      <c r="E192" s="119" t="s">
        <v>398</v>
      </c>
      <c r="F192" s="120">
        <v>1</v>
      </c>
      <c r="G192" s="188">
        <v>6500</v>
      </c>
      <c r="J192"/>
      <c r="K192"/>
      <c r="L192"/>
      <c r="M192"/>
    </row>
    <row r="193" spans="1:13" x14ac:dyDescent="0.25">
      <c r="A193" s="147">
        <v>188</v>
      </c>
      <c r="B193" s="167">
        <v>45337</v>
      </c>
      <c r="C193" s="117">
        <v>2024</v>
      </c>
      <c r="D193" s="119" t="s">
        <v>35</v>
      </c>
      <c r="E193" s="119" t="s">
        <v>771</v>
      </c>
      <c r="F193" s="120">
        <v>1</v>
      </c>
      <c r="G193" s="188">
        <v>175000</v>
      </c>
      <c r="J193"/>
      <c r="K193"/>
      <c r="L193"/>
      <c r="M193"/>
    </row>
    <row r="194" spans="1:13" x14ac:dyDescent="0.25">
      <c r="A194" s="147">
        <v>189</v>
      </c>
      <c r="B194" s="167">
        <v>45337</v>
      </c>
      <c r="C194" s="117">
        <v>2024</v>
      </c>
      <c r="D194" s="119" t="s">
        <v>35</v>
      </c>
      <c r="E194" s="119" t="s">
        <v>765</v>
      </c>
      <c r="F194" s="120">
        <v>1</v>
      </c>
      <c r="G194" s="188">
        <v>275000</v>
      </c>
      <c r="J194"/>
      <c r="K194"/>
      <c r="L194"/>
      <c r="M194"/>
    </row>
    <row r="195" spans="1:13" x14ac:dyDescent="0.25">
      <c r="A195" s="147">
        <v>190</v>
      </c>
      <c r="B195" s="116">
        <v>45337</v>
      </c>
      <c r="C195" s="117">
        <v>2024</v>
      </c>
      <c r="D195" s="118" t="s">
        <v>35</v>
      </c>
      <c r="E195" s="119" t="s">
        <v>861</v>
      </c>
      <c r="F195" s="120">
        <v>1</v>
      </c>
      <c r="G195" s="181">
        <v>125000</v>
      </c>
      <c r="J195"/>
      <c r="K195"/>
      <c r="L195"/>
      <c r="M195"/>
    </row>
    <row r="196" spans="1:13" x14ac:dyDescent="0.25">
      <c r="A196" s="147">
        <v>191</v>
      </c>
      <c r="B196" s="167">
        <v>45337</v>
      </c>
      <c r="C196" s="117">
        <v>2024</v>
      </c>
      <c r="D196" s="119" t="s">
        <v>35</v>
      </c>
      <c r="E196" s="119" t="s">
        <v>862</v>
      </c>
      <c r="F196" s="120">
        <v>1</v>
      </c>
      <c r="G196" s="188">
        <v>10000</v>
      </c>
      <c r="J196"/>
      <c r="K196"/>
      <c r="L196"/>
      <c r="M196"/>
    </row>
    <row r="197" spans="1:13" x14ac:dyDescent="0.25">
      <c r="A197" s="147">
        <v>192</v>
      </c>
      <c r="B197" s="116">
        <v>45337</v>
      </c>
      <c r="C197" s="117">
        <v>2024</v>
      </c>
      <c r="D197" s="118" t="s">
        <v>35</v>
      </c>
      <c r="E197" s="119" t="s">
        <v>863</v>
      </c>
      <c r="F197" s="120">
        <v>1</v>
      </c>
      <c r="G197" s="181">
        <v>57500</v>
      </c>
      <c r="J197"/>
      <c r="K197"/>
      <c r="L197"/>
      <c r="M197"/>
    </row>
    <row r="198" spans="1:13" x14ac:dyDescent="0.25">
      <c r="A198" s="147">
        <v>193</v>
      </c>
      <c r="B198" s="116">
        <v>45337</v>
      </c>
      <c r="C198" s="117">
        <v>2024</v>
      </c>
      <c r="D198" s="118" t="s">
        <v>35</v>
      </c>
      <c r="E198" s="119" t="s">
        <v>771</v>
      </c>
      <c r="F198" s="120">
        <v>1</v>
      </c>
      <c r="G198" s="181">
        <v>175000</v>
      </c>
      <c r="J198"/>
      <c r="K198"/>
      <c r="L198"/>
      <c r="M198"/>
    </row>
    <row r="199" spans="1:13" x14ac:dyDescent="0.25">
      <c r="A199" s="147">
        <v>194</v>
      </c>
      <c r="B199" s="116">
        <v>45337</v>
      </c>
      <c r="C199" s="117">
        <v>2024</v>
      </c>
      <c r="D199" s="118" t="s">
        <v>35</v>
      </c>
      <c r="E199" s="119" t="s">
        <v>765</v>
      </c>
      <c r="F199" s="120">
        <v>1</v>
      </c>
      <c r="G199" s="181">
        <v>275000</v>
      </c>
      <c r="J199"/>
      <c r="K199"/>
      <c r="L199"/>
      <c r="M199"/>
    </row>
    <row r="200" spans="1:13" x14ac:dyDescent="0.25">
      <c r="A200" s="147">
        <v>195</v>
      </c>
      <c r="B200" s="116">
        <v>45337</v>
      </c>
      <c r="C200" s="117">
        <v>2024</v>
      </c>
      <c r="D200" s="118" t="s">
        <v>35</v>
      </c>
      <c r="E200" s="119" t="s">
        <v>861</v>
      </c>
      <c r="F200" s="120">
        <v>1</v>
      </c>
      <c r="G200" s="181">
        <v>125000</v>
      </c>
      <c r="J200"/>
      <c r="K200"/>
      <c r="L200"/>
      <c r="M200"/>
    </row>
    <row r="201" spans="1:13" x14ac:dyDescent="0.25">
      <c r="A201" s="147">
        <v>196</v>
      </c>
      <c r="B201" s="116">
        <v>45337</v>
      </c>
      <c r="C201" s="117">
        <v>2024</v>
      </c>
      <c r="D201" s="118" t="s">
        <v>35</v>
      </c>
      <c r="E201" s="119" t="s">
        <v>862</v>
      </c>
      <c r="F201" s="120">
        <v>1</v>
      </c>
      <c r="G201" s="181">
        <v>10000</v>
      </c>
      <c r="J201"/>
      <c r="K201"/>
      <c r="L201"/>
      <c r="M201"/>
    </row>
    <row r="202" spans="1:13" x14ac:dyDescent="0.25">
      <c r="A202" s="147">
        <v>197</v>
      </c>
      <c r="B202" s="116">
        <v>45337</v>
      </c>
      <c r="C202" s="117">
        <v>2024</v>
      </c>
      <c r="D202" s="118" t="s">
        <v>35</v>
      </c>
      <c r="E202" s="119" t="s">
        <v>799</v>
      </c>
      <c r="F202" s="120">
        <v>1</v>
      </c>
      <c r="G202" s="181">
        <v>185000</v>
      </c>
      <c r="J202"/>
      <c r="K202"/>
      <c r="L202"/>
      <c r="M202"/>
    </row>
    <row r="203" spans="1:13" x14ac:dyDescent="0.25">
      <c r="A203" s="147">
        <v>198</v>
      </c>
      <c r="B203" s="116">
        <v>45337</v>
      </c>
      <c r="C203" s="117">
        <v>2024</v>
      </c>
      <c r="D203" s="118" t="s">
        <v>35</v>
      </c>
      <c r="E203" s="119" t="s">
        <v>799</v>
      </c>
      <c r="F203" s="120">
        <v>1</v>
      </c>
      <c r="G203" s="181">
        <v>60000</v>
      </c>
      <c r="J203"/>
      <c r="K203"/>
      <c r="L203"/>
      <c r="M203"/>
    </row>
    <row r="204" spans="1:13" x14ac:dyDescent="0.25">
      <c r="A204" s="147">
        <v>199</v>
      </c>
      <c r="B204" s="116">
        <v>45337</v>
      </c>
      <c r="C204" s="117">
        <v>2024</v>
      </c>
      <c r="D204" s="118" t="s">
        <v>35</v>
      </c>
      <c r="E204" s="119" t="s">
        <v>864</v>
      </c>
      <c r="F204" s="120">
        <v>1</v>
      </c>
      <c r="G204" s="181">
        <v>120000</v>
      </c>
      <c r="J204"/>
      <c r="K204"/>
      <c r="L204"/>
      <c r="M204"/>
    </row>
    <row r="205" spans="1:13" x14ac:dyDescent="0.25">
      <c r="A205" s="147">
        <v>200</v>
      </c>
      <c r="B205" s="167">
        <v>45337</v>
      </c>
      <c r="C205" s="117">
        <v>2024</v>
      </c>
      <c r="D205" s="119" t="s">
        <v>35</v>
      </c>
      <c r="E205" s="119" t="s">
        <v>864</v>
      </c>
      <c r="F205" s="120">
        <v>1</v>
      </c>
      <c r="G205" s="188">
        <v>77500</v>
      </c>
      <c r="J205"/>
      <c r="K205"/>
      <c r="L205"/>
      <c r="M205"/>
    </row>
    <row r="206" spans="1:13" x14ac:dyDescent="0.25">
      <c r="A206" s="147">
        <v>201</v>
      </c>
      <c r="B206" s="116">
        <v>45337</v>
      </c>
      <c r="C206" s="117">
        <v>2024</v>
      </c>
      <c r="D206" s="118" t="s">
        <v>35</v>
      </c>
      <c r="E206" s="119" t="s">
        <v>864</v>
      </c>
      <c r="F206" s="120">
        <v>1</v>
      </c>
      <c r="G206" s="181">
        <v>70000</v>
      </c>
      <c r="J206"/>
      <c r="K206"/>
      <c r="L206"/>
      <c r="M206"/>
    </row>
    <row r="207" spans="1:13" x14ac:dyDescent="0.25">
      <c r="A207" s="147">
        <v>202</v>
      </c>
      <c r="B207" s="167">
        <v>45337</v>
      </c>
      <c r="C207" s="117">
        <v>2024</v>
      </c>
      <c r="D207" s="119" t="s">
        <v>35</v>
      </c>
      <c r="E207" s="119" t="s">
        <v>864</v>
      </c>
      <c r="F207" s="120">
        <v>1</v>
      </c>
      <c r="G207" s="181">
        <v>75000</v>
      </c>
      <c r="J207"/>
      <c r="K207"/>
      <c r="L207"/>
      <c r="M207"/>
    </row>
    <row r="208" spans="1:13" x14ac:dyDescent="0.25">
      <c r="A208" s="147">
        <v>203</v>
      </c>
      <c r="B208" s="116">
        <v>45337</v>
      </c>
      <c r="C208" s="117">
        <v>2024</v>
      </c>
      <c r="D208" s="118" t="s">
        <v>35</v>
      </c>
      <c r="E208" s="119" t="s">
        <v>865</v>
      </c>
      <c r="F208" s="120">
        <v>1</v>
      </c>
      <c r="G208" s="181">
        <v>3100000</v>
      </c>
      <c r="J208"/>
      <c r="K208"/>
      <c r="L208"/>
      <c r="M208"/>
    </row>
    <row r="209" spans="1:13" x14ac:dyDescent="0.25">
      <c r="A209" s="147">
        <v>204</v>
      </c>
      <c r="B209" s="167">
        <v>45337</v>
      </c>
      <c r="C209" s="117">
        <v>2024</v>
      </c>
      <c r="D209" s="119" t="s">
        <v>35</v>
      </c>
      <c r="E209" s="119" t="s">
        <v>866</v>
      </c>
      <c r="F209" s="120">
        <v>1</v>
      </c>
      <c r="G209" s="188">
        <v>35000</v>
      </c>
      <c r="J209"/>
      <c r="K209"/>
      <c r="L209"/>
      <c r="M209"/>
    </row>
    <row r="210" spans="1:13" x14ac:dyDescent="0.25">
      <c r="A210" s="147">
        <v>205</v>
      </c>
      <c r="B210" s="116">
        <v>45337</v>
      </c>
      <c r="C210" s="117">
        <v>2024</v>
      </c>
      <c r="D210" s="118" t="s">
        <v>35</v>
      </c>
      <c r="E210" s="119" t="s">
        <v>867</v>
      </c>
      <c r="F210" s="120">
        <v>1</v>
      </c>
      <c r="G210" s="181">
        <v>15000</v>
      </c>
      <c r="J210"/>
      <c r="K210"/>
      <c r="L210"/>
      <c r="M210"/>
    </row>
    <row r="211" spans="1:13" x14ac:dyDescent="0.25">
      <c r="A211" s="147">
        <v>206</v>
      </c>
      <c r="B211" s="116">
        <v>45337</v>
      </c>
      <c r="C211" s="117">
        <v>2024</v>
      </c>
      <c r="D211" s="118" t="s">
        <v>35</v>
      </c>
      <c r="E211" s="119" t="s">
        <v>868</v>
      </c>
      <c r="F211" s="120">
        <v>1</v>
      </c>
      <c r="G211" s="181">
        <v>14000</v>
      </c>
      <c r="J211"/>
      <c r="K211"/>
      <c r="L211"/>
      <c r="M211"/>
    </row>
    <row r="212" spans="1:13" x14ac:dyDescent="0.25">
      <c r="A212" s="147">
        <v>207</v>
      </c>
      <c r="B212" s="116">
        <v>45337</v>
      </c>
      <c r="C212" s="117">
        <v>2024</v>
      </c>
      <c r="D212" s="118" t="s">
        <v>35</v>
      </c>
      <c r="E212" s="119" t="s">
        <v>869</v>
      </c>
      <c r="F212" s="120">
        <v>1</v>
      </c>
      <c r="G212" s="181">
        <v>450000</v>
      </c>
      <c r="J212"/>
      <c r="K212"/>
      <c r="L212"/>
      <c r="M212"/>
    </row>
    <row r="213" spans="1:13" x14ac:dyDescent="0.25">
      <c r="A213" s="147">
        <v>208</v>
      </c>
      <c r="B213" s="116">
        <v>45337</v>
      </c>
      <c r="C213" s="117">
        <v>2024</v>
      </c>
      <c r="D213" s="118" t="s">
        <v>35</v>
      </c>
      <c r="E213" s="119" t="s">
        <v>870</v>
      </c>
      <c r="F213" s="120">
        <v>1</v>
      </c>
      <c r="G213" s="189">
        <v>1500</v>
      </c>
      <c r="J213"/>
      <c r="K213"/>
      <c r="L213"/>
      <c r="M213"/>
    </row>
    <row r="214" spans="1:13" x14ac:dyDescent="0.25">
      <c r="A214" s="147">
        <v>209</v>
      </c>
      <c r="B214" s="116">
        <v>45337</v>
      </c>
      <c r="C214" s="117">
        <v>2024</v>
      </c>
      <c r="D214" s="118" t="s">
        <v>35</v>
      </c>
      <c r="E214" s="119" t="s">
        <v>765</v>
      </c>
      <c r="F214" s="120">
        <v>1</v>
      </c>
      <c r="G214" s="190">
        <v>140000</v>
      </c>
      <c r="J214"/>
      <c r="K214"/>
      <c r="L214"/>
      <c r="M214"/>
    </row>
    <row r="215" spans="1:13" x14ac:dyDescent="0.25">
      <c r="A215" s="147">
        <v>210</v>
      </c>
      <c r="B215" s="116">
        <v>45337</v>
      </c>
      <c r="C215" s="117">
        <v>2024</v>
      </c>
      <c r="D215" s="118" t="s">
        <v>35</v>
      </c>
      <c r="E215" s="119" t="s">
        <v>871</v>
      </c>
      <c r="F215" s="120">
        <v>1</v>
      </c>
      <c r="G215" s="190">
        <v>65000</v>
      </c>
      <c r="J215"/>
      <c r="K215"/>
      <c r="L215"/>
      <c r="M215"/>
    </row>
    <row r="216" spans="1:13" x14ac:dyDescent="0.25">
      <c r="A216" s="147">
        <v>211</v>
      </c>
      <c r="B216" s="167">
        <v>45337</v>
      </c>
      <c r="C216" s="117">
        <v>2024</v>
      </c>
      <c r="D216" s="119" t="s">
        <v>35</v>
      </c>
      <c r="E216" s="119" t="s">
        <v>872</v>
      </c>
      <c r="F216" s="120">
        <v>1</v>
      </c>
      <c r="G216" s="188">
        <v>38500</v>
      </c>
      <c r="J216"/>
      <c r="K216"/>
      <c r="L216"/>
      <c r="M216"/>
    </row>
    <row r="217" spans="1:13" x14ac:dyDescent="0.25">
      <c r="A217" s="147">
        <v>212</v>
      </c>
      <c r="B217" s="167">
        <v>45337</v>
      </c>
      <c r="C217" s="117">
        <v>2024</v>
      </c>
      <c r="D217" s="119" t="s">
        <v>35</v>
      </c>
      <c r="E217" s="119" t="s">
        <v>873</v>
      </c>
      <c r="F217" s="120">
        <v>1</v>
      </c>
      <c r="G217" s="188">
        <v>40000</v>
      </c>
      <c r="J217"/>
      <c r="K217"/>
      <c r="L217"/>
      <c r="M217"/>
    </row>
    <row r="218" spans="1:13" x14ac:dyDescent="0.25">
      <c r="A218" s="147">
        <v>213</v>
      </c>
      <c r="B218" s="167">
        <v>45337</v>
      </c>
      <c r="C218" s="117">
        <v>2024</v>
      </c>
      <c r="D218" s="119" t="s">
        <v>35</v>
      </c>
      <c r="E218" s="119" t="s">
        <v>858</v>
      </c>
      <c r="F218" s="120">
        <v>1</v>
      </c>
      <c r="G218" s="188">
        <v>9000</v>
      </c>
      <c r="J218"/>
      <c r="K218"/>
      <c r="L218"/>
      <c r="M218"/>
    </row>
    <row r="219" spans="1:13" x14ac:dyDescent="0.25">
      <c r="A219" s="147">
        <v>214</v>
      </c>
      <c r="B219" s="167">
        <v>45337</v>
      </c>
      <c r="C219" s="117">
        <v>2024</v>
      </c>
      <c r="D219" s="119" t="s">
        <v>35</v>
      </c>
      <c r="E219" s="119" t="s">
        <v>874</v>
      </c>
      <c r="F219" s="120">
        <v>1</v>
      </c>
      <c r="G219" s="188">
        <v>50000</v>
      </c>
      <c r="J219"/>
      <c r="K219"/>
      <c r="L219"/>
      <c r="M219"/>
    </row>
    <row r="220" spans="1:13" x14ac:dyDescent="0.25">
      <c r="A220" s="147">
        <v>215</v>
      </c>
      <c r="B220" s="167">
        <v>45337</v>
      </c>
      <c r="C220" s="117">
        <v>2024</v>
      </c>
      <c r="D220" s="119" t="s">
        <v>35</v>
      </c>
      <c r="E220" s="119" t="s">
        <v>398</v>
      </c>
      <c r="F220" s="120">
        <v>1</v>
      </c>
      <c r="G220" s="188">
        <v>6000</v>
      </c>
      <c r="J220"/>
      <c r="K220"/>
      <c r="L220"/>
      <c r="M220"/>
    </row>
    <row r="221" spans="1:13" x14ac:dyDescent="0.25">
      <c r="A221" s="147">
        <v>216</v>
      </c>
      <c r="B221" s="167">
        <v>45337</v>
      </c>
      <c r="C221" s="117">
        <v>2024</v>
      </c>
      <c r="D221" s="119" t="s">
        <v>35</v>
      </c>
      <c r="E221" s="119" t="s">
        <v>115</v>
      </c>
      <c r="F221" s="120">
        <v>1</v>
      </c>
      <c r="G221" s="188">
        <v>425000</v>
      </c>
      <c r="J221"/>
      <c r="K221"/>
      <c r="L221"/>
      <c r="M221"/>
    </row>
    <row r="222" spans="1:13" x14ac:dyDescent="0.25">
      <c r="A222" s="147">
        <v>217</v>
      </c>
      <c r="B222" s="167">
        <v>45337</v>
      </c>
      <c r="C222" s="117">
        <v>2024</v>
      </c>
      <c r="D222" s="119" t="s">
        <v>35</v>
      </c>
      <c r="E222" s="119" t="s">
        <v>875</v>
      </c>
      <c r="F222" s="120">
        <v>1</v>
      </c>
      <c r="G222" s="188">
        <v>100000</v>
      </c>
      <c r="J222"/>
      <c r="K222"/>
      <c r="L222"/>
      <c r="M222"/>
    </row>
    <row r="223" spans="1:13" x14ac:dyDescent="0.25">
      <c r="A223" s="147">
        <v>218</v>
      </c>
      <c r="B223" s="167">
        <v>45337</v>
      </c>
      <c r="C223" s="117">
        <v>2024</v>
      </c>
      <c r="D223" s="119" t="s">
        <v>35</v>
      </c>
      <c r="E223" s="119" t="s">
        <v>437</v>
      </c>
      <c r="F223" s="120">
        <v>1</v>
      </c>
      <c r="G223" s="188">
        <v>13000</v>
      </c>
      <c r="J223"/>
      <c r="K223"/>
      <c r="L223"/>
      <c r="M223"/>
    </row>
    <row r="224" spans="1:13" x14ac:dyDescent="0.25">
      <c r="A224" s="147">
        <v>219</v>
      </c>
      <c r="B224" s="167">
        <v>45337</v>
      </c>
      <c r="C224" s="117">
        <v>2024</v>
      </c>
      <c r="D224" s="119" t="s">
        <v>35</v>
      </c>
      <c r="E224" s="119" t="s">
        <v>876</v>
      </c>
      <c r="F224" s="120">
        <v>1</v>
      </c>
      <c r="G224" s="188">
        <v>150000</v>
      </c>
      <c r="J224"/>
      <c r="K224"/>
      <c r="L224"/>
      <c r="M224"/>
    </row>
    <row r="225" spans="1:13" x14ac:dyDescent="0.25">
      <c r="A225" s="147">
        <v>220</v>
      </c>
      <c r="B225" s="167">
        <v>45337</v>
      </c>
      <c r="C225" s="117">
        <v>2024</v>
      </c>
      <c r="D225" s="119" t="s">
        <v>35</v>
      </c>
      <c r="E225" s="119" t="s">
        <v>877</v>
      </c>
      <c r="F225" s="120">
        <v>1</v>
      </c>
      <c r="G225" s="188">
        <v>65000</v>
      </c>
      <c r="J225"/>
      <c r="K225"/>
      <c r="L225"/>
      <c r="M225"/>
    </row>
    <row r="226" spans="1:13" x14ac:dyDescent="0.25">
      <c r="A226" s="147">
        <v>221</v>
      </c>
      <c r="B226" s="167">
        <v>45337</v>
      </c>
      <c r="C226" s="117">
        <v>2024</v>
      </c>
      <c r="D226" s="119" t="s">
        <v>35</v>
      </c>
      <c r="E226" s="119" t="s">
        <v>839</v>
      </c>
      <c r="F226" s="120">
        <v>1</v>
      </c>
      <c r="G226" s="188">
        <v>38500</v>
      </c>
      <c r="J226"/>
      <c r="K226"/>
      <c r="L226"/>
      <c r="M226"/>
    </row>
    <row r="227" spans="1:13" x14ac:dyDescent="0.25">
      <c r="A227" s="147">
        <v>222</v>
      </c>
      <c r="B227" s="167">
        <v>45337</v>
      </c>
      <c r="C227" s="117">
        <v>2024</v>
      </c>
      <c r="D227" s="119" t="s">
        <v>35</v>
      </c>
      <c r="E227" s="119" t="s">
        <v>878</v>
      </c>
      <c r="F227" s="120">
        <v>1</v>
      </c>
      <c r="G227" s="188">
        <v>405000</v>
      </c>
      <c r="J227"/>
      <c r="K227"/>
      <c r="L227"/>
      <c r="M227"/>
    </row>
    <row r="228" spans="1:13" x14ac:dyDescent="0.25">
      <c r="A228" s="147">
        <v>223</v>
      </c>
      <c r="B228" s="167">
        <v>45337</v>
      </c>
      <c r="C228" s="117">
        <v>2024</v>
      </c>
      <c r="D228" s="119" t="s">
        <v>35</v>
      </c>
      <c r="E228" s="119" t="s">
        <v>879</v>
      </c>
      <c r="F228" s="120">
        <v>1</v>
      </c>
      <c r="G228" s="188">
        <v>505000</v>
      </c>
      <c r="J228"/>
      <c r="K228"/>
      <c r="L228"/>
      <c r="M228"/>
    </row>
    <row r="229" spans="1:13" x14ac:dyDescent="0.25">
      <c r="A229" s="147">
        <v>224</v>
      </c>
      <c r="B229" s="167">
        <v>45337</v>
      </c>
      <c r="C229" s="117">
        <v>2024</v>
      </c>
      <c r="D229" s="119" t="s">
        <v>35</v>
      </c>
      <c r="E229" s="119" t="s">
        <v>839</v>
      </c>
      <c r="F229" s="120">
        <v>1</v>
      </c>
      <c r="G229" s="188">
        <v>55000</v>
      </c>
      <c r="J229"/>
      <c r="K229"/>
      <c r="L229"/>
      <c r="M229"/>
    </row>
    <row r="230" spans="1:13" x14ac:dyDescent="0.25">
      <c r="A230" s="147">
        <v>225</v>
      </c>
      <c r="B230" s="167">
        <v>45337</v>
      </c>
      <c r="C230" s="117">
        <v>2024</v>
      </c>
      <c r="D230" s="119" t="s">
        <v>35</v>
      </c>
      <c r="E230" s="119" t="s">
        <v>880</v>
      </c>
      <c r="F230" s="120">
        <v>1</v>
      </c>
      <c r="G230" s="188">
        <v>400000</v>
      </c>
      <c r="J230"/>
      <c r="K230"/>
      <c r="L230"/>
      <c r="M230"/>
    </row>
    <row r="231" spans="1:13" x14ac:dyDescent="0.25">
      <c r="A231" s="147">
        <v>226</v>
      </c>
      <c r="B231" s="167">
        <v>45337</v>
      </c>
      <c r="C231" s="117">
        <v>2024</v>
      </c>
      <c r="D231" s="119" t="s">
        <v>35</v>
      </c>
      <c r="E231" s="119" t="s">
        <v>880</v>
      </c>
      <c r="F231" s="120">
        <v>1</v>
      </c>
      <c r="G231" s="188">
        <v>370000</v>
      </c>
      <c r="J231"/>
      <c r="K231"/>
      <c r="L231"/>
      <c r="M231"/>
    </row>
    <row r="232" spans="1:13" x14ac:dyDescent="0.25">
      <c r="A232" s="147">
        <v>227</v>
      </c>
      <c r="B232" s="167">
        <v>45337</v>
      </c>
      <c r="C232" s="117">
        <v>2024</v>
      </c>
      <c r="D232" s="119" t="s">
        <v>35</v>
      </c>
      <c r="E232" s="119" t="s">
        <v>115</v>
      </c>
      <c r="F232" s="120">
        <v>1</v>
      </c>
      <c r="G232" s="188">
        <v>170000</v>
      </c>
      <c r="J232"/>
      <c r="K232"/>
      <c r="L232"/>
      <c r="M232"/>
    </row>
    <row r="233" spans="1:13" x14ac:dyDescent="0.25">
      <c r="A233" s="147">
        <v>228</v>
      </c>
      <c r="B233" s="167">
        <v>45337</v>
      </c>
      <c r="C233" s="117">
        <v>2024</v>
      </c>
      <c r="D233" s="119" t="s">
        <v>35</v>
      </c>
      <c r="E233" s="119" t="s">
        <v>876</v>
      </c>
      <c r="F233" s="120">
        <v>1</v>
      </c>
      <c r="G233" s="188">
        <v>25000</v>
      </c>
      <c r="J233"/>
      <c r="K233"/>
      <c r="L233"/>
      <c r="M233"/>
    </row>
    <row r="234" spans="1:13" x14ac:dyDescent="0.25">
      <c r="A234" s="147">
        <v>229</v>
      </c>
      <c r="B234" s="167">
        <v>45337</v>
      </c>
      <c r="C234" s="117">
        <v>2024</v>
      </c>
      <c r="D234" s="119" t="s">
        <v>35</v>
      </c>
      <c r="E234" s="119" t="s">
        <v>881</v>
      </c>
      <c r="F234" s="120">
        <v>1</v>
      </c>
      <c r="G234" s="188">
        <v>3000</v>
      </c>
      <c r="J234"/>
      <c r="K234"/>
      <c r="L234"/>
      <c r="M234"/>
    </row>
    <row r="235" spans="1:13" x14ac:dyDescent="0.25">
      <c r="A235" s="147">
        <v>230</v>
      </c>
      <c r="B235" s="167">
        <v>45337</v>
      </c>
      <c r="C235" s="117">
        <v>2024</v>
      </c>
      <c r="D235" s="119" t="s">
        <v>35</v>
      </c>
      <c r="E235" s="119" t="s">
        <v>881</v>
      </c>
      <c r="F235" s="120">
        <v>1</v>
      </c>
      <c r="G235" s="188">
        <v>15000</v>
      </c>
      <c r="J235"/>
      <c r="K235"/>
      <c r="L235"/>
      <c r="M235"/>
    </row>
    <row r="236" spans="1:13" x14ac:dyDescent="0.25">
      <c r="A236" s="147">
        <v>231</v>
      </c>
      <c r="B236" s="167">
        <v>45337</v>
      </c>
      <c r="C236" s="117">
        <v>2024</v>
      </c>
      <c r="D236" s="119" t="s">
        <v>35</v>
      </c>
      <c r="E236" s="119" t="s">
        <v>882</v>
      </c>
      <c r="F236" s="120">
        <v>1</v>
      </c>
      <c r="G236" s="188">
        <v>27500</v>
      </c>
      <c r="J236"/>
      <c r="K236"/>
      <c r="L236"/>
      <c r="M236"/>
    </row>
    <row r="237" spans="1:13" x14ac:dyDescent="0.25">
      <c r="A237" s="147">
        <v>232</v>
      </c>
      <c r="B237" s="167">
        <v>45337</v>
      </c>
      <c r="C237" s="117">
        <v>2024</v>
      </c>
      <c r="D237" s="119" t="s">
        <v>35</v>
      </c>
      <c r="E237" s="119" t="s">
        <v>874</v>
      </c>
      <c r="F237" s="120">
        <v>1</v>
      </c>
      <c r="G237" s="188">
        <v>550000</v>
      </c>
      <c r="J237"/>
      <c r="K237"/>
      <c r="L237"/>
      <c r="M237"/>
    </row>
    <row r="238" spans="1:13" x14ac:dyDescent="0.25">
      <c r="A238" s="147">
        <v>233</v>
      </c>
      <c r="B238" s="167">
        <v>45337</v>
      </c>
      <c r="C238" s="117">
        <v>2024</v>
      </c>
      <c r="D238" s="119" t="s">
        <v>35</v>
      </c>
      <c r="E238" s="119" t="s">
        <v>883</v>
      </c>
      <c r="F238" s="120">
        <v>1</v>
      </c>
      <c r="G238" s="188">
        <v>370000</v>
      </c>
      <c r="J238"/>
      <c r="K238"/>
      <c r="L238"/>
      <c r="M238"/>
    </row>
    <row r="239" spans="1:13" x14ac:dyDescent="0.25">
      <c r="A239" s="147">
        <v>234</v>
      </c>
      <c r="B239" s="167">
        <v>45337</v>
      </c>
      <c r="C239" s="117">
        <v>2024</v>
      </c>
      <c r="D239" s="119" t="s">
        <v>35</v>
      </c>
      <c r="E239" s="119" t="s">
        <v>800</v>
      </c>
      <c r="F239" s="120">
        <v>1</v>
      </c>
      <c r="G239" s="188">
        <v>165000</v>
      </c>
      <c r="J239"/>
      <c r="K239"/>
      <c r="L239"/>
      <c r="M239"/>
    </row>
    <row r="240" spans="1:13" x14ac:dyDescent="0.25">
      <c r="A240" s="147">
        <v>235</v>
      </c>
      <c r="B240" s="167">
        <v>45337</v>
      </c>
      <c r="C240" s="117">
        <v>2024</v>
      </c>
      <c r="D240" s="119" t="s">
        <v>35</v>
      </c>
      <c r="E240" s="119" t="s">
        <v>884</v>
      </c>
      <c r="F240" s="120">
        <v>1</v>
      </c>
      <c r="G240" s="188">
        <v>130000</v>
      </c>
      <c r="J240"/>
      <c r="K240"/>
      <c r="L240"/>
      <c r="M240"/>
    </row>
    <row r="241" spans="1:13" x14ac:dyDescent="0.25">
      <c r="A241" s="147">
        <v>236</v>
      </c>
      <c r="B241" s="167">
        <v>45337</v>
      </c>
      <c r="C241" s="117">
        <v>2024</v>
      </c>
      <c r="D241" s="119" t="s">
        <v>35</v>
      </c>
      <c r="E241" s="119" t="s">
        <v>885</v>
      </c>
      <c r="F241" s="120">
        <v>1</v>
      </c>
      <c r="G241" s="188">
        <v>200000</v>
      </c>
      <c r="J241"/>
      <c r="K241"/>
      <c r="L241"/>
      <c r="M241"/>
    </row>
    <row r="242" spans="1:13" x14ac:dyDescent="0.25">
      <c r="A242" s="147">
        <v>237</v>
      </c>
      <c r="B242" s="167">
        <v>45337</v>
      </c>
      <c r="C242" s="117">
        <v>2024</v>
      </c>
      <c r="D242" s="119" t="s">
        <v>35</v>
      </c>
      <c r="E242" s="119" t="s">
        <v>880</v>
      </c>
      <c r="F242" s="120">
        <v>1</v>
      </c>
      <c r="G242" s="188">
        <v>385000</v>
      </c>
      <c r="J242"/>
      <c r="K242"/>
      <c r="L242"/>
      <c r="M242"/>
    </row>
    <row r="243" spans="1:13" x14ac:dyDescent="0.25">
      <c r="A243" s="147">
        <v>238</v>
      </c>
      <c r="B243" s="167">
        <v>45337</v>
      </c>
      <c r="C243" s="117">
        <v>2024</v>
      </c>
      <c r="D243" s="119" t="s">
        <v>35</v>
      </c>
      <c r="E243" s="119" t="s">
        <v>886</v>
      </c>
      <c r="F243" s="120">
        <v>1</v>
      </c>
      <c r="G243" s="188">
        <v>1500</v>
      </c>
      <c r="J243"/>
      <c r="K243"/>
      <c r="L243"/>
      <c r="M243"/>
    </row>
    <row r="244" spans="1:13" x14ac:dyDescent="0.25">
      <c r="A244" s="147">
        <v>239</v>
      </c>
      <c r="B244" s="167">
        <v>45337</v>
      </c>
      <c r="C244" s="117">
        <v>2024</v>
      </c>
      <c r="D244" s="119" t="s">
        <v>35</v>
      </c>
      <c r="E244" s="119" t="s">
        <v>887</v>
      </c>
      <c r="F244" s="120">
        <v>1</v>
      </c>
      <c r="G244" s="188">
        <v>25000</v>
      </c>
      <c r="J244"/>
      <c r="K244"/>
      <c r="L244"/>
      <c r="M244"/>
    </row>
    <row r="245" spans="1:13" x14ac:dyDescent="0.25">
      <c r="A245" s="147">
        <v>240</v>
      </c>
      <c r="B245" s="167">
        <v>45337</v>
      </c>
      <c r="C245" s="117">
        <v>2024</v>
      </c>
      <c r="D245" s="119" t="s">
        <v>35</v>
      </c>
      <c r="E245" s="119" t="s">
        <v>888</v>
      </c>
      <c r="F245" s="120">
        <v>1</v>
      </c>
      <c r="G245" s="188">
        <v>15000</v>
      </c>
      <c r="J245"/>
      <c r="K245"/>
      <c r="L245"/>
      <c r="M245"/>
    </row>
    <row r="246" spans="1:13" x14ac:dyDescent="0.25">
      <c r="A246" s="147">
        <v>241</v>
      </c>
      <c r="B246" s="167">
        <v>45337</v>
      </c>
      <c r="C246" s="117">
        <v>2024</v>
      </c>
      <c r="D246" s="119" t="s">
        <v>35</v>
      </c>
      <c r="E246" s="119" t="s">
        <v>889</v>
      </c>
      <c r="F246" s="120">
        <v>1</v>
      </c>
      <c r="G246" s="188">
        <v>25000</v>
      </c>
      <c r="J246"/>
      <c r="K246"/>
      <c r="L246"/>
      <c r="M246"/>
    </row>
    <row r="247" spans="1:13" x14ac:dyDescent="0.25">
      <c r="A247" s="147">
        <v>242</v>
      </c>
      <c r="B247" s="167">
        <v>45337</v>
      </c>
      <c r="C247" s="117">
        <v>2024</v>
      </c>
      <c r="D247" s="119" t="s">
        <v>35</v>
      </c>
      <c r="E247" s="119" t="s">
        <v>858</v>
      </c>
      <c r="F247" s="120">
        <v>1</v>
      </c>
      <c r="G247" s="188">
        <v>7500</v>
      </c>
      <c r="J247"/>
      <c r="K247"/>
      <c r="L247"/>
      <c r="M247"/>
    </row>
    <row r="248" spans="1:13" x14ac:dyDescent="0.25">
      <c r="A248" s="147">
        <v>243</v>
      </c>
      <c r="B248" s="167">
        <v>45337</v>
      </c>
      <c r="C248" s="117">
        <v>2024</v>
      </c>
      <c r="D248" s="119" t="s">
        <v>35</v>
      </c>
      <c r="E248" s="119" t="s">
        <v>890</v>
      </c>
      <c r="F248" s="120">
        <v>1</v>
      </c>
      <c r="G248" s="188">
        <v>65000</v>
      </c>
      <c r="J248"/>
      <c r="K248"/>
      <c r="L248"/>
      <c r="M248"/>
    </row>
    <row r="249" spans="1:13" x14ac:dyDescent="0.25">
      <c r="A249" s="147">
        <v>244</v>
      </c>
      <c r="B249" s="167">
        <v>45337</v>
      </c>
      <c r="C249" s="117">
        <v>2024</v>
      </c>
      <c r="D249" s="119" t="s">
        <v>35</v>
      </c>
      <c r="E249" s="119" t="s">
        <v>891</v>
      </c>
      <c r="F249" s="120">
        <v>1</v>
      </c>
      <c r="G249" s="188">
        <v>30000</v>
      </c>
      <c r="J249"/>
      <c r="K249"/>
      <c r="L249"/>
      <c r="M249"/>
    </row>
    <row r="250" spans="1:13" x14ac:dyDescent="0.25">
      <c r="A250" s="147">
        <v>245</v>
      </c>
      <c r="B250" s="167">
        <v>45337</v>
      </c>
      <c r="C250" s="117">
        <v>2024</v>
      </c>
      <c r="D250" s="119" t="s">
        <v>35</v>
      </c>
      <c r="E250" s="119" t="s">
        <v>839</v>
      </c>
      <c r="F250" s="120">
        <v>1</v>
      </c>
      <c r="G250" s="188">
        <v>55000</v>
      </c>
      <c r="J250"/>
      <c r="K250"/>
      <c r="L250"/>
      <c r="M250"/>
    </row>
    <row r="251" spans="1:13" x14ac:dyDescent="0.25">
      <c r="A251" s="147">
        <v>246</v>
      </c>
      <c r="B251" s="167">
        <v>45338</v>
      </c>
      <c r="C251" s="117">
        <v>2024</v>
      </c>
      <c r="D251" s="119" t="s">
        <v>35</v>
      </c>
      <c r="E251" s="119" t="s">
        <v>892</v>
      </c>
      <c r="F251" s="120">
        <v>1</v>
      </c>
      <c r="G251" s="188">
        <v>60000</v>
      </c>
      <c r="J251"/>
      <c r="K251"/>
      <c r="L251"/>
      <c r="M251"/>
    </row>
    <row r="252" spans="1:13" x14ac:dyDescent="0.25">
      <c r="A252" s="147">
        <v>247</v>
      </c>
      <c r="B252" s="167">
        <v>45338</v>
      </c>
      <c r="C252" s="117">
        <v>2024</v>
      </c>
      <c r="D252" s="119" t="s">
        <v>35</v>
      </c>
      <c r="E252" s="119" t="s">
        <v>893</v>
      </c>
      <c r="F252" s="120">
        <v>1</v>
      </c>
      <c r="G252" s="188">
        <v>100000</v>
      </c>
      <c r="J252"/>
      <c r="K252"/>
      <c r="L252"/>
      <c r="M252"/>
    </row>
    <row r="253" spans="1:13" x14ac:dyDescent="0.25">
      <c r="A253" s="147">
        <v>248</v>
      </c>
      <c r="B253" s="167">
        <v>45338</v>
      </c>
      <c r="C253" s="117">
        <v>2024</v>
      </c>
      <c r="D253" s="119" t="s">
        <v>35</v>
      </c>
      <c r="E253" s="119" t="s">
        <v>894</v>
      </c>
      <c r="F253" s="120">
        <v>1</v>
      </c>
      <c r="G253" s="188">
        <v>75000</v>
      </c>
      <c r="J253"/>
      <c r="K253"/>
      <c r="L253"/>
      <c r="M253"/>
    </row>
    <row r="254" spans="1:13" x14ac:dyDescent="0.25">
      <c r="A254" s="147">
        <v>249</v>
      </c>
      <c r="B254" s="167">
        <v>45338</v>
      </c>
      <c r="C254" s="117">
        <v>2024</v>
      </c>
      <c r="D254" s="119" t="s">
        <v>35</v>
      </c>
      <c r="E254" s="119" t="s">
        <v>895</v>
      </c>
      <c r="F254" s="120">
        <v>1</v>
      </c>
      <c r="G254" s="188">
        <v>150000</v>
      </c>
      <c r="J254"/>
      <c r="K254"/>
      <c r="L254"/>
      <c r="M254"/>
    </row>
    <row r="255" spans="1:13" x14ac:dyDescent="0.25">
      <c r="A255" s="147">
        <v>250</v>
      </c>
      <c r="B255" s="167">
        <v>45338</v>
      </c>
      <c r="C255" s="117">
        <v>2024</v>
      </c>
      <c r="D255" s="119" t="s">
        <v>35</v>
      </c>
      <c r="E255" s="119" t="s">
        <v>896</v>
      </c>
      <c r="F255" s="120">
        <v>1</v>
      </c>
      <c r="G255" s="188">
        <v>425000</v>
      </c>
      <c r="J255"/>
      <c r="K255"/>
      <c r="L255"/>
      <c r="M255"/>
    </row>
    <row r="256" spans="1:13" x14ac:dyDescent="0.25">
      <c r="A256" s="147">
        <v>251</v>
      </c>
      <c r="B256" s="167">
        <v>45338</v>
      </c>
      <c r="C256" s="117">
        <v>2024</v>
      </c>
      <c r="D256" s="119" t="s">
        <v>35</v>
      </c>
      <c r="E256" s="119" t="s">
        <v>808</v>
      </c>
      <c r="F256" s="120">
        <v>1</v>
      </c>
      <c r="G256" s="188">
        <v>50000</v>
      </c>
      <c r="J256"/>
      <c r="K256"/>
      <c r="L256"/>
      <c r="M256"/>
    </row>
    <row r="257" spans="1:13" x14ac:dyDescent="0.25">
      <c r="A257" s="147">
        <v>252</v>
      </c>
      <c r="B257" s="167">
        <v>45338</v>
      </c>
      <c r="C257" s="117">
        <v>2024</v>
      </c>
      <c r="D257" s="119" t="s">
        <v>35</v>
      </c>
      <c r="E257" s="119" t="s">
        <v>897</v>
      </c>
      <c r="F257" s="120">
        <v>1</v>
      </c>
      <c r="G257" s="188">
        <v>125000</v>
      </c>
      <c r="J257"/>
      <c r="K257"/>
      <c r="L257"/>
      <c r="M257"/>
    </row>
    <row r="258" spans="1:13" x14ac:dyDescent="0.25">
      <c r="A258" s="147">
        <v>253</v>
      </c>
      <c r="B258" s="167">
        <v>45338</v>
      </c>
      <c r="C258" s="117">
        <v>2024</v>
      </c>
      <c r="D258" s="119" t="s">
        <v>35</v>
      </c>
      <c r="E258" s="119" t="s">
        <v>898</v>
      </c>
      <c r="F258" s="120">
        <v>1</v>
      </c>
      <c r="G258" s="188">
        <v>25000</v>
      </c>
      <c r="J258"/>
      <c r="K258"/>
      <c r="L258"/>
      <c r="M258"/>
    </row>
    <row r="259" spans="1:13" x14ac:dyDescent="0.25">
      <c r="A259" s="147">
        <v>254</v>
      </c>
      <c r="B259" s="167">
        <v>45338</v>
      </c>
      <c r="C259" s="117">
        <v>2024</v>
      </c>
      <c r="D259" s="119" t="s">
        <v>35</v>
      </c>
      <c r="E259" s="119" t="s">
        <v>898</v>
      </c>
      <c r="F259" s="120">
        <v>1</v>
      </c>
      <c r="G259" s="188">
        <v>60000</v>
      </c>
      <c r="J259"/>
      <c r="K259"/>
      <c r="L259"/>
      <c r="M259"/>
    </row>
    <row r="260" spans="1:13" x14ac:dyDescent="0.25">
      <c r="A260" s="147">
        <v>255</v>
      </c>
      <c r="B260" s="167">
        <v>45338</v>
      </c>
      <c r="C260" s="117">
        <v>2024</v>
      </c>
      <c r="D260" s="119" t="s">
        <v>35</v>
      </c>
      <c r="E260" s="119" t="s">
        <v>899</v>
      </c>
      <c r="F260" s="120">
        <v>1</v>
      </c>
      <c r="G260" s="188">
        <v>450000</v>
      </c>
      <c r="J260"/>
      <c r="K260"/>
      <c r="L260"/>
      <c r="M260"/>
    </row>
    <row r="261" spans="1:13" x14ac:dyDescent="0.25">
      <c r="A261" s="147">
        <v>256</v>
      </c>
      <c r="B261" s="167">
        <v>45338</v>
      </c>
      <c r="C261" s="117">
        <v>2024</v>
      </c>
      <c r="D261" s="119" t="s">
        <v>35</v>
      </c>
      <c r="E261" s="119" t="s">
        <v>898</v>
      </c>
      <c r="F261" s="120">
        <v>1</v>
      </c>
      <c r="G261" s="188">
        <v>425000</v>
      </c>
      <c r="J261"/>
      <c r="K261"/>
      <c r="L261"/>
      <c r="M261"/>
    </row>
    <row r="262" spans="1:13" x14ac:dyDescent="0.25">
      <c r="A262" s="147">
        <v>257</v>
      </c>
      <c r="B262" s="167">
        <v>45338</v>
      </c>
      <c r="C262" s="117">
        <v>2024</v>
      </c>
      <c r="D262" s="119" t="s">
        <v>35</v>
      </c>
      <c r="E262" s="119" t="s">
        <v>574</v>
      </c>
      <c r="F262" s="120">
        <v>1</v>
      </c>
      <c r="G262" s="188">
        <v>250000</v>
      </c>
      <c r="J262"/>
      <c r="K262"/>
      <c r="L262"/>
      <c r="M262"/>
    </row>
    <row r="263" spans="1:13" x14ac:dyDescent="0.25">
      <c r="A263" s="147">
        <v>258</v>
      </c>
      <c r="B263" s="167">
        <v>45338</v>
      </c>
      <c r="C263" s="117">
        <v>2024</v>
      </c>
      <c r="D263" s="119" t="s">
        <v>35</v>
      </c>
      <c r="E263" s="119" t="s">
        <v>901</v>
      </c>
      <c r="F263" s="120">
        <v>1</v>
      </c>
      <c r="G263" s="188">
        <v>150000</v>
      </c>
      <c r="J263"/>
      <c r="K263"/>
      <c r="L263"/>
      <c r="M263"/>
    </row>
    <row r="264" spans="1:13" x14ac:dyDescent="0.25">
      <c r="A264" s="147">
        <v>259</v>
      </c>
      <c r="B264" s="167">
        <v>45338</v>
      </c>
      <c r="C264" s="117">
        <v>2024</v>
      </c>
      <c r="D264" s="119" t="s">
        <v>35</v>
      </c>
      <c r="E264" s="119" t="s">
        <v>902</v>
      </c>
      <c r="F264" s="120">
        <v>1</v>
      </c>
      <c r="G264" s="188">
        <v>575000</v>
      </c>
      <c r="J264"/>
      <c r="K264"/>
      <c r="L264"/>
      <c r="M264"/>
    </row>
    <row r="265" spans="1:13" x14ac:dyDescent="0.25">
      <c r="A265" s="147">
        <v>260</v>
      </c>
      <c r="B265" s="167">
        <v>45338</v>
      </c>
      <c r="C265" s="117">
        <v>2024</v>
      </c>
      <c r="D265" s="119" t="s">
        <v>35</v>
      </c>
      <c r="E265" s="119" t="s">
        <v>811</v>
      </c>
      <c r="F265" s="120">
        <v>1</v>
      </c>
      <c r="G265" s="188">
        <v>60000</v>
      </c>
      <c r="J265"/>
      <c r="K265"/>
      <c r="L265"/>
      <c r="M265"/>
    </row>
    <row r="266" spans="1:13" x14ac:dyDescent="0.25">
      <c r="A266" s="147">
        <v>261</v>
      </c>
      <c r="B266" s="167">
        <v>45338</v>
      </c>
      <c r="C266" s="117">
        <v>2024</v>
      </c>
      <c r="D266" s="119" t="s">
        <v>35</v>
      </c>
      <c r="E266" s="119" t="s">
        <v>694</v>
      </c>
      <c r="F266" s="120">
        <v>1</v>
      </c>
      <c r="G266" s="188">
        <v>200000</v>
      </c>
      <c r="J266"/>
      <c r="K266"/>
      <c r="L266"/>
      <c r="M266"/>
    </row>
    <row r="267" spans="1:13" x14ac:dyDescent="0.25">
      <c r="A267" s="147">
        <v>262</v>
      </c>
      <c r="B267" s="167">
        <v>45338</v>
      </c>
      <c r="C267" s="117">
        <v>2024</v>
      </c>
      <c r="D267" s="119" t="s">
        <v>35</v>
      </c>
      <c r="E267" s="119" t="s">
        <v>903</v>
      </c>
      <c r="F267" s="120">
        <v>1</v>
      </c>
      <c r="G267" s="188">
        <v>175000</v>
      </c>
      <c r="J267"/>
      <c r="K267"/>
      <c r="L267"/>
      <c r="M267"/>
    </row>
    <row r="268" spans="1:13" x14ac:dyDescent="0.25">
      <c r="A268" s="147">
        <v>263</v>
      </c>
      <c r="B268" s="167">
        <v>45338</v>
      </c>
      <c r="C268" s="117">
        <v>2024</v>
      </c>
      <c r="D268" s="119" t="s">
        <v>35</v>
      </c>
      <c r="E268" s="119" t="s">
        <v>904</v>
      </c>
      <c r="F268" s="120">
        <v>1</v>
      </c>
      <c r="G268" s="188">
        <v>250000</v>
      </c>
      <c r="J268"/>
      <c r="K268"/>
      <c r="L268"/>
      <c r="M268"/>
    </row>
    <row r="269" spans="1:13" x14ac:dyDescent="0.25">
      <c r="A269" s="147">
        <v>264</v>
      </c>
      <c r="B269" s="167">
        <v>45338</v>
      </c>
      <c r="C269" s="117">
        <v>2024</v>
      </c>
      <c r="D269" s="119" t="s">
        <v>35</v>
      </c>
      <c r="E269" s="119" t="s">
        <v>905</v>
      </c>
      <c r="F269" s="120">
        <v>1</v>
      </c>
      <c r="G269" s="188">
        <v>100000</v>
      </c>
      <c r="J269"/>
      <c r="K269"/>
      <c r="L269"/>
      <c r="M269"/>
    </row>
    <row r="270" spans="1:13" x14ac:dyDescent="0.25">
      <c r="A270" s="147">
        <v>265</v>
      </c>
      <c r="B270" s="167">
        <v>45338</v>
      </c>
      <c r="C270" s="117">
        <v>2024</v>
      </c>
      <c r="D270" s="119" t="s">
        <v>35</v>
      </c>
      <c r="E270" s="119" t="s">
        <v>906</v>
      </c>
      <c r="F270" s="120">
        <v>1</v>
      </c>
      <c r="G270" s="188">
        <v>150000</v>
      </c>
      <c r="J270"/>
      <c r="K270"/>
      <c r="L270"/>
      <c r="M270"/>
    </row>
    <row r="271" spans="1:13" x14ac:dyDescent="0.25">
      <c r="A271" s="147">
        <v>266</v>
      </c>
      <c r="B271" s="167">
        <v>45338</v>
      </c>
      <c r="C271" s="117">
        <v>2024</v>
      </c>
      <c r="D271" s="119" t="s">
        <v>35</v>
      </c>
      <c r="E271" s="119" t="s">
        <v>694</v>
      </c>
      <c r="F271" s="120">
        <v>1</v>
      </c>
      <c r="G271" s="188">
        <v>175000</v>
      </c>
      <c r="J271"/>
      <c r="K271"/>
      <c r="L271"/>
      <c r="M271"/>
    </row>
    <row r="272" spans="1:13" x14ac:dyDescent="0.25">
      <c r="A272" s="147">
        <v>267</v>
      </c>
      <c r="B272" s="167">
        <v>45338</v>
      </c>
      <c r="C272" s="117">
        <v>2024</v>
      </c>
      <c r="D272" s="119" t="s">
        <v>35</v>
      </c>
      <c r="E272" s="119" t="s">
        <v>907</v>
      </c>
      <c r="F272" s="120">
        <v>1</v>
      </c>
      <c r="G272" s="188">
        <v>250000</v>
      </c>
      <c r="J272"/>
      <c r="K272"/>
      <c r="L272"/>
      <c r="M272"/>
    </row>
    <row r="273" spans="1:13" x14ac:dyDescent="0.25">
      <c r="A273" s="147">
        <v>268</v>
      </c>
      <c r="B273" s="167">
        <v>45338</v>
      </c>
      <c r="C273" s="117">
        <v>2024</v>
      </c>
      <c r="D273" s="119" t="s">
        <v>35</v>
      </c>
      <c r="E273" s="119" t="s">
        <v>908</v>
      </c>
      <c r="F273" s="120">
        <v>1</v>
      </c>
      <c r="G273" s="188">
        <v>250000</v>
      </c>
      <c r="J273"/>
      <c r="K273"/>
      <c r="L273"/>
      <c r="M273"/>
    </row>
    <row r="274" spans="1:13" x14ac:dyDescent="0.25">
      <c r="A274" s="147">
        <v>269</v>
      </c>
      <c r="B274" s="167">
        <v>45338</v>
      </c>
      <c r="C274" s="117">
        <v>2024</v>
      </c>
      <c r="D274" s="119" t="s">
        <v>35</v>
      </c>
      <c r="E274" s="119" t="s">
        <v>808</v>
      </c>
      <c r="F274" s="120">
        <v>1</v>
      </c>
      <c r="G274" s="188">
        <v>150000</v>
      </c>
      <c r="J274"/>
      <c r="K274"/>
      <c r="L274"/>
      <c r="M274"/>
    </row>
    <row r="275" spans="1:13" x14ac:dyDescent="0.25">
      <c r="A275" s="147">
        <v>270</v>
      </c>
      <c r="B275" s="167">
        <v>45338</v>
      </c>
      <c r="C275" s="117">
        <v>2024</v>
      </c>
      <c r="D275" s="119" t="s">
        <v>35</v>
      </c>
      <c r="E275" s="119" t="s">
        <v>909</v>
      </c>
      <c r="F275" s="120">
        <v>1</v>
      </c>
      <c r="G275" s="188">
        <v>250000</v>
      </c>
      <c r="J275"/>
      <c r="K275"/>
      <c r="L275"/>
      <c r="M275"/>
    </row>
    <row r="276" spans="1:13" x14ac:dyDescent="0.25">
      <c r="A276" s="147">
        <v>271</v>
      </c>
      <c r="B276" s="167">
        <v>45338</v>
      </c>
      <c r="C276" s="117">
        <v>2024</v>
      </c>
      <c r="D276" s="119" t="s">
        <v>35</v>
      </c>
      <c r="E276" s="119" t="s">
        <v>910</v>
      </c>
      <c r="F276" s="120">
        <v>1</v>
      </c>
      <c r="G276" s="188">
        <v>100000</v>
      </c>
      <c r="J276"/>
      <c r="K276"/>
      <c r="L276"/>
      <c r="M276"/>
    </row>
    <row r="277" spans="1:13" x14ac:dyDescent="0.25">
      <c r="A277" s="147">
        <v>272</v>
      </c>
      <c r="B277" s="167">
        <v>45338</v>
      </c>
      <c r="C277" s="117">
        <v>2024</v>
      </c>
      <c r="D277" s="119" t="s">
        <v>35</v>
      </c>
      <c r="E277" s="119" t="s">
        <v>911</v>
      </c>
      <c r="F277" s="120">
        <v>1</v>
      </c>
      <c r="G277" s="188">
        <v>115000</v>
      </c>
      <c r="J277"/>
      <c r="K277"/>
      <c r="L277"/>
      <c r="M277"/>
    </row>
    <row r="278" spans="1:13" x14ac:dyDescent="0.25">
      <c r="A278" s="147">
        <v>273</v>
      </c>
      <c r="B278" s="167">
        <v>45338</v>
      </c>
      <c r="C278" s="117">
        <v>2024</v>
      </c>
      <c r="D278" s="119" t="s">
        <v>35</v>
      </c>
      <c r="E278" s="119" t="s">
        <v>912</v>
      </c>
      <c r="F278" s="120">
        <v>1</v>
      </c>
      <c r="G278" s="188">
        <v>130000</v>
      </c>
      <c r="J278"/>
      <c r="K278"/>
      <c r="L278"/>
      <c r="M278"/>
    </row>
    <row r="279" spans="1:13" x14ac:dyDescent="0.25">
      <c r="A279" s="147">
        <v>274</v>
      </c>
      <c r="B279" s="167">
        <v>45341</v>
      </c>
      <c r="C279" s="117">
        <v>2024</v>
      </c>
      <c r="D279" s="119" t="s">
        <v>35</v>
      </c>
      <c r="E279" s="119" t="s">
        <v>829</v>
      </c>
      <c r="F279" s="120">
        <v>4</v>
      </c>
      <c r="G279" s="188">
        <v>199000</v>
      </c>
      <c r="J279"/>
      <c r="K279"/>
      <c r="L279"/>
      <c r="M279"/>
    </row>
    <row r="280" spans="1:13" x14ac:dyDescent="0.25">
      <c r="A280" s="147">
        <v>275</v>
      </c>
      <c r="B280" s="167">
        <v>45343</v>
      </c>
      <c r="C280" s="117">
        <v>2024</v>
      </c>
      <c r="D280" s="119" t="s">
        <v>35</v>
      </c>
      <c r="E280" s="119" t="s">
        <v>211</v>
      </c>
      <c r="F280" s="120">
        <v>1</v>
      </c>
      <c r="G280" s="188">
        <v>17700</v>
      </c>
      <c r="J280"/>
      <c r="K280"/>
      <c r="L280"/>
      <c r="M280"/>
    </row>
    <row r="281" spans="1:13" x14ac:dyDescent="0.25">
      <c r="A281" s="147">
        <v>276</v>
      </c>
      <c r="B281" s="167">
        <v>45343</v>
      </c>
      <c r="C281" s="117">
        <v>2024</v>
      </c>
      <c r="D281" s="119" t="s">
        <v>35</v>
      </c>
      <c r="E281" s="119" t="s">
        <v>829</v>
      </c>
      <c r="F281" s="120">
        <v>9</v>
      </c>
      <c r="G281" s="188">
        <v>150300</v>
      </c>
      <c r="J281"/>
      <c r="K281"/>
      <c r="L281"/>
      <c r="M281"/>
    </row>
    <row r="282" spans="1:13" x14ac:dyDescent="0.25">
      <c r="A282" s="147">
        <v>277</v>
      </c>
      <c r="B282" s="167">
        <v>45343</v>
      </c>
      <c r="C282" s="117">
        <v>2024</v>
      </c>
      <c r="D282" s="119" t="s">
        <v>35</v>
      </c>
      <c r="E282" s="119" t="s">
        <v>829</v>
      </c>
      <c r="F282" s="120">
        <v>3</v>
      </c>
      <c r="G282" s="188">
        <v>69000</v>
      </c>
      <c r="J282"/>
      <c r="K282"/>
      <c r="L282"/>
      <c r="M282"/>
    </row>
    <row r="283" spans="1:13" x14ac:dyDescent="0.25">
      <c r="A283" s="147">
        <v>278</v>
      </c>
      <c r="B283" s="167">
        <v>45344</v>
      </c>
      <c r="C283" s="117">
        <v>2024</v>
      </c>
      <c r="D283" s="119" t="s">
        <v>35</v>
      </c>
      <c r="E283" s="119" t="s">
        <v>708</v>
      </c>
      <c r="F283" s="120">
        <v>2</v>
      </c>
      <c r="G283" s="188">
        <v>75900</v>
      </c>
      <c r="J283"/>
      <c r="K283"/>
      <c r="L283"/>
      <c r="M283"/>
    </row>
    <row r="284" spans="1:13" x14ac:dyDescent="0.25">
      <c r="A284" s="147">
        <v>279</v>
      </c>
      <c r="B284" s="167">
        <v>45348</v>
      </c>
      <c r="C284" s="117">
        <v>2024</v>
      </c>
      <c r="D284" s="119" t="s">
        <v>35</v>
      </c>
      <c r="E284" s="119" t="s">
        <v>916</v>
      </c>
      <c r="F284" s="120">
        <v>2</v>
      </c>
      <c r="G284" s="188">
        <v>30000</v>
      </c>
      <c r="J284"/>
      <c r="K284"/>
      <c r="L284"/>
      <c r="M284"/>
    </row>
    <row r="285" spans="1:13" x14ac:dyDescent="0.25">
      <c r="A285" s="147">
        <v>280</v>
      </c>
      <c r="B285" s="167">
        <v>45349</v>
      </c>
      <c r="C285" s="117">
        <v>2024</v>
      </c>
      <c r="D285" s="119" t="s">
        <v>35</v>
      </c>
      <c r="E285" s="119" t="s">
        <v>837</v>
      </c>
      <c r="F285" s="120">
        <v>1</v>
      </c>
      <c r="G285" s="188">
        <v>400000</v>
      </c>
      <c r="J285"/>
      <c r="K285"/>
      <c r="L285"/>
      <c r="M285"/>
    </row>
    <row r="286" spans="1:13" x14ac:dyDescent="0.25">
      <c r="A286" s="147">
        <v>281</v>
      </c>
      <c r="B286" s="167">
        <v>45349</v>
      </c>
      <c r="C286" s="117">
        <v>2024</v>
      </c>
      <c r="D286" s="119" t="s">
        <v>35</v>
      </c>
      <c r="E286" s="119" t="s">
        <v>838</v>
      </c>
      <c r="F286" s="120">
        <v>1</v>
      </c>
      <c r="G286" s="188">
        <v>75000</v>
      </c>
      <c r="J286"/>
      <c r="K286"/>
      <c r="L286"/>
      <c r="M286"/>
    </row>
    <row r="287" spans="1:13" x14ac:dyDescent="0.25">
      <c r="A287" s="147">
        <v>282</v>
      </c>
      <c r="B287" s="167">
        <v>45349</v>
      </c>
      <c r="C287" s="117">
        <v>2024</v>
      </c>
      <c r="D287" s="119" t="s">
        <v>35</v>
      </c>
      <c r="E287" s="119" t="s">
        <v>122</v>
      </c>
      <c r="F287" s="120">
        <v>1</v>
      </c>
      <c r="G287" s="188">
        <v>195000</v>
      </c>
      <c r="J287"/>
      <c r="K287"/>
      <c r="L287"/>
      <c r="M287"/>
    </row>
    <row r="288" spans="1:13" x14ac:dyDescent="0.25">
      <c r="A288" s="147">
        <v>283</v>
      </c>
      <c r="B288" s="167">
        <v>45349</v>
      </c>
      <c r="C288" s="117">
        <v>2024</v>
      </c>
      <c r="D288" s="119" t="s">
        <v>35</v>
      </c>
      <c r="E288" s="119" t="s">
        <v>819</v>
      </c>
      <c r="F288" s="120">
        <v>1</v>
      </c>
      <c r="G288" s="188">
        <v>16000</v>
      </c>
      <c r="J288"/>
      <c r="K288"/>
      <c r="L288"/>
      <c r="M288"/>
    </row>
    <row r="289" spans="1:13" x14ac:dyDescent="0.25">
      <c r="A289" s="147">
        <v>284</v>
      </c>
      <c r="B289" s="167">
        <v>45349</v>
      </c>
      <c r="C289" s="117">
        <v>2024</v>
      </c>
      <c r="D289" s="119" t="s">
        <v>35</v>
      </c>
      <c r="E289" s="119" t="s">
        <v>837</v>
      </c>
      <c r="F289" s="120">
        <v>1</v>
      </c>
      <c r="G289" s="188">
        <v>400000</v>
      </c>
      <c r="J289"/>
      <c r="K289"/>
      <c r="L289"/>
      <c r="M289"/>
    </row>
    <row r="290" spans="1:13" x14ac:dyDescent="0.25">
      <c r="A290" s="147">
        <v>285</v>
      </c>
      <c r="B290" s="167">
        <v>45349</v>
      </c>
      <c r="C290" s="117">
        <v>2024</v>
      </c>
      <c r="D290" s="119" t="s">
        <v>35</v>
      </c>
      <c r="E290" s="119" t="s">
        <v>838</v>
      </c>
      <c r="F290" s="120">
        <v>1</v>
      </c>
      <c r="G290" s="188">
        <v>75000</v>
      </c>
      <c r="J290"/>
      <c r="K290"/>
      <c r="L290"/>
      <c r="M290"/>
    </row>
    <row r="291" spans="1:13" x14ac:dyDescent="0.25">
      <c r="A291" s="147">
        <v>286</v>
      </c>
      <c r="B291" s="167">
        <v>45349</v>
      </c>
      <c r="C291" s="117">
        <v>2024</v>
      </c>
      <c r="D291" s="119" t="s">
        <v>35</v>
      </c>
      <c r="E291" s="119" t="s">
        <v>122</v>
      </c>
      <c r="F291" s="120">
        <v>1</v>
      </c>
      <c r="G291" s="188">
        <v>195000</v>
      </c>
      <c r="J291"/>
      <c r="K291"/>
      <c r="L291"/>
      <c r="M291"/>
    </row>
    <row r="292" spans="1:13" x14ac:dyDescent="0.25">
      <c r="A292" s="147">
        <v>287</v>
      </c>
      <c r="B292" s="167">
        <v>45349</v>
      </c>
      <c r="C292" s="117">
        <v>2024</v>
      </c>
      <c r="D292" s="119" t="s">
        <v>35</v>
      </c>
      <c r="E292" s="119" t="s">
        <v>839</v>
      </c>
      <c r="F292" s="120">
        <v>1</v>
      </c>
      <c r="G292" s="188">
        <v>75000</v>
      </c>
      <c r="J292"/>
      <c r="K292"/>
      <c r="L292"/>
      <c r="M292"/>
    </row>
    <row r="293" spans="1:13" x14ac:dyDescent="0.25">
      <c r="A293" s="147">
        <v>288</v>
      </c>
      <c r="B293" s="167">
        <v>45349</v>
      </c>
      <c r="C293" s="117">
        <v>2024</v>
      </c>
      <c r="D293" s="119" t="s">
        <v>35</v>
      </c>
      <c r="E293" s="119" t="s">
        <v>837</v>
      </c>
      <c r="F293" s="120">
        <v>1</v>
      </c>
      <c r="G293" s="188">
        <v>400000</v>
      </c>
      <c r="J293"/>
      <c r="K293"/>
      <c r="L293"/>
      <c r="M293"/>
    </row>
    <row r="294" spans="1:13" x14ac:dyDescent="0.25">
      <c r="A294" s="147">
        <v>289</v>
      </c>
      <c r="B294" s="167">
        <v>45349</v>
      </c>
      <c r="C294" s="117">
        <v>2024</v>
      </c>
      <c r="D294" s="119" t="s">
        <v>35</v>
      </c>
      <c r="E294" s="119" t="s">
        <v>838</v>
      </c>
      <c r="F294" s="120">
        <v>1</v>
      </c>
      <c r="G294" s="188">
        <v>75000</v>
      </c>
      <c r="J294"/>
      <c r="K294"/>
      <c r="L294"/>
      <c r="M294"/>
    </row>
    <row r="295" spans="1:13" x14ac:dyDescent="0.25">
      <c r="A295" s="147">
        <v>290</v>
      </c>
      <c r="B295" s="167">
        <v>45349</v>
      </c>
      <c r="C295" s="117">
        <v>2024</v>
      </c>
      <c r="D295" s="119" t="s">
        <v>35</v>
      </c>
      <c r="E295" s="119" t="s">
        <v>837</v>
      </c>
      <c r="F295" s="120">
        <v>1</v>
      </c>
      <c r="G295" s="188">
        <v>400000</v>
      </c>
      <c r="J295"/>
      <c r="K295"/>
      <c r="L295"/>
      <c r="M295"/>
    </row>
    <row r="296" spans="1:13" x14ac:dyDescent="0.25">
      <c r="A296" s="147">
        <v>291</v>
      </c>
      <c r="B296" s="167">
        <v>45349</v>
      </c>
      <c r="C296" s="117">
        <v>2024</v>
      </c>
      <c r="D296" s="119" t="s">
        <v>35</v>
      </c>
      <c r="E296" s="119" t="s">
        <v>841</v>
      </c>
      <c r="F296" s="120">
        <v>1</v>
      </c>
      <c r="G296" s="188">
        <v>184000</v>
      </c>
      <c r="J296"/>
      <c r="K296"/>
      <c r="L296"/>
      <c r="M296"/>
    </row>
    <row r="297" spans="1:13" x14ac:dyDescent="0.25">
      <c r="A297" s="147">
        <v>292</v>
      </c>
      <c r="B297" s="167">
        <v>45349</v>
      </c>
      <c r="C297" s="117">
        <v>2024</v>
      </c>
      <c r="D297" s="119" t="s">
        <v>35</v>
      </c>
      <c r="E297" s="119" t="s">
        <v>842</v>
      </c>
      <c r="F297" s="120">
        <v>1</v>
      </c>
      <c r="G297" s="188">
        <v>223000</v>
      </c>
      <c r="J297"/>
      <c r="K297"/>
      <c r="L297"/>
      <c r="M297"/>
    </row>
    <row r="298" spans="1:13" x14ac:dyDescent="0.25">
      <c r="A298" s="147">
        <v>293</v>
      </c>
      <c r="B298" s="167">
        <v>45349</v>
      </c>
      <c r="C298" s="117">
        <v>2024</v>
      </c>
      <c r="D298" s="119" t="s">
        <v>35</v>
      </c>
      <c r="E298" s="119" t="s">
        <v>917</v>
      </c>
      <c r="F298" s="120">
        <v>1</v>
      </c>
      <c r="G298" s="188">
        <v>75000</v>
      </c>
      <c r="J298"/>
      <c r="K298"/>
      <c r="L298"/>
      <c r="M298"/>
    </row>
    <row r="299" spans="1:13" x14ac:dyDescent="0.25">
      <c r="A299" s="147">
        <v>294</v>
      </c>
      <c r="B299" s="167">
        <v>45349</v>
      </c>
      <c r="C299" s="117">
        <v>2024</v>
      </c>
      <c r="D299" s="119" t="s">
        <v>35</v>
      </c>
      <c r="E299" s="119" t="s">
        <v>791</v>
      </c>
      <c r="F299" s="120">
        <v>1</v>
      </c>
      <c r="G299" s="188">
        <v>85000</v>
      </c>
      <c r="J299"/>
      <c r="K299"/>
      <c r="L299"/>
      <c r="M299"/>
    </row>
    <row r="300" spans="1:13" x14ac:dyDescent="0.25">
      <c r="A300" s="147">
        <v>295</v>
      </c>
      <c r="B300" s="167">
        <v>45349</v>
      </c>
      <c r="C300" s="117">
        <v>2024</v>
      </c>
      <c r="D300" s="119" t="s">
        <v>35</v>
      </c>
      <c r="E300" s="119" t="s">
        <v>837</v>
      </c>
      <c r="F300" s="120">
        <v>1</v>
      </c>
      <c r="G300" s="188">
        <v>50000</v>
      </c>
      <c r="J300"/>
      <c r="K300"/>
      <c r="L300"/>
      <c r="M300"/>
    </row>
    <row r="301" spans="1:13" x14ac:dyDescent="0.25">
      <c r="A301" s="147">
        <v>296</v>
      </c>
      <c r="B301" s="167">
        <v>45349</v>
      </c>
      <c r="C301" s="117">
        <v>2024</v>
      </c>
      <c r="D301" s="119" t="s">
        <v>35</v>
      </c>
      <c r="E301" s="119" t="s">
        <v>837</v>
      </c>
      <c r="F301" s="120">
        <v>1</v>
      </c>
      <c r="G301" s="188">
        <v>400000</v>
      </c>
      <c r="J301"/>
      <c r="K301"/>
      <c r="L301"/>
      <c r="M301"/>
    </row>
    <row r="302" spans="1:13" x14ac:dyDescent="0.25">
      <c r="A302" s="147">
        <v>297</v>
      </c>
      <c r="B302" s="167">
        <v>45349</v>
      </c>
      <c r="C302" s="117">
        <v>2024</v>
      </c>
      <c r="D302" s="119" t="s">
        <v>35</v>
      </c>
      <c r="E302" s="119" t="s">
        <v>838</v>
      </c>
      <c r="F302" s="120">
        <v>1</v>
      </c>
      <c r="G302" s="188">
        <v>75000</v>
      </c>
      <c r="J302"/>
      <c r="K302"/>
      <c r="L302"/>
      <c r="M302"/>
    </row>
    <row r="303" spans="1:13" x14ac:dyDescent="0.25">
      <c r="A303" s="147">
        <v>298</v>
      </c>
      <c r="B303" s="167">
        <v>45349</v>
      </c>
      <c r="C303" s="117">
        <v>2024</v>
      </c>
      <c r="D303" s="119" t="s">
        <v>35</v>
      </c>
      <c r="E303" s="119" t="s">
        <v>838</v>
      </c>
      <c r="F303" s="120">
        <v>1</v>
      </c>
      <c r="G303" s="188">
        <v>85000</v>
      </c>
      <c r="J303"/>
      <c r="K303"/>
      <c r="L303"/>
      <c r="M303"/>
    </row>
    <row r="304" spans="1:13" x14ac:dyDescent="0.25">
      <c r="A304" s="147">
        <v>299</v>
      </c>
      <c r="B304" s="167">
        <v>45349</v>
      </c>
      <c r="C304" s="117">
        <v>2024</v>
      </c>
      <c r="D304" s="119" t="s">
        <v>35</v>
      </c>
      <c r="E304" s="119" t="s">
        <v>918</v>
      </c>
      <c r="F304" s="120">
        <v>1</v>
      </c>
      <c r="G304" s="188">
        <v>95000</v>
      </c>
      <c r="J304"/>
      <c r="K304"/>
      <c r="L304"/>
      <c r="M304"/>
    </row>
    <row r="305" spans="1:13" x14ac:dyDescent="0.25">
      <c r="A305" s="147">
        <v>300</v>
      </c>
      <c r="B305" s="167">
        <v>45349</v>
      </c>
      <c r="C305" s="117">
        <v>2024</v>
      </c>
      <c r="D305" s="119" t="s">
        <v>35</v>
      </c>
      <c r="E305" s="119" t="s">
        <v>839</v>
      </c>
      <c r="F305" s="120">
        <v>1</v>
      </c>
      <c r="G305" s="188">
        <v>140000</v>
      </c>
      <c r="J305"/>
      <c r="K305"/>
      <c r="L305"/>
      <c r="M305"/>
    </row>
    <row r="306" spans="1:13" x14ac:dyDescent="0.25">
      <c r="A306" s="147">
        <v>301</v>
      </c>
      <c r="B306" s="167">
        <v>45349</v>
      </c>
      <c r="C306" s="117">
        <v>2024</v>
      </c>
      <c r="D306" s="119" t="s">
        <v>35</v>
      </c>
      <c r="E306" s="119" t="s">
        <v>837</v>
      </c>
      <c r="F306" s="120">
        <v>1</v>
      </c>
      <c r="G306" s="188">
        <v>400000</v>
      </c>
      <c r="J306"/>
      <c r="K306"/>
      <c r="L306"/>
      <c r="M306"/>
    </row>
    <row r="307" spans="1:13" x14ac:dyDescent="0.25">
      <c r="A307" s="147">
        <v>302</v>
      </c>
      <c r="B307" s="167">
        <v>45349</v>
      </c>
      <c r="C307" s="117">
        <v>2024</v>
      </c>
      <c r="D307" s="119" t="s">
        <v>35</v>
      </c>
      <c r="E307" s="119" t="s">
        <v>838</v>
      </c>
      <c r="F307" s="120">
        <v>1</v>
      </c>
      <c r="G307" s="188">
        <v>75000</v>
      </c>
      <c r="J307"/>
      <c r="K307"/>
      <c r="L307"/>
      <c r="M307"/>
    </row>
    <row r="308" spans="1:13" x14ac:dyDescent="0.25">
      <c r="A308" s="147">
        <v>303</v>
      </c>
      <c r="B308" s="167">
        <v>45349</v>
      </c>
      <c r="C308" s="117">
        <v>2024</v>
      </c>
      <c r="D308" s="119" t="s">
        <v>35</v>
      </c>
      <c r="E308" s="119" t="s">
        <v>122</v>
      </c>
      <c r="F308" s="120">
        <v>1</v>
      </c>
      <c r="G308" s="188">
        <v>195000</v>
      </c>
      <c r="J308"/>
      <c r="K308"/>
      <c r="L308"/>
      <c r="M308"/>
    </row>
    <row r="309" spans="1:13" x14ac:dyDescent="0.25">
      <c r="A309" s="147">
        <v>304</v>
      </c>
      <c r="B309" s="167">
        <v>45349</v>
      </c>
      <c r="C309" s="117">
        <v>2024</v>
      </c>
      <c r="D309" s="119" t="s">
        <v>35</v>
      </c>
      <c r="E309" s="119" t="s">
        <v>837</v>
      </c>
      <c r="F309" s="120">
        <v>1</v>
      </c>
      <c r="G309" s="188">
        <v>400000</v>
      </c>
      <c r="J309"/>
      <c r="K309"/>
      <c r="L309"/>
      <c r="M309"/>
    </row>
    <row r="310" spans="1:13" x14ac:dyDescent="0.25">
      <c r="A310" s="147">
        <v>305</v>
      </c>
      <c r="B310" s="167">
        <v>45349</v>
      </c>
      <c r="C310" s="117">
        <v>2024</v>
      </c>
      <c r="D310" s="119" t="s">
        <v>35</v>
      </c>
      <c r="E310" s="119" t="s">
        <v>837</v>
      </c>
      <c r="F310" s="120">
        <v>1</v>
      </c>
      <c r="G310" s="188">
        <v>400000</v>
      </c>
      <c r="J310"/>
      <c r="K310"/>
      <c r="L310"/>
      <c r="M310"/>
    </row>
    <row r="311" spans="1:13" x14ac:dyDescent="0.25">
      <c r="A311" s="147">
        <v>306</v>
      </c>
      <c r="B311" s="167">
        <v>45349</v>
      </c>
      <c r="C311" s="117">
        <v>2024</v>
      </c>
      <c r="D311" s="119" t="s">
        <v>35</v>
      </c>
      <c r="E311" s="119" t="s">
        <v>838</v>
      </c>
      <c r="F311" s="120">
        <v>1</v>
      </c>
      <c r="G311" s="188">
        <v>75000</v>
      </c>
      <c r="J311"/>
      <c r="K311"/>
      <c r="L311"/>
      <c r="M311"/>
    </row>
    <row r="312" spans="1:13" x14ac:dyDescent="0.25">
      <c r="A312" s="147">
        <v>307</v>
      </c>
      <c r="B312" s="167">
        <v>45349</v>
      </c>
      <c r="C312" s="117">
        <v>2024</v>
      </c>
      <c r="D312" s="119" t="s">
        <v>35</v>
      </c>
      <c r="E312" s="119" t="s">
        <v>839</v>
      </c>
      <c r="F312" s="120">
        <v>1</v>
      </c>
      <c r="G312" s="188">
        <v>85000</v>
      </c>
      <c r="J312"/>
      <c r="K312"/>
      <c r="L312"/>
      <c r="M312"/>
    </row>
    <row r="313" spans="1:13" x14ac:dyDescent="0.25">
      <c r="A313" s="147">
        <v>308</v>
      </c>
      <c r="B313" s="167">
        <v>45349</v>
      </c>
      <c r="C313" s="117">
        <v>2024</v>
      </c>
      <c r="D313" s="119" t="s">
        <v>35</v>
      </c>
      <c r="E313" s="119" t="s">
        <v>840</v>
      </c>
      <c r="F313" s="120">
        <v>1</v>
      </c>
      <c r="G313" s="188">
        <v>50000</v>
      </c>
      <c r="J313"/>
      <c r="K313"/>
      <c r="L313"/>
      <c r="M313"/>
    </row>
    <row r="314" spans="1:13" x14ac:dyDescent="0.25">
      <c r="A314" s="147">
        <v>309</v>
      </c>
      <c r="B314" s="167">
        <v>45349</v>
      </c>
      <c r="C314" s="117">
        <v>2024</v>
      </c>
      <c r="D314" s="119" t="s">
        <v>35</v>
      </c>
      <c r="E314" s="119" t="s">
        <v>837</v>
      </c>
      <c r="F314" s="120">
        <v>1</v>
      </c>
      <c r="G314" s="188">
        <v>400000</v>
      </c>
      <c r="J314"/>
      <c r="K314"/>
      <c r="L314"/>
      <c r="M314"/>
    </row>
    <row r="315" spans="1:13" x14ac:dyDescent="0.25">
      <c r="A315" s="147">
        <v>310</v>
      </c>
      <c r="B315" s="167">
        <v>45349</v>
      </c>
      <c r="C315" s="117">
        <v>2024</v>
      </c>
      <c r="D315" s="119" t="s">
        <v>35</v>
      </c>
      <c r="E315" s="119" t="s">
        <v>838</v>
      </c>
      <c r="F315" s="120">
        <v>1</v>
      </c>
      <c r="G315" s="188">
        <v>75000</v>
      </c>
      <c r="J315"/>
      <c r="K315"/>
      <c r="L315"/>
      <c r="M315"/>
    </row>
    <row r="316" spans="1:13" x14ac:dyDescent="0.25">
      <c r="A316" s="147">
        <v>311</v>
      </c>
      <c r="B316" s="167">
        <v>45349</v>
      </c>
      <c r="C316" s="117">
        <v>2024</v>
      </c>
      <c r="D316" s="119" t="s">
        <v>35</v>
      </c>
      <c r="E316" s="119" t="s">
        <v>837</v>
      </c>
      <c r="F316" s="120">
        <v>1</v>
      </c>
      <c r="G316" s="188">
        <v>400000</v>
      </c>
      <c r="J316"/>
      <c r="K316"/>
      <c r="L316"/>
      <c r="M316"/>
    </row>
    <row r="317" spans="1:13" x14ac:dyDescent="0.25">
      <c r="A317" s="147">
        <v>312</v>
      </c>
      <c r="B317" s="167">
        <v>45349</v>
      </c>
      <c r="C317" s="117">
        <v>2024</v>
      </c>
      <c r="D317" s="119" t="s">
        <v>35</v>
      </c>
      <c r="E317" s="119" t="s">
        <v>919</v>
      </c>
      <c r="F317" s="120">
        <v>1</v>
      </c>
      <c r="G317" s="188">
        <v>195000</v>
      </c>
      <c r="J317"/>
      <c r="K317"/>
      <c r="L317"/>
      <c r="M317"/>
    </row>
    <row r="318" spans="1:13" x14ac:dyDescent="0.25">
      <c r="A318" s="147">
        <v>313</v>
      </c>
      <c r="B318" s="167">
        <v>45349</v>
      </c>
      <c r="C318" s="117">
        <v>2024</v>
      </c>
      <c r="D318" s="119" t="s">
        <v>35</v>
      </c>
      <c r="E318" s="119" t="s">
        <v>919</v>
      </c>
      <c r="F318" s="120">
        <v>1</v>
      </c>
      <c r="G318" s="188">
        <v>140000</v>
      </c>
      <c r="J318"/>
      <c r="K318"/>
      <c r="L318"/>
      <c r="M318"/>
    </row>
    <row r="319" spans="1:13" x14ac:dyDescent="0.25">
      <c r="A319" s="147">
        <v>314</v>
      </c>
      <c r="B319" s="167">
        <v>45349</v>
      </c>
      <c r="C319" s="117">
        <v>2024</v>
      </c>
      <c r="D319" s="119" t="s">
        <v>35</v>
      </c>
      <c r="E319" s="119" t="s">
        <v>837</v>
      </c>
      <c r="F319" s="120">
        <v>1</v>
      </c>
      <c r="G319" s="188">
        <v>400000</v>
      </c>
      <c r="J319"/>
      <c r="K319"/>
      <c r="L319"/>
      <c r="M319"/>
    </row>
    <row r="320" spans="1:13" x14ac:dyDescent="0.25">
      <c r="A320" s="147">
        <v>315</v>
      </c>
      <c r="B320" s="167">
        <v>45349</v>
      </c>
      <c r="C320" s="117">
        <v>2024</v>
      </c>
      <c r="D320" s="119" t="s">
        <v>35</v>
      </c>
      <c r="E320" s="119" t="s">
        <v>838</v>
      </c>
      <c r="F320" s="120">
        <v>1</v>
      </c>
      <c r="G320" s="188">
        <v>75000</v>
      </c>
      <c r="J320"/>
      <c r="K320"/>
      <c r="L320"/>
      <c r="M320"/>
    </row>
    <row r="321" spans="1:13" x14ac:dyDescent="0.25">
      <c r="A321" s="147">
        <v>316</v>
      </c>
      <c r="B321" s="167">
        <v>45349</v>
      </c>
      <c r="C321" s="117">
        <v>2024</v>
      </c>
      <c r="D321" s="119" t="s">
        <v>35</v>
      </c>
      <c r="E321" s="119" t="s">
        <v>840</v>
      </c>
      <c r="F321" s="120">
        <v>1</v>
      </c>
      <c r="G321" s="188">
        <v>50000</v>
      </c>
      <c r="J321"/>
      <c r="K321"/>
      <c r="L321"/>
      <c r="M321"/>
    </row>
    <row r="322" spans="1:13" x14ac:dyDescent="0.25">
      <c r="A322" s="147">
        <v>317</v>
      </c>
      <c r="B322" s="167">
        <v>45349</v>
      </c>
      <c r="C322" s="117">
        <v>2024</v>
      </c>
      <c r="D322" s="119" t="s">
        <v>35</v>
      </c>
      <c r="E322" s="119" t="s">
        <v>837</v>
      </c>
      <c r="F322" s="120">
        <v>1</v>
      </c>
      <c r="G322" s="188">
        <v>400000</v>
      </c>
      <c r="J322"/>
      <c r="K322"/>
      <c r="L322"/>
      <c r="M322"/>
    </row>
    <row r="323" spans="1:13" x14ac:dyDescent="0.25">
      <c r="A323" s="147">
        <v>318</v>
      </c>
      <c r="B323" s="167">
        <v>45349</v>
      </c>
      <c r="C323" s="117">
        <v>2024</v>
      </c>
      <c r="D323" s="119" t="s">
        <v>35</v>
      </c>
      <c r="E323" s="119" t="s">
        <v>842</v>
      </c>
      <c r="F323" s="120">
        <v>1</v>
      </c>
      <c r="G323" s="188">
        <v>223000</v>
      </c>
      <c r="J323"/>
      <c r="K323"/>
      <c r="L323"/>
      <c r="M323"/>
    </row>
    <row r="324" spans="1:13" x14ac:dyDescent="0.25">
      <c r="A324" s="147">
        <v>319</v>
      </c>
      <c r="B324" s="167">
        <v>45349</v>
      </c>
      <c r="C324" s="117">
        <v>2024</v>
      </c>
      <c r="D324" s="119" t="s">
        <v>35</v>
      </c>
      <c r="E324" s="119" t="s">
        <v>841</v>
      </c>
      <c r="F324" s="120">
        <v>1</v>
      </c>
      <c r="G324" s="188">
        <v>184000</v>
      </c>
      <c r="J324"/>
      <c r="K324"/>
      <c r="L324"/>
      <c r="M324"/>
    </row>
    <row r="325" spans="1:13" x14ac:dyDescent="0.25">
      <c r="A325" s="147">
        <v>320</v>
      </c>
      <c r="B325" s="167">
        <v>45349</v>
      </c>
      <c r="C325" s="117">
        <v>2024</v>
      </c>
      <c r="D325" s="119" t="s">
        <v>35</v>
      </c>
      <c r="E325" s="119" t="s">
        <v>838</v>
      </c>
      <c r="F325" s="120">
        <v>1</v>
      </c>
      <c r="G325" s="188">
        <v>75000</v>
      </c>
      <c r="J325"/>
      <c r="K325"/>
      <c r="L325"/>
      <c r="M325"/>
    </row>
    <row r="326" spans="1:13" x14ac:dyDescent="0.25">
      <c r="A326" s="147">
        <v>321</v>
      </c>
      <c r="B326" s="167">
        <v>45349</v>
      </c>
      <c r="C326" s="117">
        <v>2024</v>
      </c>
      <c r="D326" s="119" t="s">
        <v>35</v>
      </c>
      <c r="E326" s="119" t="s">
        <v>839</v>
      </c>
      <c r="F326" s="120">
        <v>1</v>
      </c>
      <c r="G326" s="188">
        <v>140000</v>
      </c>
      <c r="J326"/>
      <c r="K326"/>
      <c r="L326"/>
      <c r="M326"/>
    </row>
    <row r="327" spans="1:13" x14ac:dyDescent="0.25">
      <c r="A327" s="147">
        <v>322</v>
      </c>
      <c r="B327" s="167">
        <v>45349</v>
      </c>
      <c r="C327" s="117">
        <v>2024</v>
      </c>
      <c r="D327" s="119" t="s">
        <v>35</v>
      </c>
      <c r="E327" s="119" t="s">
        <v>839</v>
      </c>
      <c r="F327" s="120">
        <v>1</v>
      </c>
      <c r="G327" s="188">
        <v>85000</v>
      </c>
      <c r="J327"/>
      <c r="K327"/>
      <c r="L327"/>
      <c r="M327"/>
    </row>
    <row r="328" spans="1:13" x14ac:dyDescent="0.25">
      <c r="A328" s="147">
        <v>323</v>
      </c>
      <c r="B328" s="167">
        <v>45349</v>
      </c>
      <c r="C328" s="117">
        <v>2024</v>
      </c>
      <c r="D328" s="119" t="s">
        <v>35</v>
      </c>
      <c r="E328" s="119" t="s">
        <v>839</v>
      </c>
      <c r="F328" s="120">
        <v>1</v>
      </c>
      <c r="G328" s="188">
        <v>95000</v>
      </c>
      <c r="J328"/>
      <c r="K328"/>
      <c r="L328"/>
      <c r="M328"/>
    </row>
    <row r="329" spans="1:13" x14ac:dyDescent="0.25">
      <c r="A329" s="147">
        <v>324</v>
      </c>
      <c r="B329" s="167">
        <v>45349</v>
      </c>
      <c r="C329" s="117">
        <v>2024</v>
      </c>
      <c r="D329" s="119" t="s">
        <v>35</v>
      </c>
      <c r="E329" s="119" t="s">
        <v>839</v>
      </c>
      <c r="F329" s="120">
        <v>1</v>
      </c>
      <c r="G329" s="188">
        <v>195000</v>
      </c>
      <c r="J329"/>
      <c r="K329"/>
      <c r="L329"/>
      <c r="M329"/>
    </row>
    <row r="330" spans="1:13" x14ac:dyDescent="0.25">
      <c r="A330" s="147">
        <v>325</v>
      </c>
      <c r="B330" s="167">
        <v>45349</v>
      </c>
      <c r="C330" s="117">
        <v>2024</v>
      </c>
      <c r="D330" s="119" t="s">
        <v>35</v>
      </c>
      <c r="E330" s="119" t="s">
        <v>837</v>
      </c>
      <c r="F330" s="120">
        <v>1</v>
      </c>
      <c r="G330" s="188">
        <v>400000</v>
      </c>
      <c r="J330"/>
      <c r="K330"/>
      <c r="L330"/>
      <c r="M330"/>
    </row>
    <row r="331" spans="1:13" x14ac:dyDescent="0.25">
      <c r="A331" s="147">
        <v>326</v>
      </c>
      <c r="B331" s="167">
        <v>45349</v>
      </c>
      <c r="C331" s="117">
        <v>2024</v>
      </c>
      <c r="D331" s="119" t="s">
        <v>35</v>
      </c>
      <c r="E331" s="119" t="s">
        <v>838</v>
      </c>
      <c r="F331" s="120">
        <v>1</v>
      </c>
      <c r="G331" s="188">
        <v>75000</v>
      </c>
      <c r="J331"/>
      <c r="K331"/>
      <c r="L331"/>
      <c r="M331"/>
    </row>
    <row r="332" spans="1:13" x14ac:dyDescent="0.25">
      <c r="A332" s="147">
        <v>327</v>
      </c>
      <c r="B332" s="167">
        <v>45349</v>
      </c>
      <c r="C332" s="117">
        <v>2024</v>
      </c>
      <c r="D332" s="119" t="s">
        <v>35</v>
      </c>
      <c r="E332" s="119" t="s">
        <v>839</v>
      </c>
      <c r="F332" s="120">
        <v>1</v>
      </c>
      <c r="G332" s="188">
        <v>85000</v>
      </c>
      <c r="J332"/>
      <c r="K332"/>
      <c r="L332"/>
      <c r="M332"/>
    </row>
    <row r="333" spans="1:13" x14ac:dyDescent="0.25">
      <c r="A333" s="147">
        <v>328</v>
      </c>
      <c r="B333" s="167">
        <v>45349</v>
      </c>
      <c r="C333" s="117">
        <v>2024</v>
      </c>
      <c r="D333" s="119" t="s">
        <v>35</v>
      </c>
      <c r="E333" s="119" t="s">
        <v>839</v>
      </c>
      <c r="F333" s="120">
        <v>1</v>
      </c>
      <c r="G333" s="188">
        <v>40000</v>
      </c>
      <c r="J333"/>
      <c r="K333"/>
      <c r="L333"/>
      <c r="M333"/>
    </row>
    <row r="334" spans="1:13" x14ac:dyDescent="0.25">
      <c r="A334" s="147">
        <v>329</v>
      </c>
      <c r="B334" s="167">
        <v>45349</v>
      </c>
      <c r="C334" s="117">
        <v>2024</v>
      </c>
      <c r="D334" s="119" t="s">
        <v>35</v>
      </c>
      <c r="E334" s="119" t="s">
        <v>837</v>
      </c>
      <c r="F334" s="120">
        <v>1</v>
      </c>
      <c r="G334" s="188">
        <v>400000</v>
      </c>
      <c r="J334"/>
      <c r="K334"/>
      <c r="L334"/>
      <c r="M334"/>
    </row>
    <row r="335" spans="1:13" x14ac:dyDescent="0.25">
      <c r="A335" s="147">
        <v>330</v>
      </c>
      <c r="B335" s="167">
        <v>45349</v>
      </c>
      <c r="C335" s="117">
        <v>2024</v>
      </c>
      <c r="D335" s="119" t="s">
        <v>35</v>
      </c>
      <c r="E335" s="119" t="s">
        <v>842</v>
      </c>
      <c r="F335" s="120">
        <v>1</v>
      </c>
      <c r="G335" s="188">
        <v>223000</v>
      </c>
      <c r="J335"/>
      <c r="K335"/>
      <c r="L335"/>
      <c r="M335"/>
    </row>
    <row r="336" spans="1:13" x14ac:dyDescent="0.25">
      <c r="A336" s="147">
        <v>331</v>
      </c>
      <c r="B336" s="167">
        <v>45349</v>
      </c>
      <c r="C336" s="117">
        <v>2024</v>
      </c>
      <c r="D336" s="119" t="s">
        <v>35</v>
      </c>
      <c r="E336" s="119" t="s">
        <v>841</v>
      </c>
      <c r="F336" s="120">
        <v>1</v>
      </c>
      <c r="G336" s="188">
        <v>184000</v>
      </c>
      <c r="J336"/>
      <c r="K336"/>
      <c r="L336"/>
      <c r="M336"/>
    </row>
    <row r="337" spans="1:13" x14ac:dyDescent="0.25">
      <c r="A337" s="147">
        <v>332</v>
      </c>
      <c r="B337" s="167">
        <v>45349</v>
      </c>
      <c r="C337" s="117">
        <v>2024</v>
      </c>
      <c r="D337" s="119" t="s">
        <v>35</v>
      </c>
      <c r="E337" s="119" t="s">
        <v>838</v>
      </c>
      <c r="F337" s="120">
        <v>1</v>
      </c>
      <c r="G337" s="188">
        <v>75000</v>
      </c>
      <c r="J337"/>
      <c r="K337"/>
      <c r="L337"/>
      <c r="M337"/>
    </row>
    <row r="338" spans="1:13" x14ac:dyDescent="0.25">
      <c r="A338" s="147">
        <v>333</v>
      </c>
      <c r="B338" s="167">
        <v>45349</v>
      </c>
      <c r="C338" s="117">
        <v>2024</v>
      </c>
      <c r="D338" s="119" t="s">
        <v>35</v>
      </c>
      <c r="E338" s="119" t="s">
        <v>840</v>
      </c>
      <c r="F338" s="120">
        <v>1</v>
      </c>
      <c r="G338" s="188">
        <v>50000</v>
      </c>
      <c r="J338"/>
      <c r="K338"/>
      <c r="L338"/>
      <c r="M338"/>
    </row>
    <row r="339" spans="1:13" x14ac:dyDescent="0.25">
      <c r="A339" s="147">
        <v>334</v>
      </c>
      <c r="B339" s="167">
        <v>45349</v>
      </c>
      <c r="C339" s="117">
        <v>2024</v>
      </c>
      <c r="D339" s="119" t="s">
        <v>35</v>
      </c>
      <c r="E339" s="119" t="s">
        <v>837</v>
      </c>
      <c r="F339" s="120">
        <v>1</v>
      </c>
      <c r="G339" s="188">
        <v>400000</v>
      </c>
      <c r="J339"/>
      <c r="K339"/>
      <c r="L339"/>
      <c r="M339"/>
    </row>
    <row r="340" spans="1:13" x14ac:dyDescent="0.25">
      <c r="A340" s="147">
        <v>335</v>
      </c>
      <c r="B340" s="167">
        <v>45349</v>
      </c>
      <c r="C340" s="117">
        <v>2024</v>
      </c>
      <c r="D340" s="119" t="s">
        <v>35</v>
      </c>
      <c r="E340" s="119" t="s">
        <v>841</v>
      </c>
      <c r="F340" s="120">
        <v>1</v>
      </c>
      <c r="G340" s="188">
        <v>184000</v>
      </c>
      <c r="J340"/>
      <c r="K340"/>
      <c r="L340"/>
      <c r="M340"/>
    </row>
    <row r="341" spans="1:13" x14ac:dyDescent="0.25">
      <c r="A341" s="147">
        <v>336</v>
      </c>
      <c r="B341" s="167">
        <v>45349</v>
      </c>
      <c r="C341" s="117">
        <v>2024</v>
      </c>
      <c r="D341" s="119" t="s">
        <v>35</v>
      </c>
      <c r="E341" s="119" t="s">
        <v>838</v>
      </c>
      <c r="F341" s="120">
        <v>1</v>
      </c>
      <c r="G341" s="188">
        <v>75000</v>
      </c>
      <c r="J341"/>
      <c r="K341"/>
      <c r="L341"/>
      <c r="M341"/>
    </row>
    <row r="342" spans="1:13" x14ac:dyDescent="0.25">
      <c r="A342" s="147">
        <v>337</v>
      </c>
      <c r="B342" s="167">
        <v>45349</v>
      </c>
      <c r="C342" s="117">
        <v>2024</v>
      </c>
      <c r="D342" s="119" t="s">
        <v>35</v>
      </c>
      <c r="E342" s="119" t="s">
        <v>837</v>
      </c>
      <c r="F342" s="120">
        <v>1</v>
      </c>
      <c r="G342" s="188">
        <v>400000</v>
      </c>
      <c r="J342"/>
      <c r="K342"/>
      <c r="L342"/>
      <c r="M342"/>
    </row>
    <row r="343" spans="1:13" x14ac:dyDescent="0.25">
      <c r="A343" s="147">
        <v>338</v>
      </c>
      <c r="B343" s="167">
        <v>45349</v>
      </c>
      <c r="C343" s="117">
        <v>2024</v>
      </c>
      <c r="D343" s="119" t="s">
        <v>35</v>
      </c>
      <c r="E343" s="119" t="s">
        <v>838</v>
      </c>
      <c r="F343" s="120">
        <v>1</v>
      </c>
      <c r="G343" s="188">
        <v>75000</v>
      </c>
      <c r="J343"/>
      <c r="K343"/>
      <c r="L343"/>
      <c r="M343"/>
    </row>
    <row r="344" spans="1:13" x14ac:dyDescent="0.25">
      <c r="A344" s="147">
        <v>339</v>
      </c>
      <c r="B344" s="167">
        <v>45349</v>
      </c>
      <c r="C344" s="117">
        <v>2024</v>
      </c>
      <c r="D344" s="119" t="s">
        <v>35</v>
      </c>
      <c r="E344" s="119" t="s">
        <v>839</v>
      </c>
      <c r="F344" s="120">
        <v>1</v>
      </c>
      <c r="G344" s="188">
        <v>195000</v>
      </c>
      <c r="J344"/>
      <c r="K344"/>
      <c r="L344"/>
      <c r="M344"/>
    </row>
    <row r="345" spans="1:13" x14ac:dyDescent="0.25">
      <c r="A345" s="147">
        <v>340</v>
      </c>
      <c r="B345" s="167">
        <v>45349</v>
      </c>
      <c r="C345" s="117">
        <v>2024</v>
      </c>
      <c r="D345" s="119" t="s">
        <v>35</v>
      </c>
      <c r="E345" s="119" t="s">
        <v>920</v>
      </c>
      <c r="F345" s="120">
        <v>1</v>
      </c>
      <c r="G345" s="188">
        <v>85000</v>
      </c>
      <c r="J345"/>
      <c r="K345"/>
      <c r="L345"/>
      <c r="M345"/>
    </row>
    <row r="346" spans="1:13" x14ac:dyDescent="0.25">
      <c r="A346" s="147">
        <v>341</v>
      </c>
      <c r="B346" s="167">
        <v>45349</v>
      </c>
      <c r="C346" s="117">
        <v>2024</v>
      </c>
      <c r="D346" s="119" t="s">
        <v>35</v>
      </c>
      <c r="E346" s="119" t="s">
        <v>919</v>
      </c>
      <c r="F346" s="120">
        <v>1</v>
      </c>
      <c r="G346" s="188">
        <v>95000</v>
      </c>
      <c r="J346"/>
      <c r="K346"/>
      <c r="L346"/>
      <c r="M346"/>
    </row>
    <row r="347" spans="1:13" x14ac:dyDescent="0.25">
      <c r="A347" s="147">
        <v>342</v>
      </c>
      <c r="B347" s="167">
        <v>45349</v>
      </c>
      <c r="C347" s="117">
        <v>2024</v>
      </c>
      <c r="D347" s="119" t="s">
        <v>35</v>
      </c>
      <c r="E347" s="119" t="s">
        <v>918</v>
      </c>
      <c r="F347" s="120">
        <v>1</v>
      </c>
      <c r="G347" s="188">
        <v>100000</v>
      </c>
      <c r="J347"/>
      <c r="K347"/>
      <c r="L347"/>
      <c r="M347"/>
    </row>
    <row r="348" spans="1:13" x14ac:dyDescent="0.25">
      <c r="A348" s="147">
        <v>343</v>
      </c>
      <c r="B348" s="167">
        <v>45349</v>
      </c>
      <c r="C348" s="117">
        <v>2024</v>
      </c>
      <c r="D348" s="119" t="s">
        <v>35</v>
      </c>
      <c r="E348" s="119" t="s">
        <v>837</v>
      </c>
      <c r="F348" s="120">
        <v>1</v>
      </c>
      <c r="G348" s="188">
        <v>400000</v>
      </c>
      <c r="J348"/>
      <c r="K348"/>
      <c r="L348"/>
      <c r="M348"/>
    </row>
    <row r="349" spans="1:13" x14ac:dyDescent="0.25">
      <c r="A349" s="147">
        <v>344</v>
      </c>
      <c r="B349" s="167">
        <v>45349</v>
      </c>
      <c r="C349" s="117">
        <v>2024</v>
      </c>
      <c r="D349" s="119" t="s">
        <v>35</v>
      </c>
      <c r="E349" s="119" t="s">
        <v>838</v>
      </c>
      <c r="F349" s="120">
        <v>1</v>
      </c>
      <c r="G349" s="188">
        <v>75000</v>
      </c>
      <c r="J349"/>
      <c r="K349"/>
      <c r="L349"/>
      <c r="M349"/>
    </row>
    <row r="350" spans="1:13" x14ac:dyDescent="0.25">
      <c r="A350" s="147">
        <v>345</v>
      </c>
      <c r="B350" s="167">
        <v>45350</v>
      </c>
      <c r="C350" s="117">
        <v>2024</v>
      </c>
      <c r="D350" s="119" t="s">
        <v>35</v>
      </c>
      <c r="E350" s="119" t="s">
        <v>211</v>
      </c>
      <c r="F350" s="120">
        <v>5</v>
      </c>
      <c r="G350" s="188">
        <v>180000</v>
      </c>
      <c r="J350"/>
      <c r="K350"/>
      <c r="L350"/>
      <c r="M350"/>
    </row>
    <row r="351" spans="1:13" x14ac:dyDescent="0.25">
      <c r="A351" s="147">
        <v>346</v>
      </c>
      <c r="B351" s="167">
        <v>45350</v>
      </c>
      <c r="C351" s="117">
        <v>2024</v>
      </c>
      <c r="D351" s="119" t="s">
        <v>35</v>
      </c>
      <c r="E351" s="119" t="s">
        <v>211</v>
      </c>
      <c r="F351" s="120">
        <v>1</v>
      </c>
      <c r="G351" s="188">
        <v>20000</v>
      </c>
      <c r="J351"/>
      <c r="K351"/>
      <c r="L351"/>
      <c r="M351"/>
    </row>
    <row r="352" spans="1:13" x14ac:dyDescent="0.25">
      <c r="A352" s="147">
        <v>347</v>
      </c>
      <c r="B352" s="167">
        <v>45351</v>
      </c>
      <c r="C352" s="117">
        <v>2024</v>
      </c>
      <c r="D352" s="119" t="s">
        <v>35</v>
      </c>
      <c r="E352" s="119" t="s">
        <v>921</v>
      </c>
      <c r="F352" s="120">
        <v>150</v>
      </c>
      <c r="G352" s="188">
        <v>1300000</v>
      </c>
      <c r="J352"/>
      <c r="K352"/>
      <c r="L352"/>
      <c r="M352"/>
    </row>
    <row r="353" spans="1:13" x14ac:dyDescent="0.25">
      <c r="A353" s="147">
        <v>348</v>
      </c>
      <c r="B353" s="167">
        <v>45353</v>
      </c>
      <c r="C353" s="117">
        <v>2024</v>
      </c>
      <c r="D353" s="119" t="s">
        <v>35</v>
      </c>
      <c r="E353" s="119" t="s">
        <v>789</v>
      </c>
      <c r="F353" s="120">
        <v>1</v>
      </c>
      <c r="G353" s="188">
        <v>100000</v>
      </c>
      <c r="J353"/>
      <c r="K353"/>
      <c r="L353"/>
      <c r="M353"/>
    </row>
    <row r="354" spans="1:13" x14ac:dyDescent="0.25">
      <c r="A354" s="147">
        <v>349</v>
      </c>
      <c r="B354" s="167">
        <v>45356</v>
      </c>
      <c r="C354" s="117">
        <v>2024</v>
      </c>
      <c r="D354" s="119" t="s">
        <v>35</v>
      </c>
      <c r="E354" s="119" t="s">
        <v>922</v>
      </c>
      <c r="F354" s="120">
        <v>1</v>
      </c>
      <c r="G354" s="188">
        <v>25000</v>
      </c>
      <c r="J354"/>
      <c r="K354"/>
      <c r="L354"/>
      <c r="M354"/>
    </row>
    <row r="355" spans="1:13" x14ac:dyDescent="0.25">
      <c r="A355" s="147">
        <v>350</v>
      </c>
      <c r="B355" s="167">
        <v>45357</v>
      </c>
      <c r="C355" s="117">
        <v>2024</v>
      </c>
      <c r="D355" s="119" t="s">
        <v>35</v>
      </c>
      <c r="E355" s="119" t="s">
        <v>923</v>
      </c>
      <c r="F355" s="120">
        <v>1</v>
      </c>
      <c r="G355" s="188">
        <v>100000</v>
      </c>
      <c r="J355"/>
      <c r="K355"/>
      <c r="L355"/>
      <c r="M355"/>
    </row>
    <row r="356" spans="1:13" x14ac:dyDescent="0.25">
      <c r="A356" s="147">
        <v>351</v>
      </c>
      <c r="B356" s="167">
        <v>45358</v>
      </c>
      <c r="C356" s="117">
        <v>2024</v>
      </c>
      <c r="D356" s="119" t="s">
        <v>35</v>
      </c>
      <c r="E356" s="119" t="s">
        <v>211</v>
      </c>
      <c r="F356" s="120">
        <v>1</v>
      </c>
      <c r="G356" s="188">
        <v>17700</v>
      </c>
      <c r="J356"/>
      <c r="K356"/>
      <c r="L356"/>
      <c r="M356"/>
    </row>
    <row r="357" spans="1:13" x14ac:dyDescent="0.25">
      <c r="A357" s="147">
        <v>352</v>
      </c>
      <c r="B357" s="116">
        <v>45360</v>
      </c>
      <c r="C357" s="117">
        <v>2024</v>
      </c>
      <c r="D357" s="118" t="s">
        <v>35</v>
      </c>
      <c r="E357" s="119" t="s">
        <v>36</v>
      </c>
      <c r="F357" s="120">
        <v>5</v>
      </c>
      <c r="G357" s="121">
        <v>27500</v>
      </c>
      <c r="J357"/>
      <c r="K357"/>
      <c r="L357"/>
      <c r="M357"/>
    </row>
    <row r="358" spans="1:13" x14ac:dyDescent="0.25">
      <c r="A358" s="147">
        <v>353</v>
      </c>
      <c r="B358" s="167">
        <v>45363</v>
      </c>
      <c r="C358" s="117">
        <v>2024</v>
      </c>
      <c r="D358" s="119" t="s">
        <v>35</v>
      </c>
      <c r="E358" s="119" t="s">
        <v>928</v>
      </c>
      <c r="F358" s="120">
        <v>1</v>
      </c>
      <c r="G358" s="188">
        <v>15500</v>
      </c>
      <c r="J358"/>
      <c r="K358"/>
      <c r="L358"/>
      <c r="M358"/>
    </row>
    <row r="359" spans="1:13" x14ac:dyDescent="0.25">
      <c r="A359" s="147">
        <v>354</v>
      </c>
      <c r="B359" s="167">
        <v>45363</v>
      </c>
      <c r="C359" s="117">
        <v>2024</v>
      </c>
      <c r="D359" s="119" t="s">
        <v>35</v>
      </c>
      <c r="E359" s="119" t="s">
        <v>929</v>
      </c>
      <c r="F359" s="120">
        <v>1</v>
      </c>
      <c r="G359" s="188">
        <v>135000</v>
      </c>
      <c r="J359"/>
      <c r="K359"/>
      <c r="L359"/>
      <c r="M359"/>
    </row>
    <row r="360" spans="1:13" x14ac:dyDescent="0.25">
      <c r="A360" s="147">
        <v>355</v>
      </c>
      <c r="B360" s="167">
        <v>45363</v>
      </c>
      <c r="C360" s="117">
        <v>2024</v>
      </c>
      <c r="D360" s="119" t="s">
        <v>35</v>
      </c>
      <c r="E360" s="119" t="s">
        <v>872</v>
      </c>
      <c r="F360" s="120">
        <v>1</v>
      </c>
      <c r="G360" s="188">
        <v>105000</v>
      </c>
      <c r="J360"/>
      <c r="K360"/>
      <c r="L360"/>
      <c r="M360"/>
    </row>
    <row r="361" spans="1:13" x14ac:dyDescent="0.25">
      <c r="A361" s="147">
        <v>356</v>
      </c>
      <c r="B361" s="167">
        <v>45363</v>
      </c>
      <c r="C361" s="117">
        <v>2024</v>
      </c>
      <c r="D361" s="119" t="s">
        <v>35</v>
      </c>
      <c r="E361" s="119" t="s">
        <v>863</v>
      </c>
      <c r="F361" s="120">
        <v>1</v>
      </c>
      <c r="G361" s="188">
        <v>80000</v>
      </c>
      <c r="J361"/>
      <c r="K361"/>
      <c r="L361"/>
      <c r="M361"/>
    </row>
    <row r="362" spans="1:13" x14ac:dyDescent="0.25">
      <c r="A362" s="147">
        <v>357</v>
      </c>
      <c r="B362" s="167">
        <v>45363</v>
      </c>
      <c r="C362" s="117">
        <v>2024</v>
      </c>
      <c r="D362" s="119" t="s">
        <v>35</v>
      </c>
      <c r="E362" s="119" t="s">
        <v>930</v>
      </c>
      <c r="F362" s="120">
        <v>1</v>
      </c>
      <c r="G362" s="188">
        <v>14000</v>
      </c>
      <c r="J362"/>
      <c r="K362"/>
      <c r="L362"/>
      <c r="M362"/>
    </row>
    <row r="363" spans="1:13" x14ac:dyDescent="0.25">
      <c r="A363" s="147">
        <v>358</v>
      </c>
      <c r="B363" s="167">
        <v>45363</v>
      </c>
      <c r="C363" s="117">
        <v>2024</v>
      </c>
      <c r="D363" s="119" t="s">
        <v>35</v>
      </c>
      <c r="E363" s="119" t="s">
        <v>1695</v>
      </c>
      <c r="F363" s="120">
        <v>2</v>
      </c>
      <c r="G363" s="188">
        <v>1770000</v>
      </c>
      <c r="J363"/>
      <c r="K363"/>
      <c r="L363"/>
      <c r="M363"/>
    </row>
    <row r="364" spans="1:13" x14ac:dyDescent="0.25">
      <c r="A364" s="147">
        <v>359</v>
      </c>
      <c r="B364" s="167">
        <v>45363</v>
      </c>
      <c r="C364" s="117">
        <v>2024</v>
      </c>
      <c r="D364" s="119" t="s">
        <v>35</v>
      </c>
      <c r="E364" s="119" t="s">
        <v>931</v>
      </c>
      <c r="F364" s="120">
        <v>1</v>
      </c>
      <c r="G364" s="188">
        <v>60000</v>
      </c>
      <c r="J364"/>
      <c r="K364"/>
      <c r="L364"/>
      <c r="M364"/>
    </row>
    <row r="365" spans="1:13" x14ac:dyDescent="0.25">
      <c r="A365" s="147">
        <v>360</v>
      </c>
      <c r="B365" s="167">
        <v>45363</v>
      </c>
      <c r="C365" s="117">
        <v>2024</v>
      </c>
      <c r="D365" s="119" t="s">
        <v>35</v>
      </c>
      <c r="E365" s="119" t="s">
        <v>932</v>
      </c>
      <c r="F365" s="120">
        <v>1</v>
      </c>
      <c r="G365" s="188">
        <v>525000</v>
      </c>
      <c r="J365"/>
      <c r="K365"/>
      <c r="L365"/>
      <c r="M365"/>
    </row>
    <row r="366" spans="1:13" x14ac:dyDescent="0.25">
      <c r="A366" s="147">
        <v>361</v>
      </c>
      <c r="B366" s="167">
        <v>45363</v>
      </c>
      <c r="C366" s="117">
        <v>2024</v>
      </c>
      <c r="D366" s="119" t="s">
        <v>35</v>
      </c>
      <c r="E366" s="119" t="s">
        <v>933</v>
      </c>
      <c r="F366" s="120">
        <v>1</v>
      </c>
      <c r="G366" s="188">
        <v>80000</v>
      </c>
      <c r="J366"/>
      <c r="K366"/>
      <c r="L366"/>
      <c r="M366"/>
    </row>
    <row r="367" spans="1:13" x14ac:dyDescent="0.25">
      <c r="A367" s="147">
        <v>362</v>
      </c>
      <c r="B367" s="167">
        <v>45363</v>
      </c>
      <c r="C367" s="117">
        <v>2024</v>
      </c>
      <c r="D367" s="119" t="s">
        <v>35</v>
      </c>
      <c r="E367" s="119" t="s">
        <v>934</v>
      </c>
      <c r="F367" s="120">
        <v>1</v>
      </c>
      <c r="G367" s="188">
        <v>275000</v>
      </c>
      <c r="J367"/>
      <c r="K367"/>
      <c r="L367"/>
      <c r="M367"/>
    </row>
    <row r="368" spans="1:13" x14ac:dyDescent="0.25">
      <c r="A368" s="147">
        <v>363</v>
      </c>
      <c r="B368" s="167">
        <v>45363</v>
      </c>
      <c r="C368" s="117">
        <v>2024</v>
      </c>
      <c r="D368" s="119" t="s">
        <v>35</v>
      </c>
      <c r="E368" s="119" t="s">
        <v>935</v>
      </c>
      <c r="F368" s="120">
        <v>1</v>
      </c>
      <c r="G368" s="188">
        <v>2000</v>
      </c>
      <c r="J368"/>
      <c r="K368"/>
      <c r="L368"/>
      <c r="M368"/>
    </row>
    <row r="369" spans="1:13" x14ac:dyDescent="0.25">
      <c r="A369" s="147">
        <v>364</v>
      </c>
      <c r="B369" s="167">
        <v>45363</v>
      </c>
      <c r="C369" s="117">
        <v>2024</v>
      </c>
      <c r="D369" s="119" t="s">
        <v>35</v>
      </c>
      <c r="E369" s="119" t="s">
        <v>1695</v>
      </c>
      <c r="F369" s="120">
        <v>2</v>
      </c>
      <c r="G369" s="188">
        <v>1740000</v>
      </c>
      <c r="J369"/>
      <c r="K369"/>
      <c r="L369"/>
      <c r="M369"/>
    </row>
    <row r="370" spans="1:13" x14ac:dyDescent="0.25">
      <c r="A370" s="147">
        <v>365</v>
      </c>
      <c r="B370" s="167">
        <v>45363</v>
      </c>
      <c r="C370" s="117">
        <v>2024</v>
      </c>
      <c r="D370" s="119" t="s">
        <v>35</v>
      </c>
      <c r="E370" s="119" t="s">
        <v>931</v>
      </c>
      <c r="F370" s="120">
        <v>1</v>
      </c>
      <c r="G370" s="188">
        <v>60000</v>
      </c>
      <c r="J370"/>
      <c r="K370"/>
      <c r="L370"/>
      <c r="M370"/>
    </row>
    <row r="371" spans="1:13" x14ac:dyDescent="0.25">
      <c r="A371" s="147">
        <v>366</v>
      </c>
      <c r="B371" s="167">
        <v>45363</v>
      </c>
      <c r="C371" s="117">
        <v>2024</v>
      </c>
      <c r="D371" s="119" t="s">
        <v>35</v>
      </c>
      <c r="E371" s="119" t="s">
        <v>936</v>
      </c>
      <c r="F371" s="120">
        <v>1</v>
      </c>
      <c r="G371" s="188">
        <v>4000</v>
      </c>
      <c r="J371"/>
      <c r="K371"/>
      <c r="L371"/>
      <c r="M371"/>
    </row>
    <row r="372" spans="1:13" x14ac:dyDescent="0.25">
      <c r="A372" s="147">
        <v>367</v>
      </c>
      <c r="B372" s="167">
        <v>45363</v>
      </c>
      <c r="C372" s="117">
        <v>2024</v>
      </c>
      <c r="D372" s="119" t="s">
        <v>35</v>
      </c>
      <c r="E372" s="119" t="s">
        <v>937</v>
      </c>
      <c r="F372" s="120">
        <v>1</v>
      </c>
      <c r="G372" s="188">
        <v>37500</v>
      </c>
      <c r="J372"/>
      <c r="K372"/>
      <c r="L372"/>
      <c r="M372"/>
    </row>
    <row r="373" spans="1:13" x14ac:dyDescent="0.25">
      <c r="A373" s="147">
        <v>368</v>
      </c>
      <c r="B373" s="167">
        <v>45363</v>
      </c>
      <c r="C373" s="117">
        <v>2024</v>
      </c>
      <c r="D373" s="119" t="s">
        <v>35</v>
      </c>
      <c r="E373" s="119" t="s">
        <v>938</v>
      </c>
      <c r="F373" s="120">
        <v>1</v>
      </c>
      <c r="G373" s="188">
        <v>330000</v>
      </c>
      <c r="J373"/>
      <c r="K373"/>
      <c r="L373"/>
      <c r="M373"/>
    </row>
    <row r="374" spans="1:13" x14ac:dyDescent="0.25">
      <c r="A374" s="147">
        <v>369</v>
      </c>
      <c r="B374" s="167">
        <v>45363</v>
      </c>
      <c r="C374" s="117">
        <v>2024</v>
      </c>
      <c r="D374" s="119" t="s">
        <v>35</v>
      </c>
      <c r="E374" s="119" t="s">
        <v>933</v>
      </c>
      <c r="F374" s="120">
        <v>1</v>
      </c>
      <c r="G374" s="188">
        <v>80000</v>
      </c>
      <c r="J374"/>
      <c r="K374"/>
      <c r="L374"/>
      <c r="M374"/>
    </row>
    <row r="375" spans="1:13" x14ac:dyDescent="0.25">
      <c r="A375" s="147">
        <v>370</v>
      </c>
      <c r="B375" s="167">
        <v>45363</v>
      </c>
      <c r="C375" s="117">
        <v>2024</v>
      </c>
      <c r="D375" s="119" t="s">
        <v>35</v>
      </c>
      <c r="E375" s="119" t="s">
        <v>939</v>
      </c>
      <c r="F375" s="120">
        <v>1</v>
      </c>
      <c r="G375" s="188">
        <v>50000</v>
      </c>
      <c r="J375"/>
      <c r="K375"/>
      <c r="L375"/>
      <c r="M375"/>
    </row>
    <row r="376" spans="1:13" x14ac:dyDescent="0.25">
      <c r="A376" s="147">
        <v>371</v>
      </c>
      <c r="B376" s="167">
        <v>45363</v>
      </c>
      <c r="C376" s="117">
        <v>2024</v>
      </c>
      <c r="D376" s="119" t="s">
        <v>35</v>
      </c>
      <c r="E376" s="119" t="s">
        <v>439</v>
      </c>
      <c r="F376" s="120">
        <v>1</v>
      </c>
      <c r="G376" s="188">
        <v>7500</v>
      </c>
      <c r="J376"/>
      <c r="K376"/>
      <c r="L376"/>
      <c r="M376"/>
    </row>
    <row r="377" spans="1:13" x14ac:dyDescent="0.25">
      <c r="A377" s="147">
        <v>372</v>
      </c>
      <c r="B377" s="167">
        <v>45363</v>
      </c>
      <c r="C377" s="117">
        <v>2024</v>
      </c>
      <c r="D377" s="119" t="s">
        <v>35</v>
      </c>
      <c r="E377" s="119" t="s">
        <v>940</v>
      </c>
      <c r="F377" s="120">
        <v>1</v>
      </c>
      <c r="G377" s="188">
        <v>57500</v>
      </c>
      <c r="J377"/>
      <c r="K377"/>
      <c r="L377"/>
      <c r="M377"/>
    </row>
    <row r="378" spans="1:13" x14ac:dyDescent="0.25">
      <c r="A378" s="147">
        <v>373</v>
      </c>
      <c r="B378" s="167">
        <v>45363</v>
      </c>
      <c r="C378" s="117">
        <v>2024</v>
      </c>
      <c r="D378" s="119" t="s">
        <v>35</v>
      </c>
      <c r="E378" s="119" t="s">
        <v>911</v>
      </c>
      <c r="F378" s="120">
        <v>1</v>
      </c>
      <c r="G378" s="188">
        <v>10000</v>
      </c>
      <c r="J378"/>
      <c r="K378"/>
      <c r="L378"/>
      <c r="M378"/>
    </row>
    <row r="379" spans="1:13" x14ac:dyDescent="0.25">
      <c r="A379" s="147">
        <v>374</v>
      </c>
      <c r="B379" s="167">
        <v>45363</v>
      </c>
      <c r="C379" s="117">
        <v>2024</v>
      </c>
      <c r="D379" s="119" t="s">
        <v>35</v>
      </c>
      <c r="E379" s="119" t="s">
        <v>941</v>
      </c>
      <c r="F379" s="120">
        <v>1</v>
      </c>
      <c r="G379" s="188">
        <v>75000</v>
      </c>
      <c r="J379"/>
      <c r="K379"/>
      <c r="L379"/>
      <c r="M379"/>
    </row>
    <row r="380" spans="1:13" x14ac:dyDescent="0.25">
      <c r="A380" s="147">
        <v>375</v>
      </c>
      <c r="B380" s="167">
        <v>45363</v>
      </c>
      <c r="C380" s="117">
        <v>2024</v>
      </c>
      <c r="D380" s="119" t="s">
        <v>35</v>
      </c>
      <c r="E380" s="119" t="s">
        <v>942</v>
      </c>
      <c r="F380" s="120">
        <v>1</v>
      </c>
      <c r="G380" s="188">
        <v>170000</v>
      </c>
      <c r="J380"/>
      <c r="K380"/>
      <c r="L380"/>
      <c r="M380"/>
    </row>
    <row r="381" spans="1:13" x14ac:dyDescent="0.25">
      <c r="A381" s="147">
        <v>376</v>
      </c>
      <c r="B381" s="167">
        <v>45363</v>
      </c>
      <c r="C381" s="117">
        <v>2024</v>
      </c>
      <c r="D381" s="119" t="s">
        <v>35</v>
      </c>
      <c r="E381" s="119" t="s">
        <v>943</v>
      </c>
      <c r="F381" s="120">
        <v>1</v>
      </c>
      <c r="G381" s="188">
        <v>170000</v>
      </c>
      <c r="J381"/>
      <c r="K381"/>
      <c r="L381"/>
      <c r="M381"/>
    </row>
    <row r="382" spans="1:13" x14ac:dyDescent="0.25">
      <c r="A382" s="147">
        <v>377</v>
      </c>
      <c r="B382" s="167">
        <v>45363</v>
      </c>
      <c r="C382" s="117">
        <v>2024</v>
      </c>
      <c r="D382" s="119" t="s">
        <v>35</v>
      </c>
      <c r="E382" s="119" t="s">
        <v>944</v>
      </c>
      <c r="F382" s="120">
        <v>1</v>
      </c>
      <c r="G382" s="188">
        <v>45000</v>
      </c>
      <c r="J382"/>
      <c r="K382"/>
      <c r="L382"/>
      <c r="M382"/>
    </row>
    <row r="383" spans="1:13" x14ac:dyDescent="0.25">
      <c r="A383" s="147">
        <v>378</v>
      </c>
      <c r="B383" s="167">
        <v>45363</v>
      </c>
      <c r="C383" s="117">
        <v>2024</v>
      </c>
      <c r="D383" s="119" t="s">
        <v>35</v>
      </c>
      <c r="E383" s="119" t="s">
        <v>873</v>
      </c>
      <c r="F383" s="120">
        <v>1</v>
      </c>
      <c r="G383" s="188">
        <v>77500</v>
      </c>
      <c r="J383"/>
      <c r="K383"/>
      <c r="L383"/>
      <c r="M383"/>
    </row>
    <row r="384" spans="1:13" x14ac:dyDescent="0.25">
      <c r="A384" s="147">
        <v>379</v>
      </c>
      <c r="B384" s="167">
        <v>45363</v>
      </c>
      <c r="C384" s="117">
        <v>2024</v>
      </c>
      <c r="D384" s="119" t="s">
        <v>35</v>
      </c>
      <c r="E384" s="119" t="s">
        <v>873</v>
      </c>
      <c r="F384" s="120">
        <v>1</v>
      </c>
      <c r="G384" s="188">
        <v>72500</v>
      </c>
      <c r="J384"/>
      <c r="K384"/>
      <c r="L384"/>
      <c r="M384"/>
    </row>
    <row r="385" spans="1:13" x14ac:dyDescent="0.25">
      <c r="A385" s="147">
        <v>380</v>
      </c>
      <c r="B385" s="167">
        <v>45363</v>
      </c>
      <c r="C385" s="117">
        <v>2024</v>
      </c>
      <c r="D385" s="119" t="s">
        <v>35</v>
      </c>
      <c r="E385" s="119" t="s">
        <v>945</v>
      </c>
      <c r="F385" s="120">
        <v>1</v>
      </c>
      <c r="G385" s="188">
        <v>47500</v>
      </c>
      <c r="J385"/>
      <c r="K385"/>
      <c r="L385"/>
      <c r="M385"/>
    </row>
    <row r="386" spans="1:13" x14ac:dyDescent="0.25">
      <c r="A386" s="147">
        <v>381</v>
      </c>
      <c r="B386" s="167">
        <v>45363</v>
      </c>
      <c r="C386" s="117">
        <v>2024</v>
      </c>
      <c r="D386" s="119" t="s">
        <v>35</v>
      </c>
      <c r="E386" s="119" t="s">
        <v>811</v>
      </c>
      <c r="F386" s="120">
        <v>1</v>
      </c>
      <c r="G386" s="188">
        <v>220000</v>
      </c>
      <c r="J386"/>
      <c r="K386"/>
      <c r="L386"/>
      <c r="M386"/>
    </row>
    <row r="387" spans="1:13" x14ac:dyDescent="0.25">
      <c r="A387" s="147">
        <v>382</v>
      </c>
      <c r="B387" s="167">
        <v>45363</v>
      </c>
      <c r="C387" s="117">
        <v>2024</v>
      </c>
      <c r="D387" s="119" t="s">
        <v>35</v>
      </c>
      <c r="E387" s="119" t="s">
        <v>398</v>
      </c>
      <c r="F387" s="120">
        <v>1</v>
      </c>
      <c r="G387" s="188">
        <v>6000</v>
      </c>
      <c r="J387"/>
      <c r="K387"/>
      <c r="L387"/>
      <c r="M387"/>
    </row>
    <row r="388" spans="1:13" x14ac:dyDescent="0.25">
      <c r="A388" s="147">
        <v>383</v>
      </c>
      <c r="B388" s="167">
        <v>45364</v>
      </c>
      <c r="C388" s="117">
        <v>2024</v>
      </c>
      <c r="D388" s="119" t="s">
        <v>35</v>
      </c>
      <c r="E388" s="119" t="s">
        <v>946</v>
      </c>
      <c r="F388" s="120">
        <v>1</v>
      </c>
      <c r="G388" s="188">
        <v>360000</v>
      </c>
      <c r="J388"/>
      <c r="K388"/>
      <c r="L388"/>
      <c r="M388"/>
    </row>
    <row r="389" spans="1:13" x14ac:dyDescent="0.25">
      <c r="A389" s="147">
        <v>384</v>
      </c>
      <c r="B389" s="167">
        <v>45364</v>
      </c>
      <c r="C389" s="117">
        <v>2024</v>
      </c>
      <c r="D389" s="119" t="s">
        <v>35</v>
      </c>
      <c r="E389" s="119" t="s">
        <v>947</v>
      </c>
      <c r="F389" s="120">
        <v>1</v>
      </c>
      <c r="G389" s="188">
        <v>2000</v>
      </c>
      <c r="J389"/>
      <c r="K389"/>
      <c r="L389"/>
      <c r="M389"/>
    </row>
    <row r="390" spans="1:13" x14ac:dyDescent="0.25">
      <c r="A390" s="147">
        <v>385</v>
      </c>
      <c r="B390" s="167">
        <v>45367</v>
      </c>
      <c r="C390" s="117">
        <v>2024</v>
      </c>
      <c r="D390" s="119" t="s">
        <v>35</v>
      </c>
      <c r="E390" s="119" t="s">
        <v>211</v>
      </c>
      <c r="F390" s="120">
        <v>1</v>
      </c>
      <c r="G390" s="188">
        <v>17700</v>
      </c>
      <c r="J390"/>
      <c r="K390"/>
      <c r="L390"/>
      <c r="M390"/>
    </row>
    <row r="391" spans="1:13" x14ac:dyDescent="0.25">
      <c r="A391" s="147">
        <v>386</v>
      </c>
      <c r="B391" s="167">
        <v>45367</v>
      </c>
      <c r="C391" s="117">
        <v>2024</v>
      </c>
      <c r="D391" s="119" t="s">
        <v>35</v>
      </c>
      <c r="E391" s="119" t="s">
        <v>948</v>
      </c>
      <c r="F391" s="120">
        <v>1</v>
      </c>
      <c r="G391" s="188">
        <v>140000</v>
      </c>
      <c r="J391"/>
      <c r="K391"/>
      <c r="L391"/>
      <c r="M391"/>
    </row>
    <row r="392" spans="1:13" x14ac:dyDescent="0.25">
      <c r="A392" s="147">
        <v>387</v>
      </c>
      <c r="B392" s="167">
        <v>45367</v>
      </c>
      <c r="C392" s="117">
        <v>2024</v>
      </c>
      <c r="D392" s="119" t="s">
        <v>35</v>
      </c>
      <c r="E392" s="119" t="s">
        <v>949</v>
      </c>
      <c r="F392" s="120">
        <v>1</v>
      </c>
      <c r="G392" s="188">
        <v>750000</v>
      </c>
      <c r="J392"/>
      <c r="K392"/>
      <c r="L392"/>
      <c r="M392"/>
    </row>
    <row r="393" spans="1:13" x14ac:dyDescent="0.25">
      <c r="A393" s="147">
        <v>388</v>
      </c>
      <c r="B393" s="167">
        <v>45367</v>
      </c>
      <c r="C393" s="117">
        <v>2024</v>
      </c>
      <c r="D393" s="119" t="s">
        <v>35</v>
      </c>
      <c r="E393" s="119" t="s">
        <v>950</v>
      </c>
      <c r="F393" s="120">
        <v>1</v>
      </c>
      <c r="G393" s="188">
        <v>425000</v>
      </c>
      <c r="J393"/>
      <c r="K393"/>
      <c r="L393"/>
      <c r="M393"/>
    </row>
    <row r="394" spans="1:13" x14ac:dyDescent="0.25">
      <c r="A394" s="147">
        <v>389</v>
      </c>
      <c r="B394" s="167">
        <v>45369</v>
      </c>
      <c r="C394" s="117">
        <v>2024</v>
      </c>
      <c r="D394" s="119" t="s">
        <v>35</v>
      </c>
      <c r="E394" s="119" t="s">
        <v>794</v>
      </c>
      <c r="F394" s="120">
        <v>1</v>
      </c>
      <c r="G394" s="188">
        <v>166400</v>
      </c>
      <c r="J394"/>
      <c r="K394"/>
      <c r="L394"/>
      <c r="M394"/>
    </row>
    <row r="395" spans="1:13" x14ac:dyDescent="0.25">
      <c r="A395" s="147">
        <v>390</v>
      </c>
      <c r="B395" s="167">
        <v>45369</v>
      </c>
      <c r="C395" s="117">
        <v>2024</v>
      </c>
      <c r="D395" s="119" t="s">
        <v>35</v>
      </c>
      <c r="E395" s="119" t="s">
        <v>794</v>
      </c>
      <c r="F395" s="120">
        <v>1</v>
      </c>
      <c r="G395" s="188">
        <v>166400</v>
      </c>
      <c r="J395"/>
      <c r="K395"/>
      <c r="L395"/>
      <c r="M395"/>
    </row>
    <row r="396" spans="1:13" x14ac:dyDescent="0.25">
      <c r="A396" s="147">
        <v>391</v>
      </c>
      <c r="B396" s="167">
        <v>45369</v>
      </c>
      <c r="C396" s="117">
        <v>2024</v>
      </c>
      <c r="D396" s="119" t="s">
        <v>35</v>
      </c>
      <c r="E396" s="119" t="s">
        <v>794</v>
      </c>
      <c r="F396" s="120">
        <v>1</v>
      </c>
      <c r="G396" s="188">
        <v>166400</v>
      </c>
    </row>
    <row r="397" spans="1:13" x14ac:dyDescent="0.25">
      <c r="A397" s="147">
        <v>392</v>
      </c>
      <c r="B397" s="167">
        <v>45369</v>
      </c>
      <c r="C397" s="117">
        <v>2024</v>
      </c>
      <c r="D397" s="119" t="s">
        <v>35</v>
      </c>
      <c r="E397" s="119" t="s">
        <v>794</v>
      </c>
      <c r="F397" s="120">
        <v>1</v>
      </c>
      <c r="G397" s="188">
        <v>166400</v>
      </c>
    </row>
    <row r="398" spans="1:13" x14ac:dyDescent="0.25">
      <c r="A398" s="147">
        <v>393</v>
      </c>
      <c r="B398" s="167">
        <v>45369</v>
      </c>
      <c r="C398" s="117">
        <v>2024</v>
      </c>
      <c r="D398" s="119" t="s">
        <v>35</v>
      </c>
      <c r="E398" s="119" t="s">
        <v>794</v>
      </c>
      <c r="F398" s="120">
        <v>1</v>
      </c>
      <c r="G398" s="188">
        <v>166400</v>
      </c>
    </row>
    <row r="399" spans="1:13" x14ac:dyDescent="0.25">
      <c r="A399" s="147">
        <v>394</v>
      </c>
      <c r="B399" s="167">
        <v>45370</v>
      </c>
      <c r="C399" s="117">
        <v>2024</v>
      </c>
      <c r="D399" s="119" t="s">
        <v>35</v>
      </c>
      <c r="E399" s="119" t="s">
        <v>785</v>
      </c>
      <c r="F399" s="120">
        <v>1</v>
      </c>
      <c r="G399" s="188">
        <v>105000</v>
      </c>
    </row>
    <row r="400" spans="1:13" x14ac:dyDescent="0.25">
      <c r="A400" s="147">
        <v>395</v>
      </c>
      <c r="B400" s="167">
        <v>45370</v>
      </c>
      <c r="C400" s="117">
        <v>2024</v>
      </c>
      <c r="D400" s="119" t="s">
        <v>35</v>
      </c>
      <c r="E400" s="119" t="s">
        <v>951</v>
      </c>
      <c r="F400" s="120">
        <v>1</v>
      </c>
      <c r="G400" s="188">
        <v>85000</v>
      </c>
    </row>
    <row r="401" spans="1:7" x14ac:dyDescent="0.25">
      <c r="A401" s="147">
        <v>396</v>
      </c>
      <c r="B401" s="167">
        <v>45371</v>
      </c>
      <c r="C401" s="117">
        <v>2024</v>
      </c>
      <c r="D401" s="119" t="s">
        <v>35</v>
      </c>
      <c r="E401" s="119" t="s">
        <v>952</v>
      </c>
      <c r="F401" s="120">
        <v>1</v>
      </c>
      <c r="G401" s="188">
        <v>400000</v>
      </c>
    </row>
    <row r="402" spans="1:7" x14ac:dyDescent="0.25">
      <c r="A402" s="147">
        <v>397</v>
      </c>
      <c r="B402" s="167">
        <v>45371</v>
      </c>
      <c r="C402" s="117">
        <v>2024</v>
      </c>
      <c r="D402" s="119" t="s">
        <v>35</v>
      </c>
      <c r="E402" s="119" t="s">
        <v>840</v>
      </c>
      <c r="F402" s="120">
        <v>1</v>
      </c>
      <c r="G402" s="188">
        <v>223000</v>
      </c>
    </row>
    <row r="403" spans="1:7" x14ac:dyDescent="0.25">
      <c r="A403" s="147">
        <v>398</v>
      </c>
      <c r="B403" s="167">
        <v>45371</v>
      </c>
      <c r="C403" s="117">
        <v>2024</v>
      </c>
      <c r="D403" s="119" t="s">
        <v>35</v>
      </c>
      <c r="E403" s="119" t="s">
        <v>953</v>
      </c>
      <c r="F403" s="120">
        <v>1</v>
      </c>
      <c r="G403" s="188">
        <v>400000</v>
      </c>
    </row>
    <row r="404" spans="1:7" x14ac:dyDescent="0.25">
      <c r="A404" s="147">
        <v>399</v>
      </c>
      <c r="B404" s="167">
        <v>45371</v>
      </c>
      <c r="C404" s="117">
        <v>2024</v>
      </c>
      <c r="D404" s="119" t="s">
        <v>35</v>
      </c>
      <c r="E404" s="119" t="s">
        <v>954</v>
      </c>
      <c r="F404" s="120">
        <v>1</v>
      </c>
      <c r="G404" s="188">
        <v>140000</v>
      </c>
    </row>
    <row r="405" spans="1:7" x14ac:dyDescent="0.25">
      <c r="A405" s="147">
        <v>400</v>
      </c>
      <c r="B405" s="167">
        <v>45371</v>
      </c>
      <c r="C405" s="117">
        <v>2024</v>
      </c>
      <c r="D405" s="119" t="s">
        <v>35</v>
      </c>
      <c r="E405" s="119" t="s">
        <v>952</v>
      </c>
      <c r="F405" s="120">
        <v>1</v>
      </c>
      <c r="G405" s="188">
        <v>50000</v>
      </c>
    </row>
    <row r="406" spans="1:7" x14ac:dyDescent="0.25">
      <c r="A406" s="147">
        <v>401</v>
      </c>
      <c r="B406" s="167">
        <v>45371</v>
      </c>
      <c r="C406" s="117">
        <v>2024</v>
      </c>
      <c r="D406" s="119" t="s">
        <v>35</v>
      </c>
      <c r="E406" s="119" t="s">
        <v>952</v>
      </c>
      <c r="F406" s="120">
        <v>1</v>
      </c>
      <c r="G406" s="188">
        <v>400000</v>
      </c>
    </row>
    <row r="407" spans="1:7" x14ac:dyDescent="0.25">
      <c r="A407" s="147">
        <v>402</v>
      </c>
      <c r="B407" s="167">
        <v>45371</v>
      </c>
      <c r="C407" s="117">
        <v>2024</v>
      </c>
      <c r="D407" s="119" t="s">
        <v>35</v>
      </c>
      <c r="E407" s="119" t="s">
        <v>838</v>
      </c>
      <c r="F407" s="120">
        <v>1</v>
      </c>
      <c r="G407" s="188">
        <v>75000</v>
      </c>
    </row>
    <row r="408" spans="1:7" x14ac:dyDescent="0.25">
      <c r="A408" s="147">
        <v>403</v>
      </c>
      <c r="B408" s="167">
        <v>45371</v>
      </c>
      <c r="C408" s="117">
        <v>2024</v>
      </c>
      <c r="D408" s="119" t="s">
        <v>35</v>
      </c>
      <c r="E408" s="119" t="s">
        <v>952</v>
      </c>
      <c r="F408" s="120">
        <v>1</v>
      </c>
      <c r="G408" s="188">
        <v>400000</v>
      </c>
    </row>
    <row r="409" spans="1:7" x14ac:dyDescent="0.25">
      <c r="A409" s="147">
        <v>404</v>
      </c>
      <c r="B409" s="167">
        <v>45371</v>
      </c>
      <c r="C409" s="117">
        <v>2024</v>
      </c>
      <c r="D409" s="119" t="s">
        <v>35</v>
      </c>
      <c r="E409" s="119" t="s">
        <v>842</v>
      </c>
      <c r="F409" s="120">
        <v>1</v>
      </c>
      <c r="G409" s="188">
        <v>223000</v>
      </c>
    </row>
    <row r="410" spans="1:7" x14ac:dyDescent="0.25">
      <c r="A410" s="147">
        <v>405</v>
      </c>
      <c r="B410" s="167">
        <v>45371</v>
      </c>
      <c r="C410" s="117">
        <v>2024</v>
      </c>
      <c r="D410" s="119" t="s">
        <v>35</v>
      </c>
      <c r="E410" s="119" t="s">
        <v>955</v>
      </c>
      <c r="F410" s="120">
        <v>1</v>
      </c>
      <c r="G410" s="188">
        <v>184000</v>
      </c>
    </row>
    <row r="411" spans="1:7" x14ac:dyDescent="0.25">
      <c r="A411" s="147">
        <v>406</v>
      </c>
      <c r="B411" s="167">
        <v>45371</v>
      </c>
      <c r="C411" s="117">
        <v>2024</v>
      </c>
      <c r="D411" s="119" t="s">
        <v>35</v>
      </c>
      <c r="E411" s="119" t="s">
        <v>952</v>
      </c>
      <c r="F411" s="120">
        <v>1</v>
      </c>
      <c r="G411" s="188">
        <v>400000</v>
      </c>
    </row>
    <row r="412" spans="1:7" x14ac:dyDescent="0.25">
      <c r="A412" s="147">
        <v>407</v>
      </c>
      <c r="B412" s="167">
        <v>45371</v>
      </c>
      <c r="C412" s="117">
        <v>2024</v>
      </c>
      <c r="D412" s="119" t="s">
        <v>35</v>
      </c>
      <c r="E412" s="119" t="s">
        <v>838</v>
      </c>
      <c r="F412" s="120">
        <v>1</v>
      </c>
      <c r="G412" s="188">
        <v>75000</v>
      </c>
    </row>
    <row r="413" spans="1:7" x14ac:dyDescent="0.25">
      <c r="A413" s="147">
        <v>408</v>
      </c>
      <c r="B413" s="167">
        <v>45371</v>
      </c>
      <c r="C413" s="117">
        <v>2024</v>
      </c>
      <c r="D413" s="119" t="s">
        <v>35</v>
      </c>
      <c r="E413" s="119" t="s">
        <v>952</v>
      </c>
      <c r="F413" s="120">
        <v>1</v>
      </c>
      <c r="G413" s="188">
        <v>400000</v>
      </c>
    </row>
    <row r="414" spans="1:7" x14ac:dyDescent="0.25">
      <c r="A414" s="147">
        <v>409</v>
      </c>
      <c r="B414" s="167">
        <v>45371</v>
      </c>
      <c r="C414" s="117">
        <v>2024</v>
      </c>
      <c r="D414" s="119" t="s">
        <v>35</v>
      </c>
      <c r="E414" s="119" t="s">
        <v>956</v>
      </c>
      <c r="F414" s="120">
        <v>1</v>
      </c>
      <c r="G414" s="188">
        <v>40000</v>
      </c>
    </row>
    <row r="415" spans="1:7" x14ac:dyDescent="0.25">
      <c r="A415" s="147">
        <v>410</v>
      </c>
      <c r="B415" s="167">
        <v>45371</v>
      </c>
      <c r="C415" s="117">
        <v>2024</v>
      </c>
      <c r="D415" s="119" t="s">
        <v>35</v>
      </c>
      <c r="E415" s="119" t="s">
        <v>839</v>
      </c>
      <c r="F415" s="120">
        <v>1</v>
      </c>
      <c r="G415" s="188">
        <v>85000</v>
      </c>
    </row>
    <row r="416" spans="1:7" x14ac:dyDescent="0.25">
      <c r="A416" s="147">
        <v>411</v>
      </c>
      <c r="B416" s="167">
        <v>45371</v>
      </c>
      <c r="C416" s="117">
        <v>2024</v>
      </c>
      <c r="D416" s="119" t="s">
        <v>35</v>
      </c>
      <c r="E416" s="119" t="s">
        <v>838</v>
      </c>
      <c r="F416" s="120">
        <v>1</v>
      </c>
      <c r="G416" s="188">
        <v>50000</v>
      </c>
    </row>
    <row r="417" spans="1:7" x14ac:dyDescent="0.25">
      <c r="A417" s="147">
        <v>412</v>
      </c>
      <c r="B417" s="167">
        <v>45371</v>
      </c>
      <c r="C417" s="117">
        <v>2024</v>
      </c>
      <c r="D417" s="119" t="s">
        <v>35</v>
      </c>
      <c r="E417" s="119" t="s">
        <v>952</v>
      </c>
      <c r="F417" s="120">
        <v>1</v>
      </c>
      <c r="G417" s="188">
        <v>400000</v>
      </c>
    </row>
    <row r="418" spans="1:7" x14ac:dyDescent="0.25">
      <c r="A418" s="147">
        <v>413</v>
      </c>
      <c r="B418" s="167">
        <v>45371</v>
      </c>
      <c r="C418" s="117">
        <v>2024</v>
      </c>
      <c r="D418" s="119" t="s">
        <v>35</v>
      </c>
      <c r="E418" s="119" t="s">
        <v>838</v>
      </c>
      <c r="F418" s="120">
        <v>1</v>
      </c>
      <c r="G418" s="188">
        <v>75000</v>
      </c>
    </row>
    <row r="419" spans="1:7" x14ac:dyDescent="0.25">
      <c r="A419" s="147">
        <v>414</v>
      </c>
      <c r="B419" s="167">
        <v>45371</v>
      </c>
      <c r="C419" s="117">
        <v>2024</v>
      </c>
      <c r="D419" s="119" t="s">
        <v>35</v>
      </c>
      <c r="E419" s="119" t="s">
        <v>956</v>
      </c>
      <c r="F419" s="120">
        <v>1</v>
      </c>
      <c r="G419" s="188">
        <v>85000</v>
      </c>
    </row>
    <row r="420" spans="1:7" x14ac:dyDescent="0.25">
      <c r="A420" s="147">
        <v>415</v>
      </c>
      <c r="B420" s="167">
        <v>45371</v>
      </c>
      <c r="C420" s="117">
        <v>2024</v>
      </c>
      <c r="D420" s="119" t="s">
        <v>35</v>
      </c>
      <c r="E420" s="119" t="s">
        <v>956</v>
      </c>
      <c r="F420" s="120">
        <v>1</v>
      </c>
      <c r="G420" s="188">
        <v>95000</v>
      </c>
    </row>
    <row r="421" spans="1:7" x14ac:dyDescent="0.25">
      <c r="A421" s="147">
        <v>416</v>
      </c>
      <c r="B421" s="167">
        <v>45371</v>
      </c>
      <c r="C421" s="117">
        <v>2024</v>
      </c>
      <c r="D421" s="119" t="s">
        <v>35</v>
      </c>
      <c r="E421" s="119" t="s">
        <v>918</v>
      </c>
      <c r="F421" s="120">
        <v>1</v>
      </c>
      <c r="G421" s="188">
        <v>140000</v>
      </c>
    </row>
    <row r="422" spans="1:7" x14ac:dyDescent="0.25">
      <c r="A422" s="147">
        <v>417</v>
      </c>
      <c r="B422" s="167">
        <v>45371</v>
      </c>
      <c r="C422" s="117">
        <v>2024</v>
      </c>
      <c r="D422" s="119" t="s">
        <v>35</v>
      </c>
      <c r="E422" s="119" t="s">
        <v>952</v>
      </c>
      <c r="F422" s="120">
        <v>1</v>
      </c>
      <c r="G422" s="188">
        <v>400000</v>
      </c>
    </row>
    <row r="423" spans="1:7" x14ac:dyDescent="0.25">
      <c r="A423" s="147">
        <v>418</v>
      </c>
      <c r="B423" s="167">
        <v>45371</v>
      </c>
      <c r="C423" s="117">
        <v>2024</v>
      </c>
      <c r="D423" s="119" t="s">
        <v>35</v>
      </c>
      <c r="E423" s="119" t="s">
        <v>838</v>
      </c>
      <c r="F423" s="120">
        <v>1</v>
      </c>
      <c r="G423" s="188">
        <v>75000</v>
      </c>
    </row>
    <row r="424" spans="1:7" x14ac:dyDescent="0.25">
      <c r="A424" s="147">
        <v>419</v>
      </c>
      <c r="B424" s="167">
        <v>45371</v>
      </c>
      <c r="C424" s="117">
        <v>2024</v>
      </c>
      <c r="D424" s="119" t="s">
        <v>35</v>
      </c>
      <c r="E424" s="119" t="s">
        <v>956</v>
      </c>
      <c r="F424" s="120">
        <v>1</v>
      </c>
      <c r="G424" s="188">
        <v>85000</v>
      </c>
    </row>
    <row r="425" spans="1:7" x14ac:dyDescent="0.25">
      <c r="A425" s="147">
        <v>420</v>
      </c>
      <c r="B425" s="167">
        <v>45371</v>
      </c>
      <c r="C425" s="117">
        <v>2024</v>
      </c>
      <c r="D425" s="119" t="s">
        <v>35</v>
      </c>
      <c r="E425" s="119" t="s">
        <v>957</v>
      </c>
      <c r="F425" s="120">
        <v>1</v>
      </c>
      <c r="G425" s="188">
        <v>95000</v>
      </c>
    </row>
    <row r="426" spans="1:7" x14ac:dyDescent="0.25">
      <c r="A426" s="147">
        <v>421</v>
      </c>
      <c r="B426" s="167">
        <v>45371</v>
      </c>
      <c r="C426" s="117">
        <v>2024</v>
      </c>
      <c r="D426" s="119" t="s">
        <v>35</v>
      </c>
      <c r="E426" s="119" t="s">
        <v>838</v>
      </c>
      <c r="F426" s="120">
        <v>1</v>
      </c>
      <c r="G426" s="188">
        <v>50000</v>
      </c>
    </row>
    <row r="427" spans="1:7" x14ac:dyDescent="0.25">
      <c r="A427" s="147">
        <v>422</v>
      </c>
      <c r="B427" s="167">
        <v>45371</v>
      </c>
      <c r="C427" s="117">
        <v>2024</v>
      </c>
      <c r="D427" s="119" t="s">
        <v>35</v>
      </c>
      <c r="E427" s="119" t="s">
        <v>952</v>
      </c>
      <c r="F427" s="120">
        <v>1</v>
      </c>
      <c r="G427" s="188">
        <v>400000</v>
      </c>
    </row>
    <row r="428" spans="1:7" x14ac:dyDescent="0.25">
      <c r="A428" s="147">
        <v>423</v>
      </c>
      <c r="B428" s="167">
        <v>45371</v>
      </c>
      <c r="C428" s="117">
        <v>2024</v>
      </c>
      <c r="D428" s="119" t="s">
        <v>35</v>
      </c>
      <c r="E428" s="119" t="s">
        <v>955</v>
      </c>
      <c r="F428" s="120">
        <v>1</v>
      </c>
      <c r="G428" s="188">
        <v>223000</v>
      </c>
    </row>
    <row r="429" spans="1:7" x14ac:dyDescent="0.25">
      <c r="A429" s="147">
        <v>424</v>
      </c>
      <c r="B429" s="167">
        <v>45371</v>
      </c>
      <c r="C429" s="117">
        <v>2024</v>
      </c>
      <c r="D429" s="119" t="s">
        <v>35</v>
      </c>
      <c r="E429" s="119" t="s">
        <v>838</v>
      </c>
      <c r="F429" s="120">
        <v>1</v>
      </c>
      <c r="G429" s="188">
        <v>75000</v>
      </c>
    </row>
    <row r="430" spans="1:7" x14ac:dyDescent="0.25">
      <c r="A430" s="147">
        <v>425</v>
      </c>
      <c r="B430" s="167">
        <v>45371</v>
      </c>
      <c r="C430" s="117">
        <v>2024</v>
      </c>
      <c r="D430" s="119" t="s">
        <v>35</v>
      </c>
      <c r="E430" s="119" t="s">
        <v>958</v>
      </c>
      <c r="F430" s="120">
        <v>1</v>
      </c>
      <c r="G430" s="188">
        <v>140000</v>
      </c>
    </row>
    <row r="431" spans="1:7" x14ac:dyDescent="0.25">
      <c r="A431" s="147">
        <v>426</v>
      </c>
      <c r="B431" s="167">
        <v>45371</v>
      </c>
      <c r="C431" s="117">
        <v>2024</v>
      </c>
      <c r="D431" s="119" t="s">
        <v>35</v>
      </c>
      <c r="E431" s="119" t="s">
        <v>952</v>
      </c>
      <c r="F431" s="120">
        <v>1</v>
      </c>
      <c r="G431" s="188">
        <v>400000</v>
      </c>
    </row>
    <row r="432" spans="1:7" x14ac:dyDescent="0.25">
      <c r="A432" s="147">
        <v>427</v>
      </c>
      <c r="B432" s="167">
        <v>45371</v>
      </c>
      <c r="C432" s="117">
        <v>2024</v>
      </c>
      <c r="D432" s="119" t="s">
        <v>35</v>
      </c>
      <c r="E432" s="119" t="s">
        <v>955</v>
      </c>
      <c r="F432" s="120">
        <v>1</v>
      </c>
      <c r="G432" s="188">
        <v>223000</v>
      </c>
    </row>
    <row r="433" spans="1:7" x14ac:dyDescent="0.25">
      <c r="A433" s="147">
        <v>428</v>
      </c>
      <c r="B433" s="167">
        <v>45371</v>
      </c>
      <c r="C433" s="117">
        <v>2024</v>
      </c>
      <c r="D433" s="119" t="s">
        <v>35</v>
      </c>
      <c r="E433" s="119" t="s">
        <v>838</v>
      </c>
      <c r="F433" s="120">
        <v>1</v>
      </c>
      <c r="G433" s="188">
        <v>75000</v>
      </c>
    </row>
    <row r="434" spans="1:7" x14ac:dyDescent="0.25">
      <c r="A434" s="147">
        <v>429</v>
      </c>
      <c r="B434" s="167">
        <v>45371</v>
      </c>
      <c r="C434" s="117">
        <v>2024</v>
      </c>
      <c r="D434" s="119" t="s">
        <v>35</v>
      </c>
      <c r="E434" s="119" t="s">
        <v>952</v>
      </c>
      <c r="F434" s="120">
        <v>1</v>
      </c>
      <c r="G434" s="188">
        <v>400000</v>
      </c>
    </row>
    <row r="435" spans="1:7" x14ac:dyDescent="0.25">
      <c r="A435" s="147">
        <v>430</v>
      </c>
      <c r="B435" s="167">
        <v>45371</v>
      </c>
      <c r="C435" s="117">
        <v>2024</v>
      </c>
      <c r="D435" s="119" t="s">
        <v>35</v>
      </c>
      <c r="E435" s="119" t="s">
        <v>838</v>
      </c>
      <c r="F435" s="120">
        <v>1</v>
      </c>
      <c r="G435" s="188">
        <v>75000</v>
      </c>
    </row>
    <row r="436" spans="1:7" x14ac:dyDescent="0.25">
      <c r="A436" s="147">
        <v>431</v>
      </c>
      <c r="B436" s="167">
        <v>45371</v>
      </c>
      <c r="C436" s="117">
        <v>2024</v>
      </c>
      <c r="D436" s="119" t="s">
        <v>35</v>
      </c>
      <c r="E436" s="119" t="s">
        <v>959</v>
      </c>
      <c r="F436" s="120">
        <v>1</v>
      </c>
      <c r="G436" s="188">
        <v>132000</v>
      </c>
    </row>
    <row r="437" spans="1:7" x14ac:dyDescent="0.25">
      <c r="A437" s="147">
        <v>432</v>
      </c>
      <c r="B437" s="167">
        <v>45371</v>
      </c>
      <c r="C437" s="117">
        <v>2024</v>
      </c>
      <c r="D437" s="119" t="s">
        <v>35</v>
      </c>
      <c r="E437" s="119" t="s">
        <v>960</v>
      </c>
      <c r="F437" s="120">
        <v>1</v>
      </c>
      <c r="G437" s="188">
        <v>190000</v>
      </c>
    </row>
    <row r="438" spans="1:7" x14ac:dyDescent="0.25">
      <c r="A438" s="147">
        <v>433</v>
      </c>
      <c r="B438" s="167">
        <v>45371</v>
      </c>
      <c r="C438" s="117">
        <v>2024</v>
      </c>
      <c r="D438" s="119" t="s">
        <v>35</v>
      </c>
      <c r="E438" s="119" t="s">
        <v>838</v>
      </c>
      <c r="F438" s="120">
        <v>1</v>
      </c>
      <c r="G438" s="188">
        <v>50000</v>
      </c>
    </row>
    <row r="439" spans="1:7" x14ac:dyDescent="0.25">
      <c r="A439" s="147">
        <v>434</v>
      </c>
      <c r="B439" s="167">
        <v>45371</v>
      </c>
      <c r="C439" s="117">
        <v>2024</v>
      </c>
      <c r="D439" s="119" t="s">
        <v>35</v>
      </c>
      <c r="E439" s="119" t="s">
        <v>952</v>
      </c>
      <c r="F439" s="120">
        <v>1</v>
      </c>
      <c r="G439" s="188">
        <v>400000</v>
      </c>
    </row>
    <row r="440" spans="1:7" x14ac:dyDescent="0.25">
      <c r="A440" s="147">
        <v>435</v>
      </c>
      <c r="B440" s="167">
        <v>45371</v>
      </c>
      <c r="C440" s="117">
        <v>2024</v>
      </c>
      <c r="D440" s="119" t="s">
        <v>35</v>
      </c>
      <c r="E440" s="119" t="s">
        <v>955</v>
      </c>
      <c r="F440" s="120">
        <v>1</v>
      </c>
      <c r="G440" s="188">
        <v>223000</v>
      </c>
    </row>
    <row r="441" spans="1:7" x14ac:dyDescent="0.25">
      <c r="A441" s="147">
        <v>436</v>
      </c>
      <c r="B441" s="167">
        <v>45371</v>
      </c>
      <c r="C441" s="117">
        <v>2024</v>
      </c>
      <c r="D441" s="119" t="s">
        <v>35</v>
      </c>
      <c r="E441" s="119" t="s">
        <v>842</v>
      </c>
      <c r="F441" s="120">
        <v>1</v>
      </c>
      <c r="G441" s="188">
        <v>184000</v>
      </c>
    </row>
    <row r="442" spans="1:7" x14ac:dyDescent="0.25">
      <c r="A442" s="147">
        <v>437</v>
      </c>
      <c r="B442" s="167">
        <v>45371</v>
      </c>
      <c r="C442" s="117">
        <v>2024</v>
      </c>
      <c r="D442" s="119" t="s">
        <v>35</v>
      </c>
      <c r="E442" s="119" t="s">
        <v>838</v>
      </c>
      <c r="F442" s="120">
        <v>1</v>
      </c>
      <c r="G442" s="188">
        <v>75000</v>
      </c>
    </row>
    <row r="443" spans="1:7" x14ac:dyDescent="0.25">
      <c r="A443" s="147">
        <v>438</v>
      </c>
      <c r="B443" s="167">
        <v>45371</v>
      </c>
      <c r="C443" s="117">
        <v>2024</v>
      </c>
      <c r="D443" s="119" t="s">
        <v>35</v>
      </c>
      <c r="E443" s="119" t="s">
        <v>958</v>
      </c>
      <c r="F443" s="120">
        <v>1</v>
      </c>
      <c r="G443" s="188">
        <v>140000</v>
      </c>
    </row>
    <row r="444" spans="1:7" x14ac:dyDescent="0.25">
      <c r="A444" s="147">
        <v>439</v>
      </c>
      <c r="B444" s="167">
        <v>45371</v>
      </c>
      <c r="C444" s="117">
        <v>2024</v>
      </c>
      <c r="D444" s="119" t="s">
        <v>35</v>
      </c>
      <c r="E444" s="119" t="s">
        <v>952</v>
      </c>
      <c r="F444" s="120">
        <v>1</v>
      </c>
      <c r="G444" s="188">
        <v>400000</v>
      </c>
    </row>
    <row r="445" spans="1:7" x14ac:dyDescent="0.25">
      <c r="A445" s="147">
        <v>440</v>
      </c>
      <c r="B445" s="167">
        <v>45371</v>
      </c>
      <c r="C445" s="117">
        <v>2024</v>
      </c>
      <c r="D445" s="119" t="s">
        <v>35</v>
      </c>
      <c r="E445" s="119" t="s">
        <v>838</v>
      </c>
      <c r="F445" s="120">
        <v>1</v>
      </c>
      <c r="G445" s="188">
        <v>75000</v>
      </c>
    </row>
    <row r="446" spans="1:7" x14ac:dyDescent="0.25">
      <c r="A446" s="147">
        <v>441</v>
      </c>
      <c r="B446" s="167">
        <v>45371</v>
      </c>
      <c r="C446" s="117">
        <v>2024</v>
      </c>
      <c r="D446" s="119" t="s">
        <v>35</v>
      </c>
      <c r="E446" s="119" t="s">
        <v>952</v>
      </c>
      <c r="F446" s="120">
        <v>1</v>
      </c>
      <c r="G446" s="188">
        <v>400000</v>
      </c>
    </row>
    <row r="447" spans="1:7" x14ac:dyDescent="0.25">
      <c r="A447" s="147">
        <v>442</v>
      </c>
      <c r="B447" s="167">
        <v>45371</v>
      </c>
      <c r="C447" s="117">
        <v>2024</v>
      </c>
      <c r="D447" s="119" t="s">
        <v>35</v>
      </c>
      <c r="E447" s="119" t="s">
        <v>838</v>
      </c>
      <c r="F447" s="120">
        <v>1</v>
      </c>
      <c r="G447" s="188">
        <v>75000</v>
      </c>
    </row>
    <row r="448" spans="1:7" x14ac:dyDescent="0.25">
      <c r="A448" s="147">
        <v>443</v>
      </c>
      <c r="B448" s="167">
        <v>45371</v>
      </c>
      <c r="C448" s="117">
        <v>2024</v>
      </c>
      <c r="D448" s="119" t="s">
        <v>35</v>
      </c>
      <c r="E448" s="119" t="s">
        <v>952</v>
      </c>
      <c r="F448" s="120">
        <v>1</v>
      </c>
      <c r="G448" s="188">
        <v>400000</v>
      </c>
    </row>
    <row r="449" spans="1:7" x14ac:dyDescent="0.25">
      <c r="A449" s="147">
        <v>444</v>
      </c>
      <c r="B449" s="167">
        <v>45371</v>
      </c>
      <c r="C449" s="117">
        <v>2024</v>
      </c>
      <c r="D449" s="119" t="s">
        <v>35</v>
      </c>
      <c r="E449" s="119" t="s">
        <v>961</v>
      </c>
      <c r="F449" s="120">
        <v>1</v>
      </c>
      <c r="G449" s="188">
        <v>85000</v>
      </c>
    </row>
    <row r="450" spans="1:7" x14ac:dyDescent="0.25">
      <c r="A450" s="147">
        <v>445</v>
      </c>
      <c r="B450" s="167">
        <v>45371</v>
      </c>
      <c r="C450" s="117">
        <v>2024</v>
      </c>
      <c r="D450" s="119" t="s">
        <v>35</v>
      </c>
      <c r="E450" s="119" t="s">
        <v>838</v>
      </c>
      <c r="F450" s="120">
        <v>1</v>
      </c>
      <c r="G450" s="188">
        <v>50000</v>
      </c>
    </row>
    <row r="451" spans="1:7" x14ac:dyDescent="0.25">
      <c r="A451" s="147">
        <v>446</v>
      </c>
      <c r="B451" s="167">
        <v>45371</v>
      </c>
      <c r="C451" s="117">
        <v>2024</v>
      </c>
      <c r="D451" s="119" t="s">
        <v>35</v>
      </c>
      <c r="E451" s="119" t="s">
        <v>952</v>
      </c>
      <c r="F451" s="120">
        <v>1</v>
      </c>
      <c r="G451" s="188">
        <v>400000</v>
      </c>
    </row>
    <row r="452" spans="1:7" x14ac:dyDescent="0.25">
      <c r="A452" s="147">
        <v>447</v>
      </c>
      <c r="B452" s="167">
        <v>45371</v>
      </c>
      <c r="C452" s="117">
        <v>2024</v>
      </c>
      <c r="D452" s="119" t="s">
        <v>35</v>
      </c>
      <c r="E452" s="119" t="s">
        <v>962</v>
      </c>
      <c r="F452" s="120">
        <v>1</v>
      </c>
      <c r="G452" s="188">
        <v>140000</v>
      </c>
    </row>
    <row r="453" spans="1:7" x14ac:dyDescent="0.25">
      <c r="A453" s="147">
        <v>448</v>
      </c>
      <c r="B453" s="167">
        <v>45373</v>
      </c>
      <c r="C453" s="117">
        <v>2024</v>
      </c>
      <c r="D453" s="119" t="s">
        <v>35</v>
      </c>
      <c r="E453" s="119" t="s">
        <v>211</v>
      </c>
      <c r="F453" s="120">
        <v>1</v>
      </c>
      <c r="G453" s="188">
        <v>17700</v>
      </c>
    </row>
    <row r="454" spans="1:7" x14ac:dyDescent="0.25">
      <c r="A454" s="147">
        <v>449</v>
      </c>
      <c r="B454" s="167">
        <v>45373</v>
      </c>
      <c r="C454" s="117">
        <v>2024</v>
      </c>
      <c r="D454" s="119" t="s">
        <v>35</v>
      </c>
      <c r="E454" s="119" t="s">
        <v>811</v>
      </c>
      <c r="F454" s="120">
        <v>1</v>
      </c>
      <c r="G454" s="188">
        <v>20000</v>
      </c>
    </row>
    <row r="455" spans="1:7" x14ac:dyDescent="0.25">
      <c r="A455" s="147">
        <v>450</v>
      </c>
      <c r="B455" s="167">
        <v>45374</v>
      </c>
      <c r="C455" s="117">
        <v>2024</v>
      </c>
      <c r="D455" s="119" t="s">
        <v>35</v>
      </c>
      <c r="E455" s="119" t="s">
        <v>963</v>
      </c>
      <c r="F455" s="120">
        <v>4</v>
      </c>
      <c r="G455" s="188">
        <v>572000</v>
      </c>
    </row>
    <row r="456" spans="1:7" x14ac:dyDescent="0.25">
      <c r="A456" s="147">
        <v>451</v>
      </c>
      <c r="B456" s="167">
        <v>45378</v>
      </c>
      <c r="C456" s="117">
        <v>2024</v>
      </c>
      <c r="D456" s="119" t="s">
        <v>35</v>
      </c>
      <c r="E456" s="119" t="s">
        <v>964</v>
      </c>
      <c r="F456" s="120">
        <v>1</v>
      </c>
      <c r="G456" s="188">
        <v>64000</v>
      </c>
    </row>
    <row r="457" spans="1:7" x14ac:dyDescent="0.25">
      <c r="A457" s="147">
        <v>452</v>
      </c>
      <c r="B457" s="167">
        <v>45378</v>
      </c>
      <c r="C457" s="117">
        <v>2024</v>
      </c>
      <c r="D457" s="119" t="s">
        <v>35</v>
      </c>
      <c r="E457" s="119" t="s">
        <v>911</v>
      </c>
      <c r="F457" s="120">
        <v>1</v>
      </c>
      <c r="G457" s="188">
        <v>25000</v>
      </c>
    </row>
    <row r="458" spans="1:7" x14ac:dyDescent="0.25">
      <c r="A458" s="147">
        <v>453</v>
      </c>
      <c r="B458" s="167">
        <v>45381</v>
      </c>
      <c r="C458" s="117">
        <v>2024</v>
      </c>
      <c r="D458" s="119" t="s">
        <v>35</v>
      </c>
      <c r="E458" s="119" t="s">
        <v>965</v>
      </c>
      <c r="F458" s="120">
        <v>1</v>
      </c>
      <c r="G458" s="188">
        <v>97750</v>
      </c>
    </row>
    <row r="459" spans="1:7" x14ac:dyDescent="0.25">
      <c r="A459" s="147">
        <v>454</v>
      </c>
      <c r="B459" s="167">
        <v>45381</v>
      </c>
      <c r="C459" s="117">
        <v>2024</v>
      </c>
      <c r="D459" s="119" t="s">
        <v>35</v>
      </c>
      <c r="E459" s="119" t="s">
        <v>966</v>
      </c>
      <c r="F459" s="120">
        <v>1</v>
      </c>
      <c r="G459" s="188">
        <v>153000</v>
      </c>
    </row>
    <row r="460" spans="1:7" x14ac:dyDescent="0.25">
      <c r="A460" s="147">
        <v>455</v>
      </c>
      <c r="B460" s="167">
        <v>45385</v>
      </c>
      <c r="C460" s="117">
        <v>2024</v>
      </c>
      <c r="D460" s="119" t="s">
        <v>35</v>
      </c>
      <c r="E460" s="119" t="s">
        <v>968</v>
      </c>
      <c r="F460" s="120">
        <v>1</v>
      </c>
      <c r="G460" s="188">
        <v>300000</v>
      </c>
    </row>
    <row r="461" spans="1:7" x14ac:dyDescent="0.25">
      <c r="A461" s="147">
        <v>456</v>
      </c>
      <c r="B461" s="167">
        <v>45386</v>
      </c>
      <c r="C461" s="117">
        <v>2024</v>
      </c>
      <c r="D461" s="119" t="s">
        <v>35</v>
      </c>
      <c r="E461" s="119" t="s">
        <v>211</v>
      </c>
      <c r="F461" s="120">
        <v>1</v>
      </c>
      <c r="G461" s="188">
        <v>17700</v>
      </c>
    </row>
    <row r="462" spans="1:7" x14ac:dyDescent="0.25">
      <c r="A462" s="147">
        <v>457</v>
      </c>
      <c r="B462" s="167">
        <v>45386</v>
      </c>
      <c r="C462" s="117">
        <v>2024</v>
      </c>
      <c r="D462" s="119" t="s">
        <v>35</v>
      </c>
      <c r="E462" s="119" t="s">
        <v>873</v>
      </c>
      <c r="F462" s="120">
        <v>1</v>
      </c>
      <c r="G462" s="188">
        <v>77500</v>
      </c>
    </row>
    <row r="463" spans="1:7" x14ac:dyDescent="0.25">
      <c r="A463" s="147">
        <v>458</v>
      </c>
      <c r="B463" s="167">
        <v>45386</v>
      </c>
      <c r="C463" s="117">
        <v>2024</v>
      </c>
      <c r="D463" s="119" t="s">
        <v>35</v>
      </c>
      <c r="E463" s="119" t="s">
        <v>969</v>
      </c>
      <c r="F463" s="120">
        <v>1</v>
      </c>
      <c r="G463" s="188">
        <v>70000</v>
      </c>
    </row>
    <row r="464" spans="1:7" x14ac:dyDescent="0.25">
      <c r="A464" s="147">
        <v>459</v>
      </c>
      <c r="B464" s="167">
        <v>45386</v>
      </c>
      <c r="C464" s="117">
        <v>2024</v>
      </c>
      <c r="D464" s="119" t="s">
        <v>35</v>
      </c>
      <c r="E464" s="119" t="s">
        <v>970</v>
      </c>
      <c r="F464" s="120">
        <v>1</v>
      </c>
      <c r="G464" s="188">
        <v>95000</v>
      </c>
    </row>
    <row r="465" spans="1:7" x14ac:dyDescent="0.25">
      <c r="A465" s="147">
        <v>460</v>
      </c>
      <c r="B465" s="167">
        <v>45386</v>
      </c>
      <c r="C465" s="117">
        <v>2024</v>
      </c>
      <c r="D465" s="119" t="s">
        <v>35</v>
      </c>
      <c r="E465" s="119" t="s">
        <v>971</v>
      </c>
      <c r="F465" s="120">
        <v>1</v>
      </c>
      <c r="G465" s="188">
        <v>600000</v>
      </c>
    </row>
    <row r="466" spans="1:7" x14ac:dyDescent="0.25">
      <c r="A466" s="147">
        <v>461</v>
      </c>
      <c r="B466" s="167">
        <v>45386</v>
      </c>
      <c r="C466" s="117">
        <v>2024</v>
      </c>
      <c r="D466" s="119" t="s">
        <v>35</v>
      </c>
      <c r="E466" s="119" t="s">
        <v>972</v>
      </c>
      <c r="F466" s="120">
        <v>1</v>
      </c>
      <c r="G466" s="188">
        <v>50000</v>
      </c>
    </row>
    <row r="467" spans="1:7" x14ac:dyDescent="0.25">
      <c r="A467" s="147">
        <v>462</v>
      </c>
      <c r="B467" s="167">
        <v>45386</v>
      </c>
      <c r="C467" s="117">
        <v>2024</v>
      </c>
      <c r="D467" s="119" t="s">
        <v>35</v>
      </c>
      <c r="E467" s="119" t="s">
        <v>437</v>
      </c>
      <c r="F467" s="120">
        <v>1</v>
      </c>
      <c r="G467" s="188">
        <v>13000</v>
      </c>
    </row>
    <row r="468" spans="1:7" x14ac:dyDescent="0.25">
      <c r="A468" s="147">
        <v>463</v>
      </c>
      <c r="B468" s="167">
        <v>45386</v>
      </c>
      <c r="C468" s="117">
        <v>2024</v>
      </c>
      <c r="D468" s="119" t="s">
        <v>35</v>
      </c>
      <c r="E468" s="119" t="s">
        <v>973</v>
      </c>
      <c r="F468" s="120">
        <v>1</v>
      </c>
      <c r="G468" s="188">
        <v>100000</v>
      </c>
    </row>
    <row r="469" spans="1:7" x14ac:dyDescent="0.25">
      <c r="A469" s="147">
        <v>464</v>
      </c>
      <c r="B469" s="167">
        <v>45386</v>
      </c>
      <c r="C469" s="117">
        <v>2024</v>
      </c>
      <c r="D469" s="119" t="s">
        <v>35</v>
      </c>
      <c r="E469" s="119" t="s">
        <v>873</v>
      </c>
      <c r="F469" s="120">
        <v>1</v>
      </c>
      <c r="G469" s="188">
        <v>38500</v>
      </c>
    </row>
    <row r="470" spans="1:7" x14ac:dyDescent="0.25">
      <c r="A470" s="147">
        <v>465</v>
      </c>
      <c r="B470" s="167">
        <v>45386</v>
      </c>
      <c r="C470" s="117">
        <v>2024</v>
      </c>
      <c r="D470" s="119" t="s">
        <v>35</v>
      </c>
      <c r="E470" s="119" t="s">
        <v>974</v>
      </c>
      <c r="F470" s="120">
        <v>1</v>
      </c>
      <c r="G470" s="188">
        <v>600000</v>
      </c>
    </row>
    <row r="471" spans="1:7" x14ac:dyDescent="0.25">
      <c r="A471" s="147">
        <v>466</v>
      </c>
      <c r="B471" s="167">
        <v>45386</v>
      </c>
      <c r="C471" s="117">
        <v>2024</v>
      </c>
      <c r="D471" s="119" t="s">
        <v>35</v>
      </c>
      <c r="E471" s="119" t="s">
        <v>823</v>
      </c>
      <c r="F471" s="120">
        <v>1</v>
      </c>
      <c r="G471" s="188">
        <v>140000</v>
      </c>
    </row>
    <row r="472" spans="1:7" x14ac:dyDescent="0.25">
      <c r="A472" s="147">
        <v>467</v>
      </c>
      <c r="B472" s="167">
        <v>45386</v>
      </c>
      <c r="C472" s="117">
        <v>2024</v>
      </c>
      <c r="D472" s="119" t="s">
        <v>35</v>
      </c>
      <c r="E472" s="119" t="s">
        <v>122</v>
      </c>
      <c r="F472" s="120">
        <v>1</v>
      </c>
      <c r="G472" s="188">
        <v>38500</v>
      </c>
    </row>
    <row r="473" spans="1:7" x14ac:dyDescent="0.25">
      <c r="A473" s="147">
        <v>468</v>
      </c>
      <c r="B473" s="167">
        <v>45386</v>
      </c>
      <c r="C473" s="117">
        <v>2024</v>
      </c>
      <c r="D473" s="119" t="s">
        <v>35</v>
      </c>
      <c r="E473" s="119" t="s">
        <v>975</v>
      </c>
      <c r="F473" s="120">
        <v>1</v>
      </c>
      <c r="G473" s="188">
        <v>55000</v>
      </c>
    </row>
    <row r="474" spans="1:7" x14ac:dyDescent="0.25">
      <c r="A474" s="147">
        <v>469</v>
      </c>
      <c r="B474" s="167">
        <v>45386</v>
      </c>
      <c r="C474" s="117">
        <v>2024</v>
      </c>
      <c r="D474" s="119" t="s">
        <v>35</v>
      </c>
      <c r="E474" s="119" t="s">
        <v>873</v>
      </c>
      <c r="F474" s="120">
        <v>1</v>
      </c>
      <c r="G474" s="188">
        <v>170000</v>
      </c>
    </row>
    <row r="475" spans="1:7" x14ac:dyDescent="0.25">
      <c r="A475" s="147">
        <v>470</v>
      </c>
      <c r="B475" s="167">
        <v>45386</v>
      </c>
      <c r="C475" s="117">
        <v>2024</v>
      </c>
      <c r="D475" s="119" t="s">
        <v>35</v>
      </c>
      <c r="E475" s="119" t="s">
        <v>976</v>
      </c>
      <c r="F475" s="120">
        <v>1</v>
      </c>
      <c r="G475" s="188">
        <v>137500</v>
      </c>
    </row>
    <row r="476" spans="1:7" x14ac:dyDescent="0.25">
      <c r="A476" s="147">
        <v>471</v>
      </c>
      <c r="B476" s="167">
        <v>45386</v>
      </c>
      <c r="C476" s="117">
        <v>2024</v>
      </c>
      <c r="D476" s="119" t="s">
        <v>35</v>
      </c>
      <c r="E476" s="119" t="s">
        <v>863</v>
      </c>
      <c r="F476" s="120">
        <v>1</v>
      </c>
      <c r="G476" s="188">
        <v>21000</v>
      </c>
    </row>
    <row r="477" spans="1:7" x14ac:dyDescent="0.25">
      <c r="A477" s="147">
        <v>472</v>
      </c>
      <c r="B477" s="167">
        <v>45386</v>
      </c>
      <c r="C477" s="117">
        <v>2024</v>
      </c>
      <c r="D477" s="119" t="s">
        <v>35</v>
      </c>
      <c r="E477" s="119" t="s">
        <v>977</v>
      </c>
      <c r="F477" s="120">
        <v>1</v>
      </c>
      <c r="G477" s="188">
        <v>3500</v>
      </c>
    </row>
    <row r="478" spans="1:7" x14ac:dyDescent="0.25">
      <c r="A478" s="147">
        <v>473</v>
      </c>
      <c r="B478" s="167">
        <v>45386</v>
      </c>
      <c r="C478" s="117">
        <v>2024</v>
      </c>
      <c r="D478" s="119" t="s">
        <v>35</v>
      </c>
      <c r="E478" s="119" t="s">
        <v>978</v>
      </c>
      <c r="F478" s="120">
        <v>1</v>
      </c>
      <c r="G478" s="188">
        <v>10000</v>
      </c>
    </row>
    <row r="479" spans="1:7" x14ac:dyDescent="0.25">
      <c r="A479" s="147">
        <v>474</v>
      </c>
      <c r="B479" s="167">
        <v>45386</v>
      </c>
      <c r="C479" s="117">
        <v>2024</v>
      </c>
      <c r="D479" s="119" t="s">
        <v>35</v>
      </c>
      <c r="E479" s="119" t="s">
        <v>979</v>
      </c>
      <c r="F479" s="120">
        <v>1</v>
      </c>
      <c r="G479" s="188">
        <v>150000</v>
      </c>
    </row>
    <row r="480" spans="1:7" x14ac:dyDescent="0.25">
      <c r="A480" s="147">
        <v>475</v>
      </c>
      <c r="B480" s="167">
        <v>45386</v>
      </c>
      <c r="C480" s="117">
        <v>2024</v>
      </c>
      <c r="D480" s="119" t="s">
        <v>35</v>
      </c>
      <c r="E480" s="119" t="s">
        <v>980</v>
      </c>
      <c r="F480" s="120">
        <v>1</v>
      </c>
      <c r="G480" s="188">
        <v>200000</v>
      </c>
    </row>
    <row r="481" spans="1:7" x14ac:dyDescent="0.25">
      <c r="A481" s="147">
        <v>476</v>
      </c>
      <c r="B481" s="167">
        <v>45386</v>
      </c>
      <c r="C481" s="117">
        <v>2024</v>
      </c>
      <c r="D481" s="119" t="s">
        <v>35</v>
      </c>
      <c r="E481" s="119" t="s">
        <v>981</v>
      </c>
      <c r="F481" s="120">
        <v>1</v>
      </c>
      <c r="G481" s="188">
        <v>450000</v>
      </c>
    </row>
    <row r="482" spans="1:7" x14ac:dyDescent="0.25">
      <c r="A482" s="147">
        <v>477</v>
      </c>
      <c r="B482" s="167">
        <v>45386</v>
      </c>
      <c r="C482" s="117">
        <v>2024</v>
      </c>
      <c r="D482" s="119" t="s">
        <v>35</v>
      </c>
      <c r="E482" s="119" t="s">
        <v>982</v>
      </c>
      <c r="F482" s="120">
        <v>1</v>
      </c>
      <c r="G482" s="188">
        <v>25000</v>
      </c>
    </row>
    <row r="483" spans="1:7" x14ac:dyDescent="0.25">
      <c r="A483" s="147">
        <v>478</v>
      </c>
      <c r="B483" s="167">
        <v>45386</v>
      </c>
      <c r="C483" s="117">
        <v>2024</v>
      </c>
      <c r="D483" s="119" t="s">
        <v>35</v>
      </c>
      <c r="E483" s="119" t="s">
        <v>252</v>
      </c>
      <c r="F483" s="120">
        <v>1</v>
      </c>
      <c r="G483" s="188">
        <v>1670000</v>
      </c>
    </row>
    <row r="484" spans="1:7" x14ac:dyDescent="0.25">
      <c r="A484" s="147">
        <v>479</v>
      </c>
      <c r="B484" s="167">
        <v>45386</v>
      </c>
      <c r="C484" s="117">
        <v>2024</v>
      </c>
      <c r="D484" s="119" t="s">
        <v>35</v>
      </c>
      <c r="E484" s="119" t="s">
        <v>972</v>
      </c>
      <c r="F484" s="120">
        <v>1</v>
      </c>
      <c r="G484" s="188">
        <v>50000</v>
      </c>
    </row>
    <row r="485" spans="1:7" x14ac:dyDescent="0.25">
      <c r="A485" s="147">
        <v>480</v>
      </c>
      <c r="B485" s="167">
        <v>45386</v>
      </c>
      <c r="C485" s="117">
        <v>2024</v>
      </c>
      <c r="D485" s="119" t="s">
        <v>35</v>
      </c>
      <c r="E485" s="119" t="s">
        <v>983</v>
      </c>
      <c r="F485" s="120">
        <v>1</v>
      </c>
      <c r="G485" s="188">
        <v>25000</v>
      </c>
    </row>
    <row r="486" spans="1:7" x14ac:dyDescent="0.25">
      <c r="A486" s="147">
        <v>481</v>
      </c>
      <c r="B486" s="167">
        <v>45386</v>
      </c>
      <c r="C486" s="117">
        <v>2024</v>
      </c>
      <c r="D486" s="119" t="s">
        <v>35</v>
      </c>
      <c r="E486" s="119" t="s">
        <v>984</v>
      </c>
      <c r="F486" s="120">
        <v>1</v>
      </c>
      <c r="G486" s="188">
        <v>455000</v>
      </c>
    </row>
    <row r="487" spans="1:7" x14ac:dyDescent="0.25">
      <c r="A487" s="147">
        <v>482</v>
      </c>
      <c r="B487" s="167">
        <v>45386</v>
      </c>
      <c r="C487" s="117">
        <v>2024</v>
      </c>
      <c r="D487" s="119" t="s">
        <v>35</v>
      </c>
      <c r="E487" s="119" t="s">
        <v>985</v>
      </c>
      <c r="F487" s="120">
        <v>1</v>
      </c>
      <c r="G487" s="188">
        <v>455000</v>
      </c>
    </row>
    <row r="488" spans="1:7" x14ac:dyDescent="0.25">
      <c r="A488" s="147">
        <v>483</v>
      </c>
      <c r="B488" s="167">
        <v>45386</v>
      </c>
      <c r="C488" s="117">
        <v>2024</v>
      </c>
      <c r="D488" s="119" t="s">
        <v>35</v>
      </c>
      <c r="E488" s="119" t="s">
        <v>986</v>
      </c>
      <c r="F488" s="120">
        <v>1</v>
      </c>
      <c r="G488" s="188">
        <v>140000</v>
      </c>
    </row>
    <row r="489" spans="1:7" x14ac:dyDescent="0.25">
      <c r="A489" s="147">
        <v>484</v>
      </c>
      <c r="B489" s="167">
        <v>45386</v>
      </c>
      <c r="C489" s="117">
        <v>2024</v>
      </c>
      <c r="D489" s="119" t="s">
        <v>35</v>
      </c>
      <c r="E489" s="119" t="s">
        <v>971</v>
      </c>
      <c r="F489" s="120">
        <v>1</v>
      </c>
      <c r="G489" s="188">
        <v>600000</v>
      </c>
    </row>
    <row r="490" spans="1:7" x14ac:dyDescent="0.25">
      <c r="A490" s="147">
        <v>485</v>
      </c>
      <c r="B490" s="167">
        <v>45386</v>
      </c>
      <c r="C490" s="117">
        <v>2024</v>
      </c>
      <c r="D490" s="119" t="s">
        <v>35</v>
      </c>
      <c r="E490" s="119" t="s">
        <v>987</v>
      </c>
      <c r="F490" s="120">
        <v>1</v>
      </c>
      <c r="G490" s="188">
        <v>140000</v>
      </c>
    </row>
    <row r="491" spans="1:7" x14ac:dyDescent="0.25">
      <c r="A491" s="147">
        <v>486</v>
      </c>
      <c r="B491" s="167">
        <v>45386</v>
      </c>
      <c r="C491" s="117">
        <v>2024</v>
      </c>
      <c r="D491" s="119" t="s">
        <v>35</v>
      </c>
      <c r="E491" s="119" t="s">
        <v>987</v>
      </c>
      <c r="F491" s="120">
        <v>1</v>
      </c>
      <c r="G491" s="188">
        <v>140000</v>
      </c>
    </row>
    <row r="492" spans="1:7" x14ac:dyDescent="0.25">
      <c r="A492" s="147">
        <v>487</v>
      </c>
      <c r="B492" s="167">
        <v>45386</v>
      </c>
      <c r="C492" s="117">
        <v>2024</v>
      </c>
      <c r="D492" s="119" t="s">
        <v>35</v>
      </c>
      <c r="E492" s="119" t="s">
        <v>972</v>
      </c>
      <c r="F492" s="120">
        <v>1</v>
      </c>
      <c r="G492" s="188">
        <v>50000</v>
      </c>
    </row>
    <row r="493" spans="1:7" x14ac:dyDescent="0.25">
      <c r="A493" s="147">
        <v>488</v>
      </c>
      <c r="B493" s="167">
        <v>45386</v>
      </c>
      <c r="C493" s="117">
        <v>2024</v>
      </c>
      <c r="D493" s="119" t="s">
        <v>35</v>
      </c>
      <c r="E493" s="119" t="s">
        <v>988</v>
      </c>
      <c r="F493" s="120">
        <v>1</v>
      </c>
      <c r="G493" s="188">
        <v>2200000</v>
      </c>
    </row>
    <row r="494" spans="1:7" x14ac:dyDescent="0.25">
      <c r="A494" s="147">
        <v>489</v>
      </c>
      <c r="B494" s="167">
        <v>45386</v>
      </c>
      <c r="C494" s="117">
        <v>2024</v>
      </c>
      <c r="D494" s="119" t="s">
        <v>35</v>
      </c>
      <c r="E494" s="119" t="s">
        <v>988</v>
      </c>
      <c r="F494" s="120">
        <v>1</v>
      </c>
      <c r="G494" s="188">
        <v>2200000</v>
      </c>
    </row>
    <row r="495" spans="1:7" x14ac:dyDescent="0.25">
      <c r="A495" s="147">
        <v>490</v>
      </c>
      <c r="B495" s="167">
        <v>45386</v>
      </c>
      <c r="C495" s="117">
        <v>2024</v>
      </c>
      <c r="D495" s="119" t="s">
        <v>35</v>
      </c>
      <c r="E495" s="119" t="s">
        <v>988</v>
      </c>
      <c r="F495" s="120">
        <v>1</v>
      </c>
      <c r="G495" s="188">
        <v>2200000</v>
      </c>
    </row>
    <row r="496" spans="1:7" x14ac:dyDescent="0.25">
      <c r="A496" s="147">
        <v>491</v>
      </c>
      <c r="B496" s="167">
        <v>45386</v>
      </c>
      <c r="C496" s="117">
        <v>2024</v>
      </c>
      <c r="D496" s="119" t="s">
        <v>35</v>
      </c>
      <c r="E496" s="119" t="s">
        <v>988</v>
      </c>
      <c r="F496" s="120">
        <v>1</v>
      </c>
      <c r="G496" s="188">
        <v>2200000</v>
      </c>
    </row>
    <row r="497" spans="1:7" x14ac:dyDescent="0.25">
      <c r="A497" s="147">
        <v>492</v>
      </c>
      <c r="B497" s="167">
        <v>45388</v>
      </c>
      <c r="C497" s="117">
        <v>2024</v>
      </c>
      <c r="D497" s="119" t="s">
        <v>35</v>
      </c>
      <c r="E497" s="119" t="s">
        <v>991</v>
      </c>
      <c r="F497" s="120">
        <v>1</v>
      </c>
      <c r="G497" s="188">
        <v>150000</v>
      </c>
    </row>
    <row r="498" spans="1:7" x14ac:dyDescent="0.25">
      <c r="A498" s="147">
        <v>493</v>
      </c>
      <c r="B498" s="167">
        <v>45388</v>
      </c>
      <c r="C498" s="117">
        <v>2024</v>
      </c>
      <c r="D498" s="119" t="s">
        <v>35</v>
      </c>
      <c r="E498" s="119" t="s">
        <v>907</v>
      </c>
      <c r="F498" s="120">
        <v>1</v>
      </c>
      <c r="G498" s="188">
        <v>250000</v>
      </c>
    </row>
    <row r="499" spans="1:7" x14ac:dyDescent="0.25">
      <c r="A499" s="147">
        <v>494</v>
      </c>
      <c r="B499" s="167">
        <v>45388</v>
      </c>
      <c r="C499" s="117">
        <v>2024</v>
      </c>
      <c r="D499" s="119" t="s">
        <v>35</v>
      </c>
      <c r="E499" s="119" t="s">
        <v>992</v>
      </c>
      <c r="F499" s="120">
        <v>1</v>
      </c>
      <c r="G499" s="188">
        <v>395000</v>
      </c>
    </row>
    <row r="500" spans="1:7" x14ac:dyDescent="0.25">
      <c r="A500" s="147">
        <v>495</v>
      </c>
      <c r="B500" s="167">
        <v>45388</v>
      </c>
      <c r="C500" s="117">
        <v>2024</v>
      </c>
      <c r="D500" s="119" t="s">
        <v>35</v>
      </c>
      <c r="E500" s="119" t="s">
        <v>993</v>
      </c>
      <c r="F500" s="120">
        <v>1</v>
      </c>
      <c r="G500" s="188">
        <v>20000</v>
      </c>
    </row>
    <row r="501" spans="1:7" x14ac:dyDescent="0.25">
      <c r="A501" s="147">
        <v>496</v>
      </c>
      <c r="B501" s="167">
        <v>45388</v>
      </c>
      <c r="C501" s="117">
        <v>2024</v>
      </c>
      <c r="D501" s="119" t="s">
        <v>35</v>
      </c>
      <c r="E501" s="119" t="s">
        <v>994</v>
      </c>
      <c r="F501" s="120">
        <v>1</v>
      </c>
      <c r="G501" s="188">
        <v>40000</v>
      </c>
    </row>
    <row r="502" spans="1:7" x14ac:dyDescent="0.25">
      <c r="A502" s="147">
        <v>497</v>
      </c>
      <c r="B502" s="167">
        <v>45388</v>
      </c>
      <c r="C502" s="117">
        <v>2024</v>
      </c>
      <c r="D502" s="119" t="s">
        <v>35</v>
      </c>
      <c r="E502" s="119" t="s">
        <v>995</v>
      </c>
      <c r="F502" s="120">
        <v>1</v>
      </c>
      <c r="G502" s="188">
        <v>115000</v>
      </c>
    </row>
    <row r="503" spans="1:7" x14ac:dyDescent="0.25">
      <c r="A503" s="147">
        <v>498</v>
      </c>
      <c r="B503" s="167">
        <v>45388</v>
      </c>
      <c r="C503" s="117">
        <v>2024</v>
      </c>
      <c r="D503" s="119" t="s">
        <v>35</v>
      </c>
      <c r="E503" s="119" t="s">
        <v>996</v>
      </c>
      <c r="F503" s="120">
        <v>1</v>
      </c>
      <c r="G503" s="188">
        <v>350000</v>
      </c>
    </row>
    <row r="504" spans="1:7" x14ac:dyDescent="0.25">
      <c r="A504" s="147">
        <v>499</v>
      </c>
      <c r="B504" s="167">
        <v>45388</v>
      </c>
      <c r="C504" s="117">
        <v>2024</v>
      </c>
      <c r="D504" s="119" t="s">
        <v>35</v>
      </c>
      <c r="E504" s="119" t="s">
        <v>876</v>
      </c>
      <c r="F504" s="120">
        <v>1</v>
      </c>
      <c r="G504" s="188">
        <v>40000</v>
      </c>
    </row>
    <row r="505" spans="1:7" x14ac:dyDescent="0.25">
      <c r="A505" s="147">
        <v>500</v>
      </c>
      <c r="B505" s="167">
        <v>45388</v>
      </c>
      <c r="C505" s="117">
        <v>2024</v>
      </c>
      <c r="D505" s="119" t="s">
        <v>35</v>
      </c>
      <c r="E505" s="119" t="s">
        <v>794</v>
      </c>
      <c r="F505" s="120">
        <v>1</v>
      </c>
      <c r="G505" s="188">
        <v>166500</v>
      </c>
    </row>
    <row r="506" spans="1:7" x14ac:dyDescent="0.25">
      <c r="A506" s="147">
        <v>501</v>
      </c>
      <c r="B506" s="167">
        <v>45388</v>
      </c>
      <c r="C506" s="117">
        <v>2024</v>
      </c>
      <c r="D506" s="119" t="s">
        <v>35</v>
      </c>
      <c r="E506" s="119" t="s">
        <v>997</v>
      </c>
      <c r="F506" s="120">
        <v>1</v>
      </c>
      <c r="G506" s="188">
        <v>475000</v>
      </c>
    </row>
    <row r="507" spans="1:7" x14ac:dyDescent="0.25">
      <c r="A507" s="147">
        <v>502</v>
      </c>
      <c r="B507" s="167">
        <v>45388</v>
      </c>
      <c r="C507" s="117">
        <v>2024</v>
      </c>
      <c r="D507" s="119" t="s">
        <v>35</v>
      </c>
      <c r="E507" s="119" t="s">
        <v>998</v>
      </c>
      <c r="F507" s="120">
        <v>1</v>
      </c>
      <c r="G507" s="188">
        <v>265000</v>
      </c>
    </row>
    <row r="508" spans="1:7" x14ac:dyDescent="0.25">
      <c r="A508" s="147">
        <v>503</v>
      </c>
      <c r="B508" s="167">
        <v>45388</v>
      </c>
      <c r="C508" s="117">
        <v>2024</v>
      </c>
      <c r="D508" s="119" t="s">
        <v>35</v>
      </c>
      <c r="E508" s="119" t="s">
        <v>999</v>
      </c>
      <c r="F508" s="120">
        <v>1</v>
      </c>
      <c r="G508" s="188">
        <v>10000</v>
      </c>
    </row>
    <row r="509" spans="1:7" x14ac:dyDescent="0.25">
      <c r="A509" s="147">
        <v>504</v>
      </c>
      <c r="B509" s="167">
        <v>45388</v>
      </c>
      <c r="C509" s="117">
        <v>2024</v>
      </c>
      <c r="D509" s="119" t="s">
        <v>35</v>
      </c>
      <c r="E509" s="119" t="s">
        <v>1000</v>
      </c>
      <c r="F509" s="120">
        <v>1</v>
      </c>
      <c r="G509" s="188">
        <v>90000</v>
      </c>
    </row>
    <row r="510" spans="1:7" x14ac:dyDescent="0.25">
      <c r="A510" s="147">
        <v>505</v>
      </c>
      <c r="B510" s="167">
        <v>45388</v>
      </c>
      <c r="C510" s="117">
        <v>2024</v>
      </c>
      <c r="D510" s="119" t="s">
        <v>35</v>
      </c>
      <c r="E510" s="119" t="s">
        <v>794</v>
      </c>
      <c r="F510" s="120">
        <v>1</v>
      </c>
      <c r="G510" s="188">
        <v>166500</v>
      </c>
    </row>
    <row r="511" spans="1:7" x14ac:dyDescent="0.25">
      <c r="A511" s="147">
        <v>506</v>
      </c>
      <c r="B511" s="167">
        <v>45388</v>
      </c>
      <c r="C511" s="117">
        <v>2024</v>
      </c>
      <c r="D511" s="119" t="s">
        <v>35</v>
      </c>
      <c r="E511" s="119" t="s">
        <v>1001</v>
      </c>
      <c r="F511" s="120">
        <v>1</v>
      </c>
      <c r="G511" s="188">
        <v>90000</v>
      </c>
    </row>
    <row r="512" spans="1:7" x14ac:dyDescent="0.25">
      <c r="A512" s="147">
        <v>507</v>
      </c>
      <c r="B512" s="167">
        <v>45388</v>
      </c>
      <c r="C512" s="117">
        <v>2024</v>
      </c>
      <c r="D512" s="119" t="s">
        <v>35</v>
      </c>
      <c r="E512" s="119" t="s">
        <v>1002</v>
      </c>
      <c r="F512" s="120">
        <v>1</v>
      </c>
      <c r="G512" s="188">
        <v>275000</v>
      </c>
    </row>
    <row r="513" spans="1:7" x14ac:dyDescent="0.25">
      <c r="A513" s="147">
        <v>508</v>
      </c>
      <c r="B513" s="167">
        <v>45388</v>
      </c>
      <c r="C513" s="117">
        <v>2024</v>
      </c>
      <c r="D513" s="119" t="s">
        <v>35</v>
      </c>
      <c r="E513" s="119" t="s">
        <v>794</v>
      </c>
      <c r="F513" s="120">
        <v>1</v>
      </c>
      <c r="G513" s="188">
        <v>166500</v>
      </c>
    </row>
    <row r="514" spans="1:7" x14ac:dyDescent="0.25">
      <c r="A514" s="147">
        <v>509</v>
      </c>
      <c r="B514" s="167">
        <v>45388</v>
      </c>
      <c r="C514" s="117">
        <v>2024</v>
      </c>
      <c r="D514" s="119" t="s">
        <v>35</v>
      </c>
      <c r="E514" s="119" t="s">
        <v>1003</v>
      </c>
      <c r="F514" s="120">
        <v>1</v>
      </c>
      <c r="G514" s="188">
        <v>100000</v>
      </c>
    </row>
    <row r="515" spans="1:7" x14ac:dyDescent="0.25">
      <c r="A515" s="147">
        <v>510</v>
      </c>
      <c r="B515" s="167">
        <v>45388</v>
      </c>
      <c r="C515" s="117">
        <v>2024</v>
      </c>
      <c r="D515" s="119" t="s">
        <v>35</v>
      </c>
      <c r="E515" s="119" t="s">
        <v>1004</v>
      </c>
      <c r="F515" s="120">
        <v>1</v>
      </c>
      <c r="G515" s="188">
        <v>225000</v>
      </c>
    </row>
    <row r="516" spans="1:7" x14ac:dyDescent="0.25">
      <c r="A516" s="147">
        <v>511</v>
      </c>
      <c r="B516" s="167">
        <v>45388</v>
      </c>
      <c r="C516" s="117">
        <v>2024</v>
      </c>
      <c r="D516" s="119" t="s">
        <v>35</v>
      </c>
      <c r="E516" s="119" t="s">
        <v>1005</v>
      </c>
      <c r="F516" s="120">
        <v>1</v>
      </c>
      <c r="G516" s="188">
        <v>275000</v>
      </c>
    </row>
    <row r="517" spans="1:7" x14ac:dyDescent="0.25">
      <c r="A517" s="147">
        <v>512</v>
      </c>
      <c r="B517" s="167">
        <v>45388</v>
      </c>
      <c r="C517" s="117">
        <v>2024</v>
      </c>
      <c r="D517" s="119" t="s">
        <v>35</v>
      </c>
      <c r="E517" s="119" t="s">
        <v>1006</v>
      </c>
      <c r="F517" s="120">
        <v>1</v>
      </c>
      <c r="G517" s="188">
        <v>100000</v>
      </c>
    </row>
    <row r="518" spans="1:7" x14ac:dyDescent="0.25">
      <c r="A518" s="147">
        <v>513</v>
      </c>
      <c r="B518" s="167">
        <v>45388</v>
      </c>
      <c r="C518" s="117">
        <v>2024</v>
      </c>
      <c r="D518" s="119" t="s">
        <v>35</v>
      </c>
      <c r="E518" s="119" t="s">
        <v>1007</v>
      </c>
      <c r="F518" s="120">
        <v>1</v>
      </c>
      <c r="G518" s="188">
        <v>275000</v>
      </c>
    </row>
    <row r="519" spans="1:7" x14ac:dyDescent="0.25">
      <c r="A519" s="147">
        <v>514</v>
      </c>
      <c r="B519" s="167">
        <v>45388</v>
      </c>
      <c r="C519" s="117">
        <v>2024</v>
      </c>
      <c r="D519" s="119" t="s">
        <v>35</v>
      </c>
      <c r="E519" s="119" t="s">
        <v>1008</v>
      </c>
      <c r="F519" s="120">
        <v>1</v>
      </c>
      <c r="G519" s="188">
        <v>300000</v>
      </c>
    </row>
    <row r="520" spans="1:7" x14ac:dyDescent="0.25">
      <c r="A520" s="147">
        <v>515</v>
      </c>
      <c r="B520" s="167">
        <v>45388</v>
      </c>
      <c r="C520" s="117">
        <v>2024</v>
      </c>
      <c r="D520" s="119" t="s">
        <v>35</v>
      </c>
      <c r="E520" s="119" t="s">
        <v>1009</v>
      </c>
      <c r="F520" s="120">
        <v>1</v>
      </c>
      <c r="G520" s="188">
        <v>40000</v>
      </c>
    </row>
    <row r="521" spans="1:7" x14ac:dyDescent="0.25">
      <c r="A521" s="147">
        <v>516</v>
      </c>
      <c r="B521" s="167">
        <v>45388</v>
      </c>
      <c r="C521" s="117">
        <v>2024</v>
      </c>
      <c r="D521" s="119" t="s">
        <v>35</v>
      </c>
      <c r="E521" s="119" t="s">
        <v>1010</v>
      </c>
      <c r="F521" s="120">
        <v>1</v>
      </c>
      <c r="G521" s="188">
        <v>250000</v>
      </c>
    </row>
    <row r="522" spans="1:7" x14ac:dyDescent="0.25">
      <c r="A522" s="147">
        <v>517</v>
      </c>
      <c r="B522" s="167">
        <v>45388</v>
      </c>
      <c r="C522" s="117">
        <v>2024</v>
      </c>
      <c r="D522" s="119" t="s">
        <v>35</v>
      </c>
      <c r="E522" s="119" t="s">
        <v>1001</v>
      </c>
      <c r="F522" s="120">
        <v>1</v>
      </c>
      <c r="G522" s="188">
        <v>90000</v>
      </c>
    </row>
    <row r="523" spans="1:7" x14ac:dyDescent="0.25">
      <c r="A523" s="147">
        <v>518</v>
      </c>
      <c r="B523" s="167">
        <v>45388</v>
      </c>
      <c r="C523" s="117">
        <v>2024</v>
      </c>
      <c r="D523" s="119" t="s">
        <v>35</v>
      </c>
      <c r="E523" s="119" t="s">
        <v>794</v>
      </c>
      <c r="F523" s="120">
        <v>1</v>
      </c>
      <c r="G523" s="188">
        <v>166500</v>
      </c>
    </row>
    <row r="524" spans="1:7" x14ac:dyDescent="0.25">
      <c r="A524" s="147">
        <v>519</v>
      </c>
      <c r="B524" s="167">
        <v>45388</v>
      </c>
      <c r="C524" s="117">
        <v>2024</v>
      </c>
      <c r="D524" s="119" t="s">
        <v>35</v>
      </c>
      <c r="E524" s="119" t="s">
        <v>1010</v>
      </c>
      <c r="F524" s="120">
        <v>1</v>
      </c>
      <c r="G524" s="188">
        <v>250000</v>
      </c>
    </row>
    <row r="525" spans="1:7" x14ac:dyDescent="0.25">
      <c r="A525" s="147">
        <v>520</v>
      </c>
      <c r="B525" s="167">
        <v>45388</v>
      </c>
      <c r="C525" s="117">
        <v>2024</v>
      </c>
      <c r="D525" s="119" t="s">
        <v>35</v>
      </c>
      <c r="E525" s="119" t="s">
        <v>1011</v>
      </c>
      <c r="F525" s="120">
        <v>1</v>
      </c>
      <c r="G525" s="188">
        <v>300000</v>
      </c>
    </row>
    <row r="526" spans="1:7" x14ac:dyDescent="0.25">
      <c r="A526" s="147">
        <v>521</v>
      </c>
      <c r="B526" s="167">
        <v>45388</v>
      </c>
      <c r="C526" s="117">
        <v>2024</v>
      </c>
      <c r="D526" s="119" t="s">
        <v>35</v>
      </c>
      <c r="E526" s="119" t="s">
        <v>907</v>
      </c>
      <c r="F526" s="120">
        <v>1</v>
      </c>
      <c r="G526" s="188">
        <v>475000</v>
      </c>
    </row>
    <row r="527" spans="1:7" x14ac:dyDescent="0.25">
      <c r="A527" s="147">
        <v>522</v>
      </c>
      <c r="B527" s="167">
        <v>45388</v>
      </c>
      <c r="C527" s="117">
        <v>2024</v>
      </c>
      <c r="D527" s="119" t="s">
        <v>35</v>
      </c>
      <c r="E527" s="119" t="s">
        <v>993</v>
      </c>
      <c r="F527" s="120">
        <v>1</v>
      </c>
      <c r="G527" s="188">
        <v>40000</v>
      </c>
    </row>
    <row r="528" spans="1:7" x14ac:dyDescent="0.25">
      <c r="A528" s="147">
        <v>523</v>
      </c>
      <c r="B528" s="167">
        <v>45388</v>
      </c>
      <c r="C528" s="117">
        <v>2024</v>
      </c>
      <c r="D528" s="119" t="s">
        <v>35</v>
      </c>
      <c r="E528" s="119" t="s">
        <v>1010</v>
      </c>
      <c r="F528" s="120">
        <v>1</v>
      </c>
      <c r="G528" s="188">
        <v>250000</v>
      </c>
    </row>
    <row r="529" spans="1:7" x14ac:dyDescent="0.25">
      <c r="A529" s="147">
        <v>524</v>
      </c>
      <c r="B529" s="167">
        <v>45388</v>
      </c>
      <c r="C529" s="117">
        <v>2024</v>
      </c>
      <c r="D529" s="119" t="s">
        <v>35</v>
      </c>
      <c r="E529" s="119" t="s">
        <v>1012</v>
      </c>
      <c r="F529" s="120">
        <v>1</v>
      </c>
      <c r="G529" s="188">
        <v>875000</v>
      </c>
    </row>
    <row r="530" spans="1:7" x14ac:dyDescent="0.25">
      <c r="A530" s="147">
        <v>525</v>
      </c>
      <c r="B530" s="167">
        <v>45388</v>
      </c>
      <c r="C530" s="117">
        <v>2024</v>
      </c>
      <c r="D530" s="119" t="s">
        <v>35</v>
      </c>
      <c r="E530" s="119" t="s">
        <v>1013</v>
      </c>
      <c r="F530" s="120">
        <v>1</v>
      </c>
      <c r="G530" s="188">
        <v>645000</v>
      </c>
    </row>
    <row r="531" spans="1:7" x14ac:dyDescent="0.25">
      <c r="A531" s="147">
        <v>526</v>
      </c>
      <c r="B531" s="167">
        <v>45388</v>
      </c>
      <c r="C531" s="117">
        <v>2024</v>
      </c>
      <c r="D531" s="119" t="s">
        <v>35</v>
      </c>
      <c r="E531" s="119" t="s">
        <v>1014</v>
      </c>
      <c r="F531" s="120">
        <v>1</v>
      </c>
      <c r="G531" s="188">
        <v>200000</v>
      </c>
    </row>
    <row r="532" spans="1:7" x14ac:dyDescent="0.25">
      <c r="A532" s="147">
        <v>527</v>
      </c>
      <c r="B532" s="167">
        <v>45388</v>
      </c>
      <c r="C532" s="117">
        <v>2024</v>
      </c>
      <c r="D532" s="119" t="s">
        <v>35</v>
      </c>
      <c r="E532" s="119" t="s">
        <v>1012</v>
      </c>
      <c r="F532" s="120">
        <v>1</v>
      </c>
      <c r="G532" s="188">
        <v>390000</v>
      </c>
    </row>
    <row r="533" spans="1:7" x14ac:dyDescent="0.25">
      <c r="A533" s="147">
        <v>528</v>
      </c>
      <c r="B533" s="167">
        <v>45388</v>
      </c>
      <c r="C533" s="117">
        <v>2024</v>
      </c>
      <c r="D533" s="119" t="s">
        <v>35</v>
      </c>
      <c r="E533" s="119" t="s">
        <v>1013</v>
      </c>
      <c r="F533" s="120">
        <v>1</v>
      </c>
      <c r="G533" s="188">
        <v>650000</v>
      </c>
    </row>
    <row r="534" spans="1:7" x14ac:dyDescent="0.25">
      <c r="A534" s="147">
        <v>529</v>
      </c>
      <c r="B534" s="167">
        <v>45388</v>
      </c>
      <c r="C534" s="117">
        <v>2024</v>
      </c>
      <c r="D534" s="119" t="s">
        <v>35</v>
      </c>
      <c r="E534" s="119" t="s">
        <v>1014</v>
      </c>
      <c r="F534" s="120">
        <v>1</v>
      </c>
      <c r="G534" s="188">
        <v>600000</v>
      </c>
    </row>
    <row r="535" spans="1:7" x14ac:dyDescent="0.25">
      <c r="A535" s="147">
        <v>530</v>
      </c>
      <c r="B535" s="167">
        <v>45388</v>
      </c>
      <c r="C535" s="117">
        <v>2024</v>
      </c>
      <c r="D535" s="119" t="s">
        <v>35</v>
      </c>
      <c r="E535" s="119" t="s">
        <v>907</v>
      </c>
      <c r="F535" s="120">
        <v>1</v>
      </c>
      <c r="G535" s="188">
        <v>250000</v>
      </c>
    </row>
    <row r="536" spans="1:7" x14ac:dyDescent="0.25">
      <c r="A536" s="147">
        <v>531</v>
      </c>
      <c r="B536" s="167">
        <v>45388</v>
      </c>
      <c r="C536" s="117">
        <v>2024</v>
      </c>
      <c r="D536" s="119" t="s">
        <v>35</v>
      </c>
      <c r="E536" s="119" t="s">
        <v>993</v>
      </c>
      <c r="F536" s="120">
        <v>1</v>
      </c>
      <c r="G536" s="188">
        <v>40000</v>
      </c>
    </row>
    <row r="537" spans="1:7" x14ac:dyDescent="0.25">
      <c r="A537" s="147">
        <v>532</v>
      </c>
      <c r="B537" s="167">
        <v>45388</v>
      </c>
      <c r="C537" s="117">
        <v>2024</v>
      </c>
      <c r="D537" s="119" t="s">
        <v>35</v>
      </c>
      <c r="E537" s="119" t="s">
        <v>1015</v>
      </c>
      <c r="F537" s="120">
        <v>1</v>
      </c>
      <c r="G537" s="188">
        <v>40000</v>
      </c>
    </row>
    <row r="538" spans="1:7" x14ac:dyDescent="0.25">
      <c r="A538" s="147">
        <v>533</v>
      </c>
      <c r="B538" s="167">
        <v>45388</v>
      </c>
      <c r="C538" s="117">
        <v>2024</v>
      </c>
      <c r="D538" s="119" t="s">
        <v>35</v>
      </c>
      <c r="E538" s="119" t="s">
        <v>115</v>
      </c>
      <c r="F538" s="120">
        <v>1</v>
      </c>
      <c r="G538" s="188">
        <v>45000</v>
      </c>
    </row>
    <row r="539" spans="1:7" x14ac:dyDescent="0.25">
      <c r="A539" s="147">
        <v>534</v>
      </c>
      <c r="B539" s="167">
        <v>45388</v>
      </c>
      <c r="C539" s="117">
        <v>2024</v>
      </c>
      <c r="D539" s="119" t="s">
        <v>35</v>
      </c>
      <c r="E539" s="119" t="s">
        <v>794</v>
      </c>
      <c r="F539" s="120">
        <v>1</v>
      </c>
      <c r="G539" s="188">
        <v>166500</v>
      </c>
    </row>
    <row r="540" spans="1:7" x14ac:dyDescent="0.25">
      <c r="A540" s="147">
        <v>535</v>
      </c>
      <c r="B540" s="167">
        <v>45388</v>
      </c>
      <c r="C540" s="117">
        <v>2024</v>
      </c>
      <c r="D540" s="119" t="s">
        <v>35</v>
      </c>
      <c r="E540" s="119" t="s">
        <v>1016</v>
      </c>
      <c r="F540" s="120">
        <v>1</v>
      </c>
      <c r="G540" s="188">
        <v>85000</v>
      </c>
    </row>
    <row r="541" spans="1:7" x14ac:dyDescent="0.25">
      <c r="A541" s="147">
        <v>536</v>
      </c>
      <c r="B541" s="167">
        <v>45388</v>
      </c>
      <c r="C541" s="117">
        <v>2024</v>
      </c>
      <c r="D541" s="119" t="s">
        <v>35</v>
      </c>
      <c r="E541" s="119" t="s">
        <v>1016</v>
      </c>
      <c r="F541" s="120">
        <v>1</v>
      </c>
      <c r="G541" s="188">
        <v>150000</v>
      </c>
    </row>
    <row r="542" spans="1:7" x14ac:dyDescent="0.25">
      <c r="A542" s="147">
        <v>537</v>
      </c>
      <c r="B542" s="167">
        <v>45388</v>
      </c>
      <c r="C542" s="117">
        <v>2024</v>
      </c>
      <c r="D542" s="119" t="s">
        <v>35</v>
      </c>
      <c r="E542" s="119" t="s">
        <v>1017</v>
      </c>
      <c r="F542" s="120">
        <v>1</v>
      </c>
      <c r="G542" s="188">
        <v>1225000</v>
      </c>
    </row>
    <row r="543" spans="1:7" x14ac:dyDescent="0.25">
      <c r="A543" s="147">
        <v>538</v>
      </c>
      <c r="B543" s="167">
        <v>45388</v>
      </c>
      <c r="C543" s="117">
        <v>2024</v>
      </c>
      <c r="D543" s="119" t="s">
        <v>35</v>
      </c>
      <c r="E543" s="119" t="s">
        <v>1018</v>
      </c>
      <c r="F543" s="120">
        <v>1</v>
      </c>
      <c r="G543" s="188">
        <v>1775000</v>
      </c>
    </row>
    <row r="544" spans="1:7" x14ac:dyDescent="0.25">
      <c r="A544" s="147">
        <v>539</v>
      </c>
      <c r="B544" s="167">
        <v>45388</v>
      </c>
      <c r="C544" s="117">
        <v>2024</v>
      </c>
      <c r="D544" s="119" t="s">
        <v>35</v>
      </c>
      <c r="E544" s="119" t="s">
        <v>1019</v>
      </c>
      <c r="F544" s="120">
        <v>1</v>
      </c>
      <c r="G544" s="188">
        <v>140000</v>
      </c>
    </row>
    <row r="545" spans="1:7" x14ac:dyDescent="0.25">
      <c r="A545" s="147">
        <v>540</v>
      </c>
      <c r="B545" s="167">
        <v>45388</v>
      </c>
      <c r="C545" s="117">
        <v>2024</v>
      </c>
      <c r="D545" s="119" t="s">
        <v>35</v>
      </c>
      <c r="E545" s="119" t="s">
        <v>1020</v>
      </c>
      <c r="F545" s="120">
        <v>1</v>
      </c>
      <c r="G545" s="188">
        <v>50000</v>
      </c>
    </row>
    <row r="546" spans="1:7" x14ac:dyDescent="0.25">
      <c r="A546" s="147">
        <v>541</v>
      </c>
      <c r="B546" s="167">
        <v>45388</v>
      </c>
      <c r="C546" s="117">
        <v>2024</v>
      </c>
      <c r="D546" s="119" t="s">
        <v>35</v>
      </c>
      <c r="E546" s="119" t="s">
        <v>1021</v>
      </c>
      <c r="F546" s="120">
        <v>1</v>
      </c>
      <c r="G546" s="188">
        <v>175000</v>
      </c>
    </row>
    <row r="547" spans="1:7" x14ac:dyDescent="0.25">
      <c r="A547" s="147">
        <v>542</v>
      </c>
      <c r="B547" s="167">
        <v>45401</v>
      </c>
      <c r="C547" s="117">
        <v>2024</v>
      </c>
      <c r="D547" s="119" t="s">
        <v>35</v>
      </c>
      <c r="E547" s="119" t="s">
        <v>1022</v>
      </c>
      <c r="F547" s="120">
        <v>1</v>
      </c>
      <c r="G547" s="188">
        <v>185000</v>
      </c>
    </row>
    <row r="548" spans="1:7" x14ac:dyDescent="0.25">
      <c r="A548" s="147">
        <v>543</v>
      </c>
      <c r="B548" s="167">
        <v>45401</v>
      </c>
      <c r="C548" s="117">
        <v>2024</v>
      </c>
      <c r="D548" s="119" t="s">
        <v>35</v>
      </c>
      <c r="E548" s="119" t="s">
        <v>116</v>
      </c>
      <c r="F548" s="120">
        <v>1</v>
      </c>
      <c r="G548" s="188">
        <v>30000</v>
      </c>
    </row>
    <row r="549" spans="1:7" x14ac:dyDescent="0.25">
      <c r="A549" s="147">
        <v>544</v>
      </c>
      <c r="B549" s="167">
        <v>45402</v>
      </c>
      <c r="C549" s="117">
        <v>2024</v>
      </c>
      <c r="D549" s="119" t="s">
        <v>35</v>
      </c>
      <c r="E549" s="119" t="s">
        <v>211</v>
      </c>
      <c r="F549" s="120">
        <v>1</v>
      </c>
      <c r="G549" s="188">
        <v>17700</v>
      </c>
    </row>
    <row r="550" spans="1:7" x14ac:dyDescent="0.25">
      <c r="A550" s="147">
        <v>545</v>
      </c>
      <c r="B550" s="167">
        <v>45402</v>
      </c>
      <c r="C550" s="117">
        <v>2024</v>
      </c>
      <c r="D550" s="119" t="s">
        <v>35</v>
      </c>
      <c r="E550" s="119" t="s">
        <v>1023</v>
      </c>
      <c r="F550" s="120">
        <v>1</v>
      </c>
      <c r="G550" s="188">
        <v>90000</v>
      </c>
    </row>
    <row r="551" spans="1:7" x14ac:dyDescent="0.25">
      <c r="A551" s="147">
        <v>546</v>
      </c>
      <c r="B551" s="167">
        <v>45402</v>
      </c>
      <c r="C551" s="117">
        <v>2024</v>
      </c>
      <c r="D551" s="119" t="s">
        <v>35</v>
      </c>
      <c r="E551" s="119" t="s">
        <v>1023</v>
      </c>
      <c r="F551" s="120">
        <v>1</v>
      </c>
      <c r="G551" s="188">
        <v>130000</v>
      </c>
    </row>
    <row r="552" spans="1:7" x14ac:dyDescent="0.25">
      <c r="A552" s="147">
        <v>547</v>
      </c>
      <c r="B552" s="167">
        <v>45402</v>
      </c>
      <c r="C552" s="117">
        <v>2024</v>
      </c>
      <c r="D552" s="119" t="s">
        <v>35</v>
      </c>
      <c r="E552" s="119" t="s">
        <v>1024</v>
      </c>
      <c r="F552" s="120">
        <v>1</v>
      </c>
      <c r="G552" s="188">
        <v>91000</v>
      </c>
    </row>
    <row r="553" spans="1:7" x14ac:dyDescent="0.25">
      <c r="A553" s="147">
        <v>548</v>
      </c>
      <c r="B553" s="167">
        <v>45404</v>
      </c>
      <c r="C553" s="117">
        <v>2024</v>
      </c>
      <c r="D553" s="119" t="s">
        <v>35</v>
      </c>
      <c r="E553" s="119" t="s">
        <v>1026</v>
      </c>
      <c r="F553" s="120">
        <v>1</v>
      </c>
      <c r="G553" s="188">
        <v>43000</v>
      </c>
    </row>
    <row r="554" spans="1:7" x14ac:dyDescent="0.25">
      <c r="A554" s="147">
        <v>549</v>
      </c>
      <c r="B554" s="167">
        <v>45407</v>
      </c>
      <c r="C554" s="117">
        <v>2024</v>
      </c>
      <c r="D554" s="119" t="s">
        <v>35</v>
      </c>
      <c r="E554" s="119" t="s">
        <v>211</v>
      </c>
      <c r="F554" s="120">
        <v>4</v>
      </c>
      <c r="G554" s="188">
        <v>92000</v>
      </c>
    </row>
    <row r="555" spans="1:7" x14ac:dyDescent="0.25">
      <c r="A555" s="147">
        <v>550</v>
      </c>
      <c r="B555" s="167">
        <v>45409</v>
      </c>
      <c r="C555" s="117">
        <v>2024</v>
      </c>
      <c r="D555" s="119" t="s">
        <v>35</v>
      </c>
      <c r="E555" s="119" t="s">
        <v>1023</v>
      </c>
      <c r="F555" s="120">
        <v>1</v>
      </c>
      <c r="G555" s="188">
        <v>70000</v>
      </c>
    </row>
    <row r="556" spans="1:7" x14ac:dyDescent="0.25">
      <c r="A556" s="147">
        <v>551</v>
      </c>
      <c r="B556" s="167">
        <v>45414</v>
      </c>
      <c r="C556" s="117">
        <v>2024</v>
      </c>
      <c r="D556" s="119" t="s">
        <v>35</v>
      </c>
      <c r="E556" s="119" t="s">
        <v>1028</v>
      </c>
      <c r="F556" s="120">
        <v>1</v>
      </c>
      <c r="G556" s="188">
        <v>28000</v>
      </c>
    </row>
    <row r="557" spans="1:7" x14ac:dyDescent="0.25">
      <c r="A557" s="147">
        <v>552</v>
      </c>
      <c r="B557" s="167">
        <v>45414</v>
      </c>
      <c r="C557" s="117">
        <v>2024</v>
      </c>
      <c r="D557" s="119" t="s">
        <v>35</v>
      </c>
      <c r="E557" s="119" t="s">
        <v>1029</v>
      </c>
      <c r="F557" s="120">
        <v>3</v>
      </c>
      <c r="G557" s="188">
        <v>46500</v>
      </c>
    </row>
    <row r="558" spans="1:7" x14ac:dyDescent="0.25">
      <c r="A558" s="147">
        <v>553</v>
      </c>
      <c r="B558" s="167">
        <v>45414</v>
      </c>
      <c r="C558" s="117">
        <v>2024</v>
      </c>
      <c r="D558" s="119" t="s">
        <v>35</v>
      </c>
      <c r="E558" s="119" t="s">
        <v>675</v>
      </c>
      <c r="F558" s="120">
        <v>1</v>
      </c>
      <c r="G558" s="188">
        <v>39600</v>
      </c>
    </row>
    <row r="559" spans="1:7" x14ac:dyDescent="0.25">
      <c r="A559" s="147">
        <v>554</v>
      </c>
      <c r="B559" s="167">
        <v>45414</v>
      </c>
      <c r="C559" s="117">
        <v>2024</v>
      </c>
      <c r="D559" s="119" t="s">
        <v>35</v>
      </c>
      <c r="E559" s="119" t="s">
        <v>1030</v>
      </c>
      <c r="F559" s="120">
        <v>4</v>
      </c>
      <c r="G559" s="188">
        <v>24000</v>
      </c>
    </row>
    <row r="560" spans="1:7" x14ac:dyDescent="0.25">
      <c r="A560" s="147">
        <v>555</v>
      </c>
      <c r="B560" s="167">
        <v>45414</v>
      </c>
      <c r="C560" s="117">
        <v>2024</v>
      </c>
      <c r="D560" s="119" t="s">
        <v>35</v>
      </c>
      <c r="E560" s="119" t="s">
        <v>393</v>
      </c>
      <c r="F560" s="120">
        <v>2</v>
      </c>
      <c r="G560" s="188">
        <v>22000</v>
      </c>
    </row>
    <row r="561" spans="1:7" x14ac:dyDescent="0.25">
      <c r="A561" s="147">
        <v>556</v>
      </c>
      <c r="B561" s="167">
        <v>45414</v>
      </c>
      <c r="C561" s="117">
        <v>2024</v>
      </c>
      <c r="D561" s="119" t="s">
        <v>35</v>
      </c>
      <c r="E561" s="119" t="s">
        <v>1031</v>
      </c>
      <c r="F561" s="120">
        <v>1</v>
      </c>
      <c r="G561" s="188">
        <v>10500</v>
      </c>
    </row>
    <row r="562" spans="1:7" x14ac:dyDescent="0.25">
      <c r="A562" s="147">
        <v>557</v>
      </c>
      <c r="B562" s="167">
        <v>45414</v>
      </c>
      <c r="C562" s="117">
        <v>2024</v>
      </c>
      <c r="D562" s="119" t="s">
        <v>35</v>
      </c>
      <c r="E562" s="119" t="s">
        <v>687</v>
      </c>
      <c r="F562" s="120">
        <v>3</v>
      </c>
      <c r="G562" s="188">
        <v>29500</v>
      </c>
    </row>
    <row r="563" spans="1:7" x14ac:dyDescent="0.25">
      <c r="A563" s="147">
        <v>558</v>
      </c>
      <c r="B563" s="167">
        <v>45415</v>
      </c>
      <c r="C563" s="117">
        <v>2024</v>
      </c>
      <c r="D563" s="119" t="s">
        <v>35</v>
      </c>
      <c r="E563" s="119" t="s">
        <v>211</v>
      </c>
      <c r="F563" s="120">
        <v>1</v>
      </c>
      <c r="G563" s="188">
        <v>17700</v>
      </c>
    </row>
    <row r="564" spans="1:7" x14ac:dyDescent="0.25">
      <c r="A564" s="147">
        <v>559</v>
      </c>
      <c r="B564" s="167">
        <v>45415</v>
      </c>
      <c r="C564" s="117">
        <v>2024</v>
      </c>
      <c r="D564" s="119" t="s">
        <v>35</v>
      </c>
      <c r="E564" s="119" t="s">
        <v>1032</v>
      </c>
      <c r="F564" s="120">
        <v>1</v>
      </c>
      <c r="G564" s="188">
        <v>22000</v>
      </c>
    </row>
    <row r="565" spans="1:7" x14ac:dyDescent="0.25">
      <c r="A565" s="147">
        <v>560</v>
      </c>
      <c r="B565" s="167">
        <v>45416</v>
      </c>
      <c r="C565" s="117">
        <v>2024</v>
      </c>
      <c r="D565" s="119" t="s">
        <v>35</v>
      </c>
      <c r="E565" s="119" t="s">
        <v>794</v>
      </c>
      <c r="F565" s="120">
        <v>1</v>
      </c>
      <c r="G565" s="188">
        <v>166500</v>
      </c>
    </row>
    <row r="566" spans="1:7" x14ac:dyDescent="0.25">
      <c r="A566" s="147">
        <v>561</v>
      </c>
      <c r="B566" s="167">
        <v>45416</v>
      </c>
      <c r="C566" s="117">
        <v>2024</v>
      </c>
      <c r="D566" s="119" t="s">
        <v>35</v>
      </c>
      <c r="E566" s="119" t="s">
        <v>794</v>
      </c>
      <c r="F566" s="120">
        <v>1</v>
      </c>
      <c r="G566" s="188">
        <v>166500</v>
      </c>
    </row>
    <row r="567" spans="1:7" x14ac:dyDescent="0.25">
      <c r="A567" s="147">
        <v>562</v>
      </c>
      <c r="B567" s="167">
        <v>45416</v>
      </c>
      <c r="C567" s="117">
        <v>2024</v>
      </c>
      <c r="D567" s="119" t="s">
        <v>35</v>
      </c>
      <c r="E567" s="119" t="s">
        <v>794</v>
      </c>
      <c r="F567" s="120">
        <v>1</v>
      </c>
      <c r="G567" s="188">
        <v>166500</v>
      </c>
    </row>
    <row r="568" spans="1:7" x14ac:dyDescent="0.25">
      <c r="A568" s="147">
        <v>563</v>
      </c>
      <c r="B568" s="167">
        <v>45416</v>
      </c>
      <c r="C568" s="117">
        <v>2024</v>
      </c>
      <c r="D568" s="119" t="s">
        <v>35</v>
      </c>
      <c r="E568" s="119" t="s">
        <v>794</v>
      </c>
      <c r="F568" s="120">
        <v>1</v>
      </c>
      <c r="G568" s="188">
        <v>166500</v>
      </c>
    </row>
    <row r="569" spans="1:7" x14ac:dyDescent="0.25">
      <c r="A569" s="147">
        <v>564</v>
      </c>
      <c r="B569" s="167">
        <v>45416</v>
      </c>
      <c r="C569" s="117">
        <v>2024</v>
      </c>
      <c r="D569" s="119" t="s">
        <v>35</v>
      </c>
      <c r="E569" s="119" t="s">
        <v>794</v>
      </c>
      <c r="F569" s="120">
        <v>1</v>
      </c>
      <c r="G569" s="188">
        <v>166500</v>
      </c>
    </row>
    <row r="570" spans="1:7" x14ac:dyDescent="0.25">
      <c r="A570" s="147">
        <v>565</v>
      </c>
      <c r="B570" s="167">
        <v>45425</v>
      </c>
      <c r="C570" s="117">
        <v>2024</v>
      </c>
      <c r="D570" s="119" t="s">
        <v>35</v>
      </c>
      <c r="E570" s="119" t="s">
        <v>670</v>
      </c>
      <c r="F570" s="120">
        <v>10</v>
      </c>
      <c r="G570" s="188">
        <v>27500</v>
      </c>
    </row>
    <row r="571" spans="1:7" x14ac:dyDescent="0.25">
      <c r="A571" s="147">
        <v>566</v>
      </c>
      <c r="B571" s="167">
        <v>45425</v>
      </c>
      <c r="C571" s="117">
        <v>2024</v>
      </c>
      <c r="D571" s="119" t="s">
        <v>35</v>
      </c>
      <c r="E571" s="119" t="s">
        <v>1033</v>
      </c>
      <c r="F571" s="120">
        <v>1</v>
      </c>
      <c r="G571" s="188">
        <v>17500</v>
      </c>
    </row>
    <row r="572" spans="1:7" x14ac:dyDescent="0.25">
      <c r="A572" s="147">
        <v>567</v>
      </c>
      <c r="B572" s="167">
        <v>45425</v>
      </c>
      <c r="C572" s="117">
        <v>2024</v>
      </c>
      <c r="D572" s="119" t="s">
        <v>35</v>
      </c>
      <c r="E572" s="119" t="s">
        <v>675</v>
      </c>
      <c r="F572" s="120">
        <v>1</v>
      </c>
      <c r="G572" s="188">
        <v>30500</v>
      </c>
    </row>
    <row r="573" spans="1:7" x14ac:dyDescent="0.25">
      <c r="A573" s="147">
        <v>568</v>
      </c>
      <c r="B573" s="167">
        <v>45425</v>
      </c>
      <c r="C573" s="117">
        <v>2024</v>
      </c>
      <c r="D573" s="119" t="s">
        <v>35</v>
      </c>
      <c r="E573" s="119" t="s">
        <v>1034</v>
      </c>
      <c r="F573" s="120">
        <v>2</v>
      </c>
      <c r="G573" s="188">
        <v>12000</v>
      </c>
    </row>
    <row r="574" spans="1:7" x14ac:dyDescent="0.25">
      <c r="A574" s="147">
        <v>569</v>
      </c>
      <c r="B574" s="167">
        <v>45425</v>
      </c>
      <c r="C574" s="117">
        <v>2024</v>
      </c>
      <c r="D574" s="119" t="s">
        <v>35</v>
      </c>
      <c r="E574" s="119" t="s">
        <v>553</v>
      </c>
      <c r="F574" s="120">
        <v>1</v>
      </c>
      <c r="G574" s="188">
        <v>15000</v>
      </c>
    </row>
    <row r="575" spans="1:7" x14ac:dyDescent="0.25">
      <c r="A575" s="147">
        <v>570</v>
      </c>
      <c r="B575" s="167">
        <v>45425</v>
      </c>
      <c r="C575" s="117">
        <v>2024</v>
      </c>
      <c r="D575" s="119" t="s">
        <v>35</v>
      </c>
      <c r="E575" s="119" t="s">
        <v>553</v>
      </c>
      <c r="F575" s="120">
        <v>1</v>
      </c>
      <c r="G575" s="188">
        <v>4000</v>
      </c>
    </row>
    <row r="576" spans="1:7" x14ac:dyDescent="0.25">
      <c r="A576" s="147">
        <v>571</v>
      </c>
      <c r="B576" s="167">
        <v>45426</v>
      </c>
      <c r="C576" s="117">
        <v>2024</v>
      </c>
      <c r="D576" s="119" t="s">
        <v>35</v>
      </c>
      <c r="E576" s="119" t="s">
        <v>1035</v>
      </c>
      <c r="F576" s="120">
        <v>1</v>
      </c>
      <c r="G576" s="188">
        <v>80000</v>
      </c>
    </row>
    <row r="577" spans="1:7" x14ac:dyDescent="0.25">
      <c r="A577" s="147">
        <v>572</v>
      </c>
      <c r="B577" s="167">
        <v>45426</v>
      </c>
      <c r="C577" s="117">
        <v>2024</v>
      </c>
      <c r="D577" s="119" t="s">
        <v>35</v>
      </c>
      <c r="E577" s="119" t="s">
        <v>1036</v>
      </c>
      <c r="F577" s="120">
        <v>1</v>
      </c>
      <c r="G577" s="188">
        <v>40000</v>
      </c>
    </row>
    <row r="578" spans="1:7" x14ac:dyDescent="0.25">
      <c r="A578" s="147">
        <v>573</v>
      </c>
      <c r="B578" s="167">
        <v>45426</v>
      </c>
      <c r="C578" s="117">
        <v>2024</v>
      </c>
      <c r="D578" s="119" t="s">
        <v>35</v>
      </c>
      <c r="E578" s="119" t="s">
        <v>1037</v>
      </c>
      <c r="F578" s="120">
        <v>1</v>
      </c>
      <c r="G578" s="188">
        <v>12500</v>
      </c>
    </row>
    <row r="579" spans="1:7" x14ac:dyDescent="0.25">
      <c r="A579" s="147">
        <v>574</v>
      </c>
      <c r="B579" s="167">
        <v>45426</v>
      </c>
      <c r="C579" s="117">
        <v>2024</v>
      </c>
      <c r="D579" s="119" t="s">
        <v>35</v>
      </c>
      <c r="E579" s="119" t="s">
        <v>1038</v>
      </c>
      <c r="F579" s="120">
        <v>1</v>
      </c>
      <c r="G579" s="188">
        <v>7500</v>
      </c>
    </row>
    <row r="580" spans="1:7" x14ac:dyDescent="0.25">
      <c r="A580" s="147">
        <v>575</v>
      </c>
      <c r="B580" s="167">
        <v>45426</v>
      </c>
      <c r="C580" s="117">
        <v>2024</v>
      </c>
      <c r="D580" s="119" t="s">
        <v>35</v>
      </c>
      <c r="E580" s="119" t="s">
        <v>992</v>
      </c>
      <c r="F580" s="120">
        <v>1</v>
      </c>
      <c r="G580" s="188">
        <v>575000</v>
      </c>
    </row>
    <row r="581" spans="1:7" x14ac:dyDescent="0.25">
      <c r="A581" s="147">
        <v>576</v>
      </c>
      <c r="B581" s="167">
        <v>45426</v>
      </c>
      <c r="C581" s="117">
        <v>2024</v>
      </c>
      <c r="D581" s="119" t="s">
        <v>35</v>
      </c>
      <c r="E581" s="119" t="s">
        <v>1039</v>
      </c>
      <c r="F581" s="120">
        <v>1</v>
      </c>
      <c r="G581" s="188">
        <v>35000</v>
      </c>
    </row>
    <row r="582" spans="1:7" x14ac:dyDescent="0.25">
      <c r="A582" s="147">
        <v>577</v>
      </c>
      <c r="B582" s="167">
        <v>45426</v>
      </c>
      <c r="C582" s="117">
        <v>2024</v>
      </c>
      <c r="D582" s="119" t="s">
        <v>35</v>
      </c>
      <c r="E582" s="119" t="s">
        <v>1040</v>
      </c>
      <c r="F582" s="120">
        <v>1</v>
      </c>
      <c r="G582" s="188">
        <v>350000</v>
      </c>
    </row>
    <row r="583" spans="1:7" x14ac:dyDescent="0.25">
      <c r="A583" s="147">
        <v>578</v>
      </c>
      <c r="B583" s="167">
        <v>45426</v>
      </c>
      <c r="C583" s="117">
        <v>2024</v>
      </c>
      <c r="D583" s="119" t="s">
        <v>35</v>
      </c>
      <c r="E583" s="119" t="s">
        <v>1041</v>
      </c>
      <c r="F583" s="120">
        <v>1</v>
      </c>
      <c r="G583" s="188">
        <v>40000</v>
      </c>
    </row>
    <row r="584" spans="1:7" x14ac:dyDescent="0.25">
      <c r="A584" s="147">
        <v>579</v>
      </c>
      <c r="B584" s="167">
        <v>45426</v>
      </c>
      <c r="C584" s="117">
        <v>2024</v>
      </c>
      <c r="D584" s="119" t="s">
        <v>35</v>
      </c>
      <c r="E584" s="119" t="s">
        <v>1041</v>
      </c>
      <c r="F584" s="120">
        <v>1</v>
      </c>
      <c r="G584" s="188">
        <v>20000</v>
      </c>
    </row>
    <row r="585" spans="1:7" x14ac:dyDescent="0.25">
      <c r="A585" s="147">
        <v>580</v>
      </c>
      <c r="B585" s="167">
        <v>45426</v>
      </c>
      <c r="C585" s="117">
        <v>2024</v>
      </c>
      <c r="D585" s="119" t="s">
        <v>35</v>
      </c>
      <c r="E585" s="119" t="s">
        <v>1042</v>
      </c>
      <c r="F585" s="120">
        <v>1</v>
      </c>
      <c r="G585" s="188">
        <v>38500</v>
      </c>
    </row>
    <row r="586" spans="1:7" x14ac:dyDescent="0.25">
      <c r="A586" s="147">
        <v>581</v>
      </c>
      <c r="B586" s="167">
        <v>45426</v>
      </c>
      <c r="C586" s="117">
        <v>2024</v>
      </c>
      <c r="D586" s="119" t="s">
        <v>35</v>
      </c>
      <c r="E586" s="119" t="s">
        <v>1043</v>
      </c>
      <c r="F586" s="120">
        <v>1</v>
      </c>
      <c r="G586" s="188">
        <v>20000</v>
      </c>
    </row>
    <row r="587" spans="1:7" x14ac:dyDescent="0.25">
      <c r="A587" s="147">
        <v>582</v>
      </c>
      <c r="B587" s="167">
        <v>45426</v>
      </c>
      <c r="C587" s="117">
        <v>2024</v>
      </c>
      <c r="D587" s="119" t="s">
        <v>35</v>
      </c>
      <c r="E587" s="119" t="s">
        <v>836</v>
      </c>
      <c r="F587" s="120">
        <v>1</v>
      </c>
      <c r="G587" s="188">
        <v>75000</v>
      </c>
    </row>
    <row r="588" spans="1:7" x14ac:dyDescent="0.25">
      <c r="A588" s="147">
        <v>583</v>
      </c>
      <c r="B588" s="167">
        <v>45426</v>
      </c>
      <c r="C588" s="117">
        <v>2024</v>
      </c>
      <c r="D588" s="119" t="s">
        <v>35</v>
      </c>
      <c r="E588" s="119" t="s">
        <v>1044</v>
      </c>
      <c r="F588" s="120">
        <v>1</v>
      </c>
      <c r="G588" s="188">
        <v>20000</v>
      </c>
    </row>
    <row r="589" spans="1:7" x14ac:dyDescent="0.25">
      <c r="A589" s="147">
        <v>584</v>
      </c>
      <c r="B589" s="167">
        <v>45426</v>
      </c>
      <c r="C589" s="117">
        <v>2024</v>
      </c>
      <c r="D589" s="119" t="s">
        <v>35</v>
      </c>
      <c r="E589" s="119" t="s">
        <v>115</v>
      </c>
      <c r="F589" s="120">
        <v>1</v>
      </c>
      <c r="G589" s="188">
        <v>40000</v>
      </c>
    </row>
    <row r="590" spans="1:7" x14ac:dyDescent="0.25">
      <c r="A590" s="147">
        <v>585</v>
      </c>
      <c r="B590" s="167">
        <v>45426</v>
      </c>
      <c r="C590" s="117">
        <v>2024</v>
      </c>
      <c r="D590" s="119" t="s">
        <v>35</v>
      </c>
      <c r="E590" s="119" t="s">
        <v>801</v>
      </c>
      <c r="F590" s="120">
        <v>1</v>
      </c>
      <c r="G590" s="188">
        <v>190000</v>
      </c>
    </row>
    <row r="591" spans="1:7" x14ac:dyDescent="0.25">
      <c r="A591" s="147">
        <v>586</v>
      </c>
      <c r="B591" s="167">
        <v>45426</v>
      </c>
      <c r="C591" s="117">
        <v>2024</v>
      </c>
      <c r="D591" s="119" t="s">
        <v>35</v>
      </c>
      <c r="E591" s="119" t="s">
        <v>1045</v>
      </c>
      <c r="F591" s="120">
        <v>1</v>
      </c>
      <c r="G591" s="188">
        <v>10000</v>
      </c>
    </row>
    <row r="592" spans="1:7" x14ac:dyDescent="0.25">
      <c r="A592" s="147">
        <v>587</v>
      </c>
      <c r="B592" s="167">
        <v>45426</v>
      </c>
      <c r="C592" s="117">
        <v>2024</v>
      </c>
      <c r="D592" s="119" t="s">
        <v>35</v>
      </c>
      <c r="E592" s="119" t="s">
        <v>1046</v>
      </c>
      <c r="F592" s="120">
        <v>1</v>
      </c>
      <c r="G592" s="188">
        <v>150000</v>
      </c>
    </row>
    <row r="593" spans="1:7" x14ac:dyDescent="0.25">
      <c r="A593" s="147">
        <v>588</v>
      </c>
      <c r="B593" s="167">
        <v>45426</v>
      </c>
      <c r="C593" s="117">
        <v>2024</v>
      </c>
      <c r="D593" s="119" t="s">
        <v>35</v>
      </c>
      <c r="E593" s="119" t="s">
        <v>1047</v>
      </c>
      <c r="F593" s="120">
        <v>1</v>
      </c>
      <c r="G593" s="188">
        <v>50000</v>
      </c>
    </row>
    <row r="594" spans="1:7" x14ac:dyDescent="0.25">
      <c r="A594" s="147">
        <v>589</v>
      </c>
      <c r="B594" s="167">
        <v>45426</v>
      </c>
      <c r="C594" s="117">
        <v>2024</v>
      </c>
      <c r="D594" s="119" t="s">
        <v>35</v>
      </c>
      <c r="E594" s="119" t="s">
        <v>1048</v>
      </c>
      <c r="F594" s="120">
        <v>1</v>
      </c>
      <c r="G594" s="188">
        <v>7500</v>
      </c>
    </row>
    <row r="595" spans="1:7" x14ac:dyDescent="0.25">
      <c r="A595" s="147">
        <v>590</v>
      </c>
      <c r="B595" s="167">
        <v>45426</v>
      </c>
      <c r="C595" s="117">
        <v>2024</v>
      </c>
      <c r="D595" s="119" t="s">
        <v>35</v>
      </c>
      <c r="E595" s="119" t="s">
        <v>1049</v>
      </c>
      <c r="F595" s="120">
        <v>1</v>
      </c>
      <c r="G595" s="188">
        <v>10000</v>
      </c>
    </row>
    <row r="596" spans="1:7" x14ac:dyDescent="0.25">
      <c r="A596" s="147">
        <v>591</v>
      </c>
      <c r="B596" s="167">
        <v>45426</v>
      </c>
      <c r="C596" s="117">
        <v>2024</v>
      </c>
      <c r="D596" s="119" t="s">
        <v>35</v>
      </c>
      <c r="E596" s="119" t="s">
        <v>1050</v>
      </c>
      <c r="F596" s="120">
        <v>1</v>
      </c>
      <c r="G596" s="188">
        <v>77500</v>
      </c>
    </row>
    <row r="597" spans="1:7" x14ac:dyDescent="0.25">
      <c r="A597" s="147">
        <v>592</v>
      </c>
      <c r="B597" s="167">
        <v>45426</v>
      </c>
      <c r="C597" s="117">
        <v>2024</v>
      </c>
      <c r="D597" s="119" t="s">
        <v>35</v>
      </c>
      <c r="E597" s="119" t="s">
        <v>398</v>
      </c>
      <c r="F597" s="120">
        <v>1</v>
      </c>
      <c r="G597" s="188">
        <v>6000</v>
      </c>
    </row>
    <row r="598" spans="1:7" x14ac:dyDescent="0.25">
      <c r="A598" s="147">
        <v>593</v>
      </c>
      <c r="B598" s="167">
        <v>45426</v>
      </c>
      <c r="C598" s="117">
        <v>2024</v>
      </c>
      <c r="D598" s="119" t="s">
        <v>35</v>
      </c>
      <c r="E598" s="119" t="s">
        <v>1051</v>
      </c>
      <c r="F598" s="120">
        <v>1</v>
      </c>
      <c r="G598" s="188">
        <v>150000</v>
      </c>
    </row>
    <row r="599" spans="1:7" x14ac:dyDescent="0.25">
      <c r="A599" s="147">
        <v>594</v>
      </c>
      <c r="B599" s="167">
        <v>45426</v>
      </c>
      <c r="C599" s="117">
        <v>2024</v>
      </c>
      <c r="D599" s="119" t="s">
        <v>35</v>
      </c>
      <c r="E599" s="119" t="s">
        <v>1052</v>
      </c>
      <c r="F599" s="120">
        <v>1</v>
      </c>
      <c r="G599" s="188">
        <v>70000</v>
      </c>
    </row>
    <row r="600" spans="1:7" x14ac:dyDescent="0.25">
      <c r="A600" s="147">
        <v>595</v>
      </c>
      <c r="B600" s="167">
        <v>45426</v>
      </c>
      <c r="C600" s="117">
        <v>2024</v>
      </c>
      <c r="D600" s="119" t="s">
        <v>35</v>
      </c>
      <c r="E600" s="119" t="s">
        <v>1053</v>
      </c>
      <c r="F600" s="120">
        <v>1</v>
      </c>
      <c r="G600" s="188">
        <v>45000</v>
      </c>
    </row>
    <row r="601" spans="1:7" x14ac:dyDescent="0.25">
      <c r="A601" s="147">
        <v>596</v>
      </c>
      <c r="B601" s="167">
        <v>45426</v>
      </c>
      <c r="C601" s="117">
        <v>2024</v>
      </c>
      <c r="D601" s="119" t="s">
        <v>35</v>
      </c>
      <c r="E601" s="119" t="s">
        <v>977</v>
      </c>
      <c r="F601" s="120">
        <v>1</v>
      </c>
      <c r="G601" s="188">
        <v>3500</v>
      </c>
    </row>
    <row r="602" spans="1:7" x14ac:dyDescent="0.25">
      <c r="A602" s="147">
        <v>597</v>
      </c>
      <c r="B602" s="167">
        <v>45426</v>
      </c>
      <c r="C602" s="117">
        <v>2024</v>
      </c>
      <c r="D602" s="119" t="s">
        <v>35</v>
      </c>
      <c r="E602" s="119" t="s">
        <v>876</v>
      </c>
      <c r="F602" s="120">
        <v>1</v>
      </c>
      <c r="G602" s="188">
        <v>50000</v>
      </c>
    </row>
    <row r="603" spans="1:7" x14ac:dyDescent="0.25">
      <c r="A603" s="147">
        <v>598</v>
      </c>
      <c r="B603" s="167">
        <v>45426</v>
      </c>
      <c r="C603" s="117">
        <v>2024</v>
      </c>
      <c r="D603" s="119" t="s">
        <v>35</v>
      </c>
      <c r="E603" s="119" t="s">
        <v>1008</v>
      </c>
      <c r="F603" s="120">
        <v>1</v>
      </c>
      <c r="G603" s="188">
        <v>575000</v>
      </c>
    </row>
    <row r="604" spans="1:7" x14ac:dyDescent="0.25">
      <c r="A604" s="147">
        <v>599</v>
      </c>
      <c r="B604" s="167">
        <v>45426</v>
      </c>
      <c r="C604" s="117">
        <v>2024</v>
      </c>
      <c r="D604" s="119" t="s">
        <v>35</v>
      </c>
      <c r="E604" s="119" t="s">
        <v>1039</v>
      </c>
      <c r="F604" s="120">
        <v>1</v>
      </c>
      <c r="G604" s="188">
        <v>35000</v>
      </c>
    </row>
    <row r="605" spans="1:7" x14ac:dyDescent="0.25">
      <c r="A605" s="147">
        <v>600</v>
      </c>
      <c r="B605" s="167">
        <v>45426</v>
      </c>
      <c r="C605" s="117">
        <v>2024</v>
      </c>
      <c r="D605" s="119" t="s">
        <v>35</v>
      </c>
      <c r="E605" s="119" t="s">
        <v>1054</v>
      </c>
      <c r="F605" s="120">
        <v>1</v>
      </c>
      <c r="G605" s="188">
        <v>85000</v>
      </c>
    </row>
    <row r="606" spans="1:7" x14ac:dyDescent="0.25">
      <c r="A606" s="147">
        <v>601</v>
      </c>
      <c r="B606" s="167">
        <v>45426</v>
      </c>
      <c r="C606" s="117">
        <v>2024</v>
      </c>
      <c r="D606" s="119" t="s">
        <v>35</v>
      </c>
      <c r="E606" s="119" t="s">
        <v>1054</v>
      </c>
      <c r="F606" s="120">
        <v>1</v>
      </c>
      <c r="G606" s="188">
        <v>100000</v>
      </c>
    </row>
    <row r="607" spans="1:7" x14ac:dyDescent="0.25">
      <c r="A607" s="147">
        <v>602</v>
      </c>
      <c r="B607" s="167">
        <v>45426</v>
      </c>
      <c r="C607" s="117">
        <v>2024</v>
      </c>
      <c r="D607" s="119" t="s">
        <v>35</v>
      </c>
      <c r="E607" s="119" t="s">
        <v>1055</v>
      </c>
      <c r="F607" s="120">
        <v>1</v>
      </c>
      <c r="G607" s="188">
        <v>300000</v>
      </c>
    </row>
    <row r="608" spans="1:7" x14ac:dyDescent="0.25">
      <c r="A608" s="147">
        <v>603</v>
      </c>
      <c r="B608" s="167">
        <v>45427</v>
      </c>
      <c r="C608" s="117">
        <v>2024</v>
      </c>
      <c r="D608" s="119" t="s">
        <v>35</v>
      </c>
      <c r="E608" s="119" t="s">
        <v>211</v>
      </c>
      <c r="F608" s="120">
        <v>1</v>
      </c>
      <c r="G608" s="188">
        <v>17700</v>
      </c>
    </row>
    <row r="609" spans="1:7" x14ac:dyDescent="0.25">
      <c r="A609" s="147">
        <v>604</v>
      </c>
      <c r="B609" s="167">
        <v>45428</v>
      </c>
      <c r="C609" s="117">
        <v>2024</v>
      </c>
      <c r="D609" s="119" t="s">
        <v>35</v>
      </c>
      <c r="E609" s="119" t="s">
        <v>1056</v>
      </c>
      <c r="F609" s="120">
        <v>8</v>
      </c>
      <c r="G609" s="188">
        <v>70000</v>
      </c>
    </row>
    <row r="610" spans="1:7" x14ac:dyDescent="0.25">
      <c r="A610" s="147">
        <v>605</v>
      </c>
      <c r="B610" s="167">
        <v>45428</v>
      </c>
      <c r="C610" s="117">
        <v>2024</v>
      </c>
      <c r="D610" s="119" t="s">
        <v>35</v>
      </c>
      <c r="E610" s="119" t="s">
        <v>1057</v>
      </c>
      <c r="F610" s="120">
        <v>7</v>
      </c>
      <c r="G610" s="188">
        <v>80000</v>
      </c>
    </row>
    <row r="611" spans="1:7" x14ac:dyDescent="0.25">
      <c r="A611" s="147">
        <v>606</v>
      </c>
      <c r="B611" s="167">
        <v>45430</v>
      </c>
      <c r="C611" s="117">
        <v>2024</v>
      </c>
      <c r="D611" s="119" t="s">
        <v>35</v>
      </c>
      <c r="E611" s="119" t="s">
        <v>211</v>
      </c>
      <c r="F611" s="120">
        <v>3</v>
      </c>
      <c r="G611" s="188">
        <v>90000</v>
      </c>
    </row>
    <row r="612" spans="1:7" x14ac:dyDescent="0.25">
      <c r="A612" s="147">
        <v>607</v>
      </c>
      <c r="B612" s="167">
        <v>45430</v>
      </c>
      <c r="C612" s="117">
        <v>2024</v>
      </c>
      <c r="D612" s="119" t="s">
        <v>35</v>
      </c>
      <c r="E612" s="119" t="s">
        <v>211</v>
      </c>
      <c r="F612" s="120">
        <v>1</v>
      </c>
      <c r="G612" s="188">
        <v>19500</v>
      </c>
    </row>
    <row r="613" spans="1:7" x14ac:dyDescent="0.25">
      <c r="A613" s="147">
        <v>608</v>
      </c>
      <c r="B613" s="167">
        <v>45430</v>
      </c>
      <c r="C613" s="117">
        <v>2024</v>
      </c>
      <c r="D613" s="119" t="s">
        <v>35</v>
      </c>
      <c r="E613" s="119" t="s">
        <v>211</v>
      </c>
      <c r="F613" s="120">
        <v>6</v>
      </c>
      <c r="G613" s="188">
        <v>126000</v>
      </c>
    </row>
    <row r="614" spans="1:7" x14ac:dyDescent="0.25">
      <c r="A614" s="147">
        <v>609</v>
      </c>
      <c r="B614" s="167">
        <v>45432</v>
      </c>
      <c r="C614" s="117">
        <v>2024</v>
      </c>
      <c r="D614" s="119" t="s">
        <v>35</v>
      </c>
      <c r="E614" s="119" t="s">
        <v>1058</v>
      </c>
      <c r="F614" s="120">
        <v>1</v>
      </c>
      <c r="G614" s="188">
        <v>55500</v>
      </c>
    </row>
    <row r="615" spans="1:7" x14ac:dyDescent="0.25">
      <c r="A615" s="147">
        <v>610</v>
      </c>
      <c r="B615" s="167">
        <v>45433</v>
      </c>
      <c r="C615" s="117">
        <v>2024</v>
      </c>
      <c r="D615" s="119" t="s">
        <v>35</v>
      </c>
      <c r="E615" s="119" t="s">
        <v>1059</v>
      </c>
      <c r="F615" s="120">
        <v>1</v>
      </c>
      <c r="G615" s="188">
        <v>69473</v>
      </c>
    </row>
    <row r="616" spans="1:7" x14ac:dyDescent="0.25">
      <c r="A616" s="147">
        <v>611</v>
      </c>
      <c r="B616" s="167">
        <v>45433</v>
      </c>
      <c r="C616" s="117">
        <v>2024</v>
      </c>
      <c r="D616" s="119" t="s">
        <v>35</v>
      </c>
      <c r="E616" s="119" t="s">
        <v>1060</v>
      </c>
      <c r="F616" s="120">
        <v>5</v>
      </c>
      <c r="G616" s="188">
        <v>42500</v>
      </c>
    </row>
    <row r="617" spans="1:7" x14ac:dyDescent="0.25">
      <c r="A617" s="147">
        <v>612</v>
      </c>
      <c r="B617" s="167">
        <v>45434</v>
      </c>
      <c r="C617" s="117">
        <v>2024</v>
      </c>
      <c r="D617" s="119" t="s">
        <v>35</v>
      </c>
      <c r="E617" s="119" t="s">
        <v>1031</v>
      </c>
      <c r="F617" s="120">
        <v>1</v>
      </c>
      <c r="G617" s="188">
        <v>25000</v>
      </c>
    </row>
    <row r="618" spans="1:7" x14ac:dyDescent="0.25">
      <c r="A618" s="147">
        <v>613</v>
      </c>
      <c r="B618" s="167">
        <v>45434</v>
      </c>
      <c r="C618" s="117">
        <v>2024</v>
      </c>
      <c r="D618" s="119" t="s">
        <v>35</v>
      </c>
      <c r="E618" s="119" t="s">
        <v>1061</v>
      </c>
      <c r="F618" s="120">
        <v>1</v>
      </c>
      <c r="G618" s="188">
        <v>140000</v>
      </c>
    </row>
    <row r="619" spans="1:7" x14ac:dyDescent="0.25">
      <c r="A619" s="147">
        <v>614</v>
      </c>
      <c r="B619" s="167">
        <v>45434</v>
      </c>
      <c r="C619" s="117">
        <v>2024</v>
      </c>
      <c r="D619" s="119" t="s">
        <v>35</v>
      </c>
      <c r="E619" s="119" t="s">
        <v>839</v>
      </c>
      <c r="F619" s="120">
        <v>1</v>
      </c>
      <c r="G619" s="188">
        <v>85000</v>
      </c>
    </row>
    <row r="620" spans="1:7" x14ac:dyDescent="0.25">
      <c r="A620" s="147">
        <v>615</v>
      </c>
      <c r="B620" s="167">
        <v>45434</v>
      </c>
      <c r="C620" s="117">
        <v>2024</v>
      </c>
      <c r="D620" s="119" t="s">
        <v>35</v>
      </c>
      <c r="E620" s="119" t="s">
        <v>953</v>
      </c>
      <c r="F620" s="120">
        <v>1</v>
      </c>
      <c r="G620" s="188">
        <v>50000</v>
      </c>
    </row>
    <row r="621" spans="1:7" x14ac:dyDescent="0.25">
      <c r="A621" s="147">
        <v>616</v>
      </c>
      <c r="B621" s="167">
        <v>45434</v>
      </c>
      <c r="C621" s="117">
        <v>2024</v>
      </c>
      <c r="D621" s="119" t="s">
        <v>35</v>
      </c>
      <c r="E621" s="119" t="s">
        <v>953</v>
      </c>
      <c r="F621" s="120">
        <v>1</v>
      </c>
      <c r="G621" s="188">
        <v>400000</v>
      </c>
    </row>
    <row r="622" spans="1:7" x14ac:dyDescent="0.25">
      <c r="A622" s="147">
        <v>617</v>
      </c>
      <c r="B622" s="167">
        <v>45434</v>
      </c>
      <c r="C622" s="117">
        <v>2024</v>
      </c>
      <c r="D622" s="119" t="s">
        <v>35</v>
      </c>
      <c r="E622" s="119" t="s">
        <v>1062</v>
      </c>
      <c r="F622" s="120">
        <v>1</v>
      </c>
      <c r="G622" s="188">
        <v>184000</v>
      </c>
    </row>
    <row r="623" spans="1:7" x14ac:dyDescent="0.25">
      <c r="A623" s="147">
        <v>618</v>
      </c>
      <c r="B623" s="167">
        <v>45434</v>
      </c>
      <c r="C623" s="117">
        <v>2024</v>
      </c>
      <c r="D623" s="119" t="s">
        <v>35</v>
      </c>
      <c r="E623" s="119" t="s">
        <v>838</v>
      </c>
      <c r="F623" s="120">
        <v>1</v>
      </c>
      <c r="G623" s="188">
        <v>75000</v>
      </c>
    </row>
    <row r="624" spans="1:7" x14ac:dyDescent="0.25">
      <c r="A624" s="147">
        <v>619</v>
      </c>
      <c r="B624" s="167">
        <v>45434</v>
      </c>
      <c r="C624" s="117">
        <v>2024</v>
      </c>
      <c r="D624" s="119" t="s">
        <v>35</v>
      </c>
      <c r="E624" s="119" t="s">
        <v>953</v>
      </c>
      <c r="F624" s="120">
        <v>1</v>
      </c>
      <c r="G624" s="188">
        <v>400000</v>
      </c>
    </row>
    <row r="625" spans="1:7" x14ac:dyDescent="0.25">
      <c r="A625" s="147">
        <v>620</v>
      </c>
      <c r="B625" s="167">
        <v>45434</v>
      </c>
      <c r="C625" s="117">
        <v>2024</v>
      </c>
      <c r="D625" s="119" t="s">
        <v>35</v>
      </c>
      <c r="E625" s="119" t="s">
        <v>838</v>
      </c>
      <c r="F625" s="120">
        <v>1</v>
      </c>
      <c r="G625" s="188">
        <v>75000</v>
      </c>
    </row>
    <row r="626" spans="1:7" x14ac:dyDescent="0.25">
      <c r="A626" s="147">
        <v>621</v>
      </c>
      <c r="B626" s="167">
        <v>45434</v>
      </c>
      <c r="C626" s="117">
        <v>2024</v>
      </c>
      <c r="D626" s="119" t="s">
        <v>35</v>
      </c>
      <c r="E626" s="119" t="s">
        <v>953</v>
      </c>
      <c r="F626" s="120">
        <v>1</v>
      </c>
      <c r="G626" s="188">
        <v>400000</v>
      </c>
    </row>
    <row r="627" spans="1:7" x14ac:dyDescent="0.25">
      <c r="A627" s="147">
        <v>622</v>
      </c>
      <c r="B627" s="167">
        <v>45434</v>
      </c>
      <c r="C627" s="117">
        <v>2024</v>
      </c>
      <c r="D627" s="119" t="s">
        <v>35</v>
      </c>
      <c r="E627" s="119" t="s">
        <v>1062</v>
      </c>
      <c r="F627" s="120">
        <v>1</v>
      </c>
      <c r="G627" s="188">
        <v>400000</v>
      </c>
    </row>
    <row r="628" spans="1:7" x14ac:dyDescent="0.25">
      <c r="A628" s="147">
        <v>623</v>
      </c>
      <c r="B628" s="167">
        <v>45434</v>
      </c>
      <c r="C628" s="117">
        <v>2024</v>
      </c>
      <c r="D628" s="119" t="s">
        <v>35</v>
      </c>
      <c r="E628" s="119" t="s">
        <v>953</v>
      </c>
      <c r="F628" s="120">
        <v>1</v>
      </c>
      <c r="G628" s="188">
        <v>184000</v>
      </c>
    </row>
    <row r="629" spans="1:7" x14ac:dyDescent="0.25">
      <c r="A629" s="147">
        <v>624</v>
      </c>
      <c r="B629" s="167">
        <v>45434</v>
      </c>
      <c r="C629" s="117">
        <v>2024</v>
      </c>
      <c r="D629" s="119" t="s">
        <v>35</v>
      </c>
      <c r="E629" s="119" t="s">
        <v>836</v>
      </c>
      <c r="F629" s="120">
        <v>1</v>
      </c>
      <c r="G629" s="188">
        <v>132000</v>
      </c>
    </row>
    <row r="630" spans="1:7" x14ac:dyDescent="0.25">
      <c r="A630" s="147">
        <v>625</v>
      </c>
      <c r="B630" s="167">
        <v>45434</v>
      </c>
      <c r="C630" s="117">
        <v>2024</v>
      </c>
      <c r="D630" s="119" t="s">
        <v>35</v>
      </c>
      <c r="E630" s="119" t="s">
        <v>124</v>
      </c>
      <c r="F630" s="120">
        <v>1</v>
      </c>
      <c r="G630" s="188">
        <v>190000</v>
      </c>
    </row>
    <row r="631" spans="1:7" x14ac:dyDescent="0.25">
      <c r="A631" s="147">
        <v>626</v>
      </c>
      <c r="B631" s="167">
        <v>45434</v>
      </c>
      <c r="C631" s="117">
        <v>2024</v>
      </c>
      <c r="D631" s="119" t="s">
        <v>35</v>
      </c>
      <c r="E631" s="119" t="s">
        <v>953</v>
      </c>
      <c r="F631" s="120">
        <v>1</v>
      </c>
      <c r="G631" s="188">
        <v>400000</v>
      </c>
    </row>
    <row r="632" spans="1:7" x14ac:dyDescent="0.25">
      <c r="A632" s="147">
        <v>627</v>
      </c>
      <c r="B632" s="167">
        <v>45434</v>
      </c>
      <c r="C632" s="117">
        <v>2024</v>
      </c>
      <c r="D632" s="119" t="s">
        <v>35</v>
      </c>
      <c r="E632" s="119" t="s">
        <v>836</v>
      </c>
      <c r="F632" s="120">
        <v>1</v>
      </c>
      <c r="G632" s="188">
        <v>132000</v>
      </c>
    </row>
    <row r="633" spans="1:7" x14ac:dyDescent="0.25">
      <c r="A633" s="147">
        <v>628</v>
      </c>
      <c r="B633" s="167">
        <v>45434</v>
      </c>
      <c r="C633" s="117">
        <v>2024</v>
      </c>
      <c r="D633" s="119" t="s">
        <v>35</v>
      </c>
      <c r="E633" s="119" t="s">
        <v>124</v>
      </c>
      <c r="F633" s="120">
        <v>1</v>
      </c>
      <c r="G633" s="188">
        <v>190000</v>
      </c>
    </row>
    <row r="634" spans="1:7" x14ac:dyDescent="0.25">
      <c r="A634" s="147">
        <v>629</v>
      </c>
      <c r="B634" s="167">
        <v>45434</v>
      </c>
      <c r="C634" s="117">
        <v>2024</v>
      </c>
      <c r="D634" s="119" t="s">
        <v>35</v>
      </c>
      <c r="E634" s="119" t="s">
        <v>953</v>
      </c>
      <c r="F634" s="120">
        <v>1</v>
      </c>
      <c r="G634" s="188">
        <v>400000</v>
      </c>
    </row>
    <row r="635" spans="1:7" x14ac:dyDescent="0.25">
      <c r="A635" s="147">
        <v>630</v>
      </c>
      <c r="B635" s="167">
        <v>45434</v>
      </c>
      <c r="C635" s="117">
        <v>2024</v>
      </c>
      <c r="D635" s="119" t="s">
        <v>35</v>
      </c>
      <c r="E635" s="119" t="s">
        <v>838</v>
      </c>
      <c r="F635" s="120">
        <v>1</v>
      </c>
      <c r="G635" s="188">
        <v>75000</v>
      </c>
    </row>
    <row r="636" spans="1:7" x14ac:dyDescent="0.25">
      <c r="A636" s="147">
        <v>631</v>
      </c>
      <c r="B636" s="167">
        <v>45434</v>
      </c>
      <c r="C636" s="117">
        <v>2024</v>
      </c>
      <c r="D636" s="119" t="s">
        <v>35</v>
      </c>
      <c r="E636" s="119" t="s">
        <v>839</v>
      </c>
      <c r="F636" s="120">
        <v>1</v>
      </c>
      <c r="G636" s="188">
        <v>180000</v>
      </c>
    </row>
    <row r="637" spans="1:7" x14ac:dyDescent="0.25">
      <c r="A637" s="147">
        <v>632</v>
      </c>
      <c r="B637" s="167">
        <v>45434</v>
      </c>
      <c r="C637" s="117">
        <v>2024</v>
      </c>
      <c r="D637" s="119" t="s">
        <v>35</v>
      </c>
      <c r="E637" s="119" t="s">
        <v>839</v>
      </c>
      <c r="F637" s="120">
        <v>1</v>
      </c>
      <c r="G637" s="188">
        <v>118000</v>
      </c>
    </row>
    <row r="638" spans="1:7" x14ac:dyDescent="0.25">
      <c r="A638" s="147">
        <v>633</v>
      </c>
      <c r="B638" s="167">
        <v>45434</v>
      </c>
      <c r="C638" s="117">
        <v>2024</v>
      </c>
      <c r="D638" s="119" t="s">
        <v>35</v>
      </c>
      <c r="E638" s="119" t="s">
        <v>953</v>
      </c>
      <c r="F638" s="120">
        <v>1</v>
      </c>
      <c r="G638" s="188">
        <v>400000</v>
      </c>
    </row>
    <row r="639" spans="1:7" x14ac:dyDescent="0.25">
      <c r="A639" s="147">
        <v>634</v>
      </c>
      <c r="B639" s="167">
        <v>45434</v>
      </c>
      <c r="C639" s="117">
        <v>2024</v>
      </c>
      <c r="D639" s="119" t="s">
        <v>35</v>
      </c>
      <c r="E639" s="119" t="s">
        <v>838</v>
      </c>
      <c r="F639" s="120">
        <v>1</v>
      </c>
      <c r="G639" s="188">
        <v>75000</v>
      </c>
    </row>
    <row r="640" spans="1:7" x14ac:dyDescent="0.25">
      <c r="A640" s="147">
        <v>635</v>
      </c>
      <c r="B640" s="167">
        <v>45434</v>
      </c>
      <c r="C640" s="117">
        <v>2024</v>
      </c>
      <c r="D640" s="119" t="s">
        <v>35</v>
      </c>
      <c r="E640" s="119" t="s">
        <v>953</v>
      </c>
      <c r="F640" s="120">
        <v>1</v>
      </c>
      <c r="G640" s="188">
        <v>400000</v>
      </c>
    </row>
    <row r="641" spans="1:7" x14ac:dyDescent="0.25">
      <c r="A641" s="147">
        <v>636</v>
      </c>
      <c r="B641" s="167">
        <v>45434</v>
      </c>
      <c r="C641" s="117">
        <v>2024</v>
      </c>
      <c r="D641" s="119" t="s">
        <v>35</v>
      </c>
      <c r="E641" s="119" t="s">
        <v>838</v>
      </c>
      <c r="F641" s="120">
        <v>1</v>
      </c>
      <c r="G641" s="188">
        <v>75000</v>
      </c>
    </row>
    <row r="642" spans="1:7" x14ac:dyDescent="0.25">
      <c r="A642" s="147">
        <v>637</v>
      </c>
      <c r="B642" s="167">
        <v>45434</v>
      </c>
      <c r="C642" s="117">
        <v>2024</v>
      </c>
      <c r="D642" s="119" t="s">
        <v>35</v>
      </c>
      <c r="E642" s="119" t="s">
        <v>839</v>
      </c>
      <c r="F642" s="120">
        <v>1</v>
      </c>
      <c r="G642" s="188">
        <v>118000</v>
      </c>
    </row>
    <row r="643" spans="1:7" x14ac:dyDescent="0.25">
      <c r="A643" s="147">
        <v>638</v>
      </c>
      <c r="B643" s="167">
        <v>45434</v>
      </c>
      <c r="C643" s="117">
        <v>2024</v>
      </c>
      <c r="D643" s="119" t="s">
        <v>35</v>
      </c>
      <c r="E643" s="119" t="s">
        <v>839</v>
      </c>
      <c r="F643" s="120">
        <v>1</v>
      </c>
      <c r="G643" s="188">
        <v>180000</v>
      </c>
    </row>
    <row r="644" spans="1:7" x14ac:dyDescent="0.25">
      <c r="A644" s="147">
        <v>639</v>
      </c>
      <c r="B644" s="167">
        <v>45434</v>
      </c>
      <c r="C644" s="117">
        <v>2024</v>
      </c>
      <c r="D644" s="119" t="s">
        <v>35</v>
      </c>
      <c r="E644" s="119" t="s">
        <v>953</v>
      </c>
      <c r="F644" s="120">
        <v>1</v>
      </c>
      <c r="G644" s="188">
        <v>200000</v>
      </c>
    </row>
    <row r="645" spans="1:7" x14ac:dyDescent="0.25">
      <c r="A645" s="147">
        <v>640</v>
      </c>
      <c r="B645" s="167">
        <v>45434</v>
      </c>
      <c r="C645" s="117">
        <v>2024</v>
      </c>
      <c r="D645" s="119" t="s">
        <v>35</v>
      </c>
      <c r="E645" s="119" t="s">
        <v>1062</v>
      </c>
      <c r="F645" s="120">
        <v>1</v>
      </c>
      <c r="G645" s="188">
        <v>200000</v>
      </c>
    </row>
    <row r="646" spans="1:7" x14ac:dyDescent="0.25">
      <c r="A646" s="147">
        <v>641</v>
      </c>
      <c r="B646" s="167">
        <v>45434</v>
      </c>
      <c r="C646" s="117">
        <v>2024</v>
      </c>
      <c r="D646" s="119" t="s">
        <v>35</v>
      </c>
      <c r="E646" s="119" t="s">
        <v>953</v>
      </c>
      <c r="F646" s="120">
        <v>1</v>
      </c>
      <c r="G646" s="188">
        <v>184000</v>
      </c>
    </row>
    <row r="647" spans="1:7" x14ac:dyDescent="0.25">
      <c r="A647" s="147">
        <v>642</v>
      </c>
      <c r="B647" s="167">
        <v>45434</v>
      </c>
      <c r="C647" s="117">
        <v>2024</v>
      </c>
      <c r="D647" s="119" t="s">
        <v>35</v>
      </c>
      <c r="E647" s="119" t="s">
        <v>1063</v>
      </c>
      <c r="F647" s="120">
        <v>1</v>
      </c>
      <c r="G647" s="188">
        <v>223000</v>
      </c>
    </row>
    <row r="648" spans="1:7" x14ac:dyDescent="0.25">
      <c r="A648" s="147">
        <v>643</v>
      </c>
      <c r="B648" s="167">
        <v>45434</v>
      </c>
      <c r="C648" s="117">
        <v>2024</v>
      </c>
      <c r="D648" s="119" t="s">
        <v>35</v>
      </c>
      <c r="E648" s="119" t="s">
        <v>839</v>
      </c>
      <c r="F648" s="120">
        <v>1</v>
      </c>
      <c r="G648" s="188">
        <v>85000</v>
      </c>
    </row>
    <row r="649" spans="1:7" x14ac:dyDescent="0.25">
      <c r="A649" s="147">
        <v>644</v>
      </c>
      <c r="B649" s="167">
        <v>45434</v>
      </c>
      <c r="C649" s="117">
        <v>2024</v>
      </c>
      <c r="D649" s="119" t="s">
        <v>35</v>
      </c>
      <c r="E649" s="119" t="s">
        <v>953</v>
      </c>
      <c r="F649" s="120">
        <v>1</v>
      </c>
      <c r="G649" s="188">
        <v>400000</v>
      </c>
    </row>
    <row r="650" spans="1:7" x14ac:dyDescent="0.25">
      <c r="A650" s="147">
        <v>645</v>
      </c>
      <c r="B650" s="167">
        <v>45434</v>
      </c>
      <c r="C650" s="117">
        <v>2024</v>
      </c>
      <c r="D650" s="119" t="s">
        <v>35</v>
      </c>
      <c r="E650" s="119" t="s">
        <v>838</v>
      </c>
      <c r="F650" s="120">
        <v>1</v>
      </c>
      <c r="G650" s="188">
        <v>75000</v>
      </c>
    </row>
    <row r="651" spans="1:7" x14ac:dyDescent="0.25">
      <c r="A651" s="147">
        <v>646</v>
      </c>
      <c r="B651" s="167">
        <v>45434</v>
      </c>
      <c r="C651" s="117">
        <v>2024</v>
      </c>
      <c r="D651" s="119" t="s">
        <v>35</v>
      </c>
      <c r="E651" s="119" t="s">
        <v>953</v>
      </c>
      <c r="F651" s="120">
        <v>1</v>
      </c>
      <c r="G651" s="188">
        <v>400000</v>
      </c>
    </row>
    <row r="652" spans="1:7" x14ac:dyDescent="0.25">
      <c r="A652" s="147">
        <v>647</v>
      </c>
      <c r="B652" s="167">
        <v>45434</v>
      </c>
      <c r="C652" s="117">
        <v>2024</v>
      </c>
      <c r="D652" s="119" t="s">
        <v>35</v>
      </c>
      <c r="E652" s="119" t="s">
        <v>953</v>
      </c>
      <c r="F652" s="120">
        <v>1</v>
      </c>
      <c r="G652" s="188">
        <v>50000</v>
      </c>
    </row>
    <row r="653" spans="1:7" x14ac:dyDescent="0.25">
      <c r="A653" s="147">
        <v>648</v>
      </c>
      <c r="B653" s="167">
        <v>45434</v>
      </c>
      <c r="C653" s="117">
        <v>2024</v>
      </c>
      <c r="D653" s="119" t="s">
        <v>35</v>
      </c>
      <c r="E653" s="119" t="s">
        <v>785</v>
      </c>
      <c r="F653" s="120">
        <v>1</v>
      </c>
      <c r="G653" s="188">
        <v>140000</v>
      </c>
    </row>
    <row r="654" spans="1:7" x14ac:dyDescent="0.25">
      <c r="A654" s="147">
        <v>649</v>
      </c>
      <c r="B654" s="167">
        <v>45434</v>
      </c>
      <c r="C654" s="117">
        <v>2024</v>
      </c>
      <c r="D654" s="119" t="s">
        <v>35</v>
      </c>
      <c r="E654" s="119" t="s">
        <v>1064</v>
      </c>
      <c r="F654" s="120">
        <v>1</v>
      </c>
      <c r="G654" s="188">
        <v>95000</v>
      </c>
    </row>
    <row r="655" spans="1:7" x14ac:dyDescent="0.25">
      <c r="A655" s="147">
        <v>650</v>
      </c>
      <c r="B655" s="167">
        <v>45434</v>
      </c>
      <c r="C655" s="117">
        <v>2024</v>
      </c>
      <c r="D655" s="119" t="s">
        <v>35</v>
      </c>
      <c r="E655" s="119" t="s">
        <v>839</v>
      </c>
      <c r="F655" s="120">
        <v>1</v>
      </c>
      <c r="G655" s="188">
        <v>140000</v>
      </c>
    </row>
    <row r="656" spans="1:7" x14ac:dyDescent="0.25">
      <c r="A656" s="147">
        <v>651</v>
      </c>
      <c r="B656" s="167">
        <v>45434</v>
      </c>
      <c r="C656" s="117">
        <v>2024</v>
      </c>
      <c r="D656" s="119" t="s">
        <v>35</v>
      </c>
      <c r="E656" s="119" t="s">
        <v>839</v>
      </c>
      <c r="F656" s="120">
        <v>1</v>
      </c>
      <c r="G656" s="188">
        <v>85000</v>
      </c>
    </row>
    <row r="657" spans="1:7" x14ac:dyDescent="0.25">
      <c r="A657" s="147">
        <v>652</v>
      </c>
      <c r="B657" s="167">
        <v>45434</v>
      </c>
      <c r="C657" s="117">
        <v>2024</v>
      </c>
      <c r="D657" s="119" t="s">
        <v>35</v>
      </c>
      <c r="E657" s="119" t="s">
        <v>953</v>
      </c>
      <c r="F657" s="120">
        <v>1</v>
      </c>
      <c r="G657" s="188">
        <v>50000</v>
      </c>
    </row>
    <row r="658" spans="1:7" x14ac:dyDescent="0.25">
      <c r="A658" s="147">
        <v>653</v>
      </c>
      <c r="B658" s="167">
        <v>45434</v>
      </c>
      <c r="C658" s="117">
        <v>2024</v>
      </c>
      <c r="D658" s="119" t="s">
        <v>35</v>
      </c>
      <c r="E658" s="119" t="s">
        <v>953</v>
      </c>
      <c r="F658" s="120">
        <v>1</v>
      </c>
      <c r="G658" s="188">
        <v>400000</v>
      </c>
    </row>
    <row r="659" spans="1:7" x14ac:dyDescent="0.25">
      <c r="A659" s="147">
        <v>654</v>
      </c>
      <c r="B659" s="167">
        <v>45434</v>
      </c>
      <c r="C659" s="117">
        <v>2024</v>
      </c>
      <c r="D659" s="119" t="s">
        <v>35</v>
      </c>
      <c r="E659" s="119" t="s">
        <v>1062</v>
      </c>
      <c r="F659" s="120">
        <v>1</v>
      </c>
      <c r="G659" s="188">
        <v>223000</v>
      </c>
    </row>
    <row r="660" spans="1:7" x14ac:dyDescent="0.25">
      <c r="A660" s="147">
        <v>655</v>
      </c>
      <c r="B660" s="167">
        <v>45434</v>
      </c>
      <c r="C660" s="117">
        <v>2024</v>
      </c>
      <c r="D660" s="119" t="s">
        <v>35</v>
      </c>
      <c r="E660" s="119" t="s">
        <v>1063</v>
      </c>
      <c r="F660" s="120">
        <v>1</v>
      </c>
      <c r="G660" s="188">
        <v>184000</v>
      </c>
    </row>
    <row r="661" spans="1:7" x14ac:dyDescent="0.25">
      <c r="A661" s="147">
        <v>656</v>
      </c>
      <c r="B661" s="167">
        <v>45434</v>
      </c>
      <c r="C661" s="117">
        <v>2024</v>
      </c>
      <c r="D661" s="119" t="s">
        <v>35</v>
      </c>
      <c r="E661" s="119" t="s">
        <v>838</v>
      </c>
      <c r="F661" s="120">
        <v>1</v>
      </c>
      <c r="G661" s="188">
        <v>75000</v>
      </c>
    </row>
    <row r="662" spans="1:7" x14ac:dyDescent="0.25">
      <c r="A662" s="147">
        <v>657</v>
      </c>
      <c r="B662" s="167">
        <v>45434</v>
      </c>
      <c r="C662" s="117">
        <v>2024</v>
      </c>
      <c r="D662" s="119" t="s">
        <v>35</v>
      </c>
      <c r="E662" s="119" t="s">
        <v>953</v>
      </c>
      <c r="F662" s="120">
        <v>1</v>
      </c>
      <c r="G662" s="188">
        <v>400000</v>
      </c>
    </row>
    <row r="663" spans="1:7" x14ac:dyDescent="0.25">
      <c r="A663" s="147">
        <v>658</v>
      </c>
      <c r="B663" s="167">
        <v>45434</v>
      </c>
      <c r="C663" s="117">
        <v>2024</v>
      </c>
      <c r="D663" s="119" t="s">
        <v>35</v>
      </c>
      <c r="E663" s="119" t="s">
        <v>838</v>
      </c>
      <c r="F663" s="120">
        <v>1</v>
      </c>
      <c r="G663" s="188">
        <v>75000</v>
      </c>
    </row>
    <row r="664" spans="1:7" x14ac:dyDescent="0.25">
      <c r="A664" s="147">
        <v>659</v>
      </c>
      <c r="B664" s="167">
        <v>45434</v>
      </c>
      <c r="C664" s="117">
        <v>2024</v>
      </c>
      <c r="D664" s="119" t="s">
        <v>35</v>
      </c>
      <c r="E664" s="119" t="s">
        <v>953</v>
      </c>
      <c r="F664" s="120">
        <v>1</v>
      </c>
      <c r="G664" s="188">
        <v>400000</v>
      </c>
    </row>
    <row r="665" spans="1:7" x14ac:dyDescent="0.25">
      <c r="A665" s="147">
        <v>660</v>
      </c>
      <c r="B665" s="167">
        <v>45434</v>
      </c>
      <c r="C665" s="117">
        <v>2024</v>
      </c>
      <c r="D665" s="119" t="s">
        <v>35</v>
      </c>
      <c r="E665" s="119" t="s">
        <v>953</v>
      </c>
      <c r="F665" s="120">
        <v>1</v>
      </c>
      <c r="G665" s="188">
        <v>400000</v>
      </c>
    </row>
    <row r="666" spans="1:7" x14ac:dyDescent="0.25">
      <c r="A666" s="147">
        <v>661</v>
      </c>
      <c r="B666" s="167">
        <v>45434</v>
      </c>
      <c r="C666" s="117">
        <v>2024</v>
      </c>
      <c r="D666" s="119" t="s">
        <v>35</v>
      </c>
      <c r="E666" s="119" t="s">
        <v>1062</v>
      </c>
      <c r="F666" s="120">
        <v>1</v>
      </c>
      <c r="G666" s="188">
        <v>223000</v>
      </c>
    </row>
    <row r="667" spans="1:7" x14ac:dyDescent="0.25">
      <c r="A667" s="147">
        <v>662</v>
      </c>
      <c r="B667" s="167">
        <v>45434</v>
      </c>
      <c r="C667" s="117">
        <v>2024</v>
      </c>
      <c r="D667" s="119" t="s">
        <v>35</v>
      </c>
      <c r="E667" s="119" t="s">
        <v>838</v>
      </c>
      <c r="F667" s="120">
        <v>1</v>
      </c>
      <c r="G667" s="188">
        <v>75000</v>
      </c>
    </row>
    <row r="668" spans="1:7" x14ac:dyDescent="0.25">
      <c r="A668" s="147">
        <v>663</v>
      </c>
      <c r="B668" s="167">
        <v>45434</v>
      </c>
      <c r="C668" s="117">
        <v>2024</v>
      </c>
      <c r="D668" s="119" t="s">
        <v>35</v>
      </c>
      <c r="E668" s="119" t="s">
        <v>953</v>
      </c>
      <c r="F668" s="120">
        <v>1</v>
      </c>
      <c r="G668" s="188">
        <v>400000</v>
      </c>
    </row>
    <row r="669" spans="1:7" x14ac:dyDescent="0.25">
      <c r="A669" s="147">
        <v>664</v>
      </c>
      <c r="B669" s="167">
        <v>45434</v>
      </c>
      <c r="C669" s="117">
        <v>2024</v>
      </c>
      <c r="D669" s="119" t="s">
        <v>35</v>
      </c>
      <c r="E669" s="119" t="s">
        <v>1062</v>
      </c>
      <c r="F669" s="120">
        <v>1</v>
      </c>
      <c r="G669" s="188">
        <v>184000</v>
      </c>
    </row>
    <row r="670" spans="1:7" x14ac:dyDescent="0.25">
      <c r="A670" s="147">
        <v>665</v>
      </c>
      <c r="B670" s="167">
        <v>45434</v>
      </c>
      <c r="C670" s="117">
        <v>2024</v>
      </c>
      <c r="D670" s="119" t="s">
        <v>35</v>
      </c>
      <c r="E670" s="119" t="s">
        <v>838</v>
      </c>
      <c r="F670" s="120">
        <v>1</v>
      </c>
      <c r="G670" s="188">
        <v>75000</v>
      </c>
    </row>
    <row r="671" spans="1:7" x14ac:dyDescent="0.25">
      <c r="A671" s="147">
        <v>666</v>
      </c>
      <c r="B671" s="167">
        <v>45434</v>
      </c>
      <c r="C671" s="117">
        <v>2024</v>
      </c>
      <c r="D671" s="119" t="s">
        <v>35</v>
      </c>
      <c r="E671" s="119" t="s">
        <v>953</v>
      </c>
      <c r="F671" s="120">
        <v>1</v>
      </c>
      <c r="G671" s="188">
        <v>400000</v>
      </c>
    </row>
    <row r="672" spans="1:7" x14ac:dyDescent="0.25">
      <c r="A672" s="147">
        <v>667</v>
      </c>
      <c r="B672" s="167">
        <v>45434</v>
      </c>
      <c r="C672" s="117">
        <v>2024</v>
      </c>
      <c r="D672" s="119" t="s">
        <v>35</v>
      </c>
      <c r="E672" s="119" t="s">
        <v>839</v>
      </c>
      <c r="F672" s="120">
        <v>1</v>
      </c>
      <c r="G672" s="188">
        <v>85000</v>
      </c>
    </row>
    <row r="673" spans="1:7" x14ac:dyDescent="0.25">
      <c r="A673" s="147">
        <v>668</v>
      </c>
      <c r="B673" s="167">
        <v>45434</v>
      </c>
      <c r="C673" s="117">
        <v>2024</v>
      </c>
      <c r="D673" s="119" t="s">
        <v>35</v>
      </c>
      <c r="E673" s="119" t="s">
        <v>953</v>
      </c>
      <c r="F673" s="120">
        <v>1</v>
      </c>
      <c r="G673" s="188">
        <v>400000</v>
      </c>
    </row>
    <row r="674" spans="1:7" x14ac:dyDescent="0.25">
      <c r="A674" s="147">
        <v>669</v>
      </c>
      <c r="B674" s="167">
        <v>45434</v>
      </c>
      <c r="C674" s="117">
        <v>2024</v>
      </c>
      <c r="D674" s="119" t="s">
        <v>35</v>
      </c>
      <c r="E674" s="119" t="s">
        <v>1062</v>
      </c>
      <c r="F674" s="120">
        <v>1</v>
      </c>
      <c r="G674" s="188">
        <v>223000</v>
      </c>
    </row>
    <row r="675" spans="1:7" x14ac:dyDescent="0.25">
      <c r="A675" s="147">
        <v>670</v>
      </c>
      <c r="B675" s="167">
        <v>45434</v>
      </c>
      <c r="C675" s="117">
        <v>2024</v>
      </c>
      <c r="D675" s="119" t="s">
        <v>35</v>
      </c>
      <c r="E675" s="119" t="s">
        <v>1063</v>
      </c>
      <c r="F675" s="120">
        <v>1</v>
      </c>
      <c r="G675" s="188">
        <v>184000</v>
      </c>
    </row>
    <row r="676" spans="1:7" x14ac:dyDescent="0.25">
      <c r="A676" s="147">
        <v>671</v>
      </c>
      <c r="B676" s="167">
        <v>45434</v>
      </c>
      <c r="C676" s="117">
        <v>2024</v>
      </c>
      <c r="D676" s="119" t="s">
        <v>35</v>
      </c>
      <c r="E676" s="119" t="s">
        <v>839</v>
      </c>
      <c r="F676" s="120">
        <v>1</v>
      </c>
      <c r="G676" s="188">
        <v>85000</v>
      </c>
    </row>
    <row r="677" spans="1:7" x14ac:dyDescent="0.25">
      <c r="A677" s="147">
        <v>672</v>
      </c>
      <c r="B677" s="167">
        <v>45434</v>
      </c>
      <c r="C677" s="117">
        <v>2024</v>
      </c>
      <c r="D677" s="119" t="s">
        <v>35</v>
      </c>
      <c r="E677" s="119" t="s">
        <v>1064</v>
      </c>
      <c r="F677" s="120">
        <v>1</v>
      </c>
      <c r="G677" s="188">
        <v>95000</v>
      </c>
    </row>
    <row r="678" spans="1:7" x14ac:dyDescent="0.25">
      <c r="A678" s="147">
        <v>673</v>
      </c>
      <c r="B678" s="167">
        <v>45434</v>
      </c>
      <c r="C678" s="117">
        <v>2024</v>
      </c>
      <c r="D678" s="119" t="s">
        <v>35</v>
      </c>
      <c r="E678" s="119" t="s">
        <v>1062</v>
      </c>
      <c r="F678" s="120">
        <v>1</v>
      </c>
      <c r="G678" s="188">
        <v>195000</v>
      </c>
    </row>
    <row r="679" spans="1:7" x14ac:dyDescent="0.25">
      <c r="A679" s="147">
        <v>674</v>
      </c>
      <c r="B679" s="167">
        <v>45434</v>
      </c>
      <c r="C679" s="117">
        <v>2024</v>
      </c>
      <c r="D679" s="119" t="s">
        <v>35</v>
      </c>
      <c r="E679" s="119" t="s">
        <v>953</v>
      </c>
      <c r="F679" s="120">
        <v>1</v>
      </c>
      <c r="G679" s="188">
        <v>400000</v>
      </c>
    </row>
    <row r="680" spans="1:7" x14ac:dyDescent="0.25">
      <c r="A680" s="147">
        <v>675</v>
      </c>
      <c r="B680" s="167">
        <v>45434</v>
      </c>
      <c r="C680" s="117">
        <v>2024</v>
      </c>
      <c r="D680" s="119" t="s">
        <v>35</v>
      </c>
      <c r="E680" s="119" t="s">
        <v>953</v>
      </c>
      <c r="F680" s="120">
        <v>1</v>
      </c>
      <c r="G680" s="188">
        <v>400000</v>
      </c>
    </row>
    <row r="681" spans="1:7" x14ac:dyDescent="0.25">
      <c r="A681" s="147">
        <v>676</v>
      </c>
      <c r="B681" s="167">
        <v>45434</v>
      </c>
      <c r="C681" s="117">
        <v>2024</v>
      </c>
      <c r="D681" s="119" t="s">
        <v>35</v>
      </c>
      <c r="E681" s="119" t="s">
        <v>953</v>
      </c>
      <c r="F681" s="120">
        <v>1</v>
      </c>
      <c r="G681" s="188">
        <v>400000</v>
      </c>
    </row>
    <row r="682" spans="1:7" x14ac:dyDescent="0.25">
      <c r="A682" s="147">
        <v>677</v>
      </c>
      <c r="B682" s="167">
        <v>45434</v>
      </c>
      <c r="C682" s="117">
        <v>2024</v>
      </c>
      <c r="D682" s="119" t="s">
        <v>35</v>
      </c>
      <c r="E682" s="119" t="s">
        <v>1062</v>
      </c>
      <c r="F682" s="120">
        <v>1</v>
      </c>
      <c r="G682" s="188">
        <v>184000</v>
      </c>
    </row>
    <row r="683" spans="1:7" x14ac:dyDescent="0.25">
      <c r="A683" s="147">
        <v>678</v>
      </c>
      <c r="B683" s="167">
        <v>45434</v>
      </c>
      <c r="C683" s="117">
        <v>2024</v>
      </c>
      <c r="D683" s="119" t="s">
        <v>35</v>
      </c>
      <c r="E683" s="119" t="s">
        <v>838</v>
      </c>
      <c r="F683" s="120">
        <v>1</v>
      </c>
      <c r="G683" s="188">
        <v>75000</v>
      </c>
    </row>
    <row r="684" spans="1:7" x14ac:dyDescent="0.25">
      <c r="A684" s="147">
        <v>679</v>
      </c>
      <c r="B684" s="167">
        <v>45434</v>
      </c>
      <c r="C684" s="117">
        <v>2024</v>
      </c>
      <c r="D684" s="119" t="s">
        <v>35</v>
      </c>
      <c r="E684" s="119" t="s">
        <v>953</v>
      </c>
      <c r="F684" s="120">
        <v>1</v>
      </c>
      <c r="G684" s="188">
        <v>400000</v>
      </c>
    </row>
    <row r="685" spans="1:7" x14ac:dyDescent="0.25">
      <c r="A685" s="147">
        <v>680</v>
      </c>
      <c r="B685" s="167">
        <v>45434</v>
      </c>
      <c r="C685" s="117">
        <v>2024</v>
      </c>
      <c r="D685" s="119" t="s">
        <v>35</v>
      </c>
      <c r="E685" s="119" t="s">
        <v>953</v>
      </c>
      <c r="F685" s="120">
        <v>1</v>
      </c>
      <c r="G685" s="188">
        <v>50000</v>
      </c>
    </row>
    <row r="686" spans="1:7" x14ac:dyDescent="0.25">
      <c r="A686" s="147">
        <v>681</v>
      </c>
      <c r="B686" s="167">
        <v>45434</v>
      </c>
      <c r="C686" s="117">
        <v>2024</v>
      </c>
      <c r="D686" s="119" t="s">
        <v>35</v>
      </c>
      <c r="E686" s="119" t="s">
        <v>953</v>
      </c>
      <c r="F686" s="120">
        <v>1</v>
      </c>
      <c r="G686" s="188">
        <v>223000</v>
      </c>
    </row>
    <row r="687" spans="1:7" x14ac:dyDescent="0.25">
      <c r="A687" s="147">
        <v>682</v>
      </c>
      <c r="B687" s="167">
        <v>45434</v>
      </c>
      <c r="C687" s="117">
        <v>2024</v>
      </c>
      <c r="D687" s="119" t="s">
        <v>35</v>
      </c>
      <c r="E687" s="119" t="s">
        <v>955</v>
      </c>
      <c r="F687" s="120">
        <v>1</v>
      </c>
      <c r="G687" s="188">
        <v>140000</v>
      </c>
    </row>
    <row r="688" spans="1:7" x14ac:dyDescent="0.25">
      <c r="A688" s="147">
        <v>683</v>
      </c>
      <c r="B688" s="167">
        <v>45434</v>
      </c>
      <c r="C688" s="117">
        <v>2024</v>
      </c>
      <c r="D688" s="119" t="s">
        <v>35</v>
      </c>
      <c r="E688" s="119" t="s">
        <v>839</v>
      </c>
      <c r="F688" s="120">
        <v>1</v>
      </c>
      <c r="G688" s="188">
        <v>40000</v>
      </c>
    </row>
    <row r="689" spans="1:7" x14ac:dyDescent="0.25">
      <c r="A689" s="147">
        <v>684</v>
      </c>
      <c r="B689" s="167">
        <v>45434</v>
      </c>
      <c r="C689" s="117">
        <v>2024</v>
      </c>
      <c r="D689" s="119" t="s">
        <v>35</v>
      </c>
      <c r="E689" s="119" t="s">
        <v>839</v>
      </c>
      <c r="F689" s="120">
        <v>1</v>
      </c>
      <c r="G689" s="188">
        <v>85000</v>
      </c>
    </row>
    <row r="690" spans="1:7" x14ac:dyDescent="0.25">
      <c r="A690" s="147">
        <v>685</v>
      </c>
      <c r="B690" s="167">
        <v>45434</v>
      </c>
      <c r="C690" s="117">
        <v>2024</v>
      </c>
      <c r="D690" s="119" t="s">
        <v>35</v>
      </c>
      <c r="E690" s="119" t="s">
        <v>838</v>
      </c>
      <c r="F690" s="120">
        <v>1</v>
      </c>
      <c r="G690" s="188">
        <v>75000</v>
      </c>
    </row>
    <row r="691" spans="1:7" x14ac:dyDescent="0.25">
      <c r="A691" s="147">
        <v>686</v>
      </c>
      <c r="B691" s="167">
        <v>45434</v>
      </c>
      <c r="C691" s="117">
        <v>2024</v>
      </c>
      <c r="D691" s="119" t="s">
        <v>35</v>
      </c>
      <c r="E691" s="119" t="s">
        <v>953</v>
      </c>
      <c r="F691" s="120">
        <v>1</v>
      </c>
      <c r="G691" s="188">
        <v>50000</v>
      </c>
    </row>
    <row r="692" spans="1:7" x14ac:dyDescent="0.25">
      <c r="A692" s="147">
        <v>687</v>
      </c>
      <c r="B692" s="167">
        <v>45434</v>
      </c>
      <c r="C692" s="117">
        <v>2024</v>
      </c>
      <c r="D692" s="119" t="s">
        <v>35</v>
      </c>
      <c r="E692" s="119" t="s">
        <v>953</v>
      </c>
      <c r="F692" s="120">
        <v>1</v>
      </c>
      <c r="G692" s="188">
        <v>400000</v>
      </c>
    </row>
    <row r="693" spans="1:7" x14ac:dyDescent="0.25">
      <c r="A693" s="147">
        <v>688</v>
      </c>
      <c r="B693" s="167">
        <v>45434</v>
      </c>
      <c r="C693" s="117">
        <v>2024</v>
      </c>
      <c r="D693" s="119" t="s">
        <v>35</v>
      </c>
      <c r="E693" s="119" t="s">
        <v>1064</v>
      </c>
      <c r="F693" s="120">
        <v>1</v>
      </c>
      <c r="G693" s="188">
        <v>95000</v>
      </c>
    </row>
    <row r="694" spans="1:7" x14ac:dyDescent="0.25">
      <c r="A694" s="147">
        <v>689</v>
      </c>
      <c r="B694" s="167">
        <v>45434</v>
      </c>
      <c r="C694" s="117">
        <v>2024</v>
      </c>
      <c r="D694" s="119" t="s">
        <v>35</v>
      </c>
      <c r="E694" s="119" t="s">
        <v>839</v>
      </c>
      <c r="F694" s="120">
        <v>1</v>
      </c>
      <c r="G694" s="188">
        <v>140000</v>
      </c>
    </row>
    <row r="695" spans="1:7" x14ac:dyDescent="0.25">
      <c r="A695" s="147">
        <v>690</v>
      </c>
      <c r="B695" s="167">
        <v>45434</v>
      </c>
      <c r="C695" s="117">
        <v>2024</v>
      </c>
      <c r="D695" s="119" t="s">
        <v>35</v>
      </c>
      <c r="E695" s="119" t="s">
        <v>953</v>
      </c>
      <c r="F695" s="120">
        <v>1</v>
      </c>
      <c r="G695" s="188">
        <v>400000</v>
      </c>
    </row>
    <row r="696" spans="1:7" x14ac:dyDescent="0.25">
      <c r="A696" s="147">
        <v>691</v>
      </c>
      <c r="B696" s="167">
        <v>45434</v>
      </c>
      <c r="C696" s="117">
        <v>2024</v>
      </c>
      <c r="D696" s="119" t="s">
        <v>35</v>
      </c>
      <c r="E696" s="119" t="s">
        <v>838</v>
      </c>
      <c r="F696" s="120">
        <v>1</v>
      </c>
      <c r="G696" s="188">
        <v>75000</v>
      </c>
    </row>
    <row r="697" spans="1:7" x14ac:dyDescent="0.25">
      <c r="A697" s="147">
        <v>692</v>
      </c>
      <c r="B697" s="167">
        <v>45434</v>
      </c>
      <c r="C697" s="117">
        <v>2024</v>
      </c>
      <c r="D697" s="119" t="s">
        <v>35</v>
      </c>
      <c r="E697" s="119" t="s">
        <v>953</v>
      </c>
      <c r="F697" s="120">
        <v>1</v>
      </c>
      <c r="G697" s="188">
        <v>400000</v>
      </c>
    </row>
    <row r="698" spans="1:7" x14ac:dyDescent="0.25">
      <c r="A698" s="147">
        <v>693</v>
      </c>
      <c r="B698" s="167">
        <v>45434</v>
      </c>
      <c r="C698" s="117">
        <v>2024</v>
      </c>
      <c r="D698" s="119" t="s">
        <v>35</v>
      </c>
      <c r="E698" s="119" t="s">
        <v>839</v>
      </c>
      <c r="F698" s="120">
        <v>1</v>
      </c>
      <c r="G698" s="188">
        <v>85000</v>
      </c>
    </row>
    <row r="699" spans="1:7" x14ac:dyDescent="0.25">
      <c r="A699" s="147">
        <v>694</v>
      </c>
      <c r="B699" s="167">
        <v>45434</v>
      </c>
      <c r="C699" s="117">
        <v>2024</v>
      </c>
      <c r="D699" s="119" t="s">
        <v>35</v>
      </c>
      <c r="E699" s="119" t="s">
        <v>1064</v>
      </c>
      <c r="F699" s="120">
        <v>1</v>
      </c>
      <c r="G699" s="188">
        <v>95000</v>
      </c>
    </row>
    <row r="700" spans="1:7" x14ac:dyDescent="0.25">
      <c r="A700" s="147">
        <v>695</v>
      </c>
      <c r="B700" s="167">
        <v>45434</v>
      </c>
      <c r="C700" s="117">
        <v>2024</v>
      </c>
      <c r="D700" s="119" t="s">
        <v>35</v>
      </c>
      <c r="E700" s="119" t="s">
        <v>839</v>
      </c>
      <c r="F700" s="120">
        <v>1</v>
      </c>
      <c r="G700" s="188">
        <v>140000</v>
      </c>
    </row>
    <row r="701" spans="1:7" x14ac:dyDescent="0.25">
      <c r="A701" s="147">
        <v>696</v>
      </c>
      <c r="B701" s="167">
        <v>45434</v>
      </c>
      <c r="C701" s="117">
        <v>2024</v>
      </c>
      <c r="D701" s="119" t="s">
        <v>35</v>
      </c>
      <c r="E701" s="119" t="s">
        <v>953</v>
      </c>
      <c r="F701" s="120">
        <v>1</v>
      </c>
      <c r="G701" s="188">
        <v>50000</v>
      </c>
    </row>
    <row r="702" spans="1:7" x14ac:dyDescent="0.25">
      <c r="A702" s="147">
        <v>697</v>
      </c>
      <c r="B702" s="167">
        <v>45434</v>
      </c>
      <c r="C702" s="117">
        <v>2024</v>
      </c>
      <c r="D702" s="119" t="s">
        <v>35</v>
      </c>
      <c r="E702" s="119" t="s">
        <v>953</v>
      </c>
      <c r="F702" s="120">
        <v>1</v>
      </c>
      <c r="G702" s="188">
        <v>400000</v>
      </c>
    </row>
    <row r="703" spans="1:7" x14ac:dyDescent="0.25">
      <c r="A703" s="147">
        <v>698</v>
      </c>
      <c r="B703" s="116">
        <v>45436</v>
      </c>
      <c r="C703" s="117">
        <v>2024</v>
      </c>
      <c r="D703" s="118" t="s">
        <v>35</v>
      </c>
      <c r="E703" s="119" t="s">
        <v>84</v>
      </c>
      <c r="F703" s="120">
        <v>1</v>
      </c>
      <c r="G703" s="121">
        <v>17500</v>
      </c>
    </row>
    <row r="704" spans="1:7" x14ac:dyDescent="0.25">
      <c r="A704" s="147">
        <v>699</v>
      </c>
      <c r="B704" s="167">
        <v>45440</v>
      </c>
      <c r="C704" s="117">
        <v>2024</v>
      </c>
      <c r="D704" s="119" t="s">
        <v>35</v>
      </c>
      <c r="E704" s="119" t="s">
        <v>1068</v>
      </c>
      <c r="F704" s="120">
        <v>1</v>
      </c>
      <c r="G704" s="188">
        <v>18000</v>
      </c>
    </row>
    <row r="705" spans="1:7" x14ac:dyDescent="0.25">
      <c r="A705" s="147">
        <v>700</v>
      </c>
      <c r="B705" s="167">
        <v>45440</v>
      </c>
      <c r="C705" s="117">
        <v>2024</v>
      </c>
      <c r="D705" s="119" t="s">
        <v>35</v>
      </c>
      <c r="E705" s="119" t="s">
        <v>476</v>
      </c>
      <c r="F705" s="120">
        <v>2</v>
      </c>
      <c r="G705" s="188">
        <v>319996</v>
      </c>
    </row>
    <row r="706" spans="1:7" x14ac:dyDescent="0.25">
      <c r="A706" s="147">
        <v>701</v>
      </c>
      <c r="B706" s="167">
        <v>45440</v>
      </c>
      <c r="C706" s="117">
        <v>2024</v>
      </c>
      <c r="D706" s="119" t="s">
        <v>35</v>
      </c>
      <c r="E706" s="119" t="s">
        <v>224</v>
      </c>
      <c r="F706" s="120">
        <v>1</v>
      </c>
      <c r="G706" s="188">
        <v>95000</v>
      </c>
    </row>
    <row r="707" spans="1:7" x14ac:dyDescent="0.25">
      <c r="A707" s="147">
        <v>702</v>
      </c>
      <c r="B707" s="167">
        <v>45440</v>
      </c>
      <c r="C707" s="117">
        <v>2024</v>
      </c>
      <c r="D707" s="119" t="s">
        <v>35</v>
      </c>
      <c r="E707" s="119" t="s">
        <v>1069</v>
      </c>
      <c r="F707" s="120">
        <v>1</v>
      </c>
      <c r="G707" s="188">
        <v>9998</v>
      </c>
    </row>
    <row r="708" spans="1:7" x14ac:dyDescent="0.25">
      <c r="A708" s="147">
        <v>703</v>
      </c>
      <c r="B708" s="167">
        <v>45441</v>
      </c>
      <c r="C708" s="117">
        <v>2024</v>
      </c>
      <c r="D708" s="119" t="s">
        <v>35</v>
      </c>
      <c r="E708" s="119" t="s">
        <v>1070</v>
      </c>
      <c r="F708" s="120">
        <v>1</v>
      </c>
      <c r="G708" s="188">
        <v>503075</v>
      </c>
    </row>
    <row r="709" spans="1:7" x14ac:dyDescent="0.25">
      <c r="A709" s="147">
        <v>704</v>
      </c>
      <c r="B709" s="167">
        <v>45446</v>
      </c>
      <c r="C709" s="117">
        <v>2024</v>
      </c>
      <c r="D709" s="119" t="s">
        <v>35</v>
      </c>
      <c r="E709" s="119" t="s">
        <v>1072</v>
      </c>
      <c r="F709" s="120">
        <v>1</v>
      </c>
      <c r="G709" s="188">
        <v>575000</v>
      </c>
    </row>
    <row r="710" spans="1:7" x14ac:dyDescent="0.25">
      <c r="A710" s="147">
        <v>705</v>
      </c>
      <c r="B710" s="167">
        <v>45446</v>
      </c>
      <c r="C710" s="117">
        <v>2024</v>
      </c>
      <c r="D710" s="119" t="s">
        <v>35</v>
      </c>
      <c r="E710" s="119" t="s">
        <v>1072</v>
      </c>
      <c r="F710" s="120">
        <v>1</v>
      </c>
      <c r="G710" s="188">
        <v>575000</v>
      </c>
    </row>
    <row r="711" spans="1:7" x14ac:dyDescent="0.25">
      <c r="A711" s="147">
        <v>706</v>
      </c>
      <c r="B711" s="167">
        <v>45446</v>
      </c>
      <c r="C711" s="117">
        <v>2024</v>
      </c>
      <c r="D711" s="119" t="s">
        <v>35</v>
      </c>
      <c r="E711" s="119" t="s">
        <v>1073</v>
      </c>
      <c r="F711" s="120">
        <v>1</v>
      </c>
      <c r="G711" s="188">
        <v>55000</v>
      </c>
    </row>
    <row r="712" spans="1:7" x14ac:dyDescent="0.25">
      <c r="A712" s="147">
        <v>707</v>
      </c>
      <c r="B712" s="167">
        <v>45446</v>
      </c>
      <c r="C712" s="117">
        <v>2024</v>
      </c>
      <c r="D712" s="119" t="s">
        <v>35</v>
      </c>
      <c r="E712" s="119" t="s">
        <v>1074</v>
      </c>
      <c r="F712" s="120">
        <v>1</v>
      </c>
      <c r="G712" s="188">
        <v>35000</v>
      </c>
    </row>
    <row r="713" spans="1:7" x14ac:dyDescent="0.25">
      <c r="A713" s="147">
        <v>708</v>
      </c>
      <c r="B713" s="167">
        <v>45446</v>
      </c>
      <c r="C713" s="117">
        <v>2024</v>
      </c>
      <c r="D713" s="119" t="s">
        <v>35</v>
      </c>
      <c r="E713" s="119" t="s">
        <v>761</v>
      </c>
      <c r="F713" s="120">
        <v>1</v>
      </c>
      <c r="G713" s="188">
        <v>1550000</v>
      </c>
    </row>
    <row r="714" spans="1:7" x14ac:dyDescent="0.25">
      <c r="A714" s="147">
        <v>709</v>
      </c>
      <c r="B714" s="167">
        <v>45446</v>
      </c>
      <c r="C714" s="117">
        <v>2024</v>
      </c>
      <c r="D714" s="119" t="s">
        <v>35</v>
      </c>
      <c r="E714" s="119" t="s">
        <v>761</v>
      </c>
      <c r="F714" s="120">
        <v>1</v>
      </c>
      <c r="G714" s="188">
        <v>1550000</v>
      </c>
    </row>
    <row r="715" spans="1:7" x14ac:dyDescent="0.25">
      <c r="A715" s="147">
        <v>710</v>
      </c>
      <c r="B715" s="167">
        <v>45446</v>
      </c>
      <c r="C715" s="117">
        <v>2024</v>
      </c>
      <c r="D715" s="119" t="s">
        <v>35</v>
      </c>
      <c r="E715" s="119" t="s">
        <v>827</v>
      </c>
      <c r="F715" s="120">
        <v>1</v>
      </c>
      <c r="G715" s="188">
        <v>140000</v>
      </c>
    </row>
    <row r="716" spans="1:7" x14ac:dyDescent="0.25">
      <c r="A716" s="147">
        <v>711</v>
      </c>
      <c r="B716" s="167">
        <v>45446</v>
      </c>
      <c r="C716" s="117">
        <v>2024</v>
      </c>
      <c r="D716" s="119" t="s">
        <v>35</v>
      </c>
      <c r="E716" s="119" t="s">
        <v>823</v>
      </c>
      <c r="F716" s="120">
        <v>1</v>
      </c>
      <c r="G716" s="188">
        <v>65000</v>
      </c>
    </row>
    <row r="717" spans="1:7" x14ac:dyDescent="0.25">
      <c r="A717" s="147">
        <v>712</v>
      </c>
      <c r="B717" s="167">
        <v>45446</v>
      </c>
      <c r="C717" s="117">
        <v>2024</v>
      </c>
      <c r="D717" s="119" t="s">
        <v>35</v>
      </c>
      <c r="E717" s="119" t="s">
        <v>761</v>
      </c>
      <c r="F717" s="120">
        <v>1</v>
      </c>
      <c r="G717" s="188">
        <v>1250000</v>
      </c>
    </row>
    <row r="718" spans="1:7" x14ac:dyDescent="0.25">
      <c r="A718" s="147">
        <v>713</v>
      </c>
      <c r="B718" s="167">
        <v>45446</v>
      </c>
      <c r="C718" s="117">
        <v>2024</v>
      </c>
      <c r="D718" s="119" t="s">
        <v>35</v>
      </c>
      <c r="E718" s="119" t="s">
        <v>761</v>
      </c>
      <c r="F718" s="120">
        <v>1</v>
      </c>
      <c r="G718" s="188">
        <v>1250000</v>
      </c>
    </row>
    <row r="719" spans="1:7" x14ac:dyDescent="0.25">
      <c r="A719" s="147">
        <v>714</v>
      </c>
      <c r="B719" s="167">
        <v>45446</v>
      </c>
      <c r="C719" s="117">
        <v>2024</v>
      </c>
      <c r="D719" s="119" t="s">
        <v>35</v>
      </c>
      <c r="E719" s="119" t="s">
        <v>1075</v>
      </c>
      <c r="F719" s="120">
        <v>1</v>
      </c>
      <c r="G719" s="188">
        <v>65000</v>
      </c>
    </row>
    <row r="720" spans="1:7" x14ac:dyDescent="0.25">
      <c r="A720" s="147">
        <v>715</v>
      </c>
      <c r="B720" s="167">
        <v>45446</v>
      </c>
      <c r="C720" s="117">
        <v>2024</v>
      </c>
      <c r="D720" s="119" t="s">
        <v>35</v>
      </c>
      <c r="E720" s="119" t="s">
        <v>827</v>
      </c>
      <c r="F720" s="120">
        <v>1</v>
      </c>
      <c r="G720" s="188">
        <v>140000</v>
      </c>
    </row>
    <row r="721" spans="1:7" x14ac:dyDescent="0.25">
      <c r="A721" s="147">
        <v>716</v>
      </c>
      <c r="B721" s="167">
        <v>45446</v>
      </c>
      <c r="C721" s="117">
        <v>2024</v>
      </c>
      <c r="D721" s="119" t="s">
        <v>35</v>
      </c>
      <c r="E721" s="119" t="s">
        <v>761</v>
      </c>
      <c r="F721" s="120">
        <v>1</v>
      </c>
      <c r="G721" s="188">
        <v>1550000</v>
      </c>
    </row>
    <row r="722" spans="1:7" x14ac:dyDescent="0.25">
      <c r="A722" s="147">
        <v>717</v>
      </c>
      <c r="B722" s="167">
        <v>45446</v>
      </c>
      <c r="C722" s="117">
        <v>2024</v>
      </c>
      <c r="D722" s="119" t="s">
        <v>35</v>
      </c>
      <c r="E722" s="119" t="s">
        <v>761</v>
      </c>
      <c r="F722" s="120">
        <v>1</v>
      </c>
      <c r="G722" s="188">
        <v>1550000</v>
      </c>
    </row>
    <row r="723" spans="1:7" x14ac:dyDescent="0.25">
      <c r="A723" s="147">
        <v>718</v>
      </c>
      <c r="B723" s="167">
        <v>45446</v>
      </c>
      <c r="C723" s="117">
        <v>2024</v>
      </c>
      <c r="D723" s="119" t="s">
        <v>35</v>
      </c>
      <c r="E723" s="119" t="s">
        <v>823</v>
      </c>
      <c r="F723" s="120">
        <v>1</v>
      </c>
      <c r="G723" s="188">
        <v>35000</v>
      </c>
    </row>
    <row r="724" spans="1:7" x14ac:dyDescent="0.25">
      <c r="A724" s="147">
        <v>719</v>
      </c>
      <c r="B724" s="167">
        <v>45446</v>
      </c>
      <c r="C724" s="117">
        <v>2024</v>
      </c>
      <c r="D724" s="119" t="s">
        <v>35</v>
      </c>
      <c r="E724" s="119" t="s">
        <v>761</v>
      </c>
      <c r="F724" s="120">
        <v>1</v>
      </c>
      <c r="G724" s="188">
        <v>1550000</v>
      </c>
    </row>
    <row r="725" spans="1:7" x14ac:dyDescent="0.25">
      <c r="A725" s="147">
        <v>720</v>
      </c>
      <c r="B725" s="167">
        <v>45446</v>
      </c>
      <c r="C725" s="117">
        <v>2024</v>
      </c>
      <c r="D725" s="119" t="s">
        <v>35</v>
      </c>
      <c r="E725" s="119" t="s">
        <v>761</v>
      </c>
      <c r="F725" s="120">
        <v>1</v>
      </c>
      <c r="G725" s="188">
        <v>1550000</v>
      </c>
    </row>
    <row r="726" spans="1:7" x14ac:dyDescent="0.25">
      <c r="A726" s="147">
        <v>721</v>
      </c>
      <c r="B726" s="167">
        <v>45446</v>
      </c>
      <c r="C726" s="117">
        <v>2024</v>
      </c>
      <c r="D726" s="119" t="s">
        <v>35</v>
      </c>
      <c r="E726" s="119" t="s">
        <v>827</v>
      </c>
      <c r="F726" s="120">
        <v>1</v>
      </c>
      <c r="G726" s="188">
        <v>205000</v>
      </c>
    </row>
    <row r="727" spans="1:7" x14ac:dyDescent="0.25">
      <c r="A727" s="147">
        <v>722</v>
      </c>
      <c r="B727" s="167">
        <v>45446</v>
      </c>
      <c r="C727" s="117">
        <v>2024</v>
      </c>
      <c r="D727" s="119" t="s">
        <v>35</v>
      </c>
      <c r="E727" s="119" t="s">
        <v>1076</v>
      </c>
      <c r="F727" s="120">
        <v>1</v>
      </c>
      <c r="G727" s="188">
        <v>1550000</v>
      </c>
    </row>
    <row r="728" spans="1:7" x14ac:dyDescent="0.25">
      <c r="A728" s="147">
        <v>723</v>
      </c>
      <c r="B728" s="167">
        <v>45446</v>
      </c>
      <c r="C728" s="117">
        <v>2024</v>
      </c>
      <c r="D728" s="119" t="s">
        <v>35</v>
      </c>
      <c r="E728" s="119" t="s">
        <v>1076</v>
      </c>
      <c r="F728" s="120">
        <v>1</v>
      </c>
      <c r="G728" s="188">
        <v>1550000</v>
      </c>
    </row>
    <row r="729" spans="1:7" x14ac:dyDescent="0.25">
      <c r="A729" s="147">
        <v>724</v>
      </c>
      <c r="B729" s="167">
        <v>45446</v>
      </c>
      <c r="C729" s="117">
        <v>2024</v>
      </c>
      <c r="D729" s="119" t="s">
        <v>35</v>
      </c>
      <c r="E729" s="119" t="s">
        <v>1076</v>
      </c>
      <c r="F729" s="120">
        <v>1</v>
      </c>
      <c r="G729" s="188">
        <v>205000</v>
      </c>
    </row>
    <row r="730" spans="1:7" x14ac:dyDescent="0.25">
      <c r="A730" s="147">
        <v>725</v>
      </c>
      <c r="B730" s="167">
        <v>45446</v>
      </c>
      <c r="C730" s="117">
        <v>2024</v>
      </c>
      <c r="D730" s="119" t="s">
        <v>35</v>
      </c>
      <c r="E730" s="119" t="s">
        <v>823</v>
      </c>
      <c r="F730" s="120">
        <v>1</v>
      </c>
      <c r="G730" s="188">
        <v>65000</v>
      </c>
    </row>
    <row r="731" spans="1:7" x14ac:dyDescent="0.25">
      <c r="A731" s="147">
        <v>726</v>
      </c>
      <c r="B731" s="167">
        <v>45446</v>
      </c>
      <c r="C731" s="117">
        <v>2024</v>
      </c>
      <c r="D731" s="119" t="s">
        <v>35</v>
      </c>
      <c r="E731" s="119" t="s">
        <v>827</v>
      </c>
      <c r="F731" s="120">
        <v>1</v>
      </c>
      <c r="G731" s="188">
        <v>140000</v>
      </c>
    </row>
    <row r="732" spans="1:7" x14ac:dyDescent="0.25">
      <c r="A732" s="147">
        <v>727</v>
      </c>
      <c r="B732" s="167">
        <v>45446</v>
      </c>
      <c r="C732" s="117">
        <v>2024</v>
      </c>
      <c r="D732" s="119" t="s">
        <v>35</v>
      </c>
      <c r="E732" s="119" t="s">
        <v>823</v>
      </c>
      <c r="F732" s="120">
        <v>1</v>
      </c>
      <c r="G732" s="188">
        <v>65000</v>
      </c>
    </row>
    <row r="733" spans="1:7" x14ac:dyDescent="0.25">
      <c r="A733" s="147">
        <v>728</v>
      </c>
      <c r="B733" s="167">
        <v>45446</v>
      </c>
      <c r="C733" s="117">
        <v>2024</v>
      </c>
      <c r="D733" s="119" t="s">
        <v>35</v>
      </c>
      <c r="E733" s="119" t="s">
        <v>885</v>
      </c>
      <c r="F733" s="120">
        <v>1</v>
      </c>
      <c r="G733" s="188">
        <v>1805000</v>
      </c>
    </row>
    <row r="734" spans="1:7" x14ac:dyDescent="0.25">
      <c r="A734" s="147">
        <v>729</v>
      </c>
      <c r="B734" s="167">
        <v>45446</v>
      </c>
      <c r="C734" s="117">
        <v>2024</v>
      </c>
      <c r="D734" s="119" t="s">
        <v>35</v>
      </c>
      <c r="E734" s="119" t="s">
        <v>885</v>
      </c>
      <c r="F734" s="120">
        <v>1</v>
      </c>
      <c r="G734" s="188">
        <v>1208000</v>
      </c>
    </row>
    <row r="735" spans="1:7" x14ac:dyDescent="0.25">
      <c r="A735" s="147">
        <v>730</v>
      </c>
      <c r="B735" s="167">
        <v>45446</v>
      </c>
      <c r="C735" s="117">
        <v>2024</v>
      </c>
      <c r="D735" s="119" t="s">
        <v>35</v>
      </c>
      <c r="E735" s="119" t="s">
        <v>761</v>
      </c>
      <c r="F735" s="120">
        <v>1</v>
      </c>
      <c r="G735" s="188">
        <v>1550000</v>
      </c>
    </row>
    <row r="736" spans="1:7" x14ac:dyDescent="0.25">
      <c r="A736" s="147">
        <v>731</v>
      </c>
      <c r="B736" s="167">
        <v>45446</v>
      </c>
      <c r="C736" s="117">
        <v>2024</v>
      </c>
      <c r="D736" s="119" t="s">
        <v>35</v>
      </c>
      <c r="E736" s="119" t="s">
        <v>761</v>
      </c>
      <c r="F736" s="120">
        <v>1</v>
      </c>
      <c r="G736" s="188">
        <v>1550000</v>
      </c>
    </row>
    <row r="737" spans="1:7" x14ac:dyDescent="0.25">
      <c r="A737" s="147">
        <v>732</v>
      </c>
      <c r="B737" s="167">
        <v>45446</v>
      </c>
      <c r="C737" s="117">
        <v>2024</v>
      </c>
      <c r="D737" s="119" t="s">
        <v>35</v>
      </c>
      <c r="E737" s="119" t="s">
        <v>1075</v>
      </c>
      <c r="F737" s="120">
        <v>1</v>
      </c>
      <c r="G737" s="188">
        <v>65000</v>
      </c>
    </row>
    <row r="738" spans="1:7" x14ac:dyDescent="0.25">
      <c r="A738" s="147">
        <v>733</v>
      </c>
      <c r="B738" s="167">
        <v>45446</v>
      </c>
      <c r="C738" s="117">
        <v>2024</v>
      </c>
      <c r="D738" s="119" t="s">
        <v>35</v>
      </c>
      <c r="E738" s="119" t="s">
        <v>761</v>
      </c>
      <c r="F738" s="120">
        <v>1</v>
      </c>
      <c r="G738" s="188">
        <v>1550000</v>
      </c>
    </row>
    <row r="739" spans="1:7" x14ac:dyDescent="0.25">
      <c r="A739" s="147">
        <v>734</v>
      </c>
      <c r="B739" s="167">
        <v>45446</v>
      </c>
      <c r="C739" s="117">
        <v>2024</v>
      </c>
      <c r="D739" s="119" t="s">
        <v>35</v>
      </c>
      <c r="E739" s="119" t="s">
        <v>761</v>
      </c>
      <c r="F739" s="120">
        <v>1</v>
      </c>
      <c r="G739" s="188">
        <v>1550000</v>
      </c>
    </row>
    <row r="740" spans="1:7" x14ac:dyDescent="0.25">
      <c r="A740" s="147">
        <v>735</v>
      </c>
      <c r="B740" s="167">
        <v>45447</v>
      </c>
      <c r="C740" s="117">
        <v>2024</v>
      </c>
      <c r="D740" s="119" t="s">
        <v>35</v>
      </c>
      <c r="E740" s="119" t="s">
        <v>1077</v>
      </c>
      <c r="F740" s="120">
        <v>1</v>
      </c>
      <c r="G740" s="188">
        <v>150000</v>
      </c>
    </row>
    <row r="741" spans="1:7" x14ac:dyDescent="0.25">
      <c r="A741" s="147">
        <v>736</v>
      </c>
      <c r="B741" s="167">
        <v>45448</v>
      </c>
      <c r="C741" s="117">
        <v>2024</v>
      </c>
      <c r="D741" s="119" t="s">
        <v>35</v>
      </c>
      <c r="E741" s="119" t="s">
        <v>211</v>
      </c>
      <c r="F741" s="120">
        <v>5</v>
      </c>
      <c r="G741" s="188">
        <v>97500</v>
      </c>
    </row>
    <row r="742" spans="1:7" x14ac:dyDescent="0.25">
      <c r="A742" s="147">
        <v>737</v>
      </c>
      <c r="B742" s="167">
        <v>45448</v>
      </c>
      <c r="C742" s="117">
        <v>2024</v>
      </c>
      <c r="D742" s="119" t="s">
        <v>35</v>
      </c>
      <c r="E742" s="119" t="s">
        <v>673</v>
      </c>
      <c r="F742" s="120">
        <v>1</v>
      </c>
      <c r="G742" s="188">
        <v>116000</v>
      </c>
    </row>
    <row r="743" spans="1:7" x14ac:dyDescent="0.25">
      <c r="A743" s="147">
        <v>738</v>
      </c>
      <c r="B743" s="167">
        <v>45448</v>
      </c>
      <c r="C743" s="117">
        <v>2024</v>
      </c>
      <c r="D743" s="119" t="s">
        <v>35</v>
      </c>
      <c r="E743" s="119" t="s">
        <v>1078</v>
      </c>
      <c r="F743" s="120">
        <v>2</v>
      </c>
      <c r="G743" s="188">
        <v>73500</v>
      </c>
    </row>
    <row r="744" spans="1:7" x14ac:dyDescent="0.25">
      <c r="A744" s="147">
        <v>739</v>
      </c>
      <c r="B744" s="167">
        <v>45448</v>
      </c>
      <c r="C744" s="117">
        <v>2024</v>
      </c>
      <c r="D744" s="119" t="s">
        <v>35</v>
      </c>
      <c r="E744" s="119" t="s">
        <v>1079</v>
      </c>
      <c r="F744" s="120">
        <v>1</v>
      </c>
      <c r="G744" s="188">
        <v>32670</v>
      </c>
    </row>
    <row r="745" spans="1:7" x14ac:dyDescent="0.25">
      <c r="A745" s="147">
        <v>740</v>
      </c>
      <c r="B745" s="167">
        <v>45449</v>
      </c>
      <c r="C745" s="117">
        <v>2024</v>
      </c>
      <c r="D745" s="119" t="s">
        <v>35</v>
      </c>
      <c r="E745" s="119" t="s">
        <v>1080</v>
      </c>
      <c r="F745" s="120">
        <v>1</v>
      </c>
      <c r="G745" s="188">
        <v>150000</v>
      </c>
    </row>
    <row r="746" spans="1:7" x14ac:dyDescent="0.25">
      <c r="A746" s="147">
        <v>741</v>
      </c>
      <c r="B746" s="167">
        <v>45449</v>
      </c>
      <c r="C746" s="117">
        <v>2024</v>
      </c>
      <c r="D746" s="119" t="s">
        <v>35</v>
      </c>
      <c r="E746" s="119" t="s">
        <v>1080</v>
      </c>
      <c r="F746" s="120">
        <v>1</v>
      </c>
      <c r="G746" s="188">
        <v>150000</v>
      </c>
    </row>
    <row r="747" spans="1:7" x14ac:dyDescent="0.25">
      <c r="A747" s="147">
        <v>742</v>
      </c>
      <c r="B747" s="167">
        <v>45449</v>
      </c>
      <c r="C747" s="117">
        <v>2024</v>
      </c>
      <c r="D747" s="119" t="s">
        <v>35</v>
      </c>
      <c r="E747" s="119" t="s">
        <v>811</v>
      </c>
      <c r="F747" s="120">
        <v>1</v>
      </c>
      <c r="G747" s="188">
        <v>35000</v>
      </c>
    </row>
    <row r="748" spans="1:7" x14ac:dyDescent="0.25">
      <c r="A748" s="147">
        <v>743</v>
      </c>
      <c r="B748" s="167">
        <v>45449</v>
      </c>
      <c r="C748" s="117">
        <v>2024</v>
      </c>
      <c r="D748" s="119" t="s">
        <v>35</v>
      </c>
      <c r="E748" s="119" t="s">
        <v>808</v>
      </c>
      <c r="F748" s="120">
        <v>1</v>
      </c>
      <c r="G748" s="188">
        <v>125000</v>
      </c>
    </row>
    <row r="749" spans="1:7" x14ac:dyDescent="0.25">
      <c r="A749" s="147">
        <v>744</v>
      </c>
      <c r="B749" s="167">
        <v>45449</v>
      </c>
      <c r="C749" s="117">
        <v>2024</v>
      </c>
      <c r="D749" s="119" t="s">
        <v>35</v>
      </c>
      <c r="E749" s="119" t="s">
        <v>811</v>
      </c>
      <c r="F749" s="120">
        <v>1</v>
      </c>
      <c r="G749" s="188">
        <v>40000</v>
      </c>
    </row>
    <row r="750" spans="1:7" x14ac:dyDescent="0.25">
      <c r="A750" s="147">
        <v>745</v>
      </c>
      <c r="B750" s="167">
        <v>45449</v>
      </c>
      <c r="C750" s="117">
        <v>2024</v>
      </c>
      <c r="D750" s="119" t="s">
        <v>35</v>
      </c>
      <c r="E750" s="119" t="s">
        <v>799</v>
      </c>
      <c r="F750" s="120">
        <v>1</v>
      </c>
      <c r="G750" s="188">
        <v>175000</v>
      </c>
    </row>
    <row r="751" spans="1:7" x14ac:dyDescent="0.25">
      <c r="A751" s="147">
        <v>746</v>
      </c>
      <c r="B751" s="167">
        <v>45449</v>
      </c>
      <c r="C751" s="117">
        <v>2024</v>
      </c>
      <c r="D751" s="119" t="s">
        <v>35</v>
      </c>
      <c r="E751" s="119" t="s">
        <v>794</v>
      </c>
      <c r="F751" s="120">
        <v>1</v>
      </c>
      <c r="G751" s="188">
        <v>166500</v>
      </c>
    </row>
    <row r="752" spans="1:7" x14ac:dyDescent="0.25">
      <c r="A752" s="147">
        <v>747</v>
      </c>
      <c r="B752" s="167">
        <v>45449</v>
      </c>
      <c r="C752" s="117">
        <v>2024</v>
      </c>
      <c r="D752" s="119" t="s">
        <v>35</v>
      </c>
      <c r="E752" s="119" t="s">
        <v>794</v>
      </c>
      <c r="F752" s="120">
        <v>1</v>
      </c>
      <c r="G752" s="188">
        <v>166500</v>
      </c>
    </row>
    <row r="753" spans="1:7" x14ac:dyDescent="0.25">
      <c r="A753" s="147">
        <v>748</v>
      </c>
      <c r="B753" s="167">
        <v>45449</v>
      </c>
      <c r="C753" s="117">
        <v>2024</v>
      </c>
      <c r="D753" s="119" t="s">
        <v>35</v>
      </c>
      <c r="E753" s="119" t="s">
        <v>794</v>
      </c>
      <c r="F753" s="120">
        <v>1</v>
      </c>
      <c r="G753" s="188">
        <v>166500</v>
      </c>
    </row>
    <row r="754" spans="1:7" x14ac:dyDescent="0.25">
      <c r="A754" s="147">
        <v>749</v>
      </c>
      <c r="B754" s="167">
        <v>45449</v>
      </c>
      <c r="C754" s="117">
        <v>2024</v>
      </c>
      <c r="D754" s="119" t="s">
        <v>35</v>
      </c>
      <c r="E754" s="119" t="s">
        <v>1081</v>
      </c>
      <c r="F754" s="120">
        <v>1</v>
      </c>
      <c r="G754" s="188">
        <v>350000</v>
      </c>
    </row>
    <row r="755" spans="1:7" x14ac:dyDescent="0.25">
      <c r="A755" s="147">
        <v>750</v>
      </c>
      <c r="B755" s="167">
        <v>45449</v>
      </c>
      <c r="C755" s="117">
        <v>2024</v>
      </c>
      <c r="D755" s="119" t="s">
        <v>35</v>
      </c>
      <c r="E755" s="119" t="s">
        <v>1082</v>
      </c>
      <c r="F755" s="120">
        <v>1</v>
      </c>
      <c r="G755" s="188">
        <v>75000</v>
      </c>
    </row>
    <row r="756" spans="1:7" x14ac:dyDescent="0.25">
      <c r="A756" s="147">
        <v>751</v>
      </c>
      <c r="B756" s="167">
        <v>45449</v>
      </c>
      <c r="C756" s="117">
        <v>2024</v>
      </c>
      <c r="D756" s="119" t="s">
        <v>35</v>
      </c>
      <c r="E756" s="119" t="s">
        <v>808</v>
      </c>
      <c r="F756" s="120">
        <v>1</v>
      </c>
      <c r="G756" s="188">
        <v>135000</v>
      </c>
    </row>
    <row r="757" spans="1:7" x14ac:dyDescent="0.25">
      <c r="A757" s="147">
        <v>752</v>
      </c>
      <c r="B757" s="167">
        <v>45449</v>
      </c>
      <c r="C757" s="117">
        <v>2024</v>
      </c>
      <c r="D757" s="119" t="s">
        <v>35</v>
      </c>
      <c r="E757" s="119" t="s">
        <v>794</v>
      </c>
      <c r="F757" s="120">
        <v>1</v>
      </c>
      <c r="G757" s="188">
        <v>166500</v>
      </c>
    </row>
    <row r="758" spans="1:7" x14ac:dyDescent="0.25">
      <c r="A758" s="147">
        <v>753</v>
      </c>
      <c r="B758" s="167">
        <v>45449</v>
      </c>
      <c r="C758" s="117">
        <v>2024</v>
      </c>
      <c r="D758" s="119" t="s">
        <v>35</v>
      </c>
      <c r="E758" s="119" t="s">
        <v>1083</v>
      </c>
      <c r="F758" s="120">
        <v>1</v>
      </c>
      <c r="G758" s="188">
        <v>100000</v>
      </c>
    </row>
    <row r="759" spans="1:7" x14ac:dyDescent="0.25">
      <c r="A759" s="147">
        <v>754</v>
      </c>
      <c r="B759" s="167">
        <v>45449</v>
      </c>
      <c r="C759" s="117">
        <v>2024</v>
      </c>
      <c r="D759" s="119" t="s">
        <v>35</v>
      </c>
      <c r="E759" s="119" t="s">
        <v>794</v>
      </c>
      <c r="F759" s="120">
        <v>1</v>
      </c>
      <c r="G759" s="188">
        <v>166500</v>
      </c>
    </row>
    <row r="760" spans="1:7" x14ac:dyDescent="0.25">
      <c r="A760" s="147">
        <v>755</v>
      </c>
      <c r="B760" s="167">
        <v>45449</v>
      </c>
      <c r="C760" s="117">
        <v>2024</v>
      </c>
      <c r="D760" s="119" t="s">
        <v>35</v>
      </c>
      <c r="E760" s="119" t="s">
        <v>1084</v>
      </c>
      <c r="F760" s="120">
        <v>1</v>
      </c>
      <c r="G760" s="188">
        <v>250000</v>
      </c>
    </row>
    <row r="761" spans="1:7" x14ac:dyDescent="0.25">
      <c r="A761" s="147">
        <v>756</v>
      </c>
      <c r="B761" s="167">
        <v>45449</v>
      </c>
      <c r="C761" s="117">
        <v>2024</v>
      </c>
      <c r="D761" s="119" t="s">
        <v>35</v>
      </c>
      <c r="E761" s="119" t="s">
        <v>799</v>
      </c>
      <c r="F761" s="120">
        <v>1</v>
      </c>
      <c r="G761" s="188">
        <v>200000</v>
      </c>
    </row>
    <row r="762" spans="1:7" x14ac:dyDescent="0.25">
      <c r="A762" s="147">
        <v>757</v>
      </c>
      <c r="B762" s="167">
        <v>45449</v>
      </c>
      <c r="C762" s="117">
        <v>2024</v>
      </c>
      <c r="D762" s="119" t="s">
        <v>35</v>
      </c>
      <c r="E762" s="119" t="s">
        <v>992</v>
      </c>
      <c r="F762" s="120">
        <v>1</v>
      </c>
      <c r="G762" s="188">
        <v>215000</v>
      </c>
    </row>
    <row r="763" spans="1:7" x14ac:dyDescent="0.25">
      <c r="A763" s="147">
        <v>758</v>
      </c>
      <c r="B763" s="167">
        <v>45449</v>
      </c>
      <c r="C763" s="117">
        <v>2024</v>
      </c>
      <c r="D763" s="119" t="s">
        <v>35</v>
      </c>
      <c r="E763" s="119" t="s">
        <v>1039</v>
      </c>
      <c r="F763" s="120">
        <v>1</v>
      </c>
      <c r="G763" s="188">
        <v>25000</v>
      </c>
    </row>
    <row r="764" spans="1:7" x14ac:dyDescent="0.25">
      <c r="A764" s="147">
        <v>759</v>
      </c>
      <c r="B764" s="167">
        <v>45449</v>
      </c>
      <c r="C764" s="117">
        <v>2024</v>
      </c>
      <c r="D764" s="119" t="s">
        <v>35</v>
      </c>
      <c r="E764" s="119" t="s">
        <v>992</v>
      </c>
      <c r="F764" s="120">
        <v>1</v>
      </c>
      <c r="G764" s="188">
        <v>100000</v>
      </c>
    </row>
    <row r="765" spans="1:7" x14ac:dyDescent="0.25">
      <c r="A765" s="147">
        <v>760</v>
      </c>
      <c r="B765" s="167">
        <v>45449</v>
      </c>
      <c r="C765" s="117">
        <v>2024</v>
      </c>
      <c r="D765" s="119" t="s">
        <v>35</v>
      </c>
      <c r="E765" s="119" t="s">
        <v>785</v>
      </c>
      <c r="F765" s="120">
        <v>1</v>
      </c>
      <c r="G765" s="188">
        <v>350000</v>
      </c>
    </row>
    <row r="766" spans="1:7" x14ac:dyDescent="0.25">
      <c r="A766" s="147">
        <v>761</v>
      </c>
      <c r="B766" s="167">
        <v>45449</v>
      </c>
      <c r="C766" s="117">
        <v>2024</v>
      </c>
      <c r="D766" s="119" t="s">
        <v>35</v>
      </c>
      <c r="E766" s="119" t="s">
        <v>785</v>
      </c>
      <c r="F766" s="120">
        <v>1</v>
      </c>
      <c r="G766" s="188">
        <v>375000</v>
      </c>
    </row>
    <row r="767" spans="1:7" x14ac:dyDescent="0.25">
      <c r="A767" s="147">
        <v>762</v>
      </c>
      <c r="B767" s="167">
        <v>45449</v>
      </c>
      <c r="C767" s="117">
        <v>2024</v>
      </c>
      <c r="D767" s="119" t="s">
        <v>35</v>
      </c>
      <c r="E767" s="119" t="s">
        <v>785</v>
      </c>
      <c r="F767" s="120">
        <v>1</v>
      </c>
      <c r="G767" s="188">
        <v>420000</v>
      </c>
    </row>
    <row r="768" spans="1:7" x14ac:dyDescent="0.25">
      <c r="A768" s="147">
        <v>763</v>
      </c>
      <c r="B768" s="167">
        <v>45449</v>
      </c>
      <c r="C768" s="117">
        <v>2024</v>
      </c>
      <c r="D768" s="119" t="s">
        <v>35</v>
      </c>
      <c r="E768" s="119" t="s">
        <v>115</v>
      </c>
      <c r="F768" s="120">
        <v>1</v>
      </c>
      <c r="G768" s="188">
        <v>110000</v>
      </c>
    </row>
    <row r="769" spans="1:7" x14ac:dyDescent="0.25">
      <c r="A769" s="147">
        <v>764</v>
      </c>
      <c r="B769" s="167">
        <v>45449</v>
      </c>
      <c r="C769" s="117">
        <v>2024</v>
      </c>
      <c r="D769" s="119" t="s">
        <v>35</v>
      </c>
      <c r="E769" s="119" t="s">
        <v>1085</v>
      </c>
      <c r="F769" s="120">
        <v>1</v>
      </c>
      <c r="G769" s="188">
        <v>185000</v>
      </c>
    </row>
    <row r="770" spans="1:7" x14ac:dyDescent="0.25">
      <c r="A770" s="147">
        <v>765</v>
      </c>
      <c r="B770" s="167">
        <v>45449</v>
      </c>
      <c r="C770" s="117">
        <v>2024</v>
      </c>
      <c r="D770" s="119" t="s">
        <v>35</v>
      </c>
      <c r="E770" s="119" t="s">
        <v>1053</v>
      </c>
      <c r="F770" s="120">
        <v>1</v>
      </c>
      <c r="G770" s="188">
        <v>95000</v>
      </c>
    </row>
    <row r="771" spans="1:7" x14ac:dyDescent="0.25">
      <c r="A771" s="147">
        <v>766</v>
      </c>
      <c r="B771" s="167">
        <v>45449</v>
      </c>
      <c r="C771" s="117">
        <v>2024</v>
      </c>
      <c r="D771" s="119" t="s">
        <v>35</v>
      </c>
      <c r="E771" s="119" t="s">
        <v>1053</v>
      </c>
      <c r="F771" s="120">
        <v>1</v>
      </c>
      <c r="G771" s="188">
        <v>100000</v>
      </c>
    </row>
    <row r="772" spans="1:7" x14ac:dyDescent="0.25">
      <c r="A772" s="147">
        <v>767</v>
      </c>
      <c r="B772" s="167">
        <v>45449</v>
      </c>
      <c r="C772" s="117">
        <v>2024</v>
      </c>
      <c r="D772" s="119" t="s">
        <v>35</v>
      </c>
      <c r="E772" s="119" t="s">
        <v>1086</v>
      </c>
      <c r="F772" s="120">
        <v>1</v>
      </c>
      <c r="G772" s="188">
        <v>650000</v>
      </c>
    </row>
    <row r="773" spans="1:7" x14ac:dyDescent="0.25">
      <c r="A773" s="147">
        <v>768</v>
      </c>
      <c r="B773" s="167">
        <v>45449</v>
      </c>
      <c r="C773" s="117">
        <v>2024</v>
      </c>
      <c r="D773" s="119" t="s">
        <v>35</v>
      </c>
      <c r="E773" s="119" t="s">
        <v>1087</v>
      </c>
      <c r="F773" s="120">
        <v>1</v>
      </c>
      <c r="G773" s="188">
        <v>50000</v>
      </c>
    </row>
    <row r="774" spans="1:7" x14ac:dyDescent="0.25">
      <c r="A774" s="147">
        <v>769</v>
      </c>
      <c r="B774" s="167">
        <v>45449</v>
      </c>
      <c r="C774" s="117">
        <v>2024</v>
      </c>
      <c r="D774" s="119" t="s">
        <v>35</v>
      </c>
      <c r="E774" s="119" t="s">
        <v>1088</v>
      </c>
      <c r="F774" s="120">
        <v>1</v>
      </c>
      <c r="G774" s="188">
        <v>225000</v>
      </c>
    </row>
    <row r="775" spans="1:7" x14ac:dyDescent="0.25">
      <c r="A775" s="147">
        <v>770</v>
      </c>
      <c r="B775" s="167">
        <v>45449</v>
      </c>
      <c r="C775" s="117">
        <v>2024</v>
      </c>
      <c r="D775" s="119" t="s">
        <v>35</v>
      </c>
      <c r="E775" s="119" t="s">
        <v>122</v>
      </c>
      <c r="F775" s="120">
        <v>1</v>
      </c>
      <c r="G775" s="188">
        <v>85000</v>
      </c>
    </row>
    <row r="776" spans="1:7" x14ac:dyDescent="0.25">
      <c r="A776" s="147">
        <v>771</v>
      </c>
      <c r="B776" s="167">
        <v>45449</v>
      </c>
      <c r="C776" s="117">
        <v>2024</v>
      </c>
      <c r="D776" s="119" t="s">
        <v>35</v>
      </c>
      <c r="E776" s="119" t="s">
        <v>1083</v>
      </c>
      <c r="F776" s="120">
        <v>1</v>
      </c>
      <c r="G776" s="188">
        <v>90000</v>
      </c>
    </row>
    <row r="777" spans="1:7" x14ac:dyDescent="0.25">
      <c r="A777" s="147">
        <v>772</v>
      </c>
      <c r="B777" s="167">
        <v>45449</v>
      </c>
      <c r="C777" s="117">
        <v>2024</v>
      </c>
      <c r="D777" s="119" t="s">
        <v>35</v>
      </c>
      <c r="E777" s="119" t="s">
        <v>1087</v>
      </c>
      <c r="F777" s="120">
        <v>1</v>
      </c>
      <c r="G777" s="188">
        <v>225000</v>
      </c>
    </row>
    <row r="778" spans="1:7" x14ac:dyDescent="0.25">
      <c r="A778" s="147">
        <v>773</v>
      </c>
      <c r="B778" s="167">
        <v>45450</v>
      </c>
      <c r="C778" s="117">
        <v>2024</v>
      </c>
      <c r="D778" s="119" t="s">
        <v>35</v>
      </c>
      <c r="E778" s="119" t="s">
        <v>673</v>
      </c>
      <c r="F778" s="120">
        <v>1</v>
      </c>
      <c r="G778" s="188">
        <v>82350</v>
      </c>
    </row>
    <row r="779" spans="1:7" x14ac:dyDescent="0.25">
      <c r="A779" s="147">
        <v>774</v>
      </c>
      <c r="B779" s="167">
        <v>45451</v>
      </c>
      <c r="C779" s="117">
        <v>2024</v>
      </c>
      <c r="D779" s="119" t="s">
        <v>35</v>
      </c>
      <c r="E779" s="119" t="s">
        <v>1089</v>
      </c>
      <c r="F779" s="120">
        <v>1</v>
      </c>
      <c r="G779" s="188">
        <v>117810</v>
      </c>
    </row>
    <row r="780" spans="1:7" x14ac:dyDescent="0.25">
      <c r="A780" s="147">
        <v>775</v>
      </c>
      <c r="B780" s="167">
        <v>45451</v>
      </c>
      <c r="C780" s="117">
        <v>2024</v>
      </c>
      <c r="D780" s="119" t="s">
        <v>35</v>
      </c>
      <c r="E780" s="119" t="s">
        <v>789</v>
      </c>
      <c r="F780" s="120">
        <v>1</v>
      </c>
      <c r="G780" s="188">
        <v>100000</v>
      </c>
    </row>
    <row r="781" spans="1:7" x14ac:dyDescent="0.25">
      <c r="A781" s="147">
        <v>776</v>
      </c>
      <c r="B781" s="167">
        <v>45453</v>
      </c>
      <c r="C781" s="117">
        <v>2024</v>
      </c>
      <c r="D781" s="119" t="s">
        <v>35</v>
      </c>
      <c r="E781" s="119" t="s">
        <v>567</v>
      </c>
      <c r="F781" s="120">
        <v>1</v>
      </c>
      <c r="G781" s="188">
        <v>19400</v>
      </c>
    </row>
    <row r="782" spans="1:7" x14ac:dyDescent="0.25">
      <c r="A782" s="147">
        <v>777</v>
      </c>
      <c r="B782" s="167">
        <v>45453</v>
      </c>
      <c r="C782" s="117">
        <v>2024</v>
      </c>
      <c r="D782" s="119" t="s">
        <v>35</v>
      </c>
      <c r="E782" s="119" t="s">
        <v>1091</v>
      </c>
      <c r="F782" s="120">
        <v>1</v>
      </c>
      <c r="G782" s="188">
        <v>60000</v>
      </c>
    </row>
    <row r="783" spans="1:7" x14ac:dyDescent="0.25">
      <c r="A783" s="147">
        <v>778</v>
      </c>
      <c r="B783" s="167">
        <v>45453</v>
      </c>
      <c r="C783" s="117">
        <v>2024</v>
      </c>
      <c r="D783" s="119" t="s">
        <v>35</v>
      </c>
      <c r="E783" s="119" t="s">
        <v>811</v>
      </c>
      <c r="F783" s="120">
        <v>1</v>
      </c>
      <c r="G783" s="188">
        <v>40000</v>
      </c>
    </row>
    <row r="784" spans="1:7" x14ac:dyDescent="0.25">
      <c r="A784" s="147">
        <v>779</v>
      </c>
      <c r="B784" s="167">
        <v>45453</v>
      </c>
      <c r="C784" s="117">
        <v>2024</v>
      </c>
      <c r="D784" s="119" t="s">
        <v>35</v>
      </c>
      <c r="E784" s="119" t="s">
        <v>1092</v>
      </c>
      <c r="F784" s="120">
        <v>1</v>
      </c>
      <c r="G784" s="188">
        <v>75000</v>
      </c>
    </row>
    <row r="785" spans="1:7" x14ac:dyDescent="0.25">
      <c r="A785" s="147">
        <v>780</v>
      </c>
      <c r="B785" s="167">
        <v>45453</v>
      </c>
      <c r="C785" s="117">
        <v>2024</v>
      </c>
      <c r="D785" s="119" t="s">
        <v>35</v>
      </c>
      <c r="E785" s="119" t="s">
        <v>1093</v>
      </c>
      <c r="F785" s="120">
        <v>1</v>
      </c>
      <c r="G785" s="188">
        <v>250000</v>
      </c>
    </row>
    <row r="786" spans="1:7" x14ac:dyDescent="0.25">
      <c r="A786" s="147">
        <v>781</v>
      </c>
      <c r="B786" s="167">
        <v>45453</v>
      </c>
      <c r="C786" s="117">
        <v>2024</v>
      </c>
      <c r="D786" s="119" t="s">
        <v>35</v>
      </c>
      <c r="E786" s="119" t="s">
        <v>1094</v>
      </c>
      <c r="F786" s="120">
        <v>1</v>
      </c>
      <c r="G786" s="188">
        <v>30000</v>
      </c>
    </row>
    <row r="787" spans="1:7" x14ac:dyDescent="0.25">
      <c r="A787" s="147">
        <v>782</v>
      </c>
      <c r="B787" s="167">
        <v>45453</v>
      </c>
      <c r="C787" s="117">
        <v>2024</v>
      </c>
      <c r="D787" s="119" t="s">
        <v>35</v>
      </c>
      <c r="E787" s="119" t="s">
        <v>778</v>
      </c>
      <c r="F787" s="120">
        <v>1</v>
      </c>
      <c r="G787" s="188">
        <v>75000</v>
      </c>
    </row>
    <row r="788" spans="1:7" x14ac:dyDescent="0.25">
      <c r="A788" s="147">
        <v>783</v>
      </c>
      <c r="B788" s="167">
        <v>45453</v>
      </c>
      <c r="C788" s="117">
        <v>2024</v>
      </c>
      <c r="D788" s="119" t="s">
        <v>35</v>
      </c>
      <c r="E788" s="119" t="s">
        <v>1095</v>
      </c>
      <c r="F788" s="120">
        <v>1</v>
      </c>
      <c r="G788" s="188">
        <v>90000</v>
      </c>
    </row>
    <row r="789" spans="1:7" x14ac:dyDescent="0.25">
      <c r="A789" s="147">
        <v>784</v>
      </c>
      <c r="B789" s="167">
        <v>45453</v>
      </c>
      <c r="C789" s="117">
        <v>2024</v>
      </c>
      <c r="D789" s="119" t="s">
        <v>35</v>
      </c>
      <c r="E789" s="119" t="s">
        <v>1096</v>
      </c>
      <c r="F789" s="120">
        <v>1</v>
      </c>
      <c r="G789" s="188">
        <v>635000</v>
      </c>
    </row>
    <row r="790" spans="1:7" x14ac:dyDescent="0.25">
      <c r="A790" s="147">
        <v>785</v>
      </c>
      <c r="B790" s="167">
        <v>45453</v>
      </c>
      <c r="C790" s="117">
        <v>2024</v>
      </c>
      <c r="D790" s="119" t="s">
        <v>35</v>
      </c>
      <c r="E790" s="119" t="s">
        <v>1097</v>
      </c>
      <c r="F790" s="120">
        <v>1</v>
      </c>
      <c r="G790" s="188">
        <v>105000</v>
      </c>
    </row>
    <row r="791" spans="1:7" x14ac:dyDescent="0.25">
      <c r="A791" s="147">
        <v>786</v>
      </c>
      <c r="B791" s="167">
        <v>45453</v>
      </c>
      <c r="C791" s="117">
        <v>2024</v>
      </c>
      <c r="D791" s="119" t="s">
        <v>35</v>
      </c>
      <c r="E791" s="119" t="s">
        <v>1097</v>
      </c>
      <c r="F791" s="120">
        <v>1</v>
      </c>
      <c r="G791" s="188">
        <v>50000</v>
      </c>
    </row>
    <row r="792" spans="1:7" x14ac:dyDescent="0.25">
      <c r="A792" s="147">
        <v>787</v>
      </c>
      <c r="B792" s="167">
        <v>45453</v>
      </c>
      <c r="C792" s="117">
        <v>2024</v>
      </c>
      <c r="D792" s="119" t="s">
        <v>35</v>
      </c>
      <c r="E792" s="119" t="s">
        <v>1098</v>
      </c>
      <c r="F792" s="120">
        <v>1</v>
      </c>
      <c r="G792" s="188">
        <v>450000</v>
      </c>
    </row>
    <row r="793" spans="1:7" x14ac:dyDescent="0.25">
      <c r="A793" s="147">
        <v>788</v>
      </c>
      <c r="B793" s="167">
        <v>45453</v>
      </c>
      <c r="C793" s="117">
        <v>2024</v>
      </c>
      <c r="D793" s="119" t="s">
        <v>35</v>
      </c>
      <c r="E793" s="119" t="s">
        <v>1099</v>
      </c>
      <c r="F793" s="120">
        <v>1</v>
      </c>
      <c r="G793" s="188">
        <v>80000</v>
      </c>
    </row>
    <row r="794" spans="1:7" x14ac:dyDescent="0.25">
      <c r="A794" s="147">
        <v>789</v>
      </c>
      <c r="B794" s="167">
        <v>45453</v>
      </c>
      <c r="C794" s="117">
        <v>2024</v>
      </c>
      <c r="D794" s="119" t="s">
        <v>35</v>
      </c>
      <c r="E794" s="119" t="s">
        <v>1100</v>
      </c>
      <c r="F794" s="120">
        <v>1</v>
      </c>
      <c r="G794" s="188">
        <v>30000</v>
      </c>
    </row>
    <row r="795" spans="1:7" x14ac:dyDescent="0.25">
      <c r="A795" s="147">
        <v>790</v>
      </c>
      <c r="B795" s="167">
        <v>45453</v>
      </c>
      <c r="C795" s="117">
        <v>2024</v>
      </c>
      <c r="D795" s="119" t="s">
        <v>35</v>
      </c>
      <c r="E795" s="119" t="s">
        <v>811</v>
      </c>
      <c r="F795" s="120">
        <v>1</v>
      </c>
      <c r="G795" s="188">
        <v>80000</v>
      </c>
    </row>
    <row r="796" spans="1:7" x14ac:dyDescent="0.25">
      <c r="A796" s="147">
        <v>791</v>
      </c>
      <c r="B796" s="167">
        <v>45453</v>
      </c>
      <c r="C796" s="117">
        <v>2024</v>
      </c>
      <c r="D796" s="119" t="s">
        <v>35</v>
      </c>
      <c r="E796" s="119" t="s">
        <v>1101</v>
      </c>
      <c r="F796" s="120">
        <v>1</v>
      </c>
      <c r="G796" s="188">
        <v>100000</v>
      </c>
    </row>
    <row r="797" spans="1:7" x14ac:dyDescent="0.25">
      <c r="A797" s="147">
        <v>792</v>
      </c>
      <c r="B797" s="167">
        <v>45453</v>
      </c>
      <c r="C797" s="117">
        <v>2024</v>
      </c>
      <c r="D797" s="119" t="s">
        <v>35</v>
      </c>
      <c r="E797" s="119" t="s">
        <v>1102</v>
      </c>
      <c r="F797" s="120">
        <v>1</v>
      </c>
      <c r="G797" s="188">
        <v>10000</v>
      </c>
    </row>
    <row r="798" spans="1:7" x14ac:dyDescent="0.25">
      <c r="A798" s="147">
        <v>793</v>
      </c>
      <c r="B798" s="167">
        <v>45453</v>
      </c>
      <c r="C798" s="117">
        <v>2024</v>
      </c>
      <c r="D798" s="119" t="s">
        <v>35</v>
      </c>
      <c r="E798" s="119" t="s">
        <v>72</v>
      </c>
      <c r="F798" s="120">
        <v>1</v>
      </c>
      <c r="G798" s="188">
        <v>30000</v>
      </c>
    </row>
    <row r="799" spans="1:7" x14ac:dyDescent="0.25">
      <c r="A799" s="147">
        <v>794</v>
      </c>
      <c r="B799" s="167">
        <v>45453</v>
      </c>
      <c r="C799" s="117">
        <v>2024</v>
      </c>
      <c r="D799" s="119" t="s">
        <v>35</v>
      </c>
      <c r="E799" s="119" t="s">
        <v>1103</v>
      </c>
      <c r="F799" s="120">
        <v>1</v>
      </c>
      <c r="G799" s="188">
        <v>15000</v>
      </c>
    </row>
    <row r="800" spans="1:7" x14ac:dyDescent="0.25">
      <c r="A800" s="147">
        <v>795</v>
      </c>
      <c r="B800" s="167">
        <v>45453</v>
      </c>
      <c r="C800" s="117">
        <v>2024</v>
      </c>
      <c r="D800" s="119" t="s">
        <v>35</v>
      </c>
      <c r="E800" s="119" t="s">
        <v>1104</v>
      </c>
      <c r="F800" s="120">
        <v>1</v>
      </c>
      <c r="G800" s="188">
        <v>72500</v>
      </c>
    </row>
    <row r="801" spans="1:7" x14ac:dyDescent="0.25">
      <c r="A801" s="147">
        <v>796</v>
      </c>
      <c r="B801" s="167">
        <v>45453</v>
      </c>
      <c r="C801" s="117">
        <v>2024</v>
      </c>
      <c r="D801" s="119" t="s">
        <v>35</v>
      </c>
      <c r="E801" s="119" t="s">
        <v>122</v>
      </c>
      <c r="F801" s="120">
        <v>1</v>
      </c>
      <c r="G801" s="188">
        <v>170000</v>
      </c>
    </row>
    <row r="802" spans="1:7" x14ac:dyDescent="0.25">
      <c r="A802" s="147">
        <v>797</v>
      </c>
      <c r="B802" s="167">
        <v>45453</v>
      </c>
      <c r="C802" s="117">
        <v>2024</v>
      </c>
      <c r="D802" s="119" t="s">
        <v>35</v>
      </c>
      <c r="E802" s="119" t="s">
        <v>1105</v>
      </c>
      <c r="F802" s="120">
        <v>1</v>
      </c>
      <c r="G802" s="188">
        <v>100000</v>
      </c>
    </row>
    <row r="803" spans="1:7" x14ac:dyDescent="0.25">
      <c r="A803" s="147">
        <v>798</v>
      </c>
      <c r="B803" s="167">
        <v>45453</v>
      </c>
      <c r="C803" s="117">
        <v>2024</v>
      </c>
      <c r="D803" s="119" t="s">
        <v>35</v>
      </c>
      <c r="E803" s="119" t="s">
        <v>1106</v>
      </c>
      <c r="F803" s="120">
        <v>1</v>
      </c>
      <c r="G803" s="188">
        <v>165000</v>
      </c>
    </row>
    <row r="804" spans="1:7" x14ac:dyDescent="0.25">
      <c r="A804" s="147">
        <v>799</v>
      </c>
      <c r="B804" s="167">
        <v>45453</v>
      </c>
      <c r="C804" s="117">
        <v>2024</v>
      </c>
      <c r="D804" s="119" t="s">
        <v>35</v>
      </c>
      <c r="E804" s="119" t="s">
        <v>1099</v>
      </c>
      <c r="F804" s="120">
        <v>1</v>
      </c>
      <c r="G804" s="188">
        <v>80000</v>
      </c>
    </row>
    <row r="805" spans="1:7" x14ac:dyDescent="0.25">
      <c r="A805" s="147">
        <v>800</v>
      </c>
      <c r="B805" s="167">
        <v>45453</v>
      </c>
      <c r="C805" s="117">
        <v>2024</v>
      </c>
      <c r="D805" s="119" t="s">
        <v>35</v>
      </c>
      <c r="E805" s="119" t="s">
        <v>1099</v>
      </c>
      <c r="F805" s="120">
        <v>1</v>
      </c>
      <c r="G805" s="188">
        <v>75000</v>
      </c>
    </row>
    <row r="806" spans="1:7" x14ac:dyDescent="0.25">
      <c r="A806" s="147">
        <v>801</v>
      </c>
      <c r="B806" s="167">
        <v>45456</v>
      </c>
      <c r="C806" s="117">
        <v>2024</v>
      </c>
      <c r="D806" s="119" t="s">
        <v>35</v>
      </c>
      <c r="E806" s="119" t="s">
        <v>827</v>
      </c>
      <c r="F806" s="120">
        <v>1</v>
      </c>
      <c r="G806" s="188">
        <v>30000</v>
      </c>
    </row>
    <row r="807" spans="1:7" x14ac:dyDescent="0.25">
      <c r="A807" s="147">
        <v>802</v>
      </c>
      <c r="B807" s="167">
        <v>45456</v>
      </c>
      <c r="C807" s="117">
        <v>2024</v>
      </c>
      <c r="D807" s="119" t="s">
        <v>35</v>
      </c>
      <c r="E807" s="119" t="s">
        <v>1072</v>
      </c>
      <c r="F807" s="120">
        <v>1</v>
      </c>
      <c r="G807" s="188">
        <v>195000</v>
      </c>
    </row>
    <row r="808" spans="1:7" x14ac:dyDescent="0.25">
      <c r="A808" s="147">
        <v>803</v>
      </c>
      <c r="B808" s="167">
        <v>45456</v>
      </c>
      <c r="C808" s="117">
        <v>2024</v>
      </c>
      <c r="D808" s="119" t="s">
        <v>35</v>
      </c>
      <c r="E808" s="119" t="s">
        <v>785</v>
      </c>
      <c r="F808" s="120">
        <v>1</v>
      </c>
      <c r="G808" s="188">
        <v>30000</v>
      </c>
    </row>
    <row r="809" spans="1:7" x14ac:dyDescent="0.25">
      <c r="A809" s="147">
        <v>804</v>
      </c>
      <c r="B809" s="167">
        <v>45456</v>
      </c>
      <c r="C809" s="117">
        <v>2024</v>
      </c>
      <c r="D809" s="119" t="s">
        <v>35</v>
      </c>
      <c r="E809" s="119" t="s">
        <v>953</v>
      </c>
      <c r="F809" s="120">
        <v>1</v>
      </c>
      <c r="G809" s="188">
        <v>400000</v>
      </c>
    </row>
    <row r="810" spans="1:7" x14ac:dyDescent="0.25">
      <c r="A810" s="147">
        <v>805</v>
      </c>
      <c r="B810" s="167">
        <v>45456</v>
      </c>
      <c r="C810" s="117">
        <v>2024</v>
      </c>
      <c r="D810" s="119" t="s">
        <v>35</v>
      </c>
      <c r="E810" s="119" t="s">
        <v>955</v>
      </c>
      <c r="F810" s="120">
        <v>1</v>
      </c>
      <c r="G810" s="188">
        <v>200000</v>
      </c>
    </row>
    <row r="811" spans="1:7" x14ac:dyDescent="0.25">
      <c r="A811" s="147">
        <v>806</v>
      </c>
      <c r="B811" s="167">
        <v>45456</v>
      </c>
      <c r="C811" s="117">
        <v>2024</v>
      </c>
      <c r="D811" s="119" t="s">
        <v>35</v>
      </c>
      <c r="E811" s="119" t="s">
        <v>955</v>
      </c>
      <c r="F811" s="120">
        <v>1</v>
      </c>
      <c r="G811" s="188">
        <v>200000</v>
      </c>
    </row>
    <row r="812" spans="1:7" x14ac:dyDescent="0.25">
      <c r="A812" s="147">
        <v>807</v>
      </c>
      <c r="B812" s="167">
        <v>45456</v>
      </c>
      <c r="C812" s="117">
        <v>2024</v>
      </c>
      <c r="D812" s="119" t="s">
        <v>35</v>
      </c>
      <c r="E812" s="119" t="s">
        <v>839</v>
      </c>
      <c r="F812" s="120">
        <v>1</v>
      </c>
      <c r="G812" s="188">
        <v>122500</v>
      </c>
    </row>
    <row r="813" spans="1:7" x14ac:dyDescent="0.25">
      <c r="A813" s="147">
        <v>808</v>
      </c>
      <c r="B813" s="167">
        <v>45456</v>
      </c>
      <c r="C813" s="117">
        <v>2024</v>
      </c>
      <c r="D813" s="119" t="s">
        <v>35</v>
      </c>
      <c r="E813" s="119" t="s">
        <v>839</v>
      </c>
      <c r="F813" s="120">
        <v>1</v>
      </c>
      <c r="G813" s="188">
        <v>180000</v>
      </c>
    </row>
    <row r="814" spans="1:7" x14ac:dyDescent="0.25">
      <c r="A814" s="147">
        <v>809</v>
      </c>
      <c r="B814" s="167">
        <v>45456</v>
      </c>
      <c r="C814" s="117">
        <v>2024</v>
      </c>
      <c r="D814" s="119" t="s">
        <v>35</v>
      </c>
      <c r="E814" s="119" t="s">
        <v>1107</v>
      </c>
      <c r="F814" s="120">
        <v>1</v>
      </c>
      <c r="G814" s="188">
        <v>184000</v>
      </c>
    </row>
    <row r="815" spans="1:7" x14ac:dyDescent="0.25">
      <c r="A815" s="147">
        <v>810</v>
      </c>
      <c r="B815" s="167">
        <v>45456</v>
      </c>
      <c r="C815" s="117">
        <v>2024</v>
      </c>
      <c r="D815" s="119" t="s">
        <v>35</v>
      </c>
      <c r="E815" s="119" t="s">
        <v>842</v>
      </c>
      <c r="F815" s="120">
        <v>1</v>
      </c>
      <c r="G815" s="188">
        <v>200000</v>
      </c>
    </row>
    <row r="816" spans="1:7" x14ac:dyDescent="0.25">
      <c r="A816" s="147">
        <v>811</v>
      </c>
      <c r="B816" s="167">
        <v>45456</v>
      </c>
      <c r="C816" s="117">
        <v>2024</v>
      </c>
      <c r="D816" s="119" t="s">
        <v>35</v>
      </c>
      <c r="E816" s="119" t="s">
        <v>873</v>
      </c>
      <c r="F816" s="120">
        <v>1</v>
      </c>
      <c r="G816" s="188">
        <v>122500</v>
      </c>
    </row>
    <row r="817" spans="1:7" x14ac:dyDescent="0.25">
      <c r="A817" s="147">
        <v>812</v>
      </c>
      <c r="B817" s="167">
        <v>45456</v>
      </c>
      <c r="C817" s="117">
        <v>2024</v>
      </c>
      <c r="D817" s="119" t="s">
        <v>35</v>
      </c>
      <c r="E817" s="119" t="s">
        <v>873</v>
      </c>
      <c r="F817" s="120">
        <v>1</v>
      </c>
      <c r="G817" s="188">
        <v>180000</v>
      </c>
    </row>
    <row r="818" spans="1:7" x14ac:dyDescent="0.25">
      <c r="A818" s="147">
        <v>813</v>
      </c>
      <c r="B818" s="167">
        <v>45456</v>
      </c>
      <c r="C818" s="117">
        <v>2024</v>
      </c>
      <c r="D818" s="119" t="s">
        <v>35</v>
      </c>
      <c r="E818" s="119" t="s">
        <v>1108</v>
      </c>
      <c r="F818" s="120">
        <v>1</v>
      </c>
      <c r="G818" s="188">
        <v>400000</v>
      </c>
    </row>
    <row r="819" spans="1:7" x14ac:dyDescent="0.25">
      <c r="A819" s="147">
        <v>814</v>
      </c>
      <c r="B819" s="167">
        <v>45456</v>
      </c>
      <c r="C819" s="117">
        <v>2024</v>
      </c>
      <c r="D819" s="119" t="s">
        <v>35</v>
      </c>
      <c r="E819" s="119" t="s">
        <v>839</v>
      </c>
      <c r="F819" s="120">
        <v>1</v>
      </c>
      <c r="G819" s="188">
        <v>122500</v>
      </c>
    </row>
    <row r="820" spans="1:7" x14ac:dyDescent="0.25">
      <c r="A820" s="147">
        <v>815</v>
      </c>
      <c r="B820" s="167">
        <v>45456</v>
      </c>
      <c r="C820" s="117">
        <v>2024</v>
      </c>
      <c r="D820" s="119" t="s">
        <v>35</v>
      </c>
      <c r="E820" s="119" t="s">
        <v>839</v>
      </c>
      <c r="F820" s="120">
        <v>1</v>
      </c>
      <c r="G820" s="188">
        <v>180000</v>
      </c>
    </row>
    <row r="821" spans="1:7" x14ac:dyDescent="0.25">
      <c r="A821" s="147">
        <v>816</v>
      </c>
      <c r="B821" s="167">
        <v>45456</v>
      </c>
      <c r="C821" s="117">
        <v>2024</v>
      </c>
      <c r="D821" s="119" t="s">
        <v>35</v>
      </c>
      <c r="E821" s="119" t="s">
        <v>953</v>
      </c>
      <c r="F821" s="120">
        <v>1</v>
      </c>
      <c r="G821" s="188">
        <v>50000</v>
      </c>
    </row>
    <row r="822" spans="1:7" x14ac:dyDescent="0.25">
      <c r="A822" s="147">
        <v>817</v>
      </c>
      <c r="B822" s="167">
        <v>45456</v>
      </c>
      <c r="C822" s="117">
        <v>2024</v>
      </c>
      <c r="D822" s="119" t="s">
        <v>35</v>
      </c>
      <c r="E822" s="119" t="s">
        <v>953</v>
      </c>
      <c r="F822" s="120">
        <v>1</v>
      </c>
      <c r="G822" s="188">
        <v>400000</v>
      </c>
    </row>
    <row r="823" spans="1:7" x14ac:dyDescent="0.25">
      <c r="A823" s="147">
        <v>818</v>
      </c>
      <c r="B823" s="167">
        <v>45456</v>
      </c>
      <c r="C823" s="117">
        <v>2024</v>
      </c>
      <c r="D823" s="119" t="s">
        <v>35</v>
      </c>
      <c r="E823" s="119" t="s">
        <v>918</v>
      </c>
      <c r="F823" s="120">
        <v>1</v>
      </c>
      <c r="G823" s="188">
        <v>140000</v>
      </c>
    </row>
    <row r="824" spans="1:7" x14ac:dyDescent="0.25">
      <c r="A824" s="147">
        <v>819</v>
      </c>
      <c r="B824" s="167">
        <v>45456</v>
      </c>
      <c r="C824" s="117">
        <v>2024</v>
      </c>
      <c r="D824" s="119" t="s">
        <v>35</v>
      </c>
      <c r="E824" s="119" t="s">
        <v>953</v>
      </c>
      <c r="F824" s="120">
        <v>1</v>
      </c>
      <c r="G824" s="188">
        <v>50000</v>
      </c>
    </row>
    <row r="825" spans="1:7" x14ac:dyDescent="0.25">
      <c r="A825" s="147">
        <v>820</v>
      </c>
      <c r="B825" s="167">
        <v>45456</v>
      </c>
      <c r="C825" s="117">
        <v>2024</v>
      </c>
      <c r="D825" s="119" t="s">
        <v>35</v>
      </c>
      <c r="E825" s="119" t="s">
        <v>953</v>
      </c>
      <c r="F825" s="120">
        <v>1</v>
      </c>
      <c r="G825" s="188">
        <v>400000</v>
      </c>
    </row>
    <row r="826" spans="1:7" x14ac:dyDescent="0.25">
      <c r="A826" s="147">
        <v>821</v>
      </c>
      <c r="B826" s="167">
        <v>45456</v>
      </c>
      <c r="C826" s="117">
        <v>2024</v>
      </c>
      <c r="D826" s="119" t="s">
        <v>35</v>
      </c>
      <c r="E826" s="119" t="s">
        <v>1107</v>
      </c>
      <c r="F826" s="120">
        <v>1</v>
      </c>
      <c r="G826" s="188">
        <v>185500</v>
      </c>
    </row>
    <row r="827" spans="1:7" x14ac:dyDescent="0.25">
      <c r="A827" s="147">
        <v>822</v>
      </c>
      <c r="B827" s="167">
        <v>45456</v>
      </c>
      <c r="C827" s="117">
        <v>2024</v>
      </c>
      <c r="D827" s="119" t="s">
        <v>35</v>
      </c>
      <c r="E827" s="119" t="s">
        <v>955</v>
      </c>
      <c r="F827" s="120">
        <v>1</v>
      </c>
      <c r="G827" s="188">
        <v>184000</v>
      </c>
    </row>
    <row r="828" spans="1:7" x14ac:dyDescent="0.25">
      <c r="A828" s="147">
        <v>823</v>
      </c>
      <c r="B828" s="167">
        <v>45456</v>
      </c>
      <c r="C828" s="117">
        <v>2024</v>
      </c>
      <c r="D828" s="119" t="s">
        <v>35</v>
      </c>
      <c r="E828" s="119" t="s">
        <v>918</v>
      </c>
      <c r="F828" s="120">
        <v>1</v>
      </c>
      <c r="G828" s="188">
        <v>100000</v>
      </c>
    </row>
    <row r="829" spans="1:7" x14ac:dyDescent="0.25">
      <c r="A829" s="147">
        <v>824</v>
      </c>
      <c r="B829" s="167">
        <v>45456</v>
      </c>
      <c r="C829" s="117">
        <v>2024</v>
      </c>
      <c r="D829" s="119" t="s">
        <v>35</v>
      </c>
      <c r="E829" s="119" t="s">
        <v>953</v>
      </c>
      <c r="F829" s="120">
        <v>1</v>
      </c>
      <c r="G829" s="188">
        <v>400000</v>
      </c>
    </row>
    <row r="830" spans="1:7" x14ac:dyDescent="0.25">
      <c r="A830" s="147">
        <v>825</v>
      </c>
      <c r="B830" s="167">
        <v>45456</v>
      </c>
      <c r="C830" s="117">
        <v>2024</v>
      </c>
      <c r="D830" s="119" t="s">
        <v>35</v>
      </c>
      <c r="E830" s="119" t="s">
        <v>1107</v>
      </c>
      <c r="F830" s="120">
        <v>1</v>
      </c>
      <c r="G830" s="188">
        <v>184000</v>
      </c>
    </row>
    <row r="831" spans="1:7" x14ac:dyDescent="0.25">
      <c r="A831" s="147">
        <v>826</v>
      </c>
      <c r="B831" s="167">
        <v>45456</v>
      </c>
      <c r="C831" s="117">
        <v>2024</v>
      </c>
      <c r="D831" s="119" t="s">
        <v>35</v>
      </c>
      <c r="E831" s="119" t="s">
        <v>838</v>
      </c>
      <c r="F831" s="120">
        <v>1</v>
      </c>
      <c r="G831" s="188">
        <v>75000</v>
      </c>
    </row>
    <row r="832" spans="1:7" x14ac:dyDescent="0.25">
      <c r="A832" s="147">
        <v>827</v>
      </c>
      <c r="B832" s="167">
        <v>45456</v>
      </c>
      <c r="C832" s="117">
        <v>2024</v>
      </c>
      <c r="D832" s="119" t="s">
        <v>35</v>
      </c>
      <c r="E832" s="119" t="s">
        <v>124</v>
      </c>
      <c r="F832" s="120">
        <v>1</v>
      </c>
      <c r="G832" s="188">
        <v>300000</v>
      </c>
    </row>
    <row r="833" spans="1:7" x14ac:dyDescent="0.25">
      <c r="A833" s="147">
        <v>828</v>
      </c>
      <c r="B833" s="167">
        <v>45456</v>
      </c>
      <c r="C833" s="117">
        <v>2024</v>
      </c>
      <c r="D833" s="119" t="s">
        <v>35</v>
      </c>
      <c r="E833" s="119" t="s">
        <v>953</v>
      </c>
      <c r="F833" s="120">
        <v>1</v>
      </c>
      <c r="G833" s="188">
        <v>400000</v>
      </c>
    </row>
    <row r="834" spans="1:7" x14ac:dyDescent="0.25">
      <c r="A834" s="147">
        <v>829</v>
      </c>
      <c r="B834" s="167">
        <v>45456</v>
      </c>
      <c r="C834" s="117">
        <v>2024</v>
      </c>
      <c r="D834" s="119" t="s">
        <v>35</v>
      </c>
      <c r="E834" s="119" t="s">
        <v>953</v>
      </c>
      <c r="F834" s="120">
        <v>1</v>
      </c>
      <c r="G834" s="188">
        <v>50000</v>
      </c>
    </row>
    <row r="835" spans="1:7" x14ac:dyDescent="0.25">
      <c r="A835" s="147">
        <v>830</v>
      </c>
      <c r="B835" s="167">
        <v>45456</v>
      </c>
      <c r="C835" s="117">
        <v>2024</v>
      </c>
      <c r="D835" s="119" t="s">
        <v>35</v>
      </c>
      <c r="E835" s="119" t="s">
        <v>1107</v>
      </c>
      <c r="F835" s="120">
        <v>1</v>
      </c>
      <c r="G835" s="188">
        <v>184000</v>
      </c>
    </row>
    <row r="836" spans="1:7" x14ac:dyDescent="0.25">
      <c r="A836" s="147">
        <v>831</v>
      </c>
      <c r="B836" s="167">
        <v>45456</v>
      </c>
      <c r="C836" s="117">
        <v>2024</v>
      </c>
      <c r="D836" s="119" t="s">
        <v>35</v>
      </c>
      <c r="E836" s="119" t="s">
        <v>918</v>
      </c>
      <c r="F836" s="120">
        <v>1</v>
      </c>
      <c r="G836" s="188">
        <v>100000</v>
      </c>
    </row>
    <row r="837" spans="1:7" x14ac:dyDescent="0.25">
      <c r="A837" s="147">
        <v>832</v>
      </c>
      <c r="B837" s="167">
        <v>45456</v>
      </c>
      <c r="C837" s="117">
        <v>2024</v>
      </c>
      <c r="D837" s="119" t="s">
        <v>35</v>
      </c>
      <c r="E837" s="119" t="s">
        <v>953</v>
      </c>
      <c r="F837" s="120">
        <v>1</v>
      </c>
      <c r="G837" s="188">
        <v>400000</v>
      </c>
    </row>
    <row r="838" spans="1:7" x14ac:dyDescent="0.25">
      <c r="A838" s="147">
        <v>833</v>
      </c>
      <c r="B838" s="167">
        <v>45456</v>
      </c>
      <c r="C838" s="117">
        <v>2024</v>
      </c>
      <c r="D838" s="119" t="s">
        <v>35</v>
      </c>
      <c r="E838" s="119" t="s">
        <v>838</v>
      </c>
      <c r="F838" s="120">
        <v>1</v>
      </c>
      <c r="G838" s="188">
        <v>75000</v>
      </c>
    </row>
    <row r="839" spans="1:7" x14ac:dyDescent="0.25">
      <c r="A839" s="147">
        <v>834</v>
      </c>
      <c r="B839" s="167">
        <v>45456</v>
      </c>
      <c r="C839" s="117">
        <v>2024</v>
      </c>
      <c r="D839" s="119" t="s">
        <v>35</v>
      </c>
      <c r="E839" s="119" t="s">
        <v>953</v>
      </c>
      <c r="F839" s="120">
        <v>1</v>
      </c>
      <c r="G839" s="188">
        <v>400000</v>
      </c>
    </row>
    <row r="840" spans="1:7" x14ac:dyDescent="0.25">
      <c r="A840" s="147">
        <v>835</v>
      </c>
      <c r="B840" s="167">
        <v>45456</v>
      </c>
      <c r="C840" s="117">
        <v>2024</v>
      </c>
      <c r="D840" s="119" t="s">
        <v>35</v>
      </c>
      <c r="E840" s="119" t="s">
        <v>838</v>
      </c>
      <c r="F840" s="120">
        <v>1</v>
      </c>
      <c r="G840" s="188">
        <v>75000</v>
      </c>
    </row>
    <row r="841" spans="1:7" x14ac:dyDescent="0.25">
      <c r="A841" s="147">
        <v>836</v>
      </c>
      <c r="B841" s="167">
        <v>45456</v>
      </c>
      <c r="C841" s="117">
        <v>2024</v>
      </c>
      <c r="D841" s="119" t="s">
        <v>35</v>
      </c>
      <c r="E841" s="119" t="s">
        <v>1109</v>
      </c>
      <c r="F841" s="120">
        <v>1</v>
      </c>
      <c r="G841" s="188">
        <v>40000</v>
      </c>
    </row>
    <row r="842" spans="1:7" x14ac:dyDescent="0.25">
      <c r="A842" s="147">
        <v>837</v>
      </c>
      <c r="B842" s="167">
        <v>45456</v>
      </c>
      <c r="C842" s="117">
        <v>2024</v>
      </c>
      <c r="D842" s="119" t="s">
        <v>35</v>
      </c>
      <c r="E842" s="119" t="s">
        <v>1110</v>
      </c>
      <c r="F842" s="120">
        <v>1</v>
      </c>
      <c r="G842" s="188">
        <v>85000</v>
      </c>
    </row>
    <row r="843" spans="1:7" x14ac:dyDescent="0.25">
      <c r="A843" s="147">
        <v>838</v>
      </c>
      <c r="B843" s="167">
        <v>45456</v>
      </c>
      <c r="C843" s="117">
        <v>2024</v>
      </c>
      <c r="D843" s="119" t="s">
        <v>35</v>
      </c>
      <c r="E843" s="119" t="s">
        <v>953</v>
      </c>
      <c r="F843" s="120">
        <v>1</v>
      </c>
      <c r="G843" s="188">
        <v>400000</v>
      </c>
    </row>
    <row r="844" spans="1:7" x14ac:dyDescent="0.25">
      <c r="A844" s="147">
        <v>839</v>
      </c>
      <c r="B844" s="167">
        <v>45456</v>
      </c>
      <c r="C844" s="117">
        <v>2024</v>
      </c>
      <c r="D844" s="119" t="s">
        <v>35</v>
      </c>
      <c r="E844" s="119" t="s">
        <v>1107</v>
      </c>
      <c r="F844" s="120">
        <v>1</v>
      </c>
      <c r="G844" s="188">
        <v>184000</v>
      </c>
    </row>
    <row r="845" spans="1:7" x14ac:dyDescent="0.25">
      <c r="A845" s="147">
        <v>840</v>
      </c>
      <c r="B845" s="167">
        <v>45456</v>
      </c>
      <c r="C845" s="117">
        <v>2024</v>
      </c>
      <c r="D845" s="119" t="s">
        <v>35</v>
      </c>
      <c r="E845" s="119" t="s">
        <v>953</v>
      </c>
      <c r="F845" s="120">
        <v>1</v>
      </c>
      <c r="G845" s="188">
        <v>223000</v>
      </c>
    </row>
    <row r="846" spans="1:7" x14ac:dyDescent="0.25">
      <c r="A846" s="147">
        <v>841</v>
      </c>
      <c r="B846" s="167">
        <v>45456</v>
      </c>
      <c r="C846" s="117">
        <v>2024</v>
      </c>
      <c r="D846" s="119" t="s">
        <v>35</v>
      </c>
      <c r="E846" s="119" t="s">
        <v>838</v>
      </c>
      <c r="F846" s="120">
        <v>1</v>
      </c>
      <c r="G846" s="188">
        <v>75000</v>
      </c>
    </row>
    <row r="847" spans="1:7" x14ac:dyDescent="0.25">
      <c r="A847" s="147">
        <v>842</v>
      </c>
      <c r="B847" s="167">
        <v>45456</v>
      </c>
      <c r="C847" s="117">
        <v>2024</v>
      </c>
      <c r="D847" s="119" t="s">
        <v>35</v>
      </c>
      <c r="E847" s="119" t="s">
        <v>953</v>
      </c>
      <c r="F847" s="120">
        <v>1</v>
      </c>
      <c r="G847" s="188">
        <v>50000</v>
      </c>
    </row>
    <row r="848" spans="1:7" x14ac:dyDescent="0.25">
      <c r="A848" s="147">
        <v>843</v>
      </c>
      <c r="B848" s="167">
        <v>45456</v>
      </c>
      <c r="C848" s="117">
        <v>2024</v>
      </c>
      <c r="D848" s="119" t="s">
        <v>35</v>
      </c>
      <c r="E848" s="119" t="s">
        <v>953</v>
      </c>
      <c r="F848" s="120">
        <v>1</v>
      </c>
      <c r="G848" s="188">
        <v>400000</v>
      </c>
    </row>
    <row r="849" spans="1:7" x14ac:dyDescent="0.25">
      <c r="A849" s="147">
        <v>844</v>
      </c>
      <c r="B849" s="167">
        <v>45456</v>
      </c>
      <c r="C849" s="117">
        <v>2024</v>
      </c>
      <c r="D849" s="119" t="s">
        <v>35</v>
      </c>
      <c r="E849" s="119" t="s">
        <v>1111</v>
      </c>
      <c r="F849" s="120">
        <v>1</v>
      </c>
      <c r="G849" s="188">
        <v>184000</v>
      </c>
    </row>
    <row r="850" spans="1:7" x14ac:dyDescent="0.25">
      <c r="A850" s="147">
        <v>845</v>
      </c>
      <c r="B850" s="167">
        <v>45456</v>
      </c>
      <c r="C850" s="117">
        <v>2024</v>
      </c>
      <c r="D850" s="119" t="s">
        <v>35</v>
      </c>
      <c r="E850" s="119" t="s">
        <v>918</v>
      </c>
      <c r="F850" s="120">
        <v>1</v>
      </c>
      <c r="G850" s="188">
        <v>140000</v>
      </c>
    </row>
    <row r="851" spans="1:7" x14ac:dyDescent="0.25">
      <c r="A851" s="147">
        <v>846</v>
      </c>
      <c r="B851" s="167">
        <v>45456</v>
      </c>
      <c r="C851" s="117">
        <v>2024</v>
      </c>
      <c r="D851" s="119" t="s">
        <v>35</v>
      </c>
      <c r="E851" s="119" t="s">
        <v>839</v>
      </c>
      <c r="F851" s="120">
        <v>1</v>
      </c>
      <c r="G851" s="188">
        <v>85000</v>
      </c>
    </row>
    <row r="852" spans="1:7" x14ac:dyDescent="0.25">
      <c r="A852" s="147">
        <v>847</v>
      </c>
      <c r="B852" s="167">
        <v>45456</v>
      </c>
      <c r="C852" s="117">
        <v>2024</v>
      </c>
      <c r="D852" s="119" t="s">
        <v>35</v>
      </c>
      <c r="E852" s="119" t="s">
        <v>839</v>
      </c>
      <c r="F852" s="120">
        <v>1</v>
      </c>
      <c r="G852" s="188">
        <v>40000</v>
      </c>
    </row>
    <row r="853" spans="1:7" x14ac:dyDescent="0.25">
      <c r="A853" s="147">
        <v>848</v>
      </c>
      <c r="B853" s="167">
        <v>45456</v>
      </c>
      <c r="C853" s="117">
        <v>2024</v>
      </c>
      <c r="D853" s="119" t="s">
        <v>35</v>
      </c>
      <c r="E853" s="119" t="s">
        <v>953</v>
      </c>
      <c r="F853" s="120">
        <v>1</v>
      </c>
      <c r="G853" s="188">
        <v>400000</v>
      </c>
    </row>
    <row r="854" spans="1:7" x14ac:dyDescent="0.25">
      <c r="A854" s="147">
        <v>849</v>
      </c>
      <c r="B854" s="167">
        <v>45461</v>
      </c>
      <c r="C854" s="117">
        <v>2024</v>
      </c>
      <c r="D854" s="119" t="s">
        <v>35</v>
      </c>
      <c r="E854" s="119" t="s">
        <v>84</v>
      </c>
      <c r="F854" s="120">
        <v>1</v>
      </c>
      <c r="G854" s="188">
        <v>17500</v>
      </c>
    </row>
    <row r="855" spans="1:7" x14ac:dyDescent="0.25">
      <c r="A855" s="147">
        <v>850</v>
      </c>
      <c r="B855" s="167">
        <v>45462</v>
      </c>
      <c r="C855" s="117">
        <v>2024</v>
      </c>
      <c r="D855" s="119" t="s">
        <v>35</v>
      </c>
      <c r="E855" s="119" t="s">
        <v>211</v>
      </c>
      <c r="F855" s="120">
        <v>7</v>
      </c>
      <c r="G855" s="188">
        <v>147000</v>
      </c>
    </row>
    <row r="856" spans="1:7" x14ac:dyDescent="0.25">
      <c r="A856" s="147">
        <v>851</v>
      </c>
      <c r="B856" s="167">
        <v>45462</v>
      </c>
      <c r="C856" s="117">
        <v>2024</v>
      </c>
      <c r="D856" s="119" t="s">
        <v>35</v>
      </c>
      <c r="E856" s="119" t="s">
        <v>211</v>
      </c>
      <c r="F856" s="120">
        <v>4</v>
      </c>
      <c r="G856" s="188">
        <v>78000</v>
      </c>
    </row>
    <row r="857" spans="1:7" x14ac:dyDescent="0.25">
      <c r="A857" s="147">
        <v>852</v>
      </c>
      <c r="B857" s="167">
        <v>45463</v>
      </c>
      <c r="C857" s="117">
        <v>2024</v>
      </c>
      <c r="D857" s="119" t="s">
        <v>35</v>
      </c>
      <c r="E857" s="119" t="s">
        <v>1115</v>
      </c>
      <c r="F857" s="120">
        <v>1</v>
      </c>
      <c r="G857" s="188">
        <v>10000</v>
      </c>
    </row>
    <row r="858" spans="1:7" x14ac:dyDescent="0.25">
      <c r="A858" s="147">
        <v>853</v>
      </c>
      <c r="B858" s="167">
        <v>45463</v>
      </c>
      <c r="C858" s="117">
        <v>2024</v>
      </c>
      <c r="D858" s="119" t="s">
        <v>35</v>
      </c>
      <c r="E858" s="119" t="s">
        <v>1116</v>
      </c>
      <c r="F858" s="120">
        <v>1</v>
      </c>
      <c r="G858" s="188">
        <v>55429</v>
      </c>
    </row>
    <row r="859" spans="1:7" x14ac:dyDescent="0.25">
      <c r="A859" s="147">
        <v>854</v>
      </c>
      <c r="B859" s="167">
        <v>45463</v>
      </c>
      <c r="C859" s="117">
        <v>2024</v>
      </c>
      <c r="D859" s="119" t="s">
        <v>35</v>
      </c>
      <c r="E859" s="119" t="s">
        <v>829</v>
      </c>
      <c r="F859" s="120">
        <v>1</v>
      </c>
      <c r="G859" s="188">
        <v>2103500</v>
      </c>
    </row>
    <row r="860" spans="1:7" x14ac:dyDescent="0.25">
      <c r="A860" s="147">
        <v>855</v>
      </c>
      <c r="B860" s="167">
        <v>45463</v>
      </c>
      <c r="C860" s="117">
        <v>2024</v>
      </c>
      <c r="D860" s="119" t="s">
        <v>35</v>
      </c>
      <c r="E860" s="119" t="s">
        <v>1117</v>
      </c>
      <c r="F860" s="120">
        <v>1</v>
      </c>
      <c r="G860" s="188">
        <v>41990</v>
      </c>
    </row>
    <row r="861" spans="1:7" x14ac:dyDescent="0.25">
      <c r="A861" s="147">
        <v>856</v>
      </c>
      <c r="B861" s="167">
        <v>45471</v>
      </c>
      <c r="C861" s="117">
        <v>2024</v>
      </c>
      <c r="D861" s="119" t="s">
        <v>35</v>
      </c>
      <c r="E861" s="119" t="s">
        <v>211</v>
      </c>
      <c r="F861" s="120">
        <v>5</v>
      </c>
      <c r="G861" s="188">
        <v>97500</v>
      </c>
    </row>
    <row r="862" spans="1:7" x14ac:dyDescent="0.25">
      <c r="A862" s="147">
        <v>857</v>
      </c>
      <c r="B862" s="167">
        <v>45477</v>
      </c>
      <c r="C862" s="117">
        <v>2024</v>
      </c>
      <c r="D862" s="119" t="s">
        <v>35</v>
      </c>
      <c r="E862" s="119" t="s">
        <v>794</v>
      </c>
      <c r="F862" s="120">
        <v>1</v>
      </c>
      <c r="G862" s="188">
        <v>166500</v>
      </c>
    </row>
    <row r="863" spans="1:7" x14ac:dyDescent="0.25">
      <c r="A863" s="147">
        <v>858</v>
      </c>
      <c r="B863" s="167">
        <v>45477</v>
      </c>
      <c r="C863" s="117">
        <v>2024</v>
      </c>
      <c r="D863" s="119" t="s">
        <v>35</v>
      </c>
      <c r="E863" s="119" t="s">
        <v>794</v>
      </c>
      <c r="F863" s="120">
        <v>1</v>
      </c>
      <c r="G863" s="188">
        <v>166500</v>
      </c>
    </row>
    <row r="864" spans="1:7" x14ac:dyDescent="0.25">
      <c r="A864" s="147">
        <v>859</v>
      </c>
      <c r="B864" s="167">
        <v>45477</v>
      </c>
      <c r="C864" s="117">
        <v>2024</v>
      </c>
      <c r="D864" s="119" t="s">
        <v>35</v>
      </c>
      <c r="E864" s="119" t="s">
        <v>794</v>
      </c>
      <c r="F864" s="120">
        <v>1</v>
      </c>
      <c r="G864" s="188">
        <v>166500</v>
      </c>
    </row>
    <row r="865" spans="1:7" x14ac:dyDescent="0.25">
      <c r="A865" s="147">
        <v>860</v>
      </c>
      <c r="B865" s="167">
        <v>45477</v>
      </c>
      <c r="C865" s="117">
        <v>2024</v>
      </c>
      <c r="D865" s="119" t="s">
        <v>35</v>
      </c>
      <c r="E865" s="119" t="s">
        <v>794</v>
      </c>
      <c r="F865" s="120">
        <v>1</v>
      </c>
      <c r="G865" s="188">
        <v>166500</v>
      </c>
    </row>
    <row r="866" spans="1:7" x14ac:dyDescent="0.25">
      <c r="A866" s="147">
        <v>861</v>
      </c>
      <c r="B866" s="167">
        <v>45477</v>
      </c>
      <c r="C866" s="117">
        <v>2024</v>
      </c>
      <c r="D866" s="119" t="s">
        <v>35</v>
      </c>
      <c r="E866" s="119" t="s">
        <v>794</v>
      </c>
      <c r="F866" s="120">
        <v>1</v>
      </c>
      <c r="G866" s="188">
        <v>166500</v>
      </c>
    </row>
    <row r="867" spans="1:7" x14ac:dyDescent="0.25">
      <c r="A867" s="147">
        <v>862</v>
      </c>
      <c r="B867" s="167">
        <v>45479</v>
      </c>
      <c r="C867" s="117">
        <v>2024</v>
      </c>
      <c r="D867" s="119" t="s">
        <v>35</v>
      </c>
      <c r="E867" s="119" t="s">
        <v>1119</v>
      </c>
      <c r="F867" s="120">
        <v>1</v>
      </c>
      <c r="G867" s="188">
        <v>315000</v>
      </c>
    </row>
    <row r="868" spans="1:7" x14ac:dyDescent="0.25">
      <c r="A868" s="147">
        <v>863</v>
      </c>
      <c r="B868" s="167">
        <v>45483</v>
      </c>
      <c r="C868" s="117">
        <v>2024</v>
      </c>
      <c r="D868" s="119" t="s">
        <v>35</v>
      </c>
      <c r="E868" s="119" t="s">
        <v>252</v>
      </c>
      <c r="F868" s="120">
        <v>1</v>
      </c>
      <c r="G868" s="188">
        <v>635000</v>
      </c>
    </row>
    <row r="869" spans="1:7" x14ac:dyDescent="0.25">
      <c r="A869" s="147">
        <v>864</v>
      </c>
      <c r="B869" s="167">
        <v>45483</v>
      </c>
      <c r="C869" s="117">
        <v>2024</v>
      </c>
      <c r="D869" s="119" t="s">
        <v>35</v>
      </c>
      <c r="E869" s="119" t="s">
        <v>1121</v>
      </c>
      <c r="F869" s="120">
        <v>1</v>
      </c>
      <c r="G869" s="188">
        <v>37500</v>
      </c>
    </row>
    <row r="870" spans="1:7" x14ac:dyDescent="0.25">
      <c r="A870" s="147">
        <v>865</v>
      </c>
      <c r="B870" s="167">
        <v>45483</v>
      </c>
      <c r="C870" s="117">
        <v>2024</v>
      </c>
      <c r="D870" s="119" t="s">
        <v>35</v>
      </c>
      <c r="E870" s="119" t="s">
        <v>992</v>
      </c>
      <c r="F870" s="120">
        <v>1</v>
      </c>
      <c r="G870" s="188">
        <v>425000</v>
      </c>
    </row>
    <row r="871" spans="1:7" x14ac:dyDescent="0.25">
      <c r="A871" s="147">
        <v>866</v>
      </c>
      <c r="B871" s="167">
        <v>45483</v>
      </c>
      <c r="C871" s="117">
        <v>2024</v>
      </c>
      <c r="D871" s="119" t="s">
        <v>35</v>
      </c>
      <c r="E871" s="119" t="s">
        <v>1122</v>
      </c>
      <c r="F871" s="120">
        <v>1</v>
      </c>
      <c r="G871" s="188">
        <v>20000</v>
      </c>
    </row>
    <row r="872" spans="1:7" x14ac:dyDescent="0.25">
      <c r="A872" s="147">
        <v>867</v>
      </c>
      <c r="B872" s="167">
        <v>45483</v>
      </c>
      <c r="C872" s="117">
        <v>2024</v>
      </c>
      <c r="D872" s="119" t="s">
        <v>35</v>
      </c>
      <c r="E872" s="119" t="s">
        <v>941</v>
      </c>
      <c r="F872" s="120">
        <v>1</v>
      </c>
      <c r="G872" s="188">
        <v>75000</v>
      </c>
    </row>
    <row r="873" spans="1:7" x14ac:dyDescent="0.25">
      <c r="A873" s="147">
        <v>868</v>
      </c>
      <c r="B873" s="167">
        <v>45483</v>
      </c>
      <c r="C873" s="117">
        <v>2024</v>
      </c>
      <c r="D873" s="119" t="s">
        <v>35</v>
      </c>
      <c r="E873" s="119" t="s">
        <v>1123</v>
      </c>
      <c r="F873" s="120">
        <v>1</v>
      </c>
      <c r="G873" s="188">
        <v>85000</v>
      </c>
    </row>
    <row r="874" spans="1:7" x14ac:dyDescent="0.25">
      <c r="A874" s="147">
        <v>869</v>
      </c>
      <c r="B874" s="167">
        <v>45483</v>
      </c>
      <c r="C874" s="117">
        <v>2024</v>
      </c>
      <c r="D874" s="119" t="s">
        <v>35</v>
      </c>
      <c r="E874" s="119" t="s">
        <v>1124</v>
      </c>
      <c r="F874" s="120">
        <v>1</v>
      </c>
      <c r="G874" s="188">
        <v>250000</v>
      </c>
    </row>
    <row r="875" spans="1:7" x14ac:dyDescent="0.25">
      <c r="A875" s="147">
        <v>870</v>
      </c>
      <c r="B875" s="167">
        <v>45483</v>
      </c>
      <c r="C875" s="117">
        <v>2024</v>
      </c>
      <c r="D875" s="119" t="s">
        <v>35</v>
      </c>
      <c r="E875" s="119" t="s">
        <v>1125</v>
      </c>
      <c r="F875" s="120">
        <v>1</v>
      </c>
      <c r="G875" s="188">
        <v>42500</v>
      </c>
    </row>
    <row r="876" spans="1:7" x14ac:dyDescent="0.25">
      <c r="A876" s="147">
        <v>871</v>
      </c>
      <c r="B876" s="167">
        <v>45483</v>
      </c>
      <c r="C876" s="117">
        <v>2024</v>
      </c>
      <c r="D876" s="119" t="s">
        <v>35</v>
      </c>
      <c r="E876" s="119" t="s">
        <v>252</v>
      </c>
      <c r="F876" s="120">
        <v>1</v>
      </c>
      <c r="G876" s="188">
        <v>1740000</v>
      </c>
    </row>
    <row r="877" spans="1:7" x14ac:dyDescent="0.25">
      <c r="A877" s="147">
        <v>872</v>
      </c>
      <c r="B877" s="167">
        <v>45483</v>
      </c>
      <c r="C877" s="117">
        <v>2024</v>
      </c>
      <c r="D877" s="119" t="s">
        <v>35</v>
      </c>
      <c r="E877" s="119" t="s">
        <v>252</v>
      </c>
      <c r="F877" s="120">
        <v>1</v>
      </c>
      <c r="G877" s="188">
        <v>60000</v>
      </c>
    </row>
    <row r="878" spans="1:7" x14ac:dyDescent="0.25">
      <c r="A878" s="147">
        <v>873</v>
      </c>
      <c r="B878" s="167">
        <v>45483</v>
      </c>
      <c r="C878" s="117">
        <v>2024</v>
      </c>
      <c r="D878" s="119" t="s">
        <v>35</v>
      </c>
      <c r="E878" s="119" t="s">
        <v>778</v>
      </c>
      <c r="F878" s="120">
        <v>1</v>
      </c>
      <c r="G878" s="188">
        <v>75000</v>
      </c>
    </row>
    <row r="879" spans="1:7" x14ac:dyDescent="0.25">
      <c r="A879" s="147">
        <v>874</v>
      </c>
      <c r="B879" s="167">
        <v>45483</v>
      </c>
      <c r="C879" s="117">
        <v>2024</v>
      </c>
      <c r="D879" s="119" t="s">
        <v>35</v>
      </c>
      <c r="E879" s="119" t="s">
        <v>1017</v>
      </c>
      <c r="F879" s="120">
        <v>1</v>
      </c>
      <c r="G879" s="188">
        <v>1275000</v>
      </c>
    </row>
    <row r="880" spans="1:7" x14ac:dyDescent="0.25">
      <c r="A880" s="147">
        <v>875</v>
      </c>
      <c r="B880" s="167">
        <v>45483</v>
      </c>
      <c r="C880" s="117">
        <v>2024</v>
      </c>
      <c r="D880" s="119" t="s">
        <v>35</v>
      </c>
      <c r="E880" s="119" t="s">
        <v>325</v>
      </c>
      <c r="F880" s="120">
        <v>1</v>
      </c>
      <c r="G880" s="188">
        <v>1775000</v>
      </c>
    </row>
    <row r="881" spans="1:7" x14ac:dyDescent="0.25">
      <c r="A881" s="147">
        <v>876</v>
      </c>
      <c r="B881" s="167">
        <v>45483</v>
      </c>
      <c r="C881" s="117">
        <v>2024</v>
      </c>
      <c r="D881" s="119" t="s">
        <v>35</v>
      </c>
      <c r="E881" s="119" t="s">
        <v>862</v>
      </c>
      <c r="F881" s="120">
        <v>1</v>
      </c>
      <c r="G881" s="188">
        <v>75000</v>
      </c>
    </row>
    <row r="882" spans="1:7" x14ac:dyDescent="0.25">
      <c r="A882" s="147">
        <v>877</v>
      </c>
      <c r="B882" s="167">
        <v>45483</v>
      </c>
      <c r="C882" s="117">
        <v>2024</v>
      </c>
      <c r="D882" s="119" t="s">
        <v>35</v>
      </c>
      <c r="E882" s="119" t="s">
        <v>1126</v>
      </c>
      <c r="F882" s="120">
        <v>1</v>
      </c>
      <c r="G882" s="188">
        <v>200000</v>
      </c>
    </row>
    <row r="883" spans="1:7" x14ac:dyDescent="0.25">
      <c r="A883" s="147">
        <v>878</v>
      </c>
      <c r="B883" s="167">
        <v>45483</v>
      </c>
      <c r="C883" s="117">
        <v>2024</v>
      </c>
      <c r="D883" s="119" t="s">
        <v>35</v>
      </c>
      <c r="E883" s="119" t="s">
        <v>252</v>
      </c>
      <c r="F883" s="120">
        <v>1</v>
      </c>
      <c r="G883" s="188">
        <v>1740000</v>
      </c>
    </row>
    <row r="884" spans="1:7" x14ac:dyDescent="0.25">
      <c r="A884" s="147">
        <v>879</v>
      </c>
      <c r="B884" s="167">
        <v>45483</v>
      </c>
      <c r="C884" s="117">
        <v>2024</v>
      </c>
      <c r="D884" s="119" t="s">
        <v>35</v>
      </c>
      <c r="E884" s="119" t="s">
        <v>1127</v>
      </c>
      <c r="F884" s="120">
        <v>1</v>
      </c>
      <c r="G884" s="188">
        <v>115000</v>
      </c>
    </row>
    <row r="885" spans="1:7" x14ac:dyDescent="0.25">
      <c r="A885" s="147">
        <v>880</v>
      </c>
      <c r="B885" s="167">
        <v>45483</v>
      </c>
      <c r="C885" s="117">
        <v>2024</v>
      </c>
      <c r="D885" s="119" t="s">
        <v>35</v>
      </c>
      <c r="E885" s="119" t="s">
        <v>1128</v>
      </c>
      <c r="F885" s="120">
        <v>1</v>
      </c>
      <c r="G885" s="188">
        <v>135000</v>
      </c>
    </row>
    <row r="886" spans="1:7" x14ac:dyDescent="0.25">
      <c r="A886" s="147">
        <v>881</v>
      </c>
      <c r="B886" s="167">
        <v>45483</v>
      </c>
      <c r="C886" s="117">
        <v>2024</v>
      </c>
      <c r="D886" s="119" t="s">
        <v>35</v>
      </c>
      <c r="E886" s="119" t="s">
        <v>1129</v>
      </c>
      <c r="F886" s="120">
        <v>1</v>
      </c>
      <c r="G886" s="188">
        <v>25000</v>
      </c>
    </row>
    <row r="887" spans="1:7" x14ac:dyDescent="0.25">
      <c r="A887" s="147">
        <v>882</v>
      </c>
      <c r="B887" s="167">
        <v>45483</v>
      </c>
      <c r="C887" s="117">
        <v>2024</v>
      </c>
      <c r="D887" s="119" t="s">
        <v>35</v>
      </c>
      <c r="E887" s="119" t="s">
        <v>1130</v>
      </c>
      <c r="F887" s="120">
        <v>1</v>
      </c>
      <c r="G887" s="188">
        <v>100000</v>
      </c>
    </row>
    <row r="888" spans="1:7" x14ac:dyDescent="0.25">
      <c r="A888" s="147">
        <v>883</v>
      </c>
      <c r="B888" s="167">
        <v>45483</v>
      </c>
      <c r="C888" s="117">
        <v>2024</v>
      </c>
      <c r="D888" s="119" t="s">
        <v>35</v>
      </c>
      <c r="E888" s="119" t="s">
        <v>252</v>
      </c>
      <c r="F888" s="120">
        <v>1</v>
      </c>
      <c r="G888" s="188">
        <v>1740000</v>
      </c>
    </row>
    <row r="889" spans="1:7" x14ac:dyDescent="0.25">
      <c r="A889" s="147">
        <v>884</v>
      </c>
      <c r="B889" s="167">
        <v>45483</v>
      </c>
      <c r="C889" s="117">
        <v>2024</v>
      </c>
      <c r="D889" s="119" t="s">
        <v>35</v>
      </c>
      <c r="E889" s="119" t="s">
        <v>72</v>
      </c>
      <c r="F889" s="120">
        <v>1</v>
      </c>
      <c r="G889" s="188">
        <v>30000</v>
      </c>
    </row>
    <row r="890" spans="1:7" x14ac:dyDescent="0.25">
      <c r="A890" s="147">
        <v>885</v>
      </c>
      <c r="B890" s="167">
        <v>45483</v>
      </c>
      <c r="C890" s="117">
        <v>2024</v>
      </c>
      <c r="D890" s="119" t="s">
        <v>35</v>
      </c>
      <c r="E890" s="119" t="s">
        <v>799</v>
      </c>
      <c r="F890" s="120">
        <v>1</v>
      </c>
      <c r="G890" s="188">
        <v>200000</v>
      </c>
    </row>
    <row r="891" spans="1:7" x14ac:dyDescent="0.25">
      <c r="A891" s="147">
        <v>886</v>
      </c>
      <c r="B891" s="167">
        <v>45483</v>
      </c>
      <c r="C891" s="117">
        <v>2024</v>
      </c>
      <c r="D891" s="119" t="s">
        <v>35</v>
      </c>
      <c r="E891" s="119" t="s">
        <v>1131</v>
      </c>
      <c r="F891" s="120">
        <v>1</v>
      </c>
      <c r="G891" s="188">
        <v>215000</v>
      </c>
    </row>
    <row r="892" spans="1:7" x14ac:dyDescent="0.25">
      <c r="A892" s="147">
        <v>887</v>
      </c>
      <c r="B892" s="167">
        <v>45486</v>
      </c>
      <c r="C892" s="117">
        <v>2024</v>
      </c>
      <c r="D892" s="119" t="s">
        <v>35</v>
      </c>
      <c r="E892" s="119" t="s">
        <v>1132</v>
      </c>
      <c r="F892" s="120">
        <v>1</v>
      </c>
      <c r="G892" s="188">
        <v>91180</v>
      </c>
    </row>
    <row r="893" spans="1:7" x14ac:dyDescent="0.25">
      <c r="A893" s="147">
        <v>888</v>
      </c>
      <c r="B893" s="167">
        <v>45486</v>
      </c>
      <c r="C893" s="117">
        <v>2024</v>
      </c>
      <c r="D893" s="119" t="s">
        <v>35</v>
      </c>
      <c r="E893" s="119" t="s">
        <v>1133</v>
      </c>
      <c r="F893" s="120">
        <v>1</v>
      </c>
      <c r="G893" s="188">
        <v>7900</v>
      </c>
    </row>
    <row r="894" spans="1:7" x14ac:dyDescent="0.25">
      <c r="A894" s="147">
        <v>889</v>
      </c>
      <c r="B894" s="167">
        <v>45486</v>
      </c>
      <c r="C894" s="117">
        <v>2024</v>
      </c>
      <c r="D894" s="119" t="s">
        <v>35</v>
      </c>
      <c r="E894" s="119" t="s">
        <v>1056</v>
      </c>
      <c r="F894" s="120">
        <v>2</v>
      </c>
      <c r="G894" s="188">
        <v>25000</v>
      </c>
    </row>
    <row r="895" spans="1:7" x14ac:dyDescent="0.25">
      <c r="A895" s="147">
        <v>890</v>
      </c>
      <c r="B895" s="167">
        <v>45486</v>
      </c>
      <c r="C895" s="117">
        <v>2024</v>
      </c>
      <c r="D895" s="119" t="s">
        <v>35</v>
      </c>
      <c r="E895" s="119" t="s">
        <v>1134</v>
      </c>
      <c r="F895" s="120">
        <v>1</v>
      </c>
      <c r="G895" s="188">
        <v>41000</v>
      </c>
    </row>
    <row r="896" spans="1:7" x14ac:dyDescent="0.25">
      <c r="A896" s="147">
        <v>891</v>
      </c>
      <c r="B896" s="167">
        <v>45486</v>
      </c>
      <c r="C896" s="117">
        <v>2024</v>
      </c>
      <c r="D896" s="119" t="s">
        <v>35</v>
      </c>
      <c r="E896" s="119" t="s">
        <v>1057</v>
      </c>
      <c r="F896" s="120">
        <v>1</v>
      </c>
      <c r="G896" s="188">
        <v>22000</v>
      </c>
    </row>
    <row r="897" spans="1:7" x14ac:dyDescent="0.25">
      <c r="A897" s="147">
        <v>892</v>
      </c>
      <c r="B897" s="167">
        <v>45488</v>
      </c>
      <c r="C897" s="117">
        <v>2024</v>
      </c>
      <c r="D897" s="119" t="s">
        <v>35</v>
      </c>
      <c r="E897" s="119" t="s">
        <v>1089</v>
      </c>
      <c r="F897" s="120">
        <v>2</v>
      </c>
      <c r="G897" s="188">
        <v>85500</v>
      </c>
    </row>
    <row r="898" spans="1:7" x14ac:dyDescent="0.25">
      <c r="A898" s="147">
        <v>893</v>
      </c>
      <c r="B898" s="167">
        <v>45489</v>
      </c>
      <c r="C898" s="117">
        <v>2024</v>
      </c>
      <c r="D898" s="119" t="s">
        <v>35</v>
      </c>
      <c r="E898" s="119" t="s">
        <v>1135</v>
      </c>
      <c r="F898" s="120">
        <v>1</v>
      </c>
      <c r="G898" s="188">
        <v>175000</v>
      </c>
    </row>
    <row r="899" spans="1:7" x14ac:dyDescent="0.25">
      <c r="A899" s="147">
        <v>894</v>
      </c>
      <c r="B899" s="167">
        <v>45489</v>
      </c>
      <c r="C899" s="117">
        <v>2024</v>
      </c>
      <c r="D899" s="119" t="s">
        <v>35</v>
      </c>
      <c r="E899" s="119" t="s">
        <v>953</v>
      </c>
      <c r="F899" s="120">
        <v>1</v>
      </c>
      <c r="G899" s="188">
        <v>400000</v>
      </c>
    </row>
    <row r="900" spans="1:7" x14ac:dyDescent="0.25">
      <c r="A900" s="147">
        <v>895</v>
      </c>
      <c r="B900" s="167">
        <v>45489</v>
      </c>
      <c r="C900" s="117">
        <v>2024</v>
      </c>
      <c r="D900" s="119" t="s">
        <v>35</v>
      </c>
      <c r="E900" s="119" t="s">
        <v>838</v>
      </c>
      <c r="F900" s="120">
        <v>1</v>
      </c>
      <c r="G900" s="188">
        <v>75000</v>
      </c>
    </row>
    <row r="901" spans="1:7" x14ac:dyDescent="0.25">
      <c r="A901" s="147">
        <v>896</v>
      </c>
      <c r="B901" s="167">
        <v>45489</v>
      </c>
      <c r="C901" s="117">
        <v>2024</v>
      </c>
      <c r="D901" s="119" t="s">
        <v>35</v>
      </c>
      <c r="E901" s="119" t="s">
        <v>873</v>
      </c>
      <c r="F901" s="120">
        <v>1</v>
      </c>
      <c r="G901" s="188">
        <v>40000</v>
      </c>
    </row>
    <row r="902" spans="1:7" x14ac:dyDescent="0.25">
      <c r="A902" s="147">
        <v>897</v>
      </c>
      <c r="B902" s="167">
        <v>45489</v>
      </c>
      <c r="C902" s="117">
        <v>2024</v>
      </c>
      <c r="D902" s="119" t="s">
        <v>35</v>
      </c>
      <c r="E902" s="119" t="s">
        <v>953</v>
      </c>
      <c r="F902" s="120">
        <v>1</v>
      </c>
      <c r="G902" s="188">
        <v>400000</v>
      </c>
    </row>
    <row r="903" spans="1:7" x14ac:dyDescent="0.25">
      <c r="A903" s="147">
        <v>898</v>
      </c>
      <c r="B903" s="167">
        <v>45489</v>
      </c>
      <c r="C903" s="117">
        <v>2024</v>
      </c>
      <c r="D903" s="119" t="s">
        <v>35</v>
      </c>
      <c r="E903" s="119" t="s">
        <v>842</v>
      </c>
      <c r="F903" s="120">
        <v>1</v>
      </c>
      <c r="G903" s="188">
        <v>400000</v>
      </c>
    </row>
    <row r="904" spans="1:7" x14ac:dyDescent="0.25">
      <c r="A904" s="147">
        <v>899</v>
      </c>
      <c r="B904" s="167">
        <v>45489</v>
      </c>
      <c r="C904" s="117">
        <v>2024</v>
      </c>
      <c r="D904" s="119" t="s">
        <v>35</v>
      </c>
      <c r="E904" s="119" t="s">
        <v>955</v>
      </c>
      <c r="F904" s="120">
        <v>1</v>
      </c>
      <c r="G904" s="188">
        <v>184000</v>
      </c>
    </row>
    <row r="905" spans="1:7" x14ac:dyDescent="0.25">
      <c r="A905" s="147">
        <v>900</v>
      </c>
      <c r="B905" s="167">
        <v>45489</v>
      </c>
      <c r="C905" s="117">
        <v>2024</v>
      </c>
      <c r="D905" s="119" t="s">
        <v>35</v>
      </c>
      <c r="E905" s="119" t="s">
        <v>953</v>
      </c>
      <c r="F905" s="120">
        <v>1</v>
      </c>
      <c r="G905" s="188">
        <v>400000</v>
      </c>
    </row>
    <row r="906" spans="1:7" x14ac:dyDescent="0.25">
      <c r="A906" s="147">
        <v>901</v>
      </c>
      <c r="B906" s="167">
        <v>45489</v>
      </c>
      <c r="C906" s="117">
        <v>2024</v>
      </c>
      <c r="D906" s="119" t="s">
        <v>35</v>
      </c>
      <c r="E906" s="119" t="s">
        <v>838</v>
      </c>
      <c r="F906" s="120">
        <v>1</v>
      </c>
      <c r="G906" s="188">
        <v>75000</v>
      </c>
    </row>
    <row r="907" spans="1:7" x14ac:dyDescent="0.25">
      <c r="A907" s="147">
        <v>902</v>
      </c>
      <c r="B907" s="167">
        <v>45489</v>
      </c>
      <c r="C907" s="117">
        <v>2024</v>
      </c>
      <c r="D907" s="119" t="s">
        <v>35</v>
      </c>
      <c r="E907" s="119" t="s">
        <v>873</v>
      </c>
      <c r="F907" s="120">
        <v>1</v>
      </c>
      <c r="G907" s="188">
        <v>122500</v>
      </c>
    </row>
    <row r="908" spans="1:7" x14ac:dyDescent="0.25">
      <c r="A908" s="147">
        <v>903</v>
      </c>
      <c r="B908" s="167">
        <v>45489</v>
      </c>
      <c r="C908" s="117">
        <v>2024</v>
      </c>
      <c r="D908" s="119" t="s">
        <v>35</v>
      </c>
      <c r="E908" s="119" t="s">
        <v>975</v>
      </c>
      <c r="F908" s="120">
        <v>1</v>
      </c>
      <c r="G908" s="188">
        <v>180000</v>
      </c>
    </row>
    <row r="909" spans="1:7" x14ac:dyDescent="0.25">
      <c r="A909" s="147">
        <v>904</v>
      </c>
      <c r="B909" s="167">
        <v>45489</v>
      </c>
      <c r="C909" s="117">
        <v>2024</v>
      </c>
      <c r="D909" s="119" t="s">
        <v>35</v>
      </c>
      <c r="E909" s="119" t="s">
        <v>953</v>
      </c>
      <c r="F909" s="120">
        <v>1</v>
      </c>
      <c r="G909" s="188">
        <v>400000</v>
      </c>
    </row>
    <row r="910" spans="1:7" x14ac:dyDescent="0.25">
      <c r="A910" s="147">
        <v>905</v>
      </c>
      <c r="B910" s="167">
        <v>45489</v>
      </c>
      <c r="C910" s="117">
        <v>2024</v>
      </c>
      <c r="D910" s="119" t="s">
        <v>35</v>
      </c>
      <c r="E910" s="119" t="s">
        <v>953</v>
      </c>
      <c r="F910" s="120">
        <v>1</v>
      </c>
      <c r="G910" s="188">
        <v>400000</v>
      </c>
    </row>
    <row r="911" spans="1:7" x14ac:dyDescent="0.25">
      <c r="A911" s="147">
        <v>906</v>
      </c>
      <c r="B911" s="167">
        <v>45489</v>
      </c>
      <c r="C911" s="117">
        <v>2024</v>
      </c>
      <c r="D911" s="119" t="s">
        <v>35</v>
      </c>
      <c r="E911" s="119" t="s">
        <v>838</v>
      </c>
      <c r="F911" s="120">
        <v>1</v>
      </c>
      <c r="G911" s="188">
        <v>75000</v>
      </c>
    </row>
    <row r="912" spans="1:7" x14ac:dyDescent="0.25">
      <c r="A912" s="147">
        <v>907</v>
      </c>
      <c r="B912" s="167">
        <v>45489</v>
      </c>
      <c r="C912" s="117">
        <v>2024</v>
      </c>
      <c r="D912" s="119" t="s">
        <v>35</v>
      </c>
      <c r="E912" s="119" t="s">
        <v>953</v>
      </c>
      <c r="F912" s="120">
        <v>1</v>
      </c>
      <c r="G912" s="188">
        <v>400000</v>
      </c>
    </row>
    <row r="913" spans="1:7" x14ac:dyDescent="0.25">
      <c r="A913" s="147">
        <v>908</v>
      </c>
      <c r="B913" s="167">
        <v>45489</v>
      </c>
      <c r="C913" s="117">
        <v>2024</v>
      </c>
      <c r="D913" s="119" t="s">
        <v>35</v>
      </c>
      <c r="E913" s="119" t="s">
        <v>955</v>
      </c>
      <c r="F913" s="120">
        <v>1</v>
      </c>
      <c r="G913" s="188">
        <v>223000</v>
      </c>
    </row>
    <row r="914" spans="1:7" x14ac:dyDescent="0.25">
      <c r="A914" s="147">
        <v>909</v>
      </c>
      <c r="B914" s="167">
        <v>45489</v>
      </c>
      <c r="C914" s="117">
        <v>2024</v>
      </c>
      <c r="D914" s="119" t="s">
        <v>35</v>
      </c>
      <c r="E914" s="119" t="s">
        <v>838</v>
      </c>
      <c r="F914" s="120">
        <v>1</v>
      </c>
      <c r="G914" s="188">
        <v>75000</v>
      </c>
    </row>
    <row r="915" spans="1:7" x14ac:dyDescent="0.25">
      <c r="A915" s="147">
        <v>910</v>
      </c>
      <c r="B915" s="167">
        <v>45489</v>
      </c>
      <c r="C915" s="117">
        <v>2024</v>
      </c>
      <c r="D915" s="119" t="s">
        <v>35</v>
      </c>
      <c r="E915" s="119" t="s">
        <v>873</v>
      </c>
      <c r="F915" s="120">
        <v>1</v>
      </c>
      <c r="G915" s="188">
        <v>40000</v>
      </c>
    </row>
    <row r="916" spans="1:7" x14ac:dyDescent="0.25">
      <c r="A916" s="147">
        <v>911</v>
      </c>
      <c r="B916" s="167">
        <v>45489</v>
      </c>
      <c r="C916" s="117">
        <v>2024</v>
      </c>
      <c r="D916" s="119" t="s">
        <v>35</v>
      </c>
      <c r="E916" s="119" t="s">
        <v>975</v>
      </c>
      <c r="F916" s="120">
        <v>1</v>
      </c>
      <c r="G916" s="188">
        <v>85000</v>
      </c>
    </row>
    <row r="917" spans="1:7" x14ac:dyDescent="0.25">
      <c r="A917" s="147">
        <v>912</v>
      </c>
      <c r="B917" s="167">
        <v>45489</v>
      </c>
      <c r="C917" s="117">
        <v>2024</v>
      </c>
      <c r="D917" s="119" t="s">
        <v>35</v>
      </c>
      <c r="E917" s="119" t="s">
        <v>953</v>
      </c>
      <c r="F917" s="120">
        <v>1</v>
      </c>
      <c r="G917" s="188">
        <v>50000</v>
      </c>
    </row>
    <row r="918" spans="1:7" x14ac:dyDescent="0.25">
      <c r="A918" s="147">
        <v>913</v>
      </c>
      <c r="B918" s="167">
        <v>45489</v>
      </c>
      <c r="C918" s="117">
        <v>2024</v>
      </c>
      <c r="D918" s="119" t="s">
        <v>35</v>
      </c>
      <c r="E918" s="119" t="s">
        <v>953</v>
      </c>
      <c r="F918" s="120">
        <v>1</v>
      </c>
      <c r="G918" s="188">
        <v>400000</v>
      </c>
    </row>
    <row r="919" spans="1:7" x14ac:dyDescent="0.25">
      <c r="A919" s="147">
        <v>914</v>
      </c>
      <c r="B919" s="167">
        <v>45489</v>
      </c>
      <c r="C919" s="117">
        <v>2024</v>
      </c>
      <c r="D919" s="119" t="s">
        <v>35</v>
      </c>
      <c r="E919" s="119" t="s">
        <v>955</v>
      </c>
      <c r="F919" s="120">
        <v>1</v>
      </c>
      <c r="G919" s="188">
        <v>223000</v>
      </c>
    </row>
    <row r="920" spans="1:7" x14ac:dyDescent="0.25">
      <c r="A920" s="147">
        <v>915</v>
      </c>
      <c r="B920" s="167">
        <v>45489</v>
      </c>
      <c r="C920" s="117">
        <v>2024</v>
      </c>
      <c r="D920" s="119" t="s">
        <v>35</v>
      </c>
      <c r="E920" s="119" t="s">
        <v>838</v>
      </c>
      <c r="F920" s="120">
        <v>1</v>
      </c>
      <c r="G920" s="188">
        <v>75000</v>
      </c>
    </row>
    <row r="921" spans="1:7" x14ac:dyDescent="0.25">
      <c r="A921" s="147">
        <v>916</v>
      </c>
      <c r="B921" s="167">
        <v>45489</v>
      </c>
      <c r="C921" s="117">
        <v>2024</v>
      </c>
      <c r="D921" s="119" t="s">
        <v>35</v>
      </c>
      <c r="E921" s="119" t="s">
        <v>873</v>
      </c>
      <c r="F921" s="120">
        <v>1</v>
      </c>
      <c r="G921" s="188">
        <v>140000</v>
      </c>
    </row>
    <row r="922" spans="1:7" x14ac:dyDescent="0.25">
      <c r="A922" s="147">
        <v>917</v>
      </c>
      <c r="B922" s="167">
        <v>45489</v>
      </c>
      <c r="C922" s="117">
        <v>2024</v>
      </c>
      <c r="D922" s="119" t="s">
        <v>35</v>
      </c>
      <c r="E922" s="119" t="s">
        <v>975</v>
      </c>
      <c r="F922" s="120">
        <v>1</v>
      </c>
      <c r="G922" s="188">
        <v>85000</v>
      </c>
    </row>
    <row r="923" spans="1:7" x14ac:dyDescent="0.25">
      <c r="A923" s="147">
        <v>918</v>
      </c>
      <c r="B923" s="167">
        <v>45489</v>
      </c>
      <c r="C923" s="117">
        <v>2024</v>
      </c>
      <c r="D923" s="119" t="s">
        <v>35</v>
      </c>
      <c r="E923" s="119" t="s">
        <v>955</v>
      </c>
      <c r="F923" s="120">
        <v>1</v>
      </c>
      <c r="G923" s="188">
        <v>50000</v>
      </c>
    </row>
    <row r="924" spans="1:7" x14ac:dyDescent="0.25">
      <c r="A924" s="147">
        <v>919</v>
      </c>
      <c r="B924" s="167">
        <v>45489</v>
      </c>
      <c r="C924" s="117">
        <v>2024</v>
      </c>
      <c r="D924" s="119" t="s">
        <v>35</v>
      </c>
      <c r="E924" s="119" t="s">
        <v>953</v>
      </c>
      <c r="F924" s="120">
        <v>1</v>
      </c>
      <c r="G924" s="188">
        <v>400000</v>
      </c>
    </row>
    <row r="925" spans="1:7" x14ac:dyDescent="0.25">
      <c r="A925" s="147">
        <v>920</v>
      </c>
      <c r="B925" s="167">
        <v>45489</v>
      </c>
      <c r="C925" s="117">
        <v>2024</v>
      </c>
      <c r="D925" s="119" t="s">
        <v>35</v>
      </c>
      <c r="E925" s="119" t="s">
        <v>842</v>
      </c>
      <c r="F925" s="120">
        <v>1</v>
      </c>
      <c r="G925" s="188">
        <v>184000</v>
      </c>
    </row>
    <row r="926" spans="1:7" x14ac:dyDescent="0.25">
      <c r="A926" s="147">
        <v>921</v>
      </c>
      <c r="B926" s="167">
        <v>45489</v>
      </c>
      <c r="C926" s="117">
        <v>2024</v>
      </c>
      <c r="D926" s="119" t="s">
        <v>35</v>
      </c>
      <c r="E926" s="119" t="s">
        <v>955</v>
      </c>
      <c r="F926" s="120">
        <v>1</v>
      </c>
      <c r="G926" s="188">
        <v>223000</v>
      </c>
    </row>
    <row r="927" spans="1:7" x14ac:dyDescent="0.25">
      <c r="A927" s="147">
        <v>922</v>
      </c>
      <c r="B927" s="167">
        <v>45489</v>
      </c>
      <c r="C927" s="117">
        <v>2024</v>
      </c>
      <c r="D927" s="119" t="s">
        <v>35</v>
      </c>
      <c r="E927" s="119" t="s">
        <v>838</v>
      </c>
      <c r="F927" s="120">
        <v>1</v>
      </c>
      <c r="G927" s="188">
        <v>75000</v>
      </c>
    </row>
    <row r="928" spans="1:7" x14ac:dyDescent="0.25">
      <c r="A928" s="147">
        <v>923</v>
      </c>
      <c r="B928" s="167">
        <v>45489</v>
      </c>
      <c r="C928" s="117">
        <v>2024</v>
      </c>
      <c r="D928" s="119" t="s">
        <v>35</v>
      </c>
      <c r="E928" s="119" t="s">
        <v>918</v>
      </c>
      <c r="F928" s="120">
        <v>1</v>
      </c>
      <c r="G928" s="188">
        <v>140000</v>
      </c>
    </row>
    <row r="929" spans="1:7" x14ac:dyDescent="0.25">
      <c r="A929" s="147">
        <v>924</v>
      </c>
      <c r="B929" s="167">
        <v>45489</v>
      </c>
      <c r="C929" s="117">
        <v>2024</v>
      </c>
      <c r="D929" s="119" t="s">
        <v>35</v>
      </c>
      <c r="E929" s="119" t="s">
        <v>953</v>
      </c>
      <c r="F929" s="120">
        <v>1</v>
      </c>
      <c r="G929" s="188">
        <v>400000</v>
      </c>
    </row>
    <row r="930" spans="1:7" x14ac:dyDescent="0.25">
      <c r="A930" s="147">
        <v>925</v>
      </c>
      <c r="B930" s="167">
        <v>45489</v>
      </c>
      <c r="C930" s="117">
        <v>2024</v>
      </c>
      <c r="D930" s="119" t="s">
        <v>35</v>
      </c>
      <c r="E930" s="119" t="s">
        <v>838</v>
      </c>
      <c r="F930" s="120">
        <v>1</v>
      </c>
      <c r="G930" s="188">
        <v>75000</v>
      </c>
    </row>
    <row r="931" spans="1:7" x14ac:dyDescent="0.25">
      <c r="A931" s="147">
        <v>926</v>
      </c>
      <c r="B931" s="167">
        <v>45489</v>
      </c>
      <c r="C931" s="117">
        <v>2024</v>
      </c>
      <c r="D931" s="119" t="s">
        <v>35</v>
      </c>
      <c r="E931" s="119" t="s">
        <v>953</v>
      </c>
      <c r="F931" s="120">
        <v>1</v>
      </c>
      <c r="G931" s="188">
        <v>400000</v>
      </c>
    </row>
    <row r="932" spans="1:7" x14ac:dyDescent="0.25">
      <c r="A932" s="147">
        <v>927</v>
      </c>
      <c r="B932" s="167">
        <v>45489</v>
      </c>
      <c r="C932" s="117">
        <v>2024</v>
      </c>
      <c r="D932" s="119" t="s">
        <v>35</v>
      </c>
      <c r="E932" s="119" t="s">
        <v>122</v>
      </c>
      <c r="F932" s="120">
        <v>1</v>
      </c>
      <c r="G932" s="188">
        <v>195000</v>
      </c>
    </row>
    <row r="933" spans="1:7" x14ac:dyDescent="0.25">
      <c r="A933" s="147">
        <v>928</v>
      </c>
      <c r="B933" s="167">
        <v>45493</v>
      </c>
      <c r="C933" s="117">
        <v>2024</v>
      </c>
      <c r="D933" s="119" t="s">
        <v>35</v>
      </c>
      <c r="E933" s="119" t="s">
        <v>211</v>
      </c>
      <c r="F933" s="120">
        <v>3</v>
      </c>
      <c r="G933" s="188">
        <v>58500</v>
      </c>
    </row>
    <row r="934" spans="1:7" x14ac:dyDescent="0.25">
      <c r="A934" s="147">
        <v>929</v>
      </c>
      <c r="B934" s="167">
        <v>45493</v>
      </c>
      <c r="C934" s="117">
        <v>2024</v>
      </c>
      <c r="D934" s="119" t="s">
        <v>35</v>
      </c>
      <c r="E934" s="119" t="s">
        <v>211</v>
      </c>
      <c r="F934" s="120">
        <v>3</v>
      </c>
      <c r="G934" s="188">
        <v>63000</v>
      </c>
    </row>
    <row r="935" spans="1:7" x14ac:dyDescent="0.25">
      <c r="A935" s="147">
        <v>930</v>
      </c>
      <c r="B935" s="167">
        <v>45493</v>
      </c>
      <c r="C935" s="117">
        <v>2024</v>
      </c>
      <c r="D935" s="119" t="s">
        <v>35</v>
      </c>
      <c r="E935" s="119" t="s">
        <v>643</v>
      </c>
      <c r="F935" s="120">
        <v>1</v>
      </c>
      <c r="G935" s="188">
        <v>38500</v>
      </c>
    </row>
    <row r="936" spans="1:7" x14ac:dyDescent="0.25">
      <c r="A936" s="147">
        <v>931</v>
      </c>
      <c r="B936" s="167">
        <v>45497</v>
      </c>
      <c r="C936" s="117">
        <v>2024</v>
      </c>
      <c r="D936" s="119" t="s">
        <v>35</v>
      </c>
      <c r="E936" s="119" t="s">
        <v>567</v>
      </c>
      <c r="F936" s="120">
        <v>100</v>
      </c>
      <c r="G936" s="188">
        <v>55000</v>
      </c>
    </row>
    <row r="937" spans="1:7" x14ac:dyDescent="0.25">
      <c r="A937" s="147">
        <v>932</v>
      </c>
      <c r="B937" s="167">
        <v>45498</v>
      </c>
      <c r="C937" s="117">
        <v>2024</v>
      </c>
      <c r="D937" s="119" t="s">
        <v>35</v>
      </c>
      <c r="E937" s="119" t="s">
        <v>677</v>
      </c>
      <c r="F937" s="120">
        <v>1</v>
      </c>
      <c r="G937" s="188">
        <v>6500</v>
      </c>
    </row>
    <row r="938" spans="1:7" x14ac:dyDescent="0.25">
      <c r="A938" s="147">
        <v>933</v>
      </c>
      <c r="B938" s="167">
        <v>45499</v>
      </c>
      <c r="C938" s="117">
        <v>2024</v>
      </c>
      <c r="D938" s="119" t="s">
        <v>35</v>
      </c>
      <c r="E938" s="119" t="s">
        <v>1137</v>
      </c>
      <c r="F938" s="120">
        <v>1</v>
      </c>
      <c r="G938" s="188">
        <v>55000</v>
      </c>
    </row>
    <row r="939" spans="1:7" x14ac:dyDescent="0.25">
      <c r="A939" s="147">
        <v>934</v>
      </c>
      <c r="B939" s="167">
        <v>45500</v>
      </c>
      <c r="C939" s="117">
        <v>2024</v>
      </c>
      <c r="D939" s="119" t="s">
        <v>35</v>
      </c>
      <c r="E939" s="119" t="s">
        <v>1089</v>
      </c>
      <c r="F939" s="120">
        <v>1</v>
      </c>
      <c r="G939" s="188">
        <v>85900</v>
      </c>
    </row>
    <row r="940" spans="1:7" x14ac:dyDescent="0.25">
      <c r="A940" s="147">
        <v>935</v>
      </c>
      <c r="B940" s="167">
        <v>45502</v>
      </c>
      <c r="C940" s="117">
        <v>2024</v>
      </c>
      <c r="D940" s="119" t="s">
        <v>35</v>
      </c>
      <c r="E940" s="119" t="s">
        <v>1068</v>
      </c>
      <c r="F940" s="120">
        <v>1</v>
      </c>
      <c r="G940" s="188">
        <v>32500</v>
      </c>
    </row>
    <row r="941" spans="1:7" x14ac:dyDescent="0.25">
      <c r="A941" s="147">
        <v>936</v>
      </c>
      <c r="B941" s="167">
        <v>45505</v>
      </c>
      <c r="C941" s="117">
        <v>2024</v>
      </c>
      <c r="D941" s="119" t="s">
        <v>35</v>
      </c>
      <c r="E941" s="119" t="s">
        <v>1138</v>
      </c>
      <c r="F941" s="120">
        <v>1</v>
      </c>
      <c r="G941" s="188">
        <v>84443</v>
      </c>
    </row>
    <row r="942" spans="1:7" x14ac:dyDescent="0.25">
      <c r="A942" s="147">
        <v>937</v>
      </c>
      <c r="B942" s="167">
        <v>45510</v>
      </c>
      <c r="C942" s="117">
        <v>2024</v>
      </c>
      <c r="D942" s="119" t="s">
        <v>35</v>
      </c>
      <c r="E942" s="119" t="s">
        <v>770</v>
      </c>
      <c r="F942" s="120">
        <v>1</v>
      </c>
      <c r="G942" s="188">
        <v>100000</v>
      </c>
    </row>
    <row r="943" spans="1:7" x14ac:dyDescent="0.25">
      <c r="A943" s="147">
        <v>938</v>
      </c>
      <c r="B943" s="167">
        <v>45512</v>
      </c>
      <c r="C943" s="117">
        <v>2024</v>
      </c>
      <c r="D943" s="119" t="s">
        <v>35</v>
      </c>
      <c r="E943" s="119" t="s">
        <v>211</v>
      </c>
      <c r="F943" s="120">
        <v>7</v>
      </c>
      <c r="G943" s="188">
        <v>147000</v>
      </c>
    </row>
    <row r="944" spans="1:7" x14ac:dyDescent="0.25">
      <c r="A944" s="147">
        <v>939</v>
      </c>
      <c r="B944" s="167">
        <v>45512</v>
      </c>
      <c r="C944" s="117">
        <v>2024</v>
      </c>
      <c r="D944" s="119" t="s">
        <v>35</v>
      </c>
      <c r="E944" s="119" t="s">
        <v>211</v>
      </c>
      <c r="F944" s="120">
        <v>3</v>
      </c>
      <c r="G944" s="188">
        <v>58500</v>
      </c>
    </row>
    <row r="945" spans="1:7" x14ac:dyDescent="0.25">
      <c r="A945" s="147">
        <v>940</v>
      </c>
      <c r="B945" s="167">
        <v>45512</v>
      </c>
      <c r="C945" s="117">
        <v>2024</v>
      </c>
      <c r="D945" s="119" t="s">
        <v>35</v>
      </c>
      <c r="E945" s="119" t="s">
        <v>211</v>
      </c>
      <c r="F945" s="120">
        <v>3</v>
      </c>
      <c r="G945" s="188">
        <v>58500</v>
      </c>
    </row>
    <row r="946" spans="1:7" x14ac:dyDescent="0.25">
      <c r="A946" s="147">
        <v>941</v>
      </c>
      <c r="B946" s="167">
        <v>45512</v>
      </c>
      <c r="C946" s="117">
        <v>2024</v>
      </c>
      <c r="D946" s="119" t="s">
        <v>35</v>
      </c>
      <c r="E946" s="119" t="s">
        <v>1139</v>
      </c>
      <c r="F946" s="120">
        <v>1</v>
      </c>
      <c r="G946" s="188">
        <v>84500</v>
      </c>
    </row>
    <row r="947" spans="1:7" x14ac:dyDescent="0.25">
      <c r="A947" s="147">
        <v>942</v>
      </c>
      <c r="B947" s="167">
        <v>45512</v>
      </c>
      <c r="C947" s="117">
        <v>2024</v>
      </c>
      <c r="D947" s="119" t="s">
        <v>35</v>
      </c>
      <c r="E947" s="119" t="s">
        <v>1140</v>
      </c>
      <c r="F947" s="120">
        <v>1</v>
      </c>
      <c r="G947" s="188">
        <v>35000</v>
      </c>
    </row>
    <row r="948" spans="1:7" x14ac:dyDescent="0.25">
      <c r="A948" s="147">
        <v>943</v>
      </c>
      <c r="B948" s="167">
        <v>45512</v>
      </c>
      <c r="C948" s="117">
        <v>2024</v>
      </c>
      <c r="D948" s="119" t="s">
        <v>35</v>
      </c>
      <c r="E948" s="119" t="s">
        <v>794</v>
      </c>
      <c r="F948" s="120">
        <v>1</v>
      </c>
      <c r="G948" s="188">
        <v>166500</v>
      </c>
    </row>
    <row r="949" spans="1:7" x14ac:dyDescent="0.25">
      <c r="A949" s="147">
        <v>944</v>
      </c>
      <c r="B949" s="167">
        <v>45512</v>
      </c>
      <c r="C949" s="117">
        <v>2024</v>
      </c>
      <c r="D949" s="119" t="s">
        <v>35</v>
      </c>
      <c r="E949" s="119" t="s">
        <v>794</v>
      </c>
      <c r="F949" s="120">
        <v>1</v>
      </c>
      <c r="G949" s="188">
        <v>166500</v>
      </c>
    </row>
    <row r="950" spans="1:7" x14ac:dyDescent="0.25">
      <c r="A950" s="147">
        <v>945</v>
      </c>
      <c r="B950" s="167">
        <v>45512</v>
      </c>
      <c r="C950" s="117">
        <v>2024</v>
      </c>
      <c r="D950" s="119" t="s">
        <v>35</v>
      </c>
      <c r="E950" s="119" t="s">
        <v>794</v>
      </c>
      <c r="F950" s="120">
        <v>1</v>
      </c>
      <c r="G950" s="188">
        <v>166500</v>
      </c>
    </row>
    <row r="951" spans="1:7" x14ac:dyDescent="0.25">
      <c r="A951" s="147">
        <v>946</v>
      </c>
      <c r="B951" s="167">
        <v>45512</v>
      </c>
      <c r="C951" s="117">
        <v>2024</v>
      </c>
      <c r="D951" s="119" t="s">
        <v>35</v>
      </c>
      <c r="E951" s="119" t="s">
        <v>794</v>
      </c>
      <c r="F951" s="120">
        <v>1</v>
      </c>
      <c r="G951" s="188">
        <v>166500</v>
      </c>
    </row>
    <row r="952" spans="1:7" x14ac:dyDescent="0.25">
      <c r="A952" s="147">
        <v>947</v>
      </c>
      <c r="B952" s="167">
        <v>45512</v>
      </c>
      <c r="C952" s="117">
        <v>2024</v>
      </c>
      <c r="D952" s="119" t="s">
        <v>35</v>
      </c>
      <c r="E952" s="119" t="s">
        <v>794</v>
      </c>
      <c r="F952" s="120">
        <v>1</v>
      </c>
      <c r="G952" s="188">
        <v>166500</v>
      </c>
    </row>
    <row r="953" spans="1:7" x14ac:dyDescent="0.25">
      <c r="A953" s="147">
        <v>948</v>
      </c>
      <c r="B953" s="167">
        <v>45513</v>
      </c>
      <c r="C953" s="117">
        <v>2024</v>
      </c>
      <c r="D953" s="119" t="s">
        <v>35</v>
      </c>
      <c r="E953" s="119" t="s">
        <v>770</v>
      </c>
      <c r="F953" s="120">
        <v>1</v>
      </c>
      <c r="G953" s="188">
        <v>363000</v>
      </c>
    </row>
    <row r="954" spans="1:7" x14ac:dyDescent="0.25">
      <c r="A954" s="147">
        <v>949</v>
      </c>
      <c r="B954" s="167">
        <v>45513</v>
      </c>
      <c r="C954" s="117">
        <v>2024</v>
      </c>
      <c r="D954" s="119" t="s">
        <v>35</v>
      </c>
      <c r="E954" s="119" t="s">
        <v>1142</v>
      </c>
      <c r="F954" s="120">
        <v>1</v>
      </c>
      <c r="G954" s="188">
        <v>900000</v>
      </c>
    </row>
    <row r="955" spans="1:7" x14ac:dyDescent="0.25">
      <c r="A955" s="147">
        <v>950</v>
      </c>
      <c r="B955" s="167">
        <v>45513</v>
      </c>
      <c r="C955" s="117">
        <v>2024</v>
      </c>
      <c r="D955" s="119" t="s">
        <v>35</v>
      </c>
      <c r="E955" s="119" t="s">
        <v>1143</v>
      </c>
      <c r="F955" s="120">
        <v>1</v>
      </c>
      <c r="G955" s="188">
        <v>120000</v>
      </c>
    </row>
    <row r="956" spans="1:7" x14ac:dyDescent="0.25">
      <c r="A956" s="147">
        <v>951</v>
      </c>
      <c r="B956" s="167">
        <v>45513</v>
      </c>
      <c r="C956" s="117">
        <v>2024</v>
      </c>
      <c r="D956" s="119" t="s">
        <v>35</v>
      </c>
      <c r="E956" s="119" t="s">
        <v>799</v>
      </c>
      <c r="F956" s="120">
        <v>1</v>
      </c>
      <c r="G956" s="188">
        <v>400000</v>
      </c>
    </row>
    <row r="957" spans="1:7" x14ac:dyDescent="0.25">
      <c r="A957" s="147">
        <v>952</v>
      </c>
      <c r="B957" s="167">
        <v>45513</v>
      </c>
      <c r="C957" s="117">
        <v>2024</v>
      </c>
      <c r="D957" s="119" t="s">
        <v>35</v>
      </c>
      <c r="E957" s="119" t="s">
        <v>184</v>
      </c>
      <c r="F957" s="120">
        <v>1</v>
      </c>
      <c r="G957" s="188">
        <v>100000</v>
      </c>
    </row>
    <row r="958" spans="1:7" x14ac:dyDescent="0.25">
      <c r="A958" s="147">
        <v>953</v>
      </c>
      <c r="B958" s="167">
        <v>45513</v>
      </c>
      <c r="C958" s="117">
        <v>2024</v>
      </c>
      <c r="D958" s="119" t="s">
        <v>35</v>
      </c>
      <c r="E958" s="119" t="s">
        <v>1144</v>
      </c>
      <c r="F958" s="120">
        <v>1</v>
      </c>
      <c r="G958" s="188">
        <v>115000</v>
      </c>
    </row>
    <row r="959" spans="1:7" x14ac:dyDescent="0.25">
      <c r="A959" s="147">
        <v>954</v>
      </c>
      <c r="B959" s="167">
        <v>45513</v>
      </c>
      <c r="C959" s="117">
        <v>2024</v>
      </c>
      <c r="D959" s="119" t="s">
        <v>35</v>
      </c>
      <c r="E959" s="119" t="s">
        <v>1145</v>
      </c>
      <c r="F959" s="120">
        <v>1</v>
      </c>
      <c r="G959" s="188">
        <v>85000</v>
      </c>
    </row>
    <row r="960" spans="1:7" x14ac:dyDescent="0.25">
      <c r="A960" s="147">
        <v>955</v>
      </c>
      <c r="B960" s="167">
        <v>45513</v>
      </c>
      <c r="C960" s="117">
        <v>2024</v>
      </c>
      <c r="D960" s="119" t="s">
        <v>35</v>
      </c>
      <c r="E960" s="119" t="s">
        <v>1142</v>
      </c>
      <c r="F960" s="120">
        <v>1</v>
      </c>
      <c r="G960" s="188">
        <v>900000</v>
      </c>
    </row>
    <row r="961" spans="1:7" x14ac:dyDescent="0.25">
      <c r="A961" s="147">
        <v>956</v>
      </c>
      <c r="B961" s="167">
        <v>45513</v>
      </c>
      <c r="C961" s="117">
        <v>2024</v>
      </c>
      <c r="D961" s="119" t="s">
        <v>35</v>
      </c>
      <c r="E961" s="119" t="s">
        <v>1143</v>
      </c>
      <c r="F961" s="120">
        <v>1</v>
      </c>
      <c r="G961" s="188">
        <v>120000</v>
      </c>
    </row>
    <row r="962" spans="1:7" x14ac:dyDescent="0.25">
      <c r="A962" s="147">
        <v>957</v>
      </c>
      <c r="B962" s="167">
        <v>45513</v>
      </c>
      <c r="C962" s="117">
        <v>2024</v>
      </c>
      <c r="D962" s="119" t="s">
        <v>35</v>
      </c>
      <c r="E962" s="119" t="s">
        <v>1146</v>
      </c>
      <c r="F962" s="120">
        <v>1</v>
      </c>
      <c r="G962" s="188">
        <v>150000</v>
      </c>
    </row>
    <row r="963" spans="1:7" x14ac:dyDescent="0.25">
      <c r="A963" s="147">
        <v>958</v>
      </c>
      <c r="B963" s="167">
        <v>45513</v>
      </c>
      <c r="C963" s="117">
        <v>2024</v>
      </c>
      <c r="D963" s="119" t="s">
        <v>35</v>
      </c>
      <c r="E963" s="119" t="s">
        <v>791</v>
      </c>
      <c r="F963" s="120">
        <v>1</v>
      </c>
      <c r="G963" s="188">
        <v>135000</v>
      </c>
    </row>
    <row r="964" spans="1:7" x14ac:dyDescent="0.25">
      <c r="A964" s="147">
        <v>959</v>
      </c>
      <c r="B964" s="167">
        <v>45513</v>
      </c>
      <c r="C964" s="117">
        <v>2024</v>
      </c>
      <c r="D964" s="119" t="s">
        <v>35</v>
      </c>
      <c r="E964" s="119" t="s">
        <v>1147</v>
      </c>
      <c r="F964" s="120">
        <v>1</v>
      </c>
      <c r="G964" s="188">
        <v>135000</v>
      </c>
    </row>
    <row r="965" spans="1:7" x14ac:dyDescent="0.25">
      <c r="A965" s="147">
        <v>960</v>
      </c>
      <c r="B965" s="167">
        <v>45518</v>
      </c>
      <c r="C965" s="117">
        <v>2024</v>
      </c>
      <c r="D965" s="119" t="s">
        <v>35</v>
      </c>
      <c r="E965" s="119" t="s">
        <v>1068</v>
      </c>
      <c r="F965" s="120">
        <v>1</v>
      </c>
      <c r="G965" s="188">
        <v>24000</v>
      </c>
    </row>
    <row r="966" spans="1:7" x14ac:dyDescent="0.25">
      <c r="A966" s="147">
        <v>961</v>
      </c>
      <c r="B966" s="167">
        <v>45518</v>
      </c>
      <c r="C966" s="117">
        <v>2024</v>
      </c>
      <c r="D966" s="119" t="s">
        <v>35</v>
      </c>
      <c r="E966" s="119" t="s">
        <v>1119</v>
      </c>
      <c r="F966" s="120">
        <v>1</v>
      </c>
      <c r="G966" s="188">
        <v>315000</v>
      </c>
    </row>
    <row r="967" spans="1:7" x14ac:dyDescent="0.25">
      <c r="A967" s="147">
        <v>962</v>
      </c>
      <c r="B967" s="167">
        <v>45518</v>
      </c>
      <c r="C967" s="117">
        <v>2024</v>
      </c>
      <c r="D967" s="119" t="s">
        <v>35</v>
      </c>
      <c r="E967" s="119" t="s">
        <v>1148</v>
      </c>
      <c r="F967" s="120">
        <v>1</v>
      </c>
      <c r="G967" s="188">
        <v>20000</v>
      </c>
    </row>
    <row r="968" spans="1:7" x14ac:dyDescent="0.25">
      <c r="A968" s="147">
        <v>963</v>
      </c>
      <c r="B968" s="167">
        <v>45524</v>
      </c>
      <c r="C968" s="117">
        <v>2024</v>
      </c>
      <c r="D968" s="119" t="s">
        <v>35</v>
      </c>
      <c r="E968" s="119" t="s">
        <v>1034</v>
      </c>
      <c r="F968" s="120">
        <v>1</v>
      </c>
      <c r="G968" s="188">
        <v>128000</v>
      </c>
    </row>
    <row r="969" spans="1:7" x14ac:dyDescent="0.25">
      <c r="A969" s="147">
        <v>964</v>
      </c>
      <c r="B969" s="167">
        <v>45524</v>
      </c>
      <c r="C969" s="117">
        <v>2024</v>
      </c>
      <c r="D969" s="119" t="s">
        <v>35</v>
      </c>
      <c r="E969" s="119" t="s">
        <v>1150</v>
      </c>
      <c r="F969" s="120">
        <v>1</v>
      </c>
      <c r="G969" s="188">
        <v>200000</v>
      </c>
    </row>
    <row r="970" spans="1:7" x14ac:dyDescent="0.25">
      <c r="A970" s="147">
        <v>965</v>
      </c>
      <c r="B970" s="167">
        <v>45525</v>
      </c>
      <c r="C970" s="117">
        <v>2024</v>
      </c>
      <c r="D970" s="119" t="s">
        <v>35</v>
      </c>
      <c r="E970" s="119" t="s">
        <v>827</v>
      </c>
      <c r="F970" s="120">
        <v>1</v>
      </c>
      <c r="G970" s="188">
        <v>45000</v>
      </c>
    </row>
    <row r="971" spans="1:7" x14ac:dyDescent="0.25">
      <c r="A971" s="147">
        <v>966</v>
      </c>
      <c r="B971" s="167">
        <v>45527</v>
      </c>
      <c r="C971" s="117">
        <v>2024</v>
      </c>
      <c r="D971" s="119" t="s">
        <v>35</v>
      </c>
      <c r="E971" s="119" t="s">
        <v>801</v>
      </c>
      <c r="F971" s="120">
        <v>1</v>
      </c>
      <c r="G971" s="188">
        <v>140000</v>
      </c>
    </row>
    <row r="972" spans="1:7" x14ac:dyDescent="0.25">
      <c r="A972" s="147">
        <v>967</v>
      </c>
      <c r="B972" s="167">
        <v>45527</v>
      </c>
      <c r="C972" s="117">
        <v>2024</v>
      </c>
      <c r="D972" s="119" t="s">
        <v>35</v>
      </c>
      <c r="E972" s="119" t="s">
        <v>823</v>
      </c>
      <c r="F972" s="120">
        <v>1</v>
      </c>
      <c r="G972" s="188">
        <v>65000</v>
      </c>
    </row>
    <row r="973" spans="1:7" x14ac:dyDescent="0.25">
      <c r="A973" s="147">
        <v>968</v>
      </c>
      <c r="B973" s="167">
        <v>45527</v>
      </c>
      <c r="C973" s="117">
        <v>2024</v>
      </c>
      <c r="D973" s="119" t="s">
        <v>35</v>
      </c>
      <c r="E973" s="119" t="s">
        <v>1151</v>
      </c>
      <c r="F973" s="120">
        <v>1</v>
      </c>
      <c r="G973" s="188">
        <v>3100000</v>
      </c>
    </row>
    <row r="974" spans="1:7" x14ac:dyDescent="0.25">
      <c r="A974" s="147">
        <v>969</v>
      </c>
      <c r="B974" s="167">
        <v>45527</v>
      </c>
      <c r="C974" s="117">
        <v>2024</v>
      </c>
      <c r="D974" s="119" t="s">
        <v>35</v>
      </c>
      <c r="E974" s="119" t="s">
        <v>1152</v>
      </c>
      <c r="F974" s="120">
        <v>1</v>
      </c>
      <c r="G974" s="188">
        <v>1200000</v>
      </c>
    </row>
    <row r="975" spans="1:7" x14ac:dyDescent="0.25">
      <c r="A975" s="147">
        <v>970</v>
      </c>
      <c r="B975" s="167">
        <v>45527</v>
      </c>
      <c r="C975" s="117">
        <v>2024</v>
      </c>
      <c r="D975" s="119" t="s">
        <v>35</v>
      </c>
      <c r="E975" s="119" t="s">
        <v>827</v>
      </c>
      <c r="F975" s="120">
        <v>1</v>
      </c>
      <c r="G975" s="188">
        <v>140000</v>
      </c>
    </row>
    <row r="976" spans="1:7" x14ac:dyDescent="0.25">
      <c r="A976" s="147">
        <v>971</v>
      </c>
      <c r="B976" s="167">
        <v>45527</v>
      </c>
      <c r="C976" s="117">
        <v>2024</v>
      </c>
      <c r="D976" s="119" t="s">
        <v>35</v>
      </c>
      <c r="E976" s="119" t="s">
        <v>1152</v>
      </c>
      <c r="F976" s="120">
        <v>1</v>
      </c>
      <c r="G976" s="188">
        <v>1224000</v>
      </c>
    </row>
    <row r="977" spans="1:7" x14ac:dyDescent="0.25">
      <c r="A977" s="147">
        <v>972</v>
      </c>
      <c r="B977" s="167">
        <v>45527</v>
      </c>
      <c r="C977" s="117">
        <v>2024</v>
      </c>
      <c r="D977" s="119" t="s">
        <v>35</v>
      </c>
      <c r="E977" s="119" t="s">
        <v>823</v>
      </c>
      <c r="F977" s="120">
        <v>1</v>
      </c>
      <c r="G977" s="188">
        <v>65000</v>
      </c>
    </row>
    <row r="978" spans="1:7" x14ac:dyDescent="0.25">
      <c r="A978" s="147">
        <v>973</v>
      </c>
      <c r="B978" s="167">
        <v>45527</v>
      </c>
      <c r="C978" s="117">
        <v>2024</v>
      </c>
      <c r="D978" s="119" t="s">
        <v>35</v>
      </c>
      <c r="E978" s="119" t="s">
        <v>801</v>
      </c>
      <c r="F978" s="120">
        <v>1</v>
      </c>
      <c r="G978" s="188">
        <v>140000</v>
      </c>
    </row>
    <row r="979" spans="1:7" x14ac:dyDescent="0.25">
      <c r="A979" s="147">
        <v>974</v>
      </c>
      <c r="B979" s="167">
        <v>45527</v>
      </c>
      <c r="C979" s="117">
        <v>2024</v>
      </c>
      <c r="D979" s="119" t="s">
        <v>35</v>
      </c>
      <c r="E979" s="119" t="s">
        <v>823</v>
      </c>
      <c r="F979" s="120">
        <v>1</v>
      </c>
      <c r="G979" s="188">
        <v>65000</v>
      </c>
    </row>
    <row r="980" spans="1:7" x14ac:dyDescent="0.25">
      <c r="A980" s="147">
        <v>975</v>
      </c>
      <c r="B980" s="167">
        <v>45527</v>
      </c>
      <c r="C980" s="117">
        <v>2024</v>
      </c>
      <c r="D980" s="119" t="s">
        <v>35</v>
      </c>
      <c r="E980" s="119" t="s">
        <v>1151</v>
      </c>
      <c r="F980" s="120">
        <v>1</v>
      </c>
      <c r="G980" s="188">
        <v>3100000</v>
      </c>
    </row>
    <row r="981" spans="1:7" x14ac:dyDescent="0.25">
      <c r="A981" s="147">
        <v>976</v>
      </c>
      <c r="B981" s="167">
        <v>45527</v>
      </c>
      <c r="C981" s="117">
        <v>2024</v>
      </c>
      <c r="D981" s="119" t="s">
        <v>35</v>
      </c>
      <c r="E981" s="119" t="s">
        <v>1151</v>
      </c>
      <c r="F981" s="120">
        <v>1</v>
      </c>
      <c r="G981" s="188">
        <v>3100000</v>
      </c>
    </row>
    <row r="982" spans="1:7" x14ac:dyDescent="0.25">
      <c r="A982" s="147">
        <v>977</v>
      </c>
      <c r="B982" s="145">
        <v>45527</v>
      </c>
      <c r="C982" s="191">
        <v>2024</v>
      </c>
      <c r="D982" s="192" t="s">
        <v>35</v>
      </c>
      <c r="E982" s="192" t="s">
        <v>801</v>
      </c>
      <c r="F982" s="193">
        <v>1</v>
      </c>
      <c r="G982" s="148">
        <v>140000</v>
      </c>
    </row>
    <row r="983" spans="1:7" x14ac:dyDescent="0.25">
      <c r="A983" s="147">
        <v>978</v>
      </c>
      <c r="B983" s="145">
        <v>45527</v>
      </c>
      <c r="C983" s="191">
        <v>2024</v>
      </c>
      <c r="D983" s="192" t="s">
        <v>35</v>
      </c>
      <c r="E983" s="192" t="s">
        <v>823</v>
      </c>
      <c r="F983" s="193">
        <v>1</v>
      </c>
      <c r="G983" s="148">
        <v>65000</v>
      </c>
    </row>
    <row r="984" spans="1:7" x14ac:dyDescent="0.25">
      <c r="A984" s="147">
        <v>979</v>
      </c>
      <c r="B984" s="145">
        <v>45527</v>
      </c>
      <c r="C984" s="191">
        <v>2024</v>
      </c>
      <c r="D984" s="192" t="s">
        <v>35</v>
      </c>
      <c r="E984" s="192" t="s">
        <v>1151</v>
      </c>
      <c r="F984" s="193">
        <v>1</v>
      </c>
      <c r="G984" s="148">
        <v>3100000</v>
      </c>
    </row>
    <row r="985" spans="1:7" x14ac:dyDescent="0.25">
      <c r="A985" s="147">
        <v>980</v>
      </c>
      <c r="B985" s="145">
        <v>45527</v>
      </c>
      <c r="C985" s="191">
        <v>2024</v>
      </c>
      <c r="D985" s="192" t="s">
        <v>35</v>
      </c>
      <c r="E985" s="192" t="s">
        <v>1153</v>
      </c>
      <c r="F985" s="193">
        <v>1</v>
      </c>
      <c r="G985" s="148">
        <v>612000</v>
      </c>
    </row>
    <row r="986" spans="1:7" x14ac:dyDescent="0.25">
      <c r="A986" s="147">
        <v>981</v>
      </c>
      <c r="B986" s="145">
        <v>45537</v>
      </c>
      <c r="C986" s="191">
        <v>2024</v>
      </c>
      <c r="D986" s="192" t="s">
        <v>35</v>
      </c>
      <c r="E986" s="192" t="s">
        <v>1154</v>
      </c>
      <c r="F986" s="193">
        <v>1</v>
      </c>
      <c r="G986" s="148">
        <v>400000</v>
      </c>
    </row>
    <row r="987" spans="1:7" x14ac:dyDescent="0.25">
      <c r="A987" s="147">
        <v>982</v>
      </c>
      <c r="B987" s="145">
        <v>45537</v>
      </c>
      <c r="C987" s="191">
        <v>2024</v>
      </c>
      <c r="D987" s="192" t="s">
        <v>35</v>
      </c>
      <c r="E987" s="192" t="s">
        <v>955</v>
      </c>
      <c r="F987" s="193">
        <v>1</v>
      </c>
      <c r="G987" s="148">
        <v>223000</v>
      </c>
    </row>
    <row r="988" spans="1:7" x14ac:dyDescent="0.25">
      <c r="A988" s="147">
        <v>983</v>
      </c>
      <c r="B988" s="145">
        <v>45537</v>
      </c>
      <c r="C988" s="191">
        <v>2024</v>
      </c>
      <c r="D988" s="192" t="s">
        <v>35</v>
      </c>
      <c r="E988" s="192" t="s">
        <v>1155</v>
      </c>
      <c r="F988" s="193">
        <v>1</v>
      </c>
      <c r="G988" s="148">
        <v>400000</v>
      </c>
    </row>
    <row r="989" spans="1:7" x14ac:dyDescent="0.25">
      <c r="A989" s="147">
        <v>984</v>
      </c>
      <c r="B989" s="145">
        <v>45537</v>
      </c>
      <c r="C989" s="191">
        <v>2024</v>
      </c>
      <c r="D989" s="192" t="s">
        <v>35</v>
      </c>
      <c r="E989" s="192" t="s">
        <v>953</v>
      </c>
      <c r="F989" s="193">
        <v>1</v>
      </c>
      <c r="G989" s="148">
        <v>400000</v>
      </c>
    </row>
    <row r="990" spans="1:7" x14ac:dyDescent="0.25">
      <c r="A990" s="147">
        <v>985</v>
      </c>
      <c r="B990" s="145">
        <v>45537</v>
      </c>
      <c r="C990" s="191">
        <v>2024</v>
      </c>
      <c r="D990" s="192" t="s">
        <v>35</v>
      </c>
      <c r="E990" s="192" t="s">
        <v>953</v>
      </c>
      <c r="F990" s="193">
        <v>1</v>
      </c>
      <c r="G990" s="148">
        <v>400000</v>
      </c>
    </row>
    <row r="991" spans="1:7" x14ac:dyDescent="0.25">
      <c r="A991" s="147">
        <v>986</v>
      </c>
      <c r="B991" s="145">
        <v>45537</v>
      </c>
      <c r="C991" s="191">
        <v>2024</v>
      </c>
      <c r="D991" s="192" t="s">
        <v>35</v>
      </c>
      <c r="E991" s="192" t="s">
        <v>838</v>
      </c>
      <c r="F991" s="193">
        <v>1</v>
      </c>
      <c r="G991" s="148">
        <v>75000</v>
      </c>
    </row>
    <row r="992" spans="1:7" x14ac:dyDescent="0.25">
      <c r="A992" s="147">
        <v>987</v>
      </c>
      <c r="B992" s="145">
        <v>45537</v>
      </c>
      <c r="C992" s="191">
        <v>2024</v>
      </c>
      <c r="D992" s="192" t="s">
        <v>35</v>
      </c>
      <c r="E992" s="192" t="s">
        <v>975</v>
      </c>
      <c r="F992" s="193">
        <v>1</v>
      </c>
      <c r="G992" s="148">
        <v>85000</v>
      </c>
    </row>
    <row r="993" spans="1:7" x14ac:dyDescent="0.25">
      <c r="A993" s="147">
        <v>988</v>
      </c>
      <c r="B993" s="145">
        <v>45537</v>
      </c>
      <c r="C993" s="191">
        <v>2024</v>
      </c>
      <c r="D993" s="192" t="s">
        <v>35</v>
      </c>
      <c r="E993" s="192" t="s">
        <v>873</v>
      </c>
      <c r="F993" s="193">
        <v>1</v>
      </c>
      <c r="G993" s="148">
        <v>40000</v>
      </c>
    </row>
    <row r="994" spans="1:7" x14ac:dyDescent="0.25">
      <c r="A994" s="147">
        <v>989</v>
      </c>
      <c r="B994" s="145">
        <v>45537</v>
      </c>
      <c r="C994" s="191">
        <v>2024</v>
      </c>
      <c r="D994" s="192" t="s">
        <v>35</v>
      </c>
      <c r="E994" s="192" t="s">
        <v>953</v>
      </c>
      <c r="F994" s="193">
        <v>1</v>
      </c>
      <c r="G994" s="148">
        <v>400000</v>
      </c>
    </row>
    <row r="995" spans="1:7" x14ac:dyDescent="0.25">
      <c r="A995" s="147">
        <v>990</v>
      </c>
      <c r="B995" s="145">
        <v>45537</v>
      </c>
      <c r="C995" s="191">
        <v>2024</v>
      </c>
      <c r="D995" s="192" t="s">
        <v>35</v>
      </c>
      <c r="E995" s="192" t="s">
        <v>955</v>
      </c>
      <c r="F995" s="193">
        <v>1</v>
      </c>
      <c r="G995" s="148">
        <v>184000</v>
      </c>
    </row>
    <row r="996" spans="1:7" x14ac:dyDescent="0.25">
      <c r="A996" s="147">
        <v>991</v>
      </c>
      <c r="B996" s="145">
        <v>45537</v>
      </c>
      <c r="C996" s="191">
        <v>2024</v>
      </c>
      <c r="D996" s="192" t="s">
        <v>35</v>
      </c>
      <c r="E996" s="192" t="s">
        <v>122</v>
      </c>
      <c r="F996" s="193">
        <v>1</v>
      </c>
      <c r="G996" s="148">
        <v>195000</v>
      </c>
    </row>
    <row r="997" spans="1:7" x14ac:dyDescent="0.25">
      <c r="A997" s="147">
        <v>992</v>
      </c>
      <c r="B997" s="145">
        <v>45537</v>
      </c>
      <c r="C997" s="191">
        <v>2024</v>
      </c>
      <c r="D997" s="192" t="s">
        <v>35</v>
      </c>
      <c r="E997" s="192" t="s">
        <v>953</v>
      </c>
      <c r="F997" s="193">
        <v>1</v>
      </c>
      <c r="G997" s="148">
        <v>400000</v>
      </c>
    </row>
    <row r="998" spans="1:7" x14ac:dyDescent="0.25">
      <c r="A998" s="147">
        <v>993</v>
      </c>
      <c r="B998" s="145">
        <v>45537</v>
      </c>
      <c r="C998" s="191">
        <v>2024</v>
      </c>
      <c r="D998" s="192" t="s">
        <v>35</v>
      </c>
      <c r="E998" s="192" t="s">
        <v>953</v>
      </c>
      <c r="F998" s="193">
        <v>1</v>
      </c>
      <c r="G998" s="148">
        <v>400000</v>
      </c>
    </row>
    <row r="999" spans="1:7" x14ac:dyDescent="0.25">
      <c r="A999" s="147">
        <v>994</v>
      </c>
      <c r="B999" s="145">
        <v>45537</v>
      </c>
      <c r="C999" s="191">
        <v>2024</v>
      </c>
      <c r="D999" s="192" t="s">
        <v>35</v>
      </c>
      <c r="E999" s="192" t="s">
        <v>838</v>
      </c>
      <c r="F999" s="193">
        <v>1</v>
      </c>
      <c r="G999" s="148">
        <v>75000</v>
      </c>
    </row>
    <row r="1000" spans="1:7" x14ac:dyDescent="0.25">
      <c r="A1000" s="147">
        <v>995</v>
      </c>
      <c r="B1000" s="145">
        <v>45537</v>
      </c>
      <c r="C1000" s="191">
        <v>2024</v>
      </c>
      <c r="D1000" s="192" t="s">
        <v>35</v>
      </c>
      <c r="E1000" s="192" t="s">
        <v>953</v>
      </c>
      <c r="F1000" s="193">
        <v>1</v>
      </c>
      <c r="G1000" s="148">
        <v>400000</v>
      </c>
    </row>
    <row r="1001" spans="1:7" x14ac:dyDescent="0.25">
      <c r="A1001" s="147">
        <v>996</v>
      </c>
      <c r="B1001" s="145">
        <v>45537</v>
      </c>
      <c r="C1001" s="191">
        <v>2024</v>
      </c>
      <c r="D1001" s="192" t="s">
        <v>35</v>
      </c>
      <c r="E1001" s="192" t="s">
        <v>842</v>
      </c>
      <c r="F1001" s="193">
        <v>1</v>
      </c>
      <c r="G1001" s="148">
        <v>223000</v>
      </c>
    </row>
    <row r="1002" spans="1:7" x14ac:dyDescent="0.25">
      <c r="A1002" s="147">
        <v>997</v>
      </c>
      <c r="B1002" s="145">
        <v>45537</v>
      </c>
      <c r="C1002" s="191">
        <v>2024</v>
      </c>
      <c r="D1002" s="192" t="s">
        <v>35</v>
      </c>
      <c r="E1002" s="192" t="s">
        <v>955</v>
      </c>
      <c r="F1002" s="193">
        <v>1</v>
      </c>
      <c r="G1002" s="148">
        <v>184000</v>
      </c>
    </row>
    <row r="1003" spans="1:7" x14ac:dyDescent="0.25">
      <c r="A1003" s="147">
        <v>998</v>
      </c>
      <c r="B1003" s="145">
        <v>45540</v>
      </c>
      <c r="C1003" s="191">
        <v>2024</v>
      </c>
      <c r="D1003" s="192" t="s">
        <v>35</v>
      </c>
      <c r="E1003" s="192" t="s">
        <v>211</v>
      </c>
      <c r="F1003" s="193">
        <v>3</v>
      </c>
      <c r="G1003" s="148">
        <v>58500</v>
      </c>
    </row>
    <row r="1004" spans="1:7" x14ac:dyDescent="0.25">
      <c r="A1004" s="147">
        <v>999</v>
      </c>
      <c r="B1004" s="145">
        <v>45540</v>
      </c>
      <c r="C1004" s="191">
        <v>2024</v>
      </c>
      <c r="D1004" s="192" t="s">
        <v>35</v>
      </c>
      <c r="E1004" s="192" t="s">
        <v>211</v>
      </c>
      <c r="F1004" s="193">
        <v>5</v>
      </c>
      <c r="G1004" s="148">
        <v>105000</v>
      </c>
    </row>
    <row r="1005" spans="1:7" x14ac:dyDescent="0.25">
      <c r="A1005" s="147">
        <v>1000</v>
      </c>
      <c r="B1005" s="145">
        <v>45540</v>
      </c>
      <c r="C1005" s="191">
        <v>2024</v>
      </c>
      <c r="D1005" s="192" t="s">
        <v>35</v>
      </c>
      <c r="E1005" s="192" t="s">
        <v>211</v>
      </c>
      <c r="F1005" s="193">
        <v>7</v>
      </c>
      <c r="G1005" s="148">
        <v>95000</v>
      </c>
    </row>
    <row r="1006" spans="1:7" x14ac:dyDescent="0.25">
      <c r="A1006" s="147">
        <v>1001</v>
      </c>
      <c r="B1006" s="145">
        <v>45540</v>
      </c>
      <c r="C1006" s="191">
        <v>2024</v>
      </c>
      <c r="D1006" s="192" t="s">
        <v>35</v>
      </c>
      <c r="E1006" s="192" t="s">
        <v>1156</v>
      </c>
      <c r="F1006" s="193">
        <v>1</v>
      </c>
      <c r="G1006" s="148">
        <v>65000</v>
      </c>
    </row>
    <row r="1007" spans="1:7" x14ac:dyDescent="0.25">
      <c r="A1007" s="147">
        <v>1002</v>
      </c>
      <c r="B1007" s="145">
        <v>45540</v>
      </c>
      <c r="C1007" s="191">
        <v>2024</v>
      </c>
      <c r="D1007" s="192" t="s">
        <v>35</v>
      </c>
      <c r="E1007" s="192" t="s">
        <v>811</v>
      </c>
      <c r="F1007" s="193">
        <v>1</v>
      </c>
      <c r="G1007" s="148">
        <v>60000</v>
      </c>
    </row>
    <row r="1008" spans="1:7" x14ac:dyDescent="0.25">
      <c r="A1008" s="147">
        <v>1003</v>
      </c>
      <c r="B1008" s="145">
        <v>45540</v>
      </c>
      <c r="C1008" s="191">
        <v>2024</v>
      </c>
      <c r="D1008" s="192" t="s">
        <v>35</v>
      </c>
      <c r="E1008" s="192" t="s">
        <v>325</v>
      </c>
      <c r="F1008" s="193">
        <v>1</v>
      </c>
      <c r="G1008" s="148">
        <v>1750000</v>
      </c>
    </row>
    <row r="1009" spans="1:7" x14ac:dyDescent="0.25">
      <c r="A1009" s="147">
        <v>1004</v>
      </c>
      <c r="B1009" s="145">
        <v>45540</v>
      </c>
      <c r="C1009" s="191">
        <v>2024</v>
      </c>
      <c r="D1009" s="192" t="s">
        <v>35</v>
      </c>
      <c r="E1009" s="192" t="s">
        <v>808</v>
      </c>
      <c r="F1009" s="193">
        <v>1</v>
      </c>
      <c r="G1009" s="148">
        <v>400000</v>
      </c>
    </row>
    <row r="1010" spans="1:7" x14ac:dyDescent="0.25">
      <c r="A1010" s="147">
        <v>1005</v>
      </c>
      <c r="B1010" s="145">
        <v>45540</v>
      </c>
      <c r="C1010" s="191">
        <v>2024</v>
      </c>
      <c r="D1010" s="192" t="s">
        <v>35</v>
      </c>
      <c r="E1010" s="192" t="s">
        <v>1157</v>
      </c>
      <c r="F1010" s="193">
        <v>1</v>
      </c>
      <c r="G1010" s="148">
        <v>65000</v>
      </c>
    </row>
    <row r="1011" spans="1:7" x14ac:dyDescent="0.25">
      <c r="A1011" s="147">
        <v>1006</v>
      </c>
      <c r="B1011" s="145">
        <v>45540</v>
      </c>
      <c r="C1011" s="191">
        <v>2024</v>
      </c>
      <c r="D1011" s="192" t="s">
        <v>35</v>
      </c>
      <c r="E1011" s="192" t="s">
        <v>1157</v>
      </c>
      <c r="F1011" s="193">
        <v>1</v>
      </c>
      <c r="G1011" s="148">
        <v>30000</v>
      </c>
    </row>
    <row r="1012" spans="1:7" x14ac:dyDescent="0.25">
      <c r="A1012" s="147">
        <v>1007</v>
      </c>
      <c r="B1012" s="145">
        <v>45540</v>
      </c>
      <c r="C1012" s="191">
        <v>2024</v>
      </c>
      <c r="D1012" s="192" t="s">
        <v>35</v>
      </c>
      <c r="E1012" s="192" t="s">
        <v>1142</v>
      </c>
      <c r="F1012" s="193">
        <v>1</v>
      </c>
      <c r="G1012" s="148">
        <v>450000</v>
      </c>
    </row>
    <row r="1013" spans="1:7" x14ac:dyDescent="0.25">
      <c r="A1013" s="147">
        <v>1008</v>
      </c>
      <c r="B1013" s="145">
        <v>45540</v>
      </c>
      <c r="C1013" s="191">
        <v>2024</v>
      </c>
      <c r="D1013" s="192" t="s">
        <v>35</v>
      </c>
      <c r="E1013" s="192" t="s">
        <v>1158</v>
      </c>
      <c r="F1013" s="193">
        <v>1</v>
      </c>
      <c r="G1013" s="148">
        <v>250000</v>
      </c>
    </row>
    <row r="1014" spans="1:7" x14ac:dyDescent="0.25">
      <c r="A1014" s="147">
        <v>1009</v>
      </c>
      <c r="B1014" s="145">
        <v>45540</v>
      </c>
      <c r="C1014" s="191">
        <v>2024</v>
      </c>
      <c r="D1014" s="192" t="s">
        <v>35</v>
      </c>
      <c r="E1014" s="192" t="s">
        <v>1142</v>
      </c>
      <c r="F1014" s="193">
        <v>1</v>
      </c>
      <c r="G1014" s="148">
        <v>900000</v>
      </c>
    </row>
    <row r="1015" spans="1:7" x14ac:dyDescent="0.25">
      <c r="A1015" s="147">
        <v>1010</v>
      </c>
      <c r="B1015" s="145">
        <v>45540</v>
      </c>
      <c r="C1015" s="191">
        <v>2024</v>
      </c>
      <c r="D1015" s="192" t="s">
        <v>35</v>
      </c>
      <c r="E1015" s="192" t="s">
        <v>1159</v>
      </c>
      <c r="F1015" s="193">
        <v>1</v>
      </c>
      <c r="G1015" s="148">
        <v>65000</v>
      </c>
    </row>
    <row r="1016" spans="1:7" x14ac:dyDescent="0.25">
      <c r="A1016" s="147">
        <v>1011</v>
      </c>
      <c r="B1016" s="145">
        <v>45540</v>
      </c>
      <c r="C1016" s="191">
        <v>2024</v>
      </c>
      <c r="D1016" s="192" t="s">
        <v>35</v>
      </c>
      <c r="E1016" s="192" t="s">
        <v>843</v>
      </c>
      <c r="F1016" s="193">
        <v>1</v>
      </c>
      <c r="G1016" s="148">
        <v>70000</v>
      </c>
    </row>
    <row r="1017" spans="1:7" x14ac:dyDescent="0.25">
      <c r="A1017" s="147">
        <v>1012</v>
      </c>
      <c r="B1017" s="145">
        <v>45540</v>
      </c>
      <c r="C1017" s="191">
        <v>2024</v>
      </c>
      <c r="D1017" s="192" t="s">
        <v>35</v>
      </c>
      <c r="E1017" s="192" t="s">
        <v>949</v>
      </c>
      <c r="F1017" s="193">
        <v>1</v>
      </c>
      <c r="G1017" s="148">
        <v>675000</v>
      </c>
    </row>
    <row r="1018" spans="1:7" x14ac:dyDescent="0.25">
      <c r="A1018" s="147">
        <v>1013</v>
      </c>
      <c r="B1018" s="145">
        <v>45540</v>
      </c>
      <c r="C1018" s="191">
        <v>2024</v>
      </c>
      <c r="D1018" s="192" t="s">
        <v>35</v>
      </c>
      <c r="E1018" s="192" t="s">
        <v>1160</v>
      </c>
      <c r="F1018" s="193">
        <v>1</v>
      </c>
      <c r="G1018" s="148">
        <v>200000</v>
      </c>
    </row>
    <row r="1019" spans="1:7" x14ac:dyDescent="0.25">
      <c r="A1019" s="147">
        <v>1014</v>
      </c>
      <c r="B1019" s="145">
        <v>45540</v>
      </c>
      <c r="C1019" s="191">
        <v>2024</v>
      </c>
      <c r="D1019" s="192" t="s">
        <v>35</v>
      </c>
      <c r="E1019" s="192" t="s">
        <v>1161</v>
      </c>
      <c r="F1019" s="193">
        <v>1</v>
      </c>
      <c r="G1019" s="148">
        <v>200000</v>
      </c>
    </row>
    <row r="1020" spans="1:7" x14ac:dyDescent="0.25">
      <c r="A1020" s="147">
        <v>1015</v>
      </c>
      <c r="B1020" s="145">
        <v>45541</v>
      </c>
      <c r="C1020" s="191">
        <v>2024</v>
      </c>
      <c r="D1020" s="192" t="s">
        <v>35</v>
      </c>
      <c r="E1020" s="192" t="s">
        <v>794</v>
      </c>
      <c r="F1020" s="193">
        <v>1</v>
      </c>
      <c r="G1020" s="148">
        <v>166500</v>
      </c>
    </row>
    <row r="1021" spans="1:7" x14ac:dyDescent="0.25">
      <c r="A1021" s="147">
        <v>1016</v>
      </c>
      <c r="B1021" s="145">
        <v>45541</v>
      </c>
      <c r="C1021" s="191">
        <v>2024</v>
      </c>
      <c r="D1021" s="192" t="s">
        <v>35</v>
      </c>
      <c r="E1021" s="192" t="s">
        <v>794</v>
      </c>
      <c r="F1021" s="193">
        <v>1</v>
      </c>
      <c r="G1021" s="148">
        <v>166500</v>
      </c>
    </row>
    <row r="1022" spans="1:7" x14ac:dyDescent="0.25">
      <c r="A1022" s="147">
        <v>1017</v>
      </c>
      <c r="B1022" s="145">
        <v>45541</v>
      </c>
      <c r="C1022" s="191">
        <v>2024</v>
      </c>
      <c r="D1022" s="192" t="s">
        <v>35</v>
      </c>
      <c r="E1022" s="192" t="s">
        <v>794</v>
      </c>
      <c r="F1022" s="193">
        <v>1</v>
      </c>
      <c r="G1022" s="148">
        <v>166500</v>
      </c>
    </row>
    <row r="1023" spans="1:7" x14ac:dyDescent="0.25">
      <c r="A1023" s="147">
        <v>1018</v>
      </c>
      <c r="B1023" s="145">
        <v>45541</v>
      </c>
      <c r="C1023" s="191">
        <v>2024</v>
      </c>
      <c r="D1023" s="192" t="s">
        <v>35</v>
      </c>
      <c r="E1023" s="192" t="s">
        <v>794</v>
      </c>
      <c r="F1023" s="193">
        <v>1</v>
      </c>
      <c r="G1023" s="148">
        <v>166500</v>
      </c>
    </row>
    <row r="1024" spans="1:7" x14ac:dyDescent="0.25">
      <c r="A1024" s="147">
        <v>1019</v>
      </c>
      <c r="B1024" s="145">
        <v>45541</v>
      </c>
      <c r="C1024" s="191">
        <v>2024</v>
      </c>
      <c r="D1024" s="192" t="s">
        <v>35</v>
      </c>
      <c r="E1024" s="192" t="s">
        <v>794</v>
      </c>
      <c r="F1024" s="193">
        <v>1</v>
      </c>
      <c r="G1024" s="148">
        <v>166500</v>
      </c>
    </row>
    <row r="1025" spans="1:7" x14ac:dyDescent="0.25">
      <c r="A1025" s="147">
        <v>1020</v>
      </c>
      <c r="B1025" s="145">
        <v>45542</v>
      </c>
      <c r="C1025" s="191">
        <v>2024</v>
      </c>
      <c r="D1025" s="192" t="s">
        <v>35</v>
      </c>
      <c r="E1025" s="192" t="s">
        <v>1162</v>
      </c>
      <c r="F1025" s="193">
        <v>1</v>
      </c>
      <c r="G1025" s="148">
        <v>75000</v>
      </c>
    </row>
    <row r="1026" spans="1:7" x14ac:dyDescent="0.25">
      <c r="A1026" s="147">
        <v>1021</v>
      </c>
      <c r="B1026" s="145">
        <v>45542</v>
      </c>
      <c r="C1026" s="191">
        <v>2024</v>
      </c>
      <c r="D1026" s="192" t="s">
        <v>35</v>
      </c>
      <c r="E1026" s="192" t="s">
        <v>1023</v>
      </c>
      <c r="F1026" s="193">
        <v>1</v>
      </c>
      <c r="G1026" s="148">
        <v>320000</v>
      </c>
    </row>
    <row r="1027" spans="1:7" x14ac:dyDescent="0.25">
      <c r="A1027" s="147">
        <v>1022</v>
      </c>
      <c r="B1027" s="145">
        <v>45542</v>
      </c>
      <c r="C1027" s="191">
        <v>2024</v>
      </c>
      <c r="D1027" s="192" t="s">
        <v>35</v>
      </c>
      <c r="E1027" s="192" t="s">
        <v>1163</v>
      </c>
      <c r="F1027" s="193">
        <v>1</v>
      </c>
      <c r="G1027" s="148">
        <v>87500</v>
      </c>
    </row>
    <row r="1028" spans="1:7" x14ac:dyDescent="0.25">
      <c r="A1028" s="147">
        <v>1023</v>
      </c>
      <c r="B1028" s="145">
        <v>45542</v>
      </c>
      <c r="C1028" s="191">
        <v>2024</v>
      </c>
      <c r="D1028" s="192" t="s">
        <v>35</v>
      </c>
      <c r="E1028" s="192" t="s">
        <v>933</v>
      </c>
      <c r="F1028" s="193">
        <v>1</v>
      </c>
      <c r="G1028" s="148">
        <v>80000</v>
      </c>
    </row>
    <row r="1029" spans="1:7" x14ac:dyDescent="0.25">
      <c r="A1029" s="147">
        <v>1024</v>
      </c>
      <c r="B1029" s="145">
        <v>45542</v>
      </c>
      <c r="C1029" s="191">
        <v>2024</v>
      </c>
      <c r="D1029" s="192" t="s">
        <v>35</v>
      </c>
      <c r="E1029" s="192" t="s">
        <v>933</v>
      </c>
      <c r="F1029" s="193">
        <v>1</v>
      </c>
      <c r="G1029" s="148">
        <v>50000</v>
      </c>
    </row>
    <row r="1030" spans="1:7" x14ac:dyDescent="0.25">
      <c r="A1030" s="147">
        <v>1025</v>
      </c>
      <c r="B1030" s="145">
        <v>45542</v>
      </c>
      <c r="C1030" s="191">
        <v>2024</v>
      </c>
      <c r="D1030" s="192" t="s">
        <v>35</v>
      </c>
      <c r="E1030" s="192" t="s">
        <v>398</v>
      </c>
      <c r="F1030" s="193">
        <v>1</v>
      </c>
      <c r="G1030" s="148">
        <v>6000</v>
      </c>
    </row>
    <row r="1031" spans="1:7" x14ac:dyDescent="0.25">
      <c r="A1031" s="147">
        <v>1026</v>
      </c>
      <c r="B1031" s="145">
        <v>45542</v>
      </c>
      <c r="C1031" s="191">
        <v>2024</v>
      </c>
      <c r="D1031" s="192" t="s">
        <v>35</v>
      </c>
      <c r="E1031" s="192" t="s">
        <v>1164</v>
      </c>
      <c r="F1031" s="193">
        <v>1</v>
      </c>
      <c r="G1031" s="148">
        <v>75000</v>
      </c>
    </row>
    <row r="1032" spans="1:7" x14ac:dyDescent="0.25">
      <c r="A1032" s="147">
        <v>1027</v>
      </c>
      <c r="B1032" s="145">
        <v>45542</v>
      </c>
      <c r="C1032" s="191">
        <v>2024</v>
      </c>
      <c r="D1032" s="192" t="s">
        <v>35</v>
      </c>
      <c r="E1032" s="192" t="s">
        <v>1165</v>
      </c>
      <c r="F1032" s="193">
        <v>1</v>
      </c>
      <c r="G1032" s="148">
        <v>38500</v>
      </c>
    </row>
    <row r="1033" spans="1:7" x14ac:dyDescent="0.25">
      <c r="A1033" s="147">
        <v>1028</v>
      </c>
      <c r="B1033" s="145">
        <v>45542</v>
      </c>
      <c r="C1033" s="191">
        <v>2024</v>
      </c>
      <c r="D1033" s="192" t="s">
        <v>35</v>
      </c>
      <c r="E1033" s="192" t="s">
        <v>1166</v>
      </c>
      <c r="F1033" s="193">
        <v>1</v>
      </c>
      <c r="G1033" s="148">
        <v>60000</v>
      </c>
    </row>
    <row r="1034" spans="1:7" x14ac:dyDescent="0.25">
      <c r="A1034" s="147">
        <v>1029</v>
      </c>
      <c r="B1034" s="145">
        <v>45542</v>
      </c>
      <c r="C1034" s="191">
        <v>2024</v>
      </c>
      <c r="D1034" s="192" t="s">
        <v>35</v>
      </c>
      <c r="E1034" s="192" t="s">
        <v>1091</v>
      </c>
      <c r="F1034" s="193">
        <v>1</v>
      </c>
      <c r="G1034" s="148">
        <v>57500</v>
      </c>
    </row>
    <row r="1035" spans="1:7" x14ac:dyDescent="0.25">
      <c r="A1035" s="147">
        <v>1030</v>
      </c>
      <c r="B1035" s="145">
        <v>45542</v>
      </c>
      <c r="C1035" s="191">
        <v>2024</v>
      </c>
      <c r="D1035" s="192" t="s">
        <v>35</v>
      </c>
      <c r="E1035" s="192" t="s">
        <v>1167</v>
      </c>
      <c r="F1035" s="193">
        <v>1</v>
      </c>
      <c r="G1035" s="148">
        <v>275000</v>
      </c>
    </row>
    <row r="1036" spans="1:7" x14ac:dyDescent="0.25">
      <c r="A1036" s="147">
        <v>1031</v>
      </c>
      <c r="B1036" s="145">
        <v>45542</v>
      </c>
      <c r="C1036" s="191">
        <v>2024</v>
      </c>
      <c r="D1036" s="192" t="s">
        <v>35</v>
      </c>
      <c r="E1036" s="192" t="s">
        <v>1168</v>
      </c>
      <c r="F1036" s="193">
        <v>1</v>
      </c>
      <c r="G1036" s="148">
        <v>75000</v>
      </c>
    </row>
    <row r="1037" spans="1:7" x14ac:dyDescent="0.25">
      <c r="A1037" s="147">
        <v>1032</v>
      </c>
      <c r="B1037" s="145">
        <v>45542</v>
      </c>
      <c r="C1037" s="191">
        <v>2024</v>
      </c>
      <c r="D1037" s="192" t="s">
        <v>35</v>
      </c>
      <c r="E1037" s="192" t="s">
        <v>398</v>
      </c>
      <c r="F1037" s="193">
        <v>1</v>
      </c>
      <c r="G1037" s="148">
        <v>6000</v>
      </c>
    </row>
    <row r="1038" spans="1:7" x14ac:dyDescent="0.25">
      <c r="A1038" s="147">
        <v>1033</v>
      </c>
      <c r="B1038" s="145">
        <v>45542</v>
      </c>
      <c r="C1038" s="191">
        <v>2024</v>
      </c>
      <c r="D1038" s="192" t="s">
        <v>35</v>
      </c>
      <c r="E1038" s="192" t="s">
        <v>1169</v>
      </c>
      <c r="F1038" s="193">
        <v>1</v>
      </c>
      <c r="G1038" s="148">
        <v>75000</v>
      </c>
    </row>
    <row r="1039" spans="1:7" x14ac:dyDescent="0.25">
      <c r="A1039" s="147">
        <v>1034</v>
      </c>
      <c r="B1039" s="145">
        <v>45542</v>
      </c>
      <c r="C1039" s="191">
        <v>2024</v>
      </c>
      <c r="D1039" s="192" t="s">
        <v>35</v>
      </c>
      <c r="E1039" s="192" t="s">
        <v>1170</v>
      </c>
      <c r="F1039" s="193">
        <v>1</v>
      </c>
      <c r="G1039" s="148">
        <v>72500</v>
      </c>
    </row>
    <row r="1040" spans="1:7" x14ac:dyDescent="0.25">
      <c r="A1040" s="147">
        <v>1035</v>
      </c>
      <c r="B1040" s="145">
        <v>45542</v>
      </c>
      <c r="C1040" s="191">
        <v>2024</v>
      </c>
      <c r="D1040" s="192" t="s">
        <v>35</v>
      </c>
      <c r="E1040" s="192" t="s">
        <v>1171</v>
      </c>
      <c r="F1040" s="193">
        <v>1</v>
      </c>
      <c r="G1040" s="148">
        <v>40000</v>
      </c>
    </row>
    <row r="1041" spans="1:7" x14ac:dyDescent="0.25">
      <c r="A1041" s="147">
        <v>1036</v>
      </c>
      <c r="B1041" s="145">
        <v>45544</v>
      </c>
      <c r="C1041" s="191">
        <v>2024</v>
      </c>
      <c r="D1041" s="192" t="s">
        <v>35</v>
      </c>
      <c r="E1041" s="192" t="s">
        <v>1173</v>
      </c>
      <c r="F1041" s="193">
        <v>3</v>
      </c>
      <c r="G1041" s="148">
        <v>43200</v>
      </c>
    </row>
    <row r="1042" spans="1:7" x14ac:dyDescent="0.25">
      <c r="A1042" s="147">
        <v>1037</v>
      </c>
      <c r="B1042" s="145">
        <v>45547</v>
      </c>
      <c r="C1042" s="191">
        <v>2024</v>
      </c>
      <c r="D1042" s="192" t="s">
        <v>35</v>
      </c>
      <c r="E1042" s="192" t="s">
        <v>220</v>
      </c>
      <c r="F1042" s="193">
        <v>6</v>
      </c>
      <c r="G1042" s="148">
        <v>126420</v>
      </c>
    </row>
    <row r="1043" spans="1:7" x14ac:dyDescent="0.25">
      <c r="A1043" s="147">
        <v>1038</v>
      </c>
      <c r="B1043" s="145">
        <v>45547</v>
      </c>
      <c r="C1043" s="191">
        <v>2024</v>
      </c>
      <c r="D1043" s="192" t="s">
        <v>35</v>
      </c>
      <c r="E1043" s="192" t="s">
        <v>1174</v>
      </c>
      <c r="F1043" s="193">
        <v>6</v>
      </c>
      <c r="G1043" s="148">
        <v>69992</v>
      </c>
    </row>
    <row r="1044" spans="1:7" x14ac:dyDescent="0.25">
      <c r="A1044" s="147">
        <v>1039</v>
      </c>
      <c r="B1044" s="145">
        <v>45548</v>
      </c>
      <c r="C1044" s="191">
        <v>2024</v>
      </c>
      <c r="D1044" s="192" t="s">
        <v>35</v>
      </c>
      <c r="E1044" s="192" t="s">
        <v>1175</v>
      </c>
      <c r="F1044" s="193">
        <v>1</v>
      </c>
      <c r="G1044" s="148">
        <v>189643</v>
      </c>
    </row>
    <row r="1045" spans="1:7" x14ac:dyDescent="0.25">
      <c r="A1045" s="147">
        <v>1040</v>
      </c>
      <c r="B1045" s="145">
        <v>45548</v>
      </c>
      <c r="C1045" s="191">
        <v>2024</v>
      </c>
      <c r="D1045" s="192" t="s">
        <v>35</v>
      </c>
      <c r="E1045" s="192" t="s">
        <v>1175</v>
      </c>
      <c r="F1045" s="193">
        <v>1</v>
      </c>
      <c r="G1045" s="148">
        <v>221251</v>
      </c>
    </row>
    <row r="1046" spans="1:7" x14ac:dyDescent="0.25">
      <c r="A1046" s="147">
        <v>1041</v>
      </c>
      <c r="B1046" s="145">
        <v>45548</v>
      </c>
      <c r="C1046" s="191">
        <v>2024</v>
      </c>
      <c r="D1046" s="192" t="s">
        <v>35</v>
      </c>
      <c r="E1046" s="192" t="s">
        <v>965</v>
      </c>
      <c r="F1046" s="193">
        <v>1</v>
      </c>
      <c r="G1046" s="148">
        <v>111333</v>
      </c>
    </row>
    <row r="1047" spans="1:7" x14ac:dyDescent="0.25">
      <c r="A1047" s="147">
        <v>1042</v>
      </c>
      <c r="B1047" s="145">
        <v>45548</v>
      </c>
      <c r="C1047" s="191">
        <v>2024</v>
      </c>
      <c r="D1047" s="192" t="s">
        <v>35</v>
      </c>
      <c r="E1047" s="192" t="s">
        <v>966</v>
      </c>
      <c r="F1047" s="193">
        <v>1</v>
      </c>
      <c r="G1047" s="148">
        <v>173604</v>
      </c>
    </row>
    <row r="1048" spans="1:7" x14ac:dyDescent="0.25">
      <c r="A1048" s="147">
        <v>1043</v>
      </c>
      <c r="B1048" s="145">
        <v>45548</v>
      </c>
      <c r="C1048" s="191">
        <v>2024</v>
      </c>
      <c r="D1048" s="192" t="s">
        <v>35</v>
      </c>
      <c r="E1048" s="192" t="s">
        <v>965</v>
      </c>
      <c r="F1048" s="193">
        <v>1</v>
      </c>
      <c r="G1048" s="148">
        <v>111333</v>
      </c>
    </row>
    <row r="1049" spans="1:7" x14ac:dyDescent="0.25">
      <c r="A1049" s="147">
        <v>1044</v>
      </c>
      <c r="B1049" s="145">
        <v>45548</v>
      </c>
      <c r="C1049" s="191">
        <v>2024</v>
      </c>
      <c r="D1049" s="192" t="s">
        <v>35</v>
      </c>
      <c r="E1049" s="192" t="s">
        <v>966</v>
      </c>
      <c r="F1049" s="193">
        <v>1</v>
      </c>
      <c r="G1049" s="148">
        <v>173604</v>
      </c>
    </row>
    <row r="1050" spans="1:7" x14ac:dyDescent="0.25">
      <c r="A1050" s="147">
        <v>1045</v>
      </c>
      <c r="B1050" s="145">
        <v>45556</v>
      </c>
      <c r="C1050" s="191">
        <v>2024</v>
      </c>
      <c r="D1050" s="192" t="s">
        <v>35</v>
      </c>
      <c r="E1050" s="192" t="s">
        <v>1068</v>
      </c>
      <c r="F1050" s="193">
        <v>1</v>
      </c>
      <c r="G1050" s="148">
        <v>24000</v>
      </c>
    </row>
    <row r="1051" spans="1:7" x14ac:dyDescent="0.25">
      <c r="A1051" s="147">
        <v>1046</v>
      </c>
      <c r="B1051" s="145">
        <v>45556</v>
      </c>
      <c r="C1051" s="191">
        <v>2024</v>
      </c>
      <c r="D1051" s="192" t="s">
        <v>35</v>
      </c>
      <c r="E1051" s="192" t="s">
        <v>1176</v>
      </c>
      <c r="F1051" s="193">
        <v>1</v>
      </c>
      <c r="G1051" s="148">
        <v>75000</v>
      </c>
    </row>
    <row r="1052" spans="1:7" x14ac:dyDescent="0.25">
      <c r="A1052" s="147">
        <v>1047</v>
      </c>
      <c r="B1052" s="167">
        <v>45558</v>
      </c>
      <c r="C1052" s="117">
        <v>2024</v>
      </c>
      <c r="D1052" s="119" t="s">
        <v>35</v>
      </c>
      <c r="E1052" s="119" t="s">
        <v>677</v>
      </c>
      <c r="F1052" s="120">
        <v>1</v>
      </c>
      <c r="G1052" s="168">
        <v>7000</v>
      </c>
    </row>
    <row r="1053" spans="1:7" x14ac:dyDescent="0.25">
      <c r="A1053" s="147">
        <v>1048</v>
      </c>
      <c r="B1053" s="145">
        <v>45559</v>
      </c>
      <c r="C1053" s="191">
        <v>2024</v>
      </c>
      <c r="D1053" s="192" t="s">
        <v>35</v>
      </c>
      <c r="E1053" s="192" t="s">
        <v>159</v>
      </c>
      <c r="F1053" s="193">
        <v>3</v>
      </c>
      <c r="G1053" s="148">
        <v>18000</v>
      </c>
    </row>
    <row r="1054" spans="1:7" x14ac:dyDescent="0.25">
      <c r="A1054" s="147">
        <v>1049</v>
      </c>
      <c r="B1054" s="145">
        <v>45559</v>
      </c>
      <c r="C1054" s="191">
        <v>2024</v>
      </c>
      <c r="D1054" s="192" t="s">
        <v>35</v>
      </c>
      <c r="E1054" s="192" t="s">
        <v>1177</v>
      </c>
      <c r="F1054" s="193">
        <v>2</v>
      </c>
      <c r="G1054" s="148">
        <v>170000</v>
      </c>
    </row>
    <row r="1055" spans="1:7" x14ac:dyDescent="0.25">
      <c r="A1055" s="147">
        <v>1050</v>
      </c>
      <c r="B1055" s="145">
        <v>45559</v>
      </c>
      <c r="C1055" s="191">
        <v>2024</v>
      </c>
      <c r="D1055" s="192" t="s">
        <v>35</v>
      </c>
      <c r="E1055" s="192" t="s">
        <v>1178</v>
      </c>
      <c r="F1055" s="193">
        <v>1</v>
      </c>
      <c r="G1055" s="148">
        <v>242000</v>
      </c>
    </row>
    <row r="1056" spans="1:7" x14ac:dyDescent="0.25">
      <c r="A1056" s="147">
        <v>1051</v>
      </c>
      <c r="B1056" s="145">
        <v>45559</v>
      </c>
      <c r="C1056" s="191">
        <v>2024</v>
      </c>
      <c r="D1056" s="192" t="s">
        <v>35</v>
      </c>
      <c r="E1056" s="192" t="s">
        <v>1154</v>
      </c>
      <c r="F1056" s="193">
        <v>1</v>
      </c>
      <c r="G1056" s="148">
        <v>679000</v>
      </c>
    </row>
    <row r="1057" spans="1:7" x14ac:dyDescent="0.25">
      <c r="A1057" s="147">
        <v>1052</v>
      </c>
      <c r="B1057" s="145">
        <v>45559</v>
      </c>
      <c r="C1057" s="191">
        <v>2024</v>
      </c>
      <c r="D1057" s="192" t="s">
        <v>35</v>
      </c>
      <c r="E1057" s="192" t="s">
        <v>953</v>
      </c>
      <c r="F1057" s="193">
        <v>1</v>
      </c>
      <c r="G1057" s="148">
        <v>400000</v>
      </c>
    </row>
    <row r="1058" spans="1:7" x14ac:dyDescent="0.25">
      <c r="A1058" s="147">
        <v>1053</v>
      </c>
      <c r="B1058" s="145">
        <v>45559</v>
      </c>
      <c r="C1058" s="191">
        <v>2024</v>
      </c>
      <c r="D1058" s="192" t="s">
        <v>35</v>
      </c>
      <c r="E1058" s="192" t="s">
        <v>953</v>
      </c>
      <c r="F1058" s="193">
        <v>1</v>
      </c>
      <c r="G1058" s="148">
        <v>475000</v>
      </c>
    </row>
    <row r="1059" spans="1:7" x14ac:dyDescent="0.25">
      <c r="A1059" s="147">
        <v>1054</v>
      </c>
      <c r="B1059" s="145">
        <v>45559</v>
      </c>
      <c r="C1059" s="191">
        <v>2024</v>
      </c>
      <c r="D1059" s="192" t="s">
        <v>35</v>
      </c>
      <c r="E1059" s="192" t="s">
        <v>953</v>
      </c>
      <c r="F1059" s="193">
        <v>1</v>
      </c>
      <c r="G1059" s="148">
        <v>450000</v>
      </c>
    </row>
    <row r="1060" spans="1:7" x14ac:dyDescent="0.25">
      <c r="A1060" s="147">
        <v>1055</v>
      </c>
      <c r="B1060" s="145">
        <v>45559</v>
      </c>
      <c r="C1060" s="191">
        <v>2024</v>
      </c>
      <c r="D1060" s="192" t="s">
        <v>35</v>
      </c>
      <c r="E1060" s="192" t="s">
        <v>1179</v>
      </c>
      <c r="F1060" s="193">
        <v>1</v>
      </c>
      <c r="G1060" s="148">
        <v>505000</v>
      </c>
    </row>
    <row r="1061" spans="1:7" x14ac:dyDescent="0.25">
      <c r="A1061" s="147">
        <v>1056</v>
      </c>
      <c r="B1061" s="145">
        <v>45559</v>
      </c>
      <c r="C1061" s="191">
        <v>2024</v>
      </c>
      <c r="D1061" s="192" t="s">
        <v>35</v>
      </c>
      <c r="E1061" s="192" t="s">
        <v>1179</v>
      </c>
      <c r="F1061" s="193">
        <v>1</v>
      </c>
      <c r="G1061" s="148">
        <v>505000</v>
      </c>
    </row>
    <row r="1062" spans="1:7" x14ac:dyDescent="0.25">
      <c r="A1062" s="147">
        <v>1057</v>
      </c>
      <c r="B1062" s="145">
        <v>45559</v>
      </c>
      <c r="C1062" s="191">
        <v>2024</v>
      </c>
      <c r="D1062" s="192" t="s">
        <v>35</v>
      </c>
      <c r="E1062" s="192" t="s">
        <v>953</v>
      </c>
      <c r="F1062" s="193">
        <v>1</v>
      </c>
      <c r="G1062" s="148">
        <v>400000</v>
      </c>
    </row>
    <row r="1063" spans="1:7" x14ac:dyDescent="0.25">
      <c r="A1063" s="147">
        <v>1058</v>
      </c>
      <c r="B1063" s="145">
        <v>45559</v>
      </c>
      <c r="C1063" s="191">
        <v>2024</v>
      </c>
      <c r="D1063" s="192" t="s">
        <v>35</v>
      </c>
      <c r="E1063" s="192" t="s">
        <v>953</v>
      </c>
      <c r="F1063" s="193">
        <v>1</v>
      </c>
      <c r="G1063" s="148">
        <v>400000</v>
      </c>
    </row>
    <row r="1064" spans="1:7" x14ac:dyDescent="0.25">
      <c r="A1064" s="147">
        <v>1059</v>
      </c>
      <c r="B1064" s="145">
        <v>45559</v>
      </c>
      <c r="C1064" s="191">
        <v>2024</v>
      </c>
      <c r="D1064" s="192" t="s">
        <v>35</v>
      </c>
      <c r="E1064" s="192" t="s">
        <v>1179</v>
      </c>
      <c r="F1064" s="193">
        <v>1</v>
      </c>
      <c r="G1064" s="148">
        <v>475000</v>
      </c>
    </row>
    <row r="1065" spans="1:7" x14ac:dyDescent="0.25">
      <c r="A1065" s="147">
        <v>1060</v>
      </c>
      <c r="B1065" s="145">
        <v>45559</v>
      </c>
      <c r="C1065" s="191">
        <v>2024</v>
      </c>
      <c r="D1065" s="192" t="s">
        <v>35</v>
      </c>
      <c r="E1065" s="192" t="s">
        <v>1179</v>
      </c>
      <c r="F1065" s="193">
        <v>1</v>
      </c>
      <c r="G1065" s="148">
        <v>475000</v>
      </c>
    </row>
    <row r="1066" spans="1:7" x14ac:dyDescent="0.25">
      <c r="A1066" s="147">
        <v>1061</v>
      </c>
      <c r="B1066" s="145">
        <v>45559</v>
      </c>
      <c r="C1066" s="191">
        <v>2024</v>
      </c>
      <c r="D1066" s="192" t="s">
        <v>35</v>
      </c>
      <c r="E1066" s="192" t="s">
        <v>953</v>
      </c>
      <c r="F1066" s="193">
        <v>1</v>
      </c>
      <c r="G1066" s="148">
        <v>430000</v>
      </c>
    </row>
    <row r="1067" spans="1:7" x14ac:dyDescent="0.25">
      <c r="A1067" s="147">
        <v>1062</v>
      </c>
      <c r="B1067" s="145">
        <v>45560</v>
      </c>
      <c r="C1067" s="191">
        <v>2024</v>
      </c>
      <c r="D1067" s="192" t="s">
        <v>35</v>
      </c>
      <c r="E1067" s="192" t="s">
        <v>98</v>
      </c>
      <c r="F1067" s="193">
        <v>1</v>
      </c>
      <c r="G1067" s="148">
        <v>71250</v>
      </c>
    </row>
    <row r="1068" spans="1:7" x14ac:dyDescent="0.25">
      <c r="A1068" s="147">
        <v>1063</v>
      </c>
      <c r="B1068" s="145">
        <v>45561</v>
      </c>
      <c r="C1068" s="191">
        <v>2024</v>
      </c>
      <c r="D1068" s="192" t="s">
        <v>35</v>
      </c>
      <c r="E1068" s="192" t="s">
        <v>1180</v>
      </c>
      <c r="F1068" s="193">
        <v>1</v>
      </c>
      <c r="G1068" s="148">
        <v>350000</v>
      </c>
    </row>
    <row r="1069" spans="1:7" x14ac:dyDescent="0.25">
      <c r="A1069" s="147">
        <v>1064</v>
      </c>
      <c r="B1069" s="145">
        <v>45563</v>
      </c>
      <c r="C1069" s="191">
        <v>2024</v>
      </c>
      <c r="D1069" s="192" t="s">
        <v>35</v>
      </c>
      <c r="E1069" s="192" t="s">
        <v>211</v>
      </c>
      <c r="F1069" s="193">
        <v>3</v>
      </c>
      <c r="G1069" s="148">
        <v>147000</v>
      </c>
    </row>
    <row r="1070" spans="1:7" x14ac:dyDescent="0.25">
      <c r="A1070" s="147">
        <v>1065</v>
      </c>
      <c r="B1070" s="145">
        <v>45563</v>
      </c>
      <c r="C1070" s="191">
        <v>2024</v>
      </c>
      <c r="D1070" s="192" t="s">
        <v>35</v>
      </c>
      <c r="E1070" s="192" t="s">
        <v>211</v>
      </c>
      <c r="F1070" s="193">
        <v>3</v>
      </c>
      <c r="G1070" s="148">
        <v>58500</v>
      </c>
    </row>
    <row r="1071" spans="1:7" x14ac:dyDescent="0.25">
      <c r="A1071" s="147">
        <v>1066</v>
      </c>
      <c r="B1071" s="145">
        <v>45563</v>
      </c>
      <c r="C1071" s="191">
        <v>2024</v>
      </c>
      <c r="D1071" s="192" t="s">
        <v>35</v>
      </c>
      <c r="E1071" s="192" t="s">
        <v>211</v>
      </c>
      <c r="F1071" s="193">
        <v>3</v>
      </c>
      <c r="G1071" s="148">
        <v>57000</v>
      </c>
    </row>
    <row r="1072" spans="1:7" x14ac:dyDescent="0.25">
      <c r="A1072" s="147">
        <v>1067</v>
      </c>
      <c r="B1072" s="145">
        <v>45563</v>
      </c>
      <c r="C1072" s="191">
        <v>2024</v>
      </c>
      <c r="D1072" s="192" t="s">
        <v>35</v>
      </c>
      <c r="E1072" s="192" t="s">
        <v>382</v>
      </c>
      <c r="F1072" s="193">
        <v>1</v>
      </c>
      <c r="G1072" s="148">
        <v>19940</v>
      </c>
    </row>
    <row r="1073" spans="1:7" x14ac:dyDescent="0.25">
      <c r="A1073" s="147">
        <v>1068</v>
      </c>
      <c r="B1073" s="145">
        <v>45568</v>
      </c>
      <c r="C1073" s="191">
        <v>2024</v>
      </c>
      <c r="D1073" s="192" t="s">
        <v>35</v>
      </c>
      <c r="E1073" s="192" t="s">
        <v>1183</v>
      </c>
      <c r="F1073" s="193">
        <v>1</v>
      </c>
      <c r="G1073" s="148">
        <v>628000</v>
      </c>
    </row>
    <row r="1074" spans="1:7" x14ac:dyDescent="0.25">
      <c r="A1074" s="147">
        <v>1069</v>
      </c>
      <c r="B1074" s="145">
        <v>45572</v>
      </c>
      <c r="C1074" s="191">
        <v>2024</v>
      </c>
      <c r="D1074" s="192" t="s">
        <v>35</v>
      </c>
      <c r="E1074" s="192" t="s">
        <v>794</v>
      </c>
      <c r="F1074" s="193">
        <v>1</v>
      </c>
      <c r="G1074" s="148">
        <v>166500</v>
      </c>
    </row>
    <row r="1075" spans="1:7" x14ac:dyDescent="0.25">
      <c r="A1075" s="147">
        <v>1070</v>
      </c>
      <c r="B1075" s="145">
        <v>45572</v>
      </c>
      <c r="C1075" s="191">
        <v>2024</v>
      </c>
      <c r="D1075" s="192" t="s">
        <v>35</v>
      </c>
      <c r="E1075" s="192" t="s">
        <v>794</v>
      </c>
      <c r="F1075" s="193">
        <v>1</v>
      </c>
      <c r="G1075" s="148">
        <v>166500</v>
      </c>
    </row>
    <row r="1076" spans="1:7" x14ac:dyDescent="0.25">
      <c r="A1076" s="147">
        <v>1071</v>
      </c>
      <c r="B1076" s="145">
        <v>45572</v>
      </c>
      <c r="C1076" s="191">
        <v>2024</v>
      </c>
      <c r="D1076" s="192" t="s">
        <v>35</v>
      </c>
      <c r="E1076" s="192" t="s">
        <v>794</v>
      </c>
      <c r="F1076" s="193">
        <v>1</v>
      </c>
      <c r="G1076" s="148">
        <v>166500</v>
      </c>
    </row>
    <row r="1077" spans="1:7" x14ac:dyDescent="0.25">
      <c r="A1077" s="147">
        <v>1072</v>
      </c>
      <c r="B1077" s="145">
        <v>45572</v>
      </c>
      <c r="C1077" s="191">
        <v>2024</v>
      </c>
      <c r="D1077" s="192" t="s">
        <v>35</v>
      </c>
      <c r="E1077" s="192" t="s">
        <v>794</v>
      </c>
      <c r="F1077" s="193">
        <v>1</v>
      </c>
      <c r="G1077" s="148">
        <v>166500</v>
      </c>
    </row>
    <row r="1078" spans="1:7" x14ac:dyDescent="0.25">
      <c r="A1078" s="147">
        <v>1073</v>
      </c>
      <c r="B1078" s="145">
        <v>45572</v>
      </c>
      <c r="C1078" s="191">
        <v>2024</v>
      </c>
      <c r="D1078" s="192" t="s">
        <v>35</v>
      </c>
      <c r="E1078" s="192" t="s">
        <v>794</v>
      </c>
      <c r="F1078" s="193">
        <v>1</v>
      </c>
      <c r="G1078" s="148">
        <v>166500</v>
      </c>
    </row>
    <row r="1079" spans="1:7" x14ac:dyDescent="0.25">
      <c r="A1079" s="147">
        <v>1074</v>
      </c>
      <c r="B1079" s="145">
        <v>45573</v>
      </c>
      <c r="C1079" s="191">
        <v>2024</v>
      </c>
      <c r="D1079" s="192" t="s">
        <v>35</v>
      </c>
      <c r="E1079" s="192" t="s">
        <v>98</v>
      </c>
      <c r="F1079" s="193">
        <v>1</v>
      </c>
      <c r="G1079" s="148">
        <v>30000</v>
      </c>
    </row>
    <row r="1080" spans="1:7" x14ac:dyDescent="0.25">
      <c r="A1080" s="147">
        <v>1075</v>
      </c>
      <c r="B1080" s="145">
        <v>45573</v>
      </c>
      <c r="C1080" s="191">
        <v>2024</v>
      </c>
      <c r="D1080" s="192" t="s">
        <v>35</v>
      </c>
      <c r="E1080" s="192" t="s">
        <v>819</v>
      </c>
      <c r="F1080" s="193">
        <v>1</v>
      </c>
      <c r="G1080" s="148">
        <v>18000</v>
      </c>
    </row>
    <row r="1081" spans="1:7" x14ac:dyDescent="0.25">
      <c r="A1081" s="147">
        <v>1076</v>
      </c>
      <c r="B1081" s="145">
        <v>45573</v>
      </c>
      <c r="C1081" s="191">
        <v>2024</v>
      </c>
      <c r="D1081" s="192" t="s">
        <v>35</v>
      </c>
      <c r="E1081" s="192" t="s">
        <v>252</v>
      </c>
      <c r="F1081" s="193">
        <v>1</v>
      </c>
      <c r="G1081" s="148">
        <v>745000</v>
      </c>
    </row>
    <row r="1082" spans="1:7" x14ac:dyDescent="0.25">
      <c r="A1082" s="147">
        <v>1077</v>
      </c>
      <c r="B1082" s="145">
        <v>45573</v>
      </c>
      <c r="C1082" s="191">
        <v>2024</v>
      </c>
      <c r="D1082" s="192" t="s">
        <v>35</v>
      </c>
      <c r="E1082" s="192" t="s">
        <v>1184</v>
      </c>
      <c r="F1082" s="193">
        <v>1</v>
      </c>
      <c r="G1082" s="148">
        <v>60000</v>
      </c>
    </row>
    <row r="1083" spans="1:7" x14ac:dyDescent="0.25">
      <c r="A1083" s="147">
        <v>1078</v>
      </c>
      <c r="B1083" s="145">
        <v>45573</v>
      </c>
      <c r="C1083" s="191">
        <v>2024</v>
      </c>
      <c r="D1083" s="192" t="s">
        <v>35</v>
      </c>
      <c r="E1083" s="192" t="s">
        <v>1184</v>
      </c>
      <c r="F1083" s="193">
        <v>1</v>
      </c>
      <c r="G1083" s="148">
        <v>60000</v>
      </c>
    </row>
    <row r="1084" spans="1:7" x14ac:dyDescent="0.25">
      <c r="A1084" s="147">
        <v>1079</v>
      </c>
      <c r="B1084" s="145">
        <v>45573</v>
      </c>
      <c r="C1084" s="191">
        <v>2024</v>
      </c>
      <c r="D1084" s="192" t="s">
        <v>35</v>
      </c>
      <c r="E1084" s="192" t="s">
        <v>778</v>
      </c>
      <c r="F1084" s="193">
        <v>1</v>
      </c>
      <c r="G1084" s="148">
        <v>75000</v>
      </c>
    </row>
    <row r="1085" spans="1:7" x14ac:dyDescent="0.25">
      <c r="A1085" s="147">
        <v>1080</v>
      </c>
      <c r="B1085" s="145">
        <v>45573</v>
      </c>
      <c r="C1085" s="191">
        <v>2024</v>
      </c>
      <c r="D1085" s="192" t="s">
        <v>35</v>
      </c>
      <c r="E1085" s="192" t="s">
        <v>1185</v>
      </c>
      <c r="F1085" s="193">
        <v>1</v>
      </c>
      <c r="G1085" s="148">
        <v>350000</v>
      </c>
    </row>
    <row r="1086" spans="1:7" x14ac:dyDescent="0.25">
      <c r="A1086" s="147">
        <v>1081</v>
      </c>
      <c r="B1086" s="145">
        <v>45573</v>
      </c>
      <c r="C1086" s="191">
        <v>2024</v>
      </c>
      <c r="D1086" s="192" t="s">
        <v>35</v>
      </c>
      <c r="E1086" s="192" t="s">
        <v>911</v>
      </c>
      <c r="F1086" s="193">
        <v>1</v>
      </c>
      <c r="G1086" s="148">
        <v>100000</v>
      </c>
    </row>
    <row r="1087" spans="1:7" x14ac:dyDescent="0.25">
      <c r="A1087" s="147">
        <v>1082</v>
      </c>
      <c r="B1087" s="145">
        <v>45573</v>
      </c>
      <c r="C1087" s="191">
        <v>2024</v>
      </c>
      <c r="D1087" s="192" t="s">
        <v>35</v>
      </c>
      <c r="E1087" s="192" t="s">
        <v>1138</v>
      </c>
      <c r="F1087" s="193">
        <v>1</v>
      </c>
      <c r="G1087" s="148">
        <v>200000</v>
      </c>
    </row>
    <row r="1088" spans="1:7" x14ac:dyDescent="0.25">
      <c r="A1088" s="147">
        <v>1083</v>
      </c>
      <c r="B1088" s="145">
        <v>45573</v>
      </c>
      <c r="C1088" s="191">
        <v>2024</v>
      </c>
      <c r="D1088" s="192" t="s">
        <v>35</v>
      </c>
      <c r="E1088" s="192" t="s">
        <v>1186</v>
      </c>
      <c r="F1088" s="193">
        <v>1</v>
      </c>
      <c r="G1088" s="148">
        <v>200000</v>
      </c>
    </row>
    <row r="1089" spans="1:7" x14ac:dyDescent="0.25">
      <c r="A1089" s="147">
        <v>1084</v>
      </c>
      <c r="B1089" s="145">
        <v>45573</v>
      </c>
      <c r="C1089" s="191">
        <v>2024</v>
      </c>
      <c r="D1089" s="192" t="s">
        <v>35</v>
      </c>
      <c r="E1089" s="192" t="s">
        <v>1187</v>
      </c>
      <c r="F1089" s="193">
        <v>1</v>
      </c>
      <c r="G1089" s="148">
        <v>225000</v>
      </c>
    </row>
    <row r="1090" spans="1:7" x14ac:dyDescent="0.25">
      <c r="A1090" s="147">
        <v>1085</v>
      </c>
      <c r="B1090" s="145">
        <v>45573</v>
      </c>
      <c r="C1090" s="191">
        <v>2024</v>
      </c>
      <c r="D1090" s="192" t="s">
        <v>35</v>
      </c>
      <c r="E1090" s="192" t="s">
        <v>1187</v>
      </c>
      <c r="F1090" s="193">
        <v>1</v>
      </c>
      <c r="G1090" s="148">
        <v>275000</v>
      </c>
    </row>
    <row r="1091" spans="1:7" x14ac:dyDescent="0.25">
      <c r="A1091" s="147">
        <v>1086</v>
      </c>
      <c r="B1091" s="145">
        <v>45573</v>
      </c>
      <c r="C1091" s="191">
        <v>2024</v>
      </c>
      <c r="D1091" s="192" t="s">
        <v>35</v>
      </c>
      <c r="E1091" s="192" t="s">
        <v>1188</v>
      </c>
      <c r="F1091" s="193">
        <v>1</v>
      </c>
      <c r="G1091" s="148">
        <v>85000</v>
      </c>
    </row>
    <row r="1092" spans="1:7" x14ac:dyDescent="0.25">
      <c r="A1092" s="147">
        <v>1087</v>
      </c>
      <c r="B1092" s="145">
        <v>45574</v>
      </c>
      <c r="C1092" s="191">
        <v>2024</v>
      </c>
      <c r="D1092" s="192" t="s">
        <v>35</v>
      </c>
      <c r="E1092" s="192" t="s">
        <v>1189</v>
      </c>
      <c r="F1092" s="193">
        <v>4</v>
      </c>
      <c r="G1092" s="148">
        <v>15800</v>
      </c>
    </row>
    <row r="1093" spans="1:7" x14ac:dyDescent="0.25">
      <c r="A1093" s="147">
        <v>1088</v>
      </c>
      <c r="B1093" s="145">
        <v>45574</v>
      </c>
      <c r="C1093" s="191">
        <v>2024</v>
      </c>
      <c r="D1093" s="192" t="s">
        <v>35</v>
      </c>
      <c r="E1093" s="192" t="s">
        <v>1190</v>
      </c>
      <c r="F1093" s="193">
        <v>1</v>
      </c>
      <c r="G1093" s="148">
        <v>110000</v>
      </c>
    </row>
    <row r="1094" spans="1:7" x14ac:dyDescent="0.25">
      <c r="A1094" s="147">
        <v>1089</v>
      </c>
      <c r="B1094" s="145">
        <v>45575</v>
      </c>
      <c r="C1094" s="191">
        <v>2024</v>
      </c>
      <c r="D1094" s="192" t="s">
        <v>35</v>
      </c>
      <c r="E1094" s="192" t="s">
        <v>1191</v>
      </c>
      <c r="F1094" s="193">
        <v>10</v>
      </c>
      <c r="G1094" s="148">
        <v>136563</v>
      </c>
    </row>
    <row r="1095" spans="1:7" x14ac:dyDescent="0.25">
      <c r="A1095" s="147">
        <v>1090</v>
      </c>
      <c r="B1095" s="145">
        <v>45576</v>
      </c>
      <c r="C1095" s="191">
        <v>2024</v>
      </c>
      <c r="D1095" s="192" t="s">
        <v>35</v>
      </c>
      <c r="E1095" s="192" t="s">
        <v>589</v>
      </c>
      <c r="F1095" s="193">
        <v>10</v>
      </c>
      <c r="G1095" s="148">
        <v>145800</v>
      </c>
    </row>
    <row r="1096" spans="1:7" x14ac:dyDescent="0.25">
      <c r="A1096" s="147">
        <v>1091</v>
      </c>
      <c r="B1096" s="145">
        <v>45579</v>
      </c>
      <c r="C1096" s="191">
        <v>2024</v>
      </c>
      <c r="D1096" s="192" t="s">
        <v>35</v>
      </c>
      <c r="E1096" s="192" t="s">
        <v>98</v>
      </c>
      <c r="F1096" s="193">
        <v>5</v>
      </c>
      <c r="G1096" s="148">
        <v>149500</v>
      </c>
    </row>
    <row r="1097" spans="1:7" x14ac:dyDescent="0.25">
      <c r="A1097" s="147">
        <v>1092</v>
      </c>
      <c r="B1097" s="145">
        <v>45582</v>
      </c>
      <c r="C1097" s="191">
        <v>2024</v>
      </c>
      <c r="D1097" s="192" t="s">
        <v>35</v>
      </c>
      <c r="E1097" s="192" t="s">
        <v>1179</v>
      </c>
      <c r="F1097" s="193">
        <v>1</v>
      </c>
      <c r="G1097" s="148">
        <v>505000</v>
      </c>
    </row>
    <row r="1098" spans="1:7" x14ac:dyDescent="0.25">
      <c r="A1098" s="147">
        <v>1093</v>
      </c>
      <c r="B1098" s="145">
        <v>45582</v>
      </c>
      <c r="C1098" s="191">
        <v>2024</v>
      </c>
      <c r="D1098" s="192" t="s">
        <v>35</v>
      </c>
      <c r="E1098" s="192" t="s">
        <v>1179</v>
      </c>
      <c r="F1098" s="193">
        <v>1</v>
      </c>
      <c r="G1098" s="148">
        <v>505000</v>
      </c>
    </row>
    <row r="1099" spans="1:7" x14ac:dyDescent="0.25">
      <c r="A1099" s="147">
        <v>1094</v>
      </c>
      <c r="B1099" s="145">
        <v>45582</v>
      </c>
      <c r="C1099" s="191">
        <v>2024</v>
      </c>
      <c r="D1099" s="192" t="s">
        <v>35</v>
      </c>
      <c r="E1099" s="192" t="s">
        <v>1179</v>
      </c>
      <c r="F1099" s="193">
        <v>1</v>
      </c>
      <c r="G1099" s="148">
        <v>302500</v>
      </c>
    </row>
    <row r="1100" spans="1:7" x14ac:dyDescent="0.25">
      <c r="A1100" s="147">
        <v>1095</v>
      </c>
      <c r="B1100" s="145">
        <v>45582</v>
      </c>
      <c r="C1100" s="191">
        <v>2024</v>
      </c>
      <c r="D1100" s="192" t="s">
        <v>35</v>
      </c>
      <c r="E1100" s="192" t="s">
        <v>1179</v>
      </c>
      <c r="F1100" s="193">
        <v>1</v>
      </c>
      <c r="G1100" s="148">
        <v>505000</v>
      </c>
    </row>
    <row r="1101" spans="1:7" x14ac:dyDescent="0.25">
      <c r="A1101" s="147">
        <v>1096</v>
      </c>
      <c r="B1101" s="145">
        <v>45582</v>
      </c>
      <c r="C1101" s="191">
        <v>2024</v>
      </c>
      <c r="D1101" s="192" t="s">
        <v>35</v>
      </c>
      <c r="E1101" s="192" t="s">
        <v>1179</v>
      </c>
      <c r="F1101" s="193">
        <v>1</v>
      </c>
      <c r="G1101" s="148">
        <v>302500</v>
      </c>
    </row>
    <row r="1102" spans="1:7" x14ac:dyDescent="0.25">
      <c r="A1102" s="147">
        <v>1097</v>
      </c>
      <c r="B1102" s="145">
        <v>45582</v>
      </c>
      <c r="C1102" s="191">
        <v>2024</v>
      </c>
      <c r="D1102" s="192" t="s">
        <v>35</v>
      </c>
      <c r="E1102" s="192" t="s">
        <v>1179</v>
      </c>
      <c r="F1102" s="193">
        <v>1</v>
      </c>
      <c r="G1102" s="148">
        <v>505000</v>
      </c>
    </row>
    <row r="1103" spans="1:7" x14ac:dyDescent="0.25">
      <c r="A1103" s="147">
        <v>1098</v>
      </c>
      <c r="B1103" s="145">
        <v>45582</v>
      </c>
      <c r="C1103" s="191">
        <v>2024</v>
      </c>
      <c r="D1103" s="192" t="s">
        <v>35</v>
      </c>
      <c r="E1103" s="192" t="s">
        <v>1192</v>
      </c>
      <c r="F1103" s="193">
        <v>1</v>
      </c>
      <c r="G1103" s="148">
        <v>981000</v>
      </c>
    </row>
    <row r="1104" spans="1:7" x14ac:dyDescent="0.25">
      <c r="A1104" s="147">
        <v>1099</v>
      </c>
      <c r="B1104" s="145">
        <v>45582</v>
      </c>
      <c r="C1104" s="191">
        <v>2024</v>
      </c>
      <c r="D1104" s="192" t="s">
        <v>35</v>
      </c>
      <c r="E1104" s="192" t="s">
        <v>1179</v>
      </c>
      <c r="F1104" s="193">
        <v>1</v>
      </c>
      <c r="G1104" s="148">
        <v>442500</v>
      </c>
    </row>
    <row r="1105" spans="1:7" x14ac:dyDescent="0.25">
      <c r="A1105" s="147">
        <v>1100</v>
      </c>
      <c r="B1105" s="145">
        <v>45582</v>
      </c>
      <c r="C1105" s="191">
        <v>2024</v>
      </c>
      <c r="D1105" s="192" t="s">
        <v>35</v>
      </c>
      <c r="E1105" s="192" t="s">
        <v>1192</v>
      </c>
      <c r="F1105" s="193">
        <v>1</v>
      </c>
      <c r="G1105" s="148">
        <v>302500</v>
      </c>
    </row>
    <row r="1106" spans="1:7" x14ac:dyDescent="0.25">
      <c r="A1106" s="147">
        <v>1101</v>
      </c>
      <c r="B1106" s="145">
        <v>45582</v>
      </c>
      <c r="C1106" s="191">
        <v>2024</v>
      </c>
      <c r="D1106" s="192" t="s">
        <v>35</v>
      </c>
      <c r="E1106" s="192" t="s">
        <v>1179</v>
      </c>
      <c r="F1106" s="193">
        <v>1</v>
      </c>
      <c r="G1106" s="148">
        <v>505000</v>
      </c>
    </row>
    <row r="1107" spans="1:7" x14ac:dyDescent="0.25">
      <c r="A1107" s="147">
        <v>1102</v>
      </c>
      <c r="B1107" s="145">
        <v>45582</v>
      </c>
      <c r="C1107" s="191">
        <v>2024</v>
      </c>
      <c r="D1107" s="192" t="s">
        <v>35</v>
      </c>
      <c r="E1107" s="192" t="s">
        <v>953</v>
      </c>
      <c r="F1107" s="193">
        <v>1</v>
      </c>
      <c r="G1107" s="148">
        <v>430000</v>
      </c>
    </row>
    <row r="1108" spans="1:7" x14ac:dyDescent="0.25">
      <c r="A1108" s="147">
        <v>1103</v>
      </c>
      <c r="B1108" s="145">
        <v>45582</v>
      </c>
      <c r="C1108" s="191">
        <v>2024</v>
      </c>
      <c r="D1108" s="192" t="s">
        <v>35</v>
      </c>
      <c r="E1108" s="192" t="s">
        <v>836</v>
      </c>
      <c r="F1108" s="193">
        <v>1</v>
      </c>
      <c r="G1108" s="148">
        <v>85000</v>
      </c>
    </row>
    <row r="1109" spans="1:7" x14ac:dyDescent="0.25">
      <c r="A1109" s="147">
        <v>1104</v>
      </c>
      <c r="B1109" s="145">
        <v>45582</v>
      </c>
      <c r="C1109" s="191">
        <v>2024</v>
      </c>
      <c r="D1109" s="192" t="s">
        <v>35</v>
      </c>
      <c r="E1109" s="192" t="s">
        <v>1192</v>
      </c>
      <c r="F1109" s="193">
        <v>1</v>
      </c>
      <c r="G1109" s="148">
        <v>999000</v>
      </c>
    </row>
    <row r="1110" spans="1:7" x14ac:dyDescent="0.25">
      <c r="A1110" s="147">
        <v>1105</v>
      </c>
      <c r="B1110" s="145">
        <v>45582</v>
      </c>
      <c r="C1110" s="191">
        <v>2024</v>
      </c>
      <c r="D1110" s="192" t="s">
        <v>35</v>
      </c>
      <c r="E1110" s="192" t="s">
        <v>1193</v>
      </c>
      <c r="F1110" s="193">
        <v>1</v>
      </c>
      <c r="G1110" s="148">
        <v>140000</v>
      </c>
    </row>
    <row r="1111" spans="1:7" x14ac:dyDescent="0.25">
      <c r="A1111" s="147">
        <v>1106</v>
      </c>
      <c r="B1111" s="145">
        <v>45582</v>
      </c>
      <c r="C1111" s="191">
        <v>2024</v>
      </c>
      <c r="D1111" s="192" t="s">
        <v>35</v>
      </c>
      <c r="E1111" s="192" t="s">
        <v>1179</v>
      </c>
      <c r="F1111" s="193">
        <v>1</v>
      </c>
      <c r="G1111" s="148">
        <v>505000</v>
      </c>
    </row>
    <row r="1112" spans="1:7" x14ac:dyDescent="0.25">
      <c r="A1112" s="147">
        <v>1107</v>
      </c>
      <c r="B1112" s="145">
        <v>45582</v>
      </c>
      <c r="C1112" s="191">
        <v>2024</v>
      </c>
      <c r="D1112" s="192" t="s">
        <v>35</v>
      </c>
      <c r="E1112" s="192" t="s">
        <v>1192</v>
      </c>
      <c r="F1112" s="193">
        <v>1</v>
      </c>
      <c r="G1112" s="148">
        <v>750000</v>
      </c>
    </row>
    <row r="1113" spans="1:7" x14ac:dyDescent="0.25">
      <c r="A1113" s="147">
        <v>1108</v>
      </c>
      <c r="B1113" s="145">
        <v>45582</v>
      </c>
      <c r="C1113" s="191">
        <v>2024</v>
      </c>
      <c r="D1113" s="192" t="s">
        <v>35</v>
      </c>
      <c r="E1113" s="192" t="s">
        <v>953</v>
      </c>
      <c r="F1113" s="193">
        <v>1</v>
      </c>
      <c r="G1113" s="148">
        <v>430000</v>
      </c>
    </row>
    <row r="1114" spans="1:7" x14ac:dyDescent="0.25">
      <c r="A1114" s="147">
        <v>1109</v>
      </c>
      <c r="B1114" s="145">
        <v>45582</v>
      </c>
      <c r="C1114" s="191">
        <v>2024</v>
      </c>
      <c r="D1114" s="192" t="s">
        <v>35</v>
      </c>
      <c r="E1114" s="192" t="s">
        <v>1179</v>
      </c>
      <c r="F1114" s="193">
        <v>1</v>
      </c>
      <c r="G1114" s="148">
        <v>505000</v>
      </c>
    </row>
    <row r="1115" spans="1:7" x14ac:dyDescent="0.25">
      <c r="A1115" s="147">
        <v>1110</v>
      </c>
      <c r="B1115" s="145">
        <v>45582</v>
      </c>
      <c r="C1115" s="191">
        <v>2024</v>
      </c>
      <c r="D1115" s="192" t="s">
        <v>35</v>
      </c>
      <c r="E1115" s="192" t="s">
        <v>1194</v>
      </c>
      <c r="F1115" s="193">
        <v>1</v>
      </c>
      <c r="G1115" s="148">
        <v>180000</v>
      </c>
    </row>
    <row r="1116" spans="1:7" x14ac:dyDescent="0.25">
      <c r="A1116" s="147">
        <v>1111</v>
      </c>
      <c r="B1116" s="145">
        <v>45582</v>
      </c>
      <c r="C1116" s="191">
        <v>2024</v>
      </c>
      <c r="D1116" s="192" t="s">
        <v>35</v>
      </c>
      <c r="E1116" s="192" t="s">
        <v>1179</v>
      </c>
      <c r="F1116" s="193">
        <v>1</v>
      </c>
      <c r="G1116" s="148">
        <v>505000</v>
      </c>
    </row>
    <row r="1117" spans="1:7" x14ac:dyDescent="0.25">
      <c r="A1117" s="147">
        <v>1112</v>
      </c>
      <c r="B1117" s="145">
        <v>45582</v>
      </c>
      <c r="C1117" s="191">
        <v>2024</v>
      </c>
      <c r="D1117" s="192" t="s">
        <v>35</v>
      </c>
      <c r="E1117" s="192" t="s">
        <v>1154</v>
      </c>
      <c r="F1117" s="193">
        <v>1</v>
      </c>
      <c r="G1117" s="148">
        <v>193000</v>
      </c>
    </row>
    <row r="1118" spans="1:7" x14ac:dyDescent="0.25">
      <c r="A1118" s="147">
        <v>1113</v>
      </c>
      <c r="B1118" s="145">
        <v>45582</v>
      </c>
      <c r="C1118" s="191">
        <v>2024</v>
      </c>
      <c r="D1118" s="192" t="s">
        <v>35</v>
      </c>
      <c r="E1118" s="192" t="s">
        <v>1194</v>
      </c>
      <c r="F1118" s="193">
        <v>1</v>
      </c>
      <c r="G1118" s="148">
        <v>180000</v>
      </c>
    </row>
    <row r="1119" spans="1:7" x14ac:dyDescent="0.25">
      <c r="A1119" s="147">
        <v>1114</v>
      </c>
      <c r="B1119" s="145">
        <v>45582</v>
      </c>
      <c r="C1119" s="191">
        <v>2024</v>
      </c>
      <c r="D1119" s="192" t="s">
        <v>35</v>
      </c>
      <c r="E1119" s="192" t="s">
        <v>953</v>
      </c>
      <c r="F1119" s="193">
        <v>1</v>
      </c>
      <c r="G1119" s="148">
        <v>56000</v>
      </c>
    </row>
    <row r="1120" spans="1:7" x14ac:dyDescent="0.25">
      <c r="A1120" s="147">
        <v>1115</v>
      </c>
      <c r="B1120" s="145">
        <v>45582</v>
      </c>
      <c r="C1120" s="191">
        <v>2024</v>
      </c>
      <c r="D1120" s="192" t="s">
        <v>35</v>
      </c>
      <c r="E1120" s="192" t="s">
        <v>1179</v>
      </c>
      <c r="F1120" s="193">
        <v>1</v>
      </c>
      <c r="G1120" s="148">
        <v>505000</v>
      </c>
    </row>
    <row r="1121" spans="1:7" x14ac:dyDescent="0.25">
      <c r="A1121" s="147">
        <v>1116</v>
      </c>
      <c r="B1121" s="145">
        <v>45582</v>
      </c>
      <c r="C1121" s="191">
        <v>2024</v>
      </c>
      <c r="D1121" s="192" t="s">
        <v>35</v>
      </c>
      <c r="E1121" s="192" t="s">
        <v>1195</v>
      </c>
      <c r="F1121" s="193">
        <v>1</v>
      </c>
      <c r="G1121" s="148">
        <v>140000</v>
      </c>
    </row>
    <row r="1122" spans="1:7" x14ac:dyDescent="0.25">
      <c r="A1122" s="147">
        <v>1117</v>
      </c>
      <c r="B1122" s="145">
        <v>45582</v>
      </c>
      <c r="C1122" s="191">
        <v>2024</v>
      </c>
      <c r="D1122" s="192" t="s">
        <v>35</v>
      </c>
      <c r="E1122" s="192" t="s">
        <v>1196</v>
      </c>
      <c r="F1122" s="193">
        <v>1</v>
      </c>
      <c r="G1122" s="148">
        <v>486000</v>
      </c>
    </row>
    <row r="1123" spans="1:7" x14ac:dyDescent="0.25">
      <c r="A1123" s="147">
        <v>1118</v>
      </c>
      <c r="B1123" s="145">
        <v>45582</v>
      </c>
      <c r="C1123" s="191">
        <v>2024</v>
      </c>
      <c r="D1123" s="192" t="s">
        <v>35</v>
      </c>
      <c r="E1123" s="192" t="s">
        <v>1196</v>
      </c>
      <c r="F1123" s="193">
        <v>1</v>
      </c>
      <c r="G1123" s="148">
        <v>320000</v>
      </c>
    </row>
    <row r="1124" spans="1:7" x14ac:dyDescent="0.25">
      <c r="A1124" s="147">
        <v>1119</v>
      </c>
      <c r="B1124" s="145">
        <v>45582</v>
      </c>
      <c r="C1124" s="191">
        <v>2024</v>
      </c>
      <c r="D1124" s="192" t="s">
        <v>35</v>
      </c>
      <c r="E1124" s="192" t="s">
        <v>1192</v>
      </c>
      <c r="F1124" s="193">
        <v>1</v>
      </c>
      <c r="G1124" s="148">
        <v>750000</v>
      </c>
    </row>
    <row r="1125" spans="1:7" x14ac:dyDescent="0.25">
      <c r="A1125" s="147">
        <v>1120</v>
      </c>
      <c r="B1125" s="145">
        <v>45582</v>
      </c>
      <c r="C1125" s="191">
        <v>2024</v>
      </c>
      <c r="D1125" s="192" t="s">
        <v>35</v>
      </c>
      <c r="E1125" s="192" t="s">
        <v>953</v>
      </c>
      <c r="F1125" s="193">
        <v>1</v>
      </c>
      <c r="G1125" s="148">
        <v>430000</v>
      </c>
    </row>
    <row r="1126" spans="1:7" x14ac:dyDescent="0.25">
      <c r="A1126" s="147">
        <v>1121</v>
      </c>
      <c r="B1126" s="145">
        <v>45582</v>
      </c>
      <c r="C1126" s="191">
        <v>2024</v>
      </c>
      <c r="D1126" s="192" t="s">
        <v>35</v>
      </c>
      <c r="E1126" s="192" t="s">
        <v>1197</v>
      </c>
      <c r="F1126" s="193">
        <v>1</v>
      </c>
      <c r="G1126" s="148">
        <v>180000</v>
      </c>
    </row>
    <row r="1127" spans="1:7" x14ac:dyDescent="0.25">
      <c r="A1127" s="147">
        <v>1122</v>
      </c>
      <c r="B1127" s="145">
        <v>45582</v>
      </c>
      <c r="C1127" s="191">
        <v>2024</v>
      </c>
      <c r="D1127" s="192" t="s">
        <v>35</v>
      </c>
      <c r="E1127" s="192" t="s">
        <v>1192</v>
      </c>
      <c r="F1127" s="193">
        <v>1</v>
      </c>
      <c r="G1127" s="148">
        <v>943000</v>
      </c>
    </row>
    <row r="1128" spans="1:7" x14ac:dyDescent="0.25">
      <c r="A1128" s="147">
        <v>1123</v>
      </c>
      <c r="B1128" s="145">
        <v>45583</v>
      </c>
      <c r="C1128" s="191">
        <v>2024</v>
      </c>
      <c r="D1128" s="192" t="s">
        <v>35</v>
      </c>
      <c r="E1128" s="192" t="s">
        <v>610</v>
      </c>
      <c r="F1128" s="193">
        <v>100</v>
      </c>
      <c r="G1128" s="148">
        <v>20850</v>
      </c>
    </row>
    <row r="1129" spans="1:7" x14ac:dyDescent="0.25">
      <c r="A1129" s="147">
        <v>1124</v>
      </c>
      <c r="B1129" s="145">
        <v>45586</v>
      </c>
      <c r="C1129" s="191">
        <v>2024</v>
      </c>
      <c r="D1129" s="192" t="s">
        <v>35</v>
      </c>
      <c r="E1129" s="192" t="s">
        <v>1199</v>
      </c>
      <c r="F1129" s="193">
        <v>1</v>
      </c>
      <c r="G1129" s="148">
        <v>48000</v>
      </c>
    </row>
    <row r="1130" spans="1:7" x14ac:dyDescent="0.25">
      <c r="A1130" s="147">
        <v>1125</v>
      </c>
      <c r="B1130" s="145">
        <v>45589</v>
      </c>
      <c r="C1130" s="191">
        <v>2024</v>
      </c>
      <c r="D1130" s="192" t="s">
        <v>35</v>
      </c>
      <c r="E1130" s="192" t="s">
        <v>211</v>
      </c>
      <c r="F1130" s="193">
        <v>5</v>
      </c>
      <c r="G1130" s="148">
        <v>105000</v>
      </c>
    </row>
    <row r="1131" spans="1:7" x14ac:dyDescent="0.25">
      <c r="A1131" s="147">
        <v>1126</v>
      </c>
      <c r="B1131" s="145">
        <v>45589</v>
      </c>
      <c r="C1131" s="191">
        <v>2024</v>
      </c>
      <c r="D1131" s="192" t="s">
        <v>35</v>
      </c>
      <c r="E1131" s="192" t="s">
        <v>211</v>
      </c>
      <c r="F1131" s="193">
        <v>3</v>
      </c>
      <c r="G1131" s="148">
        <v>58500</v>
      </c>
    </row>
    <row r="1132" spans="1:7" x14ac:dyDescent="0.25">
      <c r="A1132" s="147">
        <v>1127</v>
      </c>
      <c r="B1132" s="145">
        <v>45589</v>
      </c>
      <c r="C1132" s="191">
        <v>2024</v>
      </c>
      <c r="D1132" s="192" t="s">
        <v>35</v>
      </c>
      <c r="E1132" s="192" t="s">
        <v>211</v>
      </c>
      <c r="F1132" s="193">
        <v>2</v>
      </c>
      <c r="G1132" s="148">
        <v>39000</v>
      </c>
    </row>
    <row r="1133" spans="1:7" x14ac:dyDescent="0.25">
      <c r="A1133" s="147">
        <v>1128</v>
      </c>
      <c r="B1133" s="145">
        <v>45589</v>
      </c>
      <c r="C1133" s="191">
        <v>2024</v>
      </c>
      <c r="D1133" s="192" t="s">
        <v>35</v>
      </c>
      <c r="E1133" s="192" t="s">
        <v>761</v>
      </c>
      <c r="F1133" s="193">
        <v>4</v>
      </c>
      <c r="G1133" s="148">
        <v>9000000</v>
      </c>
    </row>
    <row r="1134" spans="1:7" x14ac:dyDescent="0.25">
      <c r="A1134" s="147">
        <v>1129</v>
      </c>
      <c r="B1134" s="145">
        <v>45589</v>
      </c>
      <c r="C1134" s="191">
        <v>2024</v>
      </c>
      <c r="D1134" s="192" t="s">
        <v>35</v>
      </c>
      <c r="E1134" s="192" t="s">
        <v>739</v>
      </c>
      <c r="F1134" s="193">
        <v>3</v>
      </c>
      <c r="G1134" s="148">
        <v>562500</v>
      </c>
    </row>
    <row r="1135" spans="1:7" x14ac:dyDescent="0.25">
      <c r="A1135" s="147">
        <v>1130</v>
      </c>
      <c r="B1135" s="145">
        <v>45589</v>
      </c>
      <c r="C1135" s="191">
        <v>2024</v>
      </c>
      <c r="D1135" s="192" t="s">
        <v>35</v>
      </c>
      <c r="E1135" s="192" t="s">
        <v>790</v>
      </c>
      <c r="F1135" s="193">
        <v>1</v>
      </c>
      <c r="G1135" s="148">
        <v>150000</v>
      </c>
    </row>
    <row r="1136" spans="1:7" x14ac:dyDescent="0.25">
      <c r="A1136" s="147">
        <v>1131</v>
      </c>
      <c r="B1136" s="145">
        <v>45589</v>
      </c>
      <c r="C1136" s="191">
        <v>2024</v>
      </c>
      <c r="D1136" s="192" t="s">
        <v>35</v>
      </c>
      <c r="E1136" s="192" t="s">
        <v>1201</v>
      </c>
      <c r="F1136" s="193">
        <v>10</v>
      </c>
      <c r="G1136" s="148">
        <v>150000</v>
      </c>
    </row>
    <row r="1137" spans="1:7" x14ac:dyDescent="0.25">
      <c r="A1137" s="147">
        <v>1132</v>
      </c>
      <c r="B1137" s="145">
        <v>45591</v>
      </c>
      <c r="C1137" s="191">
        <v>2024</v>
      </c>
      <c r="D1137" s="192" t="s">
        <v>35</v>
      </c>
      <c r="E1137" s="192" t="s">
        <v>1204</v>
      </c>
      <c r="F1137" s="193">
        <v>1</v>
      </c>
      <c r="G1137" s="148">
        <v>110000</v>
      </c>
    </row>
    <row r="1138" spans="1:7" x14ac:dyDescent="0.25">
      <c r="A1138" s="147">
        <v>1133</v>
      </c>
      <c r="B1138" s="145">
        <v>45591</v>
      </c>
      <c r="C1138" s="191">
        <v>2024</v>
      </c>
      <c r="D1138" s="192" t="s">
        <v>35</v>
      </c>
      <c r="E1138" s="192" t="s">
        <v>1206</v>
      </c>
      <c r="F1138" s="193">
        <v>1</v>
      </c>
      <c r="G1138" s="148">
        <v>200000</v>
      </c>
    </row>
    <row r="1139" spans="1:7" x14ac:dyDescent="0.25">
      <c r="A1139" s="147">
        <v>1134</v>
      </c>
      <c r="B1139" s="145">
        <v>45591</v>
      </c>
      <c r="C1139" s="191">
        <v>2024</v>
      </c>
      <c r="D1139" s="192" t="s">
        <v>35</v>
      </c>
      <c r="E1139" s="192" t="s">
        <v>1208</v>
      </c>
      <c r="F1139" s="193">
        <v>10</v>
      </c>
      <c r="G1139" s="148">
        <v>30000</v>
      </c>
    </row>
    <row r="1140" spans="1:7" x14ac:dyDescent="0.25">
      <c r="A1140" s="147">
        <v>1135</v>
      </c>
      <c r="B1140" s="145">
        <v>45591</v>
      </c>
      <c r="C1140" s="191">
        <v>2024</v>
      </c>
      <c r="D1140" s="192" t="s">
        <v>35</v>
      </c>
      <c r="E1140" s="192" t="s">
        <v>1090</v>
      </c>
      <c r="F1140" s="193">
        <v>1</v>
      </c>
      <c r="G1140" s="148">
        <v>692000</v>
      </c>
    </row>
    <row r="1141" spans="1:7" x14ac:dyDescent="0.25">
      <c r="A1141" s="147">
        <v>1136</v>
      </c>
      <c r="B1141" s="116">
        <v>45591</v>
      </c>
      <c r="C1141" s="117">
        <v>2024</v>
      </c>
      <c r="D1141" s="118" t="s">
        <v>35</v>
      </c>
      <c r="E1141" s="119" t="s">
        <v>1205</v>
      </c>
      <c r="F1141" s="120">
        <v>132</v>
      </c>
      <c r="G1141" s="121">
        <v>82500</v>
      </c>
    </row>
    <row r="1142" spans="1:7" x14ac:dyDescent="0.25">
      <c r="A1142" s="147">
        <v>1137</v>
      </c>
      <c r="B1142" s="145">
        <v>45593</v>
      </c>
      <c r="C1142" s="191">
        <v>2024</v>
      </c>
      <c r="D1142" s="192" t="s">
        <v>35</v>
      </c>
      <c r="E1142" s="192" t="s">
        <v>1191</v>
      </c>
      <c r="F1142" s="193">
        <v>20</v>
      </c>
      <c r="G1142" s="148">
        <v>196000</v>
      </c>
    </row>
    <row r="1143" spans="1:7" x14ac:dyDescent="0.25">
      <c r="A1143" s="147">
        <v>1138</v>
      </c>
      <c r="B1143" s="145">
        <v>45594</v>
      </c>
      <c r="C1143" s="191">
        <v>2024</v>
      </c>
      <c r="D1143" s="192" t="s">
        <v>35</v>
      </c>
      <c r="E1143" s="192" t="s">
        <v>761</v>
      </c>
      <c r="F1143" s="193">
        <v>4</v>
      </c>
      <c r="G1143" s="148">
        <v>9000000</v>
      </c>
    </row>
    <row r="1144" spans="1:7" x14ac:dyDescent="0.25">
      <c r="A1144" s="147">
        <v>1139</v>
      </c>
      <c r="B1144" s="145">
        <v>45594</v>
      </c>
      <c r="C1144" s="191">
        <v>2024</v>
      </c>
      <c r="D1144" s="192" t="s">
        <v>35</v>
      </c>
      <c r="E1144" s="192" t="s">
        <v>790</v>
      </c>
      <c r="F1144" s="193">
        <v>1</v>
      </c>
      <c r="G1144" s="148">
        <v>150000</v>
      </c>
    </row>
    <row r="1145" spans="1:7" x14ac:dyDescent="0.25">
      <c r="A1145" s="147">
        <v>1140</v>
      </c>
      <c r="B1145" s="145">
        <v>45595</v>
      </c>
      <c r="C1145" s="191">
        <v>2024</v>
      </c>
      <c r="D1145" s="192" t="s">
        <v>35</v>
      </c>
      <c r="E1145" s="192" t="s">
        <v>761</v>
      </c>
      <c r="F1145" s="193">
        <v>2</v>
      </c>
      <c r="G1145" s="148">
        <v>3100000</v>
      </c>
    </row>
    <row r="1146" spans="1:7" x14ac:dyDescent="0.25">
      <c r="A1146" s="147">
        <v>1141</v>
      </c>
      <c r="B1146" s="145">
        <v>45595</v>
      </c>
      <c r="C1146" s="191">
        <v>2024</v>
      </c>
      <c r="D1146" s="192" t="s">
        <v>35</v>
      </c>
      <c r="E1146" s="192" t="s">
        <v>761</v>
      </c>
      <c r="F1146" s="193">
        <v>4</v>
      </c>
      <c r="G1146" s="148">
        <v>9000000</v>
      </c>
    </row>
    <row r="1147" spans="1:7" x14ac:dyDescent="0.25">
      <c r="A1147" s="147">
        <v>1142</v>
      </c>
      <c r="B1147" s="145">
        <v>45595</v>
      </c>
      <c r="C1147" s="191">
        <v>2024</v>
      </c>
      <c r="D1147" s="192" t="s">
        <v>35</v>
      </c>
      <c r="E1147" s="192" t="s">
        <v>1216</v>
      </c>
      <c r="F1147" s="193">
        <v>1</v>
      </c>
      <c r="G1147" s="148">
        <v>1112</v>
      </c>
    </row>
    <row r="1148" spans="1:7" x14ac:dyDescent="0.25">
      <c r="A1148" s="147">
        <v>1143</v>
      </c>
      <c r="B1148" s="145">
        <v>45595</v>
      </c>
      <c r="C1148" s="191">
        <v>2024</v>
      </c>
      <c r="D1148" s="192" t="s">
        <v>35</v>
      </c>
      <c r="E1148" s="192" t="s">
        <v>1217</v>
      </c>
      <c r="F1148" s="193">
        <v>1</v>
      </c>
      <c r="G1148" s="148">
        <v>7900</v>
      </c>
    </row>
    <row r="1149" spans="1:7" x14ac:dyDescent="0.25">
      <c r="A1149" s="147">
        <v>1144</v>
      </c>
      <c r="B1149" s="145">
        <v>45595</v>
      </c>
      <c r="C1149" s="191">
        <v>2024</v>
      </c>
      <c r="D1149" s="192" t="s">
        <v>35</v>
      </c>
      <c r="E1149" s="192" t="s">
        <v>1069</v>
      </c>
      <c r="F1149" s="193">
        <v>1</v>
      </c>
      <c r="G1149" s="148">
        <v>7250</v>
      </c>
    </row>
    <row r="1150" spans="1:7" x14ac:dyDescent="0.25">
      <c r="A1150" s="147">
        <v>1145</v>
      </c>
      <c r="B1150" s="145">
        <v>45595</v>
      </c>
      <c r="C1150" s="191">
        <v>2024</v>
      </c>
      <c r="D1150" s="192" t="s">
        <v>35</v>
      </c>
      <c r="E1150" s="192" t="s">
        <v>1218</v>
      </c>
      <c r="F1150" s="193">
        <v>1</v>
      </c>
      <c r="G1150" s="148">
        <v>1155</v>
      </c>
    </row>
    <row r="1151" spans="1:7" x14ac:dyDescent="0.25">
      <c r="A1151" s="147">
        <v>1146</v>
      </c>
      <c r="B1151" s="145">
        <v>45597</v>
      </c>
      <c r="C1151" s="191">
        <v>2024</v>
      </c>
      <c r="D1151" s="192" t="s">
        <v>35</v>
      </c>
      <c r="E1151" s="192" t="s">
        <v>761</v>
      </c>
      <c r="F1151" s="193">
        <v>4</v>
      </c>
      <c r="G1151" s="148">
        <v>9000000</v>
      </c>
    </row>
    <row r="1152" spans="1:7" x14ac:dyDescent="0.25">
      <c r="A1152" s="147">
        <v>1147</v>
      </c>
      <c r="B1152" s="145">
        <v>45598</v>
      </c>
      <c r="C1152" s="191">
        <v>2024</v>
      </c>
      <c r="D1152" s="192" t="s">
        <v>35</v>
      </c>
      <c r="E1152" s="192" t="s">
        <v>115</v>
      </c>
      <c r="F1152" s="193">
        <v>1</v>
      </c>
      <c r="G1152" s="148">
        <v>24000</v>
      </c>
    </row>
    <row r="1153" spans="1:7" x14ac:dyDescent="0.25">
      <c r="A1153" s="147">
        <v>1148</v>
      </c>
      <c r="B1153" s="145">
        <v>45600</v>
      </c>
      <c r="C1153" s="191">
        <v>2024</v>
      </c>
      <c r="D1153" s="192" t="s">
        <v>35</v>
      </c>
      <c r="E1153" s="192" t="s">
        <v>252</v>
      </c>
      <c r="F1153" s="193">
        <v>2</v>
      </c>
      <c r="G1153" s="148">
        <v>1780000</v>
      </c>
    </row>
    <row r="1154" spans="1:7" x14ac:dyDescent="0.25">
      <c r="A1154" s="147">
        <v>1149</v>
      </c>
      <c r="B1154" s="145">
        <v>45600</v>
      </c>
      <c r="C1154" s="191">
        <v>2024</v>
      </c>
      <c r="D1154" s="192" t="s">
        <v>35</v>
      </c>
      <c r="E1154" s="192" t="s">
        <v>761</v>
      </c>
      <c r="F1154" s="193">
        <v>1</v>
      </c>
      <c r="G1154" s="148">
        <v>200000</v>
      </c>
    </row>
    <row r="1155" spans="1:7" x14ac:dyDescent="0.25">
      <c r="A1155" s="147">
        <v>1150</v>
      </c>
      <c r="B1155" s="145">
        <v>45600</v>
      </c>
      <c r="C1155" s="191">
        <v>2024</v>
      </c>
      <c r="D1155" s="192" t="s">
        <v>35</v>
      </c>
      <c r="E1155" s="192" t="s">
        <v>823</v>
      </c>
      <c r="F1155" s="193">
        <v>1</v>
      </c>
      <c r="G1155" s="148">
        <v>55000</v>
      </c>
    </row>
    <row r="1156" spans="1:7" x14ac:dyDescent="0.25">
      <c r="A1156" s="147">
        <v>1151</v>
      </c>
      <c r="B1156" s="145">
        <v>45601</v>
      </c>
      <c r="C1156" s="191">
        <v>2024</v>
      </c>
      <c r="D1156" s="192" t="s">
        <v>35</v>
      </c>
      <c r="E1156" s="192" t="s">
        <v>761</v>
      </c>
      <c r="F1156" s="193">
        <v>4</v>
      </c>
      <c r="G1156" s="148">
        <v>9000000</v>
      </c>
    </row>
    <row r="1157" spans="1:7" x14ac:dyDescent="0.25">
      <c r="A1157" s="147">
        <v>1152</v>
      </c>
      <c r="B1157" s="145">
        <v>45601</v>
      </c>
      <c r="C1157" s="191">
        <v>2024</v>
      </c>
      <c r="D1157" s="192" t="s">
        <v>35</v>
      </c>
      <c r="E1157" s="192" t="s">
        <v>1201</v>
      </c>
      <c r="F1157" s="193">
        <v>10</v>
      </c>
      <c r="G1157" s="148">
        <v>30000</v>
      </c>
    </row>
    <row r="1158" spans="1:7" x14ac:dyDescent="0.25">
      <c r="A1158" s="147">
        <v>1153</v>
      </c>
      <c r="B1158" s="167">
        <v>45602</v>
      </c>
      <c r="C1158" s="117">
        <v>2024</v>
      </c>
      <c r="D1158" s="119" t="s">
        <v>35</v>
      </c>
      <c r="E1158" s="119" t="s">
        <v>1223</v>
      </c>
      <c r="F1158" s="120">
        <v>50</v>
      </c>
      <c r="G1158" s="168">
        <v>125000</v>
      </c>
    </row>
    <row r="1159" spans="1:7" x14ac:dyDescent="0.25">
      <c r="A1159" s="147">
        <v>1154</v>
      </c>
      <c r="B1159" s="145">
        <v>45603</v>
      </c>
      <c r="C1159" s="191">
        <v>2024</v>
      </c>
      <c r="D1159" s="192" t="s">
        <v>35</v>
      </c>
      <c r="E1159" s="192" t="s">
        <v>677</v>
      </c>
      <c r="F1159" s="193">
        <v>4</v>
      </c>
      <c r="G1159" s="148">
        <v>22400</v>
      </c>
    </row>
    <row r="1160" spans="1:7" x14ac:dyDescent="0.25">
      <c r="A1160" s="147">
        <v>1155</v>
      </c>
      <c r="B1160" s="145">
        <v>45603</v>
      </c>
      <c r="C1160" s="191">
        <v>2024</v>
      </c>
      <c r="D1160" s="192" t="s">
        <v>35</v>
      </c>
      <c r="E1160" s="192" t="s">
        <v>1191</v>
      </c>
      <c r="F1160" s="193">
        <v>25</v>
      </c>
      <c r="G1160" s="148">
        <v>237500</v>
      </c>
    </row>
    <row r="1161" spans="1:7" x14ac:dyDescent="0.25">
      <c r="A1161" s="147">
        <v>1156</v>
      </c>
      <c r="B1161" s="145">
        <v>45603</v>
      </c>
      <c r="C1161" s="191">
        <v>2024</v>
      </c>
      <c r="D1161" s="192" t="s">
        <v>35</v>
      </c>
      <c r="E1161" s="192" t="s">
        <v>1224</v>
      </c>
      <c r="F1161" s="193">
        <v>1</v>
      </c>
      <c r="G1161" s="148">
        <v>80000</v>
      </c>
    </row>
    <row r="1162" spans="1:7" x14ac:dyDescent="0.25">
      <c r="A1162" s="147">
        <v>1157</v>
      </c>
      <c r="B1162" s="145">
        <v>45603</v>
      </c>
      <c r="C1162" s="191">
        <v>2024</v>
      </c>
      <c r="D1162" s="192" t="s">
        <v>35</v>
      </c>
      <c r="E1162" s="192" t="s">
        <v>992</v>
      </c>
      <c r="F1162" s="193">
        <v>1</v>
      </c>
      <c r="G1162" s="148">
        <v>525000</v>
      </c>
    </row>
    <row r="1163" spans="1:7" x14ac:dyDescent="0.25">
      <c r="A1163" s="147">
        <v>1158</v>
      </c>
      <c r="B1163" s="145">
        <v>45603</v>
      </c>
      <c r="C1163" s="191">
        <v>2024</v>
      </c>
      <c r="D1163" s="192" t="s">
        <v>35</v>
      </c>
      <c r="E1163" s="192" t="s">
        <v>1039</v>
      </c>
      <c r="F1163" s="193">
        <v>1</v>
      </c>
      <c r="G1163" s="148">
        <v>25000</v>
      </c>
    </row>
    <row r="1164" spans="1:7" x14ac:dyDescent="0.25">
      <c r="A1164" s="147">
        <v>1159</v>
      </c>
      <c r="B1164" s="145">
        <v>45603</v>
      </c>
      <c r="C1164" s="191">
        <v>2024</v>
      </c>
      <c r="D1164" s="192" t="s">
        <v>35</v>
      </c>
      <c r="E1164" s="192" t="s">
        <v>1225</v>
      </c>
      <c r="F1164" s="193">
        <v>1</v>
      </c>
      <c r="G1164" s="148">
        <v>100000</v>
      </c>
    </row>
    <row r="1165" spans="1:7" x14ac:dyDescent="0.25">
      <c r="A1165" s="147">
        <v>1160</v>
      </c>
      <c r="B1165" s="145">
        <v>45603</v>
      </c>
      <c r="C1165" s="191">
        <v>2024</v>
      </c>
      <c r="D1165" s="192" t="s">
        <v>35</v>
      </c>
      <c r="E1165" s="192" t="s">
        <v>1226</v>
      </c>
      <c r="F1165" s="193">
        <v>1</v>
      </c>
      <c r="G1165" s="148">
        <v>240000</v>
      </c>
    </row>
    <row r="1166" spans="1:7" x14ac:dyDescent="0.25">
      <c r="A1166" s="147">
        <v>1161</v>
      </c>
      <c r="B1166" s="145">
        <v>45603</v>
      </c>
      <c r="C1166" s="191">
        <v>2024</v>
      </c>
      <c r="D1166" s="192" t="s">
        <v>35</v>
      </c>
      <c r="E1166" s="192" t="s">
        <v>256</v>
      </c>
      <c r="F1166" s="193">
        <v>1</v>
      </c>
      <c r="G1166" s="148">
        <v>100000</v>
      </c>
    </row>
    <row r="1167" spans="1:7" x14ac:dyDescent="0.25">
      <c r="A1167" s="147">
        <v>1162</v>
      </c>
      <c r="B1167" s="145">
        <v>45603</v>
      </c>
      <c r="C1167" s="191">
        <v>2024</v>
      </c>
      <c r="D1167" s="192" t="s">
        <v>35</v>
      </c>
      <c r="E1167" s="192" t="s">
        <v>862</v>
      </c>
      <c r="F1167" s="193">
        <v>1</v>
      </c>
      <c r="G1167" s="148">
        <v>70000</v>
      </c>
    </row>
    <row r="1168" spans="1:7" x14ac:dyDescent="0.25">
      <c r="A1168" s="147">
        <v>1163</v>
      </c>
      <c r="B1168" s="145">
        <v>45603</v>
      </c>
      <c r="C1168" s="191">
        <v>2024</v>
      </c>
      <c r="D1168" s="192" t="s">
        <v>35</v>
      </c>
      <c r="E1168" s="192" t="s">
        <v>1227</v>
      </c>
      <c r="F1168" s="193">
        <v>1</v>
      </c>
      <c r="G1168" s="148">
        <v>45000</v>
      </c>
    </row>
    <row r="1169" spans="1:7" x14ac:dyDescent="0.25">
      <c r="A1169" s="147">
        <v>1164</v>
      </c>
      <c r="B1169" s="145">
        <v>45603</v>
      </c>
      <c r="C1169" s="191">
        <v>2024</v>
      </c>
      <c r="D1169" s="192" t="s">
        <v>35</v>
      </c>
      <c r="E1169" s="192" t="s">
        <v>1228</v>
      </c>
      <c r="F1169" s="193">
        <v>1</v>
      </c>
      <c r="G1169" s="148">
        <v>350000</v>
      </c>
    </row>
    <row r="1170" spans="1:7" x14ac:dyDescent="0.25">
      <c r="A1170" s="147">
        <v>1165</v>
      </c>
      <c r="B1170" s="145">
        <v>45603</v>
      </c>
      <c r="C1170" s="191">
        <v>2024</v>
      </c>
      <c r="D1170" s="192" t="s">
        <v>35</v>
      </c>
      <c r="E1170" s="192" t="s">
        <v>933</v>
      </c>
      <c r="F1170" s="193">
        <v>1</v>
      </c>
      <c r="G1170" s="148">
        <v>125000</v>
      </c>
    </row>
    <row r="1171" spans="1:7" x14ac:dyDescent="0.25">
      <c r="A1171" s="147">
        <v>1166</v>
      </c>
      <c r="B1171" s="145">
        <v>45603</v>
      </c>
      <c r="C1171" s="191">
        <v>2024</v>
      </c>
      <c r="D1171" s="192" t="s">
        <v>35</v>
      </c>
      <c r="E1171" s="192" t="s">
        <v>1229</v>
      </c>
      <c r="F1171" s="193">
        <v>1</v>
      </c>
      <c r="G1171" s="148">
        <v>240000</v>
      </c>
    </row>
    <row r="1172" spans="1:7" x14ac:dyDescent="0.25">
      <c r="A1172" s="147">
        <v>1167</v>
      </c>
      <c r="B1172" s="145">
        <v>45603</v>
      </c>
      <c r="C1172" s="191">
        <v>2024</v>
      </c>
      <c r="D1172" s="192" t="s">
        <v>35</v>
      </c>
      <c r="E1172" s="192" t="s">
        <v>1230</v>
      </c>
      <c r="F1172" s="193">
        <v>1</v>
      </c>
      <c r="G1172" s="148">
        <v>200000</v>
      </c>
    </row>
    <row r="1173" spans="1:7" x14ac:dyDescent="0.25">
      <c r="A1173" s="147">
        <v>1168</v>
      </c>
      <c r="B1173" s="145">
        <v>45603</v>
      </c>
      <c r="C1173" s="191">
        <v>2024</v>
      </c>
      <c r="D1173" s="192" t="s">
        <v>35</v>
      </c>
      <c r="E1173" s="192" t="s">
        <v>1083</v>
      </c>
      <c r="F1173" s="193">
        <v>1</v>
      </c>
      <c r="G1173" s="148">
        <v>250000</v>
      </c>
    </row>
    <row r="1174" spans="1:7" x14ac:dyDescent="0.25">
      <c r="A1174" s="147">
        <v>1169</v>
      </c>
      <c r="B1174" s="145">
        <v>45603</v>
      </c>
      <c r="C1174" s="191">
        <v>2024</v>
      </c>
      <c r="D1174" s="192" t="s">
        <v>35</v>
      </c>
      <c r="E1174" s="192" t="s">
        <v>1231</v>
      </c>
      <c r="F1174" s="193">
        <v>1</v>
      </c>
      <c r="G1174" s="148">
        <v>600000</v>
      </c>
    </row>
    <row r="1175" spans="1:7" x14ac:dyDescent="0.25">
      <c r="A1175" s="147">
        <v>1170</v>
      </c>
      <c r="B1175" s="145">
        <v>45603</v>
      </c>
      <c r="C1175" s="191">
        <v>2024</v>
      </c>
      <c r="D1175" s="192" t="s">
        <v>35</v>
      </c>
      <c r="E1175" s="192" t="s">
        <v>1232</v>
      </c>
      <c r="F1175" s="193">
        <v>1</v>
      </c>
      <c r="G1175" s="148">
        <v>100000</v>
      </c>
    </row>
    <row r="1176" spans="1:7" x14ac:dyDescent="0.25">
      <c r="A1176" s="147">
        <v>1171</v>
      </c>
      <c r="B1176" s="145">
        <v>45603</v>
      </c>
      <c r="C1176" s="191">
        <v>2024</v>
      </c>
      <c r="D1176" s="192" t="s">
        <v>35</v>
      </c>
      <c r="E1176" s="192" t="s">
        <v>1233</v>
      </c>
      <c r="F1176" s="193">
        <v>1</v>
      </c>
      <c r="G1176" s="148">
        <v>350000</v>
      </c>
    </row>
    <row r="1177" spans="1:7" x14ac:dyDescent="0.25">
      <c r="A1177" s="147">
        <v>1172</v>
      </c>
      <c r="B1177" s="145">
        <v>45603</v>
      </c>
      <c r="C1177" s="191">
        <v>2024</v>
      </c>
      <c r="D1177" s="192" t="s">
        <v>35</v>
      </c>
      <c r="E1177" s="192" t="s">
        <v>1234</v>
      </c>
      <c r="F1177" s="193">
        <v>1</v>
      </c>
      <c r="G1177" s="148">
        <v>160000</v>
      </c>
    </row>
    <row r="1178" spans="1:7" x14ac:dyDescent="0.25">
      <c r="A1178" s="147">
        <v>1173</v>
      </c>
      <c r="B1178" s="145">
        <v>45603</v>
      </c>
      <c r="C1178" s="191">
        <v>2024</v>
      </c>
      <c r="D1178" s="192" t="s">
        <v>35</v>
      </c>
      <c r="E1178" s="192" t="s">
        <v>1235</v>
      </c>
      <c r="F1178" s="193">
        <v>1</v>
      </c>
      <c r="G1178" s="148">
        <v>30000</v>
      </c>
    </row>
    <row r="1179" spans="1:7" x14ac:dyDescent="0.25">
      <c r="A1179" s="147">
        <v>1174</v>
      </c>
      <c r="B1179" s="145">
        <v>45604</v>
      </c>
      <c r="C1179" s="191">
        <v>2024</v>
      </c>
      <c r="D1179" s="192" t="s">
        <v>35</v>
      </c>
      <c r="E1179" s="192" t="s">
        <v>1236</v>
      </c>
      <c r="F1179" s="193">
        <v>1</v>
      </c>
      <c r="G1179" s="148">
        <v>19900</v>
      </c>
    </row>
    <row r="1180" spans="1:7" x14ac:dyDescent="0.25">
      <c r="A1180" s="147">
        <v>1175</v>
      </c>
      <c r="B1180" s="145">
        <v>45604</v>
      </c>
      <c r="C1180" s="191">
        <v>2024</v>
      </c>
      <c r="D1180" s="192" t="s">
        <v>35</v>
      </c>
      <c r="E1180" s="192" t="s">
        <v>1208</v>
      </c>
      <c r="F1180" s="193">
        <v>20</v>
      </c>
      <c r="G1180" s="148">
        <v>100000</v>
      </c>
    </row>
    <row r="1181" spans="1:7" x14ac:dyDescent="0.25">
      <c r="A1181" s="147">
        <v>1176</v>
      </c>
      <c r="B1181" s="145">
        <v>45604</v>
      </c>
      <c r="C1181" s="191">
        <v>2024</v>
      </c>
      <c r="D1181" s="192" t="s">
        <v>35</v>
      </c>
      <c r="E1181" s="192" t="s">
        <v>794</v>
      </c>
      <c r="F1181" s="193">
        <v>1</v>
      </c>
      <c r="G1181" s="148">
        <v>166500</v>
      </c>
    </row>
    <row r="1182" spans="1:7" x14ac:dyDescent="0.25">
      <c r="A1182" s="147">
        <v>1177</v>
      </c>
      <c r="B1182" s="145">
        <v>45604</v>
      </c>
      <c r="C1182" s="191">
        <v>2024</v>
      </c>
      <c r="D1182" s="192" t="s">
        <v>35</v>
      </c>
      <c r="E1182" s="192" t="s">
        <v>794</v>
      </c>
      <c r="F1182" s="193">
        <v>1</v>
      </c>
      <c r="G1182" s="148">
        <v>166500</v>
      </c>
    </row>
    <row r="1183" spans="1:7" x14ac:dyDescent="0.25">
      <c r="A1183" s="147">
        <v>1178</v>
      </c>
      <c r="B1183" s="145">
        <v>45604</v>
      </c>
      <c r="C1183" s="191">
        <v>2024</v>
      </c>
      <c r="D1183" s="192" t="s">
        <v>35</v>
      </c>
      <c r="E1183" s="192" t="s">
        <v>794</v>
      </c>
      <c r="F1183" s="193">
        <v>1</v>
      </c>
      <c r="G1183" s="148">
        <v>166500</v>
      </c>
    </row>
    <row r="1184" spans="1:7" x14ac:dyDescent="0.25">
      <c r="A1184" s="147">
        <v>1179</v>
      </c>
      <c r="B1184" s="145">
        <v>45604</v>
      </c>
      <c r="C1184" s="191">
        <v>2024</v>
      </c>
      <c r="D1184" s="192" t="s">
        <v>35</v>
      </c>
      <c r="E1184" s="192" t="s">
        <v>794</v>
      </c>
      <c r="F1184" s="193">
        <v>1</v>
      </c>
      <c r="G1184" s="148">
        <v>166500</v>
      </c>
    </row>
    <row r="1185" spans="1:7" x14ac:dyDescent="0.25">
      <c r="A1185" s="147">
        <v>1180</v>
      </c>
      <c r="B1185" s="145">
        <v>45604</v>
      </c>
      <c r="C1185" s="191">
        <v>2024</v>
      </c>
      <c r="D1185" s="192" t="s">
        <v>35</v>
      </c>
      <c r="E1185" s="192" t="s">
        <v>794</v>
      </c>
      <c r="F1185" s="193">
        <v>1</v>
      </c>
      <c r="G1185" s="148">
        <v>166500</v>
      </c>
    </row>
    <row r="1186" spans="1:7" x14ac:dyDescent="0.25">
      <c r="A1186" s="147">
        <v>1181</v>
      </c>
      <c r="B1186" s="145">
        <v>45605</v>
      </c>
      <c r="C1186" s="191">
        <v>2024</v>
      </c>
      <c r="D1186" s="192" t="s">
        <v>35</v>
      </c>
      <c r="E1186" s="192" t="s">
        <v>1237</v>
      </c>
      <c r="F1186" s="193">
        <v>1</v>
      </c>
      <c r="G1186" s="148">
        <v>60000</v>
      </c>
    </row>
    <row r="1187" spans="1:7" x14ac:dyDescent="0.25">
      <c r="A1187" s="147">
        <v>1182</v>
      </c>
      <c r="B1187" s="145">
        <v>45605</v>
      </c>
      <c r="C1187" s="191">
        <v>2024</v>
      </c>
      <c r="D1187" s="192" t="s">
        <v>35</v>
      </c>
      <c r="E1187" s="192" t="s">
        <v>1238</v>
      </c>
      <c r="F1187" s="193">
        <v>1</v>
      </c>
      <c r="G1187" s="148">
        <v>60000</v>
      </c>
    </row>
    <row r="1188" spans="1:7" x14ac:dyDescent="0.25">
      <c r="A1188" s="147">
        <v>1183</v>
      </c>
      <c r="B1188" s="145">
        <v>45605</v>
      </c>
      <c r="C1188" s="191">
        <v>2024</v>
      </c>
      <c r="D1188" s="192" t="s">
        <v>35</v>
      </c>
      <c r="E1188" s="192" t="s">
        <v>1237</v>
      </c>
      <c r="F1188" s="193">
        <v>1</v>
      </c>
      <c r="G1188" s="148">
        <v>65000</v>
      </c>
    </row>
    <row r="1189" spans="1:7" x14ac:dyDescent="0.25">
      <c r="A1189" s="147">
        <v>1184</v>
      </c>
      <c r="B1189" s="145">
        <v>45605</v>
      </c>
      <c r="C1189" s="191">
        <v>2024</v>
      </c>
      <c r="D1189" s="192" t="s">
        <v>35</v>
      </c>
      <c r="E1189" s="192" t="s">
        <v>1239</v>
      </c>
      <c r="F1189" s="193">
        <v>1</v>
      </c>
      <c r="G1189" s="148">
        <v>12000</v>
      </c>
    </row>
    <row r="1190" spans="1:7" x14ac:dyDescent="0.25">
      <c r="A1190" s="147">
        <v>1185</v>
      </c>
      <c r="B1190" s="145">
        <v>45605</v>
      </c>
      <c r="C1190" s="191">
        <v>2024</v>
      </c>
      <c r="D1190" s="192" t="s">
        <v>35</v>
      </c>
      <c r="E1190" s="192" t="s">
        <v>1237</v>
      </c>
      <c r="F1190" s="193">
        <v>1</v>
      </c>
      <c r="G1190" s="148">
        <v>60000</v>
      </c>
    </row>
    <row r="1191" spans="1:7" x14ac:dyDescent="0.25">
      <c r="A1191" s="147">
        <v>1186</v>
      </c>
      <c r="B1191" s="145">
        <v>45605</v>
      </c>
      <c r="C1191" s="191">
        <v>2024</v>
      </c>
      <c r="D1191" s="192" t="s">
        <v>35</v>
      </c>
      <c r="E1191" s="192" t="s">
        <v>1237</v>
      </c>
      <c r="F1191" s="193">
        <v>1</v>
      </c>
      <c r="G1191" s="148">
        <v>65000</v>
      </c>
    </row>
    <row r="1192" spans="1:7" x14ac:dyDescent="0.25">
      <c r="A1192" s="147">
        <v>1187</v>
      </c>
      <c r="B1192" s="145">
        <v>45605</v>
      </c>
      <c r="C1192" s="191">
        <v>2024</v>
      </c>
      <c r="D1192" s="192" t="s">
        <v>35</v>
      </c>
      <c r="E1192" s="192" t="s">
        <v>872</v>
      </c>
      <c r="F1192" s="193">
        <v>1</v>
      </c>
      <c r="G1192" s="148">
        <v>80000</v>
      </c>
    </row>
    <row r="1193" spans="1:7" x14ac:dyDescent="0.25">
      <c r="A1193" s="147">
        <v>1188</v>
      </c>
      <c r="B1193" s="145">
        <v>45605</v>
      </c>
      <c r="C1193" s="191">
        <v>2024</v>
      </c>
      <c r="D1193" s="192" t="s">
        <v>35</v>
      </c>
      <c r="E1193" s="192" t="s">
        <v>1240</v>
      </c>
      <c r="F1193" s="193">
        <v>1</v>
      </c>
      <c r="G1193" s="148">
        <v>30000</v>
      </c>
    </row>
    <row r="1194" spans="1:7" x14ac:dyDescent="0.25">
      <c r="A1194" s="147">
        <v>1189</v>
      </c>
      <c r="B1194" s="145">
        <v>45605</v>
      </c>
      <c r="C1194" s="191">
        <v>2024</v>
      </c>
      <c r="D1194" s="192" t="s">
        <v>35</v>
      </c>
      <c r="E1194" s="119" t="s">
        <v>1695</v>
      </c>
      <c r="F1194" s="193">
        <v>1</v>
      </c>
      <c r="G1194" s="148">
        <v>1815000</v>
      </c>
    </row>
    <row r="1195" spans="1:7" x14ac:dyDescent="0.25">
      <c r="A1195" s="147">
        <v>1190</v>
      </c>
      <c r="B1195" s="145">
        <v>45607</v>
      </c>
      <c r="C1195" s="191">
        <v>2024</v>
      </c>
      <c r="D1195" s="192" t="s">
        <v>35</v>
      </c>
      <c r="E1195" s="192" t="s">
        <v>1241</v>
      </c>
      <c r="F1195" s="193">
        <v>1</v>
      </c>
      <c r="G1195" s="148">
        <v>5790000</v>
      </c>
    </row>
    <row r="1196" spans="1:7" x14ac:dyDescent="0.25">
      <c r="A1196" s="147">
        <v>1191</v>
      </c>
      <c r="B1196" s="145">
        <v>45607</v>
      </c>
      <c r="C1196" s="191">
        <v>2024</v>
      </c>
      <c r="D1196" s="192" t="s">
        <v>35</v>
      </c>
      <c r="E1196" s="192" t="s">
        <v>1243</v>
      </c>
      <c r="F1196" s="193">
        <v>1</v>
      </c>
      <c r="G1196" s="148">
        <v>16500</v>
      </c>
    </row>
    <row r="1197" spans="1:7" x14ac:dyDescent="0.25">
      <c r="A1197" s="147">
        <v>1192</v>
      </c>
      <c r="B1197" s="145">
        <v>45607</v>
      </c>
      <c r="C1197" s="191">
        <v>2024</v>
      </c>
      <c r="D1197" s="192" t="s">
        <v>35</v>
      </c>
      <c r="E1197" s="192" t="s">
        <v>761</v>
      </c>
      <c r="F1197" s="193">
        <v>4</v>
      </c>
      <c r="G1197" s="148">
        <v>9000000</v>
      </c>
    </row>
    <row r="1198" spans="1:7" x14ac:dyDescent="0.25">
      <c r="A1198" s="147">
        <v>1193</v>
      </c>
      <c r="B1198" s="145">
        <v>45607</v>
      </c>
      <c r="C1198" s="191">
        <v>2024</v>
      </c>
      <c r="D1198" s="192" t="s">
        <v>35</v>
      </c>
      <c r="E1198" s="192" t="s">
        <v>1244</v>
      </c>
      <c r="F1198" s="193">
        <v>1</v>
      </c>
      <c r="G1198" s="148">
        <v>13635</v>
      </c>
    </row>
    <row r="1199" spans="1:7" x14ac:dyDescent="0.25">
      <c r="A1199" s="147">
        <v>1194</v>
      </c>
      <c r="B1199" s="145">
        <v>45607</v>
      </c>
      <c r="C1199" s="191">
        <v>2024</v>
      </c>
      <c r="D1199" s="192" t="s">
        <v>35</v>
      </c>
      <c r="E1199" s="192" t="s">
        <v>1245</v>
      </c>
      <c r="F1199" s="193">
        <v>1</v>
      </c>
      <c r="G1199" s="148">
        <v>16450</v>
      </c>
    </row>
    <row r="1200" spans="1:7" x14ac:dyDescent="0.25">
      <c r="A1200" s="147">
        <v>1195</v>
      </c>
      <c r="B1200" s="145">
        <v>45608</v>
      </c>
      <c r="C1200" s="191">
        <v>2024</v>
      </c>
      <c r="D1200" s="192" t="s">
        <v>35</v>
      </c>
      <c r="E1200" s="192" t="s">
        <v>230</v>
      </c>
      <c r="F1200" s="193">
        <v>1</v>
      </c>
      <c r="G1200" s="148">
        <v>70000</v>
      </c>
    </row>
    <row r="1201" spans="1:7" x14ac:dyDescent="0.25">
      <c r="A1201" s="147">
        <v>1196</v>
      </c>
      <c r="B1201" s="145">
        <v>45608</v>
      </c>
      <c r="C1201" s="191">
        <v>2024</v>
      </c>
      <c r="D1201" s="192" t="s">
        <v>35</v>
      </c>
      <c r="E1201" s="192" t="s">
        <v>211</v>
      </c>
      <c r="F1201" s="193">
        <v>6</v>
      </c>
      <c r="G1201" s="148">
        <v>126000</v>
      </c>
    </row>
    <row r="1202" spans="1:7" x14ac:dyDescent="0.25">
      <c r="A1202" s="147">
        <v>1197</v>
      </c>
      <c r="B1202" s="145">
        <v>45608</v>
      </c>
      <c r="C1202" s="191">
        <v>2024</v>
      </c>
      <c r="D1202" s="192" t="s">
        <v>35</v>
      </c>
      <c r="E1202" s="192" t="s">
        <v>211</v>
      </c>
      <c r="F1202" s="193">
        <v>5</v>
      </c>
      <c r="G1202" s="148">
        <v>97500</v>
      </c>
    </row>
    <row r="1203" spans="1:7" x14ac:dyDescent="0.25">
      <c r="A1203" s="147">
        <v>1198</v>
      </c>
      <c r="B1203" s="145">
        <v>45608</v>
      </c>
      <c r="C1203" s="191">
        <v>2024</v>
      </c>
      <c r="D1203" s="192" t="s">
        <v>35</v>
      </c>
      <c r="E1203" s="192" t="s">
        <v>211</v>
      </c>
      <c r="F1203" s="193">
        <v>1</v>
      </c>
      <c r="G1203" s="148">
        <v>19500</v>
      </c>
    </row>
    <row r="1204" spans="1:7" x14ac:dyDescent="0.25">
      <c r="A1204" s="147">
        <v>1199</v>
      </c>
      <c r="B1204" s="145">
        <v>45608</v>
      </c>
      <c r="C1204" s="191">
        <v>2024</v>
      </c>
      <c r="D1204" s="192" t="s">
        <v>35</v>
      </c>
      <c r="E1204" s="192" t="s">
        <v>1246</v>
      </c>
      <c r="F1204" s="193">
        <v>1</v>
      </c>
      <c r="G1204" s="148">
        <v>60000</v>
      </c>
    </row>
    <row r="1205" spans="1:7" x14ac:dyDescent="0.25">
      <c r="A1205" s="147">
        <v>1200</v>
      </c>
      <c r="B1205" s="145">
        <v>45608</v>
      </c>
      <c r="C1205" s="191">
        <v>2024</v>
      </c>
      <c r="D1205" s="192" t="s">
        <v>35</v>
      </c>
      <c r="E1205" s="192" t="s">
        <v>115</v>
      </c>
      <c r="F1205" s="193">
        <v>2</v>
      </c>
      <c r="G1205" s="148">
        <v>160000</v>
      </c>
    </row>
    <row r="1206" spans="1:7" x14ac:dyDescent="0.25">
      <c r="A1206" s="147">
        <v>1201</v>
      </c>
      <c r="B1206" s="145">
        <v>45608</v>
      </c>
      <c r="C1206" s="191">
        <v>2024</v>
      </c>
      <c r="D1206" s="192" t="s">
        <v>35</v>
      </c>
      <c r="E1206" s="192" t="s">
        <v>1190</v>
      </c>
      <c r="F1206" s="193">
        <v>1</v>
      </c>
      <c r="G1206" s="148">
        <v>795870</v>
      </c>
    </row>
    <row r="1207" spans="1:7" x14ac:dyDescent="0.25">
      <c r="A1207" s="147">
        <v>1202</v>
      </c>
      <c r="B1207" s="145">
        <v>45609</v>
      </c>
      <c r="C1207" s="191">
        <v>2024</v>
      </c>
      <c r="D1207" s="192" t="s">
        <v>35</v>
      </c>
      <c r="E1207" s="192" t="s">
        <v>1250</v>
      </c>
      <c r="F1207" s="193">
        <v>1</v>
      </c>
      <c r="G1207" s="148">
        <v>3100000</v>
      </c>
    </row>
    <row r="1208" spans="1:7" x14ac:dyDescent="0.25">
      <c r="A1208" s="147">
        <v>1203</v>
      </c>
      <c r="B1208" s="145">
        <v>45609</v>
      </c>
      <c r="C1208" s="191">
        <v>2024</v>
      </c>
      <c r="D1208" s="192" t="s">
        <v>35</v>
      </c>
      <c r="E1208" s="192" t="s">
        <v>1250</v>
      </c>
      <c r="F1208" s="193">
        <v>1</v>
      </c>
      <c r="G1208" s="148">
        <v>3100000</v>
      </c>
    </row>
    <row r="1209" spans="1:7" x14ac:dyDescent="0.25">
      <c r="A1209" s="147">
        <v>1204</v>
      </c>
      <c r="B1209" s="145">
        <v>45609</v>
      </c>
      <c r="C1209" s="191">
        <v>2024</v>
      </c>
      <c r="D1209" s="192" t="s">
        <v>35</v>
      </c>
      <c r="E1209" s="192" t="s">
        <v>1250</v>
      </c>
      <c r="F1209" s="193">
        <v>1</v>
      </c>
      <c r="G1209" s="148">
        <v>3100000</v>
      </c>
    </row>
    <row r="1210" spans="1:7" x14ac:dyDescent="0.25">
      <c r="A1210" s="147">
        <v>1205</v>
      </c>
      <c r="B1210" s="145">
        <v>45609</v>
      </c>
      <c r="C1210" s="191">
        <v>2024</v>
      </c>
      <c r="D1210" s="192" t="s">
        <v>35</v>
      </c>
      <c r="E1210" s="192" t="s">
        <v>1250</v>
      </c>
      <c r="F1210" s="193">
        <v>1</v>
      </c>
      <c r="G1210" s="148">
        <v>9000000</v>
      </c>
    </row>
    <row r="1211" spans="1:7" x14ac:dyDescent="0.25">
      <c r="A1211" s="147">
        <v>1206</v>
      </c>
      <c r="B1211" s="145">
        <v>45609</v>
      </c>
      <c r="C1211" s="191">
        <v>2024</v>
      </c>
      <c r="D1211" s="192" t="s">
        <v>35</v>
      </c>
      <c r="E1211" s="192" t="s">
        <v>1250</v>
      </c>
      <c r="F1211" s="193">
        <v>1</v>
      </c>
      <c r="G1211" s="148">
        <v>3100000</v>
      </c>
    </row>
    <row r="1212" spans="1:7" x14ac:dyDescent="0.25">
      <c r="A1212" s="147">
        <v>1207</v>
      </c>
      <c r="B1212" s="145">
        <v>45609</v>
      </c>
      <c r="C1212" s="191">
        <v>2024</v>
      </c>
      <c r="D1212" s="192" t="s">
        <v>35</v>
      </c>
      <c r="E1212" s="192" t="s">
        <v>1250</v>
      </c>
      <c r="F1212" s="193">
        <v>1</v>
      </c>
      <c r="G1212" s="148">
        <v>9000000</v>
      </c>
    </row>
    <row r="1213" spans="1:7" x14ac:dyDescent="0.25">
      <c r="A1213" s="147">
        <v>1208</v>
      </c>
      <c r="B1213" s="145">
        <v>45609</v>
      </c>
      <c r="C1213" s="191">
        <v>2024</v>
      </c>
      <c r="D1213" s="192" t="s">
        <v>35</v>
      </c>
      <c r="E1213" s="192" t="s">
        <v>1153</v>
      </c>
      <c r="F1213" s="193">
        <v>1</v>
      </c>
      <c r="G1213" s="148">
        <v>470000</v>
      </c>
    </row>
    <row r="1214" spans="1:7" x14ac:dyDescent="0.25">
      <c r="A1214" s="147">
        <v>1209</v>
      </c>
      <c r="B1214" s="145">
        <v>45609</v>
      </c>
      <c r="C1214" s="191">
        <v>2024</v>
      </c>
      <c r="D1214" s="192" t="s">
        <v>35</v>
      </c>
      <c r="E1214" s="192" t="s">
        <v>1153</v>
      </c>
      <c r="F1214" s="193">
        <v>1</v>
      </c>
      <c r="G1214" s="148">
        <v>470000</v>
      </c>
    </row>
    <row r="1215" spans="1:7" x14ac:dyDescent="0.25">
      <c r="A1215" s="147">
        <v>1210</v>
      </c>
      <c r="B1215" s="145">
        <v>45609</v>
      </c>
      <c r="C1215" s="191">
        <v>2024</v>
      </c>
      <c r="D1215" s="192" t="s">
        <v>35</v>
      </c>
      <c r="E1215" s="192" t="s">
        <v>1153</v>
      </c>
      <c r="F1215" s="193">
        <v>1</v>
      </c>
      <c r="G1215" s="148">
        <v>612000</v>
      </c>
    </row>
    <row r="1216" spans="1:7" x14ac:dyDescent="0.25">
      <c r="A1216" s="147">
        <v>1211</v>
      </c>
      <c r="B1216" s="145">
        <v>45609</v>
      </c>
      <c r="C1216" s="191">
        <v>2024</v>
      </c>
      <c r="D1216" s="192" t="s">
        <v>35</v>
      </c>
      <c r="E1216" s="192" t="s">
        <v>1153</v>
      </c>
      <c r="F1216" s="193">
        <v>1</v>
      </c>
      <c r="G1216" s="148">
        <v>612000</v>
      </c>
    </row>
    <row r="1217" spans="1:7" x14ac:dyDescent="0.25">
      <c r="A1217" s="147">
        <v>1212</v>
      </c>
      <c r="B1217" s="145">
        <v>45609</v>
      </c>
      <c r="C1217" s="191">
        <v>2024</v>
      </c>
      <c r="D1217" s="192" t="s">
        <v>35</v>
      </c>
      <c r="E1217" s="192" t="s">
        <v>1153</v>
      </c>
      <c r="F1217" s="193">
        <v>1</v>
      </c>
      <c r="G1217" s="148">
        <v>470000</v>
      </c>
    </row>
    <row r="1218" spans="1:7" x14ac:dyDescent="0.25">
      <c r="A1218" s="147">
        <v>1213</v>
      </c>
      <c r="B1218" s="145">
        <v>45609</v>
      </c>
      <c r="C1218" s="191">
        <v>2024</v>
      </c>
      <c r="D1218" s="192" t="s">
        <v>35</v>
      </c>
      <c r="E1218" s="192" t="s">
        <v>1251</v>
      </c>
      <c r="F1218" s="193">
        <v>1</v>
      </c>
      <c r="G1218" s="148">
        <v>612000</v>
      </c>
    </row>
    <row r="1219" spans="1:7" x14ac:dyDescent="0.25">
      <c r="A1219" s="147">
        <v>1214</v>
      </c>
      <c r="B1219" s="145">
        <v>45609</v>
      </c>
      <c r="C1219" s="191">
        <v>2024</v>
      </c>
      <c r="D1219" s="192" t="s">
        <v>35</v>
      </c>
      <c r="E1219" s="192" t="s">
        <v>1251</v>
      </c>
      <c r="F1219" s="193">
        <v>1</v>
      </c>
      <c r="G1219" s="148">
        <v>612000</v>
      </c>
    </row>
    <row r="1220" spans="1:7" x14ac:dyDescent="0.25">
      <c r="A1220" s="147">
        <v>1215</v>
      </c>
      <c r="B1220" s="145">
        <v>45609</v>
      </c>
      <c r="C1220" s="191">
        <v>2024</v>
      </c>
      <c r="D1220" s="192" t="s">
        <v>35</v>
      </c>
      <c r="E1220" s="192" t="s">
        <v>1153</v>
      </c>
      <c r="F1220" s="193">
        <v>1</v>
      </c>
      <c r="G1220" s="148">
        <v>470000</v>
      </c>
    </row>
    <row r="1221" spans="1:7" x14ac:dyDescent="0.25">
      <c r="A1221" s="147">
        <v>1216</v>
      </c>
      <c r="B1221" s="145">
        <v>45609</v>
      </c>
      <c r="C1221" s="191">
        <v>2024</v>
      </c>
      <c r="D1221" s="192" t="s">
        <v>35</v>
      </c>
      <c r="E1221" s="192" t="s">
        <v>1251</v>
      </c>
      <c r="F1221" s="193">
        <v>1</v>
      </c>
      <c r="G1221" s="148">
        <v>612000</v>
      </c>
    </row>
    <row r="1222" spans="1:7" x14ac:dyDescent="0.25">
      <c r="A1222" s="147">
        <v>1217</v>
      </c>
      <c r="B1222" s="145">
        <v>45609</v>
      </c>
      <c r="C1222" s="191">
        <v>2024</v>
      </c>
      <c r="D1222" s="192" t="s">
        <v>35</v>
      </c>
      <c r="E1222" s="192" t="s">
        <v>1153</v>
      </c>
      <c r="F1222" s="193">
        <v>1</v>
      </c>
      <c r="G1222" s="148">
        <v>470000</v>
      </c>
    </row>
    <row r="1223" spans="1:7" x14ac:dyDescent="0.25">
      <c r="A1223" s="147">
        <v>1218</v>
      </c>
      <c r="B1223" s="145">
        <v>45609</v>
      </c>
      <c r="C1223" s="191">
        <v>2024</v>
      </c>
      <c r="D1223" s="192" t="s">
        <v>35</v>
      </c>
      <c r="E1223" s="192" t="s">
        <v>827</v>
      </c>
      <c r="F1223" s="193">
        <v>1</v>
      </c>
      <c r="G1223" s="148">
        <v>280000</v>
      </c>
    </row>
    <row r="1224" spans="1:7" x14ac:dyDescent="0.25">
      <c r="A1224" s="147">
        <v>1219</v>
      </c>
      <c r="B1224" s="145">
        <v>45609</v>
      </c>
      <c r="C1224" s="191">
        <v>2024</v>
      </c>
      <c r="D1224" s="192" t="s">
        <v>35</v>
      </c>
      <c r="E1224" s="192" t="s">
        <v>823</v>
      </c>
      <c r="F1224" s="193">
        <v>1</v>
      </c>
      <c r="G1224" s="148">
        <v>65000</v>
      </c>
    </row>
    <row r="1225" spans="1:7" x14ac:dyDescent="0.25">
      <c r="A1225" s="147">
        <v>1220</v>
      </c>
      <c r="B1225" s="145">
        <v>45609</v>
      </c>
      <c r="C1225" s="191">
        <v>2024</v>
      </c>
      <c r="D1225" s="192" t="s">
        <v>35</v>
      </c>
      <c r="E1225" s="192" t="s">
        <v>827</v>
      </c>
      <c r="F1225" s="193">
        <v>1</v>
      </c>
      <c r="G1225" s="148">
        <v>145000</v>
      </c>
    </row>
    <row r="1226" spans="1:7" x14ac:dyDescent="0.25">
      <c r="A1226" s="147">
        <v>1221</v>
      </c>
      <c r="B1226" s="145">
        <v>45609</v>
      </c>
      <c r="C1226" s="191">
        <v>2024</v>
      </c>
      <c r="D1226" s="192" t="s">
        <v>35</v>
      </c>
      <c r="E1226" s="192" t="s">
        <v>827</v>
      </c>
      <c r="F1226" s="193">
        <v>1</v>
      </c>
      <c r="G1226" s="148">
        <v>140000</v>
      </c>
    </row>
    <row r="1227" spans="1:7" x14ac:dyDescent="0.25">
      <c r="A1227" s="147">
        <v>1222</v>
      </c>
      <c r="B1227" s="145">
        <v>45609</v>
      </c>
      <c r="C1227" s="191">
        <v>2024</v>
      </c>
      <c r="D1227" s="192" t="s">
        <v>35</v>
      </c>
      <c r="E1227" s="192" t="s">
        <v>823</v>
      </c>
      <c r="F1227" s="193">
        <v>1</v>
      </c>
      <c r="G1227" s="148">
        <v>65000</v>
      </c>
    </row>
    <row r="1228" spans="1:7" x14ac:dyDescent="0.25">
      <c r="A1228" s="147">
        <v>1223</v>
      </c>
      <c r="B1228" s="145">
        <v>45609</v>
      </c>
      <c r="C1228" s="191">
        <v>2024</v>
      </c>
      <c r="D1228" s="192" t="s">
        <v>35</v>
      </c>
      <c r="E1228" s="192" t="s">
        <v>827</v>
      </c>
      <c r="F1228" s="193">
        <v>1</v>
      </c>
      <c r="G1228" s="148">
        <v>140000</v>
      </c>
    </row>
    <row r="1229" spans="1:7" x14ac:dyDescent="0.25">
      <c r="A1229" s="147">
        <v>1224</v>
      </c>
      <c r="B1229" s="145">
        <v>45609</v>
      </c>
      <c r="C1229" s="191">
        <v>2024</v>
      </c>
      <c r="D1229" s="192" t="s">
        <v>35</v>
      </c>
      <c r="E1229" s="192" t="s">
        <v>823</v>
      </c>
      <c r="F1229" s="193">
        <v>1</v>
      </c>
      <c r="G1229" s="148">
        <v>65000</v>
      </c>
    </row>
    <row r="1230" spans="1:7" x14ac:dyDescent="0.25">
      <c r="A1230" s="147">
        <v>1225</v>
      </c>
      <c r="B1230" s="145">
        <v>45609</v>
      </c>
      <c r="C1230" s="191">
        <v>2024</v>
      </c>
      <c r="D1230" s="192" t="s">
        <v>35</v>
      </c>
      <c r="E1230" s="192" t="s">
        <v>827</v>
      </c>
      <c r="F1230" s="193">
        <v>1</v>
      </c>
      <c r="G1230" s="148">
        <v>140000</v>
      </c>
    </row>
    <row r="1231" spans="1:7" x14ac:dyDescent="0.25">
      <c r="A1231" s="147">
        <v>1226</v>
      </c>
      <c r="B1231" s="145">
        <v>45609</v>
      </c>
      <c r="C1231" s="191">
        <v>2024</v>
      </c>
      <c r="D1231" s="192" t="s">
        <v>35</v>
      </c>
      <c r="E1231" s="192" t="s">
        <v>823</v>
      </c>
      <c r="F1231" s="193">
        <v>1</v>
      </c>
      <c r="G1231" s="148">
        <v>65000</v>
      </c>
    </row>
    <row r="1232" spans="1:7" x14ac:dyDescent="0.25">
      <c r="A1232" s="147">
        <v>1227</v>
      </c>
      <c r="B1232" s="145">
        <v>45609</v>
      </c>
      <c r="C1232" s="191">
        <v>2024</v>
      </c>
      <c r="D1232" s="192" t="s">
        <v>35</v>
      </c>
      <c r="E1232" s="192" t="s">
        <v>1252</v>
      </c>
      <c r="F1232" s="193">
        <v>1</v>
      </c>
      <c r="G1232" s="148">
        <v>210000</v>
      </c>
    </row>
    <row r="1233" spans="1:7" x14ac:dyDescent="0.25">
      <c r="A1233" s="147">
        <v>1228</v>
      </c>
      <c r="B1233" s="145">
        <v>45609</v>
      </c>
      <c r="C1233" s="191">
        <v>2024</v>
      </c>
      <c r="D1233" s="192" t="s">
        <v>35</v>
      </c>
      <c r="E1233" s="192" t="s">
        <v>823</v>
      </c>
      <c r="F1233" s="193">
        <v>1</v>
      </c>
      <c r="G1233" s="148">
        <v>65000</v>
      </c>
    </row>
    <row r="1234" spans="1:7" x14ac:dyDescent="0.25">
      <c r="A1234" s="147">
        <v>1229</v>
      </c>
      <c r="B1234" s="145">
        <v>45609</v>
      </c>
      <c r="C1234" s="191">
        <v>2024</v>
      </c>
      <c r="D1234" s="192" t="s">
        <v>35</v>
      </c>
      <c r="E1234" s="192" t="s">
        <v>827</v>
      </c>
      <c r="F1234" s="193">
        <v>1</v>
      </c>
      <c r="G1234" s="148">
        <v>140000</v>
      </c>
    </row>
    <row r="1235" spans="1:7" x14ac:dyDescent="0.25">
      <c r="A1235" s="147">
        <v>1230</v>
      </c>
      <c r="B1235" s="145">
        <v>45609</v>
      </c>
      <c r="C1235" s="191">
        <v>2024</v>
      </c>
      <c r="D1235" s="192" t="s">
        <v>35</v>
      </c>
      <c r="E1235" s="192" t="s">
        <v>823</v>
      </c>
      <c r="F1235" s="193">
        <v>1</v>
      </c>
      <c r="G1235" s="148">
        <v>65000</v>
      </c>
    </row>
    <row r="1236" spans="1:7" x14ac:dyDescent="0.25">
      <c r="A1236" s="147">
        <v>1231</v>
      </c>
      <c r="B1236" s="145">
        <v>45609</v>
      </c>
      <c r="C1236" s="191">
        <v>2024</v>
      </c>
      <c r="D1236" s="192" t="s">
        <v>35</v>
      </c>
      <c r="E1236" s="192" t="s">
        <v>1252</v>
      </c>
      <c r="F1236" s="193">
        <v>1</v>
      </c>
      <c r="G1236" s="148">
        <v>140000</v>
      </c>
    </row>
    <row r="1237" spans="1:7" x14ac:dyDescent="0.25">
      <c r="A1237" s="147">
        <v>1232</v>
      </c>
      <c r="B1237" s="145">
        <v>45609</v>
      </c>
      <c r="C1237" s="191">
        <v>2024</v>
      </c>
      <c r="D1237" s="192" t="s">
        <v>35</v>
      </c>
      <c r="E1237" s="192" t="s">
        <v>823</v>
      </c>
      <c r="F1237" s="193">
        <v>1</v>
      </c>
      <c r="G1237" s="148">
        <v>65000</v>
      </c>
    </row>
    <row r="1238" spans="1:7" x14ac:dyDescent="0.25">
      <c r="A1238" s="147">
        <v>1233</v>
      </c>
      <c r="B1238" s="145">
        <v>45609</v>
      </c>
      <c r="C1238" s="191">
        <v>2024</v>
      </c>
      <c r="D1238" s="192" t="s">
        <v>35</v>
      </c>
      <c r="E1238" s="192" t="s">
        <v>827</v>
      </c>
      <c r="F1238" s="193">
        <v>1</v>
      </c>
      <c r="G1238" s="148">
        <v>280000</v>
      </c>
    </row>
    <row r="1239" spans="1:7" x14ac:dyDescent="0.25">
      <c r="A1239" s="147">
        <v>1234</v>
      </c>
      <c r="B1239" s="145">
        <v>45609</v>
      </c>
      <c r="C1239" s="191">
        <v>2024</v>
      </c>
      <c r="D1239" s="192" t="s">
        <v>35</v>
      </c>
      <c r="E1239" s="192" t="s">
        <v>823</v>
      </c>
      <c r="F1239" s="193">
        <v>1</v>
      </c>
      <c r="G1239" s="148">
        <v>65000</v>
      </c>
    </row>
    <row r="1240" spans="1:7" x14ac:dyDescent="0.25">
      <c r="A1240" s="147">
        <v>1235</v>
      </c>
      <c r="B1240" s="145">
        <v>45609</v>
      </c>
      <c r="C1240" s="191">
        <v>2024</v>
      </c>
      <c r="D1240" s="192" t="s">
        <v>35</v>
      </c>
      <c r="E1240" s="192" t="s">
        <v>823</v>
      </c>
      <c r="F1240" s="193">
        <v>1</v>
      </c>
      <c r="G1240" s="148">
        <v>65000</v>
      </c>
    </row>
    <row r="1241" spans="1:7" x14ac:dyDescent="0.25">
      <c r="A1241" s="147">
        <v>1236</v>
      </c>
      <c r="B1241" s="145">
        <v>45609</v>
      </c>
      <c r="C1241" s="191">
        <v>2024</v>
      </c>
      <c r="D1241" s="192" t="s">
        <v>35</v>
      </c>
      <c r="E1241" s="192" t="s">
        <v>1252</v>
      </c>
      <c r="F1241" s="193">
        <v>1</v>
      </c>
      <c r="G1241" s="148">
        <v>140000</v>
      </c>
    </row>
    <row r="1242" spans="1:7" x14ac:dyDescent="0.25">
      <c r="A1242" s="147">
        <v>1237</v>
      </c>
      <c r="B1242" s="145">
        <v>45609</v>
      </c>
      <c r="C1242" s="191">
        <v>2024</v>
      </c>
      <c r="D1242" s="192" t="s">
        <v>35</v>
      </c>
      <c r="E1242" s="192" t="s">
        <v>823</v>
      </c>
      <c r="F1242" s="193">
        <v>1</v>
      </c>
      <c r="G1242" s="148">
        <v>65000</v>
      </c>
    </row>
    <row r="1243" spans="1:7" x14ac:dyDescent="0.25">
      <c r="A1243" s="147">
        <v>1238</v>
      </c>
      <c r="B1243" s="145">
        <v>45609</v>
      </c>
      <c r="C1243" s="191">
        <v>2024</v>
      </c>
      <c r="D1243" s="192" t="s">
        <v>35</v>
      </c>
      <c r="E1243" s="192" t="s">
        <v>1252</v>
      </c>
      <c r="F1243" s="193">
        <v>1</v>
      </c>
      <c r="G1243" s="148">
        <v>140000</v>
      </c>
    </row>
    <row r="1244" spans="1:7" x14ac:dyDescent="0.25">
      <c r="A1244" s="147">
        <v>1239</v>
      </c>
      <c r="B1244" s="145">
        <v>45609</v>
      </c>
      <c r="C1244" s="191">
        <v>2024</v>
      </c>
      <c r="D1244" s="192" t="s">
        <v>35</v>
      </c>
      <c r="E1244" s="192" t="s">
        <v>823</v>
      </c>
      <c r="F1244" s="193">
        <v>1</v>
      </c>
      <c r="G1244" s="148">
        <v>35000</v>
      </c>
    </row>
    <row r="1245" spans="1:7" x14ac:dyDescent="0.25">
      <c r="A1245" s="147">
        <v>1240</v>
      </c>
      <c r="B1245" s="145">
        <v>45609</v>
      </c>
      <c r="C1245" s="191">
        <v>2024</v>
      </c>
      <c r="D1245" s="192" t="s">
        <v>35</v>
      </c>
      <c r="E1245" s="192" t="s">
        <v>823</v>
      </c>
      <c r="F1245" s="193">
        <v>1</v>
      </c>
      <c r="G1245" s="148">
        <v>35000</v>
      </c>
    </row>
    <row r="1246" spans="1:7" x14ac:dyDescent="0.25">
      <c r="A1246" s="147">
        <v>1241</v>
      </c>
      <c r="B1246" s="145">
        <v>45609</v>
      </c>
      <c r="C1246" s="191">
        <v>2024</v>
      </c>
      <c r="D1246" s="192" t="s">
        <v>35</v>
      </c>
      <c r="E1246" s="192" t="s">
        <v>1252</v>
      </c>
      <c r="F1246" s="193">
        <v>1</v>
      </c>
      <c r="G1246" s="148">
        <v>140000</v>
      </c>
    </row>
    <row r="1247" spans="1:7" x14ac:dyDescent="0.25">
      <c r="A1247" s="147">
        <v>1242</v>
      </c>
      <c r="B1247" s="145">
        <v>45609</v>
      </c>
      <c r="C1247" s="191">
        <v>2024</v>
      </c>
      <c r="D1247" s="192" t="s">
        <v>35</v>
      </c>
      <c r="E1247" s="192" t="s">
        <v>823</v>
      </c>
      <c r="F1247" s="193">
        <v>1</v>
      </c>
      <c r="G1247" s="148">
        <v>65000</v>
      </c>
    </row>
    <row r="1248" spans="1:7" x14ac:dyDescent="0.25">
      <c r="A1248" s="147">
        <v>1243</v>
      </c>
      <c r="B1248" s="145">
        <v>45610</v>
      </c>
      <c r="C1248" s="191">
        <v>2024</v>
      </c>
      <c r="D1248" s="192" t="s">
        <v>35</v>
      </c>
      <c r="E1248" s="192" t="s">
        <v>1253</v>
      </c>
      <c r="F1248" s="193">
        <v>1</v>
      </c>
      <c r="G1248" s="148">
        <v>430000</v>
      </c>
    </row>
    <row r="1249" spans="1:7" x14ac:dyDescent="0.25">
      <c r="A1249" s="147">
        <v>1244</v>
      </c>
      <c r="B1249" s="145">
        <v>45610</v>
      </c>
      <c r="C1249" s="191">
        <v>2024</v>
      </c>
      <c r="D1249" s="192" t="s">
        <v>35</v>
      </c>
      <c r="E1249" s="192" t="s">
        <v>1110</v>
      </c>
      <c r="F1249" s="193">
        <v>1</v>
      </c>
      <c r="G1249" s="148">
        <v>75000</v>
      </c>
    </row>
    <row r="1250" spans="1:7" x14ac:dyDescent="0.25">
      <c r="A1250" s="147">
        <v>1245</v>
      </c>
      <c r="B1250" s="145">
        <v>45610</v>
      </c>
      <c r="C1250" s="191">
        <v>2024</v>
      </c>
      <c r="D1250" s="192" t="s">
        <v>35</v>
      </c>
      <c r="E1250" s="192" t="s">
        <v>918</v>
      </c>
      <c r="F1250" s="193">
        <v>1</v>
      </c>
      <c r="G1250" s="148">
        <v>56000</v>
      </c>
    </row>
    <row r="1251" spans="1:7" x14ac:dyDescent="0.25">
      <c r="A1251" s="147">
        <v>1246</v>
      </c>
      <c r="B1251" s="145">
        <v>45610</v>
      </c>
      <c r="C1251" s="191">
        <v>2024</v>
      </c>
      <c r="D1251" s="192" t="s">
        <v>35</v>
      </c>
      <c r="E1251" s="192" t="s">
        <v>1253</v>
      </c>
      <c r="F1251" s="193">
        <v>1</v>
      </c>
      <c r="G1251" s="148">
        <v>430000</v>
      </c>
    </row>
    <row r="1252" spans="1:7" x14ac:dyDescent="0.25">
      <c r="A1252" s="147">
        <v>1247</v>
      </c>
      <c r="B1252" s="145">
        <v>45610</v>
      </c>
      <c r="C1252" s="191">
        <v>2024</v>
      </c>
      <c r="D1252" s="192" t="s">
        <v>35</v>
      </c>
      <c r="E1252" s="192" t="s">
        <v>1253</v>
      </c>
      <c r="F1252" s="193">
        <v>1</v>
      </c>
      <c r="G1252" s="148">
        <v>193000</v>
      </c>
    </row>
    <row r="1253" spans="1:7" x14ac:dyDescent="0.25">
      <c r="A1253" s="147">
        <v>1248</v>
      </c>
      <c r="B1253" s="145">
        <v>45610</v>
      </c>
      <c r="C1253" s="191">
        <v>2024</v>
      </c>
      <c r="D1253" s="192" t="s">
        <v>35</v>
      </c>
      <c r="E1253" s="192" t="s">
        <v>1062</v>
      </c>
      <c r="F1253" s="193">
        <v>1</v>
      </c>
      <c r="G1253" s="148">
        <v>227000</v>
      </c>
    </row>
    <row r="1254" spans="1:7" x14ac:dyDescent="0.25">
      <c r="A1254" s="147">
        <v>1249</v>
      </c>
      <c r="B1254" s="145">
        <v>45610</v>
      </c>
      <c r="C1254" s="191">
        <v>2024</v>
      </c>
      <c r="D1254" s="192" t="s">
        <v>35</v>
      </c>
      <c r="E1254" s="192" t="s">
        <v>1253</v>
      </c>
      <c r="F1254" s="193">
        <v>1</v>
      </c>
      <c r="G1254" s="148">
        <v>430000</v>
      </c>
    </row>
    <row r="1255" spans="1:7" x14ac:dyDescent="0.25">
      <c r="A1255" s="147">
        <v>1250</v>
      </c>
      <c r="B1255" s="145">
        <v>45610</v>
      </c>
      <c r="C1255" s="191">
        <v>2024</v>
      </c>
      <c r="D1255" s="192" t="s">
        <v>35</v>
      </c>
      <c r="E1255" s="192" t="s">
        <v>1110</v>
      </c>
      <c r="F1255" s="193">
        <v>1</v>
      </c>
      <c r="G1255" s="148">
        <v>75000</v>
      </c>
    </row>
    <row r="1256" spans="1:7" x14ac:dyDescent="0.25">
      <c r="A1256" s="147">
        <v>1251</v>
      </c>
      <c r="B1256" s="145">
        <v>45610</v>
      </c>
      <c r="C1256" s="191">
        <v>2024</v>
      </c>
      <c r="D1256" s="192" t="s">
        <v>35</v>
      </c>
      <c r="E1256" s="192" t="s">
        <v>1253</v>
      </c>
      <c r="F1256" s="193">
        <v>1</v>
      </c>
      <c r="G1256" s="148">
        <v>430000</v>
      </c>
    </row>
    <row r="1257" spans="1:7" x14ac:dyDescent="0.25">
      <c r="A1257" s="147">
        <v>1252</v>
      </c>
      <c r="B1257" s="145">
        <v>45610</v>
      </c>
      <c r="C1257" s="191">
        <v>2024</v>
      </c>
      <c r="D1257" s="192" t="s">
        <v>35</v>
      </c>
      <c r="E1257" s="192" t="s">
        <v>1253</v>
      </c>
      <c r="F1257" s="193">
        <v>1</v>
      </c>
      <c r="G1257" s="148">
        <v>193000</v>
      </c>
    </row>
    <row r="1258" spans="1:7" x14ac:dyDescent="0.25">
      <c r="A1258" s="147">
        <v>1253</v>
      </c>
      <c r="B1258" s="145">
        <v>45610</v>
      </c>
      <c r="C1258" s="191">
        <v>2024</v>
      </c>
      <c r="D1258" s="192" t="s">
        <v>35</v>
      </c>
      <c r="E1258" s="192" t="s">
        <v>1062</v>
      </c>
      <c r="F1258" s="193">
        <v>1</v>
      </c>
      <c r="G1258" s="148">
        <v>454000</v>
      </c>
    </row>
    <row r="1259" spans="1:7" x14ac:dyDescent="0.25">
      <c r="A1259" s="147">
        <v>1254</v>
      </c>
      <c r="B1259" s="145">
        <v>45610</v>
      </c>
      <c r="C1259" s="191">
        <v>2024</v>
      </c>
      <c r="D1259" s="192" t="s">
        <v>35</v>
      </c>
      <c r="E1259" s="192" t="s">
        <v>1110</v>
      </c>
      <c r="F1259" s="193">
        <v>1</v>
      </c>
      <c r="G1259" s="148">
        <v>75000</v>
      </c>
    </row>
    <row r="1260" spans="1:7" x14ac:dyDescent="0.25">
      <c r="A1260" s="147">
        <v>1255</v>
      </c>
      <c r="B1260" s="145">
        <v>45610</v>
      </c>
      <c r="C1260" s="191">
        <v>2024</v>
      </c>
      <c r="D1260" s="192" t="s">
        <v>35</v>
      </c>
      <c r="E1260" s="192" t="s">
        <v>1062</v>
      </c>
      <c r="F1260" s="193">
        <v>1</v>
      </c>
      <c r="G1260" s="148">
        <v>126500</v>
      </c>
    </row>
    <row r="1261" spans="1:7" x14ac:dyDescent="0.25">
      <c r="A1261" s="147">
        <v>1256</v>
      </c>
      <c r="B1261" s="145">
        <v>45610</v>
      </c>
      <c r="C1261" s="191">
        <v>2024</v>
      </c>
      <c r="D1261" s="192" t="s">
        <v>35</v>
      </c>
      <c r="E1261" s="192" t="s">
        <v>839</v>
      </c>
      <c r="F1261" s="193">
        <v>1</v>
      </c>
      <c r="G1261" s="148">
        <v>184000</v>
      </c>
    </row>
    <row r="1262" spans="1:7" x14ac:dyDescent="0.25">
      <c r="A1262" s="147">
        <v>1257</v>
      </c>
      <c r="B1262" s="145">
        <v>45610</v>
      </c>
      <c r="C1262" s="191">
        <v>2024</v>
      </c>
      <c r="D1262" s="192" t="s">
        <v>35</v>
      </c>
      <c r="E1262" s="192" t="s">
        <v>839</v>
      </c>
      <c r="F1262" s="193">
        <v>1</v>
      </c>
      <c r="G1262" s="148">
        <v>56000</v>
      </c>
    </row>
    <row r="1263" spans="1:7" x14ac:dyDescent="0.25">
      <c r="A1263" s="147">
        <v>1258</v>
      </c>
      <c r="B1263" s="145">
        <v>45610</v>
      </c>
      <c r="C1263" s="191">
        <v>2024</v>
      </c>
      <c r="D1263" s="192" t="s">
        <v>35</v>
      </c>
      <c r="E1263" s="192" t="s">
        <v>1253</v>
      </c>
      <c r="F1263" s="193">
        <v>1</v>
      </c>
      <c r="G1263" s="148">
        <v>430000</v>
      </c>
    </row>
    <row r="1264" spans="1:7" x14ac:dyDescent="0.25">
      <c r="A1264" s="147">
        <v>1259</v>
      </c>
      <c r="B1264" s="145">
        <v>45610</v>
      </c>
      <c r="C1264" s="191">
        <v>2024</v>
      </c>
      <c r="D1264" s="192" t="s">
        <v>35</v>
      </c>
      <c r="E1264" s="192" t="s">
        <v>1110</v>
      </c>
      <c r="F1264" s="193">
        <v>1</v>
      </c>
      <c r="G1264" s="148">
        <v>75000</v>
      </c>
    </row>
    <row r="1265" spans="1:7" x14ac:dyDescent="0.25">
      <c r="A1265" s="147">
        <v>1260</v>
      </c>
      <c r="B1265" s="145">
        <v>45610</v>
      </c>
      <c r="C1265" s="191">
        <v>2024</v>
      </c>
      <c r="D1265" s="192" t="s">
        <v>35</v>
      </c>
      <c r="E1265" s="192" t="s">
        <v>1253</v>
      </c>
      <c r="F1265" s="193">
        <v>1</v>
      </c>
      <c r="G1265" s="148">
        <v>126500</v>
      </c>
    </row>
    <row r="1266" spans="1:7" x14ac:dyDescent="0.25">
      <c r="A1266" s="147">
        <v>1261</v>
      </c>
      <c r="B1266" s="145">
        <v>45610</v>
      </c>
      <c r="C1266" s="191">
        <v>2024</v>
      </c>
      <c r="D1266" s="192" t="s">
        <v>35</v>
      </c>
      <c r="E1266" s="192" t="s">
        <v>839</v>
      </c>
      <c r="F1266" s="193">
        <v>1</v>
      </c>
      <c r="G1266" s="148">
        <v>184000</v>
      </c>
    </row>
    <row r="1267" spans="1:7" x14ac:dyDescent="0.25">
      <c r="A1267" s="147">
        <v>1262</v>
      </c>
      <c r="B1267" s="145">
        <v>45610</v>
      </c>
      <c r="C1267" s="191">
        <v>2024</v>
      </c>
      <c r="D1267" s="192" t="s">
        <v>35</v>
      </c>
      <c r="E1267" s="192" t="s">
        <v>918</v>
      </c>
      <c r="F1267" s="193">
        <v>1</v>
      </c>
      <c r="G1267" s="148">
        <v>144000</v>
      </c>
    </row>
    <row r="1268" spans="1:7" x14ac:dyDescent="0.25">
      <c r="A1268" s="147">
        <v>1263</v>
      </c>
      <c r="B1268" s="145">
        <v>45610</v>
      </c>
      <c r="C1268" s="191">
        <v>2024</v>
      </c>
      <c r="D1268" s="192" t="s">
        <v>35</v>
      </c>
      <c r="E1268" s="192" t="s">
        <v>918</v>
      </c>
      <c r="F1268" s="193">
        <v>1</v>
      </c>
      <c r="G1268" s="148">
        <v>56000</v>
      </c>
    </row>
    <row r="1269" spans="1:7" x14ac:dyDescent="0.25">
      <c r="A1269" s="147">
        <v>1264</v>
      </c>
      <c r="B1269" s="145">
        <v>45610</v>
      </c>
      <c r="C1269" s="191">
        <v>2024</v>
      </c>
      <c r="D1269" s="192" t="s">
        <v>35</v>
      </c>
      <c r="E1269" s="192" t="s">
        <v>1253</v>
      </c>
      <c r="F1269" s="193">
        <v>1</v>
      </c>
      <c r="G1269" s="148">
        <v>430000</v>
      </c>
    </row>
    <row r="1270" spans="1:7" x14ac:dyDescent="0.25">
      <c r="A1270" s="147">
        <v>1265</v>
      </c>
      <c r="B1270" s="145">
        <v>45610</v>
      </c>
      <c r="C1270" s="191">
        <v>2024</v>
      </c>
      <c r="D1270" s="192" t="s">
        <v>35</v>
      </c>
      <c r="E1270" s="192" t="s">
        <v>1253</v>
      </c>
      <c r="F1270" s="193">
        <v>1</v>
      </c>
      <c r="G1270" s="148">
        <v>193000</v>
      </c>
    </row>
    <row r="1271" spans="1:7" x14ac:dyDescent="0.25">
      <c r="A1271" s="147">
        <v>1266</v>
      </c>
      <c r="B1271" s="145">
        <v>45610</v>
      </c>
      <c r="C1271" s="191">
        <v>2024</v>
      </c>
      <c r="D1271" s="192" t="s">
        <v>35</v>
      </c>
      <c r="E1271" s="192" t="s">
        <v>1062</v>
      </c>
      <c r="F1271" s="193">
        <v>1</v>
      </c>
      <c r="G1271" s="148">
        <v>454000</v>
      </c>
    </row>
    <row r="1272" spans="1:7" x14ac:dyDescent="0.25">
      <c r="A1272" s="147">
        <v>1267</v>
      </c>
      <c r="B1272" s="145">
        <v>45610</v>
      </c>
      <c r="C1272" s="191">
        <v>2024</v>
      </c>
      <c r="D1272" s="192" t="s">
        <v>35</v>
      </c>
      <c r="E1272" s="192" t="s">
        <v>918</v>
      </c>
      <c r="F1272" s="193">
        <v>1</v>
      </c>
      <c r="G1272" s="148">
        <v>144000</v>
      </c>
    </row>
    <row r="1273" spans="1:7" x14ac:dyDescent="0.25">
      <c r="A1273" s="147">
        <v>1268</v>
      </c>
      <c r="B1273" s="145">
        <v>45610</v>
      </c>
      <c r="C1273" s="191">
        <v>2024</v>
      </c>
      <c r="D1273" s="192" t="s">
        <v>35</v>
      </c>
      <c r="E1273" s="192" t="s">
        <v>1253</v>
      </c>
      <c r="F1273" s="193">
        <v>1</v>
      </c>
      <c r="G1273" s="148">
        <v>430000</v>
      </c>
    </row>
    <row r="1274" spans="1:7" x14ac:dyDescent="0.25">
      <c r="A1274" s="147">
        <v>1269</v>
      </c>
      <c r="B1274" s="145">
        <v>45610</v>
      </c>
      <c r="C1274" s="191">
        <v>2024</v>
      </c>
      <c r="D1274" s="192" t="s">
        <v>35</v>
      </c>
      <c r="E1274" s="192" t="s">
        <v>1110</v>
      </c>
      <c r="F1274" s="193">
        <v>1</v>
      </c>
      <c r="G1274" s="148">
        <v>75000</v>
      </c>
    </row>
    <row r="1275" spans="1:7" x14ac:dyDescent="0.25">
      <c r="A1275" s="147">
        <v>1270</v>
      </c>
      <c r="B1275" s="145">
        <v>45610</v>
      </c>
      <c r="C1275" s="191">
        <v>2024</v>
      </c>
      <c r="D1275" s="192" t="s">
        <v>35</v>
      </c>
      <c r="E1275" s="192" t="s">
        <v>1254</v>
      </c>
      <c r="F1275" s="193">
        <v>1</v>
      </c>
      <c r="G1275" s="148">
        <v>205000</v>
      </c>
    </row>
    <row r="1276" spans="1:7" x14ac:dyDescent="0.25">
      <c r="A1276" s="147">
        <v>1271</v>
      </c>
      <c r="B1276" s="145">
        <v>45610</v>
      </c>
      <c r="C1276" s="191">
        <v>2024</v>
      </c>
      <c r="D1276" s="192" t="s">
        <v>35</v>
      </c>
      <c r="E1276" s="192" t="s">
        <v>1253</v>
      </c>
      <c r="F1276" s="193">
        <v>1</v>
      </c>
      <c r="G1276" s="148">
        <v>430000</v>
      </c>
    </row>
    <row r="1277" spans="1:7" x14ac:dyDescent="0.25">
      <c r="A1277" s="147">
        <v>1272</v>
      </c>
      <c r="B1277" s="145">
        <v>45610</v>
      </c>
      <c r="C1277" s="191">
        <v>2024</v>
      </c>
      <c r="D1277" s="192" t="s">
        <v>35</v>
      </c>
      <c r="E1277" s="192" t="s">
        <v>1062</v>
      </c>
      <c r="F1277" s="193">
        <v>1</v>
      </c>
      <c r="G1277" s="148">
        <v>193000</v>
      </c>
    </row>
    <row r="1278" spans="1:7" x14ac:dyDescent="0.25">
      <c r="A1278" s="147">
        <v>1273</v>
      </c>
      <c r="B1278" s="145">
        <v>45610</v>
      </c>
      <c r="C1278" s="191">
        <v>2024</v>
      </c>
      <c r="D1278" s="192" t="s">
        <v>35</v>
      </c>
      <c r="E1278" s="192" t="s">
        <v>1110</v>
      </c>
      <c r="F1278" s="193">
        <v>1</v>
      </c>
      <c r="G1278" s="148">
        <v>75000</v>
      </c>
    </row>
    <row r="1279" spans="1:7" x14ac:dyDescent="0.25">
      <c r="A1279" s="147">
        <v>1274</v>
      </c>
      <c r="B1279" s="145">
        <v>45610</v>
      </c>
      <c r="C1279" s="191">
        <v>2024</v>
      </c>
      <c r="D1279" s="192" t="s">
        <v>35</v>
      </c>
      <c r="E1279" s="192" t="s">
        <v>1253</v>
      </c>
      <c r="F1279" s="193">
        <v>1</v>
      </c>
      <c r="G1279" s="148">
        <v>89000</v>
      </c>
    </row>
    <row r="1280" spans="1:7" x14ac:dyDescent="0.25">
      <c r="A1280" s="147">
        <v>1275</v>
      </c>
      <c r="B1280" s="145">
        <v>45610</v>
      </c>
      <c r="C1280" s="191">
        <v>2024</v>
      </c>
      <c r="D1280" s="192" t="s">
        <v>35</v>
      </c>
      <c r="E1280" s="192" t="s">
        <v>1154</v>
      </c>
      <c r="F1280" s="193">
        <v>1</v>
      </c>
      <c r="G1280" s="148">
        <v>99000</v>
      </c>
    </row>
    <row r="1281" spans="1:7" x14ac:dyDescent="0.25">
      <c r="A1281" s="147">
        <v>1276</v>
      </c>
      <c r="B1281" s="145">
        <v>45610</v>
      </c>
      <c r="C1281" s="191">
        <v>2024</v>
      </c>
      <c r="D1281" s="192" t="s">
        <v>35</v>
      </c>
      <c r="E1281" s="192" t="s">
        <v>1255</v>
      </c>
      <c r="F1281" s="193">
        <v>1</v>
      </c>
      <c r="G1281" s="148">
        <v>295000</v>
      </c>
    </row>
    <row r="1282" spans="1:7" x14ac:dyDescent="0.25">
      <c r="A1282" s="147">
        <v>1277</v>
      </c>
      <c r="B1282" s="145">
        <v>45610</v>
      </c>
      <c r="C1282" s="191">
        <v>2024</v>
      </c>
      <c r="D1282" s="192" t="s">
        <v>35</v>
      </c>
      <c r="E1282" s="192" t="s">
        <v>918</v>
      </c>
      <c r="F1282" s="193">
        <v>1</v>
      </c>
      <c r="G1282" s="148">
        <v>56000</v>
      </c>
    </row>
    <row r="1283" spans="1:7" x14ac:dyDescent="0.25">
      <c r="A1283" s="147">
        <v>1278</v>
      </c>
      <c r="B1283" s="145">
        <v>45610</v>
      </c>
      <c r="C1283" s="191">
        <v>2024</v>
      </c>
      <c r="D1283" s="192" t="s">
        <v>35</v>
      </c>
      <c r="E1283" s="192" t="s">
        <v>1253</v>
      </c>
      <c r="F1283" s="193">
        <v>1</v>
      </c>
      <c r="G1283" s="148">
        <v>430000</v>
      </c>
    </row>
    <row r="1284" spans="1:7" x14ac:dyDescent="0.25">
      <c r="A1284" s="147">
        <v>1279</v>
      </c>
      <c r="B1284" s="145">
        <v>45610</v>
      </c>
      <c r="C1284" s="191">
        <v>2024</v>
      </c>
      <c r="D1284" s="192" t="s">
        <v>35</v>
      </c>
      <c r="E1284" s="192" t="s">
        <v>1062</v>
      </c>
      <c r="F1284" s="193">
        <v>1</v>
      </c>
      <c r="G1284" s="148">
        <v>193000</v>
      </c>
    </row>
    <row r="1285" spans="1:7" x14ac:dyDescent="0.25">
      <c r="A1285" s="147">
        <v>1280</v>
      </c>
      <c r="B1285" s="145">
        <v>45610</v>
      </c>
      <c r="C1285" s="191">
        <v>2024</v>
      </c>
      <c r="D1285" s="192" t="s">
        <v>35</v>
      </c>
      <c r="E1285" s="192" t="s">
        <v>1110</v>
      </c>
      <c r="F1285" s="193">
        <v>1</v>
      </c>
      <c r="G1285" s="148">
        <v>75000</v>
      </c>
    </row>
    <row r="1286" spans="1:7" x14ac:dyDescent="0.25">
      <c r="A1286" s="147">
        <v>1281</v>
      </c>
      <c r="B1286" s="145">
        <v>45610</v>
      </c>
      <c r="C1286" s="191">
        <v>2024</v>
      </c>
      <c r="D1286" s="192" t="s">
        <v>35</v>
      </c>
      <c r="E1286" s="192" t="s">
        <v>1253</v>
      </c>
      <c r="F1286" s="193">
        <v>1</v>
      </c>
      <c r="G1286" s="148">
        <v>89000</v>
      </c>
    </row>
    <row r="1287" spans="1:7" x14ac:dyDescent="0.25">
      <c r="A1287" s="147">
        <v>1282</v>
      </c>
      <c r="B1287" s="145">
        <v>45610</v>
      </c>
      <c r="C1287" s="191">
        <v>2024</v>
      </c>
      <c r="D1287" s="192" t="s">
        <v>35</v>
      </c>
      <c r="E1287" s="192" t="s">
        <v>1154</v>
      </c>
      <c r="F1287" s="193">
        <v>1</v>
      </c>
      <c r="G1287" s="148">
        <v>99000</v>
      </c>
    </row>
    <row r="1288" spans="1:7" x14ac:dyDescent="0.25">
      <c r="A1288" s="147">
        <v>1283</v>
      </c>
      <c r="B1288" s="145">
        <v>45610</v>
      </c>
      <c r="C1288" s="191">
        <v>2024</v>
      </c>
      <c r="D1288" s="192" t="s">
        <v>35</v>
      </c>
      <c r="E1288" s="192" t="s">
        <v>1256</v>
      </c>
      <c r="F1288" s="193">
        <v>1</v>
      </c>
      <c r="G1288" s="148">
        <v>144000</v>
      </c>
    </row>
    <row r="1289" spans="1:7" x14ac:dyDescent="0.25">
      <c r="A1289" s="147">
        <v>1284</v>
      </c>
      <c r="B1289" s="145">
        <v>45610</v>
      </c>
      <c r="C1289" s="191">
        <v>2024</v>
      </c>
      <c r="D1289" s="192" t="s">
        <v>35</v>
      </c>
      <c r="E1289" s="192" t="s">
        <v>918</v>
      </c>
      <c r="F1289" s="193">
        <v>1</v>
      </c>
      <c r="G1289" s="148">
        <v>56000</v>
      </c>
    </row>
    <row r="1290" spans="1:7" x14ac:dyDescent="0.25">
      <c r="A1290" s="147">
        <v>1285</v>
      </c>
      <c r="B1290" s="145">
        <v>45610</v>
      </c>
      <c r="C1290" s="191">
        <v>2024</v>
      </c>
      <c r="D1290" s="192" t="s">
        <v>35</v>
      </c>
      <c r="E1290" s="192" t="s">
        <v>1253</v>
      </c>
      <c r="F1290" s="193">
        <v>1</v>
      </c>
      <c r="G1290" s="148">
        <v>430000</v>
      </c>
    </row>
    <row r="1291" spans="1:7" x14ac:dyDescent="0.25">
      <c r="A1291" s="147">
        <v>1286</v>
      </c>
      <c r="B1291" s="145">
        <v>45610</v>
      </c>
      <c r="C1291" s="191">
        <v>2024</v>
      </c>
      <c r="D1291" s="192" t="s">
        <v>35</v>
      </c>
      <c r="E1291" s="192" t="s">
        <v>1062</v>
      </c>
      <c r="F1291" s="193">
        <v>1</v>
      </c>
      <c r="G1291" s="148">
        <v>245000</v>
      </c>
    </row>
    <row r="1292" spans="1:7" x14ac:dyDescent="0.25">
      <c r="A1292" s="147">
        <v>1287</v>
      </c>
      <c r="B1292" s="145">
        <v>45610</v>
      </c>
      <c r="C1292" s="191">
        <v>2024</v>
      </c>
      <c r="D1292" s="192" t="s">
        <v>35</v>
      </c>
      <c r="E1292" s="192" t="s">
        <v>1256</v>
      </c>
      <c r="F1292" s="193">
        <v>1</v>
      </c>
      <c r="G1292" s="148">
        <v>144000</v>
      </c>
    </row>
    <row r="1293" spans="1:7" x14ac:dyDescent="0.25">
      <c r="A1293" s="147">
        <v>1288</v>
      </c>
      <c r="B1293" s="145">
        <v>45610</v>
      </c>
      <c r="C1293" s="191">
        <v>2024</v>
      </c>
      <c r="D1293" s="192" t="s">
        <v>35</v>
      </c>
      <c r="E1293" s="192" t="s">
        <v>1253</v>
      </c>
      <c r="F1293" s="193">
        <v>1</v>
      </c>
      <c r="G1293" s="148">
        <v>89000</v>
      </c>
    </row>
    <row r="1294" spans="1:7" x14ac:dyDescent="0.25">
      <c r="A1294" s="147">
        <v>1289</v>
      </c>
      <c r="B1294" s="145">
        <v>45610</v>
      </c>
      <c r="C1294" s="191">
        <v>2024</v>
      </c>
      <c r="D1294" s="192" t="s">
        <v>35</v>
      </c>
      <c r="E1294" s="192" t="s">
        <v>918</v>
      </c>
      <c r="F1294" s="193">
        <v>1</v>
      </c>
      <c r="G1294" s="148">
        <v>56000</v>
      </c>
    </row>
    <row r="1295" spans="1:7" x14ac:dyDescent="0.25">
      <c r="A1295" s="147">
        <v>1290</v>
      </c>
      <c r="B1295" s="145">
        <v>45610</v>
      </c>
      <c r="C1295" s="191">
        <v>2024</v>
      </c>
      <c r="D1295" s="192" t="s">
        <v>35</v>
      </c>
      <c r="E1295" s="192" t="s">
        <v>1253</v>
      </c>
      <c r="F1295" s="193">
        <v>1</v>
      </c>
      <c r="G1295" s="148">
        <v>430000</v>
      </c>
    </row>
    <row r="1296" spans="1:7" x14ac:dyDescent="0.25">
      <c r="A1296" s="147">
        <v>1291</v>
      </c>
      <c r="B1296" s="145">
        <v>45610</v>
      </c>
      <c r="C1296" s="191">
        <v>2024</v>
      </c>
      <c r="D1296" s="192" t="s">
        <v>35</v>
      </c>
      <c r="E1296" s="192" t="s">
        <v>1256</v>
      </c>
      <c r="F1296" s="193">
        <v>1</v>
      </c>
      <c r="G1296" s="148">
        <v>144000</v>
      </c>
    </row>
    <row r="1297" spans="1:7" x14ac:dyDescent="0.25">
      <c r="A1297" s="147">
        <v>1292</v>
      </c>
      <c r="B1297" s="145">
        <v>45610</v>
      </c>
      <c r="C1297" s="191">
        <v>2024</v>
      </c>
      <c r="D1297" s="192" t="s">
        <v>35</v>
      </c>
      <c r="E1297" s="192" t="s">
        <v>1253</v>
      </c>
      <c r="F1297" s="193">
        <v>1</v>
      </c>
      <c r="G1297" s="148">
        <v>430000</v>
      </c>
    </row>
    <row r="1298" spans="1:7" x14ac:dyDescent="0.25">
      <c r="A1298" s="147">
        <v>1293</v>
      </c>
      <c r="B1298" s="145">
        <v>45610</v>
      </c>
      <c r="C1298" s="191">
        <v>2024</v>
      </c>
      <c r="D1298" s="192" t="s">
        <v>35</v>
      </c>
      <c r="E1298" s="192" t="s">
        <v>1254</v>
      </c>
      <c r="F1298" s="193">
        <v>1</v>
      </c>
      <c r="G1298" s="148">
        <v>209000</v>
      </c>
    </row>
    <row r="1299" spans="1:7" x14ac:dyDescent="0.25">
      <c r="A1299" s="147">
        <v>1294</v>
      </c>
      <c r="B1299" s="145">
        <v>45610</v>
      </c>
      <c r="C1299" s="191">
        <v>2024</v>
      </c>
      <c r="D1299" s="192" t="s">
        <v>35</v>
      </c>
      <c r="E1299" s="192" t="s">
        <v>918</v>
      </c>
      <c r="F1299" s="193">
        <v>1</v>
      </c>
      <c r="G1299" s="148">
        <v>56000</v>
      </c>
    </row>
    <row r="1300" spans="1:7" x14ac:dyDescent="0.25">
      <c r="A1300" s="147">
        <v>1295</v>
      </c>
      <c r="B1300" s="145">
        <v>45610</v>
      </c>
      <c r="C1300" s="191">
        <v>2024</v>
      </c>
      <c r="D1300" s="192" t="s">
        <v>35</v>
      </c>
      <c r="E1300" s="192" t="s">
        <v>1253</v>
      </c>
      <c r="F1300" s="193">
        <v>1</v>
      </c>
      <c r="G1300" s="148">
        <v>430000</v>
      </c>
    </row>
    <row r="1301" spans="1:7" x14ac:dyDescent="0.25">
      <c r="A1301" s="147">
        <v>1296</v>
      </c>
      <c r="B1301" s="145">
        <v>45610</v>
      </c>
      <c r="C1301" s="191">
        <v>2024</v>
      </c>
      <c r="D1301" s="192" t="s">
        <v>35</v>
      </c>
      <c r="E1301" s="192" t="s">
        <v>1062</v>
      </c>
      <c r="F1301" s="193">
        <v>1</v>
      </c>
      <c r="G1301" s="148">
        <v>245000</v>
      </c>
    </row>
    <row r="1302" spans="1:7" x14ac:dyDescent="0.25">
      <c r="A1302" s="147">
        <v>1297</v>
      </c>
      <c r="B1302" s="145">
        <v>45610</v>
      </c>
      <c r="C1302" s="191">
        <v>2024</v>
      </c>
      <c r="D1302" s="192" t="s">
        <v>35</v>
      </c>
      <c r="E1302" s="192" t="s">
        <v>1256</v>
      </c>
      <c r="F1302" s="193">
        <v>1</v>
      </c>
      <c r="G1302" s="148">
        <v>144000</v>
      </c>
    </row>
    <row r="1303" spans="1:7" x14ac:dyDescent="0.25">
      <c r="A1303" s="147">
        <v>1298</v>
      </c>
      <c r="B1303" s="145">
        <v>45610</v>
      </c>
      <c r="C1303" s="191">
        <v>2024</v>
      </c>
      <c r="D1303" s="192" t="s">
        <v>35</v>
      </c>
      <c r="E1303" s="192" t="s">
        <v>1254</v>
      </c>
      <c r="F1303" s="193">
        <v>1</v>
      </c>
      <c r="G1303" s="148">
        <v>209000</v>
      </c>
    </row>
    <row r="1304" spans="1:7" x14ac:dyDescent="0.25">
      <c r="A1304" s="147">
        <v>1299</v>
      </c>
      <c r="B1304" s="145">
        <v>45610</v>
      </c>
      <c r="C1304" s="191">
        <v>2024</v>
      </c>
      <c r="D1304" s="192" t="s">
        <v>35</v>
      </c>
      <c r="E1304" s="192" t="s">
        <v>918</v>
      </c>
      <c r="F1304" s="193">
        <v>1</v>
      </c>
      <c r="G1304" s="148">
        <v>56000</v>
      </c>
    </row>
    <row r="1305" spans="1:7" x14ac:dyDescent="0.25">
      <c r="A1305" s="147">
        <v>1300</v>
      </c>
      <c r="B1305" s="145">
        <v>45610</v>
      </c>
      <c r="C1305" s="191">
        <v>2024</v>
      </c>
      <c r="D1305" s="192" t="s">
        <v>35</v>
      </c>
      <c r="E1305" s="192" t="s">
        <v>1253</v>
      </c>
      <c r="F1305" s="193">
        <v>1</v>
      </c>
      <c r="G1305" s="148">
        <v>430000</v>
      </c>
    </row>
    <row r="1306" spans="1:7" x14ac:dyDescent="0.25">
      <c r="A1306" s="147">
        <v>1301</v>
      </c>
      <c r="B1306" s="145">
        <v>45610</v>
      </c>
      <c r="C1306" s="191">
        <v>2024</v>
      </c>
      <c r="D1306" s="192" t="s">
        <v>35</v>
      </c>
      <c r="E1306" s="192" t="s">
        <v>1062</v>
      </c>
      <c r="F1306" s="193">
        <v>1</v>
      </c>
      <c r="G1306" s="148">
        <v>193000</v>
      </c>
    </row>
    <row r="1307" spans="1:7" x14ac:dyDescent="0.25">
      <c r="A1307" s="147">
        <v>1302</v>
      </c>
      <c r="B1307" s="145">
        <v>45610</v>
      </c>
      <c r="C1307" s="191">
        <v>2024</v>
      </c>
      <c r="D1307" s="192" t="s">
        <v>35</v>
      </c>
      <c r="E1307" s="192" t="s">
        <v>1062</v>
      </c>
      <c r="F1307" s="193">
        <v>1</v>
      </c>
      <c r="G1307" s="148">
        <v>245000</v>
      </c>
    </row>
    <row r="1308" spans="1:7" x14ac:dyDescent="0.25">
      <c r="A1308" s="147">
        <v>1303</v>
      </c>
      <c r="B1308" s="145">
        <v>45610</v>
      </c>
      <c r="C1308" s="191">
        <v>2024</v>
      </c>
      <c r="D1308" s="192" t="s">
        <v>35</v>
      </c>
      <c r="E1308" s="192" t="s">
        <v>1110</v>
      </c>
      <c r="F1308" s="193">
        <v>1</v>
      </c>
      <c r="G1308" s="148">
        <v>75000</v>
      </c>
    </row>
    <row r="1309" spans="1:7" x14ac:dyDescent="0.25">
      <c r="A1309" s="147">
        <v>1304</v>
      </c>
      <c r="B1309" s="145">
        <v>45610</v>
      </c>
      <c r="C1309" s="191">
        <v>2024</v>
      </c>
      <c r="D1309" s="192" t="s">
        <v>35</v>
      </c>
      <c r="E1309" s="192" t="s">
        <v>1154</v>
      </c>
      <c r="F1309" s="193">
        <v>1</v>
      </c>
      <c r="G1309" s="148">
        <v>99000</v>
      </c>
    </row>
    <row r="1310" spans="1:7" x14ac:dyDescent="0.25">
      <c r="A1310" s="147">
        <v>1305</v>
      </c>
      <c r="B1310" s="145">
        <v>45610</v>
      </c>
      <c r="C1310" s="191">
        <v>2024</v>
      </c>
      <c r="D1310" s="192" t="s">
        <v>35</v>
      </c>
      <c r="E1310" s="192" t="s">
        <v>1253</v>
      </c>
      <c r="F1310" s="193">
        <v>1</v>
      </c>
      <c r="G1310" s="148">
        <v>89000</v>
      </c>
    </row>
    <row r="1311" spans="1:7" x14ac:dyDescent="0.25">
      <c r="A1311" s="147">
        <v>1306</v>
      </c>
      <c r="B1311" s="145">
        <v>45610</v>
      </c>
      <c r="C1311" s="191">
        <v>2024</v>
      </c>
      <c r="D1311" s="192" t="s">
        <v>35</v>
      </c>
      <c r="E1311" s="192" t="s">
        <v>1256</v>
      </c>
      <c r="F1311" s="193">
        <v>1</v>
      </c>
      <c r="G1311" s="148">
        <v>144000</v>
      </c>
    </row>
    <row r="1312" spans="1:7" x14ac:dyDescent="0.25">
      <c r="A1312" s="147">
        <v>1307</v>
      </c>
      <c r="B1312" s="145">
        <v>45610</v>
      </c>
      <c r="C1312" s="191">
        <v>2024</v>
      </c>
      <c r="D1312" s="192" t="s">
        <v>35</v>
      </c>
      <c r="E1312" s="192" t="s">
        <v>1254</v>
      </c>
      <c r="F1312" s="193">
        <v>1</v>
      </c>
      <c r="G1312" s="148">
        <v>209000</v>
      </c>
    </row>
    <row r="1313" spans="1:7" x14ac:dyDescent="0.25">
      <c r="A1313" s="147">
        <v>1308</v>
      </c>
      <c r="B1313" s="145">
        <v>45610</v>
      </c>
      <c r="C1313" s="191">
        <v>2024</v>
      </c>
      <c r="D1313" s="192" t="s">
        <v>35</v>
      </c>
      <c r="E1313" s="192" t="s">
        <v>918</v>
      </c>
      <c r="F1313" s="193">
        <v>1</v>
      </c>
      <c r="G1313" s="148">
        <v>56000</v>
      </c>
    </row>
    <row r="1314" spans="1:7" x14ac:dyDescent="0.25">
      <c r="A1314" s="147">
        <v>1309</v>
      </c>
      <c r="B1314" s="145">
        <v>45610</v>
      </c>
      <c r="C1314" s="191">
        <v>2024</v>
      </c>
      <c r="D1314" s="192" t="s">
        <v>35</v>
      </c>
      <c r="E1314" s="192" t="s">
        <v>1253</v>
      </c>
      <c r="F1314" s="193">
        <v>1</v>
      </c>
      <c r="G1314" s="148">
        <v>430000</v>
      </c>
    </row>
    <row r="1315" spans="1:7" x14ac:dyDescent="0.25">
      <c r="A1315" s="147">
        <v>1310</v>
      </c>
      <c r="B1315" s="145">
        <v>45610</v>
      </c>
      <c r="C1315" s="191">
        <v>2024</v>
      </c>
      <c r="D1315" s="192" t="s">
        <v>35</v>
      </c>
      <c r="E1315" s="192" t="s">
        <v>1062</v>
      </c>
      <c r="F1315" s="193">
        <v>1</v>
      </c>
      <c r="G1315" s="148">
        <v>193000</v>
      </c>
    </row>
    <row r="1316" spans="1:7" x14ac:dyDescent="0.25">
      <c r="A1316" s="147">
        <v>1311</v>
      </c>
      <c r="B1316" s="145">
        <v>45610</v>
      </c>
      <c r="C1316" s="191">
        <v>2024</v>
      </c>
      <c r="D1316" s="192" t="s">
        <v>35</v>
      </c>
      <c r="E1316" s="192" t="s">
        <v>1110</v>
      </c>
      <c r="F1316" s="193">
        <v>1</v>
      </c>
      <c r="G1316" s="148">
        <v>75000</v>
      </c>
    </row>
    <row r="1317" spans="1:7" x14ac:dyDescent="0.25">
      <c r="A1317" s="147">
        <v>1312</v>
      </c>
      <c r="B1317" s="145">
        <v>45610</v>
      </c>
      <c r="C1317" s="191">
        <v>2024</v>
      </c>
      <c r="D1317" s="192" t="s">
        <v>35</v>
      </c>
      <c r="E1317" s="192" t="s">
        <v>1256</v>
      </c>
      <c r="F1317" s="193">
        <v>1</v>
      </c>
      <c r="G1317" s="148">
        <v>144000</v>
      </c>
    </row>
    <row r="1318" spans="1:7" x14ac:dyDescent="0.25">
      <c r="A1318" s="147">
        <v>1313</v>
      </c>
      <c r="B1318" s="145">
        <v>45610</v>
      </c>
      <c r="C1318" s="191">
        <v>2024</v>
      </c>
      <c r="D1318" s="192" t="s">
        <v>35</v>
      </c>
      <c r="E1318" s="192" t="s">
        <v>918</v>
      </c>
      <c r="F1318" s="193">
        <v>1</v>
      </c>
      <c r="G1318" s="148">
        <v>56000</v>
      </c>
    </row>
    <row r="1319" spans="1:7" x14ac:dyDescent="0.25">
      <c r="A1319" s="147">
        <v>1314</v>
      </c>
      <c r="B1319" s="145">
        <v>45610</v>
      </c>
      <c r="C1319" s="191">
        <v>2024</v>
      </c>
      <c r="D1319" s="192" t="s">
        <v>35</v>
      </c>
      <c r="E1319" s="192" t="s">
        <v>1253</v>
      </c>
      <c r="F1319" s="193">
        <v>1</v>
      </c>
      <c r="G1319" s="148">
        <v>430000</v>
      </c>
    </row>
    <row r="1320" spans="1:7" x14ac:dyDescent="0.25">
      <c r="A1320" s="147">
        <v>1315</v>
      </c>
      <c r="B1320" s="145">
        <v>45610</v>
      </c>
      <c r="C1320" s="191">
        <v>2024</v>
      </c>
      <c r="D1320" s="192" t="s">
        <v>35</v>
      </c>
      <c r="E1320" s="192" t="s">
        <v>1256</v>
      </c>
      <c r="F1320" s="193">
        <v>1</v>
      </c>
      <c r="G1320" s="148">
        <v>144000</v>
      </c>
    </row>
    <row r="1321" spans="1:7" x14ac:dyDescent="0.25">
      <c r="A1321" s="147">
        <v>1316</v>
      </c>
      <c r="B1321" s="145">
        <v>45610</v>
      </c>
      <c r="C1321" s="191">
        <v>2024</v>
      </c>
      <c r="D1321" s="192" t="s">
        <v>35</v>
      </c>
      <c r="E1321" s="192" t="s">
        <v>1253</v>
      </c>
      <c r="F1321" s="193">
        <v>1</v>
      </c>
      <c r="G1321" s="148">
        <v>89000</v>
      </c>
    </row>
    <row r="1322" spans="1:7" x14ac:dyDescent="0.25">
      <c r="A1322" s="147">
        <v>1317</v>
      </c>
      <c r="B1322" s="145">
        <v>45610</v>
      </c>
      <c r="C1322" s="191">
        <v>2024</v>
      </c>
      <c r="D1322" s="192" t="s">
        <v>35</v>
      </c>
      <c r="E1322" s="192" t="s">
        <v>1254</v>
      </c>
      <c r="F1322" s="193">
        <v>1</v>
      </c>
      <c r="G1322" s="148">
        <v>209000</v>
      </c>
    </row>
    <row r="1323" spans="1:7" x14ac:dyDescent="0.25">
      <c r="A1323" s="147">
        <v>1318</v>
      </c>
      <c r="B1323" s="145">
        <v>45610</v>
      </c>
      <c r="C1323" s="191">
        <v>2024</v>
      </c>
      <c r="D1323" s="192" t="s">
        <v>35</v>
      </c>
      <c r="E1323" s="192" t="s">
        <v>1253</v>
      </c>
      <c r="F1323" s="193">
        <v>1</v>
      </c>
      <c r="G1323" s="148">
        <v>144000</v>
      </c>
    </row>
    <row r="1324" spans="1:7" x14ac:dyDescent="0.25">
      <c r="A1324" s="147">
        <v>1319</v>
      </c>
      <c r="B1324" s="145">
        <v>45610</v>
      </c>
      <c r="C1324" s="191">
        <v>2024</v>
      </c>
      <c r="D1324" s="192" t="s">
        <v>35</v>
      </c>
      <c r="E1324" s="192" t="s">
        <v>1257</v>
      </c>
      <c r="F1324" s="193">
        <v>1</v>
      </c>
      <c r="G1324" s="148">
        <v>75000</v>
      </c>
    </row>
    <row r="1325" spans="1:7" x14ac:dyDescent="0.25">
      <c r="A1325" s="147">
        <v>1320</v>
      </c>
      <c r="B1325" s="145">
        <v>45612</v>
      </c>
      <c r="C1325" s="191">
        <v>2024</v>
      </c>
      <c r="D1325" s="192" t="s">
        <v>35</v>
      </c>
      <c r="E1325" s="192" t="s">
        <v>1259</v>
      </c>
      <c r="F1325" s="193">
        <v>1</v>
      </c>
      <c r="G1325" s="148">
        <v>36000</v>
      </c>
    </row>
    <row r="1326" spans="1:7" x14ac:dyDescent="0.25">
      <c r="A1326" s="147">
        <v>1321</v>
      </c>
      <c r="B1326" s="145">
        <v>45614</v>
      </c>
      <c r="C1326" s="191">
        <v>2024</v>
      </c>
      <c r="D1326" s="192" t="s">
        <v>35</v>
      </c>
      <c r="E1326" s="192" t="s">
        <v>1260</v>
      </c>
      <c r="F1326" s="193">
        <v>3</v>
      </c>
      <c r="G1326" s="148">
        <v>147000</v>
      </c>
    </row>
    <row r="1327" spans="1:7" x14ac:dyDescent="0.25">
      <c r="A1327" s="147">
        <v>1322</v>
      </c>
      <c r="B1327" s="145">
        <v>45614</v>
      </c>
      <c r="C1327" s="191">
        <v>2024</v>
      </c>
      <c r="D1327" s="192" t="s">
        <v>35</v>
      </c>
      <c r="E1327" s="192" t="s">
        <v>502</v>
      </c>
      <c r="F1327" s="193">
        <v>120</v>
      </c>
      <c r="G1327" s="148">
        <v>810000</v>
      </c>
    </row>
    <row r="1328" spans="1:7" x14ac:dyDescent="0.25">
      <c r="A1328" s="147">
        <v>1323</v>
      </c>
      <c r="B1328" s="145">
        <v>45615</v>
      </c>
      <c r="C1328" s="191">
        <v>2024</v>
      </c>
      <c r="D1328" s="192" t="s">
        <v>35</v>
      </c>
      <c r="E1328" s="192" t="s">
        <v>1261</v>
      </c>
      <c r="F1328" s="193">
        <v>1</v>
      </c>
      <c r="G1328" s="148">
        <v>32000</v>
      </c>
    </row>
    <row r="1329" spans="1:7" x14ac:dyDescent="0.25">
      <c r="A1329" s="147">
        <v>1324</v>
      </c>
      <c r="B1329" s="145">
        <v>45615</v>
      </c>
      <c r="C1329" s="191">
        <v>2024</v>
      </c>
      <c r="D1329" s="192" t="s">
        <v>35</v>
      </c>
      <c r="E1329" s="192" t="s">
        <v>1262</v>
      </c>
      <c r="F1329" s="193">
        <v>1</v>
      </c>
      <c r="G1329" s="148">
        <v>190000</v>
      </c>
    </row>
    <row r="1330" spans="1:7" x14ac:dyDescent="0.25">
      <c r="A1330" s="147">
        <v>1325</v>
      </c>
      <c r="B1330" s="145">
        <v>45615</v>
      </c>
      <c r="C1330" s="191">
        <v>2024</v>
      </c>
      <c r="D1330" s="192" t="s">
        <v>35</v>
      </c>
      <c r="E1330" s="192" t="s">
        <v>557</v>
      </c>
      <c r="F1330" s="193">
        <v>1</v>
      </c>
      <c r="G1330" s="148">
        <v>99500</v>
      </c>
    </row>
    <row r="1331" spans="1:7" x14ac:dyDescent="0.25">
      <c r="A1331" s="147">
        <v>1326</v>
      </c>
      <c r="B1331" s="145">
        <v>45616</v>
      </c>
      <c r="C1331" s="191">
        <v>2024</v>
      </c>
      <c r="D1331" s="192" t="s">
        <v>35</v>
      </c>
      <c r="E1331" s="192" t="s">
        <v>1264</v>
      </c>
      <c r="F1331" s="193">
        <v>2</v>
      </c>
      <c r="G1331" s="148">
        <v>128000</v>
      </c>
    </row>
    <row r="1332" spans="1:7" x14ac:dyDescent="0.25">
      <c r="A1332" s="147">
        <v>1327</v>
      </c>
      <c r="B1332" s="145">
        <v>45617</v>
      </c>
      <c r="C1332" s="191">
        <v>2024</v>
      </c>
      <c r="D1332" s="192" t="s">
        <v>35</v>
      </c>
      <c r="E1332" s="192" t="s">
        <v>1271</v>
      </c>
      <c r="F1332" s="193">
        <v>3</v>
      </c>
      <c r="G1332" s="148">
        <v>37976</v>
      </c>
    </row>
    <row r="1333" spans="1:7" x14ac:dyDescent="0.25">
      <c r="A1333" s="147">
        <v>1328</v>
      </c>
      <c r="B1333" s="145">
        <v>45618</v>
      </c>
      <c r="C1333" s="191">
        <v>2024</v>
      </c>
      <c r="D1333" s="192" t="s">
        <v>35</v>
      </c>
      <c r="E1333" s="192" t="s">
        <v>1259</v>
      </c>
      <c r="F1333" s="193">
        <v>1</v>
      </c>
      <c r="G1333" s="148">
        <v>36000</v>
      </c>
    </row>
    <row r="1334" spans="1:7" x14ac:dyDescent="0.25">
      <c r="A1334" s="147">
        <v>1329</v>
      </c>
      <c r="B1334" s="145">
        <v>45621</v>
      </c>
      <c r="C1334" s="191">
        <v>2024</v>
      </c>
      <c r="D1334" s="192" t="s">
        <v>35</v>
      </c>
      <c r="E1334" s="192" t="s">
        <v>739</v>
      </c>
      <c r="F1334" s="193">
        <v>3</v>
      </c>
      <c r="G1334" s="148">
        <v>562500</v>
      </c>
    </row>
    <row r="1335" spans="1:7" x14ac:dyDescent="0.25">
      <c r="A1335" s="147">
        <v>1330</v>
      </c>
      <c r="B1335" s="145">
        <v>45621</v>
      </c>
      <c r="C1335" s="191">
        <v>2024</v>
      </c>
      <c r="D1335" s="192" t="s">
        <v>35</v>
      </c>
      <c r="E1335" s="192" t="s">
        <v>486</v>
      </c>
      <c r="F1335" s="193">
        <v>5</v>
      </c>
      <c r="G1335" s="148">
        <v>71465</v>
      </c>
    </row>
    <row r="1336" spans="1:7" x14ac:dyDescent="0.25">
      <c r="A1336" s="147">
        <v>1331</v>
      </c>
      <c r="B1336" s="145">
        <v>45621</v>
      </c>
      <c r="C1336" s="191">
        <v>2024</v>
      </c>
      <c r="D1336" s="192" t="s">
        <v>35</v>
      </c>
      <c r="E1336" s="192" t="s">
        <v>486</v>
      </c>
      <c r="F1336" s="193">
        <v>5</v>
      </c>
      <c r="G1336" s="148">
        <v>115055</v>
      </c>
    </row>
    <row r="1337" spans="1:7" x14ac:dyDescent="0.25">
      <c r="A1337" s="147">
        <v>1332</v>
      </c>
      <c r="B1337" s="145">
        <v>45621</v>
      </c>
      <c r="C1337" s="191">
        <v>2024</v>
      </c>
      <c r="D1337" s="192" t="s">
        <v>35</v>
      </c>
      <c r="E1337" s="192" t="s">
        <v>98</v>
      </c>
      <c r="F1337" s="193">
        <v>5</v>
      </c>
      <c r="G1337" s="148">
        <v>138019</v>
      </c>
    </row>
    <row r="1338" spans="1:7" x14ac:dyDescent="0.25">
      <c r="A1338" s="147">
        <v>1333</v>
      </c>
      <c r="B1338" s="145">
        <v>45622</v>
      </c>
      <c r="C1338" s="191">
        <v>2024</v>
      </c>
      <c r="D1338" s="192" t="s">
        <v>35</v>
      </c>
      <c r="E1338" s="192" t="s">
        <v>325</v>
      </c>
      <c r="F1338" s="193">
        <v>1</v>
      </c>
      <c r="G1338" s="148">
        <v>1830000</v>
      </c>
    </row>
    <row r="1339" spans="1:7" x14ac:dyDescent="0.25">
      <c r="A1339" s="147">
        <v>1334</v>
      </c>
      <c r="B1339" s="145">
        <v>45622</v>
      </c>
      <c r="C1339" s="191">
        <v>2024</v>
      </c>
      <c r="D1339" s="192" t="s">
        <v>35</v>
      </c>
      <c r="E1339" s="192" t="s">
        <v>329</v>
      </c>
      <c r="F1339" s="193">
        <v>1</v>
      </c>
      <c r="G1339" s="148">
        <v>1465000</v>
      </c>
    </row>
    <row r="1340" spans="1:7" x14ac:dyDescent="0.25">
      <c r="A1340" s="147">
        <v>1335</v>
      </c>
      <c r="B1340" s="145">
        <v>45622</v>
      </c>
      <c r="C1340" s="191">
        <v>2024</v>
      </c>
      <c r="D1340" s="192" t="s">
        <v>35</v>
      </c>
      <c r="E1340" s="192" t="s">
        <v>1272</v>
      </c>
      <c r="F1340" s="193">
        <v>1</v>
      </c>
      <c r="G1340" s="148">
        <v>425000</v>
      </c>
    </row>
    <row r="1341" spans="1:7" x14ac:dyDescent="0.25">
      <c r="A1341" s="147">
        <v>1336</v>
      </c>
      <c r="B1341" s="145">
        <v>45626</v>
      </c>
      <c r="C1341" s="191">
        <v>2024</v>
      </c>
      <c r="D1341" s="192" t="s">
        <v>35</v>
      </c>
      <c r="E1341" s="192" t="s">
        <v>473</v>
      </c>
      <c r="F1341" s="193">
        <v>5</v>
      </c>
      <c r="G1341" s="148">
        <v>139148</v>
      </c>
    </row>
    <row r="1342" spans="1:7" x14ac:dyDescent="0.25">
      <c r="A1342" s="147">
        <v>1337</v>
      </c>
      <c r="B1342" s="145">
        <v>45626</v>
      </c>
      <c r="C1342" s="191">
        <v>2024</v>
      </c>
      <c r="D1342" s="192" t="s">
        <v>35</v>
      </c>
      <c r="E1342" s="192" t="s">
        <v>1273</v>
      </c>
      <c r="F1342" s="193">
        <v>1</v>
      </c>
      <c r="G1342" s="148">
        <v>48000</v>
      </c>
    </row>
    <row r="1343" spans="1:7" x14ac:dyDescent="0.25">
      <c r="A1343" s="147">
        <v>1338</v>
      </c>
      <c r="B1343" s="145">
        <v>45628</v>
      </c>
      <c r="C1343" s="191">
        <v>2024</v>
      </c>
      <c r="D1343" s="192" t="s">
        <v>35</v>
      </c>
      <c r="E1343" s="192" t="s">
        <v>211</v>
      </c>
      <c r="F1343" s="193">
        <v>3</v>
      </c>
      <c r="G1343" s="148">
        <v>63000</v>
      </c>
    </row>
    <row r="1344" spans="1:7" x14ac:dyDescent="0.25">
      <c r="A1344" s="147">
        <v>1339</v>
      </c>
      <c r="B1344" s="145">
        <v>45628</v>
      </c>
      <c r="C1344" s="191">
        <v>2024</v>
      </c>
      <c r="D1344" s="192" t="s">
        <v>35</v>
      </c>
      <c r="E1344" s="192" t="s">
        <v>1274</v>
      </c>
      <c r="F1344" s="193">
        <v>1</v>
      </c>
      <c r="G1344" s="148">
        <v>51000</v>
      </c>
    </row>
    <row r="1345" spans="1:7" x14ac:dyDescent="0.25">
      <c r="A1345" s="147">
        <v>1340</v>
      </c>
      <c r="B1345" s="145">
        <v>45628</v>
      </c>
      <c r="C1345" s="191">
        <v>2024</v>
      </c>
      <c r="D1345" s="192" t="s">
        <v>35</v>
      </c>
      <c r="E1345" s="192" t="s">
        <v>1275</v>
      </c>
      <c r="F1345" s="193">
        <v>60</v>
      </c>
      <c r="G1345" s="148">
        <v>158800</v>
      </c>
    </row>
    <row r="1346" spans="1:7" x14ac:dyDescent="0.25">
      <c r="A1346" s="147">
        <v>1341</v>
      </c>
      <c r="B1346" s="145">
        <v>45630</v>
      </c>
      <c r="C1346" s="191">
        <v>2024</v>
      </c>
      <c r="D1346" s="192" t="s">
        <v>35</v>
      </c>
      <c r="E1346" s="192" t="s">
        <v>486</v>
      </c>
      <c r="F1346" s="193">
        <v>1</v>
      </c>
      <c r="G1346" s="148">
        <v>47500</v>
      </c>
    </row>
    <row r="1347" spans="1:7" x14ac:dyDescent="0.25">
      <c r="A1347" s="147">
        <v>1342</v>
      </c>
      <c r="B1347" s="145">
        <v>45631</v>
      </c>
      <c r="C1347" s="191">
        <v>2024</v>
      </c>
      <c r="D1347" s="192" t="s">
        <v>35</v>
      </c>
      <c r="E1347" s="192" t="s">
        <v>207</v>
      </c>
      <c r="F1347" s="193">
        <v>50</v>
      </c>
      <c r="G1347" s="148">
        <v>21900</v>
      </c>
    </row>
    <row r="1348" spans="1:7" x14ac:dyDescent="0.25">
      <c r="A1348" s="147">
        <v>1343</v>
      </c>
      <c r="B1348" s="145">
        <v>45631</v>
      </c>
      <c r="C1348" s="191">
        <v>2024</v>
      </c>
      <c r="D1348" s="192" t="s">
        <v>35</v>
      </c>
      <c r="E1348" s="192" t="s">
        <v>794</v>
      </c>
      <c r="F1348" s="193">
        <v>1</v>
      </c>
      <c r="G1348" s="148">
        <v>300000</v>
      </c>
    </row>
    <row r="1349" spans="1:7" x14ac:dyDescent="0.25">
      <c r="A1349" s="147">
        <v>1344</v>
      </c>
      <c r="B1349" s="116">
        <v>45632</v>
      </c>
      <c r="C1349" s="117">
        <v>2024</v>
      </c>
      <c r="D1349" s="118" t="s">
        <v>35</v>
      </c>
      <c r="E1349" s="119" t="s">
        <v>1277</v>
      </c>
      <c r="F1349" s="120">
        <v>1</v>
      </c>
      <c r="G1349" s="194">
        <v>48000</v>
      </c>
    </row>
    <row r="1350" spans="1:7" x14ac:dyDescent="0.25">
      <c r="A1350" s="147">
        <v>1345</v>
      </c>
      <c r="B1350" s="145">
        <v>45633</v>
      </c>
      <c r="C1350" s="191">
        <v>2024</v>
      </c>
      <c r="D1350" s="192" t="s">
        <v>35</v>
      </c>
      <c r="E1350" s="192" t="s">
        <v>675</v>
      </c>
      <c r="F1350" s="193">
        <v>12</v>
      </c>
      <c r="G1350" s="148">
        <v>252000</v>
      </c>
    </row>
    <row r="1351" spans="1:7" x14ac:dyDescent="0.25">
      <c r="A1351" s="147">
        <v>1346</v>
      </c>
      <c r="B1351" s="145">
        <v>45633</v>
      </c>
      <c r="C1351" s="191">
        <v>2024</v>
      </c>
      <c r="D1351" s="192" t="s">
        <v>35</v>
      </c>
      <c r="E1351" s="192" t="s">
        <v>1031</v>
      </c>
      <c r="F1351" s="193">
        <v>24</v>
      </c>
      <c r="G1351" s="148">
        <v>204000</v>
      </c>
    </row>
    <row r="1352" spans="1:7" x14ac:dyDescent="0.25">
      <c r="A1352" s="147">
        <v>1347</v>
      </c>
      <c r="B1352" s="145">
        <v>45635</v>
      </c>
      <c r="C1352" s="191">
        <v>2024</v>
      </c>
      <c r="D1352" s="192" t="s">
        <v>35</v>
      </c>
      <c r="E1352" s="192" t="s">
        <v>1282</v>
      </c>
      <c r="F1352" s="193">
        <v>40</v>
      </c>
      <c r="G1352" s="148">
        <v>93800</v>
      </c>
    </row>
    <row r="1353" spans="1:7" x14ac:dyDescent="0.25">
      <c r="A1353" s="147">
        <v>1348</v>
      </c>
      <c r="B1353" s="145">
        <v>45635</v>
      </c>
      <c r="C1353" s="191">
        <v>2024</v>
      </c>
      <c r="D1353" s="192" t="s">
        <v>35</v>
      </c>
      <c r="E1353" s="192" t="s">
        <v>1283</v>
      </c>
      <c r="F1353" s="193">
        <v>1</v>
      </c>
      <c r="G1353" s="148">
        <v>175000</v>
      </c>
    </row>
    <row r="1354" spans="1:7" x14ac:dyDescent="0.25">
      <c r="A1354" s="147">
        <v>1349</v>
      </c>
      <c r="B1354" s="145">
        <v>45635</v>
      </c>
      <c r="C1354" s="191">
        <v>2024</v>
      </c>
      <c r="D1354" s="192" t="s">
        <v>35</v>
      </c>
      <c r="E1354" s="192" t="s">
        <v>115</v>
      </c>
      <c r="F1354" s="193">
        <v>1</v>
      </c>
      <c r="G1354" s="148">
        <v>45000</v>
      </c>
    </row>
    <row r="1355" spans="1:7" x14ac:dyDescent="0.25">
      <c r="A1355" s="147">
        <v>1350</v>
      </c>
      <c r="B1355" s="145">
        <v>45635</v>
      </c>
      <c r="C1355" s="191">
        <v>2024</v>
      </c>
      <c r="D1355" s="192" t="s">
        <v>35</v>
      </c>
      <c r="E1355" s="192" t="s">
        <v>812</v>
      </c>
      <c r="F1355" s="193">
        <v>1</v>
      </c>
      <c r="G1355" s="148">
        <v>250000</v>
      </c>
    </row>
    <row r="1356" spans="1:7" x14ac:dyDescent="0.25">
      <c r="A1356" s="147">
        <v>1351</v>
      </c>
      <c r="B1356" s="145">
        <v>45635</v>
      </c>
      <c r="C1356" s="191">
        <v>2024</v>
      </c>
      <c r="D1356" s="192" t="s">
        <v>35</v>
      </c>
      <c r="E1356" s="192" t="s">
        <v>1284</v>
      </c>
      <c r="F1356" s="193">
        <v>1</v>
      </c>
      <c r="G1356" s="148">
        <v>10000</v>
      </c>
    </row>
    <row r="1357" spans="1:7" x14ac:dyDescent="0.25">
      <c r="A1357" s="147">
        <v>1352</v>
      </c>
      <c r="B1357" s="145">
        <v>45635</v>
      </c>
      <c r="C1357" s="191">
        <v>2024</v>
      </c>
      <c r="D1357" s="192" t="s">
        <v>35</v>
      </c>
      <c r="E1357" s="192" t="s">
        <v>1283</v>
      </c>
      <c r="F1357" s="193">
        <v>1</v>
      </c>
      <c r="G1357" s="148">
        <v>265000</v>
      </c>
    </row>
    <row r="1358" spans="1:7" x14ac:dyDescent="0.25">
      <c r="A1358" s="147">
        <v>1353</v>
      </c>
      <c r="B1358" s="145">
        <v>45635</v>
      </c>
      <c r="C1358" s="191">
        <v>2024</v>
      </c>
      <c r="D1358" s="192" t="s">
        <v>35</v>
      </c>
      <c r="E1358" s="192" t="s">
        <v>115</v>
      </c>
      <c r="F1358" s="193">
        <v>1</v>
      </c>
      <c r="G1358" s="148">
        <v>45000</v>
      </c>
    </row>
    <row r="1359" spans="1:7" x14ac:dyDescent="0.25">
      <c r="A1359" s="147">
        <v>1354</v>
      </c>
      <c r="B1359" s="145">
        <v>45635</v>
      </c>
      <c r="C1359" s="191">
        <v>2024</v>
      </c>
      <c r="D1359" s="192" t="s">
        <v>35</v>
      </c>
      <c r="E1359" s="192" t="s">
        <v>1285</v>
      </c>
      <c r="F1359" s="193">
        <v>1</v>
      </c>
      <c r="G1359" s="148">
        <v>1425000</v>
      </c>
    </row>
    <row r="1360" spans="1:7" x14ac:dyDescent="0.25">
      <c r="A1360" s="147">
        <v>1355</v>
      </c>
      <c r="B1360" s="145">
        <v>45635</v>
      </c>
      <c r="C1360" s="191">
        <v>2024</v>
      </c>
      <c r="D1360" s="192" t="s">
        <v>35</v>
      </c>
      <c r="E1360" s="192" t="s">
        <v>325</v>
      </c>
      <c r="F1360" s="193">
        <v>1</v>
      </c>
      <c r="G1360" s="148">
        <v>1780000</v>
      </c>
    </row>
    <row r="1361" spans="1:7" x14ac:dyDescent="0.25">
      <c r="A1361" s="147">
        <v>1356</v>
      </c>
      <c r="B1361" s="145">
        <v>45635</v>
      </c>
      <c r="C1361" s="191">
        <v>2024</v>
      </c>
      <c r="D1361" s="192" t="s">
        <v>35</v>
      </c>
      <c r="E1361" s="192" t="s">
        <v>910</v>
      </c>
      <c r="F1361" s="193">
        <v>1</v>
      </c>
      <c r="G1361" s="148">
        <v>420000</v>
      </c>
    </row>
    <row r="1362" spans="1:7" x14ac:dyDescent="0.25">
      <c r="A1362" s="147">
        <v>1357</v>
      </c>
      <c r="B1362" s="145">
        <v>45635</v>
      </c>
      <c r="C1362" s="191">
        <v>2024</v>
      </c>
      <c r="D1362" s="192" t="s">
        <v>35</v>
      </c>
      <c r="E1362" s="192" t="s">
        <v>808</v>
      </c>
      <c r="F1362" s="193">
        <v>1</v>
      </c>
      <c r="G1362" s="148">
        <v>35000</v>
      </c>
    </row>
    <row r="1363" spans="1:7" x14ac:dyDescent="0.25">
      <c r="A1363" s="147">
        <v>1358</v>
      </c>
      <c r="B1363" s="145">
        <v>45635</v>
      </c>
      <c r="C1363" s="191">
        <v>2024</v>
      </c>
      <c r="D1363" s="192" t="s">
        <v>35</v>
      </c>
      <c r="E1363" s="192" t="s">
        <v>872</v>
      </c>
      <c r="F1363" s="193">
        <v>1</v>
      </c>
      <c r="G1363" s="148">
        <v>25000</v>
      </c>
    </row>
    <row r="1364" spans="1:7" x14ac:dyDescent="0.25">
      <c r="A1364" s="147">
        <v>1359</v>
      </c>
      <c r="B1364" s="145">
        <v>45635</v>
      </c>
      <c r="C1364" s="191">
        <v>2024</v>
      </c>
      <c r="D1364" s="192" t="s">
        <v>35</v>
      </c>
      <c r="E1364" s="192" t="s">
        <v>1286</v>
      </c>
      <c r="F1364" s="193">
        <v>1</v>
      </c>
      <c r="G1364" s="148">
        <v>105000</v>
      </c>
    </row>
    <row r="1365" spans="1:7" x14ac:dyDescent="0.25">
      <c r="A1365" s="147">
        <v>1360</v>
      </c>
      <c r="B1365" s="145">
        <v>45635</v>
      </c>
      <c r="C1365" s="191">
        <v>2024</v>
      </c>
      <c r="D1365" s="192" t="s">
        <v>35</v>
      </c>
      <c r="E1365" s="192" t="s">
        <v>1006</v>
      </c>
      <c r="F1365" s="193">
        <v>1</v>
      </c>
      <c r="G1365" s="148">
        <v>85000</v>
      </c>
    </row>
    <row r="1366" spans="1:7" x14ac:dyDescent="0.25">
      <c r="A1366" s="147">
        <v>1361</v>
      </c>
      <c r="B1366" s="145">
        <v>45636</v>
      </c>
      <c r="C1366" s="191">
        <v>2024</v>
      </c>
      <c r="D1366" s="192" t="s">
        <v>35</v>
      </c>
      <c r="E1366" s="192" t="s">
        <v>794</v>
      </c>
      <c r="F1366" s="193">
        <v>1</v>
      </c>
      <c r="G1366" s="148">
        <v>166500</v>
      </c>
    </row>
    <row r="1367" spans="1:7" x14ac:dyDescent="0.25">
      <c r="A1367" s="147">
        <v>1362</v>
      </c>
      <c r="B1367" s="145">
        <v>45636</v>
      </c>
      <c r="C1367" s="191">
        <v>2024</v>
      </c>
      <c r="D1367" s="192" t="s">
        <v>35</v>
      </c>
      <c r="E1367" s="192" t="s">
        <v>794</v>
      </c>
      <c r="F1367" s="193">
        <v>1</v>
      </c>
      <c r="G1367" s="148">
        <v>166500</v>
      </c>
    </row>
    <row r="1368" spans="1:7" x14ac:dyDescent="0.25">
      <c r="A1368" s="147">
        <v>1363</v>
      </c>
      <c r="B1368" s="145">
        <v>45636</v>
      </c>
      <c r="C1368" s="191">
        <v>2024</v>
      </c>
      <c r="D1368" s="192" t="s">
        <v>35</v>
      </c>
      <c r="E1368" s="192" t="s">
        <v>794</v>
      </c>
      <c r="F1368" s="193">
        <v>1</v>
      </c>
      <c r="G1368" s="148">
        <v>166500</v>
      </c>
    </row>
    <row r="1369" spans="1:7" x14ac:dyDescent="0.25">
      <c r="A1369" s="147">
        <v>1364</v>
      </c>
      <c r="B1369" s="145">
        <v>45636</v>
      </c>
      <c r="C1369" s="191">
        <v>2024</v>
      </c>
      <c r="D1369" s="192" t="s">
        <v>35</v>
      </c>
      <c r="E1369" s="192" t="s">
        <v>794</v>
      </c>
      <c r="F1369" s="193">
        <v>1</v>
      </c>
      <c r="G1369" s="148">
        <v>166500</v>
      </c>
    </row>
    <row r="1370" spans="1:7" x14ac:dyDescent="0.25">
      <c r="A1370" s="147">
        <v>1365</v>
      </c>
      <c r="B1370" s="145">
        <v>45636</v>
      </c>
      <c r="C1370" s="191">
        <v>2024</v>
      </c>
      <c r="D1370" s="192" t="s">
        <v>35</v>
      </c>
      <c r="E1370" s="192" t="s">
        <v>794</v>
      </c>
      <c r="F1370" s="193">
        <v>1</v>
      </c>
      <c r="G1370" s="148">
        <v>166500</v>
      </c>
    </row>
    <row r="1371" spans="1:7" x14ac:dyDescent="0.25">
      <c r="A1371" s="147">
        <v>1366</v>
      </c>
      <c r="B1371" s="145">
        <v>45637</v>
      </c>
      <c r="C1371" s="191">
        <v>2024</v>
      </c>
      <c r="D1371" s="192" t="s">
        <v>35</v>
      </c>
      <c r="E1371" s="192" t="s">
        <v>1287</v>
      </c>
      <c r="F1371" s="193">
        <v>1</v>
      </c>
      <c r="G1371" s="148">
        <v>60000</v>
      </c>
    </row>
    <row r="1372" spans="1:7" x14ac:dyDescent="0.25">
      <c r="A1372" s="147">
        <v>1367</v>
      </c>
      <c r="B1372" s="145">
        <v>45637</v>
      </c>
      <c r="C1372" s="191">
        <v>2024</v>
      </c>
      <c r="D1372" s="192" t="s">
        <v>35</v>
      </c>
      <c r="E1372" s="192" t="s">
        <v>1288</v>
      </c>
      <c r="F1372" s="193">
        <v>1</v>
      </c>
      <c r="G1372" s="148">
        <v>5000</v>
      </c>
    </row>
    <row r="1373" spans="1:7" x14ac:dyDescent="0.25">
      <c r="A1373" s="147">
        <v>1368</v>
      </c>
      <c r="B1373" s="145">
        <v>45637</v>
      </c>
      <c r="C1373" s="191">
        <v>2024</v>
      </c>
      <c r="D1373" s="192" t="s">
        <v>35</v>
      </c>
      <c r="E1373" s="192" t="s">
        <v>1289</v>
      </c>
      <c r="F1373" s="193">
        <v>1</v>
      </c>
      <c r="G1373" s="148">
        <v>32500</v>
      </c>
    </row>
    <row r="1374" spans="1:7" x14ac:dyDescent="0.25">
      <c r="A1374" s="147">
        <v>1369</v>
      </c>
      <c r="B1374" s="145">
        <v>45637</v>
      </c>
      <c r="C1374" s="191">
        <v>2024</v>
      </c>
      <c r="D1374" s="192" t="s">
        <v>35</v>
      </c>
      <c r="E1374" s="192" t="s">
        <v>1290</v>
      </c>
      <c r="F1374" s="193">
        <v>1</v>
      </c>
      <c r="G1374" s="148">
        <v>27500</v>
      </c>
    </row>
    <row r="1375" spans="1:7" x14ac:dyDescent="0.25">
      <c r="A1375" s="147">
        <v>1370</v>
      </c>
      <c r="B1375" s="145">
        <v>45637</v>
      </c>
      <c r="C1375" s="191">
        <v>2024</v>
      </c>
      <c r="D1375" s="192" t="s">
        <v>35</v>
      </c>
      <c r="E1375" s="192" t="s">
        <v>1287</v>
      </c>
      <c r="F1375" s="193">
        <v>1</v>
      </c>
      <c r="G1375" s="148">
        <v>60000</v>
      </c>
    </row>
    <row r="1376" spans="1:7" x14ac:dyDescent="0.25">
      <c r="A1376" s="147">
        <v>1371</v>
      </c>
      <c r="B1376" s="145">
        <v>45640</v>
      </c>
      <c r="C1376" s="191">
        <v>2024</v>
      </c>
      <c r="D1376" s="192" t="s">
        <v>35</v>
      </c>
      <c r="E1376" s="192" t="s">
        <v>1291</v>
      </c>
      <c r="F1376" s="193">
        <v>100</v>
      </c>
      <c r="G1376" s="148">
        <v>800000</v>
      </c>
    </row>
    <row r="1377" spans="1:7" x14ac:dyDescent="0.25">
      <c r="A1377" s="147">
        <v>1372</v>
      </c>
      <c r="B1377" s="145">
        <v>45640</v>
      </c>
      <c r="C1377" s="191">
        <v>2024</v>
      </c>
      <c r="D1377" s="192" t="s">
        <v>35</v>
      </c>
      <c r="E1377" s="192" t="s">
        <v>571</v>
      </c>
      <c r="F1377" s="193">
        <v>2</v>
      </c>
      <c r="G1377" s="148">
        <v>32800</v>
      </c>
    </row>
    <row r="1378" spans="1:7" x14ac:dyDescent="0.25">
      <c r="A1378" s="147">
        <v>1373</v>
      </c>
      <c r="B1378" s="145">
        <v>45642</v>
      </c>
      <c r="C1378" s="191">
        <v>2024</v>
      </c>
      <c r="D1378" s="192" t="s">
        <v>35</v>
      </c>
      <c r="E1378" s="192" t="s">
        <v>1244</v>
      </c>
      <c r="F1378" s="193">
        <v>2</v>
      </c>
      <c r="G1378" s="148">
        <v>27050</v>
      </c>
    </row>
    <row r="1379" spans="1:7" x14ac:dyDescent="0.25">
      <c r="A1379" s="147">
        <v>1374</v>
      </c>
      <c r="B1379" s="145">
        <v>45642</v>
      </c>
      <c r="C1379" s="191">
        <v>2024</v>
      </c>
      <c r="D1379" s="192" t="s">
        <v>35</v>
      </c>
      <c r="E1379" s="192" t="s">
        <v>1293</v>
      </c>
      <c r="F1379" s="193">
        <v>10</v>
      </c>
      <c r="G1379" s="148">
        <v>268000</v>
      </c>
    </row>
    <row r="1380" spans="1:7" x14ac:dyDescent="0.25">
      <c r="A1380" s="147">
        <v>1375</v>
      </c>
      <c r="B1380" s="145">
        <v>45642</v>
      </c>
      <c r="C1380" s="191">
        <v>2024</v>
      </c>
      <c r="D1380" s="192" t="s">
        <v>35</v>
      </c>
      <c r="E1380" s="192" t="s">
        <v>1057</v>
      </c>
      <c r="F1380" s="193">
        <v>1</v>
      </c>
      <c r="G1380" s="148">
        <v>14400</v>
      </c>
    </row>
    <row r="1381" spans="1:7" x14ac:dyDescent="0.25">
      <c r="A1381" s="147">
        <v>1376</v>
      </c>
      <c r="B1381" s="145">
        <v>45642</v>
      </c>
      <c r="C1381" s="191">
        <v>2024</v>
      </c>
      <c r="D1381" s="192" t="s">
        <v>35</v>
      </c>
      <c r="E1381" s="192" t="s">
        <v>571</v>
      </c>
      <c r="F1381" s="193">
        <v>2</v>
      </c>
      <c r="G1381" s="148">
        <v>28625</v>
      </c>
    </row>
    <row r="1382" spans="1:7" x14ac:dyDescent="0.25">
      <c r="A1382" s="147">
        <v>1377</v>
      </c>
      <c r="B1382" s="145">
        <v>45642</v>
      </c>
      <c r="C1382" s="191">
        <v>2024</v>
      </c>
      <c r="D1382" s="192" t="s">
        <v>35</v>
      </c>
      <c r="E1382" s="192" t="s">
        <v>1294</v>
      </c>
      <c r="F1382" s="193">
        <v>2</v>
      </c>
      <c r="G1382" s="148">
        <v>28625</v>
      </c>
    </row>
    <row r="1383" spans="1:7" x14ac:dyDescent="0.25">
      <c r="A1383" s="147">
        <v>1378</v>
      </c>
      <c r="B1383" s="145">
        <v>45642</v>
      </c>
      <c r="C1383" s="191">
        <v>2024</v>
      </c>
      <c r="D1383" s="192" t="s">
        <v>35</v>
      </c>
      <c r="E1383" s="192" t="s">
        <v>1282</v>
      </c>
      <c r="F1383" s="193">
        <v>4</v>
      </c>
      <c r="G1383" s="148">
        <v>104760</v>
      </c>
    </row>
    <row r="1384" spans="1:7" x14ac:dyDescent="0.25">
      <c r="A1384" s="147">
        <v>1379</v>
      </c>
      <c r="B1384" s="145">
        <v>45642</v>
      </c>
      <c r="C1384" s="191">
        <v>2024</v>
      </c>
      <c r="D1384" s="192" t="s">
        <v>35</v>
      </c>
      <c r="E1384" s="192" t="s">
        <v>1295</v>
      </c>
      <c r="F1384" s="193">
        <v>1</v>
      </c>
      <c r="G1384" s="148">
        <v>9000000</v>
      </c>
    </row>
    <row r="1385" spans="1:7" x14ac:dyDescent="0.25">
      <c r="A1385" s="147">
        <v>1380</v>
      </c>
      <c r="B1385" s="145">
        <v>45642</v>
      </c>
      <c r="C1385" s="191">
        <v>2024</v>
      </c>
      <c r="D1385" s="192" t="s">
        <v>35</v>
      </c>
      <c r="E1385" s="192" t="s">
        <v>1076</v>
      </c>
      <c r="F1385" s="193">
        <v>1</v>
      </c>
      <c r="G1385" s="148">
        <v>3100000</v>
      </c>
    </row>
    <row r="1386" spans="1:7" x14ac:dyDescent="0.25">
      <c r="A1386" s="147">
        <v>1381</v>
      </c>
      <c r="B1386" s="145">
        <v>45642</v>
      </c>
      <c r="C1386" s="191">
        <v>2024</v>
      </c>
      <c r="D1386" s="192" t="s">
        <v>35</v>
      </c>
      <c r="E1386" s="192" t="s">
        <v>1295</v>
      </c>
      <c r="F1386" s="193">
        <v>1</v>
      </c>
      <c r="G1386" s="148">
        <v>9000000</v>
      </c>
    </row>
    <row r="1387" spans="1:7" x14ac:dyDescent="0.25">
      <c r="A1387" s="147">
        <v>1382</v>
      </c>
      <c r="B1387" s="145">
        <v>45642</v>
      </c>
      <c r="C1387" s="191">
        <v>2024</v>
      </c>
      <c r="D1387" s="192" t="s">
        <v>35</v>
      </c>
      <c r="E1387" s="192" t="s">
        <v>1296</v>
      </c>
      <c r="F1387" s="193">
        <v>1</v>
      </c>
      <c r="G1387" s="148">
        <v>35000</v>
      </c>
    </row>
    <row r="1388" spans="1:7" x14ac:dyDescent="0.25">
      <c r="A1388" s="147">
        <v>1383</v>
      </c>
      <c r="B1388" s="145">
        <v>45642</v>
      </c>
      <c r="C1388" s="191">
        <v>2024</v>
      </c>
      <c r="D1388" s="192" t="s">
        <v>35</v>
      </c>
      <c r="E1388" s="192" t="s">
        <v>1297</v>
      </c>
      <c r="F1388" s="193">
        <v>1</v>
      </c>
      <c r="G1388" s="148">
        <v>1230000</v>
      </c>
    </row>
    <row r="1389" spans="1:7" x14ac:dyDescent="0.25">
      <c r="A1389" s="147">
        <v>1384</v>
      </c>
      <c r="B1389" s="145">
        <v>45642</v>
      </c>
      <c r="C1389" s="191">
        <v>2024</v>
      </c>
      <c r="D1389" s="192" t="s">
        <v>35</v>
      </c>
      <c r="E1389" s="192" t="s">
        <v>1297</v>
      </c>
      <c r="F1389" s="193">
        <v>1</v>
      </c>
      <c r="G1389" s="148">
        <v>1225000</v>
      </c>
    </row>
    <row r="1390" spans="1:7" x14ac:dyDescent="0.25">
      <c r="A1390" s="147">
        <v>1385</v>
      </c>
      <c r="B1390" s="145">
        <v>45642</v>
      </c>
      <c r="C1390" s="191">
        <v>2024</v>
      </c>
      <c r="D1390" s="192" t="s">
        <v>35</v>
      </c>
      <c r="E1390" s="192" t="s">
        <v>1295</v>
      </c>
      <c r="F1390" s="193">
        <v>1</v>
      </c>
      <c r="G1390" s="148">
        <v>9000000</v>
      </c>
    </row>
    <row r="1391" spans="1:7" x14ac:dyDescent="0.25">
      <c r="A1391" s="147">
        <v>1386</v>
      </c>
      <c r="B1391" s="145">
        <v>45642</v>
      </c>
      <c r="C1391" s="191">
        <v>2024</v>
      </c>
      <c r="D1391" s="192" t="s">
        <v>35</v>
      </c>
      <c r="E1391" s="192" t="s">
        <v>823</v>
      </c>
      <c r="F1391" s="193">
        <v>1</v>
      </c>
      <c r="G1391" s="148">
        <v>20000</v>
      </c>
    </row>
    <row r="1392" spans="1:7" x14ac:dyDescent="0.25">
      <c r="A1392" s="147">
        <v>1387</v>
      </c>
      <c r="B1392" s="145">
        <v>45642</v>
      </c>
      <c r="C1392" s="191">
        <v>2024</v>
      </c>
      <c r="D1392" s="192" t="s">
        <v>35</v>
      </c>
      <c r="E1392" s="192" t="s">
        <v>1295</v>
      </c>
      <c r="F1392" s="193">
        <v>1</v>
      </c>
      <c r="G1392" s="148">
        <v>9000000</v>
      </c>
    </row>
    <row r="1393" spans="1:7" x14ac:dyDescent="0.25">
      <c r="A1393" s="147">
        <v>1388</v>
      </c>
      <c r="B1393" s="145">
        <v>45642</v>
      </c>
      <c r="C1393" s="191">
        <v>2024</v>
      </c>
      <c r="D1393" s="192" t="s">
        <v>35</v>
      </c>
      <c r="E1393" s="192" t="s">
        <v>1297</v>
      </c>
      <c r="F1393" s="193">
        <v>1</v>
      </c>
      <c r="G1393" s="148">
        <v>615000</v>
      </c>
    </row>
    <row r="1394" spans="1:7" x14ac:dyDescent="0.25">
      <c r="A1394" s="147">
        <v>1389</v>
      </c>
      <c r="B1394" s="145">
        <v>45642</v>
      </c>
      <c r="C1394" s="191">
        <v>2024</v>
      </c>
      <c r="D1394" s="192" t="s">
        <v>35</v>
      </c>
      <c r="E1394" s="192" t="s">
        <v>1297</v>
      </c>
      <c r="F1394" s="193">
        <v>1</v>
      </c>
      <c r="G1394" s="148">
        <v>1224000</v>
      </c>
    </row>
    <row r="1395" spans="1:7" x14ac:dyDescent="0.25">
      <c r="A1395" s="147">
        <v>1390</v>
      </c>
      <c r="B1395" s="145">
        <v>45642</v>
      </c>
      <c r="C1395" s="191">
        <v>2024</v>
      </c>
      <c r="D1395" s="192" t="s">
        <v>35</v>
      </c>
      <c r="E1395" s="192" t="s">
        <v>1297</v>
      </c>
      <c r="F1395" s="193">
        <v>1</v>
      </c>
      <c r="G1395" s="148">
        <v>650000</v>
      </c>
    </row>
    <row r="1396" spans="1:7" x14ac:dyDescent="0.25">
      <c r="A1396" s="147">
        <v>1391</v>
      </c>
      <c r="B1396" s="145">
        <v>45642</v>
      </c>
      <c r="C1396" s="191">
        <v>2024</v>
      </c>
      <c r="D1396" s="192" t="s">
        <v>35</v>
      </c>
      <c r="E1396" s="192" t="s">
        <v>1295</v>
      </c>
      <c r="F1396" s="193">
        <v>1</v>
      </c>
      <c r="G1396" s="148">
        <v>9000000</v>
      </c>
    </row>
    <row r="1397" spans="1:7" x14ac:dyDescent="0.25">
      <c r="A1397" s="147">
        <v>1392</v>
      </c>
      <c r="B1397" s="145">
        <v>45643</v>
      </c>
      <c r="C1397" s="191">
        <v>2024</v>
      </c>
      <c r="D1397" s="192" t="s">
        <v>35</v>
      </c>
      <c r="E1397" s="192" t="s">
        <v>1298</v>
      </c>
      <c r="F1397" s="193">
        <v>6</v>
      </c>
      <c r="G1397" s="148">
        <v>18000</v>
      </c>
    </row>
    <row r="1398" spans="1:7" x14ac:dyDescent="0.25">
      <c r="A1398" s="147">
        <v>1393</v>
      </c>
      <c r="B1398" s="145">
        <v>45644</v>
      </c>
      <c r="C1398" s="191">
        <v>2024</v>
      </c>
      <c r="D1398" s="192" t="s">
        <v>35</v>
      </c>
      <c r="E1398" s="192" t="s">
        <v>1300</v>
      </c>
      <c r="F1398" s="193">
        <v>2</v>
      </c>
      <c r="G1398" s="148">
        <v>75000</v>
      </c>
    </row>
    <row r="1399" spans="1:7" x14ac:dyDescent="0.25">
      <c r="A1399" s="147">
        <v>1394</v>
      </c>
      <c r="B1399" s="145">
        <v>45644</v>
      </c>
      <c r="C1399" s="191">
        <v>2024</v>
      </c>
      <c r="D1399" s="192" t="s">
        <v>35</v>
      </c>
      <c r="E1399" s="192" t="s">
        <v>1059</v>
      </c>
      <c r="F1399" s="193">
        <v>15</v>
      </c>
      <c r="G1399" s="148">
        <v>283575</v>
      </c>
    </row>
    <row r="1400" spans="1:7" x14ac:dyDescent="0.25">
      <c r="A1400" s="147">
        <v>1395</v>
      </c>
      <c r="B1400" s="145">
        <v>45644</v>
      </c>
      <c r="C1400" s="191">
        <v>2024</v>
      </c>
      <c r="D1400" s="192" t="s">
        <v>35</v>
      </c>
      <c r="E1400" s="192" t="s">
        <v>1301</v>
      </c>
      <c r="F1400" s="193">
        <v>3</v>
      </c>
      <c r="G1400" s="148">
        <v>63000</v>
      </c>
    </row>
    <row r="1401" spans="1:7" x14ac:dyDescent="0.25">
      <c r="A1401" s="147">
        <v>1396</v>
      </c>
      <c r="B1401" s="145">
        <v>45645</v>
      </c>
      <c r="C1401" s="191">
        <v>2024</v>
      </c>
      <c r="D1401" s="192" t="s">
        <v>35</v>
      </c>
      <c r="E1401" s="192" t="s">
        <v>1302</v>
      </c>
      <c r="F1401" s="193">
        <v>3</v>
      </c>
      <c r="G1401" s="148">
        <v>65799</v>
      </c>
    </row>
    <row r="1402" spans="1:7" x14ac:dyDescent="0.25">
      <c r="A1402" s="147">
        <v>1397</v>
      </c>
      <c r="B1402" s="145">
        <v>45645</v>
      </c>
      <c r="C1402" s="191">
        <v>2024</v>
      </c>
      <c r="D1402" s="192" t="s">
        <v>35</v>
      </c>
      <c r="E1402" s="192" t="s">
        <v>1253</v>
      </c>
      <c r="F1402" s="193">
        <v>1</v>
      </c>
      <c r="G1402" s="148">
        <v>430000</v>
      </c>
    </row>
    <row r="1403" spans="1:7" x14ac:dyDescent="0.25">
      <c r="A1403" s="147">
        <v>1398</v>
      </c>
      <c r="B1403" s="145">
        <v>45645</v>
      </c>
      <c r="C1403" s="191">
        <v>2024</v>
      </c>
      <c r="D1403" s="192" t="s">
        <v>35</v>
      </c>
      <c r="E1403" s="192" t="s">
        <v>1062</v>
      </c>
      <c r="F1403" s="193">
        <v>1</v>
      </c>
      <c r="G1403" s="148">
        <v>245000</v>
      </c>
    </row>
    <row r="1404" spans="1:7" x14ac:dyDescent="0.25">
      <c r="A1404" s="147">
        <v>1399</v>
      </c>
      <c r="B1404" s="145">
        <v>45645</v>
      </c>
      <c r="C1404" s="191">
        <v>2024</v>
      </c>
      <c r="D1404" s="192" t="s">
        <v>35</v>
      </c>
      <c r="E1404" s="192" t="s">
        <v>1253</v>
      </c>
      <c r="F1404" s="193">
        <v>1</v>
      </c>
      <c r="G1404" s="148">
        <v>430000</v>
      </c>
    </row>
    <row r="1405" spans="1:7" x14ac:dyDescent="0.25">
      <c r="A1405" s="147">
        <v>1400</v>
      </c>
      <c r="B1405" s="145">
        <v>45645</v>
      </c>
      <c r="C1405" s="191">
        <v>2024</v>
      </c>
      <c r="D1405" s="192" t="s">
        <v>35</v>
      </c>
      <c r="E1405" s="192" t="s">
        <v>1303</v>
      </c>
      <c r="F1405" s="193">
        <v>1</v>
      </c>
      <c r="G1405" s="148">
        <v>75000</v>
      </c>
    </row>
    <row r="1406" spans="1:7" x14ac:dyDescent="0.25">
      <c r="A1406" s="147">
        <v>1401</v>
      </c>
      <c r="B1406" s="145">
        <v>45645</v>
      </c>
      <c r="C1406" s="191">
        <v>2024</v>
      </c>
      <c r="D1406" s="192" t="s">
        <v>35</v>
      </c>
      <c r="E1406" s="192" t="s">
        <v>1253</v>
      </c>
      <c r="F1406" s="193">
        <v>1</v>
      </c>
      <c r="G1406" s="148">
        <v>209000</v>
      </c>
    </row>
    <row r="1407" spans="1:7" x14ac:dyDescent="0.25">
      <c r="A1407" s="147">
        <v>1402</v>
      </c>
      <c r="B1407" s="145">
        <v>45645</v>
      </c>
      <c r="C1407" s="191">
        <v>2024</v>
      </c>
      <c r="D1407" s="192" t="s">
        <v>35</v>
      </c>
      <c r="E1407" s="192" t="s">
        <v>1253</v>
      </c>
      <c r="F1407" s="193">
        <v>1</v>
      </c>
      <c r="G1407" s="148">
        <v>430000</v>
      </c>
    </row>
    <row r="1408" spans="1:7" x14ac:dyDescent="0.25">
      <c r="A1408" s="147">
        <v>1403</v>
      </c>
      <c r="B1408" s="145">
        <v>45645</v>
      </c>
      <c r="C1408" s="191">
        <v>2024</v>
      </c>
      <c r="D1408" s="192" t="s">
        <v>35</v>
      </c>
      <c r="E1408" s="192" t="s">
        <v>1110</v>
      </c>
      <c r="F1408" s="193">
        <v>1</v>
      </c>
      <c r="G1408" s="148">
        <v>75000</v>
      </c>
    </row>
    <row r="1409" spans="1:7" x14ac:dyDescent="0.25">
      <c r="A1409" s="147">
        <v>1404</v>
      </c>
      <c r="B1409" s="145">
        <v>45645</v>
      </c>
      <c r="C1409" s="191">
        <v>2024</v>
      </c>
      <c r="D1409" s="192" t="s">
        <v>35</v>
      </c>
      <c r="E1409" s="192" t="s">
        <v>1253</v>
      </c>
      <c r="F1409" s="193">
        <v>1</v>
      </c>
      <c r="G1409" s="148">
        <v>430000</v>
      </c>
    </row>
    <row r="1410" spans="1:7" x14ac:dyDescent="0.25">
      <c r="A1410" s="147">
        <v>1405</v>
      </c>
      <c r="B1410" s="145">
        <v>45645</v>
      </c>
      <c r="C1410" s="191">
        <v>2024</v>
      </c>
      <c r="D1410" s="192" t="s">
        <v>35</v>
      </c>
      <c r="E1410" s="192" t="s">
        <v>1110</v>
      </c>
      <c r="F1410" s="193">
        <v>1</v>
      </c>
      <c r="G1410" s="148">
        <v>75000</v>
      </c>
    </row>
    <row r="1411" spans="1:7" x14ac:dyDescent="0.25">
      <c r="A1411" s="147">
        <v>1406</v>
      </c>
      <c r="B1411" s="145">
        <v>45645</v>
      </c>
      <c r="C1411" s="191">
        <v>2024</v>
      </c>
      <c r="D1411" s="192" t="s">
        <v>35</v>
      </c>
      <c r="E1411" s="192" t="s">
        <v>1253</v>
      </c>
      <c r="F1411" s="193">
        <v>1</v>
      </c>
      <c r="G1411" s="148">
        <v>430000</v>
      </c>
    </row>
    <row r="1412" spans="1:7" x14ac:dyDescent="0.25">
      <c r="A1412" s="147">
        <v>1407</v>
      </c>
      <c r="B1412" s="145">
        <v>45645</v>
      </c>
      <c r="C1412" s="191">
        <v>2024</v>
      </c>
      <c r="D1412" s="192" t="s">
        <v>35</v>
      </c>
      <c r="E1412" s="192" t="s">
        <v>1110</v>
      </c>
      <c r="F1412" s="193">
        <v>1</v>
      </c>
      <c r="G1412" s="148">
        <v>75000</v>
      </c>
    </row>
    <row r="1413" spans="1:7" x14ac:dyDescent="0.25">
      <c r="A1413" s="147">
        <v>1408</v>
      </c>
      <c r="B1413" s="145">
        <v>45645</v>
      </c>
      <c r="C1413" s="191">
        <v>2024</v>
      </c>
      <c r="D1413" s="192" t="s">
        <v>35</v>
      </c>
      <c r="E1413" s="192" t="s">
        <v>1304</v>
      </c>
      <c r="F1413" s="193">
        <v>1</v>
      </c>
      <c r="G1413" s="148">
        <v>56000</v>
      </c>
    </row>
    <row r="1414" spans="1:7" x14ac:dyDescent="0.25">
      <c r="A1414" s="147">
        <v>1409</v>
      </c>
      <c r="B1414" s="145">
        <v>45645</v>
      </c>
      <c r="C1414" s="191">
        <v>2024</v>
      </c>
      <c r="D1414" s="192" t="s">
        <v>35</v>
      </c>
      <c r="E1414" s="192" t="s">
        <v>1253</v>
      </c>
      <c r="F1414" s="193">
        <v>1</v>
      </c>
      <c r="G1414" s="148">
        <v>430000</v>
      </c>
    </row>
    <row r="1415" spans="1:7" x14ac:dyDescent="0.25">
      <c r="A1415" s="147">
        <v>1410</v>
      </c>
      <c r="B1415" s="145">
        <v>45645</v>
      </c>
      <c r="C1415" s="191">
        <v>2024</v>
      </c>
      <c r="D1415" s="192" t="s">
        <v>35</v>
      </c>
      <c r="E1415" s="192" t="s">
        <v>1062</v>
      </c>
      <c r="F1415" s="193">
        <v>1</v>
      </c>
      <c r="G1415" s="148">
        <v>227000</v>
      </c>
    </row>
    <row r="1416" spans="1:7" x14ac:dyDescent="0.25">
      <c r="A1416" s="147">
        <v>1411</v>
      </c>
      <c r="B1416" s="145">
        <v>45645</v>
      </c>
      <c r="C1416" s="191">
        <v>2024</v>
      </c>
      <c r="D1416" s="192" t="s">
        <v>35</v>
      </c>
      <c r="E1416" s="192" t="s">
        <v>1305</v>
      </c>
      <c r="F1416" s="193">
        <v>1</v>
      </c>
      <c r="G1416" s="148">
        <v>193000</v>
      </c>
    </row>
    <row r="1417" spans="1:7" x14ac:dyDescent="0.25">
      <c r="A1417" s="147">
        <v>1412</v>
      </c>
      <c r="B1417" s="145">
        <v>45645</v>
      </c>
      <c r="C1417" s="191">
        <v>2024</v>
      </c>
      <c r="D1417" s="192" t="s">
        <v>35</v>
      </c>
      <c r="E1417" s="192" t="s">
        <v>1110</v>
      </c>
      <c r="F1417" s="193">
        <v>1</v>
      </c>
      <c r="G1417" s="148">
        <v>75000</v>
      </c>
    </row>
    <row r="1418" spans="1:7" x14ac:dyDescent="0.25">
      <c r="A1418" s="147">
        <v>1413</v>
      </c>
      <c r="B1418" s="145">
        <v>45645</v>
      </c>
      <c r="C1418" s="191">
        <v>2024</v>
      </c>
      <c r="D1418" s="192" t="s">
        <v>35</v>
      </c>
      <c r="E1418" s="192" t="s">
        <v>1062</v>
      </c>
      <c r="F1418" s="193">
        <v>1</v>
      </c>
      <c r="G1418" s="148">
        <v>144000</v>
      </c>
    </row>
    <row r="1419" spans="1:7" x14ac:dyDescent="0.25">
      <c r="A1419" s="147">
        <v>1414</v>
      </c>
      <c r="B1419" s="145">
        <v>45645</v>
      </c>
      <c r="C1419" s="191">
        <v>2024</v>
      </c>
      <c r="D1419" s="192" t="s">
        <v>35</v>
      </c>
      <c r="E1419" s="192" t="s">
        <v>1253</v>
      </c>
      <c r="F1419" s="193">
        <v>1</v>
      </c>
      <c r="G1419" s="148">
        <v>184000</v>
      </c>
    </row>
    <row r="1420" spans="1:7" x14ac:dyDescent="0.25">
      <c r="A1420" s="147">
        <v>1415</v>
      </c>
      <c r="B1420" s="145">
        <v>45645</v>
      </c>
      <c r="C1420" s="191">
        <v>2024</v>
      </c>
      <c r="D1420" s="192" t="s">
        <v>35</v>
      </c>
      <c r="E1420" s="192" t="s">
        <v>1306</v>
      </c>
      <c r="F1420" s="193">
        <v>1</v>
      </c>
      <c r="G1420" s="148">
        <v>126500</v>
      </c>
    </row>
    <row r="1421" spans="1:7" x14ac:dyDescent="0.25">
      <c r="A1421" s="147">
        <v>1416</v>
      </c>
      <c r="B1421" s="145">
        <v>45645</v>
      </c>
      <c r="C1421" s="191">
        <v>2024</v>
      </c>
      <c r="D1421" s="192" t="s">
        <v>35</v>
      </c>
      <c r="E1421" s="192" t="s">
        <v>1253</v>
      </c>
      <c r="F1421" s="193">
        <v>1</v>
      </c>
      <c r="G1421" s="148">
        <v>430000</v>
      </c>
    </row>
    <row r="1422" spans="1:7" x14ac:dyDescent="0.25">
      <c r="A1422" s="147">
        <v>1417</v>
      </c>
      <c r="B1422" s="145">
        <v>45645</v>
      </c>
      <c r="C1422" s="191">
        <v>2024</v>
      </c>
      <c r="D1422" s="192" t="s">
        <v>35</v>
      </c>
      <c r="E1422" s="192" t="s">
        <v>1253</v>
      </c>
      <c r="F1422" s="193">
        <v>1</v>
      </c>
      <c r="G1422" s="148">
        <v>430000</v>
      </c>
    </row>
    <row r="1423" spans="1:7" x14ac:dyDescent="0.25">
      <c r="A1423" s="147">
        <v>1418</v>
      </c>
      <c r="B1423" s="145">
        <v>45645</v>
      </c>
      <c r="C1423" s="191">
        <v>2024</v>
      </c>
      <c r="D1423" s="192" t="s">
        <v>35</v>
      </c>
      <c r="E1423" s="192" t="s">
        <v>1110</v>
      </c>
      <c r="F1423" s="193">
        <v>1</v>
      </c>
      <c r="G1423" s="148">
        <v>75000</v>
      </c>
    </row>
    <row r="1424" spans="1:7" x14ac:dyDescent="0.25">
      <c r="A1424" s="147">
        <v>1419</v>
      </c>
      <c r="B1424" s="145">
        <v>45645</v>
      </c>
      <c r="C1424" s="191">
        <v>2024</v>
      </c>
      <c r="D1424" s="192" t="s">
        <v>35</v>
      </c>
      <c r="E1424" s="192" t="s">
        <v>1306</v>
      </c>
      <c r="F1424" s="193">
        <v>1</v>
      </c>
      <c r="G1424" s="148">
        <v>126500</v>
      </c>
    </row>
    <row r="1425" spans="1:7" x14ac:dyDescent="0.25">
      <c r="A1425" s="147">
        <v>1420</v>
      </c>
      <c r="B1425" s="145">
        <v>45645</v>
      </c>
      <c r="C1425" s="191">
        <v>2024</v>
      </c>
      <c r="D1425" s="192" t="s">
        <v>35</v>
      </c>
      <c r="E1425" s="192" t="s">
        <v>1253</v>
      </c>
      <c r="F1425" s="193">
        <v>1</v>
      </c>
      <c r="G1425" s="148">
        <v>184000</v>
      </c>
    </row>
    <row r="1426" spans="1:7" x14ac:dyDescent="0.25">
      <c r="A1426" s="147">
        <v>1421</v>
      </c>
      <c r="B1426" s="145">
        <v>45645</v>
      </c>
      <c r="C1426" s="191">
        <v>2024</v>
      </c>
      <c r="D1426" s="192" t="s">
        <v>35</v>
      </c>
      <c r="E1426" s="192" t="s">
        <v>1062</v>
      </c>
      <c r="F1426" s="193">
        <v>1</v>
      </c>
      <c r="G1426" s="148">
        <v>193000</v>
      </c>
    </row>
    <row r="1427" spans="1:7" x14ac:dyDescent="0.25">
      <c r="A1427" s="147">
        <v>1422</v>
      </c>
      <c r="B1427" s="145">
        <v>45645</v>
      </c>
      <c r="C1427" s="191">
        <v>2024</v>
      </c>
      <c r="D1427" s="192" t="s">
        <v>35</v>
      </c>
      <c r="E1427" s="192" t="s">
        <v>1062</v>
      </c>
      <c r="F1427" s="193">
        <v>1</v>
      </c>
      <c r="G1427" s="148">
        <v>245000</v>
      </c>
    </row>
    <row r="1428" spans="1:7" x14ac:dyDescent="0.25">
      <c r="A1428" s="147">
        <v>1423</v>
      </c>
      <c r="B1428" s="145">
        <v>45645</v>
      </c>
      <c r="C1428" s="191">
        <v>2024</v>
      </c>
      <c r="D1428" s="192" t="s">
        <v>35</v>
      </c>
      <c r="E1428" s="192" t="s">
        <v>1253</v>
      </c>
      <c r="F1428" s="193">
        <v>1</v>
      </c>
      <c r="G1428" s="148">
        <v>430000</v>
      </c>
    </row>
    <row r="1429" spans="1:7" x14ac:dyDescent="0.25">
      <c r="A1429" s="147">
        <v>1424</v>
      </c>
      <c r="B1429" s="145">
        <v>45645</v>
      </c>
      <c r="C1429" s="191">
        <v>2024</v>
      </c>
      <c r="D1429" s="192" t="s">
        <v>35</v>
      </c>
      <c r="E1429" s="192" t="s">
        <v>1110</v>
      </c>
      <c r="F1429" s="193">
        <v>1</v>
      </c>
      <c r="G1429" s="148">
        <v>75000</v>
      </c>
    </row>
    <row r="1430" spans="1:7" x14ac:dyDescent="0.25">
      <c r="A1430" s="147">
        <v>1425</v>
      </c>
      <c r="B1430" s="145">
        <v>45645</v>
      </c>
      <c r="C1430" s="191">
        <v>2024</v>
      </c>
      <c r="D1430" s="192" t="s">
        <v>35</v>
      </c>
      <c r="E1430" s="192" t="s">
        <v>1062</v>
      </c>
      <c r="F1430" s="193">
        <v>1</v>
      </c>
      <c r="G1430" s="148">
        <v>89000</v>
      </c>
    </row>
    <row r="1431" spans="1:7" x14ac:dyDescent="0.25">
      <c r="A1431" s="147">
        <v>1426</v>
      </c>
      <c r="B1431" s="145">
        <v>45645</v>
      </c>
      <c r="C1431" s="191">
        <v>2024</v>
      </c>
      <c r="D1431" s="192" t="s">
        <v>35</v>
      </c>
      <c r="E1431" s="192" t="s">
        <v>1253</v>
      </c>
      <c r="F1431" s="193">
        <v>1</v>
      </c>
      <c r="G1431" s="148">
        <v>99000</v>
      </c>
    </row>
    <row r="1432" spans="1:7" x14ac:dyDescent="0.25">
      <c r="A1432" s="147">
        <v>1427</v>
      </c>
      <c r="B1432" s="145">
        <v>45645</v>
      </c>
      <c r="C1432" s="191">
        <v>2024</v>
      </c>
      <c r="D1432" s="192" t="s">
        <v>35</v>
      </c>
      <c r="E1432" s="192" t="s">
        <v>1253</v>
      </c>
      <c r="F1432" s="193">
        <v>1</v>
      </c>
      <c r="G1432" s="148">
        <v>430000</v>
      </c>
    </row>
    <row r="1433" spans="1:7" x14ac:dyDescent="0.25">
      <c r="A1433" s="147">
        <v>1428</v>
      </c>
      <c r="B1433" s="145">
        <v>45645</v>
      </c>
      <c r="C1433" s="191">
        <v>2024</v>
      </c>
      <c r="D1433" s="192" t="s">
        <v>35</v>
      </c>
      <c r="E1433" s="192" t="s">
        <v>1062</v>
      </c>
      <c r="F1433" s="193">
        <v>1</v>
      </c>
      <c r="G1433" s="148">
        <v>245000</v>
      </c>
    </row>
    <row r="1434" spans="1:7" x14ac:dyDescent="0.25">
      <c r="A1434" s="147">
        <v>1429</v>
      </c>
      <c r="B1434" s="145">
        <v>45645</v>
      </c>
      <c r="C1434" s="191">
        <v>2024</v>
      </c>
      <c r="D1434" s="192" t="s">
        <v>35</v>
      </c>
      <c r="E1434" s="192" t="s">
        <v>1253</v>
      </c>
      <c r="F1434" s="193">
        <v>1</v>
      </c>
      <c r="G1434" s="148">
        <v>430000</v>
      </c>
    </row>
    <row r="1435" spans="1:7" x14ac:dyDescent="0.25">
      <c r="A1435" s="147">
        <v>1430</v>
      </c>
      <c r="B1435" s="145">
        <v>45645</v>
      </c>
      <c r="C1435" s="191">
        <v>2024</v>
      </c>
      <c r="D1435" s="192" t="s">
        <v>35</v>
      </c>
      <c r="E1435" s="192" t="s">
        <v>1253</v>
      </c>
      <c r="F1435" s="193">
        <v>1</v>
      </c>
      <c r="G1435" s="148">
        <v>209000</v>
      </c>
    </row>
    <row r="1436" spans="1:7" x14ac:dyDescent="0.25">
      <c r="A1436" s="147">
        <v>1431</v>
      </c>
      <c r="B1436" s="145">
        <v>45645</v>
      </c>
      <c r="C1436" s="191">
        <v>2024</v>
      </c>
      <c r="D1436" s="192" t="s">
        <v>35</v>
      </c>
      <c r="E1436" s="192" t="s">
        <v>1253</v>
      </c>
      <c r="F1436" s="193">
        <v>1</v>
      </c>
      <c r="G1436" s="148">
        <v>430000</v>
      </c>
    </row>
    <row r="1437" spans="1:7" x14ac:dyDescent="0.25">
      <c r="A1437" s="147">
        <v>1432</v>
      </c>
      <c r="B1437" s="145">
        <v>45645</v>
      </c>
      <c r="C1437" s="191">
        <v>2024</v>
      </c>
      <c r="D1437" s="192" t="s">
        <v>35</v>
      </c>
      <c r="E1437" s="192" t="s">
        <v>1062</v>
      </c>
      <c r="F1437" s="193">
        <v>1</v>
      </c>
      <c r="G1437" s="148">
        <v>193000</v>
      </c>
    </row>
    <row r="1438" spans="1:7" x14ac:dyDescent="0.25">
      <c r="A1438" s="147">
        <v>1433</v>
      </c>
      <c r="B1438" s="145">
        <v>45645</v>
      </c>
      <c r="C1438" s="191">
        <v>2024</v>
      </c>
      <c r="D1438" s="192" t="s">
        <v>35</v>
      </c>
      <c r="E1438" s="192" t="s">
        <v>1110</v>
      </c>
      <c r="F1438" s="193">
        <v>1</v>
      </c>
      <c r="G1438" s="148">
        <v>75000</v>
      </c>
    </row>
    <row r="1439" spans="1:7" x14ac:dyDescent="0.25">
      <c r="A1439" s="147">
        <v>1434</v>
      </c>
      <c r="B1439" s="145">
        <v>45645</v>
      </c>
      <c r="C1439" s="191">
        <v>2024</v>
      </c>
      <c r="D1439" s="192" t="s">
        <v>35</v>
      </c>
      <c r="E1439" s="192" t="s">
        <v>1253</v>
      </c>
      <c r="F1439" s="193">
        <v>1</v>
      </c>
      <c r="G1439" s="148">
        <v>430000</v>
      </c>
    </row>
    <row r="1440" spans="1:7" x14ac:dyDescent="0.25">
      <c r="A1440" s="147">
        <v>1435</v>
      </c>
      <c r="B1440" s="145">
        <v>45645</v>
      </c>
      <c r="C1440" s="191">
        <v>2024</v>
      </c>
      <c r="D1440" s="192" t="s">
        <v>35</v>
      </c>
      <c r="E1440" s="192" t="s">
        <v>1062</v>
      </c>
      <c r="F1440" s="193">
        <v>1</v>
      </c>
      <c r="G1440" s="148">
        <v>193000</v>
      </c>
    </row>
    <row r="1441" spans="1:7" x14ac:dyDescent="0.25">
      <c r="A1441" s="147">
        <v>1436</v>
      </c>
      <c r="B1441" s="145">
        <v>45645</v>
      </c>
      <c r="C1441" s="191">
        <v>2024</v>
      </c>
      <c r="D1441" s="192" t="s">
        <v>35</v>
      </c>
      <c r="E1441" s="192" t="s">
        <v>1062</v>
      </c>
      <c r="F1441" s="193">
        <v>1</v>
      </c>
      <c r="G1441" s="148">
        <v>245000</v>
      </c>
    </row>
    <row r="1442" spans="1:7" x14ac:dyDescent="0.25">
      <c r="A1442" s="147">
        <v>1437</v>
      </c>
      <c r="B1442" s="145">
        <v>45645</v>
      </c>
      <c r="C1442" s="191">
        <v>2024</v>
      </c>
      <c r="D1442" s="192" t="s">
        <v>35</v>
      </c>
      <c r="E1442" s="192" t="s">
        <v>1304</v>
      </c>
      <c r="F1442" s="193">
        <v>1</v>
      </c>
      <c r="G1442" s="148">
        <v>56000</v>
      </c>
    </row>
    <row r="1443" spans="1:7" x14ac:dyDescent="0.25">
      <c r="A1443" s="147">
        <v>1438</v>
      </c>
      <c r="B1443" s="145">
        <v>45645</v>
      </c>
      <c r="C1443" s="191">
        <v>2024</v>
      </c>
      <c r="D1443" s="192" t="s">
        <v>35</v>
      </c>
      <c r="E1443" s="192" t="s">
        <v>1253</v>
      </c>
      <c r="F1443" s="193">
        <v>1</v>
      </c>
      <c r="G1443" s="148">
        <v>144000</v>
      </c>
    </row>
    <row r="1444" spans="1:7" x14ac:dyDescent="0.25">
      <c r="A1444" s="147">
        <v>1439</v>
      </c>
      <c r="B1444" s="145">
        <v>45645</v>
      </c>
      <c r="C1444" s="191">
        <v>2024</v>
      </c>
      <c r="D1444" s="192" t="s">
        <v>35</v>
      </c>
      <c r="E1444" s="192" t="s">
        <v>1253</v>
      </c>
      <c r="F1444" s="193">
        <v>1</v>
      </c>
      <c r="G1444" s="148">
        <v>430000</v>
      </c>
    </row>
    <row r="1445" spans="1:7" x14ac:dyDescent="0.25">
      <c r="A1445" s="147">
        <v>1440</v>
      </c>
      <c r="B1445" s="145">
        <v>45645</v>
      </c>
      <c r="C1445" s="191">
        <v>2024</v>
      </c>
      <c r="D1445" s="192" t="s">
        <v>35</v>
      </c>
      <c r="E1445" s="192" t="s">
        <v>1110</v>
      </c>
      <c r="F1445" s="193">
        <v>1</v>
      </c>
      <c r="G1445" s="148">
        <v>75000</v>
      </c>
    </row>
    <row r="1446" spans="1:7" x14ac:dyDescent="0.25">
      <c r="A1446" s="147">
        <v>1441</v>
      </c>
      <c r="B1446" s="145">
        <v>45645</v>
      </c>
      <c r="C1446" s="191">
        <v>2024</v>
      </c>
      <c r="D1446" s="192" t="s">
        <v>35</v>
      </c>
      <c r="E1446" s="192" t="s">
        <v>1253</v>
      </c>
      <c r="F1446" s="193">
        <v>1</v>
      </c>
      <c r="G1446" s="148">
        <v>430000</v>
      </c>
    </row>
    <row r="1447" spans="1:7" x14ac:dyDescent="0.25">
      <c r="A1447" s="147">
        <v>1442</v>
      </c>
      <c r="B1447" s="145">
        <v>45645</v>
      </c>
      <c r="C1447" s="191">
        <v>2024</v>
      </c>
      <c r="D1447" s="192" t="s">
        <v>35</v>
      </c>
      <c r="E1447" s="192" t="s">
        <v>1253</v>
      </c>
      <c r="F1447" s="193">
        <v>1</v>
      </c>
      <c r="G1447" s="148">
        <v>430000</v>
      </c>
    </row>
    <row r="1448" spans="1:7" x14ac:dyDescent="0.25">
      <c r="A1448" s="147">
        <v>1443</v>
      </c>
      <c r="B1448" s="145">
        <v>45645</v>
      </c>
      <c r="C1448" s="191">
        <v>2024</v>
      </c>
      <c r="D1448" s="192" t="s">
        <v>35</v>
      </c>
      <c r="E1448" s="192" t="s">
        <v>1110</v>
      </c>
      <c r="F1448" s="193">
        <v>1</v>
      </c>
      <c r="G1448" s="148">
        <v>75000</v>
      </c>
    </row>
    <row r="1449" spans="1:7" x14ac:dyDescent="0.25">
      <c r="A1449" s="147">
        <v>1444</v>
      </c>
      <c r="B1449" s="145">
        <v>45645</v>
      </c>
      <c r="C1449" s="191">
        <v>2024</v>
      </c>
      <c r="D1449" s="192" t="s">
        <v>35</v>
      </c>
      <c r="E1449" s="192" t="s">
        <v>1253</v>
      </c>
      <c r="F1449" s="193">
        <v>1</v>
      </c>
      <c r="G1449" s="148">
        <v>430000</v>
      </c>
    </row>
    <row r="1450" spans="1:7" x14ac:dyDescent="0.25">
      <c r="A1450" s="147">
        <v>1445</v>
      </c>
      <c r="B1450" s="145">
        <v>45645</v>
      </c>
      <c r="C1450" s="191">
        <v>2024</v>
      </c>
      <c r="D1450" s="192" t="s">
        <v>35</v>
      </c>
      <c r="E1450" s="192" t="s">
        <v>1062</v>
      </c>
      <c r="F1450" s="193">
        <v>1</v>
      </c>
      <c r="G1450" s="148">
        <v>245000</v>
      </c>
    </row>
    <row r="1451" spans="1:7" x14ac:dyDescent="0.25">
      <c r="A1451" s="147">
        <v>1446</v>
      </c>
      <c r="B1451" s="145">
        <v>45645</v>
      </c>
      <c r="C1451" s="191">
        <v>2024</v>
      </c>
      <c r="D1451" s="192" t="s">
        <v>35</v>
      </c>
      <c r="E1451" s="192" t="s">
        <v>1062</v>
      </c>
      <c r="F1451" s="193">
        <v>1</v>
      </c>
      <c r="G1451" s="148">
        <v>193000</v>
      </c>
    </row>
    <row r="1452" spans="1:7" x14ac:dyDescent="0.25">
      <c r="A1452" s="147">
        <v>1447</v>
      </c>
      <c r="B1452" s="145">
        <v>45645</v>
      </c>
      <c r="C1452" s="191">
        <v>2024</v>
      </c>
      <c r="D1452" s="192" t="s">
        <v>35</v>
      </c>
      <c r="E1452" s="192" t="s">
        <v>1253</v>
      </c>
      <c r="F1452" s="193">
        <v>1</v>
      </c>
      <c r="G1452" s="148">
        <v>430000</v>
      </c>
    </row>
    <row r="1453" spans="1:7" x14ac:dyDescent="0.25">
      <c r="A1453" s="147">
        <v>1448</v>
      </c>
      <c r="B1453" s="145">
        <v>45646</v>
      </c>
      <c r="C1453" s="191">
        <v>2024</v>
      </c>
      <c r="D1453" s="192" t="s">
        <v>35</v>
      </c>
      <c r="E1453" s="192" t="s">
        <v>668</v>
      </c>
      <c r="F1453" s="193">
        <v>1</v>
      </c>
      <c r="G1453" s="148">
        <v>43119</v>
      </c>
    </row>
    <row r="1454" spans="1:7" x14ac:dyDescent="0.25">
      <c r="A1454" s="147">
        <v>1449</v>
      </c>
      <c r="B1454" s="145">
        <v>45646</v>
      </c>
      <c r="C1454" s="191">
        <v>2024</v>
      </c>
      <c r="D1454" s="192" t="s">
        <v>35</v>
      </c>
      <c r="E1454" s="192" t="s">
        <v>1307</v>
      </c>
      <c r="F1454" s="193">
        <v>3</v>
      </c>
      <c r="G1454" s="148">
        <v>5597</v>
      </c>
    </row>
    <row r="1455" spans="1:7" x14ac:dyDescent="0.25">
      <c r="A1455" s="147">
        <v>1450</v>
      </c>
      <c r="B1455" s="145">
        <v>45646</v>
      </c>
      <c r="C1455" s="191">
        <v>2024</v>
      </c>
      <c r="D1455" s="192" t="s">
        <v>35</v>
      </c>
      <c r="E1455" s="192" t="s">
        <v>350</v>
      </c>
      <c r="F1455" s="193">
        <v>3</v>
      </c>
      <c r="G1455" s="148">
        <v>64677</v>
      </c>
    </row>
    <row r="1456" spans="1:7" x14ac:dyDescent="0.25">
      <c r="A1456" s="147">
        <v>1451</v>
      </c>
      <c r="B1456" s="145">
        <v>45646</v>
      </c>
      <c r="C1456" s="191">
        <v>2024</v>
      </c>
      <c r="D1456" s="192" t="s">
        <v>35</v>
      </c>
      <c r="E1456" s="192" t="s">
        <v>1308</v>
      </c>
      <c r="F1456" s="193">
        <v>1</v>
      </c>
      <c r="G1456" s="148">
        <v>14780</v>
      </c>
    </row>
    <row r="1457" spans="1:7" x14ac:dyDescent="0.25">
      <c r="A1457" s="147">
        <v>1452</v>
      </c>
      <c r="B1457" s="145">
        <v>45650</v>
      </c>
      <c r="C1457" s="191">
        <v>2024</v>
      </c>
      <c r="D1457" s="192" t="s">
        <v>35</v>
      </c>
      <c r="E1457" s="192" t="s">
        <v>739</v>
      </c>
      <c r="F1457" s="193">
        <v>75</v>
      </c>
      <c r="G1457" s="148">
        <v>562500</v>
      </c>
    </row>
    <row r="1458" spans="1:7" x14ac:dyDescent="0.25">
      <c r="A1458" s="147">
        <v>1453</v>
      </c>
      <c r="B1458" s="145">
        <v>45650</v>
      </c>
      <c r="C1458" s="191">
        <v>2024</v>
      </c>
      <c r="D1458" s="192" t="s">
        <v>35</v>
      </c>
      <c r="E1458" s="192" t="s">
        <v>476</v>
      </c>
      <c r="F1458" s="193">
        <v>6</v>
      </c>
      <c r="G1458" s="148">
        <v>152488</v>
      </c>
    </row>
    <row r="1459" spans="1:7" x14ac:dyDescent="0.25">
      <c r="A1459" s="147">
        <v>1454</v>
      </c>
      <c r="B1459" s="145">
        <v>45653</v>
      </c>
      <c r="C1459" s="191">
        <v>2024</v>
      </c>
      <c r="D1459" s="192" t="s">
        <v>35</v>
      </c>
      <c r="E1459" s="192" t="s">
        <v>1059</v>
      </c>
      <c r="F1459" s="193">
        <v>25</v>
      </c>
      <c r="G1459" s="148">
        <v>457700</v>
      </c>
    </row>
    <row r="1460" spans="1:7" x14ac:dyDescent="0.25">
      <c r="A1460" s="147">
        <v>1455</v>
      </c>
      <c r="B1460" s="145">
        <v>45654</v>
      </c>
      <c r="C1460" s="191">
        <v>2024</v>
      </c>
      <c r="D1460" s="192" t="s">
        <v>35</v>
      </c>
      <c r="E1460" s="192" t="s">
        <v>610</v>
      </c>
      <c r="F1460" s="193">
        <v>2</v>
      </c>
      <c r="G1460" s="148">
        <v>41700</v>
      </c>
    </row>
    <row r="1461" spans="1:7" x14ac:dyDescent="0.25">
      <c r="A1461" s="147">
        <v>1456</v>
      </c>
      <c r="B1461" s="145">
        <v>45663</v>
      </c>
      <c r="C1461" s="191">
        <v>2025</v>
      </c>
      <c r="D1461" s="192" t="s">
        <v>35</v>
      </c>
      <c r="E1461" s="192" t="s">
        <v>211</v>
      </c>
      <c r="F1461" s="193">
        <v>3</v>
      </c>
      <c r="G1461" s="148">
        <v>58500</v>
      </c>
    </row>
    <row r="1462" spans="1:7" x14ac:dyDescent="0.25">
      <c r="A1462" s="147">
        <v>1457</v>
      </c>
      <c r="B1462" s="145">
        <v>45663</v>
      </c>
      <c r="C1462" s="191">
        <v>2025</v>
      </c>
      <c r="D1462" s="192" t="s">
        <v>35</v>
      </c>
      <c r="E1462" s="192" t="s">
        <v>1293</v>
      </c>
      <c r="F1462" s="193">
        <v>6</v>
      </c>
      <c r="G1462" s="148">
        <v>160470</v>
      </c>
    </row>
    <row r="1463" spans="1:7" x14ac:dyDescent="0.25">
      <c r="A1463" s="147">
        <v>1458</v>
      </c>
      <c r="B1463" s="145">
        <v>45663</v>
      </c>
      <c r="C1463" s="191">
        <v>2025</v>
      </c>
      <c r="D1463" s="192" t="s">
        <v>35</v>
      </c>
      <c r="E1463" s="192" t="s">
        <v>1312</v>
      </c>
      <c r="F1463" s="193">
        <v>3</v>
      </c>
      <c r="G1463" s="148">
        <v>56235</v>
      </c>
    </row>
    <row r="1464" spans="1:7" x14ac:dyDescent="0.25">
      <c r="A1464" s="147">
        <v>1459</v>
      </c>
      <c r="B1464" s="145">
        <v>45664</v>
      </c>
      <c r="C1464" s="191">
        <v>2025</v>
      </c>
      <c r="D1464" s="192" t="s">
        <v>35</v>
      </c>
      <c r="E1464" s="192" t="s">
        <v>252</v>
      </c>
      <c r="F1464" s="193">
        <v>2</v>
      </c>
      <c r="G1464" s="148">
        <v>1670000</v>
      </c>
    </row>
    <row r="1465" spans="1:7" x14ac:dyDescent="0.25">
      <c r="A1465" s="147">
        <v>1460</v>
      </c>
      <c r="B1465" s="145">
        <v>45664</v>
      </c>
      <c r="C1465" s="191">
        <v>2025</v>
      </c>
      <c r="D1465" s="192" t="s">
        <v>35</v>
      </c>
      <c r="E1465" s="192" t="s">
        <v>72</v>
      </c>
      <c r="F1465" s="193">
        <v>1</v>
      </c>
      <c r="G1465" s="148">
        <v>60000</v>
      </c>
    </row>
    <row r="1466" spans="1:7" x14ac:dyDescent="0.25">
      <c r="A1466" s="147">
        <v>1461</v>
      </c>
      <c r="B1466" s="145">
        <v>45664</v>
      </c>
      <c r="C1466" s="191">
        <v>2025</v>
      </c>
      <c r="D1466" s="192" t="s">
        <v>35</v>
      </c>
      <c r="E1466" s="192" t="s">
        <v>1316</v>
      </c>
      <c r="F1466" s="193">
        <v>1</v>
      </c>
      <c r="G1466" s="148">
        <v>65000</v>
      </c>
    </row>
    <row r="1467" spans="1:7" x14ac:dyDescent="0.25">
      <c r="A1467" s="147">
        <v>1462</v>
      </c>
      <c r="B1467" s="145">
        <v>45665</v>
      </c>
      <c r="C1467" s="191">
        <v>2025</v>
      </c>
      <c r="D1467" s="192" t="s">
        <v>35</v>
      </c>
      <c r="E1467" s="192" t="s">
        <v>486</v>
      </c>
      <c r="F1467" s="193">
        <v>5</v>
      </c>
      <c r="G1467" s="148">
        <v>216370</v>
      </c>
    </row>
    <row r="1468" spans="1:7" x14ac:dyDescent="0.25">
      <c r="A1468" s="147">
        <v>1463</v>
      </c>
      <c r="B1468" s="145">
        <v>45665</v>
      </c>
      <c r="C1468" s="191">
        <v>2025</v>
      </c>
      <c r="D1468" s="192" t="s">
        <v>35</v>
      </c>
      <c r="E1468" s="192" t="s">
        <v>1317</v>
      </c>
      <c r="F1468" s="193">
        <v>1</v>
      </c>
      <c r="G1468" s="148">
        <v>30000</v>
      </c>
    </row>
    <row r="1469" spans="1:7" x14ac:dyDescent="0.25">
      <c r="A1469" s="147">
        <v>1464</v>
      </c>
      <c r="B1469" s="145">
        <v>45665</v>
      </c>
      <c r="C1469" s="191">
        <v>2025</v>
      </c>
      <c r="D1469" s="192" t="s">
        <v>35</v>
      </c>
      <c r="E1469" s="192" t="s">
        <v>1318</v>
      </c>
      <c r="F1469" s="193">
        <v>1</v>
      </c>
      <c r="G1469" s="148">
        <v>36000</v>
      </c>
    </row>
    <row r="1470" spans="1:7" x14ac:dyDescent="0.25">
      <c r="A1470" s="147">
        <v>1465</v>
      </c>
      <c r="B1470" s="145">
        <v>45666</v>
      </c>
      <c r="C1470" s="191">
        <v>2025</v>
      </c>
      <c r="D1470" s="192" t="s">
        <v>35</v>
      </c>
      <c r="E1470" s="192" t="s">
        <v>1261</v>
      </c>
      <c r="F1470" s="193">
        <v>1</v>
      </c>
      <c r="G1470" s="148">
        <v>35000</v>
      </c>
    </row>
    <row r="1471" spans="1:7" x14ac:dyDescent="0.25">
      <c r="A1471" s="147">
        <v>1466</v>
      </c>
      <c r="B1471" s="145">
        <v>45666</v>
      </c>
      <c r="C1471" s="191">
        <v>2025</v>
      </c>
      <c r="D1471" s="192" t="s">
        <v>35</v>
      </c>
      <c r="E1471" s="192" t="s">
        <v>557</v>
      </c>
      <c r="F1471" s="193">
        <v>1</v>
      </c>
      <c r="G1471" s="148">
        <v>94800</v>
      </c>
    </row>
    <row r="1472" spans="1:7" x14ac:dyDescent="0.25">
      <c r="A1472" s="147">
        <v>1467</v>
      </c>
      <c r="B1472" s="145">
        <v>45666</v>
      </c>
      <c r="C1472" s="191">
        <v>2025</v>
      </c>
      <c r="D1472" s="192" t="s">
        <v>35</v>
      </c>
      <c r="E1472" s="192" t="s">
        <v>557</v>
      </c>
      <c r="F1472" s="193">
        <v>1</v>
      </c>
      <c r="G1472" s="148">
        <v>94800</v>
      </c>
    </row>
    <row r="1473" spans="1:7" x14ac:dyDescent="0.25">
      <c r="A1473" s="147">
        <v>1468</v>
      </c>
      <c r="B1473" s="145">
        <v>45666</v>
      </c>
      <c r="C1473" s="191">
        <v>2025</v>
      </c>
      <c r="D1473" s="192" t="s">
        <v>35</v>
      </c>
      <c r="E1473" s="192" t="s">
        <v>629</v>
      </c>
      <c r="F1473" s="193">
        <v>1</v>
      </c>
      <c r="G1473" s="148">
        <v>12150</v>
      </c>
    </row>
    <row r="1474" spans="1:7" x14ac:dyDescent="0.25">
      <c r="A1474" s="147">
        <v>1469</v>
      </c>
      <c r="B1474" s="145">
        <v>45666</v>
      </c>
      <c r="C1474" s="191">
        <v>2025</v>
      </c>
      <c r="D1474" s="192" t="s">
        <v>35</v>
      </c>
      <c r="E1474" s="192" t="s">
        <v>1319</v>
      </c>
      <c r="F1474" s="193">
        <v>1</v>
      </c>
      <c r="G1474" s="148">
        <v>19000</v>
      </c>
    </row>
    <row r="1475" spans="1:7" x14ac:dyDescent="0.25">
      <c r="A1475" s="147">
        <v>1470</v>
      </c>
      <c r="B1475" s="145">
        <v>45666</v>
      </c>
      <c r="C1475" s="191">
        <v>2025</v>
      </c>
      <c r="D1475" s="192" t="s">
        <v>35</v>
      </c>
      <c r="E1475" s="192" t="s">
        <v>1320</v>
      </c>
      <c r="F1475" s="193">
        <v>1</v>
      </c>
      <c r="G1475" s="148">
        <v>19000</v>
      </c>
    </row>
    <row r="1476" spans="1:7" x14ac:dyDescent="0.25">
      <c r="A1476" s="147">
        <v>1471</v>
      </c>
      <c r="B1476" s="145">
        <v>45677</v>
      </c>
      <c r="C1476" s="191">
        <v>2025</v>
      </c>
      <c r="D1476" s="192" t="s">
        <v>35</v>
      </c>
      <c r="E1476" s="192" t="s">
        <v>761</v>
      </c>
      <c r="F1476" s="193">
        <v>2</v>
      </c>
      <c r="G1476" s="148">
        <v>3100000</v>
      </c>
    </row>
    <row r="1477" spans="1:7" x14ac:dyDescent="0.25">
      <c r="A1477" s="147">
        <v>1472</v>
      </c>
      <c r="B1477" s="145">
        <v>45677</v>
      </c>
      <c r="C1477" s="191">
        <v>2025</v>
      </c>
      <c r="D1477" s="192" t="s">
        <v>35</v>
      </c>
      <c r="E1477" s="192" t="s">
        <v>963</v>
      </c>
      <c r="F1477" s="193">
        <v>1</v>
      </c>
      <c r="G1477" s="148">
        <v>59400</v>
      </c>
    </row>
    <row r="1478" spans="1:7" x14ac:dyDescent="0.25">
      <c r="A1478" s="147">
        <v>1473</v>
      </c>
      <c r="B1478" s="145">
        <v>45678</v>
      </c>
      <c r="C1478" s="191">
        <v>2025</v>
      </c>
      <c r="D1478" s="192" t="s">
        <v>35</v>
      </c>
      <c r="E1478" s="192" t="s">
        <v>1322</v>
      </c>
      <c r="F1478" s="193">
        <v>2</v>
      </c>
      <c r="G1478" s="148">
        <v>280000</v>
      </c>
    </row>
    <row r="1479" spans="1:7" x14ac:dyDescent="0.25">
      <c r="A1479" s="147">
        <v>1474</v>
      </c>
      <c r="B1479" s="145">
        <v>45678</v>
      </c>
      <c r="C1479" s="191">
        <v>2025</v>
      </c>
      <c r="D1479" s="192" t="s">
        <v>35</v>
      </c>
      <c r="E1479" s="192" t="s">
        <v>1323</v>
      </c>
      <c r="F1479" s="193">
        <v>1</v>
      </c>
      <c r="G1479" s="148">
        <v>20000</v>
      </c>
    </row>
    <row r="1480" spans="1:7" x14ac:dyDescent="0.25">
      <c r="A1480" s="147">
        <v>1475</v>
      </c>
      <c r="B1480" s="145">
        <v>45678</v>
      </c>
      <c r="C1480" s="191">
        <v>2025</v>
      </c>
      <c r="D1480" s="192" t="s">
        <v>35</v>
      </c>
      <c r="E1480" s="192" t="s">
        <v>473</v>
      </c>
      <c r="F1480" s="193">
        <v>6</v>
      </c>
      <c r="G1480" s="148">
        <v>111000</v>
      </c>
    </row>
    <row r="1481" spans="1:7" x14ac:dyDescent="0.25">
      <c r="A1481" s="147">
        <v>1476</v>
      </c>
      <c r="B1481" s="145">
        <v>45678</v>
      </c>
      <c r="C1481" s="191">
        <v>2025</v>
      </c>
      <c r="D1481" s="192" t="s">
        <v>35</v>
      </c>
      <c r="E1481" s="192" t="s">
        <v>1324</v>
      </c>
      <c r="F1481" s="193">
        <v>2</v>
      </c>
      <c r="G1481" s="148">
        <v>10600</v>
      </c>
    </row>
    <row r="1482" spans="1:7" x14ac:dyDescent="0.25">
      <c r="A1482" s="147">
        <v>1477</v>
      </c>
      <c r="B1482" s="145">
        <v>45678</v>
      </c>
      <c r="C1482" s="191">
        <v>2025</v>
      </c>
      <c r="D1482" s="192" t="s">
        <v>35</v>
      </c>
      <c r="E1482" s="192" t="s">
        <v>1325</v>
      </c>
      <c r="F1482" s="193">
        <v>1</v>
      </c>
      <c r="G1482" s="148">
        <v>14500</v>
      </c>
    </row>
    <row r="1483" spans="1:7" x14ac:dyDescent="0.25">
      <c r="A1483" s="147">
        <v>1478</v>
      </c>
      <c r="B1483" s="145">
        <v>45678</v>
      </c>
      <c r="C1483" s="191">
        <v>2025</v>
      </c>
      <c r="D1483" s="192" t="s">
        <v>35</v>
      </c>
      <c r="E1483" s="192" t="s">
        <v>1326</v>
      </c>
      <c r="F1483" s="193">
        <v>10</v>
      </c>
      <c r="G1483" s="148">
        <v>25000</v>
      </c>
    </row>
    <row r="1484" spans="1:7" x14ac:dyDescent="0.25">
      <c r="A1484" s="147">
        <v>1479</v>
      </c>
      <c r="B1484" s="145">
        <v>45678</v>
      </c>
      <c r="C1484" s="191">
        <v>2025</v>
      </c>
      <c r="D1484" s="192" t="s">
        <v>35</v>
      </c>
      <c r="E1484" s="192" t="s">
        <v>180</v>
      </c>
      <c r="F1484" s="193">
        <v>20</v>
      </c>
      <c r="G1484" s="148">
        <v>50000</v>
      </c>
    </row>
    <row r="1485" spans="1:7" x14ac:dyDescent="0.25">
      <c r="A1485" s="147">
        <v>1480</v>
      </c>
      <c r="B1485" s="145">
        <v>45678</v>
      </c>
      <c r="C1485" s="191">
        <v>2025</v>
      </c>
      <c r="D1485" s="192" t="s">
        <v>35</v>
      </c>
      <c r="E1485" s="192" t="s">
        <v>1327</v>
      </c>
      <c r="F1485" s="193">
        <v>1</v>
      </c>
      <c r="G1485" s="148">
        <v>24000</v>
      </c>
    </row>
    <row r="1486" spans="1:7" x14ac:dyDescent="0.25">
      <c r="A1486" s="147">
        <v>1481</v>
      </c>
      <c r="B1486" s="145">
        <v>45678</v>
      </c>
      <c r="C1486" s="191">
        <v>2025</v>
      </c>
      <c r="D1486" s="192" t="s">
        <v>35</v>
      </c>
      <c r="E1486" s="192" t="s">
        <v>168</v>
      </c>
      <c r="F1486" s="193">
        <v>24</v>
      </c>
      <c r="G1486" s="148">
        <v>216000</v>
      </c>
    </row>
    <row r="1487" spans="1:7" x14ac:dyDescent="0.25">
      <c r="A1487" s="147">
        <v>1482</v>
      </c>
      <c r="B1487" s="145">
        <v>45678</v>
      </c>
      <c r="C1487" s="191">
        <v>2025</v>
      </c>
      <c r="D1487" s="192" t="s">
        <v>35</v>
      </c>
      <c r="E1487" s="192" t="s">
        <v>1328</v>
      </c>
      <c r="F1487" s="193">
        <v>2</v>
      </c>
      <c r="G1487" s="148">
        <v>17600</v>
      </c>
    </row>
    <row r="1488" spans="1:7" x14ac:dyDescent="0.25">
      <c r="A1488" s="147">
        <v>1483</v>
      </c>
      <c r="B1488" s="145">
        <v>45678</v>
      </c>
      <c r="C1488" s="191">
        <v>2025</v>
      </c>
      <c r="D1488" s="192" t="s">
        <v>35</v>
      </c>
      <c r="E1488" s="192" t="s">
        <v>1329</v>
      </c>
      <c r="F1488" s="193">
        <v>2</v>
      </c>
      <c r="G1488" s="148">
        <v>31458</v>
      </c>
    </row>
    <row r="1489" spans="1:7" x14ac:dyDescent="0.25">
      <c r="A1489" s="147">
        <v>1484</v>
      </c>
      <c r="B1489" s="145">
        <v>45679</v>
      </c>
      <c r="C1489" s="191">
        <v>2025</v>
      </c>
      <c r="D1489" s="192" t="s">
        <v>35</v>
      </c>
      <c r="E1489" s="192" t="s">
        <v>211</v>
      </c>
      <c r="F1489" s="193">
        <v>6</v>
      </c>
      <c r="G1489" s="148">
        <v>129000</v>
      </c>
    </row>
    <row r="1490" spans="1:7" x14ac:dyDescent="0.25">
      <c r="A1490" s="147">
        <v>1485</v>
      </c>
      <c r="B1490" s="145">
        <v>45679</v>
      </c>
      <c r="C1490" s="191">
        <v>2025</v>
      </c>
      <c r="D1490" s="192" t="s">
        <v>35</v>
      </c>
      <c r="E1490" s="192" t="s">
        <v>211</v>
      </c>
      <c r="F1490" s="193">
        <v>6</v>
      </c>
      <c r="G1490" s="148">
        <v>120000</v>
      </c>
    </row>
    <row r="1491" spans="1:7" x14ac:dyDescent="0.25">
      <c r="A1491" s="147">
        <v>1486</v>
      </c>
      <c r="B1491" s="145">
        <v>45679</v>
      </c>
      <c r="C1491" s="191">
        <v>2025</v>
      </c>
      <c r="D1491" s="192" t="s">
        <v>35</v>
      </c>
      <c r="E1491" s="192" t="s">
        <v>1330</v>
      </c>
      <c r="F1491" s="193">
        <v>2</v>
      </c>
      <c r="G1491" s="148">
        <v>15000</v>
      </c>
    </row>
    <row r="1492" spans="1:7" x14ac:dyDescent="0.25">
      <c r="A1492" s="147">
        <v>1487</v>
      </c>
      <c r="B1492" s="145">
        <v>45679</v>
      </c>
      <c r="C1492" s="191">
        <v>2025</v>
      </c>
      <c r="D1492" s="192" t="s">
        <v>35</v>
      </c>
      <c r="E1492" s="192" t="s">
        <v>1331</v>
      </c>
      <c r="F1492" s="193">
        <v>2</v>
      </c>
      <c r="G1492" s="148">
        <v>58000</v>
      </c>
    </row>
    <row r="1493" spans="1:7" x14ac:dyDescent="0.25">
      <c r="A1493" s="147">
        <v>1488</v>
      </c>
      <c r="B1493" s="145">
        <v>45682</v>
      </c>
      <c r="C1493" s="191">
        <v>2025</v>
      </c>
      <c r="D1493" s="192" t="s">
        <v>35</v>
      </c>
      <c r="E1493" s="192" t="s">
        <v>761</v>
      </c>
      <c r="F1493" s="193">
        <v>2</v>
      </c>
      <c r="G1493" s="148">
        <v>3100000</v>
      </c>
    </row>
    <row r="1494" spans="1:7" x14ac:dyDescent="0.25">
      <c r="A1494" s="147">
        <v>1489</v>
      </c>
      <c r="B1494" s="145">
        <v>45682</v>
      </c>
      <c r="C1494" s="191">
        <v>2025</v>
      </c>
      <c r="D1494" s="192" t="s">
        <v>35</v>
      </c>
      <c r="E1494" s="192" t="s">
        <v>739</v>
      </c>
      <c r="F1494" s="193">
        <v>75</v>
      </c>
      <c r="G1494" s="148">
        <v>562500</v>
      </c>
    </row>
    <row r="1495" spans="1:7" x14ac:dyDescent="0.25">
      <c r="A1495" s="147">
        <v>1490</v>
      </c>
      <c r="B1495" s="145">
        <v>45685</v>
      </c>
      <c r="C1495" s="191">
        <v>2025</v>
      </c>
      <c r="D1495" s="192" t="s">
        <v>35</v>
      </c>
      <c r="E1495" s="192" t="s">
        <v>252</v>
      </c>
      <c r="F1495" s="193">
        <v>2</v>
      </c>
      <c r="G1495" s="148">
        <v>2140000</v>
      </c>
    </row>
    <row r="1496" spans="1:7" x14ac:dyDescent="0.25">
      <c r="A1496" s="147">
        <v>1491</v>
      </c>
      <c r="B1496" s="145">
        <v>45687</v>
      </c>
      <c r="C1496" s="191">
        <v>2025</v>
      </c>
      <c r="D1496" s="192" t="s">
        <v>35</v>
      </c>
      <c r="E1496" s="192" t="s">
        <v>1340</v>
      </c>
      <c r="F1496" s="193">
        <v>1</v>
      </c>
      <c r="G1496" s="148">
        <v>921000</v>
      </c>
    </row>
    <row r="1497" spans="1:7" x14ac:dyDescent="0.25">
      <c r="A1497" s="147">
        <v>1492</v>
      </c>
      <c r="B1497" s="145">
        <v>45687</v>
      </c>
      <c r="C1497" s="191">
        <v>2025</v>
      </c>
      <c r="D1497" s="192" t="s">
        <v>35</v>
      </c>
      <c r="E1497" s="192" t="s">
        <v>1341</v>
      </c>
      <c r="F1497" s="193">
        <v>1</v>
      </c>
      <c r="G1497" s="148">
        <v>40100</v>
      </c>
    </row>
    <row r="1498" spans="1:7" x14ac:dyDescent="0.25">
      <c r="A1498" s="147">
        <v>1493</v>
      </c>
      <c r="B1498" s="145">
        <v>45687</v>
      </c>
      <c r="C1498" s="191">
        <v>2025</v>
      </c>
      <c r="D1498" s="192" t="s">
        <v>35</v>
      </c>
      <c r="E1498" s="192" t="s">
        <v>1342</v>
      </c>
      <c r="F1498" s="193">
        <v>4</v>
      </c>
      <c r="G1498" s="148">
        <v>148680</v>
      </c>
    </row>
    <row r="1499" spans="1:7" x14ac:dyDescent="0.25">
      <c r="A1499" s="147">
        <v>1494</v>
      </c>
      <c r="B1499" s="145">
        <v>45687</v>
      </c>
      <c r="C1499" s="191">
        <v>2025</v>
      </c>
      <c r="D1499" s="192" t="s">
        <v>35</v>
      </c>
      <c r="E1499" s="192" t="s">
        <v>1343</v>
      </c>
      <c r="F1499" s="193">
        <v>2</v>
      </c>
      <c r="G1499" s="148">
        <v>68000</v>
      </c>
    </row>
    <row r="1500" spans="1:7" x14ac:dyDescent="0.25">
      <c r="A1500" s="147">
        <v>1495</v>
      </c>
      <c r="B1500" s="145">
        <v>45688</v>
      </c>
      <c r="C1500" s="191">
        <v>2025</v>
      </c>
      <c r="D1500" s="192" t="s">
        <v>35</v>
      </c>
      <c r="E1500" s="192" t="s">
        <v>476</v>
      </c>
      <c r="F1500" s="193">
        <v>4</v>
      </c>
      <c r="G1500" s="148">
        <v>31176</v>
      </c>
    </row>
    <row r="1501" spans="1:7" x14ac:dyDescent="0.25">
      <c r="A1501" s="147">
        <v>1496</v>
      </c>
      <c r="B1501" s="145">
        <v>45692</v>
      </c>
      <c r="C1501" s="191">
        <v>2025</v>
      </c>
      <c r="D1501" s="192" t="s">
        <v>35</v>
      </c>
      <c r="E1501" s="192" t="s">
        <v>1293</v>
      </c>
      <c r="F1501" s="193">
        <v>10</v>
      </c>
      <c r="G1501" s="148">
        <v>268050</v>
      </c>
    </row>
    <row r="1502" spans="1:7" x14ac:dyDescent="0.25">
      <c r="A1502" s="147">
        <v>1497</v>
      </c>
      <c r="B1502" s="145">
        <v>45692</v>
      </c>
      <c r="C1502" s="191">
        <v>2025</v>
      </c>
      <c r="D1502" s="192" t="s">
        <v>35</v>
      </c>
      <c r="E1502" s="192" t="s">
        <v>1312</v>
      </c>
      <c r="F1502" s="193">
        <v>10</v>
      </c>
      <c r="G1502" s="148">
        <v>188050</v>
      </c>
    </row>
    <row r="1503" spans="1:7" x14ac:dyDescent="0.25">
      <c r="A1503" s="147">
        <v>1498</v>
      </c>
      <c r="B1503" s="145">
        <v>45694</v>
      </c>
      <c r="C1503" s="191">
        <v>2025</v>
      </c>
      <c r="D1503" s="192" t="s">
        <v>35</v>
      </c>
      <c r="E1503" s="192" t="s">
        <v>230</v>
      </c>
      <c r="F1503" s="193">
        <v>1</v>
      </c>
      <c r="G1503" s="148">
        <v>70000</v>
      </c>
    </row>
    <row r="1504" spans="1:7" x14ac:dyDescent="0.25">
      <c r="A1504" s="147">
        <v>1499</v>
      </c>
      <c r="B1504" s="145">
        <v>45694</v>
      </c>
      <c r="C1504" s="191">
        <v>2025</v>
      </c>
      <c r="D1504" s="192" t="s">
        <v>35</v>
      </c>
      <c r="E1504" s="192" t="s">
        <v>1345</v>
      </c>
      <c r="F1504" s="193">
        <v>2</v>
      </c>
      <c r="G1504" s="148">
        <v>138000</v>
      </c>
    </row>
    <row r="1505" spans="1:7" x14ac:dyDescent="0.25">
      <c r="A1505" s="147">
        <v>1500</v>
      </c>
      <c r="B1505" s="145">
        <v>45698</v>
      </c>
      <c r="C1505" s="191">
        <v>2025</v>
      </c>
      <c r="D1505" s="192" t="s">
        <v>35</v>
      </c>
      <c r="E1505" s="192" t="s">
        <v>761</v>
      </c>
      <c r="F1505" s="193">
        <v>2</v>
      </c>
      <c r="G1505" s="148">
        <v>3150000</v>
      </c>
    </row>
    <row r="1506" spans="1:7" x14ac:dyDescent="0.25">
      <c r="A1506" s="147">
        <v>1501</v>
      </c>
      <c r="B1506" s="145">
        <v>45698</v>
      </c>
      <c r="C1506" s="191">
        <v>2025</v>
      </c>
      <c r="D1506" s="192" t="s">
        <v>35</v>
      </c>
      <c r="E1506" s="192" t="s">
        <v>761</v>
      </c>
      <c r="F1506" s="193">
        <v>4</v>
      </c>
      <c r="G1506" s="148">
        <v>9000000</v>
      </c>
    </row>
    <row r="1507" spans="1:7" x14ac:dyDescent="0.25">
      <c r="A1507" s="147">
        <v>1502</v>
      </c>
      <c r="B1507" s="145">
        <v>45702</v>
      </c>
      <c r="C1507" s="191">
        <v>2025</v>
      </c>
      <c r="D1507" s="192" t="s">
        <v>35</v>
      </c>
      <c r="E1507" s="192" t="s">
        <v>211</v>
      </c>
      <c r="F1507" s="193">
        <v>6</v>
      </c>
      <c r="G1507" s="148">
        <v>132000</v>
      </c>
    </row>
    <row r="1508" spans="1:7" x14ac:dyDescent="0.25">
      <c r="A1508" s="147">
        <v>1503</v>
      </c>
      <c r="B1508" s="145">
        <v>45702</v>
      </c>
      <c r="C1508" s="191">
        <v>2025</v>
      </c>
      <c r="D1508" s="192" t="s">
        <v>35</v>
      </c>
      <c r="E1508" s="192" t="s">
        <v>211</v>
      </c>
      <c r="F1508" s="193">
        <v>2</v>
      </c>
      <c r="G1508" s="148">
        <v>39000</v>
      </c>
    </row>
    <row r="1509" spans="1:7" x14ac:dyDescent="0.25">
      <c r="A1509" s="147">
        <v>1504</v>
      </c>
      <c r="B1509" s="145">
        <v>45702</v>
      </c>
      <c r="C1509" s="191">
        <v>2025</v>
      </c>
      <c r="D1509" s="192" t="s">
        <v>35</v>
      </c>
      <c r="E1509" s="192" t="s">
        <v>478</v>
      </c>
      <c r="F1509" s="193">
        <v>100</v>
      </c>
      <c r="G1509" s="148">
        <v>41500</v>
      </c>
    </row>
    <row r="1510" spans="1:7" x14ac:dyDescent="0.25">
      <c r="A1510" s="147">
        <v>1505</v>
      </c>
      <c r="B1510" s="145">
        <v>45702</v>
      </c>
      <c r="C1510" s="191">
        <v>2025</v>
      </c>
      <c r="D1510" s="192" t="s">
        <v>35</v>
      </c>
      <c r="E1510" s="192" t="s">
        <v>1348</v>
      </c>
      <c r="F1510" s="193">
        <v>1</v>
      </c>
      <c r="G1510" s="148">
        <v>10631</v>
      </c>
    </row>
    <row r="1511" spans="1:7" x14ac:dyDescent="0.25">
      <c r="A1511" s="147">
        <v>1506</v>
      </c>
      <c r="B1511" s="145">
        <v>45702</v>
      </c>
      <c r="C1511" s="191">
        <v>2025</v>
      </c>
      <c r="D1511" s="192" t="s">
        <v>35</v>
      </c>
      <c r="E1511" s="192" t="s">
        <v>1302</v>
      </c>
      <c r="F1511" s="193">
        <v>3</v>
      </c>
      <c r="G1511" s="148">
        <v>67998</v>
      </c>
    </row>
    <row r="1512" spans="1:7" x14ac:dyDescent="0.25">
      <c r="A1512" s="147">
        <v>1507</v>
      </c>
      <c r="B1512" s="145">
        <v>45707</v>
      </c>
      <c r="C1512" s="191">
        <v>2025</v>
      </c>
      <c r="D1512" s="192" t="s">
        <v>35</v>
      </c>
      <c r="E1512" s="192" t="s">
        <v>761</v>
      </c>
      <c r="F1512" s="193">
        <v>4</v>
      </c>
      <c r="G1512" s="148">
        <v>9000000</v>
      </c>
    </row>
    <row r="1513" spans="1:7" x14ac:dyDescent="0.25">
      <c r="A1513" s="147">
        <v>1508</v>
      </c>
      <c r="B1513" s="145">
        <v>45709</v>
      </c>
      <c r="C1513" s="191">
        <v>2025</v>
      </c>
      <c r="D1513" s="192" t="s">
        <v>35</v>
      </c>
      <c r="E1513" s="192" t="s">
        <v>1349</v>
      </c>
      <c r="F1513" s="193">
        <v>1</v>
      </c>
      <c r="G1513" s="148">
        <v>72000</v>
      </c>
    </row>
    <row r="1514" spans="1:7" x14ac:dyDescent="0.25">
      <c r="A1514" s="147">
        <v>1509</v>
      </c>
      <c r="B1514" s="145">
        <v>45709</v>
      </c>
      <c r="C1514" s="191">
        <v>2025</v>
      </c>
      <c r="D1514" s="192" t="s">
        <v>35</v>
      </c>
      <c r="E1514" s="192" t="s">
        <v>1350</v>
      </c>
      <c r="F1514" s="193">
        <v>1</v>
      </c>
      <c r="G1514" s="148">
        <v>51000</v>
      </c>
    </row>
    <row r="1515" spans="1:7" x14ac:dyDescent="0.25">
      <c r="A1515" s="147">
        <v>1510</v>
      </c>
      <c r="B1515" s="145">
        <v>45710</v>
      </c>
      <c r="C1515" s="191">
        <v>2025</v>
      </c>
      <c r="D1515" s="192" t="s">
        <v>35</v>
      </c>
      <c r="E1515" s="192" t="s">
        <v>761</v>
      </c>
      <c r="F1515" s="193">
        <v>2</v>
      </c>
      <c r="G1515" s="148">
        <v>2550000</v>
      </c>
    </row>
    <row r="1516" spans="1:7" x14ac:dyDescent="0.25">
      <c r="A1516" s="147">
        <v>1511</v>
      </c>
      <c r="B1516" s="145">
        <v>45712</v>
      </c>
      <c r="C1516" s="191">
        <v>2025</v>
      </c>
      <c r="D1516" s="192" t="s">
        <v>35</v>
      </c>
      <c r="E1516" s="192" t="s">
        <v>739</v>
      </c>
      <c r="F1516" s="193">
        <v>75</v>
      </c>
      <c r="G1516" s="148">
        <v>562500</v>
      </c>
    </row>
    <row r="1517" spans="1:7" x14ac:dyDescent="0.25">
      <c r="A1517" s="147">
        <v>1512</v>
      </c>
      <c r="B1517" s="145">
        <v>45713</v>
      </c>
      <c r="C1517" s="191">
        <v>2025</v>
      </c>
      <c r="D1517" s="192" t="s">
        <v>35</v>
      </c>
      <c r="E1517" s="192" t="s">
        <v>1291</v>
      </c>
      <c r="F1517" s="193">
        <v>100</v>
      </c>
      <c r="G1517" s="148">
        <v>850000</v>
      </c>
    </row>
    <row r="1518" spans="1:7" x14ac:dyDescent="0.25">
      <c r="A1518" s="147">
        <v>1513</v>
      </c>
      <c r="B1518" s="145">
        <v>45713</v>
      </c>
      <c r="C1518" s="191">
        <v>2025</v>
      </c>
      <c r="D1518" s="192" t="s">
        <v>35</v>
      </c>
      <c r="E1518" s="192" t="s">
        <v>393</v>
      </c>
      <c r="F1518" s="193">
        <v>10</v>
      </c>
      <c r="G1518" s="148">
        <v>137020</v>
      </c>
    </row>
    <row r="1519" spans="1:7" x14ac:dyDescent="0.25">
      <c r="A1519" s="147">
        <v>1514</v>
      </c>
      <c r="B1519" s="145">
        <v>45714</v>
      </c>
      <c r="C1519" s="191">
        <v>2025</v>
      </c>
      <c r="D1519" s="192" t="s">
        <v>35</v>
      </c>
      <c r="E1519" s="192" t="s">
        <v>1355</v>
      </c>
      <c r="F1519" s="193">
        <v>2</v>
      </c>
      <c r="G1519" s="148">
        <v>60000</v>
      </c>
    </row>
    <row r="1520" spans="1:7" x14ac:dyDescent="0.25">
      <c r="A1520" s="147">
        <v>1515</v>
      </c>
      <c r="B1520" s="167">
        <v>45716</v>
      </c>
      <c r="C1520" s="117">
        <v>2025</v>
      </c>
      <c r="D1520" s="119" t="s">
        <v>35</v>
      </c>
      <c r="E1520" s="119" t="s">
        <v>673</v>
      </c>
      <c r="F1520" s="120">
        <v>2</v>
      </c>
      <c r="G1520" s="169">
        <v>227700</v>
      </c>
    </row>
    <row r="1521" spans="1:7" x14ac:dyDescent="0.25">
      <c r="A1521" s="147">
        <v>1516</v>
      </c>
      <c r="B1521" s="145">
        <v>45717</v>
      </c>
      <c r="C1521" s="191">
        <v>2025</v>
      </c>
      <c r="D1521" s="192" t="s">
        <v>35</v>
      </c>
      <c r="E1521" s="192" t="s">
        <v>1057</v>
      </c>
      <c r="F1521" s="193">
        <v>1</v>
      </c>
      <c r="G1521" s="148">
        <v>15000</v>
      </c>
    </row>
    <row r="1522" spans="1:7" x14ac:dyDescent="0.25">
      <c r="A1522" s="147">
        <v>1517</v>
      </c>
      <c r="B1522" s="167">
        <v>45717</v>
      </c>
      <c r="C1522" s="117">
        <v>2025</v>
      </c>
      <c r="D1522" s="119" t="s">
        <v>35</v>
      </c>
      <c r="E1522" s="119" t="s">
        <v>1362</v>
      </c>
      <c r="F1522" s="120">
        <v>50</v>
      </c>
      <c r="G1522" s="169">
        <v>75000</v>
      </c>
    </row>
    <row r="1523" spans="1:7" x14ac:dyDescent="0.25">
      <c r="A1523" s="147">
        <v>1518</v>
      </c>
      <c r="B1523" s="145">
        <v>45719</v>
      </c>
      <c r="C1523" s="191">
        <v>2025</v>
      </c>
      <c r="D1523" s="192" t="s">
        <v>35</v>
      </c>
      <c r="E1523" s="192" t="s">
        <v>557</v>
      </c>
      <c r="F1523" s="193">
        <v>3</v>
      </c>
      <c r="G1523" s="148">
        <v>284997</v>
      </c>
    </row>
    <row r="1524" spans="1:7" x14ac:dyDescent="0.25">
      <c r="A1524" s="147">
        <v>1519</v>
      </c>
      <c r="B1524" s="145">
        <v>45723</v>
      </c>
      <c r="C1524" s="191">
        <v>2025</v>
      </c>
      <c r="D1524" s="192" t="s">
        <v>35</v>
      </c>
      <c r="E1524" s="192" t="s">
        <v>1364</v>
      </c>
      <c r="F1524" s="193">
        <v>1</v>
      </c>
      <c r="G1524" s="148">
        <v>171900</v>
      </c>
    </row>
    <row r="1525" spans="1:7" x14ac:dyDescent="0.25">
      <c r="A1525" s="147">
        <v>1520</v>
      </c>
      <c r="B1525" s="145">
        <v>45727</v>
      </c>
      <c r="C1525" s="191">
        <v>2025</v>
      </c>
      <c r="D1525" s="192" t="s">
        <v>35</v>
      </c>
      <c r="E1525" s="192" t="s">
        <v>670</v>
      </c>
      <c r="F1525" s="193">
        <v>10</v>
      </c>
      <c r="G1525" s="148">
        <v>13050</v>
      </c>
    </row>
    <row r="1526" spans="1:7" x14ac:dyDescent="0.25">
      <c r="A1526" s="147">
        <v>1521</v>
      </c>
      <c r="B1526" s="145">
        <v>45727</v>
      </c>
      <c r="C1526" s="191">
        <v>2025</v>
      </c>
      <c r="D1526" s="192" t="s">
        <v>35</v>
      </c>
      <c r="E1526" s="192" t="s">
        <v>1365</v>
      </c>
      <c r="F1526" s="193">
        <v>1</v>
      </c>
      <c r="G1526" s="148">
        <v>202820</v>
      </c>
    </row>
    <row r="1527" spans="1:7" x14ac:dyDescent="0.25">
      <c r="A1527" s="147">
        <v>1522</v>
      </c>
      <c r="B1527" s="145">
        <v>45727</v>
      </c>
      <c r="C1527" s="191">
        <v>2025</v>
      </c>
      <c r="D1527" s="192" t="s">
        <v>35</v>
      </c>
      <c r="E1527" s="192" t="s">
        <v>478</v>
      </c>
      <c r="F1527" s="193">
        <v>100</v>
      </c>
      <c r="G1527" s="148">
        <v>161900</v>
      </c>
    </row>
    <row r="1528" spans="1:7" x14ac:dyDescent="0.25">
      <c r="A1528" s="147">
        <v>1523</v>
      </c>
      <c r="B1528" s="145">
        <v>45727</v>
      </c>
      <c r="C1528" s="191">
        <v>2025</v>
      </c>
      <c r="D1528" s="192" t="s">
        <v>35</v>
      </c>
      <c r="E1528" s="192" t="s">
        <v>1302</v>
      </c>
      <c r="F1528" s="193">
        <v>3</v>
      </c>
      <c r="G1528" s="148">
        <v>69402</v>
      </c>
    </row>
    <row r="1529" spans="1:7" x14ac:dyDescent="0.25">
      <c r="A1529" s="147">
        <v>1524</v>
      </c>
      <c r="B1529" s="167">
        <v>45727</v>
      </c>
      <c r="C1529" s="117">
        <v>2025</v>
      </c>
      <c r="D1529" s="119" t="s">
        <v>35</v>
      </c>
      <c r="E1529" s="119" t="s">
        <v>1362</v>
      </c>
      <c r="F1529" s="120">
        <v>50</v>
      </c>
      <c r="G1529" s="169">
        <v>125000</v>
      </c>
    </row>
    <row r="1530" spans="1:7" x14ac:dyDescent="0.25">
      <c r="A1530" s="147">
        <v>1525</v>
      </c>
      <c r="B1530" s="145">
        <v>45728</v>
      </c>
      <c r="C1530" s="191">
        <v>2025</v>
      </c>
      <c r="D1530" s="192" t="s">
        <v>35</v>
      </c>
      <c r="E1530" s="192" t="s">
        <v>1366</v>
      </c>
      <c r="F1530" s="193">
        <v>1</v>
      </c>
      <c r="G1530" s="148">
        <v>13900</v>
      </c>
    </row>
    <row r="1531" spans="1:7" x14ac:dyDescent="0.25">
      <c r="A1531" s="147">
        <v>1526</v>
      </c>
      <c r="B1531" s="145">
        <v>45729</v>
      </c>
      <c r="C1531" s="191">
        <v>2025</v>
      </c>
      <c r="D1531" s="192" t="s">
        <v>35</v>
      </c>
      <c r="E1531" s="192" t="s">
        <v>1293</v>
      </c>
      <c r="F1531" s="193">
        <v>10</v>
      </c>
      <c r="G1531" s="148">
        <v>291400</v>
      </c>
    </row>
    <row r="1532" spans="1:7" x14ac:dyDescent="0.25">
      <c r="A1532" s="147">
        <v>1527</v>
      </c>
      <c r="B1532" s="145">
        <v>45730</v>
      </c>
      <c r="C1532" s="191">
        <v>2025</v>
      </c>
      <c r="D1532" s="192" t="s">
        <v>35</v>
      </c>
      <c r="E1532" s="192" t="s">
        <v>1261</v>
      </c>
      <c r="F1532" s="193">
        <v>1</v>
      </c>
      <c r="G1532" s="148">
        <v>45000</v>
      </c>
    </row>
    <row r="1533" spans="1:7" x14ac:dyDescent="0.25">
      <c r="A1533" s="147">
        <v>1528</v>
      </c>
      <c r="B1533" s="145">
        <v>45731</v>
      </c>
      <c r="C1533" s="191">
        <v>2025</v>
      </c>
      <c r="D1533" s="192" t="s">
        <v>35</v>
      </c>
      <c r="E1533" s="192" t="s">
        <v>211</v>
      </c>
      <c r="F1533" s="193">
        <v>4</v>
      </c>
      <c r="G1533" s="148">
        <v>78000</v>
      </c>
    </row>
    <row r="1534" spans="1:7" x14ac:dyDescent="0.25">
      <c r="A1534" s="147">
        <v>1529</v>
      </c>
      <c r="B1534" s="145">
        <v>45731</v>
      </c>
      <c r="C1534" s="191">
        <v>2025</v>
      </c>
      <c r="D1534" s="192" t="s">
        <v>35</v>
      </c>
      <c r="E1534" s="192" t="s">
        <v>761</v>
      </c>
      <c r="F1534" s="193">
        <v>4</v>
      </c>
      <c r="G1534" s="148">
        <v>9000000</v>
      </c>
    </row>
    <row r="1535" spans="1:7" x14ac:dyDescent="0.25">
      <c r="A1535" s="147">
        <v>1530</v>
      </c>
      <c r="B1535" s="145">
        <v>45731</v>
      </c>
      <c r="C1535" s="191">
        <v>2025</v>
      </c>
      <c r="D1535" s="192" t="s">
        <v>35</v>
      </c>
      <c r="E1535" s="192" t="s">
        <v>852</v>
      </c>
      <c r="F1535" s="193">
        <v>1</v>
      </c>
      <c r="G1535" s="148">
        <v>17800</v>
      </c>
    </row>
    <row r="1536" spans="1:7" x14ac:dyDescent="0.25">
      <c r="A1536" s="147">
        <v>1531</v>
      </c>
      <c r="B1536" s="145">
        <v>45733</v>
      </c>
      <c r="C1536" s="191">
        <v>2025</v>
      </c>
      <c r="D1536" s="192" t="s">
        <v>35</v>
      </c>
      <c r="E1536" s="192" t="s">
        <v>1367</v>
      </c>
      <c r="F1536" s="193">
        <v>1</v>
      </c>
      <c r="G1536" s="148">
        <v>22800</v>
      </c>
    </row>
    <row r="1537" spans="1:7" x14ac:dyDescent="0.25">
      <c r="A1537" s="147">
        <v>1532</v>
      </c>
      <c r="B1537" s="145">
        <v>45737</v>
      </c>
      <c r="C1537" s="191">
        <v>2025</v>
      </c>
      <c r="D1537" s="192" t="s">
        <v>35</v>
      </c>
      <c r="E1537" s="192" t="s">
        <v>1378</v>
      </c>
      <c r="F1537" s="193">
        <v>1</v>
      </c>
      <c r="G1537" s="148">
        <v>11849</v>
      </c>
    </row>
    <row r="1538" spans="1:7" x14ac:dyDescent="0.25">
      <c r="A1538" s="147">
        <v>1533</v>
      </c>
      <c r="B1538" s="145">
        <v>45737</v>
      </c>
      <c r="C1538" s="191">
        <v>2025</v>
      </c>
      <c r="D1538" s="192" t="s">
        <v>35</v>
      </c>
      <c r="E1538" s="192" t="s">
        <v>1379</v>
      </c>
      <c r="F1538" s="193">
        <v>1</v>
      </c>
      <c r="G1538" s="148">
        <v>105900</v>
      </c>
    </row>
    <row r="1539" spans="1:7" x14ac:dyDescent="0.25">
      <c r="A1539" s="147">
        <v>1534</v>
      </c>
      <c r="B1539" s="145">
        <v>45738</v>
      </c>
      <c r="C1539" s="191">
        <v>2025</v>
      </c>
      <c r="D1539" s="192" t="s">
        <v>35</v>
      </c>
      <c r="E1539" s="192" t="s">
        <v>739</v>
      </c>
      <c r="F1539" s="193">
        <v>75</v>
      </c>
      <c r="G1539" s="148">
        <v>562500</v>
      </c>
    </row>
    <row r="1540" spans="1:7" x14ac:dyDescent="0.25">
      <c r="A1540" s="147">
        <v>1535</v>
      </c>
      <c r="B1540" s="145">
        <v>45741</v>
      </c>
      <c r="C1540" s="191">
        <v>2025</v>
      </c>
      <c r="D1540" s="192" t="s">
        <v>35</v>
      </c>
      <c r="E1540" s="192" t="s">
        <v>1312</v>
      </c>
      <c r="F1540" s="193">
        <v>10</v>
      </c>
      <c r="G1540" s="148">
        <v>109000</v>
      </c>
    </row>
    <row r="1541" spans="1:7" x14ac:dyDescent="0.25">
      <c r="A1541" s="147">
        <v>1536</v>
      </c>
      <c r="B1541" s="145">
        <v>45742</v>
      </c>
      <c r="C1541" s="191">
        <v>2025</v>
      </c>
      <c r="D1541" s="192" t="s">
        <v>35</v>
      </c>
      <c r="E1541" s="192" t="s">
        <v>1274</v>
      </c>
      <c r="F1541" s="193">
        <v>1</v>
      </c>
      <c r="G1541" s="148">
        <v>95900</v>
      </c>
    </row>
    <row r="1542" spans="1:7" x14ac:dyDescent="0.25">
      <c r="A1542" s="147">
        <v>1537</v>
      </c>
      <c r="B1542" s="145">
        <v>45743</v>
      </c>
      <c r="C1542" s="191">
        <v>2025</v>
      </c>
      <c r="D1542" s="192" t="s">
        <v>35</v>
      </c>
      <c r="E1542" s="192" t="s">
        <v>1380</v>
      </c>
      <c r="F1542" s="193">
        <v>2</v>
      </c>
      <c r="G1542" s="148">
        <v>18000</v>
      </c>
    </row>
    <row r="1543" spans="1:7" x14ac:dyDescent="0.25">
      <c r="A1543" s="147">
        <v>1538</v>
      </c>
      <c r="B1543" s="145">
        <v>45743</v>
      </c>
      <c r="C1543" s="191">
        <v>2025</v>
      </c>
      <c r="D1543" s="192" t="s">
        <v>35</v>
      </c>
      <c r="E1543" s="192" t="s">
        <v>1381</v>
      </c>
      <c r="F1543" s="193">
        <v>18</v>
      </c>
      <c r="G1543" s="148">
        <v>1915002</v>
      </c>
    </row>
    <row r="1544" spans="1:7" x14ac:dyDescent="0.25">
      <c r="A1544" s="147">
        <v>1539</v>
      </c>
      <c r="B1544" s="145">
        <v>45743</v>
      </c>
      <c r="C1544" s="191">
        <v>2025</v>
      </c>
      <c r="D1544" s="192" t="s">
        <v>35</v>
      </c>
      <c r="E1544" s="192" t="s">
        <v>1382</v>
      </c>
      <c r="F1544" s="193">
        <v>18</v>
      </c>
      <c r="G1544" s="148">
        <v>1915002</v>
      </c>
    </row>
    <row r="1545" spans="1:7" x14ac:dyDescent="0.25">
      <c r="A1545" s="147">
        <v>1540</v>
      </c>
      <c r="B1545" s="145">
        <v>45743</v>
      </c>
      <c r="C1545" s="191">
        <v>2025</v>
      </c>
      <c r="D1545" s="192" t="s">
        <v>35</v>
      </c>
      <c r="E1545" s="192" t="s">
        <v>1383</v>
      </c>
      <c r="F1545" s="193">
        <v>3</v>
      </c>
      <c r="G1545" s="148">
        <v>350001</v>
      </c>
    </row>
    <row r="1546" spans="1:7" x14ac:dyDescent="0.25">
      <c r="A1546" s="147">
        <v>1541</v>
      </c>
      <c r="B1546" s="145">
        <v>45743</v>
      </c>
      <c r="C1546" s="191">
        <v>2025</v>
      </c>
      <c r="D1546" s="192" t="s">
        <v>35</v>
      </c>
      <c r="E1546" s="192" t="s">
        <v>1385</v>
      </c>
      <c r="F1546" s="193">
        <v>11</v>
      </c>
      <c r="G1546" s="148">
        <v>251823</v>
      </c>
    </row>
    <row r="1547" spans="1:7" x14ac:dyDescent="0.25">
      <c r="A1547" s="147">
        <v>1542</v>
      </c>
      <c r="B1547" s="145">
        <v>45743</v>
      </c>
      <c r="C1547" s="191">
        <v>2025</v>
      </c>
      <c r="D1547" s="192" t="s">
        <v>35</v>
      </c>
      <c r="E1547" s="192" t="s">
        <v>1386</v>
      </c>
      <c r="F1547" s="193">
        <v>10</v>
      </c>
      <c r="G1547" s="148">
        <v>1791900</v>
      </c>
    </row>
    <row r="1548" spans="1:7" x14ac:dyDescent="0.25">
      <c r="A1548" s="147">
        <v>1543</v>
      </c>
      <c r="B1548" s="145">
        <v>45744</v>
      </c>
      <c r="C1548" s="191">
        <v>2025</v>
      </c>
      <c r="D1548" s="192" t="s">
        <v>35</v>
      </c>
      <c r="E1548" s="192" t="s">
        <v>1387</v>
      </c>
      <c r="F1548" s="193">
        <v>10</v>
      </c>
      <c r="G1548" s="148">
        <v>176000</v>
      </c>
    </row>
    <row r="1549" spans="1:7" x14ac:dyDescent="0.25">
      <c r="A1549" s="147">
        <v>1544</v>
      </c>
      <c r="B1549" s="145">
        <v>45744</v>
      </c>
      <c r="C1549" s="191">
        <v>2025</v>
      </c>
      <c r="D1549" s="192" t="s">
        <v>35</v>
      </c>
      <c r="E1549" s="192" t="s">
        <v>1388</v>
      </c>
      <c r="F1549" s="193">
        <v>1</v>
      </c>
      <c r="G1549" s="148">
        <v>25900</v>
      </c>
    </row>
    <row r="1550" spans="1:7" x14ac:dyDescent="0.25">
      <c r="A1550" s="147">
        <v>1545</v>
      </c>
      <c r="B1550" s="145">
        <v>45744</v>
      </c>
      <c r="C1550" s="191">
        <v>2025</v>
      </c>
      <c r="D1550" s="192" t="s">
        <v>35</v>
      </c>
      <c r="E1550" s="192" t="s">
        <v>1057</v>
      </c>
      <c r="F1550" s="193">
        <v>2</v>
      </c>
      <c r="G1550" s="148">
        <v>16300</v>
      </c>
    </row>
    <row r="1551" spans="1:7" x14ac:dyDescent="0.25">
      <c r="A1551" s="147">
        <v>1546</v>
      </c>
      <c r="B1551" s="145">
        <v>45744</v>
      </c>
      <c r="C1551" s="191">
        <v>2025</v>
      </c>
      <c r="D1551" s="192" t="s">
        <v>35</v>
      </c>
      <c r="E1551" s="192" t="s">
        <v>1389</v>
      </c>
      <c r="F1551" s="193">
        <v>3</v>
      </c>
      <c r="G1551" s="148">
        <v>264450</v>
      </c>
    </row>
    <row r="1552" spans="1:7" x14ac:dyDescent="0.25">
      <c r="A1552" s="147">
        <v>1547</v>
      </c>
      <c r="B1552" s="145">
        <v>45755</v>
      </c>
      <c r="C1552" s="191">
        <v>2025</v>
      </c>
      <c r="D1552" s="192" t="s">
        <v>35</v>
      </c>
      <c r="E1552" s="192" t="s">
        <v>230</v>
      </c>
      <c r="F1552" s="193">
        <v>2</v>
      </c>
      <c r="G1552" s="148">
        <v>140000</v>
      </c>
    </row>
    <row r="1553" spans="1:7" x14ac:dyDescent="0.25">
      <c r="A1553" s="147">
        <v>1548</v>
      </c>
      <c r="B1553" s="167">
        <v>45755</v>
      </c>
      <c r="C1553" s="117">
        <v>2025</v>
      </c>
      <c r="D1553" s="119" t="s">
        <v>35</v>
      </c>
      <c r="E1553" s="119" t="s">
        <v>1390</v>
      </c>
      <c r="F1553" s="120">
        <v>3</v>
      </c>
      <c r="G1553" s="169">
        <v>1895268</v>
      </c>
    </row>
    <row r="1554" spans="1:7" x14ac:dyDescent="0.25">
      <c r="A1554" s="147">
        <v>1549</v>
      </c>
      <c r="B1554" s="145">
        <v>45759</v>
      </c>
      <c r="C1554" s="191">
        <v>2025</v>
      </c>
      <c r="D1554" s="192" t="s">
        <v>35</v>
      </c>
      <c r="E1554" s="192" t="s">
        <v>761</v>
      </c>
      <c r="F1554" s="193">
        <v>4</v>
      </c>
      <c r="G1554" s="148">
        <v>9000000</v>
      </c>
    </row>
    <row r="1555" spans="1:7" x14ac:dyDescent="0.25">
      <c r="A1555" s="147">
        <v>1550</v>
      </c>
      <c r="B1555" s="145">
        <v>45759</v>
      </c>
      <c r="C1555" s="191">
        <v>2025</v>
      </c>
      <c r="D1555" s="192" t="s">
        <v>35</v>
      </c>
      <c r="E1555" s="192" t="s">
        <v>1392</v>
      </c>
      <c r="F1555" s="193">
        <v>4</v>
      </c>
      <c r="G1555" s="148">
        <v>160000</v>
      </c>
    </row>
    <row r="1556" spans="1:7" x14ac:dyDescent="0.25">
      <c r="A1556" s="147">
        <v>1551</v>
      </c>
      <c r="B1556" s="145">
        <v>45761</v>
      </c>
      <c r="C1556" s="191">
        <v>2025</v>
      </c>
      <c r="D1556" s="192" t="s">
        <v>35</v>
      </c>
      <c r="E1556" s="192" t="s">
        <v>211</v>
      </c>
      <c r="F1556" s="193">
        <v>10</v>
      </c>
      <c r="G1556" s="148">
        <v>210000</v>
      </c>
    </row>
    <row r="1557" spans="1:7" x14ac:dyDescent="0.25">
      <c r="A1557" s="147">
        <v>1552</v>
      </c>
      <c r="B1557" s="145">
        <v>45761</v>
      </c>
      <c r="C1557" s="191">
        <v>2025</v>
      </c>
      <c r="D1557" s="192" t="s">
        <v>35</v>
      </c>
      <c r="E1557" s="192" t="s">
        <v>211</v>
      </c>
      <c r="F1557" s="193">
        <v>5</v>
      </c>
      <c r="G1557" s="148">
        <v>95000</v>
      </c>
    </row>
    <row r="1558" spans="1:7" x14ac:dyDescent="0.25">
      <c r="A1558" s="147">
        <v>1553</v>
      </c>
      <c r="B1558" s="145">
        <v>45761</v>
      </c>
      <c r="C1558" s="191">
        <v>2025</v>
      </c>
      <c r="D1558" s="192" t="s">
        <v>35</v>
      </c>
      <c r="E1558" s="192" t="s">
        <v>211</v>
      </c>
      <c r="F1558" s="193">
        <v>3</v>
      </c>
      <c r="G1558" s="148">
        <v>58500</v>
      </c>
    </row>
    <row r="1559" spans="1:7" x14ac:dyDescent="0.25">
      <c r="A1559" s="147">
        <v>1554</v>
      </c>
      <c r="B1559" s="145">
        <v>45762</v>
      </c>
      <c r="C1559" s="191">
        <v>2025</v>
      </c>
      <c r="D1559" s="192" t="s">
        <v>35</v>
      </c>
      <c r="E1559" s="192" t="s">
        <v>1393</v>
      </c>
      <c r="F1559" s="193">
        <v>1</v>
      </c>
      <c r="G1559" s="148">
        <v>53000</v>
      </c>
    </row>
    <row r="1560" spans="1:7" x14ac:dyDescent="0.25">
      <c r="A1560" s="147">
        <v>1555</v>
      </c>
      <c r="B1560" s="145">
        <v>45762</v>
      </c>
      <c r="C1560" s="191">
        <v>2025</v>
      </c>
      <c r="D1560" s="192" t="s">
        <v>35</v>
      </c>
      <c r="E1560" s="192" t="s">
        <v>1394</v>
      </c>
      <c r="F1560" s="193">
        <v>5</v>
      </c>
      <c r="G1560" s="148">
        <v>2325000</v>
      </c>
    </row>
    <row r="1561" spans="1:7" x14ac:dyDescent="0.25">
      <c r="A1561" s="147">
        <v>1556</v>
      </c>
      <c r="B1561" s="145">
        <v>45762</v>
      </c>
      <c r="C1561" s="191">
        <v>2025</v>
      </c>
      <c r="D1561" s="192" t="s">
        <v>35</v>
      </c>
      <c r="E1561" s="192" t="s">
        <v>1395</v>
      </c>
      <c r="F1561" s="193">
        <v>1</v>
      </c>
      <c r="G1561" s="148">
        <v>207000</v>
      </c>
    </row>
    <row r="1562" spans="1:7" x14ac:dyDescent="0.25">
      <c r="A1562" s="147">
        <v>1557</v>
      </c>
      <c r="B1562" s="145">
        <v>45762</v>
      </c>
      <c r="C1562" s="191">
        <v>2025</v>
      </c>
      <c r="D1562" s="192" t="s">
        <v>35</v>
      </c>
      <c r="E1562" s="192" t="s">
        <v>1392</v>
      </c>
      <c r="F1562" s="193">
        <v>8</v>
      </c>
      <c r="G1562" s="148">
        <v>320000</v>
      </c>
    </row>
    <row r="1563" spans="1:7" x14ac:dyDescent="0.25">
      <c r="A1563" s="147">
        <v>1558</v>
      </c>
      <c r="B1563" s="145">
        <v>45763</v>
      </c>
      <c r="C1563" s="191">
        <v>2025</v>
      </c>
      <c r="D1563" s="192" t="s">
        <v>35</v>
      </c>
      <c r="E1563" s="192" t="s">
        <v>761</v>
      </c>
      <c r="F1563" s="193">
        <v>2</v>
      </c>
      <c r="G1563" s="148">
        <v>3150000</v>
      </c>
    </row>
    <row r="1564" spans="1:7" x14ac:dyDescent="0.25">
      <c r="A1564" s="147">
        <v>1559</v>
      </c>
      <c r="B1564" s="145">
        <v>45768</v>
      </c>
      <c r="C1564" s="191">
        <v>2025</v>
      </c>
      <c r="D1564" s="192" t="s">
        <v>35</v>
      </c>
      <c r="E1564" s="192" t="s">
        <v>1322</v>
      </c>
      <c r="F1564" s="193">
        <v>2</v>
      </c>
      <c r="G1564" s="148">
        <v>280000</v>
      </c>
    </row>
    <row r="1565" spans="1:7" x14ac:dyDescent="0.25">
      <c r="A1565" s="147">
        <v>1560</v>
      </c>
      <c r="B1565" s="145">
        <v>45768</v>
      </c>
      <c r="C1565" s="191">
        <v>2025</v>
      </c>
      <c r="D1565" s="192" t="s">
        <v>35</v>
      </c>
      <c r="E1565" s="192" t="s">
        <v>1340</v>
      </c>
      <c r="F1565" s="193">
        <v>2</v>
      </c>
      <c r="G1565" s="148">
        <v>2490000</v>
      </c>
    </row>
    <row r="1566" spans="1:7" x14ac:dyDescent="0.25">
      <c r="A1566" s="147">
        <v>1561</v>
      </c>
      <c r="B1566" s="167">
        <v>45769</v>
      </c>
      <c r="C1566" s="117">
        <v>2025</v>
      </c>
      <c r="D1566" s="119" t="s">
        <v>35</v>
      </c>
      <c r="E1566" s="119" t="s">
        <v>708</v>
      </c>
      <c r="F1566" s="120">
        <v>48</v>
      </c>
      <c r="G1566" s="169">
        <v>457920</v>
      </c>
    </row>
    <row r="1567" spans="1:7" x14ac:dyDescent="0.25">
      <c r="A1567" s="147">
        <v>1562</v>
      </c>
      <c r="B1567" s="145">
        <v>45770</v>
      </c>
      <c r="C1567" s="191">
        <v>2025</v>
      </c>
      <c r="D1567" s="192" t="s">
        <v>35</v>
      </c>
      <c r="E1567" s="192" t="s">
        <v>761</v>
      </c>
      <c r="F1567" s="193">
        <v>2</v>
      </c>
      <c r="G1567" s="148">
        <v>3150000</v>
      </c>
    </row>
    <row r="1568" spans="1:7" x14ac:dyDescent="0.25">
      <c r="A1568" s="147">
        <v>1563</v>
      </c>
      <c r="B1568" s="145">
        <v>45770</v>
      </c>
      <c r="C1568" s="191">
        <v>2025</v>
      </c>
      <c r="D1568" s="192" t="s">
        <v>35</v>
      </c>
      <c r="E1568" s="192" t="s">
        <v>739</v>
      </c>
      <c r="F1568" s="193">
        <v>75</v>
      </c>
      <c r="G1568" s="148">
        <v>555000</v>
      </c>
    </row>
    <row r="1569" spans="1:7" x14ac:dyDescent="0.25">
      <c r="A1569" s="147">
        <v>1564</v>
      </c>
      <c r="B1569" s="145">
        <v>45770</v>
      </c>
      <c r="C1569" s="191">
        <v>2025</v>
      </c>
      <c r="D1569" s="192" t="s">
        <v>35</v>
      </c>
      <c r="E1569" s="192" t="s">
        <v>1399</v>
      </c>
      <c r="F1569" s="193">
        <v>1</v>
      </c>
      <c r="G1569" s="148">
        <v>19900</v>
      </c>
    </row>
    <row r="1570" spans="1:7" x14ac:dyDescent="0.25">
      <c r="A1570" s="147">
        <v>1565</v>
      </c>
      <c r="B1570" s="145">
        <v>45771</v>
      </c>
      <c r="C1570" s="191">
        <v>2025</v>
      </c>
      <c r="D1570" s="192" t="s">
        <v>35</v>
      </c>
      <c r="E1570" s="192" t="s">
        <v>137</v>
      </c>
      <c r="F1570" s="193">
        <v>3</v>
      </c>
      <c r="G1570" s="148">
        <v>380001</v>
      </c>
    </row>
    <row r="1571" spans="1:7" x14ac:dyDescent="0.25">
      <c r="A1571" s="147">
        <v>1566</v>
      </c>
      <c r="B1571" s="145">
        <v>45771</v>
      </c>
      <c r="C1571" s="191">
        <v>2025</v>
      </c>
      <c r="D1571" s="192" t="s">
        <v>35</v>
      </c>
      <c r="E1571" s="192" t="s">
        <v>139</v>
      </c>
      <c r="F1571" s="193">
        <v>1</v>
      </c>
      <c r="G1571" s="148">
        <v>122500</v>
      </c>
    </row>
    <row r="1572" spans="1:7" x14ac:dyDescent="0.25">
      <c r="A1572" s="147">
        <v>1567</v>
      </c>
      <c r="B1572" s="145">
        <v>45771</v>
      </c>
      <c r="C1572" s="191">
        <v>2025</v>
      </c>
      <c r="D1572" s="192" t="s">
        <v>35</v>
      </c>
      <c r="E1572" s="192" t="s">
        <v>145</v>
      </c>
      <c r="F1572" s="193">
        <v>1</v>
      </c>
      <c r="G1572" s="148">
        <v>291000</v>
      </c>
    </row>
    <row r="1573" spans="1:7" x14ac:dyDescent="0.25">
      <c r="A1573" s="147">
        <v>1568</v>
      </c>
      <c r="B1573" s="145">
        <v>45771</v>
      </c>
      <c r="C1573" s="191">
        <v>2025</v>
      </c>
      <c r="D1573" s="192" t="s">
        <v>35</v>
      </c>
      <c r="E1573" s="192" t="s">
        <v>145</v>
      </c>
      <c r="F1573" s="193">
        <v>1</v>
      </c>
      <c r="G1573" s="148">
        <v>271000</v>
      </c>
    </row>
    <row r="1574" spans="1:7" x14ac:dyDescent="0.25">
      <c r="A1574" s="147">
        <v>1569</v>
      </c>
      <c r="B1574" s="145">
        <v>45771</v>
      </c>
      <c r="C1574" s="191">
        <v>2025</v>
      </c>
      <c r="D1574" s="192" t="s">
        <v>35</v>
      </c>
      <c r="E1574" s="192" t="s">
        <v>133</v>
      </c>
      <c r="F1574" s="193">
        <v>1</v>
      </c>
      <c r="G1574" s="148">
        <v>366000</v>
      </c>
    </row>
    <row r="1575" spans="1:7" x14ac:dyDescent="0.25">
      <c r="A1575" s="147">
        <v>1570</v>
      </c>
      <c r="B1575" s="145">
        <v>45771</v>
      </c>
      <c r="C1575" s="191">
        <v>2025</v>
      </c>
      <c r="D1575" s="192" t="s">
        <v>35</v>
      </c>
      <c r="E1575" s="192" t="s">
        <v>142</v>
      </c>
      <c r="F1575" s="193">
        <v>1</v>
      </c>
      <c r="G1575" s="148">
        <v>60000</v>
      </c>
    </row>
    <row r="1576" spans="1:7" x14ac:dyDescent="0.25">
      <c r="A1576" s="147">
        <v>1571</v>
      </c>
      <c r="B1576" s="145">
        <v>45771</v>
      </c>
      <c r="C1576" s="191">
        <v>2025</v>
      </c>
      <c r="D1576" s="192" t="s">
        <v>35</v>
      </c>
      <c r="E1576" s="192" t="s">
        <v>1400</v>
      </c>
      <c r="F1576" s="193">
        <v>1</v>
      </c>
      <c r="G1576" s="148">
        <v>34500</v>
      </c>
    </row>
    <row r="1577" spans="1:7" x14ac:dyDescent="0.25">
      <c r="A1577" s="147">
        <v>1572</v>
      </c>
      <c r="B1577" s="145">
        <v>45771</v>
      </c>
      <c r="C1577" s="191">
        <v>2025</v>
      </c>
      <c r="D1577" s="192" t="s">
        <v>35</v>
      </c>
      <c r="E1577" s="192" t="s">
        <v>1401</v>
      </c>
      <c r="F1577" s="193">
        <v>1</v>
      </c>
      <c r="G1577" s="148">
        <v>8986</v>
      </c>
    </row>
    <row r="1578" spans="1:7" x14ac:dyDescent="0.25">
      <c r="A1578" s="147">
        <v>1573</v>
      </c>
      <c r="B1578" s="145">
        <v>45772</v>
      </c>
      <c r="C1578" s="191">
        <v>2025</v>
      </c>
      <c r="D1578" s="192" t="s">
        <v>35</v>
      </c>
      <c r="E1578" s="192" t="s">
        <v>1261</v>
      </c>
      <c r="F1578" s="193">
        <v>1</v>
      </c>
      <c r="G1578" s="148">
        <v>30000</v>
      </c>
    </row>
    <row r="1579" spans="1:7" x14ac:dyDescent="0.25">
      <c r="A1579" s="147">
        <v>1574</v>
      </c>
      <c r="B1579" s="145">
        <v>45772</v>
      </c>
      <c r="C1579" s="191">
        <v>2025</v>
      </c>
      <c r="D1579" s="192" t="s">
        <v>35</v>
      </c>
      <c r="E1579" s="192" t="s">
        <v>1262</v>
      </c>
      <c r="F1579" s="193">
        <v>1</v>
      </c>
      <c r="G1579" s="148">
        <v>160000</v>
      </c>
    </row>
    <row r="1580" spans="1:7" x14ac:dyDescent="0.25">
      <c r="A1580" s="147">
        <v>1575</v>
      </c>
      <c r="B1580" s="167">
        <v>45773</v>
      </c>
      <c r="C1580" s="117">
        <v>2025</v>
      </c>
      <c r="D1580" s="119" t="s">
        <v>35</v>
      </c>
      <c r="E1580" s="119" t="s">
        <v>476</v>
      </c>
      <c r="F1580" s="120">
        <v>4</v>
      </c>
      <c r="G1580" s="169">
        <v>96300</v>
      </c>
    </row>
    <row r="1581" spans="1:7" x14ac:dyDescent="0.25">
      <c r="A1581" s="147">
        <v>1576</v>
      </c>
      <c r="B1581" s="145">
        <v>45776</v>
      </c>
      <c r="C1581" s="191">
        <v>2025</v>
      </c>
      <c r="D1581" s="192" t="s">
        <v>35</v>
      </c>
      <c r="E1581" s="192" t="s">
        <v>211</v>
      </c>
      <c r="F1581" s="193">
        <v>10</v>
      </c>
      <c r="G1581" s="148">
        <v>210000</v>
      </c>
    </row>
    <row r="1582" spans="1:7" x14ac:dyDescent="0.25">
      <c r="A1582" s="147">
        <v>1577</v>
      </c>
      <c r="B1582" s="145">
        <v>45776</v>
      </c>
      <c r="C1582" s="191">
        <v>2025</v>
      </c>
      <c r="D1582" s="192" t="s">
        <v>35</v>
      </c>
      <c r="E1582" s="192" t="s">
        <v>211</v>
      </c>
      <c r="F1582" s="193">
        <v>10</v>
      </c>
      <c r="G1582" s="148">
        <v>190000</v>
      </c>
    </row>
    <row r="1583" spans="1:7" x14ac:dyDescent="0.25">
      <c r="A1583" s="147">
        <v>1578</v>
      </c>
      <c r="B1583" s="145">
        <v>45776</v>
      </c>
      <c r="C1583" s="191">
        <v>2025</v>
      </c>
      <c r="D1583" s="192" t="s">
        <v>35</v>
      </c>
      <c r="E1583" s="192" t="s">
        <v>211</v>
      </c>
      <c r="F1583" s="193">
        <v>2</v>
      </c>
      <c r="G1583" s="148">
        <v>39000</v>
      </c>
    </row>
    <row r="1584" spans="1:7" x14ac:dyDescent="0.25">
      <c r="A1584" s="147">
        <v>1579</v>
      </c>
      <c r="B1584" s="167">
        <v>45782</v>
      </c>
      <c r="C1584" s="117">
        <v>2025</v>
      </c>
      <c r="D1584" s="119" t="s">
        <v>35</v>
      </c>
      <c r="E1584" s="119" t="s">
        <v>1259</v>
      </c>
      <c r="F1584" s="120">
        <v>1</v>
      </c>
      <c r="G1584" s="169">
        <v>45400</v>
      </c>
    </row>
    <row r="1585" spans="1:7" x14ac:dyDescent="0.25">
      <c r="A1585" s="147">
        <v>1580</v>
      </c>
      <c r="B1585" s="145">
        <v>45783</v>
      </c>
      <c r="C1585" s="191">
        <v>2025</v>
      </c>
      <c r="D1585" s="192" t="s">
        <v>35</v>
      </c>
      <c r="E1585" s="192" t="s">
        <v>1404</v>
      </c>
      <c r="F1585" s="193">
        <v>1</v>
      </c>
      <c r="G1585" s="148">
        <v>17150</v>
      </c>
    </row>
    <row r="1586" spans="1:7" x14ac:dyDescent="0.25">
      <c r="A1586" s="147">
        <v>1581</v>
      </c>
      <c r="B1586" s="145">
        <v>45785</v>
      </c>
      <c r="C1586" s="191">
        <v>2025</v>
      </c>
      <c r="D1586" s="192" t="s">
        <v>35</v>
      </c>
      <c r="E1586" s="192" t="s">
        <v>1140</v>
      </c>
      <c r="F1586" s="193">
        <v>1</v>
      </c>
      <c r="G1586" s="148">
        <v>38900</v>
      </c>
    </row>
    <row r="1587" spans="1:7" x14ac:dyDescent="0.25">
      <c r="A1587" s="147">
        <v>1582</v>
      </c>
      <c r="B1587" s="145">
        <v>45786</v>
      </c>
      <c r="C1587" s="191">
        <v>2025</v>
      </c>
      <c r="D1587" s="192" t="s">
        <v>35</v>
      </c>
      <c r="E1587" s="192" t="s">
        <v>761</v>
      </c>
      <c r="F1587" s="193">
        <v>2</v>
      </c>
      <c r="G1587" s="148">
        <v>3150000</v>
      </c>
    </row>
    <row r="1588" spans="1:7" x14ac:dyDescent="0.25">
      <c r="A1588" s="147">
        <v>1583</v>
      </c>
      <c r="B1588" s="145">
        <v>45786</v>
      </c>
      <c r="C1588" s="191">
        <v>2025</v>
      </c>
      <c r="D1588" s="192" t="s">
        <v>35</v>
      </c>
      <c r="E1588" s="192" t="s">
        <v>761</v>
      </c>
      <c r="F1588" s="193">
        <v>4</v>
      </c>
      <c r="G1588" s="148">
        <v>9000000</v>
      </c>
    </row>
    <row r="1589" spans="1:7" x14ac:dyDescent="0.25">
      <c r="A1589" s="147">
        <v>1584</v>
      </c>
      <c r="B1589" s="145">
        <v>45790</v>
      </c>
      <c r="C1589" s="191">
        <v>2025</v>
      </c>
      <c r="D1589" s="192" t="s">
        <v>35</v>
      </c>
      <c r="E1589" s="192" t="s">
        <v>1291</v>
      </c>
      <c r="F1589" s="193">
        <v>100</v>
      </c>
      <c r="G1589" s="148">
        <v>850000</v>
      </c>
    </row>
    <row r="1590" spans="1:7" x14ac:dyDescent="0.25">
      <c r="A1590" s="147">
        <v>1585</v>
      </c>
      <c r="B1590" s="145">
        <v>45790</v>
      </c>
      <c r="C1590" s="191">
        <v>2025</v>
      </c>
      <c r="D1590" s="192" t="s">
        <v>35</v>
      </c>
      <c r="E1590" s="192" t="s">
        <v>1349</v>
      </c>
      <c r="F1590" s="193">
        <v>3</v>
      </c>
      <c r="G1590" s="148">
        <v>225900</v>
      </c>
    </row>
    <row r="1591" spans="1:7" x14ac:dyDescent="0.25">
      <c r="A1591" s="147">
        <v>1586</v>
      </c>
      <c r="B1591" s="145">
        <v>45790</v>
      </c>
      <c r="C1591" s="191">
        <v>2025</v>
      </c>
      <c r="D1591" s="192" t="s">
        <v>35</v>
      </c>
      <c r="E1591" s="192" t="s">
        <v>1140</v>
      </c>
      <c r="F1591" s="193">
        <v>3</v>
      </c>
      <c r="G1591" s="148">
        <v>92301</v>
      </c>
    </row>
    <row r="1592" spans="1:7" x14ac:dyDescent="0.25">
      <c r="A1592" s="147">
        <v>1587</v>
      </c>
      <c r="B1592" s="167">
        <v>45791</v>
      </c>
      <c r="C1592" s="117">
        <v>2025</v>
      </c>
      <c r="D1592" s="119" t="s">
        <v>35</v>
      </c>
      <c r="E1592" s="119" t="s">
        <v>1293</v>
      </c>
      <c r="F1592" s="120">
        <v>10</v>
      </c>
      <c r="G1592" s="169">
        <v>244950</v>
      </c>
    </row>
    <row r="1593" spans="1:7" x14ac:dyDescent="0.25">
      <c r="A1593" s="147">
        <v>1588</v>
      </c>
      <c r="B1593" s="167">
        <v>45791</v>
      </c>
      <c r="C1593" s="117">
        <v>2025</v>
      </c>
      <c r="D1593" s="119" t="s">
        <v>35</v>
      </c>
      <c r="E1593" s="119" t="s">
        <v>1312</v>
      </c>
      <c r="F1593" s="120">
        <v>10</v>
      </c>
      <c r="G1593" s="169">
        <v>168950</v>
      </c>
    </row>
    <row r="1594" spans="1:7" x14ac:dyDescent="0.25">
      <c r="A1594" s="147">
        <v>1589</v>
      </c>
      <c r="B1594" s="145">
        <v>45793</v>
      </c>
      <c r="C1594" s="191">
        <v>2025</v>
      </c>
      <c r="D1594" s="192" t="s">
        <v>35</v>
      </c>
      <c r="E1594" s="192" t="s">
        <v>1410</v>
      </c>
      <c r="F1594" s="193">
        <v>2</v>
      </c>
      <c r="G1594" s="148">
        <v>12400</v>
      </c>
    </row>
    <row r="1595" spans="1:7" x14ac:dyDescent="0.25">
      <c r="A1595" s="147">
        <v>1590</v>
      </c>
      <c r="B1595" s="145">
        <v>45794</v>
      </c>
      <c r="C1595" s="191">
        <v>2025</v>
      </c>
      <c r="D1595" s="192" t="s">
        <v>35</v>
      </c>
      <c r="E1595" s="192" t="s">
        <v>1411</v>
      </c>
      <c r="F1595" s="193">
        <v>1</v>
      </c>
      <c r="G1595" s="148">
        <v>41900</v>
      </c>
    </row>
    <row r="1596" spans="1:7" x14ac:dyDescent="0.25">
      <c r="A1596" s="147">
        <v>1591</v>
      </c>
      <c r="B1596" s="145">
        <v>45796</v>
      </c>
      <c r="C1596" s="191">
        <v>2025</v>
      </c>
      <c r="D1596" s="192" t="s">
        <v>35</v>
      </c>
      <c r="E1596" s="192" t="s">
        <v>1056</v>
      </c>
      <c r="F1596" s="193">
        <v>2</v>
      </c>
      <c r="G1596" s="148">
        <v>18900</v>
      </c>
    </row>
    <row r="1597" spans="1:7" x14ac:dyDescent="0.25">
      <c r="A1597" s="147">
        <v>1592</v>
      </c>
      <c r="B1597" s="145">
        <v>45796</v>
      </c>
      <c r="C1597" s="191">
        <v>2025</v>
      </c>
      <c r="D1597" s="192" t="s">
        <v>35</v>
      </c>
      <c r="E1597" s="192" t="s">
        <v>1030</v>
      </c>
      <c r="F1597" s="193">
        <v>6</v>
      </c>
      <c r="G1597" s="148">
        <v>31902</v>
      </c>
    </row>
    <row r="1598" spans="1:7" x14ac:dyDescent="0.25">
      <c r="A1598" s="147">
        <v>1593</v>
      </c>
      <c r="B1598" s="167">
        <v>45798</v>
      </c>
      <c r="C1598" s="117">
        <v>2025</v>
      </c>
      <c r="D1598" s="119" t="s">
        <v>35</v>
      </c>
      <c r="E1598" s="119" t="s">
        <v>1302</v>
      </c>
      <c r="F1598" s="120">
        <v>3</v>
      </c>
      <c r="G1598" s="169">
        <v>70902</v>
      </c>
    </row>
    <row r="1599" spans="1:7" x14ac:dyDescent="0.25">
      <c r="A1599" s="147">
        <v>1594</v>
      </c>
      <c r="B1599" s="167">
        <v>45798</v>
      </c>
      <c r="C1599" s="117">
        <v>2025</v>
      </c>
      <c r="D1599" s="119" t="s">
        <v>35</v>
      </c>
      <c r="E1599" s="119" t="s">
        <v>84</v>
      </c>
      <c r="F1599" s="120">
        <v>2</v>
      </c>
      <c r="G1599" s="169">
        <v>25900</v>
      </c>
    </row>
    <row r="1600" spans="1:7" x14ac:dyDescent="0.25">
      <c r="A1600" s="147">
        <v>1595</v>
      </c>
      <c r="B1600" s="145">
        <v>45800</v>
      </c>
      <c r="C1600" s="191">
        <v>2025</v>
      </c>
      <c r="D1600" s="192" t="s">
        <v>35</v>
      </c>
      <c r="E1600" s="192" t="s">
        <v>761</v>
      </c>
      <c r="F1600" s="193">
        <v>2</v>
      </c>
      <c r="G1600" s="148">
        <v>3150000</v>
      </c>
    </row>
    <row r="1601" spans="1:7" x14ac:dyDescent="0.25">
      <c r="A1601" s="147">
        <v>1596</v>
      </c>
      <c r="B1601" s="145">
        <v>45800</v>
      </c>
      <c r="C1601" s="191">
        <v>2025</v>
      </c>
      <c r="D1601" s="192" t="s">
        <v>35</v>
      </c>
      <c r="E1601" s="192" t="s">
        <v>739</v>
      </c>
      <c r="F1601" s="193">
        <v>75</v>
      </c>
      <c r="G1601" s="148">
        <v>555000</v>
      </c>
    </row>
    <row r="1602" spans="1:7" x14ac:dyDescent="0.25">
      <c r="A1602" s="147">
        <v>1597</v>
      </c>
      <c r="B1602" s="145">
        <v>45800</v>
      </c>
      <c r="C1602" s="191">
        <v>2025</v>
      </c>
      <c r="D1602" s="192" t="s">
        <v>35</v>
      </c>
      <c r="E1602" s="192" t="s">
        <v>1349</v>
      </c>
      <c r="F1602" s="193">
        <v>3</v>
      </c>
      <c r="G1602" s="148">
        <v>213900</v>
      </c>
    </row>
    <row r="1603" spans="1:7" x14ac:dyDescent="0.25">
      <c r="A1603" s="147">
        <v>1598</v>
      </c>
      <c r="B1603" s="145">
        <v>45800</v>
      </c>
      <c r="C1603" s="191">
        <v>2025</v>
      </c>
      <c r="D1603" s="192" t="s">
        <v>35</v>
      </c>
      <c r="E1603" s="192" t="s">
        <v>1420</v>
      </c>
      <c r="F1603" s="193">
        <v>1</v>
      </c>
      <c r="G1603" s="148">
        <v>60400</v>
      </c>
    </row>
    <row r="1604" spans="1:7" x14ac:dyDescent="0.25">
      <c r="A1604" s="147">
        <v>1599</v>
      </c>
      <c r="B1604" s="145">
        <v>45800</v>
      </c>
      <c r="C1604" s="191">
        <v>2025</v>
      </c>
      <c r="D1604" s="192" t="s">
        <v>35</v>
      </c>
      <c r="E1604" s="192" t="s">
        <v>1140</v>
      </c>
      <c r="F1604" s="193">
        <v>3</v>
      </c>
      <c r="G1604" s="148">
        <v>91902</v>
      </c>
    </row>
    <row r="1605" spans="1:7" x14ac:dyDescent="0.25">
      <c r="A1605" s="147">
        <v>1600</v>
      </c>
      <c r="B1605" s="145">
        <v>45807</v>
      </c>
      <c r="C1605" s="191">
        <v>2025</v>
      </c>
      <c r="D1605" s="192" t="s">
        <v>35</v>
      </c>
      <c r="E1605" s="192" t="s">
        <v>1349</v>
      </c>
      <c r="F1605" s="193">
        <v>5</v>
      </c>
      <c r="G1605" s="148">
        <v>397900</v>
      </c>
    </row>
    <row r="1606" spans="1:7" x14ac:dyDescent="0.25">
      <c r="A1606" s="147">
        <v>1601</v>
      </c>
      <c r="B1606" s="145">
        <v>45807</v>
      </c>
      <c r="C1606" s="191">
        <v>2025</v>
      </c>
      <c r="D1606" s="192" t="s">
        <v>35</v>
      </c>
      <c r="E1606" s="192" t="s">
        <v>1140</v>
      </c>
      <c r="F1606" s="193">
        <v>3</v>
      </c>
      <c r="G1606" s="148">
        <v>112902</v>
      </c>
    </row>
    <row r="1607" spans="1:7" x14ac:dyDescent="0.25">
      <c r="A1607" s="147">
        <v>1602</v>
      </c>
      <c r="B1607" s="145">
        <v>45812</v>
      </c>
      <c r="C1607" s="191">
        <v>2025</v>
      </c>
      <c r="D1607" s="192" t="s">
        <v>35</v>
      </c>
      <c r="E1607" s="192" t="s">
        <v>211</v>
      </c>
      <c r="F1607" s="193">
        <v>5</v>
      </c>
      <c r="G1607" s="148">
        <v>95000</v>
      </c>
    </row>
    <row r="1608" spans="1:7" x14ac:dyDescent="0.25">
      <c r="A1608" s="147">
        <v>1603</v>
      </c>
      <c r="B1608" s="145">
        <v>45812</v>
      </c>
      <c r="C1608" s="191">
        <v>2025</v>
      </c>
      <c r="D1608" s="192" t="s">
        <v>35</v>
      </c>
      <c r="E1608" s="192" t="s">
        <v>1428</v>
      </c>
      <c r="F1608" s="193">
        <v>50</v>
      </c>
      <c r="G1608" s="148">
        <v>249750</v>
      </c>
    </row>
    <row r="1609" spans="1:7" x14ac:dyDescent="0.25">
      <c r="A1609" s="147">
        <v>1604</v>
      </c>
      <c r="B1609" s="145">
        <v>45813</v>
      </c>
      <c r="C1609" s="191">
        <v>2025</v>
      </c>
      <c r="D1609" s="192" t="s">
        <v>35</v>
      </c>
      <c r="E1609" s="192" t="s">
        <v>1324</v>
      </c>
      <c r="F1609" s="193">
        <v>1</v>
      </c>
      <c r="G1609" s="148">
        <v>4500</v>
      </c>
    </row>
    <row r="1610" spans="1:7" x14ac:dyDescent="0.25">
      <c r="A1610" s="147">
        <v>1605</v>
      </c>
      <c r="B1610" s="145">
        <v>45813</v>
      </c>
      <c r="C1610" s="191">
        <v>2025</v>
      </c>
      <c r="D1610" s="192" t="s">
        <v>35</v>
      </c>
      <c r="E1610" s="192" t="s">
        <v>963</v>
      </c>
      <c r="F1610" s="193">
        <v>6</v>
      </c>
      <c r="G1610" s="148">
        <v>130002</v>
      </c>
    </row>
    <row r="1611" spans="1:7" x14ac:dyDescent="0.25">
      <c r="A1611" s="147">
        <v>1606</v>
      </c>
      <c r="B1611" s="145">
        <v>45813</v>
      </c>
      <c r="C1611" s="191">
        <v>2025</v>
      </c>
      <c r="D1611" s="192" t="s">
        <v>35</v>
      </c>
      <c r="E1611" s="192" t="s">
        <v>1430</v>
      </c>
      <c r="F1611" s="193">
        <v>6</v>
      </c>
      <c r="G1611" s="148">
        <v>15000</v>
      </c>
    </row>
    <row r="1612" spans="1:7" x14ac:dyDescent="0.25">
      <c r="A1612" s="147">
        <v>1607</v>
      </c>
      <c r="B1612" s="145">
        <v>45817</v>
      </c>
      <c r="C1612" s="191">
        <v>2025</v>
      </c>
      <c r="D1612" s="192" t="s">
        <v>35</v>
      </c>
      <c r="E1612" s="192" t="s">
        <v>628</v>
      </c>
      <c r="F1612" s="193">
        <v>1</v>
      </c>
      <c r="G1612" s="148">
        <v>28000</v>
      </c>
    </row>
    <row r="1613" spans="1:7" x14ac:dyDescent="0.25">
      <c r="A1613" s="147">
        <v>1608</v>
      </c>
      <c r="B1613" s="167">
        <v>45818</v>
      </c>
      <c r="C1613" s="117">
        <v>2025</v>
      </c>
      <c r="D1613" s="119" t="s">
        <v>35</v>
      </c>
      <c r="E1613" s="119" t="s">
        <v>486</v>
      </c>
      <c r="F1613" s="120">
        <v>3</v>
      </c>
      <c r="G1613" s="169">
        <v>137802</v>
      </c>
    </row>
    <row r="1614" spans="1:7" x14ac:dyDescent="0.25">
      <c r="A1614" s="147">
        <v>1609</v>
      </c>
      <c r="B1614" s="167">
        <v>45818</v>
      </c>
      <c r="C1614" s="117">
        <v>2025</v>
      </c>
      <c r="D1614" s="119" t="s">
        <v>35</v>
      </c>
      <c r="E1614" s="119" t="s">
        <v>677</v>
      </c>
      <c r="F1614" s="120">
        <v>4</v>
      </c>
      <c r="G1614" s="169">
        <v>25900</v>
      </c>
    </row>
    <row r="1615" spans="1:7" x14ac:dyDescent="0.25">
      <c r="A1615" s="147">
        <v>1610</v>
      </c>
      <c r="B1615" s="145">
        <v>45821</v>
      </c>
      <c r="C1615" s="191">
        <v>2025</v>
      </c>
      <c r="D1615" s="192" t="s">
        <v>35</v>
      </c>
      <c r="E1615" s="192" t="s">
        <v>1433</v>
      </c>
      <c r="F1615" s="193">
        <v>1</v>
      </c>
      <c r="G1615" s="148">
        <v>8500</v>
      </c>
    </row>
    <row r="1616" spans="1:7" x14ac:dyDescent="0.25">
      <c r="A1616" s="147">
        <v>1611</v>
      </c>
      <c r="B1616" s="167">
        <v>45821</v>
      </c>
      <c r="C1616" s="117">
        <v>2025</v>
      </c>
      <c r="D1616" s="119" t="s">
        <v>35</v>
      </c>
      <c r="E1616" s="119" t="s">
        <v>670</v>
      </c>
      <c r="F1616" s="120">
        <v>10</v>
      </c>
      <c r="G1616" s="169">
        <v>24390</v>
      </c>
    </row>
    <row r="1617" spans="1:7" x14ac:dyDescent="0.25">
      <c r="A1617" s="147">
        <v>1612</v>
      </c>
      <c r="B1617" s="167">
        <v>45821</v>
      </c>
      <c r="C1617" s="117">
        <v>2025</v>
      </c>
      <c r="D1617" s="119" t="s">
        <v>35</v>
      </c>
      <c r="E1617" s="119" t="s">
        <v>1312</v>
      </c>
      <c r="F1617" s="120">
        <v>12</v>
      </c>
      <c r="G1617" s="169">
        <v>153108</v>
      </c>
    </row>
    <row r="1618" spans="1:7" x14ac:dyDescent="0.25">
      <c r="A1618" s="147">
        <v>1613</v>
      </c>
      <c r="B1618" s="167">
        <v>45821</v>
      </c>
      <c r="C1618" s="117">
        <v>2025</v>
      </c>
      <c r="D1618" s="119" t="s">
        <v>35</v>
      </c>
      <c r="E1618" s="119" t="s">
        <v>700</v>
      </c>
      <c r="F1618" s="120">
        <v>3</v>
      </c>
      <c r="G1618" s="169">
        <v>84066</v>
      </c>
    </row>
    <row r="1619" spans="1:7" x14ac:dyDescent="0.25">
      <c r="A1619" s="147">
        <v>1614</v>
      </c>
      <c r="B1619" s="145">
        <v>45825</v>
      </c>
      <c r="C1619" s="191">
        <v>2025</v>
      </c>
      <c r="D1619" s="192" t="s">
        <v>35</v>
      </c>
      <c r="E1619" s="192" t="s">
        <v>1435</v>
      </c>
      <c r="F1619" s="193">
        <v>1</v>
      </c>
      <c r="G1619" s="148">
        <v>37900</v>
      </c>
    </row>
    <row r="1620" spans="1:7" x14ac:dyDescent="0.25">
      <c r="A1620" s="147">
        <v>1615</v>
      </c>
      <c r="B1620" s="145">
        <v>45827</v>
      </c>
      <c r="C1620" s="191">
        <v>2025</v>
      </c>
      <c r="D1620" s="192" t="s">
        <v>35</v>
      </c>
      <c r="E1620" s="192" t="s">
        <v>1115</v>
      </c>
      <c r="F1620" s="193">
        <v>1</v>
      </c>
      <c r="G1620" s="148">
        <v>9650</v>
      </c>
    </row>
    <row r="1621" spans="1:7" x14ac:dyDescent="0.25">
      <c r="A1621" s="147">
        <v>1616</v>
      </c>
      <c r="B1621" s="145">
        <v>45827</v>
      </c>
      <c r="C1621" s="191">
        <v>2025</v>
      </c>
      <c r="D1621" s="192" t="s">
        <v>35</v>
      </c>
      <c r="E1621" s="192" t="s">
        <v>1274</v>
      </c>
      <c r="F1621" s="193">
        <v>1</v>
      </c>
      <c r="G1621" s="148">
        <v>148000</v>
      </c>
    </row>
    <row r="1622" spans="1:7" x14ac:dyDescent="0.25">
      <c r="A1622" s="147">
        <v>1617</v>
      </c>
      <c r="B1622" s="145">
        <v>45827</v>
      </c>
      <c r="C1622" s="191">
        <v>2025</v>
      </c>
      <c r="D1622" s="192" t="s">
        <v>35</v>
      </c>
      <c r="E1622" s="192" t="s">
        <v>1437</v>
      </c>
      <c r="F1622" s="193">
        <v>1</v>
      </c>
      <c r="G1622" s="148">
        <v>250000</v>
      </c>
    </row>
    <row r="1623" spans="1:7" x14ac:dyDescent="0.25">
      <c r="A1623" s="147">
        <v>1618</v>
      </c>
      <c r="B1623" s="145">
        <v>45829</v>
      </c>
      <c r="C1623" s="191">
        <v>2025</v>
      </c>
      <c r="D1623" s="192" t="s">
        <v>35</v>
      </c>
      <c r="E1623" s="192" t="s">
        <v>1438</v>
      </c>
      <c r="F1623" s="193">
        <v>20</v>
      </c>
      <c r="G1623" s="148">
        <v>14061280</v>
      </c>
    </row>
    <row r="1624" spans="1:7" x14ac:dyDescent="0.25">
      <c r="A1624" s="147">
        <v>1619</v>
      </c>
      <c r="B1624" s="145">
        <v>45829</v>
      </c>
      <c r="C1624" s="191">
        <v>2025</v>
      </c>
      <c r="D1624" s="192" t="s">
        <v>35</v>
      </c>
      <c r="E1624" s="192" t="s">
        <v>1439</v>
      </c>
      <c r="F1624" s="193">
        <v>80</v>
      </c>
      <c r="G1624" s="148">
        <v>6384000</v>
      </c>
    </row>
    <row r="1625" spans="1:7" x14ac:dyDescent="0.25">
      <c r="A1625" s="147">
        <v>1620</v>
      </c>
      <c r="B1625" s="145">
        <v>45831</v>
      </c>
      <c r="C1625" s="191">
        <v>2025</v>
      </c>
      <c r="D1625" s="192" t="s">
        <v>35</v>
      </c>
      <c r="E1625" s="192" t="s">
        <v>252</v>
      </c>
      <c r="F1625" s="193">
        <v>2</v>
      </c>
      <c r="G1625" s="148">
        <v>2400000</v>
      </c>
    </row>
    <row r="1626" spans="1:7" x14ac:dyDescent="0.25">
      <c r="A1626" s="147">
        <v>1621</v>
      </c>
      <c r="B1626" s="145">
        <v>45831</v>
      </c>
      <c r="C1626" s="191">
        <v>2025</v>
      </c>
      <c r="D1626" s="192" t="s">
        <v>35</v>
      </c>
      <c r="E1626" s="192" t="s">
        <v>739</v>
      </c>
      <c r="F1626" s="193">
        <v>75</v>
      </c>
      <c r="G1626" s="148">
        <v>555000</v>
      </c>
    </row>
    <row r="1627" spans="1:7" x14ac:dyDescent="0.25">
      <c r="A1627" s="147">
        <v>1622</v>
      </c>
      <c r="B1627" s="145">
        <v>45832</v>
      </c>
      <c r="C1627" s="191">
        <v>2025</v>
      </c>
      <c r="D1627" s="192" t="s">
        <v>35</v>
      </c>
      <c r="E1627" s="192" t="s">
        <v>1450</v>
      </c>
      <c r="F1627" s="193">
        <v>1</v>
      </c>
      <c r="G1627" s="148">
        <v>65000</v>
      </c>
    </row>
    <row r="1628" spans="1:7" x14ac:dyDescent="0.25">
      <c r="A1628" s="147">
        <v>1623</v>
      </c>
      <c r="B1628" s="145">
        <v>45832</v>
      </c>
      <c r="C1628" s="191">
        <v>2025</v>
      </c>
      <c r="D1628" s="192" t="s">
        <v>35</v>
      </c>
      <c r="E1628" s="192" t="s">
        <v>1451</v>
      </c>
      <c r="F1628" s="193">
        <v>1</v>
      </c>
      <c r="G1628" s="148">
        <v>100000</v>
      </c>
    </row>
    <row r="1629" spans="1:7" x14ac:dyDescent="0.25">
      <c r="A1629" s="147">
        <v>1624</v>
      </c>
      <c r="B1629" s="145">
        <v>45838</v>
      </c>
      <c r="C1629" s="191">
        <v>2025</v>
      </c>
      <c r="D1629" s="192" t="s">
        <v>35</v>
      </c>
      <c r="E1629" s="192" t="s">
        <v>252</v>
      </c>
      <c r="F1629" s="193">
        <v>2</v>
      </c>
      <c r="G1629" s="148">
        <v>2140000</v>
      </c>
    </row>
    <row r="1630" spans="1:7" x14ac:dyDescent="0.25">
      <c r="A1630" s="147">
        <v>1625</v>
      </c>
      <c r="B1630" s="145">
        <v>45838</v>
      </c>
      <c r="C1630" s="191">
        <v>2025</v>
      </c>
      <c r="D1630" s="192" t="s">
        <v>35</v>
      </c>
      <c r="E1630" s="192" t="s">
        <v>1450</v>
      </c>
      <c r="F1630" s="193">
        <v>1</v>
      </c>
      <c r="G1630" s="148">
        <v>65000</v>
      </c>
    </row>
    <row r="1631" spans="1:7" x14ac:dyDescent="0.25">
      <c r="A1631" s="147">
        <v>1626</v>
      </c>
      <c r="B1631" s="145">
        <v>45838</v>
      </c>
      <c r="C1631" s="191">
        <v>2025</v>
      </c>
      <c r="D1631" s="192" t="s">
        <v>35</v>
      </c>
      <c r="E1631" s="192" t="s">
        <v>72</v>
      </c>
      <c r="F1631" s="193">
        <v>1</v>
      </c>
      <c r="G1631" s="148">
        <v>25000</v>
      </c>
    </row>
    <row r="1632" spans="1:7" x14ac:dyDescent="0.25">
      <c r="A1632" s="147">
        <v>1627</v>
      </c>
      <c r="B1632" s="145">
        <v>45840</v>
      </c>
      <c r="C1632" s="191">
        <v>2025</v>
      </c>
      <c r="D1632" s="192" t="s">
        <v>35</v>
      </c>
      <c r="E1632" s="192" t="s">
        <v>211</v>
      </c>
      <c r="F1632" s="193">
        <v>3</v>
      </c>
      <c r="G1632" s="148">
        <v>58500</v>
      </c>
    </row>
    <row r="1633" spans="1:7" x14ac:dyDescent="0.25">
      <c r="A1633" s="147">
        <v>1628</v>
      </c>
      <c r="B1633" s="145">
        <v>45841</v>
      </c>
      <c r="C1633" s="191">
        <v>2025</v>
      </c>
      <c r="D1633" s="192" t="s">
        <v>35</v>
      </c>
      <c r="E1633" s="192" t="s">
        <v>1459</v>
      </c>
      <c r="F1633" s="193">
        <v>1</v>
      </c>
      <c r="G1633" s="148">
        <v>55000</v>
      </c>
    </row>
    <row r="1634" spans="1:7" x14ac:dyDescent="0.25">
      <c r="A1634" s="147">
        <v>1629</v>
      </c>
      <c r="B1634" s="167">
        <v>45841</v>
      </c>
      <c r="C1634" s="117">
        <v>2025</v>
      </c>
      <c r="D1634" s="119" t="s">
        <v>35</v>
      </c>
      <c r="E1634" s="119" t="s">
        <v>486</v>
      </c>
      <c r="F1634" s="120">
        <v>3</v>
      </c>
      <c r="G1634" s="169">
        <v>134109</v>
      </c>
    </row>
    <row r="1635" spans="1:7" x14ac:dyDescent="0.25">
      <c r="A1635" s="147">
        <v>1630</v>
      </c>
      <c r="B1635" s="167">
        <v>45841</v>
      </c>
      <c r="C1635" s="117">
        <v>2025</v>
      </c>
      <c r="D1635" s="119" t="s">
        <v>35</v>
      </c>
      <c r="E1635" s="119" t="s">
        <v>486</v>
      </c>
      <c r="F1635" s="120">
        <v>3</v>
      </c>
      <c r="G1635" s="169">
        <v>136323</v>
      </c>
    </row>
    <row r="1636" spans="1:7" x14ac:dyDescent="0.25">
      <c r="A1636" s="147">
        <v>1631</v>
      </c>
      <c r="B1636" s="167">
        <v>45841</v>
      </c>
      <c r="C1636" s="117">
        <v>2025</v>
      </c>
      <c r="D1636" s="119" t="s">
        <v>35</v>
      </c>
      <c r="E1636" s="119" t="s">
        <v>1302</v>
      </c>
      <c r="F1636" s="120">
        <v>3</v>
      </c>
      <c r="G1636" s="169">
        <v>67902</v>
      </c>
    </row>
    <row r="1637" spans="1:7" x14ac:dyDescent="0.25">
      <c r="A1637" s="147">
        <v>1632</v>
      </c>
      <c r="B1637" s="167">
        <v>45841</v>
      </c>
      <c r="C1637" s="117">
        <v>2025</v>
      </c>
      <c r="D1637" s="119" t="s">
        <v>35</v>
      </c>
      <c r="E1637" s="119" t="s">
        <v>393</v>
      </c>
      <c r="F1637" s="120">
        <v>10</v>
      </c>
      <c r="G1637" s="169">
        <v>118950</v>
      </c>
    </row>
    <row r="1638" spans="1:7" x14ac:dyDescent="0.25">
      <c r="A1638" s="147">
        <v>1633</v>
      </c>
      <c r="B1638" s="167">
        <v>45841</v>
      </c>
      <c r="C1638" s="117">
        <v>2025</v>
      </c>
      <c r="D1638" s="119" t="s">
        <v>35</v>
      </c>
      <c r="E1638" s="119" t="s">
        <v>393</v>
      </c>
      <c r="F1638" s="120">
        <v>10</v>
      </c>
      <c r="G1638" s="169">
        <v>109950</v>
      </c>
    </row>
    <row r="1639" spans="1:7" x14ac:dyDescent="0.25">
      <c r="A1639" s="147">
        <v>1634</v>
      </c>
      <c r="B1639" s="167">
        <v>45841</v>
      </c>
      <c r="C1639" s="117">
        <v>2025</v>
      </c>
      <c r="D1639" s="119" t="s">
        <v>35</v>
      </c>
      <c r="E1639" s="119" t="s">
        <v>98</v>
      </c>
      <c r="F1639" s="120">
        <v>4</v>
      </c>
      <c r="G1639" s="169">
        <v>121900</v>
      </c>
    </row>
    <row r="1640" spans="1:7" x14ac:dyDescent="0.25">
      <c r="A1640" s="147">
        <v>1635</v>
      </c>
      <c r="B1640" s="145">
        <v>45843</v>
      </c>
      <c r="C1640" s="191">
        <v>2025</v>
      </c>
      <c r="D1640" s="192" t="s">
        <v>35</v>
      </c>
      <c r="E1640" s="192" t="s">
        <v>680</v>
      </c>
      <c r="F1640" s="193">
        <v>6</v>
      </c>
      <c r="G1640" s="148">
        <v>6750</v>
      </c>
    </row>
    <row r="1641" spans="1:7" x14ac:dyDescent="0.25">
      <c r="A1641" s="147">
        <v>1636</v>
      </c>
      <c r="B1641" s="145">
        <v>45843</v>
      </c>
      <c r="C1641" s="191">
        <v>2025</v>
      </c>
      <c r="D1641" s="192" t="s">
        <v>35</v>
      </c>
      <c r="E1641" s="192" t="s">
        <v>1319</v>
      </c>
      <c r="F1641" s="193">
        <v>1</v>
      </c>
      <c r="G1641" s="148">
        <v>28394</v>
      </c>
    </row>
    <row r="1642" spans="1:7" x14ac:dyDescent="0.25">
      <c r="A1642" s="147">
        <v>1637</v>
      </c>
      <c r="B1642" s="145">
        <v>45843</v>
      </c>
      <c r="C1642" s="191">
        <v>2025</v>
      </c>
      <c r="D1642" s="192" t="s">
        <v>35</v>
      </c>
      <c r="E1642" s="192" t="s">
        <v>1320</v>
      </c>
      <c r="F1642" s="193">
        <v>1</v>
      </c>
      <c r="G1642" s="148">
        <v>28394</v>
      </c>
    </row>
    <row r="1643" spans="1:7" x14ac:dyDescent="0.25">
      <c r="A1643" s="147">
        <v>1638</v>
      </c>
      <c r="B1643" s="145">
        <v>45846</v>
      </c>
      <c r="C1643" s="191">
        <v>2025</v>
      </c>
      <c r="D1643" s="192" t="s">
        <v>35</v>
      </c>
      <c r="E1643" s="192" t="s">
        <v>1461</v>
      </c>
      <c r="F1643" s="193">
        <v>4</v>
      </c>
      <c r="G1643" s="148">
        <v>14000</v>
      </c>
    </row>
    <row r="1644" spans="1:7" x14ac:dyDescent="0.25">
      <c r="A1644" s="147">
        <v>1639</v>
      </c>
      <c r="B1644" s="145">
        <v>45846</v>
      </c>
      <c r="C1644" s="191">
        <v>2025</v>
      </c>
      <c r="D1644" s="192" t="s">
        <v>35</v>
      </c>
      <c r="E1644" s="192" t="s">
        <v>205</v>
      </c>
      <c r="F1644" s="193">
        <v>1</v>
      </c>
      <c r="G1644" s="148">
        <v>20000</v>
      </c>
    </row>
    <row r="1645" spans="1:7" x14ac:dyDescent="0.25">
      <c r="A1645" s="147">
        <v>1640</v>
      </c>
      <c r="B1645" s="145">
        <v>45846</v>
      </c>
      <c r="C1645" s="191">
        <v>2025</v>
      </c>
      <c r="D1645" s="192" t="s">
        <v>35</v>
      </c>
      <c r="E1645" s="192" t="s">
        <v>1462</v>
      </c>
      <c r="F1645" s="193">
        <v>2</v>
      </c>
      <c r="G1645" s="148">
        <v>70000</v>
      </c>
    </row>
    <row r="1646" spans="1:7" x14ac:dyDescent="0.25">
      <c r="A1646" s="147">
        <v>1641</v>
      </c>
      <c r="B1646" s="145">
        <v>45846</v>
      </c>
      <c r="C1646" s="191">
        <v>2025</v>
      </c>
      <c r="D1646" s="192" t="s">
        <v>35</v>
      </c>
      <c r="E1646" s="192" t="s">
        <v>1463</v>
      </c>
      <c r="F1646" s="193">
        <v>1</v>
      </c>
      <c r="G1646" s="148">
        <v>55000</v>
      </c>
    </row>
    <row r="1647" spans="1:7" x14ac:dyDescent="0.25">
      <c r="A1647" s="147">
        <v>1642</v>
      </c>
      <c r="B1647" s="167">
        <v>45846</v>
      </c>
      <c r="C1647" s="117">
        <v>2025</v>
      </c>
      <c r="D1647" s="119" t="s">
        <v>35</v>
      </c>
      <c r="E1647" s="119" t="s">
        <v>84</v>
      </c>
      <c r="F1647" s="120">
        <v>2</v>
      </c>
      <c r="G1647" s="169">
        <v>25900</v>
      </c>
    </row>
    <row r="1648" spans="1:7" x14ac:dyDescent="0.25">
      <c r="A1648" s="147">
        <v>1643</v>
      </c>
      <c r="B1648" s="145">
        <v>45847</v>
      </c>
      <c r="C1648" s="191">
        <v>2025</v>
      </c>
      <c r="D1648" s="192" t="s">
        <v>35</v>
      </c>
      <c r="E1648" s="192" t="s">
        <v>806</v>
      </c>
      <c r="F1648" s="193">
        <v>1</v>
      </c>
      <c r="G1648" s="148">
        <v>300000</v>
      </c>
    </row>
    <row r="1649" spans="1:7" x14ac:dyDescent="0.25">
      <c r="A1649" s="147">
        <v>1644</v>
      </c>
      <c r="B1649" s="145">
        <v>45847</v>
      </c>
      <c r="C1649" s="191">
        <v>2025</v>
      </c>
      <c r="D1649" s="192" t="s">
        <v>35</v>
      </c>
      <c r="E1649" s="192" t="s">
        <v>365</v>
      </c>
      <c r="F1649" s="193">
        <v>2</v>
      </c>
      <c r="G1649" s="148">
        <v>6000</v>
      </c>
    </row>
    <row r="1650" spans="1:7" x14ac:dyDescent="0.25">
      <c r="A1650" s="147">
        <v>1645</v>
      </c>
      <c r="B1650" s="145">
        <v>45848</v>
      </c>
      <c r="C1650" s="191">
        <v>2025</v>
      </c>
      <c r="D1650" s="192" t="s">
        <v>35</v>
      </c>
      <c r="E1650" s="192" t="s">
        <v>1217</v>
      </c>
      <c r="F1650" s="193">
        <v>1</v>
      </c>
      <c r="G1650" s="148">
        <v>15000</v>
      </c>
    </row>
    <row r="1651" spans="1:7" x14ac:dyDescent="0.25">
      <c r="A1651" s="147">
        <v>1646</v>
      </c>
      <c r="B1651" s="145">
        <v>45848</v>
      </c>
      <c r="C1651" s="191">
        <v>2025</v>
      </c>
      <c r="D1651" s="192" t="s">
        <v>35</v>
      </c>
      <c r="E1651" s="192" t="s">
        <v>1464</v>
      </c>
      <c r="F1651" s="193">
        <v>1</v>
      </c>
      <c r="G1651" s="148">
        <v>3000</v>
      </c>
    </row>
    <row r="1652" spans="1:7" x14ac:dyDescent="0.25">
      <c r="A1652" s="147">
        <v>1647</v>
      </c>
      <c r="B1652" s="145">
        <v>45849</v>
      </c>
      <c r="C1652" s="191">
        <v>2025</v>
      </c>
      <c r="D1652" s="192" t="s">
        <v>35</v>
      </c>
      <c r="E1652" s="192" t="s">
        <v>1466</v>
      </c>
      <c r="F1652" s="193">
        <v>1</v>
      </c>
      <c r="G1652" s="148">
        <v>17500</v>
      </c>
    </row>
    <row r="1653" spans="1:7" x14ac:dyDescent="0.25">
      <c r="A1653" s="147">
        <v>1648</v>
      </c>
      <c r="B1653" s="145">
        <v>45852</v>
      </c>
      <c r="C1653" s="191">
        <v>2025</v>
      </c>
      <c r="D1653" s="192" t="s">
        <v>35</v>
      </c>
      <c r="E1653" s="192" t="s">
        <v>211</v>
      </c>
      <c r="F1653" s="193">
        <v>10</v>
      </c>
      <c r="G1653" s="148">
        <v>210000</v>
      </c>
    </row>
    <row r="1654" spans="1:7" x14ac:dyDescent="0.25">
      <c r="A1654" s="147">
        <v>1649</v>
      </c>
      <c r="B1654" s="145">
        <v>45852</v>
      </c>
      <c r="C1654" s="191">
        <v>2025</v>
      </c>
      <c r="D1654" s="192" t="s">
        <v>35</v>
      </c>
      <c r="E1654" s="192" t="s">
        <v>628</v>
      </c>
      <c r="F1654" s="193">
        <v>2</v>
      </c>
      <c r="G1654" s="148">
        <v>56000</v>
      </c>
    </row>
    <row r="1655" spans="1:7" x14ac:dyDescent="0.25">
      <c r="A1655" s="147">
        <v>1650</v>
      </c>
      <c r="B1655" s="145">
        <v>45853</v>
      </c>
      <c r="C1655" s="191">
        <v>2025</v>
      </c>
      <c r="D1655" s="192" t="s">
        <v>35</v>
      </c>
      <c r="E1655" s="192" t="s">
        <v>230</v>
      </c>
      <c r="F1655" s="193">
        <v>2</v>
      </c>
      <c r="G1655" s="148">
        <v>140000</v>
      </c>
    </row>
    <row r="1656" spans="1:7" x14ac:dyDescent="0.25">
      <c r="A1656" s="147">
        <v>1651</v>
      </c>
      <c r="B1656" s="145">
        <v>45853</v>
      </c>
      <c r="C1656" s="191">
        <v>2025</v>
      </c>
      <c r="D1656" s="192" t="s">
        <v>35</v>
      </c>
      <c r="E1656" s="192" t="s">
        <v>761</v>
      </c>
      <c r="F1656" s="193">
        <v>2</v>
      </c>
      <c r="G1656" s="148">
        <v>3150000</v>
      </c>
    </row>
    <row r="1657" spans="1:7" x14ac:dyDescent="0.25">
      <c r="A1657" s="147">
        <v>1652</v>
      </c>
      <c r="B1657" s="145">
        <v>45853</v>
      </c>
      <c r="C1657" s="191">
        <v>2025</v>
      </c>
      <c r="D1657" s="192" t="s">
        <v>35</v>
      </c>
      <c r="E1657" s="192" t="s">
        <v>115</v>
      </c>
      <c r="F1657" s="193">
        <v>2</v>
      </c>
      <c r="G1657" s="148">
        <v>160000</v>
      </c>
    </row>
    <row r="1658" spans="1:7" x14ac:dyDescent="0.25">
      <c r="A1658" s="147">
        <v>1653</v>
      </c>
      <c r="B1658" s="145">
        <v>45854</v>
      </c>
      <c r="C1658" s="191">
        <v>2025</v>
      </c>
      <c r="D1658" s="192" t="s">
        <v>35</v>
      </c>
      <c r="E1658" s="192" t="s">
        <v>72</v>
      </c>
      <c r="F1658" s="193">
        <v>1</v>
      </c>
      <c r="G1658" s="148">
        <v>25000</v>
      </c>
    </row>
    <row r="1659" spans="1:7" x14ac:dyDescent="0.25">
      <c r="A1659" s="147">
        <v>1654</v>
      </c>
      <c r="B1659" s="145">
        <v>45854</v>
      </c>
      <c r="C1659" s="191">
        <v>2025</v>
      </c>
      <c r="D1659" s="192" t="s">
        <v>35</v>
      </c>
      <c r="E1659" s="192" t="s">
        <v>1470</v>
      </c>
      <c r="F1659" s="193">
        <v>1</v>
      </c>
      <c r="G1659" s="148">
        <v>100000</v>
      </c>
    </row>
    <row r="1660" spans="1:7" x14ac:dyDescent="0.25">
      <c r="A1660" s="147">
        <v>1655</v>
      </c>
      <c r="B1660" s="145">
        <v>45855</v>
      </c>
      <c r="C1660" s="191">
        <v>2025</v>
      </c>
      <c r="D1660" s="192" t="s">
        <v>35</v>
      </c>
      <c r="E1660" s="192" t="s">
        <v>628</v>
      </c>
      <c r="F1660" s="193">
        <v>5</v>
      </c>
      <c r="G1660" s="148">
        <v>140000</v>
      </c>
    </row>
    <row r="1661" spans="1:7" x14ac:dyDescent="0.25">
      <c r="A1661" s="147">
        <v>1656</v>
      </c>
      <c r="B1661" s="145">
        <v>45855</v>
      </c>
      <c r="C1661" s="191">
        <v>2025</v>
      </c>
      <c r="D1661" s="192" t="s">
        <v>35</v>
      </c>
      <c r="E1661" s="192" t="s">
        <v>1473</v>
      </c>
      <c r="F1661" s="193">
        <v>1</v>
      </c>
      <c r="G1661" s="148">
        <v>50000</v>
      </c>
    </row>
    <row r="1662" spans="1:7" x14ac:dyDescent="0.25">
      <c r="A1662" s="147">
        <v>1657</v>
      </c>
      <c r="B1662" s="145">
        <v>45856</v>
      </c>
      <c r="C1662" s="191">
        <v>2025</v>
      </c>
      <c r="D1662" s="192" t="s">
        <v>35</v>
      </c>
      <c r="E1662" s="192" t="s">
        <v>1474</v>
      </c>
      <c r="F1662" s="193">
        <v>1</v>
      </c>
      <c r="G1662" s="148">
        <v>675000</v>
      </c>
    </row>
    <row r="1663" spans="1:7" x14ac:dyDescent="0.25">
      <c r="A1663" s="147">
        <v>1658</v>
      </c>
      <c r="B1663" s="145">
        <v>45856</v>
      </c>
      <c r="C1663" s="191">
        <v>2025</v>
      </c>
      <c r="D1663" s="192" t="s">
        <v>35</v>
      </c>
      <c r="E1663" s="192" t="s">
        <v>1392</v>
      </c>
      <c r="F1663" s="193">
        <v>1</v>
      </c>
      <c r="G1663" s="148">
        <v>160000</v>
      </c>
    </row>
    <row r="1664" spans="1:7" x14ac:dyDescent="0.25">
      <c r="A1664" s="147">
        <v>1659</v>
      </c>
      <c r="B1664" s="145">
        <v>45857</v>
      </c>
      <c r="C1664" s="191">
        <v>2025</v>
      </c>
      <c r="D1664" s="192" t="s">
        <v>35</v>
      </c>
      <c r="E1664" s="192" t="s">
        <v>1241</v>
      </c>
      <c r="F1664" s="193">
        <v>1</v>
      </c>
      <c r="G1664" s="148">
        <v>7800000</v>
      </c>
    </row>
    <row r="1665" spans="1:7" x14ac:dyDescent="0.25">
      <c r="A1665" s="147">
        <v>1660</v>
      </c>
      <c r="B1665" s="145">
        <v>45857</v>
      </c>
      <c r="C1665" s="191">
        <v>2025</v>
      </c>
      <c r="D1665" s="192" t="s">
        <v>35</v>
      </c>
      <c r="E1665" s="192" t="s">
        <v>1478</v>
      </c>
      <c r="F1665" s="193">
        <v>1</v>
      </c>
      <c r="G1665" s="148">
        <v>250000</v>
      </c>
    </row>
    <row r="1666" spans="1:7" x14ac:dyDescent="0.25">
      <c r="A1666" s="147">
        <v>1661</v>
      </c>
      <c r="B1666" s="145">
        <v>45860</v>
      </c>
      <c r="C1666" s="191">
        <v>2025</v>
      </c>
      <c r="D1666" s="192" t="s">
        <v>35</v>
      </c>
      <c r="E1666" s="192" t="s">
        <v>1483</v>
      </c>
      <c r="F1666" s="193">
        <v>4</v>
      </c>
      <c r="G1666" s="148">
        <v>80000</v>
      </c>
    </row>
    <row r="1667" spans="1:7" x14ac:dyDescent="0.25">
      <c r="A1667" s="147">
        <v>1662</v>
      </c>
      <c r="B1667" s="145">
        <v>45861</v>
      </c>
      <c r="C1667" s="191">
        <v>2025</v>
      </c>
      <c r="D1667" s="192" t="s">
        <v>35</v>
      </c>
      <c r="E1667" s="192" t="s">
        <v>761</v>
      </c>
      <c r="F1667" s="193">
        <v>2</v>
      </c>
      <c r="G1667" s="148">
        <v>3150000</v>
      </c>
    </row>
    <row r="1668" spans="1:7" x14ac:dyDescent="0.25">
      <c r="A1668" s="147">
        <v>1663</v>
      </c>
      <c r="B1668" s="145">
        <v>45861</v>
      </c>
      <c r="C1668" s="191">
        <v>2025</v>
      </c>
      <c r="D1668" s="192" t="s">
        <v>35</v>
      </c>
      <c r="E1668" s="192" t="s">
        <v>1484</v>
      </c>
      <c r="F1668" s="193">
        <v>1</v>
      </c>
      <c r="G1668" s="148">
        <v>150000</v>
      </c>
    </row>
    <row r="1669" spans="1:7" x14ac:dyDescent="0.25">
      <c r="A1669" s="147">
        <v>1664</v>
      </c>
      <c r="B1669" s="145">
        <v>45861</v>
      </c>
      <c r="C1669" s="191">
        <v>2025</v>
      </c>
      <c r="D1669" s="192" t="s">
        <v>35</v>
      </c>
      <c r="E1669" s="192" t="s">
        <v>1485</v>
      </c>
      <c r="F1669" s="193">
        <v>1</v>
      </c>
      <c r="G1669" s="148">
        <v>25000</v>
      </c>
    </row>
    <row r="1670" spans="1:7" x14ac:dyDescent="0.25">
      <c r="A1670" s="147">
        <v>1665</v>
      </c>
      <c r="B1670" s="145">
        <v>45861</v>
      </c>
      <c r="C1670" s="191">
        <v>2025</v>
      </c>
      <c r="D1670" s="192" t="s">
        <v>35</v>
      </c>
      <c r="E1670" s="192" t="s">
        <v>1486</v>
      </c>
      <c r="F1670" s="193">
        <v>1</v>
      </c>
      <c r="G1670" s="148">
        <v>75000</v>
      </c>
    </row>
    <row r="1671" spans="1:7" x14ac:dyDescent="0.25">
      <c r="A1671" s="147">
        <v>1666</v>
      </c>
      <c r="B1671" s="145">
        <v>45862</v>
      </c>
      <c r="C1671" s="191">
        <v>2025</v>
      </c>
      <c r="D1671" s="192" t="s">
        <v>35</v>
      </c>
      <c r="E1671" s="192" t="s">
        <v>739</v>
      </c>
      <c r="F1671" s="193">
        <v>75</v>
      </c>
      <c r="G1671" s="148">
        <v>585000</v>
      </c>
    </row>
    <row r="1672" spans="1:7" x14ac:dyDescent="0.25">
      <c r="A1672" s="147">
        <v>1667</v>
      </c>
      <c r="B1672" s="145">
        <v>45863</v>
      </c>
      <c r="C1672" s="191">
        <v>2025</v>
      </c>
      <c r="D1672" s="192" t="s">
        <v>35</v>
      </c>
      <c r="E1672" s="192" t="s">
        <v>211</v>
      </c>
      <c r="F1672" s="193">
        <v>10</v>
      </c>
      <c r="G1672" s="148">
        <v>210000</v>
      </c>
    </row>
    <row r="1673" spans="1:7" x14ac:dyDescent="0.25">
      <c r="A1673" s="147">
        <v>1668</v>
      </c>
      <c r="B1673" s="145">
        <v>45863</v>
      </c>
      <c r="C1673" s="191">
        <v>2025</v>
      </c>
      <c r="D1673" s="192" t="s">
        <v>35</v>
      </c>
      <c r="E1673" s="192" t="s">
        <v>211</v>
      </c>
      <c r="F1673" s="193">
        <v>10</v>
      </c>
      <c r="G1673" s="148">
        <v>190000</v>
      </c>
    </row>
    <row r="1674" spans="1:7" x14ac:dyDescent="0.25">
      <c r="A1674" s="147">
        <v>1669</v>
      </c>
      <c r="B1674" s="145">
        <v>45863</v>
      </c>
      <c r="C1674" s="191">
        <v>2025</v>
      </c>
      <c r="D1674" s="192" t="s">
        <v>35</v>
      </c>
      <c r="E1674" s="192" t="s">
        <v>211</v>
      </c>
      <c r="F1674" s="193">
        <v>2</v>
      </c>
      <c r="G1674" s="148">
        <v>39000</v>
      </c>
    </row>
    <row r="1675" spans="1:7" x14ac:dyDescent="0.25">
      <c r="A1675" s="147">
        <v>1670</v>
      </c>
      <c r="B1675" s="145">
        <v>45863</v>
      </c>
      <c r="C1675" s="191">
        <v>2025</v>
      </c>
      <c r="D1675" s="192" t="s">
        <v>35</v>
      </c>
      <c r="E1675" s="192" t="s">
        <v>1488</v>
      </c>
      <c r="F1675" s="193">
        <v>2</v>
      </c>
      <c r="G1675" s="148">
        <v>1900000</v>
      </c>
    </row>
    <row r="1676" spans="1:7" x14ac:dyDescent="0.25">
      <c r="A1676" s="147">
        <v>1671</v>
      </c>
      <c r="B1676" s="145">
        <v>45863</v>
      </c>
      <c r="C1676" s="191">
        <v>2025</v>
      </c>
      <c r="D1676" s="192" t="s">
        <v>35</v>
      </c>
      <c r="E1676" s="192" t="s">
        <v>1489</v>
      </c>
      <c r="F1676" s="193">
        <v>2</v>
      </c>
      <c r="G1676" s="148">
        <v>11900</v>
      </c>
    </row>
    <row r="1677" spans="1:7" x14ac:dyDescent="0.25">
      <c r="A1677" s="147">
        <v>1672</v>
      </c>
      <c r="B1677" s="145">
        <v>45864</v>
      </c>
      <c r="C1677" s="191">
        <v>2025</v>
      </c>
      <c r="D1677" s="192" t="s">
        <v>35</v>
      </c>
      <c r="E1677" s="192" t="s">
        <v>205</v>
      </c>
      <c r="F1677" s="193">
        <v>4</v>
      </c>
      <c r="G1677" s="148">
        <v>80000</v>
      </c>
    </row>
    <row r="1678" spans="1:7" x14ac:dyDescent="0.25">
      <c r="A1678" s="147">
        <v>1673</v>
      </c>
      <c r="B1678" s="145">
        <v>45864</v>
      </c>
      <c r="C1678" s="191">
        <v>2025</v>
      </c>
      <c r="D1678" s="192" t="s">
        <v>35</v>
      </c>
      <c r="E1678" s="192" t="s">
        <v>1486</v>
      </c>
      <c r="F1678" s="193">
        <v>1</v>
      </c>
      <c r="G1678" s="148">
        <v>75000</v>
      </c>
    </row>
    <row r="1679" spans="1:7" x14ac:dyDescent="0.25">
      <c r="A1679" s="147">
        <v>1674</v>
      </c>
      <c r="B1679" s="145">
        <v>45864</v>
      </c>
      <c r="C1679" s="191">
        <v>2025</v>
      </c>
      <c r="D1679" s="192" t="s">
        <v>35</v>
      </c>
      <c r="E1679" s="192" t="s">
        <v>1486</v>
      </c>
      <c r="F1679" s="193">
        <v>1</v>
      </c>
      <c r="G1679" s="148">
        <v>75000</v>
      </c>
    </row>
    <row r="1680" spans="1:7" x14ac:dyDescent="0.25">
      <c r="A1680" s="147">
        <v>1675</v>
      </c>
      <c r="B1680" s="145">
        <v>45864</v>
      </c>
      <c r="C1680" s="191">
        <v>2025</v>
      </c>
      <c r="D1680" s="192" t="s">
        <v>35</v>
      </c>
      <c r="E1680" s="192" t="s">
        <v>1494</v>
      </c>
      <c r="F1680" s="193">
        <v>1</v>
      </c>
      <c r="G1680" s="148">
        <v>250000</v>
      </c>
    </row>
    <row r="1681" spans="1:7" x14ac:dyDescent="0.25">
      <c r="A1681" s="147">
        <v>1676</v>
      </c>
      <c r="B1681" s="145">
        <v>45867</v>
      </c>
      <c r="C1681" s="191">
        <v>2025</v>
      </c>
      <c r="D1681" s="192" t="s">
        <v>35</v>
      </c>
      <c r="E1681" s="192" t="s">
        <v>1483</v>
      </c>
      <c r="F1681" s="193">
        <v>8</v>
      </c>
      <c r="G1681" s="148">
        <v>160000</v>
      </c>
    </row>
    <row r="1682" spans="1:7" x14ac:dyDescent="0.25">
      <c r="A1682" s="147">
        <v>1677</v>
      </c>
      <c r="B1682" s="145">
        <v>45868</v>
      </c>
      <c r="C1682" s="191">
        <v>2025</v>
      </c>
      <c r="D1682" s="192" t="s">
        <v>35</v>
      </c>
      <c r="E1682" s="192" t="s">
        <v>1495</v>
      </c>
      <c r="F1682" s="193">
        <v>1</v>
      </c>
      <c r="G1682" s="148">
        <v>35000</v>
      </c>
    </row>
    <row r="1683" spans="1:7" x14ac:dyDescent="0.25">
      <c r="A1683" s="147">
        <v>1678</v>
      </c>
      <c r="B1683" s="145">
        <v>45868</v>
      </c>
      <c r="C1683" s="191">
        <v>2025</v>
      </c>
      <c r="D1683" s="192" t="s">
        <v>35</v>
      </c>
      <c r="E1683" s="192" t="s">
        <v>1496</v>
      </c>
      <c r="F1683" s="193">
        <v>1</v>
      </c>
      <c r="G1683" s="148">
        <v>35000</v>
      </c>
    </row>
    <row r="1684" spans="1:7" x14ac:dyDescent="0.25">
      <c r="A1684" s="147">
        <v>1679</v>
      </c>
      <c r="B1684" s="145">
        <v>45868</v>
      </c>
      <c r="C1684" s="191">
        <v>2025</v>
      </c>
      <c r="D1684" s="192" t="s">
        <v>35</v>
      </c>
      <c r="E1684" s="192" t="s">
        <v>1498</v>
      </c>
      <c r="F1684" s="193">
        <v>1</v>
      </c>
      <c r="G1684" s="148">
        <v>1400000</v>
      </c>
    </row>
    <row r="1685" spans="1:7" x14ac:dyDescent="0.25">
      <c r="A1685" s="147">
        <v>1680</v>
      </c>
      <c r="B1685" s="145">
        <v>45868</v>
      </c>
      <c r="C1685" s="191">
        <v>2025</v>
      </c>
      <c r="D1685" s="192" t="s">
        <v>35</v>
      </c>
      <c r="E1685" s="192" t="s">
        <v>1500</v>
      </c>
      <c r="F1685" s="193">
        <v>1</v>
      </c>
      <c r="G1685" s="148">
        <v>585000</v>
      </c>
    </row>
    <row r="1686" spans="1:7" x14ac:dyDescent="0.25">
      <c r="A1686" s="147">
        <v>1681</v>
      </c>
      <c r="B1686" s="145">
        <v>45868</v>
      </c>
      <c r="C1686" s="191">
        <v>2025</v>
      </c>
      <c r="D1686" s="192" t="s">
        <v>35</v>
      </c>
      <c r="E1686" s="192" t="s">
        <v>1057</v>
      </c>
      <c r="F1686" s="193">
        <v>1</v>
      </c>
      <c r="G1686" s="148">
        <v>9285</v>
      </c>
    </row>
    <row r="1687" spans="1:7" x14ac:dyDescent="0.25">
      <c r="A1687" s="147">
        <v>1682</v>
      </c>
      <c r="B1687" s="145">
        <v>45868</v>
      </c>
      <c r="C1687" s="191">
        <v>2025</v>
      </c>
      <c r="D1687" s="192" t="s">
        <v>35</v>
      </c>
      <c r="E1687" s="192" t="s">
        <v>1501</v>
      </c>
      <c r="F1687" s="193">
        <v>2</v>
      </c>
      <c r="G1687" s="148">
        <v>200000</v>
      </c>
    </row>
    <row r="1688" spans="1:7" x14ac:dyDescent="0.25">
      <c r="A1688" s="147">
        <v>1683</v>
      </c>
      <c r="B1688" s="145">
        <v>45868</v>
      </c>
      <c r="C1688" s="191">
        <v>2025</v>
      </c>
      <c r="D1688" s="192" t="s">
        <v>35</v>
      </c>
      <c r="E1688" s="192" t="s">
        <v>1156</v>
      </c>
      <c r="F1688" s="193">
        <v>1</v>
      </c>
      <c r="G1688" s="148">
        <v>75000</v>
      </c>
    </row>
    <row r="1689" spans="1:7" x14ac:dyDescent="0.25">
      <c r="A1689" s="147">
        <v>1684</v>
      </c>
      <c r="B1689" s="145">
        <v>45869</v>
      </c>
      <c r="C1689" s="191">
        <v>2025</v>
      </c>
      <c r="D1689" s="192" t="s">
        <v>35</v>
      </c>
      <c r="E1689" s="192" t="s">
        <v>761</v>
      </c>
      <c r="F1689" s="193">
        <v>2</v>
      </c>
      <c r="G1689" s="148">
        <v>3150000</v>
      </c>
    </row>
    <row r="1690" spans="1:7" x14ac:dyDescent="0.25">
      <c r="A1690" s="147">
        <v>1685</v>
      </c>
      <c r="B1690" s="145">
        <v>45870</v>
      </c>
      <c r="C1690" s="191">
        <v>2025</v>
      </c>
      <c r="D1690" s="192" t="s">
        <v>35</v>
      </c>
      <c r="E1690" s="192" t="s">
        <v>1503</v>
      </c>
      <c r="F1690" s="193">
        <v>10</v>
      </c>
      <c r="G1690" s="148">
        <v>6600000</v>
      </c>
    </row>
    <row r="1691" spans="1:7" x14ac:dyDescent="0.25">
      <c r="A1691" s="147">
        <v>1686</v>
      </c>
      <c r="B1691" s="145">
        <v>45870</v>
      </c>
      <c r="C1691" s="191">
        <v>2025</v>
      </c>
      <c r="D1691" s="192" t="s">
        <v>35</v>
      </c>
      <c r="E1691" s="192" t="s">
        <v>1503</v>
      </c>
      <c r="F1691" s="193">
        <v>1</v>
      </c>
      <c r="G1691" s="148">
        <v>990000</v>
      </c>
    </row>
    <row r="1692" spans="1:7" x14ac:dyDescent="0.25">
      <c r="A1692" s="147">
        <v>1687</v>
      </c>
      <c r="B1692" s="145">
        <v>45870</v>
      </c>
      <c r="C1692" s="191">
        <v>2025</v>
      </c>
      <c r="D1692" s="192" t="s">
        <v>35</v>
      </c>
      <c r="E1692" s="192" t="s">
        <v>1503</v>
      </c>
      <c r="F1692" s="193">
        <v>2</v>
      </c>
      <c r="G1692" s="148">
        <v>2640000</v>
      </c>
    </row>
    <row r="1693" spans="1:7" x14ac:dyDescent="0.25">
      <c r="A1693" s="147">
        <v>1688</v>
      </c>
      <c r="B1693" s="145">
        <v>45870</v>
      </c>
      <c r="C1693" s="191">
        <v>2025</v>
      </c>
      <c r="D1693" s="192" t="s">
        <v>35</v>
      </c>
      <c r="E1693" s="192" t="s">
        <v>1504</v>
      </c>
      <c r="F1693" s="193">
        <v>1</v>
      </c>
      <c r="G1693" s="148">
        <v>225000</v>
      </c>
    </row>
    <row r="1694" spans="1:7" x14ac:dyDescent="0.25">
      <c r="A1694" s="147">
        <v>1689</v>
      </c>
      <c r="B1694" s="145">
        <v>45870</v>
      </c>
      <c r="C1694" s="191">
        <v>2025</v>
      </c>
      <c r="D1694" s="192" t="s">
        <v>35</v>
      </c>
      <c r="E1694" s="192" t="s">
        <v>1504</v>
      </c>
      <c r="F1694" s="193">
        <v>4</v>
      </c>
      <c r="G1694" s="148">
        <v>1200000</v>
      </c>
    </row>
    <row r="1695" spans="1:7" x14ac:dyDescent="0.25">
      <c r="A1695" s="147">
        <v>1690</v>
      </c>
      <c r="B1695" s="145">
        <v>45870</v>
      </c>
      <c r="C1695" s="191">
        <v>2025</v>
      </c>
      <c r="D1695" s="192" t="s">
        <v>35</v>
      </c>
      <c r="E1695" s="192" t="s">
        <v>1504</v>
      </c>
      <c r="F1695" s="193">
        <v>6</v>
      </c>
      <c r="G1695" s="148">
        <v>6600000</v>
      </c>
    </row>
    <row r="1696" spans="1:7" x14ac:dyDescent="0.25">
      <c r="A1696" s="147">
        <v>1691</v>
      </c>
      <c r="B1696" s="145">
        <v>45870</v>
      </c>
      <c r="C1696" s="191">
        <v>2025</v>
      </c>
      <c r="D1696" s="192" t="s">
        <v>35</v>
      </c>
      <c r="E1696" s="192" t="s">
        <v>1504</v>
      </c>
      <c r="F1696" s="193">
        <v>2</v>
      </c>
      <c r="G1696" s="148">
        <v>4300000</v>
      </c>
    </row>
    <row r="1697" spans="1:7" x14ac:dyDescent="0.25">
      <c r="A1697" s="147">
        <v>1692</v>
      </c>
      <c r="B1697" s="145">
        <v>45873</v>
      </c>
      <c r="C1697" s="191">
        <v>2025</v>
      </c>
      <c r="D1697" s="192" t="s">
        <v>35</v>
      </c>
      <c r="E1697" s="192" t="s">
        <v>476</v>
      </c>
      <c r="F1697" s="193">
        <v>10</v>
      </c>
      <c r="G1697" s="148">
        <v>251900</v>
      </c>
    </row>
    <row r="1698" spans="1:7" x14ac:dyDescent="0.25">
      <c r="A1698" s="147">
        <v>1693</v>
      </c>
      <c r="B1698" s="145">
        <v>45873</v>
      </c>
      <c r="C1698" s="191">
        <v>2025</v>
      </c>
      <c r="D1698" s="192" t="s">
        <v>35</v>
      </c>
      <c r="E1698" s="192" t="s">
        <v>184</v>
      </c>
      <c r="F1698" s="193">
        <v>2</v>
      </c>
      <c r="G1698" s="148">
        <v>7000</v>
      </c>
    </row>
    <row r="1699" spans="1:7" x14ac:dyDescent="0.25">
      <c r="A1699" s="147">
        <v>1694</v>
      </c>
      <c r="B1699" s="145">
        <v>45873</v>
      </c>
      <c r="C1699" s="191">
        <v>2025</v>
      </c>
      <c r="D1699" s="192" t="s">
        <v>35</v>
      </c>
      <c r="E1699" s="192" t="s">
        <v>367</v>
      </c>
      <c r="F1699" s="193">
        <v>4</v>
      </c>
      <c r="G1699" s="148">
        <v>50000</v>
      </c>
    </row>
    <row r="1700" spans="1:7" x14ac:dyDescent="0.25">
      <c r="A1700" s="147">
        <v>1695</v>
      </c>
      <c r="B1700" s="145">
        <v>45873</v>
      </c>
      <c r="C1700" s="191">
        <v>2025</v>
      </c>
      <c r="D1700" s="192" t="s">
        <v>35</v>
      </c>
      <c r="E1700" s="192" t="s">
        <v>365</v>
      </c>
      <c r="F1700" s="193">
        <v>2</v>
      </c>
      <c r="G1700" s="148">
        <v>3000</v>
      </c>
    </row>
    <row r="1701" spans="1:7" x14ac:dyDescent="0.25">
      <c r="A1701" s="147">
        <v>1696</v>
      </c>
      <c r="B1701" s="145">
        <v>45874</v>
      </c>
      <c r="C1701" s="191">
        <v>2025</v>
      </c>
      <c r="D1701" s="192" t="s">
        <v>35</v>
      </c>
      <c r="E1701" s="192" t="s">
        <v>1325</v>
      </c>
      <c r="F1701" s="193">
        <v>1</v>
      </c>
      <c r="G1701" s="148">
        <v>15650</v>
      </c>
    </row>
    <row r="1702" spans="1:7" x14ac:dyDescent="0.25">
      <c r="A1702" s="147">
        <v>1697</v>
      </c>
      <c r="B1702" s="145">
        <v>45874</v>
      </c>
      <c r="C1702" s="191">
        <v>2025</v>
      </c>
      <c r="D1702" s="192" t="s">
        <v>35</v>
      </c>
      <c r="E1702" s="192" t="s">
        <v>1342</v>
      </c>
      <c r="F1702" s="193">
        <v>10</v>
      </c>
      <c r="G1702" s="148">
        <v>6500000</v>
      </c>
    </row>
    <row r="1703" spans="1:7" x14ac:dyDescent="0.25">
      <c r="A1703" s="147">
        <v>1698</v>
      </c>
      <c r="B1703" s="145">
        <v>45875</v>
      </c>
      <c r="C1703" s="191">
        <v>2025</v>
      </c>
      <c r="D1703" s="192" t="s">
        <v>35</v>
      </c>
      <c r="E1703" s="192" t="s">
        <v>1325</v>
      </c>
      <c r="F1703" s="193">
        <v>3</v>
      </c>
      <c r="G1703" s="148">
        <v>16872</v>
      </c>
    </row>
    <row r="1704" spans="1:7" x14ac:dyDescent="0.25">
      <c r="A1704" s="147">
        <v>1699</v>
      </c>
      <c r="B1704" s="145">
        <v>45875</v>
      </c>
      <c r="C1704" s="191">
        <v>2025</v>
      </c>
      <c r="D1704" s="192" t="s">
        <v>35</v>
      </c>
      <c r="E1704" s="192" t="s">
        <v>69</v>
      </c>
      <c r="F1704" s="193">
        <v>2</v>
      </c>
      <c r="G1704" s="148">
        <v>190000</v>
      </c>
    </row>
    <row r="1705" spans="1:7" x14ac:dyDescent="0.25">
      <c r="A1705" s="147">
        <v>1700</v>
      </c>
      <c r="B1705" s="145">
        <v>45876</v>
      </c>
      <c r="C1705" s="191">
        <v>2025</v>
      </c>
      <c r="D1705" s="192" t="s">
        <v>35</v>
      </c>
      <c r="E1705" s="192" t="s">
        <v>1294</v>
      </c>
      <c r="F1705" s="193">
        <v>1</v>
      </c>
      <c r="G1705" s="148">
        <v>17900</v>
      </c>
    </row>
    <row r="1706" spans="1:7" x14ac:dyDescent="0.25">
      <c r="A1706" s="147">
        <v>1701</v>
      </c>
      <c r="B1706" s="145">
        <v>45878</v>
      </c>
      <c r="C1706" s="191">
        <v>2025</v>
      </c>
      <c r="D1706" s="192" t="s">
        <v>35</v>
      </c>
      <c r="E1706" s="192" t="s">
        <v>1507</v>
      </c>
      <c r="F1706" s="193">
        <v>1</v>
      </c>
      <c r="G1706" s="148">
        <v>60700</v>
      </c>
    </row>
    <row r="1707" spans="1:7" x14ac:dyDescent="0.25">
      <c r="A1707" s="147">
        <v>1702</v>
      </c>
      <c r="B1707" s="145">
        <v>45880</v>
      </c>
      <c r="C1707" s="191">
        <v>2025</v>
      </c>
      <c r="D1707" s="192" t="s">
        <v>35</v>
      </c>
      <c r="E1707" s="192" t="s">
        <v>252</v>
      </c>
      <c r="F1707" s="193">
        <v>2</v>
      </c>
      <c r="G1707" s="148">
        <v>2400000</v>
      </c>
    </row>
    <row r="1708" spans="1:7" x14ac:dyDescent="0.25">
      <c r="A1708" s="147">
        <v>1703</v>
      </c>
      <c r="B1708" s="145">
        <v>45880</v>
      </c>
      <c r="C1708" s="191">
        <v>2025</v>
      </c>
      <c r="D1708" s="192" t="s">
        <v>35</v>
      </c>
      <c r="E1708" s="192" t="s">
        <v>1450</v>
      </c>
      <c r="F1708" s="193">
        <v>1</v>
      </c>
      <c r="G1708" s="148">
        <v>65000</v>
      </c>
    </row>
    <row r="1709" spans="1:7" x14ac:dyDescent="0.25">
      <c r="A1709" s="147">
        <v>1704</v>
      </c>
      <c r="B1709" s="145">
        <v>45880</v>
      </c>
      <c r="C1709" s="191">
        <v>2025</v>
      </c>
      <c r="D1709" s="192" t="s">
        <v>35</v>
      </c>
      <c r="E1709" s="192" t="s">
        <v>72</v>
      </c>
      <c r="F1709" s="193">
        <v>1</v>
      </c>
      <c r="G1709" s="148">
        <v>25000</v>
      </c>
    </row>
    <row r="1710" spans="1:7" x14ac:dyDescent="0.25">
      <c r="A1710" s="147">
        <v>1705</v>
      </c>
      <c r="B1710" s="145">
        <v>45881</v>
      </c>
      <c r="C1710" s="191">
        <v>2025</v>
      </c>
      <c r="D1710" s="192" t="s">
        <v>35</v>
      </c>
      <c r="E1710" s="192" t="s">
        <v>211</v>
      </c>
      <c r="F1710" s="193">
        <v>15</v>
      </c>
      <c r="G1710" s="148">
        <v>227010</v>
      </c>
    </row>
    <row r="1711" spans="1:7" x14ac:dyDescent="0.25">
      <c r="A1711" s="147">
        <v>1706</v>
      </c>
      <c r="B1711" s="145">
        <v>45881</v>
      </c>
      <c r="C1711" s="191">
        <v>2025</v>
      </c>
      <c r="D1711" s="192" t="s">
        <v>35</v>
      </c>
      <c r="E1711" s="192" t="s">
        <v>1291</v>
      </c>
      <c r="F1711" s="193">
        <v>100</v>
      </c>
      <c r="G1711" s="148">
        <v>850000</v>
      </c>
    </row>
    <row r="1712" spans="1:7" x14ac:dyDescent="0.25">
      <c r="A1712" s="147">
        <v>1707</v>
      </c>
      <c r="B1712" s="145">
        <v>45881</v>
      </c>
      <c r="C1712" s="191">
        <v>2025</v>
      </c>
      <c r="D1712" s="192" t="s">
        <v>35</v>
      </c>
      <c r="E1712" s="192" t="s">
        <v>130</v>
      </c>
      <c r="F1712" s="193">
        <v>1</v>
      </c>
      <c r="G1712" s="148">
        <v>195000</v>
      </c>
    </row>
    <row r="1713" spans="1:7" x14ac:dyDescent="0.25">
      <c r="A1713" s="147">
        <v>1708</v>
      </c>
      <c r="B1713" s="145">
        <v>45882</v>
      </c>
      <c r="C1713" s="191">
        <v>2025</v>
      </c>
      <c r="D1713" s="192" t="s">
        <v>35</v>
      </c>
      <c r="E1713" s="192" t="s">
        <v>761</v>
      </c>
      <c r="F1713" s="193">
        <v>2</v>
      </c>
      <c r="G1713" s="148">
        <v>3150000</v>
      </c>
    </row>
    <row r="1714" spans="1:7" x14ac:dyDescent="0.25">
      <c r="A1714" s="147">
        <v>1709</v>
      </c>
      <c r="B1714" s="145">
        <v>45882</v>
      </c>
      <c r="C1714" s="191">
        <v>2025</v>
      </c>
      <c r="D1714" s="192" t="s">
        <v>35</v>
      </c>
      <c r="E1714" s="192" t="s">
        <v>852</v>
      </c>
      <c r="F1714" s="193">
        <v>2</v>
      </c>
      <c r="G1714" s="148">
        <v>11400</v>
      </c>
    </row>
    <row r="1715" spans="1:7" x14ac:dyDescent="0.25">
      <c r="A1715" s="147">
        <v>1710</v>
      </c>
      <c r="B1715" s="145">
        <v>45883</v>
      </c>
      <c r="C1715" s="191">
        <v>2025</v>
      </c>
      <c r="D1715" s="192" t="s">
        <v>35</v>
      </c>
      <c r="E1715" s="192" t="s">
        <v>128</v>
      </c>
      <c r="F1715" s="193">
        <v>1</v>
      </c>
      <c r="G1715" s="148">
        <v>175000</v>
      </c>
    </row>
    <row r="1716" spans="1:7" x14ac:dyDescent="0.25">
      <c r="A1716" s="147">
        <v>1711</v>
      </c>
      <c r="B1716" s="145">
        <v>45883</v>
      </c>
      <c r="C1716" s="191">
        <v>2025</v>
      </c>
      <c r="D1716" s="192" t="s">
        <v>35</v>
      </c>
      <c r="E1716" s="192" t="s">
        <v>235</v>
      </c>
      <c r="F1716" s="193">
        <v>1</v>
      </c>
      <c r="G1716" s="148">
        <v>136900</v>
      </c>
    </row>
    <row r="1717" spans="1:7" x14ac:dyDescent="0.25">
      <c r="A1717" s="147">
        <v>1712</v>
      </c>
      <c r="B1717" s="167">
        <v>45883</v>
      </c>
      <c r="C1717" s="117">
        <v>2025</v>
      </c>
      <c r="D1717" s="119" t="s">
        <v>35</v>
      </c>
      <c r="E1717" s="119" t="s">
        <v>644</v>
      </c>
      <c r="F1717" s="120">
        <v>5</v>
      </c>
      <c r="G1717" s="169">
        <v>125775</v>
      </c>
    </row>
    <row r="1718" spans="1:7" x14ac:dyDescent="0.25">
      <c r="A1718" s="147">
        <v>1713</v>
      </c>
      <c r="B1718" s="167">
        <v>45884</v>
      </c>
      <c r="C1718" s="117">
        <v>2025</v>
      </c>
      <c r="D1718" s="119" t="s">
        <v>35</v>
      </c>
      <c r="E1718" s="119" t="s">
        <v>168</v>
      </c>
      <c r="F1718" s="120">
        <v>24</v>
      </c>
      <c r="G1718" s="169">
        <v>199032</v>
      </c>
    </row>
    <row r="1719" spans="1:7" x14ac:dyDescent="0.25">
      <c r="A1719" s="147">
        <v>1714</v>
      </c>
      <c r="B1719" s="167">
        <v>45884</v>
      </c>
      <c r="C1719" s="117">
        <v>2025</v>
      </c>
      <c r="D1719" s="119" t="s">
        <v>35</v>
      </c>
      <c r="E1719" s="119" t="s">
        <v>1302</v>
      </c>
      <c r="F1719" s="120">
        <v>3</v>
      </c>
      <c r="G1719" s="169">
        <v>73602</v>
      </c>
    </row>
    <row r="1720" spans="1:7" x14ac:dyDescent="0.25">
      <c r="A1720" s="147">
        <v>1715</v>
      </c>
      <c r="B1720" s="145">
        <v>45887</v>
      </c>
      <c r="C1720" s="191">
        <v>2025</v>
      </c>
      <c r="D1720" s="192" t="s">
        <v>35</v>
      </c>
      <c r="E1720" s="192" t="s">
        <v>252</v>
      </c>
      <c r="F1720" s="193">
        <v>2</v>
      </c>
      <c r="G1720" s="148">
        <v>2140000</v>
      </c>
    </row>
    <row r="1721" spans="1:7" x14ac:dyDescent="0.25">
      <c r="A1721" s="147">
        <v>1716</v>
      </c>
      <c r="B1721" s="145">
        <v>45887</v>
      </c>
      <c r="C1721" s="191">
        <v>2025</v>
      </c>
      <c r="D1721" s="192" t="s">
        <v>35</v>
      </c>
      <c r="E1721" s="192" t="s">
        <v>761</v>
      </c>
      <c r="F1721" s="193">
        <v>2</v>
      </c>
      <c r="G1721" s="148">
        <v>3150000</v>
      </c>
    </row>
    <row r="1722" spans="1:7" x14ac:dyDescent="0.25">
      <c r="A1722" s="147">
        <v>1717</v>
      </c>
      <c r="B1722" s="167">
        <v>45887</v>
      </c>
      <c r="C1722" s="117">
        <v>2025</v>
      </c>
      <c r="D1722" s="119" t="s">
        <v>35</v>
      </c>
      <c r="E1722" s="119" t="s">
        <v>1509</v>
      </c>
      <c r="F1722" s="120">
        <v>1</v>
      </c>
      <c r="G1722" s="169">
        <v>19400</v>
      </c>
    </row>
    <row r="1723" spans="1:7" x14ac:dyDescent="0.25">
      <c r="A1723" s="147">
        <v>1718</v>
      </c>
      <c r="B1723" s="145">
        <v>45888</v>
      </c>
      <c r="C1723" s="191">
        <v>2025</v>
      </c>
      <c r="D1723" s="192" t="s">
        <v>35</v>
      </c>
      <c r="E1723" s="192" t="s">
        <v>1510</v>
      </c>
      <c r="F1723" s="193">
        <v>1</v>
      </c>
      <c r="G1723" s="148">
        <v>1700000</v>
      </c>
    </row>
    <row r="1724" spans="1:7" x14ac:dyDescent="0.25">
      <c r="A1724" s="147">
        <v>1719</v>
      </c>
      <c r="B1724" s="145">
        <v>45888</v>
      </c>
      <c r="C1724" s="191">
        <v>2025</v>
      </c>
      <c r="D1724" s="192" t="s">
        <v>35</v>
      </c>
      <c r="E1724" s="192" t="s">
        <v>1511</v>
      </c>
      <c r="F1724" s="193">
        <v>1</v>
      </c>
      <c r="G1724" s="148">
        <v>1600000</v>
      </c>
    </row>
    <row r="1725" spans="1:7" x14ac:dyDescent="0.25">
      <c r="A1725" s="147">
        <v>1720</v>
      </c>
      <c r="B1725" s="145">
        <v>45888</v>
      </c>
      <c r="C1725" s="191">
        <v>2025</v>
      </c>
      <c r="D1725" s="192" t="s">
        <v>35</v>
      </c>
      <c r="E1725" s="192" t="s">
        <v>1401</v>
      </c>
      <c r="F1725" s="193">
        <v>2</v>
      </c>
      <c r="G1725" s="148">
        <v>22400</v>
      </c>
    </row>
    <row r="1726" spans="1:7" x14ac:dyDescent="0.25">
      <c r="A1726" s="147">
        <v>1721</v>
      </c>
      <c r="B1726" s="145">
        <v>45889</v>
      </c>
      <c r="C1726" s="191">
        <v>2025</v>
      </c>
      <c r="D1726" s="192" t="s">
        <v>35</v>
      </c>
      <c r="E1726" s="192" t="s">
        <v>1512</v>
      </c>
      <c r="F1726" s="193">
        <v>1</v>
      </c>
      <c r="G1726" s="148">
        <v>44605</v>
      </c>
    </row>
    <row r="1727" spans="1:7" x14ac:dyDescent="0.25">
      <c r="A1727" s="147">
        <v>1722</v>
      </c>
      <c r="B1727" s="145">
        <v>45889</v>
      </c>
      <c r="C1727" s="191">
        <v>2025</v>
      </c>
      <c r="D1727" s="192" t="s">
        <v>35</v>
      </c>
      <c r="E1727" s="192" t="s">
        <v>1484</v>
      </c>
      <c r="F1727" s="193">
        <v>1</v>
      </c>
      <c r="G1727" s="148">
        <v>150000</v>
      </c>
    </row>
    <row r="1728" spans="1:7" x14ac:dyDescent="0.25">
      <c r="A1728" s="147">
        <v>1723</v>
      </c>
      <c r="B1728" s="145">
        <v>45889</v>
      </c>
      <c r="C1728" s="191">
        <v>2025</v>
      </c>
      <c r="D1728" s="192" t="s">
        <v>35</v>
      </c>
      <c r="E1728" s="192" t="s">
        <v>1470</v>
      </c>
      <c r="F1728" s="193">
        <v>1</v>
      </c>
      <c r="G1728" s="148">
        <v>100000</v>
      </c>
    </row>
    <row r="1729" spans="1:7" x14ac:dyDescent="0.25">
      <c r="A1729" s="147">
        <v>1724</v>
      </c>
      <c r="B1729" s="145">
        <v>45889</v>
      </c>
      <c r="C1729" s="191">
        <v>2025</v>
      </c>
      <c r="D1729" s="192" t="s">
        <v>35</v>
      </c>
      <c r="E1729" s="192" t="s">
        <v>1367</v>
      </c>
      <c r="F1729" s="193">
        <v>1</v>
      </c>
      <c r="G1729" s="148">
        <v>23300</v>
      </c>
    </row>
    <row r="1730" spans="1:7" x14ac:dyDescent="0.25">
      <c r="A1730" s="147">
        <v>1725</v>
      </c>
      <c r="B1730" s="145">
        <v>45889</v>
      </c>
      <c r="C1730" s="191">
        <v>2025</v>
      </c>
      <c r="D1730" s="192" t="s">
        <v>35</v>
      </c>
      <c r="E1730" s="192" t="s">
        <v>684</v>
      </c>
      <c r="F1730" s="193">
        <v>5</v>
      </c>
      <c r="G1730" s="148">
        <v>93395</v>
      </c>
    </row>
    <row r="1731" spans="1:7" x14ac:dyDescent="0.25">
      <c r="A1731" s="147">
        <v>1726</v>
      </c>
      <c r="B1731" s="145">
        <v>45890</v>
      </c>
      <c r="C1731" s="191">
        <v>2025</v>
      </c>
      <c r="D1731" s="192" t="s">
        <v>35</v>
      </c>
      <c r="E1731" s="192" t="s">
        <v>668</v>
      </c>
      <c r="F1731" s="193">
        <v>1</v>
      </c>
      <c r="G1731" s="148">
        <v>46349</v>
      </c>
    </row>
    <row r="1732" spans="1:7" x14ac:dyDescent="0.25">
      <c r="A1732" s="147">
        <v>1727</v>
      </c>
      <c r="B1732" s="145">
        <v>45891</v>
      </c>
      <c r="C1732" s="191">
        <v>2025</v>
      </c>
      <c r="D1732" s="192" t="s">
        <v>35</v>
      </c>
      <c r="E1732" s="192" t="s">
        <v>739</v>
      </c>
      <c r="F1732" s="193">
        <v>75</v>
      </c>
      <c r="G1732" s="148">
        <v>585000</v>
      </c>
    </row>
    <row r="1733" spans="1:7" x14ac:dyDescent="0.25">
      <c r="A1733" s="147">
        <v>1728</v>
      </c>
      <c r="B1733" s="145">
        <v>45891</v>
      </c>
      <c r="C1733" s="191">
        <v>2025</v>
      </c>
      <c r="D1733" s="192" t="s">
        <v>35</v>
      </c>
      <c r="E1733" s="192" t="s">
        <v>1244</v>
      </c>
      <c r="F1733" s="193">
        <v>1</v>
      </c>
      <c r="G1733" s="148">
        <v>17641</v>
      </c>
    </row>
    <row r="1734" spans="1:7" x14ac:dyDescent="0.25">
      <c r="A1734" s="147">
        <v>1729</v>
      </c>
      <c r="B1734" s="145">
        <v>45891</v>
      </c>
      <c r="C1734" s="191">
        <v>2025</v>
      </c>
      <c r="D1734" s="192" t="s">
        <v>35</v>
      </c>
      <c r="E1734" s="192" t="s">
        <v>1513</v>
      </c>
      <c r="F1734" s="193">
        <v>1</v>
      </c>
      <c r="G1734" s="148">
        <v>42920</v>
      </c>
    </row>
    <row r="1735" spans="1:7" x14ac:dyDescent="0.25">
      <c r="A1735" s="147">
        <v>1730</v>
      </c>
      <c r="B1735" s="145">
        <v>45892</v>
      </c>
      <c r="C1735" s="191">
        <v>2025</v>
      </c>
      <c r="D1735" s="192" t="s">
        <v>35</v>
      </c>
      <c r="E1735" s="192" t="s">
        <v>1030</v>
      </c>
      <c r="F1735" s="193">
        <v>6</v>
      </c>
      <c r="G1735" s="148">
        <v>30900</v>
      </c>
    </row>
    <row r="1736" spans="1:7" x14ac:dyDescent="0.25">
      <c r="A1736" s="147">
        <v>1731</v>
      </c>
      <c r="B1736" s="145">
        <v>45892</v>
      </c>
      <c r="C1736" s="191">
        <v>2025</v>
      </c>
      <c r="D1736" s="192" t="s">
        <v>35</v>
      </c>
      <c r="E1736" s="192" t="s">
        <v>852</v>
      </c>
      <c r="F1736" s="193">
        <v>1</v>
      </c>
      <c r="G1736" s="148">
        <v>7450</v>
      </c>
    </row>
    <row r="1737" spans="1:7" x14ac:dyDescent="0.25">
      <c r="A1737" s="147">
        <v>1732</v>
      </c>
      <c r="B1737" s="145">
        <v>45894</v>
      </c>
      <c r="C1737" s="191">
        <v>2025</v>
      </c>
      <c r="D1737" s="192" t="s">
        <v>35</v>
      </c>
      <c r="E1737" s="192" t="s">
        <v>252</v>
      </c>
      <c r="F1737" s="193">
        <v>2</v>
      </c>
      <c r="G1737" s="148">
        <v>2140000</v>
      </c>
    </row>
    <row r="1738" spans="1:7" x14ac:dyDescent="0.25">
      <c r="A1738" s="147">
        <v>1733</v>
      </c>
      <c r="B1738" s="145">
        <v>45896</v>
      </c>
      <c r="C1738" s="191">
        <v>2025</v>
      </c>
      <c r="D1738" s="192" t="s">
        <v>35</v>
      </c>
      <c r="E1738" s="192" t="s">
        <v>211</v>
      </c>
      <c r="F1738" s="193">
        <v>10</v>
      </c>
      <c r="G1738" s="148">
        <v>210000</v>
      </c>
    </row>
    <row r="1739" spans="1:7" x14ac:dyDescent="0.25">
      <c r="A1739" s="147">
        <v>1734</v>
      </c>
      <c r="B1739" s="145">
        <v>45896</v>
      </c>
      <c r="C1739" s="191">
        <v>2025</v>
      </c>
      <c r="D1739" s="192" t="s">
        <v>35</v>
      </c>
      <c r="E1739" s="192" t="s">
        <v>211</v>
      </c>
      <c r="F1739" s="193">
        <v>3</v>
      </c>
      <c r="G1739" s="148">
        <v>58500</v>
      </c>
    </row>
    <row r="1740" spans="1:7" x14ac:dyDescent="0.25">
      <c r="A1740" s="147">
        <v>1735</v>
      </c>
      <c r="B1740" s="145">
        <v>45896</v>
      </c>
      <c r="C1740" s="191">
        <v>2025</v>
      </c>
      <c r="D1740" s="192" t="s">
        <v>35</v>
      </c>
      <c r="E1740" s="192" t="s">
        <v>1244</v>
      </c>
      <c r="F1740" s="193">
        <v>1</v>
      </c>
      <c r="G1740" s="148">
        <v>15950</v>
      </c>
    </row>
    <row r="1741" spans="1:7" x14ac:dyDescent="0.25">
      <c r="A1741" s="147">
        <v>1736</v>
      </c>
      <c r="B1741" s="145">
        <v>45896</v>
      </c>
      <c r="C1741" s="191">
        <v>2025</v>
      </c>
      <c r="D1741" s="192" t="s">
        <v>35</v>
      </c>
      <c r="E1741" s="192" t="s">
        <v>1515</v>
      </c>
      <c r="F1741" s="193">
        <v>1</v>
      </c>
      <c r="G1741" s="148">
        <v>19950</v>
      </c>
    </row>
    <row r="1742" spans="1:7" x14ac:dyDescent="0.25">
      <c r="A1742" s="147">
        <v>1737</v>
      </c>
      <c r="B1742" s="145">
        <v>45897</v>
      </c>
      <c r="C1742" s="191">
        <v>2025</v>
      </c>
      <c r="D1742" s="192" t="s">
        <v>35</v>
      </c>
      <c r="E1742" s="192" t="s">
        <v>252</v>
      </c>
      <c r="F1742" s="193">
        <v>2</v>
      </c>
      <c r="G1742" s="148">
        <v>2140000</v>
      </c>
    </row>
    <row r="1743" spans="1:7" x14ac:dyDescent="0.25">
      <c r="A1743" s="147">
        <v>1738</v>
      </c>
      <c r="B1743" s="145">
        <v>45901</v>
      </c>
      <c r="C1743" s="191">
        <v>2025</v>
      </c>
      <c r="D1743" s="192" t="s">
        <v>35</v>
      </c>
      <c r="E1743" s="192" t="s">
        <v>252</v>
      </c>
      <c r="F1743" s="193">
        <v>2</v>
      </c>
      <c r="G1743" s="148">
        <v>2140000</v>
      </c>
    </row>
    <row r="1744" spans="1:7" x14ac:dyDescent="0.25">
      <c r="A1744" s="147">
        <v>1739</v>
      </c>
      <c r="B1744" s="145">
        <v>45901</v>
      </c>
      <c r="C1744" s="191">
        <v>2025</v>
      </c>
      <c r="D1744" s="192" t="s">
        <v>35</v>
      </c>
      <c r="E1744" s="192" t="s">
        <v>1241</v>
      </c>
      <c r="F1744" s="193">
        <v>1</v>
      </c>
      <c r="G1744" s="148">
        <v>5415000</v>
      </c>
    </row>
    <row r="1745" spans="1:7" x14ac:dyDescent="0.25">
      <c r="A1745" s="147">
        <v>1740</v>
      </c>
      <c r="B1745" s="145">
        <v>45901</v>
      </c>
      <c r="C1745" s="191">
        <v>2025</v>
      </c>
      <c r="D1745" s="192" t="s">
        <v>35</v>
      </c>
      <c r="E1745" s="192" t="s">
        <v>43</v>
      </c>
      <c r="F1745" s="193">
        <v>2</v>
      </c>
      <c r="G1745" s="148">
        <v>120000</v>
      </c>
    </row>
    <row r="1746" spans="1:7" x14ac:dyDescent="0.25">
      <c r="A1746" s="147">
        <v>1741</v>
      </c>
      <c r="B1746" s="145">
        <v>45902</v>
      </c>
      <c r="C1746" s="191">
        <v>2025</v>
      </c>
      <c r="D1746" s="192" t="s">
        <v>35</v>
      </c>
      <c r="E1746" s="192" t="s">
        <v>211</v>
      </c>
      <c r="F1746" s="193">
        <v>10</v>
      </c>
      <c r="G1746" s="148">
        <v>152000</v>
      </c>
    </row>
    <row r="1747" spans="1:7" x14ac:dyDescent="0.25">
      <c r="A1747" s="147">
        <v>1742</v>
      </c>
      <c r="B1747" s="145">
        <v>45902</v>
      </c>
      <c r="C1747" s="191">
        <v>2025</v>
      </c>
      <c r="D1747" s="192" t="s">
        <v>35</v>
      </c>
      <c r="E1747" s="192" t="s">
        <v>184</v>
      </c>
      <c r="F1747" s="193">
        <v>2</v>
      </c>
      <c r="G1747" s="148">
        <v>7000</v>
      </c>
    </row>
    <row r="1748" spans="1:7" x14ac:dyDescent="0.25">
      <c r="A1748" s="147">
        <v>1743</v>
      </c>
      <c r="B1748" s="145">
        <v>45902</v>
      </c>
      <c r="C1748" s="191">
        <v>2025</v>
      </c>
      <c r="D1748" s="192" t="s">
        <v>35</v>
      </c>
      <c r="E1748" s="192" t="s">
        <v>1519</v>
      </c>
      <c r="F1748" s="193">
        <v>2</v>
      </c>
      <c r="G1748" s="148">
        <v>25000</v>
      </c>
    </row>
    <row r="1749" spans="1:7" x14ac:dyDescent="0.25">
      <c r="A1749" s="147">
        <v>1744</v>
      </c>
      <c r="B1749" s="145">
        <v>45902</v>
      </c>
      <c r="C1749" s="191">
        <v>2025</v>
      </c>
      <c r="D1749" s="192" t="s">
        <v>35</v>
      </c>
      <c r="E1749" s="192" t="s">
        <v>439</v>
      </c>
      <c r="F1749" s="193">
        <v>1</v>
      </c>
      <c r="G1749" s="148">
        <v>7500</v>
      </c>
    </row>
    <row r="1750" spans="1:7" x14ac:dyDescent="0.25">
      <c r="A1750" s="147">
        <v>1745</v>
      </c>
      <c r="B1750" s="145">
        <v>45903</v>
      </c>
      <c r="C1750" s="191">
        <v>2025</v>
      </c>
      <c r="D1750" s="192" t="s">
        <v>35</v>
      </c>
      <c r="E1750" s="192" t="s">
        <v>1461</v>
      </c>
      <c r="F1750" s="193">
        <v>2</v>
      </c>
      <c r="G1750" s="148">
        <v>10000</v>
      </c>
    </row>
    <row r="1751" spans="1:7" x14ac:dyDescent="0.25">
      <c r="A1751" s="147">
        <v>1746</v>
      </c>
      <c r="B1751" s="145">
        <v>45903</v>
      </c>
      <c r="C1751" s="191">
        <v>2025</v>
      </c>
      <c r="D1751" s="192" t="s">
        <v>35</v>
      </c>
      <c r="E1751" s="192" t="s">
        <v>1520</v>
      </c>
      <c r="F1751" s="193">
        <v>1</v>
      </c>
      <c r="G1751" s="148">
        <v>46400</v>
      </c>
    </row>
    <row r="1752" spans="1:7" x14ac:dyDescent="0.25">
      <c r="A1752" s="147">
        <v>1747</v>
      </c>
      <c r="B1752" s="145">
        <v>45903</v>
      </c>
      <c r="C1752" s="191">
        <v>2025</v>
      </c>
      <c r="D1752" s="192" t="s">
        <v>35</v>
      </c>
      <c r="E1752" s="192" t="s">
        <v>1521</v>
      </c>
      <c r="F1752" s="193">
        <v>1</v>
      </c>
      <c r="G1752" s="148">
        <v>7900</v>
      </c>
    </row>
    <row r="1753" spans="1:7" x14ac:dyDescent="0.25">
      <c r="A1753" s="147">
        <v>1748</v>
      </c>
      <c r="B1753" s="145">
        <v>45903</v>
      </c>
      <c r="C1753" s="191">
        <v>2025</v>
      </c>
      <c r="D1753" s="192" t="s">
        <v>35</v>
      </c>
      <c r="E1753" s="192" t="s">
        <v>1522</v>
      </c>
      <c r="F1753" s="193">
        <v>1</v>
      </c>
      <c r="G1753" s="148">
        <v>60000</v>
      </c>
    </row>
    <row r="1754" spans="1:7" x14ac:dyDescent="0.25">
      <c r="A1754" s="147">
        <v>1749</v>
      </c>
      <c r="B1754" s="145">
        <v>45903</v>
      </c>
      <c r="C1754" s="191">
        <v>2025</v>
      </c>
      <c r="D1754" s="192" t="s">
        <v>35</v>
      </c>
      <c r="E1754" s="192" t="s">
        <v>1523</v>
      </c>
      <c r="F1754" s="193">
        <v>1</v>
      </c>
      <c r="G1754" s="148">
        <v>125000</v>
      </c>
    </row>
    <row r="1755" spans="1:7" x14ac:dyDescent="0.25">
      <c r="A1755" s="147">
        <v>1750</v>
      </c>
      <c r="B1755" s="145">
        <v>45904</v>
      </c>
      <c r="C1755" s="191">
        <v>2025</v>
      </c>
      <c r="D1755" s="192" t="s">
        <v>35</v>
      </c>
      <c r="E1755" s="192" t="s">
        <v>1524</v>
      </c>
      <c r="F1755" s="193">
        <v>1</v>
      </c>
      <c r="G1755" s="148">
        <v>51505</v>
      </c>
    </row>
    <row r="1756" spans="1:7" x14ac:dyDescent="0.25">
      <c r="A1756" s="147">
        <v>1751</v>
      </c>
      <c r="B1756" s="145">
        <v>45908</v>
      </c>
      <c r="C1756" s="191">
        <v>2025</v>
      </c>
      <c r="D1756" s="192" t="s">
        <v>35</v>
      </c>
      <c r="E1756" s="192" t="s">
        <v>761</v>
      </c>
      <c r="F1756" s="193">
        <v>4</v>
      </c>
      <c r="G1756" s="148">
        <v>9000000</v>
      </c>
    </row>
    <row r="1757" spans="1:7" x14ac:dyDescent="0.25">
      <c r="A1757" s="147">
        <v>1752</v>
      </c>
      <c r="B1757" s="145">
        <v>45908</v>
      </c>
      <c r="C1757" s="191">
        <v>2025</v>
      </c>
      <c r="D1757" s="192" t="s">
        <v>35</v>
      </c>
      <c r="E1757" s="192" t="s">
        <v>806</v>
      </c>
      <c r="F1757" s="193">
        <v>1</v>
      </c>
      <c r="G1757" s="148">
        <v>300000</v>
      </c>
    </row>
    <row r="1758" spans="1:7" x14ac:dyDescent="0.25">
      <c r="A1758" s="147">
        <v>1753</v>
      </c>
      <c r="B1758" s="145">
        <v>45908</v>
      </c>
      <c r="C1758" s="191">
        <v>2025</v>
      </c>
      <c r="D1758" s="192" t="s">
        <v>35</v>
      </c>
      <c r="E1758" s="192" t="s">
        <v>365</v>
      </c>
      <c r="F1758" s="193">
        <v>4</v>
      </c>
      <c r="G1758" s="148">
        <v>6000</v>
      </c>
    </row>
    <row r="1759" spans="1:7" x14ac:dyDescent="0.25">
      <c r="A1759" s="147">
        <v>1754</v>
      </c>
      <c r="B1759" s="145">
        <v>45909</v>
      </c>
      <c r="C1759" s="191">
        <v>2025</v>
      </c>
      <c r="D1759" s="192" t="s">
        <v>35</v>
      </c>
      <c r="E1759" s="192" t="s">
        <v>252</v>
      </c>
      <c r="F1759" s="193">
        <v>1</v>
      </c>
      <c r="G1759" s="148">
        <v>1685000</v>
      </c>
    </row>
    <row r="1760" spans="1:7" x14ac:dyDescent="0.25">
      <c r="A1760" s="147">
        <v>1755</v>
      </c>
      <c r="B1760" s="145">
        <v>45909</v>
      </c>
      <c r="C1760" s="191">
        <v>2025</v>
      </c>
      <c r="D1760" s="192" t="s">
        <v>35</v>
      </c>
      <c r="E1760" s="192" t="s">
        <v>252</v>
      </c>
      <c r="F1760" s="193">
        <v>2</v>
      </c>
      <c r="G1760" s="148">
        <v>1880000</v>
      </c>
    </row>
    <row r="1761" spans="1:7" x14ac:dyDescent="0.25">
      <c r="A1761" s="147">
        <v>1756</v>
      </c>
      <c r="B1761" s="145">
        <v>45909</v>
      </c>
      <c r="C1761" s="191">
        <v>2025</v>
      </c>
      <c r="D1761" s="192" t="s">
        <v>35</v>
      </c>
      <c r="E1761" s="192" t="s">
        <v>252</v>
      </c>
      <c r="F1761" s="193">
        <v>1</v>
      </c>
      <c r="G1761" s="148">
        <v>2075000</v>
      </c>
    </row>
    <row r="1762" spans="1:7" x14ac:dyDescent="0.25">
      <c r="A1762" s="147">
        <v>1757</v>
      </c>
      <c r="B1762" s="145">
        <v>45910</v>
      </c>
      <c r="C1762" s="191">
        <v>2025</v>
      </c>
      <c r="D1762" s="192" t="s">
        <v>35</v>
      </c>
      <c r="E1762" s="192" t="s">
        <v>180</v>
      </c>
      <c r="F1762" s="193">
        <v>20</v>
      </c>
      <c r="G1762" s="148">
        <v>50000</v>
      </c>
    </row>
    <row r="1763" spans="1:7" x14ac:dyDescent="0.25">
      <c r="A1763" s="147">
        <v>1758</v>
      </c>
      <c r="B1763" s="145">
        <v>45910</v>
      </c>
      <c r="C1763" s="191">
        <v>2025</v>
      </c>
      <c r="D1763" s="192" t="s">
        <v>35</v>
      </c>
      <c r="E1763" s="192" t="s">
        <v>572</v>
      </c>
      <c r="F1763" s="193">
        <v>3</v>
      </c>
      <c r="G1763" s="148">
        <v>20700</v>
      </c>
    </row>
    <row r="1764" spans="1:7" x14ac:dyDescent="0.25">
      <c r="A1764" s="147">
        <v>1759</v>
      </c>
      <c r="B1764" s="167">
        <v>45910</v>
      </c>
      <c r="C1764" s="117">
        <v>2025</v>
      </c>
      <c r="D1764" s="119" t="s">
        <v>35</v>
      </c>
      <c r="E1764" s="119" t="s">
        <v>1293</v>
      </c>
      <c r="F1764" s="120">
        <v>12</v>
      </c>
      <c r="G1764" s="169">
        <v>231480</v>
      </c>
    </row>
    <row r="1765" spans="1:7" x14ac:dyDescent="0.25">
      <c r="A1765" s="147">
        <v>1760</v>
      </c>
      <c r="B1765" s="167">
        <v>45910</v>
      </c>
      <c r="C1765" s="117">
        <v>2025</v>
      </c>
      <c r="D1765" s="119" t="s">
        <v>35</v>
      </c>
      <c r="E1765" s="119" t="s">
        <v>1312</v>
      </c>
      <c r="F1765" s="120">
        <v>12</v>
      </c>
      <c r="G1765" s="169">
        <v>159972</v>
      </c>
    </row>
    <row r="1766" spans="1:7" x14ac:dyDescent="0.25">
      <c r="A1766" s="147">
        <v>1761</v>
      </c>
      <c r="B1766" s="167">
        <v>45910</v>
      </c>
      <c r="C1766" s="117">
        <v>2025</v>
      </c>
      <c r="D1766" s="119" t="s">
        <v>35</v>
      </c>
      <c r="E1766" s="119" t="s">
        <v>84</v>
      </c>
      <c r="F1766" s="120">
        <v>2</v>
      </c>
      <c r="G1766" s="169">
        <v>27376</v>
      </c>
    </row>
    <row r="1767" spans="1:7" x14ac:dyDescent="0.25">
      <c r="A1767" s="147">
        <v>1762</v>
      </c>
      <c r="B1767" s="145">
        <v>45912</v>
      </c>
      <c r="C1767" s="191">
        <v>2025</v>
      </c>
      <c r="D1767" s="192" t="s">
        <v>35</v>
      </c>
      <c r="E1767" s="192" t="s">
        <v>473</v>
      </c>
      <c r="F1767" s="193">
        <v>6</v>
      </c>
      <c r="G1767" s="148">
        <v>111000</v>
      </c>
    </row>
    <row r="1768" spans="1:7" x14ac:dyDescent="0.25">
      <c r="A1768" s="147">
        <v>1763</v>
      </c>
      <c r="B1768" s="145">
        <v>45912</v>
      </c>
      <c r="C1768" s="191">
        <v>2025</v>
      </c>
      <c r="D1768" s="192" t="s">
        <v>35</v>
      </c>
      <c r="E1768" s="192" t="s">
        <v>687</v>
      </c>
      <c r="F1768" s="193">
        <v>3</v>
      </c>
      <c r="G1768" s="148">
        <v>49500</v>
      </c>
    </row>
    <row r="1769" spans="1:7" x14ac:dyDescent="0.25">
      <c r="A1769" s="147">
        <v>1764</v>
      </c>
      <c r="B1769" s="145">
        <v>45913</v>
      </c>
      <c r="C1769" s="191">
        <v>2025</v>
      </c>
      <c r="D1769" s="192" t="s">
        <v>35</v>
      </c>
      <c r="E1769" s="192" t="s">
        <v>1527</v>
      </c>
      <c r="F1769" s="193">
        <v>1</v>
      </c>
      <c r="G1769" s="148">
        <v>185000</v>
      </c>
    </row>
    <row r="1770" spans="1:7" x14ac:dyDescent="0.25">
      <c r="A1770" s="147">
        <v>1765</v>
      </c>
      <c r="B1770" s="145">
        <v>45915</v>
      </c>
      <c r="C1770" s="191">
        <v>2025</v>
      </c>
      <c r="D1770" s="192" t="s">
        <v>35</v>
      </c>
      <c r="E1770" s="192" t="s">
        <v>252</v>
      </c>
      <c r="F1770" s="193">
        <v>2</v>
      </c>
      <c r="G1770" s="148">
        <v>2400000</v>
      </c>
    </row>
    <row r="1771" spans="1:7" x14ac:dyDescent="0.25">
      <c r="A1771" s="147">
        <v>1766</v>
      </c>
      <c r="B1771" s="145">
        <v>45915</v>
      </c>
      <c r="C1771" s="191">
        <v>2025</v>
      </c>
      <c r="D1771" s="192" t="s">
        <v>35</v>
      </c>
      <c r="E1771" s="192" t="s">
        <v>1450</v>
      </c>
      <c r="F1771" s="193">
        <v>1</v>
      </c>
      <c r="G1771" s="148">
        <v>65000</v>
      </c>
    </row>
    <row r="1772" spans="1:7" x14ac:dyDescent="0.25">
      <c r="A1772" s="147">
        <v>1767</v>
      </c>
      <c r="B1772" s="145">
        <v>45915</v>
      </c>
      <c r="C1772" s="191">
        <v>2025</v>
      </c>
      <c r="D1772" s="192" t="s">
        <v>35</v>
      </c>
      <c r="E1772" s="192" t="s">
        <v>72</v>
      </c>
      <c r="F1772" s="193">
        <v>2</v>
      </c>
      <c r="G1772" s="148">
        <v>50000</v>
      </c>
    </row>
    <row r="1773" spans="1:7" x14ac:dyDescent="0.25">
      <c r="A1773" s="147">
        <v>1768</v>
      </c>
      <c r="B1773" s="145">
        <v>45916</v>
      </c>
      <c r="C1773" s="191">
        <v>2025</v>
      </c>
      <c r="D1773" s="192" t="s">
        <v>35</v>
      </c>
      <c r="E1773" s="192" t="s">
        <v>211</v>
      </c>
      <c r="F1773" s="193">
        <v>10</v>
      </c>
      <c r="G1773" s="148">
        <v>210000</v>
      </c>
    </row>
    <row r="1774" spans="1:7" x14ac:dyDescent="0.25">
      <c r="A1774" s="147">
        <v>1769</v>
      </c>
      <c r="B1774" s="145">
        <v>45916</v>
      </c>
      <c r="C1774" s="191">
        <v>2025</v>
      </c>
      <c r="D1774" s="192" t="s">
        <v>35</v>
      </c>
      <c r="E1774" s="192" t="s">
        <v>211</v>
      </c>
      <c r="F1774" s="193">
        <v>10</v>
      </c>
      <c r="G1774" s="148">
        <v>190000</v>
      </c>
    </row>
    <row r="1775" spans="1:7" x14ac:dyDescent="0.25">
      <c r="A1775" s="147">
        <v>1770</v>
      </c>
      <c r="B1775" s="145">
        <v>45916</v>
      </c>
      <c r="C1775" s="191">
        <v>2025</v>
      </c>
      <c r="D1775" s="192" t="s">
        <v>35</v>
      </c>
      <c r="E1775" s="192" t="s">
        <v>211</v>
      </c>
      <c r="F1775" s="193">
        <v>2</v>
      </c>
      <c r="G1775" s="148">
        <v>39000</v>
      </c>
    </row>
    <row r="1776" spans="1:7" x14ac:dyDescent="0.25">
      <c r="A1776" s="147">
        <v>1771</v>
      </c>
      <c r="B1776" s="145">
        <v>45922</v>
      </c>
      <c r="C1776" s="191">
        <v>2025</v>
      </c>
      <c r="D1776" s="192" t="s">
        <v>35</v>
      </c>
      <c r="E1776" s="192" t="s">
        <v>252</v>
      </c>
      <c r="F1776" s="193">
        <v>2</v>
      </c>
      <c r="G1776" s="148">
        <v>2140000</v>
      </c>
    </row>
    <row r="1777" spans="1:7" x14ac:dyDescent="0.25">
      <c r="A1777" s="147">
        <v>1772</v>
      </c>
      <c r="B1777" s="145">
        <v>45922</v>
      </c>
      <c r="C1777" s="191">
        <v>2025</v>
      </c>
      <c r="D1777" s="192" t="s">
        <v>35</v>
      </c>
      <c r="E1777" s="192" t="s">
        <v>1529</v>
      </c>
      <c r="F1777" s="193">
        <v>1</v>
      </c>
      <c r="G1777" s="148">
        <v>67500</v>
      </c>
    </row>
    <row r="1778" spans="1:7" x14ac:dyDescent="0.25">
      <c r="A1778" s="147">
        <v>1773</v>
      </c>
      <c r="B1778" s="145">
        <v>45922</v>
      </c>
      <c r="C1778" s="191">
        <v>2025</v>
      </c>
      <c r="D1778" s="192" t="s">
        <v>35</v>
      </c>
      <c r="E1778" s="192" t="s">
        <v>1450</v>
      </c>
      <c r="F1778" s="193">
        <v>1</v>
      </c>
      <c r="G1778" s="148">
        <v>65000</v>
      </c>
    </row>
    <row r="1779" spans="1:7" x14ac:dyDescent="0.25">
      <c r="A1779" s="147">
        <v>1774</v>
      </c>
      <c r="B1779" s="145">
        <v>45922</v>
      </c>
      <c r="C1779" s="191">
        <v>2025</v>
      </c>
      <c r="D1779" s="192" t="s">
        <v>35</v>
      </c>
      <c r="E1779" s="192" t="s">
        <v>205</v>
      </c>
      <c r="F1779" s="193">
        <v>4</v>
      </c>
      <c r="G1779" s="148">
        <v>80000</v>
      </c>
    </row>
    <row r="1780" spans="1:7" x14ac:dyDescent="0.25">
      <c r="A1780" s="147">
        <v>1775</v>
      </c>
      <c r="B1780" s="145">
        <v>45922</v>
      </c>
      <c r="C1780" s="191">
        <v>2025</v>
      </c>
      <c r="D1780" s="192" t="s">
        <v>35</v>
      </c>
      <c r="E1780" s="192" t="s">
        <v>1189</v>
      </c>
      <c r="F1780" s="193">
        <v>3</v>
      </c>
      <c r="G1780" s="148">
        <v>13500</v>
      </c>
    </row>
    <row r="1781" spans="1:7" x14ac:dyDescent="0.25">
      <c r="A1781" s="147">
        <v>1776</v>
      </c>
      <c r="B1781" s="145">
        <v>45922</v>
      </c>
      <c r="C1781" s="191">
        <v>2025</v>
      </c>
      <c r="D1781" s="192" t="s">
        <v>35</v>
      </c>
      <c r="E1781" s="192" t="s">
        <v>1531</v>
      </c>
      <c r="F1781" s="193">
        <v>1</v>
      </c>
      <c r="G1781" s="148">
        <v>42080</v>
      </c>
    </row>
    <row r="1782" spans="1:7" x14ac:dyDescent="0.25">
      <c r="A1782" s="147">
        <v>1777</v>
      </c>
      <c r="B1782" s="167">
        <v>45923</v>
      </c>
      <c r="C1782" s="117">
        <v>2025</v>
      </c>
      <c r="D1782" s="119" t="s">
        <v>35</v>
      </c>
      <c r="E1782" s="119" t="s">
        <v>612</v>
      </c>
      <c r="F1782" s="120">
        <v>2</v>
      </c>
      <c r="G1782" s="169">
        <v>11866</v>
      </c>
    </row>
    <row r="1783" spans="1:7" x14ac:dyDescent="0.25">
      <c r="A1783" s="147">
        <v>1778</v>
      </c>
      <c r="B1783" s="167">
        <v>45923</v>
      </c>
      <c r="C1783" s="117">
        <v>2025</v>
      </c>
      <c r="D1783" s="119" t="s">
        <v>35</v>
      </c>
      <c r="E1783" s="119" t="s">
        <v>1532</v>
      </c>
      <c r="F1783" s="120">
        <v>1</v>
      </c>
      <c r="G1783" s="169">
        <v>2976</v>
      </c>
    </row>
    <row r="1784" spans="1:7" x14ac:dyDescent="0.25">
      <c r="A1784" s="147">
        <v>1779</v>
      </c>
      <c r="B1784" s="167">
        <v>45923</v>
      </c>
      <c r="C1784" s="117">
        <v>2025</v>
      </c>
      <c r="D1784" s="119" t="s">
        <v>35</v>
      </c>
      <c r="E1784" s="119" t="s">
        <v>1533</v>
      </c>
      <c r="F1784" s="120">
        <v>2</v>
      </c>
      <c r="G1784" s="169">
        <v>6540</v>
      </c>
    </row>
    <row r="1785" spans="1:7" x14ac:dyDescent="0.25">
      <c r="A1785" s="147">
        <v>1780</v>
      </c>
      <c r="B1785" s="167">
        <v>45923</v>
      </c>
      <c r="C1785" s="117">
        <v>2025</v>
      </c>
      <c r="D1785" s="119" t="s">
        <v>35</v>
      </c>
      <c r="E1785" s="119" t="s">
        <v>1534</v>
      </c>
      <c r="F1785" s="120">
        <v>1</v>
      </c>
      <c r="G1785" s="169">
        <v>2128</v>
      </c>
    </row>
    <row r="1786" spans="1:7" x14ac:dyDescent="0.25">
      <c r="A1786" s="147">
        <v>1781</v>
      </c>
      <c r="B1786" s="145">
        <v>45924</v>
      </c>
      <c r="C1786" s="191">
        <v>2025</v>
      </c>
      <c r="D1786" s="192" t="s">
        <v>35</v>
      </c>
      <c r="E1786" s="192" t="s">
        <v>739</v>
      </c>
      <c r="F1786" s="193">
        <v>75</v>
      </c>
      <c r="G1786" s="148">
        <v>645000</v>
      </c>
    </row>
    <row r="1787" spans="1:7" x14ac:dyDescent="0.25">
      <c r="A1787" s="147">
        <v>1782</v>
      </c>
      <c r="B1787" s="145">
        <v>45925</v>
      </c>
      <c r="C1787" s="191">
        <v>2025</v>
      </c>
      <c r="D1787" s="192" t="s">
        <v>35</v>
      </c>
      <c r="E1787" s="192" t="s">
        <v>1536</v>
      </c>
      <c r="F1787" s="193">
        <v>1</v>
      </c>
      <c r="G1787" s="148">
        <v>802000</v>
      </c>
    </row>
    <row r="1788" spans="1:7" x14ac:dyDescent="0.25">
      <c r="A1788" s="147">
        <v>1783</v>
      </c>
      <c r="B1788" s="145">
        <v>45926</v>
      </c>
      <c r="C1788" s="191">
        <v>2025</v>
      </c>
      <c r="D1788" s="192" t="s">
        <v>35</v>
      </c>
      <c r="E1788" s="192" t="s">
        <v>1537</v>
      </c>
      <c r="F1788" s="193">
        <v>1</v>
      </c>
      <c r="G1788" s="148">
        <v>180000</v>
      </c>
    </row>
    <row r="1789" spans="1:7" x14ac:dyDescent="0.25">
      <c r="A1789" s="147">
        <v>1784</v>
      </c>
      <c r="B1789" s="145">
        <v>45926</v>
      </c>
      <c r="C1789" s="191">
        <v>2025</v>
      </c>
      <c r="D1789" s="192" t="s">
        <v>35</v>
      </c>
      <c r="E1789" s="192" t="s">
        <v>1538</v>
      </c>
      <c r="F1789" s="193">
        <v>1</v>
      </c>
      <c r="G1789" s="148">
        <v>25400</v>
      </c>
    </row>
    <row r="1790" spans="1:7" x14ac:dyDescent="0.25">
      <c r="A1790" s="147">
        <v>1785</v>
      </c>
      <c r="B1790" s="145">
        <v>45926</v>
      </c>
      <c r="C1790" s="191">
        <v>2025</v>
      </c>
      <c r="D1790" s="192" t="s">
        <v>35</v>
      </c>
      <c r="E1790" s="192" t="s">
        <v>1539</v>
      </c>
      <c r="F1790" s="193">
        <v>1</v>
      </c>
      <c r="G1790" s="148">
        <v>57200</v>
      </c>
    </row>
    <row r="1791" spans="1:7" x14ac:dyDescent="0.25">
      <c r="A1791" s="147">
        <v>1786</v>
      </c>
      <c r="B1791" s="145">
        <v>45930</v>
      </c>
      <c r="C1791" s="191">
        <v>2025</v>
      </c>
      <c r="D1791" s="192" t="s">
        <v>35</v>
      </c>
      <c r="E1791" s="192" t="s">
        <v>761</v>
      </c>
      <c r="F1791" s="193">
        <v>2</v>
      </c>
      <c r="G1791" s="148">
        <v>3100000</v>
      </c>
    </row>
    <row r="1792" spans="1:7" x14ac:dyDescent="0.25">
      <c r="A1792" s="147">
        <v>1787</v>
      </c>
      <c r="B1792" s="145">
        <v>45930</v>
      </c>
      <c r="C1792" s="191">
        <v>2025</v>
      </c>
      <c r="D1792" s="192" t="s">
        <v>35</v>
      </c>
      <c r="E1792" s="192" t="s">
        <v>98</v>
      </c>
      <c r="F1792" s="193">
        <v>5</v>
      </c>
      <c r="G1792" s="148">
        <v>148020</v>
      </c>
    </row>
    <row r="1793" spans="1:7" x14ac:dyDescent="0.25">
      <c r="A1793" s="147">
        <v>1788</v>
      </c>
      <c r="B1793" s="145">
        <v>45932</v>
      </c>
      <c r="C1793" s="191">
        <v>2025</v>
      </c>
      <c r="D1793" s="192" t="s">
        <v>35</v>
      </c>
      <c r="E1793" s="192" t="s">
        <v>1541</v>
      </c>
      <c r="F1793" s="193">
        <v>1</v>
      </c>
      <c r="G1793" s="148">
        <v>41680</v>
      </c>
    </row>
    <row r="1794" spans="1:7" x14ac:dyDescent="0.25">
      <c r="A1794" s="147">
        <v>1789</v>
      </c>
      <c r="B1794" s="145">
        <v>45933</v>
      </c>
      <c r="C1794" s="191">
        <v>2025</v>
      </c>
      <c r="D1794" s="192" t="s">
        <v>35</v>
      </c>
      <c r="E1794" s="192" t="s">
        <v>1542</v>
      </c>
      <c r="F1794" s="193">
        <v>1</v>
      </c>
      <c r="G1794" s="148">
        <v>4900</v>
      </c>
    </row>
    <row r="1795" spans="1:7" x14ac:dyDescent="0.25">
      <c r="A1795" s="147">
        <v>1790</v>
      </c>
      <c r="B1795" s="145">
        <v>45933</v>
      </c>
      <c r="C1795" s="191">
        <v>2025</v>
      </c>
      <c r="D1795" s="192" t="s">
        <v>35</v>
      </c>
      <c r="E1795" s="192" t="s">
        <v>1543</v>
      </c>
      <c r="F1795" s="193">
        <v>1</v>
      </c>
      <c r="G1795" s="148">
        <v>23400</v>
      </c>
    </row>
    <row r="1796" spans="1:7" x14ac:dyDescent="0.25">
      <c r="A1796" s="147">
        <v>1791</v>
      </c>
      <c r="B1796" s="145">
        <v>45934</v>
      </c>
      <c r="C1796" s="191">
        <v>2025</v>
      </c>
      <c r="D1796" s="192" t="s">
        <v>35</v>
      </c>
      <c r="E1796" s="192" t="s">
        <v>72</v>
      </c>
      <c r="F1796" s="193">
        <v>2</v>
      </c>
      <c r="G1796" s="148">
        <v>50000</v>
      </c>
    </row>
    <row r="1797" spans="1:7" x14ac:dyDescent="0.25">
      <c r="A1797" s="147">
        <v>1792</v>
      </c>
      <c r="B1797" s="145">
        <v>45934</v>
      </c>
      <c r="C1797" s="191">
        <v>2025</v>
      </c>
      <c r="D1797" s="192" t="s">
        <v>35</v>
      </c>
      <c r="E1797" s="192" t="s">
        <v>1544</v>
      </c>
      <c r="F1797" s="193">
        <v>10</v>
      </c>
      <c r="G1797" s="148">
        <v>25000</v>
      </c>
    </row>
    <row r="1798" spans="1:7" x14ac:dyDescent="0.25">
      <c r="A1798" s="147">
        <v>1793</v>
      </c>
      <c r="B1798" s="145">
        <v>45934</v>
      </c>
      <c r="C1798" s="191">
        <v>2025</v>
      </c>
      <c r="D1798" s="192" t="s">
        <v>35</v>
      </c>
      <c r="E1798" s="192" t="s">
        <v>1486</v>
      </c>
      <c r="F1798" s="193">
        <v>4</v>
      </c>
      <c r="G1798" s="148">
        <v>300000</v>
      </c>
    </row>
    <row r="1799" spans="1:7" x14ac:dyDescent="0.25">
      <c r="A1799" s="147">
        <v>1794</v>
      </c>
      <c r="B1799" s="145">
        <v>45936</v>
      </c>
      <c r="C1799" s="191">
        <v>2025</v>
      </c>
      <c r="D1799" s="192" t="s">
        <v>35</v>
      </c>
      <c r="E1799" s="192" t="s">
        <v>1217</v>
      </c>
      <c r="F1799" s="193">
        <v>1</v>
      </c>
      <c r="G1799" s="148">
        <v>40000</v>
      </c>
    </row>
    <row r="1800" spans="1:7" x14ac:dyDescent="0.25">
      <c r="A1800" s="147">
        <v>1795</v>
      </c>
      <c r="B1800" s="145">
        <v>45937</v>
      </c>
      <c r="C1800" s="191">
        <v>2025</v>
      </c>
      <c r="D1800" s="192" t="s">
        <v>35</v>
      </c>
      <c r="E1800" s="192" t="s">
        <v>1545</v>
      </c>
      <c r="F1800" s="193">
        <v>80</v>
      </c>
      <c r="G1800" s="148">
        <v>960000</v>
      </c>
    </row>
    <row r="1801" spans="1:7" x14ac:dyDescent="0.25">
      <c r="A1801" s="147">
        <v>1796</v>
      </c>
      <c r="B1801" s="145">
        <v>45937</v>
      </c>
      <c r="C1801" s="191">
        <v>2025</v>
      </c>
      <c r="D1801" s="192" t="s">
        <v>35</v>
      </c>
      <c r="E1801" s="192" t="s">
        <v>1486</v>
      </c>
      <c r="F1801" s="193">
        <v>2</v>
      </c>
      <c r="G1801" s="148">
        <v>150000</v>
      </c>
    </row>
    <row r="1802" spans="1:7" x14ac:dyDescent="0.25">
      <c r="A1802" s="147">
        <v>1797</v>
      </c>
      <c r="B1802" s="145">
        <v>45938</v>
      </c>
      <c r="C1802" s="191">
        <v>2025</v>
      </c>
      <c r="D1802" s="192" t="s">
        <v>35</v>
      </c>
      <c r="E1802" s="192" t="s">
        <v>1546</v>
      </c>
      <c r="F1802" s="193">
        <v>1</v>
      </c>
      <c r="G1802" s="148">
        <v>45000</v>
      </c>
    </row>
    <row r="1803" spans="1:7" x14ac:dyDescent="0.25">
      <c r="A1803" s="147">
        <v>1798</v>
      </c>
      <c r="B1803" s="145">
        <v>45938</v>
      </c>
      <c r="C1803" s="191">
        <v>2025</v>
      </c>
      <c r="D1803" s="192" t="s">
        <v>35</v>
      </c>
      <c r="E1803" s="192" t="s">
        <v>1547</v>
      </c>
      <c r="F1803" s="193">
        <v>1</v>
      </c>
      <c r="G1803" s="148">
        <v>55000</v>
      </c>
    </row>
    <row r="1804" spans="1:7" x14ac:dyDescent="0.25">
      <c r="A1804" s="147">
        <v>1799</v>
      </c>
      <c r="B1804" s="145">
        <v>45938</v>
      </c>
      <c r="C1804" s="191">
        <v>2025</v>
      </c>
      <c r="D1804" s="192" t="s">
        <v>35</v>
      </c>
      <c r="E1804" s="192" t="s">
        <v>1459</v>
      </c>
      <c r="F1804" s="193">
        <v>1</v>
      </c>
      <c r="G1804" s="148">
        <v>55000</v>
      </c>
    </row>
    <row r="1805" spans="1:7" x14ac:dyDescent="0.25">
      <c r="A1805" s="147">
        <v>1800</v>
      </c>
      <c r="B1805" s="145">
        <v>45939</v>
      </c>
      <c r="C1805" s="191">
        <v>2025</v>
      </c>
      <c r="D1805" s="192" t="s">
        <v>35</v>
      </c>
      <c r="E1805" s="192" t="s">
        <v>1548</v>
      </c>
      <c r="F1805" s="193">
        <v>1</v>
      </c>
      <c r="G1805" s="148">
        <v>39900</v>
      </c>
    </row>
    <row r="1806" spans="1:7" x14ac:dyDescent="0.25">
      <c r="A1806" s="147">
        <v>1801</v>
      </c>
      <c r="B1806" s="145">
        <v>45939</v>
      </c>
      <c r="C1806" s="191">
        <v>2025</v>
      </c>
      <c r="D1806" s="192" t="s">
        <v>35</v>
      </c>
      <c r="E1806" s="192" t="s">
        <v>478</v>
      </c>
      <c r="F1806" s="193">
        <v>100</v>
      </c>
      <c r="G1806" s="148">
        <v>102900</v>
      </c>
    </row>
    <row r="1807" spans="1:7" x14ac:dyDescent="0.25">
      <c r="A1807" s="147">
        <v>1802</v>
      </c>
      <c r="B1807" s="145">
        <v>45939</v>
      </c>
      <c r="C1807" s="191">
        <v>2025</v>
      </c>
      <c r="D1807" s="192" t="s">
        <v>35</v>
      </c>
      <c r="E1807" s="192" t="s">
        <v>1302</v>
      </c>
      <c r="F1807" s="193">
        <v>3</v>
      </c>
      <c r="G1807" s="148">
        <v>53202</v>
      </c>
    </row>
    <row r="1808" spans="1:7" x14ac:dyDescent="0.25">
      <c r="A1808" s="147">
        <v>1803</v>
      </c>
      <c r="B1808" s="145">
        <v>45939</v>
      </c>
      <c r="C1808" s="191">
        <v>2025</v>
      </c>
      <c r="D1808" s="192" t="s">
        <v>35</v>
      </c>
      <c r="E1808" s="192" t="s">
        <v>684</v>
      </c>
      <c r="F1808" s="193">
        <v>12</v>
      </c>
      <c r="G1808" s="148">
        <v>206904</v>
      </c>
    </row>
    <row r="1809" spans="1:7" x14ac:dyDescent="0.25">
      <c r="A1809" s="147">
        <v>1804</v>
      </c>
      <c r="B1809" s="145">
        <v>45939</v>
      </c>
      <c r="C1809" s="191">
        <v>2025</v>
      </c>
      <c r="D1809" s="192" t="s">
        <v>35</v>
      </c>
      <c r="E1809" s="192" t="s">
        <v>685</v>
      </c>
      <c r="F1809" s="193">
        <v>12</v>
      </c>
      <c r="G1809" s="148">
        <v>57288</v>
      </c>
    </row>
    <row r="1810" spans="1:7" x14ac:dyDescent="0.25">
      <c r="A1810" s="147">
        <v>1805</v>
      </c>
      <c r="B1810" s="145">
        <v>45943</v>
      </c>
      <c r="C1810" s="191">
        <v>2025</v>
      </c>
      <c r="D1810" s="192" t="s">
        <v>35</v>
      </c>
      <c r="E1810" s="192" t="s">
        <v>1068</v>
      </c>
      <c r="F1810" s="193">
        <v>1</v>
      </c>
      <c r="G1810" s="148">
        <v>30760</v>
      </c>
    </row>
    <row r="1811" spans="1:7" x14ac:dyDescent="0.25">
      <c r="A1811" s="147">
        <v>1806</v>
      </c>
      <c r="B1811" s="145">
        <v>45943</v>
      </c>
      <c r="C1811" s="191">
        <v>2025</v>
      </c>
      <c r="D1811" s="192" t="s">
        <v>35</v>
      </c>
      <c r="E1811" s="192" t="s">
        <v>1216</v>
      </c>
      <c r="F1811" s="193">
        <v>1</v>
      </c>
      <c r="G1811" s="148">
        <v>2500</v>
      </c>
    </row>
    <row r="1812" spans="1:7" x14ac:dyDescent="0.25">
      <c r="A1812" s="147">
        <v>1807</v>
      </c>
      <c r="B1812" s="145">
        <v>45943</v>
      </c>
      <c r="C1812" s="191">
        <v>2025</v>
      </c>
      <c r="D1812" s="192" t="s">
        <v>35</v>
      </c>
      <c r="E1812" s="192" t="s">
        <v>1069</v>
      </c>
      <c r="F1812" s="193">
        <v>1</v>
      </c>
      <c r="G1812" s="148">
        <v>10000</v>
      </c>
    </row>
    <row r="1813" spans="1:7" x14ac:dyDescent="0.25">
      <c r="A1813" s="147">
        <v>1808</v>
      </c>
      <c r="B1813" s="145">
        <v>45943</v>
      </c>
      <c r="C1813" s="191">
        <v>2025</v>
      </c>
      <c r="D1813" s="192" t="s">
        <v>35</v>
      </c>
      <c r="E1813" s="192" t="s">
        <v>378</v>
      </c>
      <c r="F1813" s="193">
        <v>20</v>
      </c>
      <c r="G1813" s="148">
        <v>5900</v>
      </c>
    </row>
    <row r="1814" spans="1:7" x14ac:dyDescent="0.25">
      <c r="A1814" s="147">
        <v>1809</v>
      </c>
      <c r="B1814" s="145">
        <v>45943</v>
      </c>
      <c r="C1814" s="191">
        <v>2025</v>
      </c>
      <c r="D1814" s="192" t="s">
        <v>35</v>
      </c>
      <c r="E1814" s="192" t="s">
        <v>1057</v>
      </c>
      <c r="F1814" s="193">
        <v>1</v>
      </c>
      <c r="G1814" s="148">
        <v>9348</v>
      </c>
    </row>
    <row r="1815" spans="1:7" x14ac:dyDescent="0.25">
      <c r="A1815" s="147">
        <v>1810</v>
      </c>
      <c r="B1815" s="145">
        <v>45943</v>
      </c>
      <c r="C1815" s="191">
        <v>2025</v>
      </c>
      <c r="D1815" s="192" t="s">
        <v>35</v>
      </c>
      <c r="E1815" s="192" t="s">
        <v>1308</v>
      </c>
      <c r="F1815" s="193">
        <v>1</v>
      </c>
      <c r="G1815" s="148">
        <v>18900</v>
      </c>
    </row>
    <row r="1816" spans="1:7" x14ac:dyDescent="0.25">
      <c r="A1816" s="147">
        <v>1811</v>
      </c>
      <c r="B1816" s="145">
        <v>45943</v>
      </c>
      <c r="C1816" s="191">
        <v>2025</v>
      </c>
      <c r="D1816" s="192" t="s">
        <v>35</v>
      </c>
      <c r="E1816" s="192" t="s">
        <v>1549</v>
      </c>
      <c r="F1816" s="193">
        <v>1</v>
      </c>
      <c r="G1816" s="148">
        <v>94618</v>
      </c>
    </row>
    <row r="1817" spans="1:7" x14ac:dyDescent="0.25">
      <c r="A1817" s="147">
        <v>1812</v>
      </c>
      <c r="B1817" s="145">
        <v>45944</v>
      </c>
      <c r="C1817" s="191">
        <v>2025</v>
      </c>
      <c r="D1817" s="192" t="s">
        <v>35</v>
      </c>
      <c r="E1817" s="192" t="s">
        <v>700</v>
      </c>
      <c r="F1817" s="193">
        <v>8</v>
      </c>
      <c r="G1817" s="148">
        <v>236904</v>
      </c>
    </row>
    <row r="1818" spans="1:7" x14ac:dyDescent="0.25">
      <c r="A1818" s="147">
        <v>1813</v>
      </c>
      <c r="B1818" s="145">
        <v>45944</v>
      </c>
      <c r="C1818" s="191">
        <v>2025</v>
      </c>
      <c r="D1818" s="192" t="s">
        <v>35</v>
      </c>
      <c r="E1818" s="192" t="s">
        <v>1515</v>
      </c>
      <c r="F1818" s="193">
        <v>1</v>
      </c>
      <c r="G1818" s="148">
        <v>21150</v>
      </c>
    </row>
    <row r="1819" spans="1:7" x14ac:dyDescent="0.25">
      <c r="A1819" s="147">
        <v>1814</v>
      </c>
      <c r="B1819" s="145">
        <v>45945</v>
      </c>
      <c r="C1819" s="191">
        <v>2025</v>
      </c>
      <c r="D1819" s="192" t="s">
        <v>35</v>
      </c>
      <c r="E1819" s="192" t="s">
        <v>211</v>
      </c>
      <c r="F1819" s="193">
        <v>5</v>
      </c>
      <c r="G1819" s="148">
        <v>105000</v>
      </c>
    </row>
    <row r="1820" spans="1:7" x14ac:dyDescent="0.25">
      <c r="A1820" s="147">
        <v>1815</v>
      </c>
      <c r="B1820" s="145">
        <v>45945</v>
      </c>
      <c r="C1820" s="191">
        <v>2025</v>
      </c>
      <c r="D1820" s="192" t="s">
        <v>35</v>
      </c>
      <c r="E1820" s="192" t="s">
        <v>211</v>
      </c>
      <c r="F1820" s="193">
        <v>3</v>
      </c>
      <c r="G1820" s="148">
        <v>58500</v>
      </c>
    </row>
    <row r="1821" spans="1:7" x14ac:dyDescent="0.25">
      <c r="A1821" s="147">
        <v>1816</v>
      </c>
      <c r="B1821" s="145">
        <v>45945</v>
      </c>
      <c r="C1821" s="191">
        <v>2025</v>
      </c>
      <c r="D1821" s="192" t="s">
        <v>35</v>
      </c>
      <c r="E1821" s="192" t="s">
        <v>1545</v>
      </c>
      <c r="F1821" s="193">
        <v>80</v>
      </c>
      <c r="G1821" s="148">
        <v>3960000</v>
      </c>
    </row>
    <row r="1822" spans="1:7" x14ac:dyDescent="0.25">
      <c r="A1822" s="147">
        <v>1817</v>
      </c>
      <c r="B1822" s="145">
        <v>45945</v>
      </c>
      <c r="C1822" s="191">
        <v>2025</v>
      </c>
      <c r="D1822" s="192" t="s">
        <v>35</v>
      </c>
      <c r="E1822" s="192" t="s">
        <v>1312</v>
      </c>
      <c r="F1822" s="193">
        <v>10</v>
      </c>
      <c r="G1822" s="148">
        <v>128350</v>
      </c>
    </row>
    <row r="1823" spans="1:7" x14ac:dyDescent="0.25">
      <c r="A1823" s="147">
        <v>1818</v>
      </c>
      <c r="B1823" s="145">
        <v>45945</v>
      </c>
      <c r="C1823" s="191">
        <v>2025</v>
      </c>
      <c r="D1823" s="192" t="s">
        <v>35</v>
      </c>
      <c r="E1823" s="192" t="s">
        <v>643</v>
      </c>
      <c r="F1823" s="193">
        <v>1</v>
      </c>
      <c r="G1823" s="148">
        <v>3500</v>
      </c>
    </row>
    <row r="1824" spans="1:7" x14ac:dyDescent="0.25">
      <c r="A1824" s="147">
        <v>1819</v>
      </c>
      <c r="B1824" s="145">
        <v>45945</v>
      </c>
      <c r="C1824" s="191">
        <v>2025</v>
      </c>
      <c r="D1824" s="192" t="s">
        <v>35</v>
      </c>
      <c r="E1824" s="192" t="s">
        <v>1459</v>
      </c>
      <c r="F1824" s="193">
        <v>1</v>
      </c>
      <c r="G1824" s="148">
        <v>60000</v>
      </c>
    </row>
    <row r="1825" spans="1:7" x14ac:dyDescent="0.25">
      <c r="A1825" s="147">
        <v>1820</v>
      </c>
      <c r="B1825" s="145">
        <v>45946</v>
      </c>
      <c r="C1825" s="191">
        <v>2025</v>
      </c>
      <c r="D1825" s="192" t="s">
        <v>35</v>
      </c>
      <c r="E1825" s="192" t="s">
        <v>378</v>
      </c>
      <c r="F1825" s="193">
        <v>20</v>
      </c>
      <c r="G1825" s="148">
        <v>5120</v>
      </c>
    </row>
    <row r="1826" spans="1:7" x14ac:dyDescent="0.25">
      <c r="A1826" s="147">
        <v>1821</v>
      </c>
      <c r="B1826" s="145">
        <v>45947</v>
      </c>
      <c r="C1826" s="191">
        <v>2025</v>
      </c>
      <c r="D1826" s="192" t="s">
        <v>35</v>
      </c>
      <c r="E1826" s="192" t="s">
        <v>557</v>
      </c>
      <c r="F1826" s="193">
        <v>3</v>
      </c>
      <c r="G1826" s="148">
        <v>286902</v>
      </c>
    </row>
    <row r="1827" spans="1:7" x14ac:dyDescent="0.25">
      <c r="A1827" s="147">
        <v>1822</v>
      </c>
      <c r="B1827" s="145">
        <v>45947</v>
      </c>
      <c r="C1827" s="191">
        <v>2025</v>
      </c>
      <c r="D1827" s="192" t="s">
        <v>35</v>
      </c>
      <c r="E1827" s="192" t="s">
        <v>853</v>
      </c>
      <c r="F1827" s="193">
        <v>1</v>
      </c>
      <c r="G1827" s="148">
        <v>7750</v>
      </c>
    </row>
    <row r="1828" spans="1:7" x14ac:dyDescent="0.25">
      <c r="A1828" s="147">
        <v>1823</v>
      </c>
      <c r="B1828" s="145">
        <v>45947</v>
      </c>
      <c r="C1828" s="191">
        <v>2025</v>
      </c>
      <c r="D1828" s="192" t="s">
        <v>35</v>
      </c>
      <c r="E1828" s="192" t="s">
        <v>130</v>
      </c>
      <c r="F1828" s="193">
        <v>1</v>
      </c>
      <c r="G1828" s="148">
        <v>190000</v>
      </c>
    </row>
    <row r="1829" spans="1:7" x14ac:dyDescent="0.25">
      <c r="A1829" s="147">
        <v>1824</v>
      </c>
      <c r="B1829" s="145">
        <v>45948</v>
      </c>
      <c r="C1829" s="191">
        <v>2025</v>
      </c>
      <c r="D1829" s="192" t="s">
        <v>35</v>
      </c>
      <c r="E1829" s="192" t="s">
        <v>1550</v>
      </c>
      <c r="F1829" s="193">
        <v>2</v>
      </c>
      <c r="G1829" s="148">
        <v>7620</v>
      </c>
    </row>
    <row r="1830" spans="1:7" x14ac:dyDescent="0.25">
      <c r="A1830" s="147">
        <v>1825</v>
      </c>
      <c r="B1830" s="145">
        <v>45948</v>
      </c>
      <c r="C1830" s="191">
        <v>2025</v>
      </c>
      <c r="D1830" s="192" t="s">
        <v>35</v>
      </c>
      <c r="E1830" s="192" t="s">
        <v>124</v>
      </c>
      <c r="F1830" s="193">
        <v>1</v>
      </c>
      <c r="G1830" s="148">
        <v>7280000</v>
      </c>
    </row>
    <row r="1831" spans="1:7" x14ac:dyDescent="0.25">
      <c r="A1831" s="147">
        <v>1826</v>
      </c>
      <c r="B1831" s="145">
        <v>45951</v>
      </c>
      <c r="C1831" s="191">
        <v>2025</v>
      </c>
      <c r="D1831" s="192" t="s">
        <v>35</v>
      </c>
      <c r="E1831" s="192" t="s">
        <v>1554</v>
      </c>
      <c r="F1831" s="193">
        <v>1</v>
      </c>
      <c r="G1831" s="148">
        <v>68500</v>
      </c>
    </row>
    <row r="1832" spans="1:7" x14ac:dyDescent="0.25">
      <c r="A1832" s="147">
        <v>1827</v>
      </c>
      <c r="B1832" s="145">
        <v>45951</v>
      </c>
      <c r="C1832" s="191">
        <v>2025</v>
      </c>
      <c r="D1832" s="192" t="s">
        <v>35</v>
      </c>
      <c r="E1832" s="192" t="s">
        <v>1555</v>
      </c>
      <c r="F1832" s="193">
        <v>1</v>
      </c>
      <c r="G1832" s="148">
        <v>253900</v>
      </c>
    </row>
    <row r="1833" spans="1:7" x14ac:dyDescent="0.25">
      <c r="A1833" s="147">
        <v>1828</v>
      </c>
      <c r="B1833" s="145">
        <v>45951</v>
      </c>
      <c r="C1833" s="191">
        <v>2025</v>
      </c>
      <c r="D1833" s="192" t="s">
        <v>35</v>
      </c>
      <c r="E1833" s="192" t="s">
        <v>1556</v>
      </c>
      <c r="F1833" s="193">
        <v>1</v>
      </c>
      <c r="G1833" s="148">
        <v>1001900</v>
      </c>
    </row>
    <row r="1834" spans="1:7" x14ac:dyDescent="0.25">
      <c r="A1834" s="147">
        <v>1829</v>
      </c>
      <c r="B1834" s="145">
        <v>45951</v>
      </c>
      <c r="C1834" s="191">
        <v>2025</v>
      </c>
      <c r="D1834" s="192" t="s">
        <v>35</v>
      </c>
      <c r="E1834" s="192" t="s">
        <v>1557</v>
      </c>
      <c r="F1834" s="193">
        <v>1</v>
      </c>
      <c r="G1834" s="148">
        <v>16900</v>
      </c>
    </row>
    <row r="1835" spans="1:7" x14ac:dyDescent="0.25">
      <c r="A1835" s="147">
        <v>1830</v>
      </c>
      <c r="B1835" s="145">
        <v>45951</v>
      </c>
      <c r="C1835" s="191">
        <v>2025</v>
      </c>
      <c r="D1835" s="192" t="s">
        <v>35</v>
      </c>
      <c r="E1835" s="192" t="s">
        <v>1558</v>
      </c>
      <c r="F1835" s="193">
        <v>2</v>
      </c>
      <c r="G1835" s="148">
        <v>21000</v>
      </c>
    </row>
    <row r="1836" spans="1:7" x14ac:dyDescent="0.25">
      <c r="A1836" s="147">
        <v>1831</v>
      </c>
      <c r="B1836" s="145">
        <v>45951</v>
      </c>
      <c r="C1836" s="191">
        <v>2025</v>
      </c>
      <c r="D1836" s="192" t="s">
        <v>35</v>
      </c>
      <c r="E1836" s="192" t="s">
        <v>375</v>
      </c>
      <c r="F1836" s="193">
        <v>1</v>
      </c>
      <c r="G1836" s="148">
        <v>6900</v>
      </c>
    </row>
    <row r="1837" spans="1:7" x14ac:dyDescent="0.25">
      <c r="A1837" s="147">
        <v>1832</v>
      </c>
      <c r="B1837" s="145">
        <v>45951</v>
      </c>
      <c r="C1837" s="191">
        <v>2025</v>
      </c>
      <c r="D1837" s="192" t="s">
        <v>35</v>
      </c>
      <c r="E1837" s="192" t="s">
        <v>375</v>
      </c>
      <c r="F1837" s="193">
        <v>1</v>
      </c>
      <c r="G1837" s="148">
        <v>21900</v>
      </c>
    </row>
    <row r="1838" spans="1:7" x14ac:dyDescent="0.25">
      <c r="A1838" s="147">
        <v>1833</v>
      </c>
      <c r="B1838" s="145">
        <v>45951</v>
      </c>
      <c r="C1838" s="191">
        <v>2025</v>
      </c>
      <c r="D1838" s="192" t="s">
        <v>35</v>
      </c>
      <c r="E1838" s="192" t="s">
        <v>1559</v>
      </c>
      <c r="F1838" s="193">
        <v>1</v>
      </c>
      <c r="G1838" s="148">
        <v>150000</v>
      </c>
    </row>
    <row r="1839" spans="1:7" x14ac:dyDescent="0.25">
      <c r="A1839" s="147">
        <v>1834</v>
      </c>
      <c r="B1839" s="145">
        <v>45951</v>
      </c>
      <c r="C1839" s="191">
        <v>2025</v>
      </c>
      <c r="D1839" s="192" t="s">
        <v>35</v>
      </c>
      <c r="E1839" s="192" t="s">
        <v>1418</v>
      </c>
      <c r="F1839" s="193">
        <v>3</v>
      </c>
      <c r="G1839" s="148">
        <v>280002</v>
      </c>
    </row>
    <row r="1840" spans="1:7" x14ac:dyDescent="0.25">
      <c r="A1840" s="147">
        <v>1835</v>
      </c>
      <c r="B1840" s="145">
        <v>45952</v>
      </c>
      <c r="C1840" s="191">
        <v>2025</v>
      </c>
      <c r="D1840" s="192" t="s">
        <v>35</v>
      </c>
      <c r="E1840" s="192" t="s">
        <v>761</v>
      </c>
      <c r="F1840" s="193">
        <v>4</v>
      </c>
      <c r="G1840" s="148">
        <v>9000000</v>
      </c>
    </row>
    <row r="1841" spans="1:7" x14ac:dyDescent="0.25">
      <c r="A1841" s="147">
        <v>1836</v>
      </c>
      <c r="B1841" s="145">
        <v>45952</v>
      </c>
      <c r="C1841" s="191">
        <v>2025</v>
      </c>
      <c r="D1841" s="192" t="s">
        <v>35</v>
      </c>
      <c r="E1841" s="192" t="s">
        <v>739</v>
      </c>
      <c r="F1841" s="193">
        <v>75</v>
      </c>
      <c r="G1841" s="148">
        <v>630000</v>
      </c>
    </row>
    <row r="1842" spans="1:7" x14ac:dyDescent="0.25">
      <c r="A1842" s="147">
        <v>1837</v>
      </c>
      <c r="B1842" s="145">
        <v>45952</v>
      </c>
      <c r="C1842" s="191">
        <v>2025</v>
      </c>
      <c r="D1842" s="192" t="s">
        <v>35</v>
      </c>
      <c r="E1842" s="192" t="s">
        <v>1562</v>
      </c>
      <c r="F1842" s="193">
        <v>80</v>
      </c>
      <c r="G1842" s="148">
        <v>290000</v>
      </c>
    </row>
    <row r="1843" spans="1:7" x14ac:dyDescent="0.25">
      <c r="A1843" s="147">
        <v>1838</v>
      </c>
      <c r="B1843" s="145">
        <v>45952</v>
      </c>
      <c r="C1843" s="191">
        <v>2025</v>
      </c>
      <c r="D1843" s="192" t="s">
        <v>35</v>
      </c>
      <c r="E1843" s="192" t="s">
        <v>1470</v>
      </c>
      <c r="F1843" s="193">
        <v>1</v>
      </c>
      <c r="G1843" s="148">
        <v>100000</v>
      </c>
    </row>
    <row r="1844" spans="1:7" x14ac:dyDescent="0.25">
      <c r="A1844" s="147">
        <v>1839</v>
      </c>
      <c r="B1844" s="145">
        <v>45952</v>
      </c>
      <c r="C1844" s="191">
        <v>2025</v>
      </c>
      <c r="D1844" s="192" t="s">
        <v>35</v>
      </c>
      <c r="E1844" s="192" t="s">
        <v>1563</v>
      </c>
      <c r="F1844" s="193">
        <v>5</v>
      </c>
      <c r="G1844" s="148">
        <v>15000</v>
      </c>
    </row>
    <row r="1845" spans="1:7" x14ac:dyDescent="0.25">
      <c r="A1845" s="147">
        <v>1840</v>
      </c>
      <c r="B1845" s="145">
        <v>45952</v>
      </c>
      <c r="C1845" s="191">
        <v>2025</v>
      </c>
      <c r="D1845" s="192" t="s">
        <v>35</v>
      </c>
      <c r="E1845" s="192" t="s">
        <v>46</v>
      </c>
      <c r="F1845" s="193">
        <v>5</v>
      </c>
      <c r="G1845" s="148">
        <v>15000</v>
      </c>
    </row>
    <row r="1846" spans="1:7" x14ac:dyDescent="0.25">
      <c r="A1846" s="147">
        <v>1841</v>
      </c>
      <c r="B1846" s="145">
        <v>45953</v>
      </c>
      <c r="C1846" s="191">
        <v>2025</v>
      </c>
      <c r="D1846" s="192" t="s">
        <v>35</v>
      </c>
      <c r="E1846" s="192" t="s">
        <v>414</v>
      </c>
      <c r="F1846" s="193">
        <v>12</v>
      </c>
      <c r="G1846" s="148">
        <v>4080000</v>
      </c>
    </row>
    <row r="1847" spans="1:7" x14ac:dyDescent="0.25">
      <c r="A1847" s="147">
        <v>1842</v>
      </c>
      <c r="B1847" s="145">
        <v>45954</v>
      </c>
      <c r="C1847" s="191">
        <v>2025</v>
      </c>
      <c r="D1847" s="192" t="s">
        <v>35</v>
      </c>
      <c r="E1847" s="192" t="s">
        <v>1564</v>
      </c>
      <c r="F1847" s="193">
        <v>1</v>
      </c>
      <c r="G1847" s="148">
        <v>58456</v>
      </c>
    </row>
    <row r="1848" spans="1:7" x14ac:dyDescent="0.25">
      <c r="A1848" s="147">
        <v>1843</v>
      </c>
      <c r="B1848" s="145">
        <v>45954</v>
      </c>
      <c r="C1848" s="191">
        <v>2025</v>
      </c>
      <c r="D1848" s="192" t="s">
        <v>35</v>
      </c>
      <c r="E1848" s="192" t="s">
        <v>382</v>
      </c>
      <c r="F1848" s="193">
        <v>50</v>
      </c>
      <c r="G1848" s="148">
        <v>9400</v>
      </c>
    </row>
    <row r="1849" spans="1:7" x14ac:dyDescent="0.25">
      <c r="A1849" s="147">
        <v>1844</v>
      </c>
      <c r="B1849" s="167">
        <v>45954</v>
      </c>
      <c r="C1849" s="117">
        <v>2025</v>
      </c>
      <c r="D1849" s="119" t="s">
        <v>35</v>
      </c>
      <c r="E1849" s="119" t="s">
        <v>671</v>
      </c>
      <c r="F1849" s="120">
        <v>12</v>
      </c>
      <c r="G1849" s="169">
        <v>38208</v>
      </c>
    </row>
    <row r="1850" spans="1:7" x14ac:dyDescent="0.25">
      <c r="A1850" s="147">
        <v>1845</v>
      </c>
      <c r="B1850" s="167">
        <v>45954</v>
      </c>
      <c r="C1850" s="117">
        <v>2025</v>
      </c>
      <c r="D1850" s="119" t="s">
        <v>35</v>
      </c>
      <c r="E1850" s="119" t="s">
        <v>675</v>
      </c>
      <c r="F1850" s="120">
        <v>12</v>
      </c>
      <c r="G1850" s="169">
        <v>252000</v>
      </c>
    </row>
    <row r="1851" spans="1:7" x14ac:dyDescent="0.25">
      <c r="A1851" s="147">
        <v>1846</v>
      </c>
      <c r="B1851" s="167">
        <v>45954</v>
      </c>
      <c r="C1851" s="117">
        <v>2025</v>
      </c>
      <c r="D1851" s="119" t="s">
        <v>35</v>
      </c>
      <c r="E1851" s="119" t="s">
        <v>685</v>
      </c>
      <c r="F1851" s="120">
        <v>12</v>
      </c>
      <c r="G1851" s="169">
        <v>158712</v>
      </c>
    </row>
    <row r="1852" spans="1:7" x14ac:dyDescent="0.25">
      <c r="A1852" s="147">
        <v>1847</v>
      </c>
      <c r="B1852" s="145">
        <v>45955</v>
      </c>
      <c r="C1852" s="191">
        <v>2025</v>
      </c>
      <c r="D1852" s="192" t="s">
        <v>35</v>
      </c>
      <c r="E1852" s="192" t="s">
        <v>1566</v>
      </c>
      <c r="F1852" s="193">
        <v>100</v>
      </c>
      <c r="G1852" s="148">
        <v>26900</v>
      </c>
    </row>
    <row r="1853" spans="1:7" x14ac:dyDescent="0.25">
      <c r="A1853" s="147">
        <v>1848</v>
      </c>
      <c r="B1853" s="145">
        <v>45955</v>
      </c>
      <c r="C1853" s="191">
        <v>2025</v>
      </c>
      <c r="D1853" s="192" t="s">
        <v>35</v>
      </c>
      <c r="E1853" s="192" t="s">
        <v>1057</v>
      </c>
      <c r="F1853" s="193">
        <v>1</v>
      </c>
      <c r="G1853" s="148">
        <v>12900</v>
      </c>
    </row>
    <row r="1854" spans="1:7" x14ac:dyDescent="0.25">
      <c r="A1854" s="147">
        <v>1849</v>
      </c>
      <c r="B1854" s="145">
        <v>45957</v>
      </c>
      <c r="C1854" s="191">
        <v>2025</v>
      </c>
      <c r="D1854" s="192" t="s">
        <v>35</v>
      </c>
      <c r="E1854" s="192" t="s">
        <v>1567</v>
      </c>
      <c r="F1854" s="193">
        <v>1</v>
      </c>
      <c r="G1854" s="148">
        <v>676600</v>
      </c>
    </row>
    <row r="1855" spans="1:7" x14ac:dyDescent="0.25">
      <c r="A1855" s="147">
        <v>1850</v>
      </c>
      <c r="B1855" s="145">
        <v>45957</v>
      </c>
      <c r="C1855" s="191">
        <v>2025</v>
      </c>
      <c r="D1855" s="192" t="s">
        <v>35</v>
      </c>
      <c r="E1855" s="192" t="s">
        <v>407</v>
      </c>
      <c r="F1855" s="193">
        <v>3</v>
      </c>
      <c r="G1855" s="148">
        <v>330000</v>
      </c>
    </row>
    <row r="1856" spans="1:7" x14ac:dyDescent="0.25">
      <c r="A1856" s="147">
        <v>1851</v>
      </c>
      <c r="B1856" s="145">
        <v>45957</v>
      </c>
      <c r="C1856" s="191">
        <v>2025</v>
      </c>
      <c r="D1856" s="192" t="s">
        <v>35</v>
      </c>
      <c r="E1856" s="192" t="s">
        <v>118</v>
      </c>
      <c r="F1856" s="193">
        <v>3</v>
      </c>
      <c r="G1856" s="148">
        <v>210000</v>
      </c>
    </row>
    <row r="1857" spans="1:7" x14ac:dyDescent="0.25">
      <c r="A1857" s="147">
        <v>1852</v>
      </c>
      <c r="B1857" s="145">
        <v>45957</v>
      </c>
      <c r="C1857" s="191">
        <v>2025</v>
      </c>
      <c r="D1857" s="192" t="s">
        <v>35</v>
      </c>
      <c r="E1857" s="192" t="s">
        <v>403</v>
      </c>
      <c r="F1857" s="193">
        <v>3</v>
      </c>
      <c r="G1857" s="148">
        <v>367500</v>
      </c>
    </row>
    <row r="1858" spans="1:7" x14ac:dyDescent="0.25">
      <c r="A1858" s="147">
        <v>1853</v>
      </c>
      <c r="B1858" s="145">
        <v>45957</v>
      </c>
      <c r="C1858" s="191">
        <v>2025</v>
      </c>
      <c r="D1858" s="192" t="s">
        <v>35</v>
      </c>
      <c r="E1858" s="192" t="s">
        <v>120</v>
      </c>
      <c r="F1858" s="193">
        <v>3</v>
      </c>
      <c r="G1858" s="148">
        <v>285000</v>
      </c>
    </row>
    <row r="1859" spans="1:7" x14ac:dyDescent="0.25">
      <c r="A1859" s="147">
        <v>1854</v>
      </c>
      <c r="B1859" s="145">
        <v>45957</v>
      </c>
      <c r="C1859" s="191">
        <v>2025</v>
      </c>
      <c r="D1859" s="192" t="s">
        <v>35</v>
      </c>
      <c r="E1859" s="192" t="s">
        <v>405</v>
      </c>
      <c r="F1859" s="193">
        <v>3</v>
      </c>
      <c r="G1859" s="148">
        <v>540000</v>
      </c>
    </row>
    <row r="1860" spans="1:7" x14ac:dyDescent="0.25">
      <c r="A1860" s="147">
        <v>1855</v>
      </c>
      <c r="B1860" s="145">
        <v>45957</v>
      </c>
      <c r="C1860" s="191">
        <v>2025</v>
      </c>
      <c r="D1860" s="192" t="s">
        <v>35</v>
      </c>
      <c r="E1860" s="192" t="s">
        <v>122</v>
      </c>
      <c r="F1860" s="193">
        <v>3</v>
      </c>
      <c r="G1860" s="148">
        <v>555000</v>
      </c>
    </row>
    <row r="1861" spans="1:7" x14ac:dyDescent="0.25">
      <c r="A1861" s="147">
        <v>1856</v>
      </c>
      <c r="B1861" s="145">
        <v>45957</v>
      </c>
      <c r="C1861" s="191">
        <v>2025</v>
      </c>
      <c r="D1861" s="192" t="s">
        <v>35</v>
      </c>
      <c r="E1861" s="192" t="s">
        <v>1568</v>
      </c>
      <c r="F1861" s="193">
        <v>1</v>
      </c>
      <c r="G1861" s="148">
        <v>119899</v>
      </c>
    </row>
    <row r="1862" spans="1:7" x14ac:dyDescent="0.25">
      <c r="A1862" s="147">
        <v>1857</v>
      </c>
      <c r="B1862" s="145">
        <v>45957</v>
      </c>
      <c r="C1862" s="191">
        <v>2025</v>
      </c>
      <c r="D1862" s="192" t="s">
        <v>35</v>
      </c>
      <c r="E1862" s="192" t="s">
        <v>955</v>
      </c>
      <c r="F1862" s="193">
        <v>6</v>
      </c>
      <c r="G1862" s="148">
        <v>1230000</v>
      </c>
    </row>
    <row r="1863" spans="1:7" x14ac:dyDescent="0.25">
      <c r="A1863" s="147">
        <v>1858</v>
      </c>
      <c r="B1863" s="145">
        <v>45957</v>
      </c>
      <c r="C1863" s="191">
        <v>2025</v>
      </c>
      <c r="D1863" s="192" t="s">
        <v>35</v>
      </c>
      <c r="E1863" s="192" t="s">
        <v>955</v>
      </c>
      <c r="F1863" s="193">
        <v>6</v>
      </c>
      <c r="G1863" s="148">
        <v>1068000</v>
      </c>
    </row>
    <row r="1864" spans="1:7" x14ac:dyDescent="0.25">
      <c r="A1864" s="147">
        <v>1859</v>
      </c>
      <c r="B1864" s="145">
        <v>45957</v>
      </c>
      <c r="C1864" s="191">
        <v>2025</v>
      </c>
      <c r="D1864" s="192" t="s">
        <v>35</v>
      </c>
      <c r="E1864" s="192" t="s">
        <v>842</v>
      </c>
      <c r="F1864" s="193">
        <v>6</v>
      </c>
      <c r="G1864" s="148">
        <v>1169004</v>
      </c>
    </row>
    <row r="1865" spans="1:7" x14ac:dyDescent="0.25">
      <c r="A1865" s="147">
        <v>1860</v>
      </c>
      <c r="B1865" s="145">
        <v>45957</v>
      </c>
      <c r="C1865" s="191">
        <v>2025</v>
      </c>
      <c r="D1865" s="192" t="s">
        <v>35</v>
      </c>
      <c r="E1865" s="192" t="s">
        <v>842</v>
      </c>
      <c r="F1865" s="193">
        <v>6</v>
      </c>
      <c r="G1865" s="148">
        <v>1127004</v>
      </c>
    </row>
    <row r="1866" spans="1:7" x14ac:dyDescent="0.25">
      <c r="A1866" s="147">
        <v>1861</v>
      </c>
      <c r="B1866" s="145">
        <v>45957</v>
      </c>
      <c r="C1866" s="191">
        <v>2025</v>
      </c>
      <c r="D1866" s="192" t="s">
        <v>35</v>
      </c>
      <c r="E1866" s="192" t="s">
        <v>687</v>
      </c>
      <c r="F1866" s="193">
        <v>12</v>
      </c>
      <c r="G1866" s="148">
        <v>198000</v>
      </c>
    </row>
    <row r="1867" spans="1:7" x14ac:dyDescent="0.25">
      <c r="A1867" s="147">
        <v>1862</v>
      </c>
      <c r="B1867" s="145">
        <v>45959</v>
      </c>
      <c r="C1867" s="191">
        <v>2025</v>
      </c>
      <c r="D1867" s="192" t="s">
        <v>35</v>
      </c>
      <c r="E1867" s="192" t="s">
        <v>295</v>
      </c>
      <c r="F1867" s="193">
        <v>3</v>
      </c>
      <c r="G1867" s="148">
        <v>273900</v>
      </c>
    </row>
    <row r="1868" spans="1:7" x14ac:dyDescent="0.25">
      <c r="A1868" s="147">
        <v>1863</v>
      </c>
      <c r="B1868" s="145">
        <v>45959</v>
      </c>
      <c r="C1868" s="191">
        <v>2025</v>
      </c>
      <c r="D1868" s="192" t="s">
        <v>35</v>
      </c>
      <c r="E1868" s="192" t="s">
        <v>130</v>
      </c>
      <c r="F1868" s="193">
        <v>1</v>
      </c>
      <c r="G1868" s="148">
        <v>195000</v>
      </c>
    </row>
    <row r="1869" spans="1:7" x14ac:dyDescent="0.25">
      <c r="A1869" s="147">
        <v>1864</v>
      </c>
      <c r="B1869" s="145">
        <v>45960</v>
      </c>
      <c r="C1869" s="191">
        <v>2025</v>
      </c>
      <c r="D1869" s="192" t="s">
        <v>35</v>
      </c>
      <c r="E1869" s="192" t="s">
        <v>240</v>
      </c>
      <c r="F1869" s="193">
        <v>1</v>
      </c>
      <c r="G1869" s="148">
        <v>16850</v>
      </c>
    </row>
    <row r="1870" spans="1:7" x14ac:dyDescent="0.25">
      <c r="A1870" s="147">
        <v>1865</v>
      </c>
      <c r="B1870" s="167">
        <v>45962</v>
      </c>
      <c r="C1870" s="117">
        <v>2025</v>
      </c>
      <c r="D1870" s="119" t="s">
        <v>35</v>
      </c>
      <c r="E1870" s="119" t="s">
        <v>612</v>
      </c>
      <c r="F1870" s="120">
        <v>2</v>
      </c>
      <c r="G1870" s="169">
        <v>12000</v>
      </c>
    </row>
    <row r="1871" spans="1:7" x14ac:dyDescent="0.25">
      <c r="A1871" s="147">
        <v>1866</v>
      </c>
      <c r="B1871" s="167">
        <v>45962</v>
      </c>
      <c r="C1871" s="117">
        <v>2025</v>
      </c>
      <c r="D1871" s="119" t="s">
        <v>35</v>
      </c>
      <c r="E1871" s="119" t="s">
        <v>1572</v>
      </c>
      <c r="F1871" s="120">
        <v>1</v>
      </c>
      <c r="G1871" s="169">
        <v>31500</v>
      </c>
    </row>
    <row r="1872" spans="1:7" x14ac:dyDescent="0.25">
      <c r="A1872" s="147">
        <v>1867</v>
      </c>
      <c r="B1872" s="145">
        <v>45964</v>
      </c>
      <c r="C1872" s="191">
        <v>2025</v>
      </c>
      <c r="D1872" s="192" t="s">
        <v>35</v>
      </c>
      <c r="E1872" s="192" t="s">
        <v>1291</v>
      </c>
      <c r="F1872" s="193">
        <v>100</v>
      </c>
      <c r="G1872" s="148">
        <v>920000</v>
      </c>
    </row>
    <row r="1873" spans="1:7" x14ac:dyDescent="0.25">
      <c r="A1873" s="147">
        <v>1868</v>
      </c>
      <c r="B1873" s="145">
        <v>45966</v>
      </c>
      <c r="C1873" s="191">
        <v>2025</v>
      </c>
      <c r="D1873" s="192" t="s">
        <v>35</v>
      </c>
      <c r="E1873" s="192" t="s">
        <v>643</v>
      </c>
      <c r="F1873" s="193">
        <v>3</v>
      </c>
      <c r="G1873" s="148">
        <v>10500</v>
      </c>
    </row>
    <row r="1874" spans="1:7" x14ac:dyDescent="0.25">
      <c r="A1874" s="147">
        <v>1869</v>
      </c>
      <c r="B1874" s="145">
        <v>45966</v>
      </c>
      <c r="C1874" s="191">
        <v>2025</v>
      </c>
      <c r="D1874" s="192" t="s">
        <v>35</v>
      </c>
      <c r="E1874" s="192" t="s">
        <v>1392</v>
      </c>
      <c r="F1874" s="193">
        <v>4</v>
      </c>
      <c r="G1874" s="148">
        <v>160000</v>
      </c>
    </row>
    <row r="1875" spans="1:7" x14ac:dyDescent="0.25">
      <c r="A1875" s="147">
        <v>1870</v>
      </c>
      <c r="B1875" s="145">
        <v>45967</v>
      </c>
      <c r="C1875" s="191">
        <v>2025</v>
      </c>
      <c r="D1875" s="192" t="s">
        <v>35</v>
      </c>
      <c r="E1875" s="192" t="s">
        <v>1537</v>
      </c>
      <c r="F1875" s="193">
        <v>1</v>
      </c>
      <c r="G1875" s="148">
        <v>180000</v>
      </c>
    </row>
    <row r="1876" spans="1:7" x14ac:dyDescent="0.25">
      <c r="A1876" s="147">
        <v>1871</v>
      </c>
      <c r="B1876" s="145">
        <v>45967</v>
      </c>
      <c r="C1876" s="191">
        <v>2025</v>
      </c>
      <c r="D1876" s="192" t="s">
        <v>35</v>
      </c>
      <c r="E1876" s="192" t="s">
        <v>1470</v>
      </c>
      <c r="F1876" s="193">
        <v>1</v>
      </c>
      <c r="G1876" s="148">
        <v>100000</v>
      </c>
    </row>
    <row r="1877" spans="1:7" x14ac:dyDescent="0.25">
      <c r="A1877" s="147">
        <v>1872</v>
      </c>
      <c r="B1877" s="145">
        <v>45967</v>
      </c>
      <c r="C1877" s="191">
        <v>2025</v>
      </c>
      <c r="D1877" s="192" t="s">
        <v>35</v>
      </c>
      <c r="E1877" s="192" t="s">
        <v>1575</v>
      </c>
      <c r="F1877" s="193">
        <v>1</v>
      </c>
      <c r="G1877" s="148">
        <v>5380</v>
      </c>
    </row>
    <row r="1878" spans="1:7" x14ac:dyDescent="0.25">
      <c r="A1878" s="147">
        <v>1873</v>
      </c>
      <c r="B1878" s="145">
        <v>45968</v>
      </c>
      <c r="C1878" s="191">
        <v>2025</v>
      </c>
      <c r="D1878" s="192" t="s">
        <v>35</v>
      </c>
      <c r="E1878" s="192" t="s">
        <v>1576</v>
      </c>
      <c r="F1878" s="193">
        <v>1</v>
      </c>
      <c r="G1878" s="148">
        <v>29400</v>
      </c>
    </row>
    <row r="1879" spans="1:7" x14ac:dyDescent="0.25">
      <c r="A1879" s="147">
        <v>1874</v>
      </c>
      <c r="B1879" s="145">
        <v>45968</v>
      </c>
      <c r="C1879" s="191">
        <v>2025</v>
      </c>
      <c r="D1879" s="192" t="s">
        <v>35</v>
      </c>
      <c r="E1879" s="192" t="s">
        <v>137</v>
      </c>
      <c r="F1879" s="193">
        <v>3</v>
      </c>
      <c r="G1879" s="148">
        <v>385902</v>
      </c>
    </row>
    <row r="1880" spans="1:7" x14ac:dyDescent="0.25">
      <c r="A1880" s="147">
        <v>1875</v>
      </c>
      <c r="B1880" s="145">
        <v>45968</v>
      </c>
      <c r="C1880" s="191">
        <v>2025</v>
      </c>
      <c r="D1880" s="192" t="s">
        <v>35</v>
      </c>
      <c r="E1880" s="192" t="s">
        <v>139</v>
      </c>
      <c r="F1880" s="193">
        <v>1</v>
      </c>
      <c r="G1880" s="148">
        <v>124400</v>
      </c>
    </row>
    <row r="1881" spans="1:7" x14ac:dyDescent="0.25">
      <c r="A1881" s="147">
        <v>1876</v>
      </c>
      <c r="B1881" s="145">
        <v>45969</v>
      </c>
      <c r="C1881" s="191">
        <v>2025</v>
      </c>
      <c r="D1881" s="192" t="s">
        <v>35</v>
      </c>
      <c r="E1881" s="192" t="s">
        <v>211</v>
      </c>
      <c r="F1881" s="193">
        <v>10</v>
      </c>
      <c r="G1881" s="148">
        <v>210000</v>
      </c>
    </row>
    <row r="1882" spans="1:7" x14ac:dyDescent="0.25">
      <c r="A1882" s="147">
        <v>1877</v>
      </c>
      <c r="B1882" s="145">
        <v>45969</v>
      </c>
      <c r="C1882" s="191">
        <v>2025</v>
      </c>
      <c r="D1882" s="192" t="s">
        <v>35</v>
      </c>
      <c r="E1882" s="192" t="s">
        <v>211</v>
      </c>
      <c r="F1882" s="193">
        <v>10</v>
      </c>
      <c r="G1882" s="148">
        <v>190000</v>
      </c>
    </row>
    <row r="1883" spans="1:7" x14ac:dyDescent="0.25">
      <c r="A1883" s="147">
        <v>1878</v>
      </c>
      <c r="B1883" s="145">
        <v>45969</v>
      </c>
      <c r="C1883" s="191">
        <v>2025</v>
      </c>
      <c r="D1883" s="192" t="s">
        <v>35</v>
      </c>
      <c r="E1883" s="192" t="s">
        <v>211</v>
      </c>
      <c r="F1883" s="193">
        <v>2</v>
      </c>
      <c r="G1883" s="148">
        <v>39000</v>
      </c>
    </row>
    <row r="1884" spans="1:7" x14ac:dyDescent="0.25">
      <c r="A1884" s="147">
        <v>1879</v>
      </c>
      <c r="B1884" s="145">
        <v>45971</v>
      </c>
      <c r="C1884" s="191">
        <v>2025</v>
      </c>
      <c r="D1884" s="192" t="s">
        <v>35</v>
      </c>
      <c r="E1884" s="192" t="s">
        <v>1461</v>
      </c>
      <c r="F1884" s="193">
        <v>4</v>
      </c>
      <c r="G1884" s="148">
        <v>14000</v>
      </c>
    </row>
    <row r="1885" spans="1:7" x14ac:dyDescent="0.25">
      <c r="A1885" s="147">
        <v>1880</v>
      </c>
      <c r="B1885" s="145">
        <v>45971</v>
      </c>
      <c r="C1885" s="191">
        <v>2025</v>
      </c>
      <c r="D1885" s="192" t="s">
        <v>35</v>
      </c>
      <c r="E1885" s="192" t="s">
        <v>1470</v>
      </c>
      <c r="F1885" s="193">
        <v>1</v>
      </c>
      <c r="G1885" s="148">
        <v>100000</v>
      </c>
    </row>
    <row r="1886" spans="1:7" x14ac:dyDescent="0.25">
      <c r="A1886" s="147">
        <v>1881</v>
      </c>
      <c r="B1886" s="145">
        <v>45971</v>
      </c>
      <c r="C1886" s="191">
        <v>2025</v>
      </c>
      <c r="D1886" s="192" t="s">
        <v>35</v>
      </c>
      <c r="E1886" s="192" t="s">
        <v>1462</v>
      </c>
      <c r="F1886" s="193">
        <v>1</v>
      </c>
      <c r="G1886" s="148">
        <v>52500</v>
      </c>
    </row>
    <row r="1887" spans="1:7" x14ac:dyDescent="0.25">
      <c r="A1887" s="147">
        <v>1882</v>
      </c>
      <c r="B1887" s="145">
        <v>45973</v>
      </c>
      <c r="C1887" s="191">
        <v>2025</v>
      </c>
      <c r="D1887" s="192" t="s">
        <v>35</v>
      </c>
      <c r="E1887" s="192" t="s">
        <v>1244</v>
      </c>
      <c r="F1887" s="193">
        <v>1</v>
      </c>
      <c r="G1887" s="148">
        <v>17482</v>
      </c>
    </row>
    <row r="1888" spans="1:7" x14ac:dyDescent="0.25">
      <c r="A1888" s="147">
        <v>1883</v>
      </c>
      <c r="B1888" s="145">
        <v>45973</v>
      </c>
      <c r="C1888" s="191">
        <v>2025</v>
      </c>
      <c r="D1888" s="192" t="s">
        <v>35</v>
      </c>
      <c r="E1888" s="192" t="s">
        <v>1539</v>
      </c>
      <c r="F1888" s="193">
        <v>1</v>
      </c>
      <c r="G1888" s="148">
        <v>73899</v>
      </c>
    </row>
    <row r="1889" spans="1:7" x14ac:dyDescent="0.25">
      <c r="A1889" s="147">
        <v>1884</v>
      </c>
      <c r="B1889" s="167">
        <v>45975</v>
      </c>
      <c r="C1889" s="117">
        <v>2025</v>
      </c>
      <c r="D1889" s="119" t="s">
        <v>35</v>
      </c>
      <c r="E1889" s="119" t="s">
        <v>473</v>
      </c>
      <c r="F1889" s="120">
        <v>12</v>
      </c>
      <c r="G1889" s="169">
        <v>222000</v>
      </c>
    </row>
    <row r="1890" spans="1:7" x14ac:dyDescent="0.25">
      <c r="A1890" s="147">
        <v>1885</v>
      </c>
      <c r="B1890" s="145">
        <v>45976</v>
      </c>
      <c r="C1890" s="191">
        <v>2025</v>
      </c>
      <c r="D1890" s="192" t="s">
        <v>35</v>
      </c>
      <c r="E1890" s="192" t="s">
        <v>761</v>
      </c>
      <c r="F1890" s="193">
        <v>2</v>
      </c>
      <c r="G1890" s="148">
        <v>3100000</v>
      </c>
    </row>
    <row r="1891" spans="1:7" x14ac:dyDescent="0.25">
      <c r="A1891" s="147">
        <v>1886</v>
      </c>
      <c r="B1891" s="145">
        <v>45976</v>
      </c>
      <c r="C1891" s="191">
        <v>2025</v>
      </c>
      <c r="D1891" s="192" t="s">
        <v>35</v>
      </c>
      <c r="E1891" s="192" t="s">
        <v>1026</v>
      </c>
      <c r="F1891" s="193">
        <v>1</v>
      </c>
      <c r="G1891" s="148">
        <v>31800</v>
      </c>
    </row>
    <row r="1892" spans="1:7" x14ac:dyDescent="0.25">
      <c r="A1892" s="147">
        <v>1887</v>
      </c>
      <c r="B1892" s="145">
        <v>45979</v>
      </c>
      <c r="C1892" s="191">
        <v>2025</v>
      </c>
      <c r="D1892" s="192" t="s">
        <v>35</v>
      </c>
      <c r="E1892" s="192" t="s">
        <v>1579</v>
      </c>
      <c r="F1892" s="193">
        <v>1</v>
      </c>
      <c r="G1892" s="148">
        <v>171900</v>
      </c>
    </row>
    <row r="1893" spans="1:7" x14ac:dyDescent="0.25">
      <c r="A1893" s="147">
        <v>1888</v>
      </c>
      <c r="B1893" s="145">
        <v>45979</v>
      </c>
      <c r="C1893" s="191">
        <v>2025</v>
      </c>
      <c r="D1893" s="192" t="s">
        <v>35</v>
      </c>
      <c r="E1893" s="192" t="s">
        <v>49</v>
      </c>
      <c r="F1893" s="193">
        <v>1</v>
      </c>
      <c r="G1893" s="148">
        <v>15000</v>
      </c>
    </row>
    <row r="1894" spans="1:7" x14ac:dyDescent="0.25">
      <c r="A1894" s="147">
        <v>1889</v>
      </c>
      <c r="B1894" s="145">
        <v>45979</v>
      </c>
      <c r="C1894" s="191">
        <v>2025</v>
      </c>
      <c r="D1894" s="192" t="s">
        <v>35</v>
      </c>
      <c r="E1894" s="192" t="s">
        <v>46</v>
      </c>
      <c r="F1894" s="193">
        <v>1</v>
      </c>
      <c r="G1894" s="148">
        <v>3000</v>
      </c>
    </row>
    <row r="1895" spans="1:7" x14ac:dyDescent="0.25">
      <c r="A1895" s="147">
        <v>1890</v>
      </c>
      <c r="B1895" s="145">
        <v>45979</v>
      </c>
      <c r="C1895" s="191">
        <v>2025</v>
      </c>
      <c r="D1895" s="192" t="s">
        <v>35</v>
      </c>
      <c r="E1895" s="192" t="s">
        <v>350</v>
      </c>
      <c r="F1895" s="193">
        <v>3</v>
      </c>
      <c r="G1895" s="148">
        <v>73032</v>
      </c>
    </row>
    <row r="1896" spans="1:7" x14ac:dyDescent="0.25">
      <c r="A1896" s="147">
        <v>1891</v>
      </c>
      <c r="B1896" s="145">
        <v>45979</v>
      </c>
      <c r="C1896" s="191">
        <v>2025</v>
      </c>
      <c r="D1896" s="192" t="s">
        <v>35</v>
      </c>
      <c r="E1896" s="192" t="s">
        <v>1459</v>
      </c>
      <c r="F1896" s="193">
        <v>1</v>
      </c>
      <c r="G1896" s="148">
        <v>55000</v>
      </c>
    </row>
    <row r="1897" spans="1:7" x14ac:dyDescent="0.25">
      <c r="A1897" s="147">
        <v>1892</v>
      </c>
      <c r="B1897" s="145">
        <v>45980</v>
      </c>
      <c r="C1897" s="191">
        <v>2025</v>
      </c>
      <c r="D1897" s="192" t="s">
        <v>35</v>
      </c>
      <c r="E1897" s="192" t="s">
        <v>1579</v>
      </c>
      <c r="F1897" s="193">
        <v>1</v>
      </c>
      <c r="G1897" s="148">
        <v>171900</v>
      </c>
    </row>
    <row r="1898" spans="1:7" x14ac:dyDescent="0.25">
      <c r="A1898" s="147">
        <v>1893</v>
      </c>
      <c r="B1898" s="145">
        <v>45980</v>
      </c>
      <c r="C1898" s="191">
        <v>2025</v>
      </c>
      <c r="D1898" s="192" t="s">
        <v>35</v>
      </c>
      <c r="E1898" s="192" t="s">
        <v>1312</v>
      </c>
      <c r="F1898" s="193">
        <v>10</v>
      </c>
      <c r="G1898" s="148">
        <v>142400</v>
      </c>
    </row>
    <row r="1899" spans="1:7" x14ac:dyDescent="0.25">
      <c r="A1899" s="147">
        <v>1894</v>
      </c>
      <c r="B1899" s="145">
        <v>45981</v>
      </c>
      <c r="C1899" s="191">
        <v>2025</v>
      </c>
      <c r="D1899" s="192" t="s">
        <v>35</v>
      </c>
      <c r="E1899" s="192" t="s">
        <v>398</v>
      </c>
      <c r="F1899" s="193">
        <v>3</v>
      </c>
      <c r="G1899" s="148">
        <v>18000</v>
      </c>
    </row>
    <row r="1900" spans="1:7" x14ac:dyDescent="0.25">
      <c r="A1900" s="147">
        <v>1895</v>
      </c>
      <c r="B1900" s="145">
        <v>45981</v>
      </c>
      <c r="C1900" s="191">
        <v>2025</v>
      </c>
      <c r="D1900" s="192" t="s">
        <v>35</v>
      </c>
      <c r="E1900" s="192" t="s">
        <v>180</v>
      </c>
      <c r="F1900" s="193">
        <v>20</v>
      </c>
      <c r="G1900" s="148">
        <v>50000</v>
      </c>
    </row>
    <row r="1901" spans="1:7" x14ac:dyDescent="0.25">
      <c r="A1901" s="147">
        <v>1896</v>
      </c>
      <c r="B1901" s="167">
        <v>45982</v>
      </c>
      <c r="C1901" s="117">
        <v>2025</v>
      </c>
      <c r="D1901" s="119" t="s">
        <v>35</v>
      </c>
      <c r="E1901" s="119" t="s">
        <v>393</v>
      </c>
      <c r="F1901" s="120">
        <v>12</v>
      </c>
      <c r="G1901" s="169">
        <v>149508</v>
      </c>
    </row>
    <row r="1902" spans="1:7" x14ac:dyDescent="0.25">
      <c r="A1902" s="147">
        <v>1897</v>
      </c>
      <c r="B1902" s="145">
        <v>45983</v>
      </c>
      <c r="C1902" s="191">
        <v>2025</v>
      </c>
      <c r="D1902" s="192" t="s">
        <v>35</v>
      </c>
      <c r="E1902" s="192" t="s">
        <v>476</v>
      </c>
      <c r="F1902" s="193">
        <v>1</v>
      </c>
      <c r="G1902" s="148">
        <v>9898</v>
      </c>
    </row>
    <row r="1903" spans="1:7" x14ac:dyDescent="0.25">
      <c r="A1903" s="147">
        <v>1898</v>
      </c>
      <c r="B1903" s="145">
        <v>45983</v>
      </c>
      <c r="C1903" s="191">
        <v>2025</v>
      </c>
      <c r="D1903" s="192" t="s">
        <v>35</v>
      </c>
      <c r="E1903" s="192" t="s">
        <v>1486</v>
      </c>
      <c r="F1903" s="193">
        <v>2</v>
      </c>
      <c r="G1903" s="148">
        <v>150000</v>
      </c>
    </row>
    <row r="1904" spans="1:7" x14ac:dyDescent="0.25">
      <c r="A1904" s="147">
        <v>1899</v>
      </c>
      <c r="B1904" s="145">
        <v>45985</v>
      </c>
      <c r="C1904" s="191">
        <v>2025</v>
      </c>
      <c r="D1904" s="192" t="s">
        <v>35</v>
      </c>
      <c r="E1904" s="192" t="s">
        <v>1581</v>
      </c>
      <c r="F1904" s="193">
        <v>2</v>
      </c>
      <c r="G1904" s="148">
        <v>40000</v>
      </c>
    </row>
    <row r="1905" spans="1:7" x14ac:dyDescent="0.25">
      <c r="A1905" s="147">
        <v>1900</v>
      </c>
      <c r="B1905" s="145">
        <v>45985</v>
      </c>
      <c r="C1905" s="191">
        <v>2025</v>
      </c>
      <c r="D1905" s="192" t="s">
        <v>35</v>
      </c>
      <c r="E1905" s="192" t="s">
        <v>1582</v>
      </c>
      <c r="F1905" s="193">
        <v>1</v>
      </c>
      <c r="G1905" s="148">
        <v>47900</v>
      </c>
    </row>
    <row r="1906" spans="1:7" x14ac:dyDescent="0.25">
      <c r="A1906" s="147">
        <v>1901</v>
      </c>
      <c r="B1906" s="145">
        <v>45986</v>
      </c>
      <c r="C1906" s="191">
        <v>2025</v>
      </c>
      <c r="D1906" s="192" t="s">
        <v>35</v>
      </c>
      <c r="E1906" s="192" t="s">
        <v>739</v>
      </c>
      <c r="F1906" s="193">
        <v>75</v>
      </c>
      <c r="G1906" s="148">
        <v>600000</v>
      </c>
    </row>
    <row r="1907" spans="1:7" x14ac:dyDescent="0.25">
      <c r="A1907" s="147">
        <v>1902</v>
      </c>
      <c r="B1907" s="145">
        <v>45986</v>
      </c>
      <c r="C1907" s="191">
        <v>2025</v>
      </c>
      <c r="D1907" s="192" t="s">
        <v>35</v>
      </c>
      <c r="E1907" s="192" t="s">
        <v>1583</v>
      </c>
      <c r="F1907" s="193">
        <v>1</v>
      </c>
      <c r="G1907" s="148">
        <v>11467</v>
      </c>
    </row>
    <row r="1908" spans="1:7" x14ac:dyDescent="0.25">
      <c r="A1908" s="147">
        <v>1903</v>
      </c>
      <c r="B1908" s="145">
        <v>45986</v>
      </c>
      <c r="C1908" s="191">
        <v>2025</v>
      </c>
      <c r="D1908" s="192" t="s">
        <v>35</v>
      </c>
      <c r="E1908" s="192" t="s">
        <v>49</v>
      </c>
      <c r="F1908" s="193">
        <v>1</v>
      </c>
      <c r="G1908" s="148">
        <v>15000</v>
      </c>
    </row>
    <row r="1909" spans="1:7" x14ac:dyDescent="0.25">
      <c r="A1909" s="147">
        <v>1904</v>
      </c>
      <c r="B1909" s="145">
        <v>45986</v>
      </c>
      <c r="C1909" s="191">
        <v>2025</v>
      </c>
      <c r="D1909" s="192" t="s">
        <v>35</v>
      </c>
      <c r="E1909" s="192" t="s">
        <v>1563</v>
      </c>
      <c r="F1909" s="193">
        <v>1</v>
      </c>
      <c r="G1909" s="148">
        <v>3000</v>
      </c>
    </row>
    <row r="1910" spans="1:7" x14ac:dyDescent="0.25">
      <c r="A1910" s="147">
        <v>1905</v>
      </c>
      <c r="B1910" s="145">
        <v>45986</v>
      </c>
      <c r="C1910" s="191">
        <v>2025</v>
      </c>
      <c r="D1910" s="192" t="s">
        <v>35</v>
      </c>
      <c r="E1910" s="192" t="s">
        <v>1584</v>
      </c>
      <c r="F1910" s="193">
        <v>1</v>
      </c>
      <c r="G1910" s="148">
        <v>6650</v>
      </c>
    </row>
    <row r="1911" spans="1:7" x14ac:dyDescent="0.25">
      <c r="A1911" s="147">
        <v>1906</v>
      </c>
      <c r="B1911" s="145">
        <v>45988</v>
      </c>
      <c r="C1911" s="191">
        <v>2025</v>
      </c>
      <c r="D1911" s="192" t="s">
        <v>35</v>
      </c>
      <c r="E1911" s="192" t="s">
        <v>211</v>
      </c>
      <c r="F1911" s="193">
        <v>10</v>
      </c>
      <c r="G1911" s="148">
        <v>210000</v>
      </c>
    </row>
    <row r="1912" spans="1:7" x14ac:dyDescent="0.25">
      <c r="A1912" s="147">
        <v>1907</v>
      </c>
      <c r="B1912" s="145">
        <v>45988</v>
      </c>
      <c r="C1912" s="191">
        <v>2025</v>
      </c>
      <c r="D1912" s="192" t="s">
        <v>35</v>
      </c>
      <c r="E1912" s="192" t="s">
        <v>211</v>
      </c>
      <c r="F1912" s="193">
        <v>5</v>
      </c>
      <c r="G1912" s="148">
        <v>95000</v>
      </c>
    </row>
    <row r="1913" spans="1:7" x14ac:dyDescent="0.25">
      <c r="A1913" s="147">
        <v>1908</v>
      </c>
      <c r="B1913" s="145">
        <v>45988</v>
      </c>
      <c r="C1913" s="191">
        <v>2025</v>
      </c>
      <c r="D1913" s="192" t="s">
        <v>35</v>
      </c>
      <c r="E1913" s="192" t="s">
        <v>211</v>
      </c>
      <c r="F1913" s="193">
        <v>3</v>
      </c>
      <c r="G1913" s="148">
        <v>58500</v>
      </c>
    </row>
    <row r="1914" spans="1:7" x14ac:dyDescent="0.25">
      <c r="A1914" s="147">
        <v>1909</v>
      </c>
      <c r="B1914" s="145">
        <v>45988</v>
      </c>
      <c r="C1914" s="191">
        <v>2025</v>
      </c>
      <c r="D1914" s="192" t="s">
        <v>35</v>
      </c>
      <c r="E1914" s="192" t="s">
        <v>403</v>
      </c>
      <c r="F1914" s="193">
        <v>3</v>
      </c>
      <c r="G1914" s="148">
        <v>367500</v>
      </c>
    </row>
    <row r="1915" spans="1:7" x14ac:dyDescent="0.25">
      <c r="A1915" s="147">
        <v>1910</v>
      </c>
      <c r="B1915" s="145">
        <v>45988</v>
      </c>
      <c r="C1915" s="191">
        <v>2025</v>
      </c>
      <c r="D1915" s="192" t="s">
        <v>35</v>
      </c>
      <c r="E1915" s="192" t="s">
        <v>405</v>
      </c>
      <c r="F1915" s="193">
        <v>3</v>
      </c>
      <c r="G1915" s="148">
        <v>540000</v>
      </c>
    </row>
    <row r="1916" spans="1:7" x14ac:dyDescent="0.25">
      <c r="A1916" s="147">
        <v>1911</v>
      </c>
      <c r="B1916" s="145">
        <v>45988</v>
      </c>
      <c r="C1916" s="191">
        <v>2025</v>
      </c>
      <c r="D1916" s="192" t="s">
        <v>35</v>
      </c>
      <c r="E1916" s="192" t="s">
        <v>1579</v>
      </c>
      <c r="F1916" s="193">
        <v>1</v>
      </c>
      <c r="G1916" s="148">
        <v>611900</v>
      </c>
    </row>
    <row r="1917" spans="1:7" x14ac:dyDescent="0.25">
      <c r="A1917" s="147">
        <v>1912</v>
      </c>
      <c r="B1917" s="145">
        <v>45989</v>
      </c>
      <c r="C1917" s="191">
        <v>2025</v>
      </c>
      <c r="D1917" s="192" t="s">
        <v>35</v>
      </c>
      <c r="E1917" s="192" t="s">
        <v>668</v>
      </c>
      <c r="F1917" s="193">
        <v>2</v>
      </c>
      <c r="G1917" s="148">
        <v>86500</v>
      </c>
    </row>
    <row r="1918" spans="1:7" x14ac:dyDescent="0.25">
      <c r="A1918" s="147">
        <v>1913</v>
      </c>
      <c r="B1918" s="145">
        <v>45992</v>
      </c>
      <c r="C1918" s="191">
        <v>2025</v>
      </c>
      <c r="D1918" s="192" t="s">
        <v>35</v>
      </c>
      <c r="E1918" s="192" t="s">
        <v>407</v>
      </c>
      <c r="F1918" s="193">
        <v>3</v>
      </c>
      <c r="G1918" s="148">
        <v>330000</v>
      </c>
    </row>
    <row r="1919" spans="1:7" x14ac:dyDescent="0.25">
      <c r="A1919" s="147">
        <v>1914</v>
      </c>
      <c r="B1919" s="145">
        <v>45992</v>
      </c>
      <c r="C1919" s="191">
        <v>2025</v>
      </c>
      <c r="D1919" s="192" t="s">
        <v>35</v>
      </c>
      <c r="E1919" s="192" t="s">
        <v>628</v>
      </c>
      <c r="F1919" s="193">
        <v>5</v>
      </c>
      <c r="G1919" s="148">
        <v>134960</v>
      </c>
    </row>
    <row r="1920" spans="1:7" x14ac:dyDescent="0.25">
      <c r="A1920" s="147">
        <v>1915</v>
      </c>
      <c r="B1920" s="145">
        <v>45992</v>
      </c>
      <c r="C1920" s="191">
        <v>2025</v>
      </c>
      <c r="D1920" s="192" t="s">
        <v>35</v>
      </c>
      <c r="E1920" s="192" t="s">
        <v>49</v>
      </c>
      <c r="F1920" s="193">
        <v>1</v>
      </c>
      <c r="G1920" s="148">
        <v>15000</v>
      </c>
    </row>
    <row r="1921" spans="1:7" x14ac:dyDescent="0.25">
      <c r="A1921" s="147">
        <v>1916</v>
      </c>
      <c r="B1921" s="145">
        <v>45992</v>
      </c>
      <c r="C1921" s="191">
        <v>2025</v>
      </c>
      <c r="D1921" s="192" t="s">
        <v>35</v>
      </c>
      <c r="E1921" s="192" t="s">
        <v>1563</v>
      </c>
      <c r="F1921" s="193">
        <v>1</v>
      </c>
      <c r="G1921" s="148">
        <v>3000</v>
      </c>
    </row>
    <row r="1922" spans="1:7" x14ac:dyDescent="0.25">
      <c r="A1922" s="147">
        <v>1917</v>
      </c>
      <c r="B1922" s="145">
        <v>45993</v>
      </c>
      <c r="C1922" s="191">
        <v>2025</v>
      </c>
      <c r="D1922" s="192" t="s">
        <v>35</v>
      </c>
      <c r="E1922" s="192" t="s">
        <v>1133</v>
      </c>
      <c r="F1922" s="193">
        <v>1</v>
      </c>
      <c r="G1922" s="148">
        <v>10299</v>
      </c>
    </row>
    <row r="1923" spans="1:7" x14ac:dyDescent="0.25">
      <c r="A1923" s="147">
        <v>1918</v>
      </c>
      <c r="B1923" s="145">
        <v>45993</v>
      </c>
      <c r="C1923" s="191">
        <v>2025</v>
      </c>
      <c r="D1923" s="192" t="s">
        <v>35</v>
      </c>
      <c r="E1923" s="192" t="s">
        <v>1586</v>
      </c>
      <c r="F1923" s="193">
        <v>1</v>
      </c>
      <c r="G1923" s="148">
        <v>100894</v>
      </c>
    </row>
    <row r="1924" spans="1:7" x14ac:dyDescent="0.25">
      <c r="A1924" s="147">
        <v>1919</v>
      </c>
      <c r="B1924" s="145">
        <v>45993</v>
      </c>
      <c r="C1924" s="191">
        <v>2025</v>
      </c>
      <c r="D1924" s="192" t="s">
        <v>35</v>
      </c>
      <c r="E1924" s="192" t="s">
        <v>1030</v>
      </c>
      <c r="F1924" s="193">
        <v>1</v>
      </c>
      <c r="G1924" s="148">
        <v>17900</v>
      </c>
    </row>
    <row r="1925" spans="1:7" x14ac:dyDescent="0.25">
      <c r="A1925" s="147">
        <v>1920</v>
      </c>
      <c r="B1925" s="145">
        <v>45994</v>
      </c>
      <c r="C1925" s="191">
        <v>2025</v>
      </c>
      <c r="D1925" s="192" t="s">
        <v>35</v>
      </c>
      <c r="E1925" s="192" t="s">
        <v>1592</v>
      </c>
      <c r="F1925" s="193">
        <v>1</v>
      </c>
      <c r="G1925" s="148">
        <v>250000</v>
      </c>
    </row>
    <row r="1926" spans="1:7" x14ac:dyDescent="0.25">
      <c r="A1926" s="147">
        <v>1921</v>
      </c>
      <c r="B1926" s="145">
        <v>45994</v>
      </c>
      <c r="C1926" s="191">
        <v>2025</v>
      </c>
      <c r="D1926" s="192" t="s">
        <v>35</v>
      </c>
      <c r="E1926" s="192" t="s">
        <v>124</v>
      </c>
      <c r="F1926" s="193">
        <v>1</v>
      </c>
      <c r="G1926" s="148">
        <v>7280000</v>
      </c>
    </row>
    <row r="1927" spans="1:7" x14ac:dyDescent="0.25">
      <c r="A1927" s="147">
        <v>1922</v>
      </c>
      <c r="B1927" s="145">
        <v>45995</v>
      </c>
      <c r="C1927" s="191">
        <v>2025</v>
      </c>
      <c r="D1927" s="192" t="s">
        <v>35</v>
      </c>
      <c r="E1927" s="192" t="s">
        <v>853</v>
      </c>
      <c r="F1927" s="193">
        <v>1</v>
      </c>
      <c r="G1927" s="148">
        <v>7900</v>
      </c>
    </row>
    <row r="1928" spans="1:7" x14ac:dyDescent="0.25">
      <c r="A1928" s="147">
        <v>1923</v>
      </c>
      <c r="B1928" s="145">
        <v>45996</v>
      </c>
      <c r="C1928" s="191">
        <v>2025</v>
      </c>
      <c r="D1928" s="192" t="s">
        <v>35</v>
      </c>
      <c r="E1928" s="192" t="s">
        <v>1550</v>
      </c>
      <c r="F1928" s="193">
        <v>1</v>
      </c>
      <c r="G1928" s="148">
        <v>92500</v>
      </c>
    </row>
    <row r="1929" spans="1:7" x14ac:dyDescent="0.25">
      <c r="A1929" s="147">
        <v>1924</v>
      </c>
      <c r="B1929" s="145">
        <v>45996</v>
      </c>
      <c r="C1929" s="191">
        <v>2025</v>
      </c>
      <c r="D1929" s="192" t="s">
        <v>35</v>
      </c>
      <c r="E1929" s="192" t="s">
        <v>1550</v>
      </c>
      <c r="F1929" s="193">
        <v>1</v>
      </c>
      <c r="G1929" s="148">
        <v>92500</v>
      </c>
    </row>
    <row r="1930" spans="1:7" x14ac:dyDescent="0.25">
      <c r="A1930" s="147">
        <v>1925</v>
      </c>
      <c r="B1930" s="145">
        <v>45996</v>
      </c>
      <c r="C1930" s="191">
        <v>2025</v>
      </c>
      <c r="D1930" s="192" t="s">
        <v>35</v>
      </c>
      <c r="E1930" s="192" t="s">
        <v>1461</v>
      </c>
      <c r="F1930" s="193">
        <v>4</v>
      </c>
      <c r="G1930" s="148">
        <v>12000</v>
      </c>
    </row>
    <row r="1931" spans="1:7" x14ac:dyDescent="0.25">
      <c r="A1931" s="147">
        <v>1926</v>
      </c>
      <c r="B1931" s="145">
        <v>45997</v>
      </c>
      <c r="C1931" s="191">
        <v>2025</v>
      </c>
      <c r="D1931" s="192" t="s">
        <v>35</v>
      </c>
      <c r="E1931" s="192" t="s">
        <v>761</v>
      </c>
      <c r="F1931" s="193">
        <v>4</v>
      </c>
      <c r="G1931" s="148">
        <v>9000000</v>
      </c>
    </row>
    <row r="1932" spans="1:7" x14ac:dyDescent="0.25">
      <c r="A1932" s="147">
        <v>1927</v>
      </c>
      <c r="B1932" s="145">
        <v>45997</v>
      </c>
      <c r="C1932" s="191">
        <v>2025</v>
      </c>
      <c r="D1932" s="192" t="s">
        <v>35</v>
      </c>
      <c r="E1932" s="192" t="s">
        <v>571</v>
      </c>
      <c r="F1932" s="193">
        <v>2</v>
      </c>
      <c r="G1932" s="148">
        <v>34000</v>
      </c>
    </row>
    <row r="1933" spans="1:7" x14ac:dyDescent="0.25">
      <c r="A1933" s="147">
        <v>1928</v>
      </c>
      <c r="B1933" s="145">
        <v>45997</v>
      </c>
      <c r="C1933" s="191">
        <v>2025</v>
      </c>
      <c r="D1933" s="192" t="s">
        <v>35</v>
      </c>
      <c r="E1933" s="192" t="s">
        <v>573</v>
      </c>
      <c r="F1933" s="193">
        <v>2</v>
      </c>
      <c r="G1933" s="148">
        <v>34000</v>
      </c>
    </row>
    <row r="1934" spans="1:7" x14ac:dyDescent="0.25">
      <c r="A1934" s="147">
        <v>1929</v>
      </c>
      <c r="B1934" s="145">
        <v>45997</v>
      </c>
      <c r="C1934" s="191">
        <v>2025</v>
      </c>
      <c r="D1934" s="192" t="s">
        <v>35</v>
      </c>
      <c r="E1934" s="192" t="s">
        <v>573</v>
      </c>
      <c r="F1934" s="193">
        <v>2</v>
      </c>
      <c r="G1934" s="148">
        <v>21900</v>
      </c>
    </row>
    <row r="1935" spans="1:7" x14ac:dyDescent="0.25">
      <c r="A1935" s="147">
        <v>1930</v>
      </c>
      <c r="B1935" s="145">
        <v>45997</v>
      </c>
      <c r="C1935" s="191">
        <v>2025</v>
      </c>
      <c r="D1935" s="192" t="s">
        <v>35</v>
      </c>
      <c r="E1935" s="192" t="s">
        <v>963</v>
      </c>
      <c r="F1935" s="193">
        <v>1</v>
      </c>
      <c r="G1935" s="148">
        <v>85500</v>
      </c>
    </row>
    <row r="1936" spans="1:7" x14ac:dyDescent="0.25">
      <c r="A1936" s="147">
        <v>1931</v>
      </c>
      <c r="B1936" s="145">
        <v>46001</v>
      </c>
      <c r="C1936" s="191">
        <v>2025</v>
      </c>
      <c r="D1936" s="192" t="s">
        <v>35</v>
      </c>
      <c r="E1936" s="192" t="s">
        <v>1593</v>
      </c>
      <c r="F1936" s="193">
        <v>1</v>
      </c>
      <c r="G1936" s="148">
        <v>23100</v>
      </c>
    </row>
    <row r="1937" spans="1:7" x14ac:dyDescent="0.25">
      <c r="A1937" s="147">
        <v>1932</v>
      </c>
      <c r="B1937" s="145">
        <v>46001</v>
      </c>
      <c r="C1937" s="191">
        <v>2025</v>
      </c>
      <c r="D1937" s="192" t="s">
        <v>35</v>
      </c>
      <c r="E1937" s="192" t="s">
        <v>1594</v>
      </c>
      <c r="F1937" s="193">
        <v>1</v>
      </c>
      <c r="G1937" s="148">
        <v>8500</v>
      </c>
    </row>
    <row r="1938" spans="1:7" x14ac:dyDescent="0.25">
      <c r="A1938" s="147">
        <v>1933</v>
      </c>
      <c r="B1938" s="145">
        <v>46001</v>
      </c>
      <c r="C1938" s="191">
        <v>2025</v>
      </c>
      <c r="D1938" s="192" t="s">
        <v>35</v>
      </c>
      <c r="E1938" s="192" t="s">
        <v>1595</v>
      </c>
      <c r="F1938" s="193">
        <v>1</v>
      </c>
      <c r="G1938" s="148">
        <v>55000</v>
      </c>
    </row>
    <row r="1939" spans="1:7" x14ac:dyDescent="0.25">
      <c r="A1939" s="147">
        <v>1934</v>
      </c>
      <c r="B1939" s="145">
        <v>46001</v>
      </c>
      <c r="C1939" s="191">
        <v>2025</v>
      </c>
      <c r="D1939" s="192" t="s">
        <v>35</v>
      </c>
      <c r="E1939" s="192" t="s">
        <v>1596</v>
      </c>
      <c r="F1939" s="193">
        <v>1</v>
      </c>
      <c r="G1939" s="148">
        <v>44900</v>
      </c>
    </row>
    <row r="1940" spans="1:7" x14ac:dyDescent="0.25">
      <c r="A1940" s="147">
        <v>1935</v>
      </c>
      <c r="B1940" s="145">
        <v>46001</v>
      </c>
      <c r="C1940" s="191">
        <v>2025</v>
      </c>
      <c r="D1940" s="192" t="s">
        <v>35</v>
      </c>
      <c r="E1940" s="192" t="s">
        <v>365</v>
      </c>
      <c r="F1940" s="193">
        <v>2</v>
      </c>
      <c r="G1940" s="148">
        <v>5000</v>
      </c>
    </row>
    <row r="1941" spans="1:7" x14ac:dyDescent="0.25">
      <c r="A1941" s="147">
        <v>1936</v>
      </c>
      <c r="B1941" s="145">
        <v>46001</v>
      </c>
      <c r="C1941" s="191">
        <v>2025</v>
      </c>
      <c r="D1941" s="192" t="s">
        <v>35</v>
      </c>
      <c r="E1941" s="192" t="s">
        <v>186</v>
      </c>
      <c r="F1941" s="193">
        <v>1</v>
      </c>
      <c r="G1941" s="148">
        <v>87500</v>
      </c>
    </row>
    <row r="1942" spans="1:7" x14ac:dyDescent="0.25">
      <c r="A1942" s="147">
        <v>1937</v>
      </c>
      <c r="B1942" s="145">
        <v>46001</v>
      </c>
      <c r="C1942" s="191">
        <v>2025</v>
      </c>
      <c r="D1942" s="192" t="s">
        <v>35</v>
      </c>
      <c r="E1942" s="192" t="s">
        <v>240</v>
      </c>
      <c r="F1942" s="193">
        <v>1</v>
      </c>
      <c r="G1942" s="148">
        <v>9025</v>
      </c>
    </row>
    <row r="1943" spans="1:7" x14ac:dyDescent="0.25">
      <c r="A1943" s="147">
        <v>1938</v>
      </c>
      <c r="B1943" s="145">
        <v>46002</v>
      </c>
      <c r="C1943" s="191">
        <v>2025</v>
      </c>
      <c r="D1943" s="192" t="s">
        <v>35</v>
      </c>
      <c r="E1943" s="192" t="s">
        <v>403</v>
      </c>
      <c r="F1943" s="193">
        <v>3</v>
      </c>
      <c r="G1943" s="148">
        <v>367500</v>
      </c>
    </row>
    <row r="1944" spans="1:7" x14ac:dyDescent="0.25">
      <c r="A1944" s="147">
        <v>1939</v>
      </c>
      <c r="B1944" s="145">
        <v>46002</v>
      </c>
      <c r="C1944" s="191">
        <v>2025</v>
      </c>
      <c r="D1944" s="192" t="s">
        <v>35</v>
      </c>
      <c r="E1944" s="192" t="s">
        <v>405</v>
      </c>
      <c r="F1944" s="193">
        <v>3</v>
      </c>
      <c r="G1944" s="148">
        <v>540000</v>
      </c>
    </row>
    <row r="1945" spans="1:7" x14ac:dyDescent="0.25">
      <c r="A1945" s="147">
        <v>1940</v>
      </c>
      <c r="B1945" s="145">
        <v>46002</v>
      </c>
      <c r="C1945" s="191">
        <v>2025</v>
      </c>
      <c r="D1945" s="192" t="s">
        <v>35</v>
      </c>
      <c r="E1945" s="192" t="s">
        <v>1542</v>
      </c>
      <c r="F1945" s="193">
        <v>1</v>
      </c>
      <c r="G1945" s="148">
        <v>7777</v>
      </c>
    </row>
    <row r="1946" spans="1:7" x14ac:dyDescent="0.25">
      <c r="A1946" s="147">
        <v>1941</v>
      </c>
      <c r="B1946" s="145">
        <v>46002</v>
      </c>
      <c r="C1946" s="191">
        <v>2025</v>
      </c>
      <c r="D1946" s="192" t="s">
        <v>35</v>
      </c>
      <c r="E1946" s="192" t="s">
        <v>1119</v>
      </c>
      <c r="F1946" s="193">
        <v>2</v>
      </c>
      <c r="G1946" s="148">
        <v>870000</v>
      </c>
    </row>
    <row r="1947" spans="1:7" x14ac:dyDescent="0.25">
      <c r="A1947" s="147">
        <v>1942</v>
      </c>
      <c r="B1947" s="145">
        <v>46003</v>
      </c>
      <c r="C1947" s="191">
        <v>2025</v>
      </c>
      <c r="D1947" s="192" t="s">
        <v>35</v>
      </c>
      <c r="E1947" s="192" t="s">
        <v>365</v>
      </c>
      <c r="F1947" s="193">
        <v>2</v>
      </c>
      <c r="G1947" s="148">
        <v>5000</v>
      </c>
    </row>
    <row r="1948" spans="1:7" x14ac:dyDescent="0.25">
      <c r="A1948" s="147">
        <v>1943</v>
      </c>
      <c r="B1948" s="145">
        <v>46003</v>
      </c>
      <c r="C1948" s="191">
        <v>2025</v>
      </c>
      <c r="D1948" s="192" t="s">
        <v>35</v>
      </c>
      <c r="E1948" s="192" t="s">
        <v>186</v>
      </c>
      <c r="F1948" s="193">
        <v>2</v>
      </c>
      <c r="G1948" s="148">
        <v>175000</v>
      </c>
    </row>
    <row r="1949" spans="1:7" x14ac:dyDescent="0.25">
      <c r="A1949" s="147">
        <v>1944</v>
      </c>
      <c r="B1949" s="145">
        <v>46006</v>
      </c>
      <c r="C1949" s="191">
        <v>2025</v>
      </c>
      <c r="D1949" s="192" t="s">
        <v>35</v>
      </c>
      <c r="E1949" s="192" t="s">
        <v>1545</v>
      </c>
      <c r="F1949" s="193">
        <v>15</v>
      </c>
      <c r="G1949" s="148">
        <v>825000</v>
      </c>
    </row>
    <row r="1950" spans="1:7" x14ac:dyDescent="0.25">
      <c r="A1950" s="147">
        <v>1945</v>
      </c>
      <c r="B1950" s="145">
        <v>46006</v>
      </c>
      <c r="C1950" s="191">
        <v>2025</v>
      </c>
      <c r="D1950" s="192" t="s">
        <v>35</v>
      </c>
      <c r="E1950" s="192" t="s">
        <v>1030</v>
      </c>
      <c r="F1950" s="193">
        <v>2</v>
      </c>
      <c r="G1950" s="148">
        <v>15000</v>
      </c>
    </row>
    <row r="1951" spans="1:7" x14ac:dyDescent="0.25">
      <c r="A1951" s="147">
        <v>1946</v>
      </c>
      <c r="B1951" s="145">
        <v>46007</v>
      </c>
      <c r="C1951" s="191">
        <v>2025</v>
      </c>
      <c r="D1951" s="192" t="s">
        <v>35</v>
      </c>
      <c r="E1951" s="192" t="s">
        <v>476</v>
      </c>
      <c r="F1951" s="193">
        <v>4</v>
      </c>
      <c r="G1951" s="148">
        <v>107000</v>
      </c>
    </row>
    <row r="1952" spans="1:7" x14ac:dyDescent="0.25">
      <c r="A1952" s="147">
        <v>1947</v>
      </c>
      <c r="B1952" s="145">
        <v>46007</v>
      </c>
      <c r="C1952" s="191">
        <v>2025</v>
      </c>
      <c r="D1952" s="192" t="s">
        <v>35</v>
      </c>
      <c r="E1952" s="192" t="s">
        <v>1312</v>
      </c>
      <c r="F1952" s="193">
        <v>20</v>
      </c>
      <c r="G1952" s="148">
        <v>250180</v>
      </c>
    </row>
    <row r="1953" spans="1:7" x14ac:dyDescent="0.25">
      <c r="A1953" s="147">
        <v>1948</v>
      </c>
      <c r="B1953" s="145">
        <v>46007</v>
      </c>
      <c r="C1953" s="191">
        <v>2025</v>
      </c>
      <c r="D1953" s="192" t="s">
        <v>35</v>
      </c>
      <c r="E1953" s="192" t="s">
        <v>115</v>
      </c>
      <c r="F1953" s="193">
        <v>2</v>
      </c>
      <c r="G1953" s="148">
        <v>160000</v>
      </c>
    </row>
    <row r="1954" spans="1:7" x14ac:dyDescent="0.25">
      <c r="A1954" s="147">
        <v>1949</v>
      </c>
      <c r="B1954" s="145">
        <v>46008</v>
      </c>
      <c r="C1954" s="191">
        <v>2025</v>
      </c>
      <c r="D1954" s="192" t="s">
        <v>35</v>
      </c>
      <c r="E1954" s="192" t="s">
        <v>230</v>
      </c>
      <c r="F1954" s="193">
        <v>2</v>
      </c>
      <c r="G1954" s="148">
        <v>140000</v>
      </c>
    </row>
    <row r="1955" spans="1:7" x14ac:dyDescent="0.25">
      <c r="A1955" s="147">
        <v>1950</v>
      </c>
      <c r="B1955" s="145">
        <v>46008</v>
      </c>
      <c r="C1955" s="191">
        <v>2025</v>
      </c>
      <c r="D1955" s="192" t="s">
        <v>35</v>
      </c>
      <c r="E1955" s="192" t="s">
        <v>1342</v>
      </c>
      <c r="F1955" s="193">
        <v>1</v>
      </c>
      <c r="G1955" s="148">
        <v>375000</v>
      </c>
    </row>
    <row r="1956" spans="1:7" x14ac:dyDescent="0.25">
      <c r="A1956" s="147">
        <v>1951</v>
      </c>
      <c r="B1956" s="145">
        <v>46009</v>
      </c>
      <c r="C1956" s="191">
        <v>2025</v>
      </c>
      <c r="D1956" s="192" t="s">
        <v>35</v>
      </c>
      <c r="E1956" s="192" t="s">
        <v>211</v>
      </c>
      <c r="F1956" s="193">
        <v>6</v>
      </c>
      <c r="G1956" s="148">
        <v>126000</v>
      </c>
    </row>
    <row r="1957" spans="1:7" x14ac:dyDescent="0.25">
      <c r="A1957" s="147">
        <v>1952</v>
      </c>
      <c r="B1957" s="145">
        <v>46009</v>
      </c>
      <c r="C1957" s="191">
        <v>2025</v>
      </c>
      <c r="D1957" s="192" t="s">
        <v>35</v>
      </c>
      <c r="E1957" s="192" t="s">
        <v>211</v>
      </c>
      <c r="F1957" s="193">
        <v>10</v>
      </c>
      <c r="G1957" s="148">
        <v>190000</v>
      </c>
    </row>
    <row r="1958" spans="1:7" x14ac:dyDescent="0.25">
      <c r="A1958" s="147">
        <v>1953</v>
      </c>
      <c r="B1958" s="145">
        <v>46009</v>
      </c>
      <c r="C1958" s="191">
        <v>2025</v>
      </c>
      <c r="D1958" s="192" t="s">
        <v>35</v>
      </c>
      <c r="E1958" s="192" t="s">
        <v>211</v>
      </c>
      <c r="F1958" s="193">
        <v>2</v>
      </c>
      <c r="G1958" s="148">
        <v>39000</v>
      </c>
    </row>
    <row r="1959" spans="1:7" x14ac:dyDescent="0.25">
      <c r="A1959" s="147">
        <v>1954</v>
      </c>
      <c r="B1959" s="145">
        <v>46009</v>
      </c>
      <c r="C1959" s="191">
        <v>2025</v>
      </c>
      <c r="D1959" s="192" t="s">
        <v>35</v>
      </c>
      <c r="E1959" s="192" t="s">
        <v>1597</v>
      </c>
      <c r="F1959" s="193">
        <v>1</v>
      </c>
      <c r="G1959" s="148">
        <v>30000</v>
      </c>
    </row>
    <row r="1960" spans="1:7" x14ac:dyDescent="0.25">
      <c r="A1960" s="147">
        <v>1955</v>
      </c>
      <c r="B1960" s="145">
        <v>46009</v>
      </c>
      <c r="C1960" s="191">
        <v>2025</v>
      </c>
      <c r="D1960" s="192" t="s">
        <v>35</v>
      </c>
      <c r="E1960" s="192" t="s">
        <v>1598</v>
      </c>
      <c r="F1960" s="193">
        <v>1</v>
      </c>
      <c r="G1960" s="148">
        <v>8300</v>
      </c>
    </row>
    <row r="1961" spans="1:7" x14ac:dyDescent="0.25">
      <c r="A1961" s="147">
        <v>1956</v>
      </c>
      <c r="B1961" s="145">
        <v>46010</v>
      </c>
      <c r="C1961" s="191">
        <v>2025</v>
      </c>
      <c r="D1961" s="192" t="s">
        <v>35</v>
      </c>
      <c r="E1961" s="192" t="s">
        <v>407</v>
      </c>
      <c r="F1961" s="193">
        <v>7</v>
      </c>
      <c r="G1961" s="148">
        <v>770000</v>
      </c>
    </row>
    <row r="1962" spans="1:7" x14ac:dyDescent="0.25">
      <c r="A1962" s="147">
        <v>1957</v>
      </c>
      <c r="B1962" s="145">
        <v>46010</v>
      </c>
      <c r="C1962" s="191">
        <v>2025</v>
      </c>
      <c r="D1962" s="192" t="s">
        <v>35</v>
      </c>
      <c r="E1962" s="192" t="s">
        <v>1599</v>
      </c>
      <c r="F1962" s="193">
        <v>1</v>
      </c>
      <c r="G1962" s="148">
        <v>290000</v>
      </c>
    </row>
    <row r="1963" spans="1:7" x14ac:dyDescent="0.25">
      <c r="A1963" s="147">
        <v>1958</v>
      </c>
      <c r="B1963" s="145">
        <v>46013</v>
      </c>
      <c r="C1963" s="191">
        <v>2025</v>
      </c>
      <c r="D1963" s="192" t="s">
        <v>35</v>
      </c>
      <c r="E1963" s="192" t="s">
        <v>1601</v>
      </c>
      <c r="F1963" s="193">
        <v>4</v>
      </c>
      <c r="G1963" s="148">
        <v>210000</v>
      </c>
    </row>
    <row r="1964" spans="1:7" x14ac:dyDescent="0.25">
      <c r="A1964" s="147">
        <v>1959</v>
      </c>
      <c r="B1964" s="145">
        <v>46013</v>
      </c>
      <c r="C1964" s="191">
        <v>2025</v>
      </c>
      <c r="D1964" s="192" t="s">
        <v>35</v>
      </c>
      <c r="E1964" s="192" t="s">
        <v>220</v>
      </c>
      <c r="F1964" s="193">
        <v>1</v>
      </c>
      <c r="G1964" s="148">
        <v>25400</v>
      </c>
    </row>
    <row r="1965" spans="1:7" x14ac:dyDescent="0.25">
      <c r="A1965" s="147">
        <v>1960</v>
      </c>
      <c r="B1965" s="167">
        <v>46013</v>
      </c>
      <c r="C1965" s="117">
        <v>2025</v>
      </c>
      <c r="D1965" s="119" t="s">
        <v>35</v>
      </c>
      <c r="E1965" s="119" t="s">
        <v>486</v>
      </c>
      <c r="F1965" s="120">
        <v>10</v>
      </c>
      <c r="G1965" s="169">
        <v>222480</v>
      </c>
    </row>
    <row r="1966" spans="1:7" x14ac:dyDescent="0.25">
      <c r="A1966" s="147">
        <v>1961</v>
      </c>
      <c r="B1966" s="167">
        <v>46013</v>
      </c>
      <c r="C1966" s="117">
        <v>2025</v>
      </c>
      <c r="D1966" s="119" t="s">
        <v>35</v>
      </c>
      <c r="E1966" s="119" t="s">
        <v>350</v>
      </c>
      <c r="F1966" s="120">
        <v>3</v>
      </c>
      <c r="G1966" s="169">
        <v>72528</v>
      </c>
    </row>
    <row r="1967" spans="1:7" x14ac:dyDescent="0.25">
      <c r="A1967" s="147">
        <v>1962</v>
      </c>
      <c r="B1967" s="145">
        <v>46014</v>
      </c>
      <c r="C1967" s="191">
        <v>2025</v>
      </c>
      <c r="D1967" s="192" t="s">
        <v>35</v>
      </c>
      <c r="E1967" s="192" t="s">
        <v>739</v>
      </c>
      <c r="F1967" s="193">
        <v>75</v>
      </c>
      <c r="G1967" s="148">
        <v>660000</v>
      </c>
    </row>
    <row r="1968" spans="1:7" x14ac:dyDescent="0.25">
      <c r="A1968" s="147">
        <v>1963</v>
      </c>
      <c r="B1968" s="145">
        <v>46014</v>
      </c>
      <c r="C1968" s="191">
        <v>2025</v>
      </c>
      <c r="D1968" s="192" t="s">
        <v>35</v>
      </c>
      <c r="E1968" s="192" t="s">
        <v>1493</v>
      </c>
      <c r="F1968" s="193">
        <v>1</v>
      </c>
      <c r="G1968" s="148">
        <v>42350</v>
      </c>
    </row>
    <row r="1969" spans="1:7" x14ac:dyDescent="0.25">
      <c r="A1969" s="147">
        <v>1964</v>
      </c>
      <c r="B1969" s="145">
        <v>46015</v>
      </c>
      <c r="C1969" s="191">
        <v>2025</v>
      </c>
      <c r="D1969" s="192" t="s">
        <v>35</v>
      </c>
      <c r="E1969" s="192" t="s">
        <v>476</v>
      </c>
      <c r="F1969" s="193">
        <v>6</v>
      </c>
      <c r="G1969" s="148">
        <v>147600</v>
      </c>
    </row>
    <row r="1970" spans="1:7" x14ac:dyDescent="0.25">
      <c r="A1970" s="147">
        <v>1965</v>
      </c>
      <c r="B1970" s="145">
        <v>46017</v>
      </c>
      <c r="C1970" s="191">
        <v>2025</v>
      </c>
      <c r="D1970" s="192" t="s">
        <v>35</v>
      </c>
      <c r="E1970" s="192" t="s">
        <v>1602</v>
      </c>
      <c r="F1970" s="193">
        <v>1</v>
      </c>
      <c r="G1970" s="148">
        <v>17288</v>
      </c>
    </row>
    <row r="1971" spans="1:7" x14ac:dyDescent="0.25">
      <c r="A1971" s="147">
        <v>1966</v>
      </c>
      <c r="B1971" s="145">
        <v>46017</v>
      </c>
      <c r="C1971" s="191">
        <v>2025</v>
      </c>
      <c r="D1971" s="192" t="s">
        <v>35</v>
      </c>
      <c r="E1971" s="192" t="s">
        <v>1596</v>
      </c>
      <c r="F1971" s="193">
        <v>1</v>
      </c>
      <c r="G1971" s="148">
        <v>44899</v>
      </c>
    </row>
    <row r="1972" spans="1:7" x14ac:dyDescent="0.25">
      <c r="A1972" s="147">
        <v>1967</v>
      </c>
      <c r="B1972" s="145">
        <v>46020</v>
      </c>
      <c r="C1972" s="191">
        <v>2025</v>
      </c>
      <c r="D1972" s="192" t="s">
        <v>35</v>
      </c>
      <c r="E1972" s="192" t="s">
        <v>1601</v>
      </c>
      <c r="F1972" s="193">
        <v>4</v>
      </c>
      <c r="G1972" s="148">
        <v>210000</v>
      </c>
    </row>
    <row r="1973" spans="1:7" x14ac:dyDescent="0.25">
      <c r="A1973" s="147">
        <v>1968</v>
      </c>
      <c r="B1973" s="145">
        <v>46021</v>
      </c>
      <c r="C1973" s="191">
        <v>2025</v>
      </c>
      <c r="D1973" s="192" t="s">
        <v>35</v>
      </c>
      <c r="E1973" s="192" t="s">
        <v>553</v>
      </c>
      <c r="F1973" s="193">
        <v>1</v>
      </c>
      <c r="G1973" s="148">
        <v>6900</v>
      </c>
    </row>
    <row r="1974" spans="1:7" x14ac:dyDescent="0.25">
      <c r="A1974" s="147">
        <v>1969</v>
      </c>
      <c r="B1974" s="145">
        <v>46022</v>
      </c>
      <c r="C1974" s="191">
        <v>2025</v>
      </c>
      <c r="D1974" s="192" t="s">
        <v>35</v>
      </c>
      <c r="E1974" s="192" t="s">
        <v>1603</v>
      </c>
      <c r="F1974" s="193">
        <v>1</v>
      </c>
      <c r="G1974" s="148">
        <v>10000</v>
      </c>
    </row>
    <row r="1975" spans="1:7" x14ac:dyDescent="0.25">
      <c r="A1975" s="147">
        <v>1970</v>
      </c>
      <c r="B1975" s="145">
        <v>46022</v>
      </c>
      <c r="C1975" s="191">
        <v>2025</v>
      </c>
      <c r="D1975" s="192" t="s">
        <v>35</v>
      </c>
      <c r="E1975" s="192" t="s">
        <v>637</v>
      </c>
      <c r="F1975" s="193">
        <v>1</v>
      </c>
      <c r="G1975" s="148">
        <v>33400</v>
      </c>
    </row>
    <row r="1976" spans="1:7" x14ac:dyDescent="0.25">
      <c r="A1976" s="147">
        <v>1971</v>
      </c>
      <c r="B1976" s="145">
        <v>46022</v>
      </c>
      <c r="C1976" s="191">
        <v>2025</v>
      </c>
      <c r="D1976" s="192" t="s">
        <v>35</v>
      </c>
      <c r="E1976" s="192" t="s">
        <v>365</v>
      </c>
      <c r="F1976" s="193">
        <v>2</v>
      </c>
      <c r="G1976" s="148">
        <v>3000</v>
      </c>
    </row>
    <row r="1977" spans="1:7" x14ac:dyDescent="0.25">
      <c r="A1977" s="147">
        <v>1972</v>
      </c>
      <c r="B1977" s="145">
        <v>46022</v>
      </c>
      <c r="C1977" s="191">
        <v>2025</v>
      </c>
      <c r="D1977" s="192" t="s">
        <v>35</v>
      </c>
      <c r="E1977" s="192" t="s">
        <v>1604</v>
      </c>
      <c r="F1977" s="193">
        <v>2</v>
      </c>
      <c r="G1977" s="148">
        <v>100000</v>
      </c>
    </row>
    <row r="1978" spans="1:7" x14ac:dyDescent="0.25">
      <c r="A1978" s="147">
        <v>1973</v>
      </c>
      <c r="B1978" s="145">
        <v>46025</v>
      </c>
      <c r="C1978" s="191">
        <v>2026</v>
      </c>
      <c r="D1978" s="192" t="s">
        <v>35</v>
      </c>
      <c r="E1978" s="192" t="s">
        <v>220</v>
      </c>
      <c r="F1978" s="193">
        <v>3</v>
      </c>
      <c r="G1978" s="148">
        <v>96402</v>
      </c>
    </row>
    <row r="1979" spans="1:7" x14ac:dyDescent="0.25">
      <c r="A1979" s="147">
        <v>1974</v>
      </c>
      <c r="B1979" s="145">
        <v>46027</v>
      </c>
      <c r="C1979" s="191">
        <v>2026</v>
      </c>
      <c r="D1979" s="192" t="s">
        <v>35</v>
      </c>
      <c r="E1979" s="192" t="s">
        <v>1601</v>
      </c>
      <c r="F1979" s="193">
        <v>4</v>
      </c>
      <c r="G1979" s="148">
        <v>210000</v>
      </c>
    </row>
    <row r="1980" spans="1:7" x14ac:dyDescent="0.25">
      <c r="A1980" s="147">
        <v>1975</v>
      </c>
      <c r="B1980" s="145">
        <v>46028</v>
      </c>
      <c r="C1980" s="191">
        <v>2026</v>
      </c>
      <c r="D1980" s="192" t="s">
        <v>35</v>
      </c>
      <c r="E1980" s="192" t="s">
        <v>1509</v>
      </c>
      <c r="F1980" s="193">
        <v>1</v>
      </c>
      <c r="G1980" s="148">
        <v>43400</v>
      </c>
    </row>
    <row r="1981" spans="1:7" x14ac:dyDescent="0.25">
      <c r="A1981" s="147">
        <v>1976</v>
      </c>
      <c r="B1981" s="145">
        <v>46028</v>
      </c>
      <c r="C1981" s="191">
        <v>2026</v>
      </c>
      <c r="D1981" s="192" t="s">
        <v>35</v>
      </c>
      <c r="E1981" s="192" t="s">
        <v>1606</v>
      </c>
      <c r="F1981" s="193">
        <v>1</v>
      </c>
      <c r="G1981" s="148">
        <v>47689</v>
      </c>
    </row>
    <row r="1982" spans="1:7" x14ac:dyDescent="0.25">
      <c r="A1982" s="147">
        <v>1977</v>
      </c>
      <c r="B1982" s="145">
        <v>46029</v>
      </c>
      <c r="C1982" s="191">
        <v>2026</v>
      </c>
      <c r="D1982" s="192" t="s">
        <v>35</v>
      </c>
      <c r="E1982" s="192" t="s">
        <v>1607</v>
      </c>
      <c r="F1982" s="193">
        <v>1</v>
      </c>
      <c r="G1982" s="148">
        <v>21000</v>
      </c>
    </row>
    <row r="1983" spans="1:7" x14ac:dyDescent="0.25">
      <c r="A1983" s="147">
        <v>1978</v>
      </c>
      <c r="B1983" s="145">
        <v>46029</v>
      </c>
      <c r="C1983" s="191">
        <v>2026</v>
      </c>
      <c r="D1983" s="192" t="s">
        <v>35</v>
      </c>
      <c r="E1983" s="192" t="s">
        <v>98</v>
      </c>
      <c r="F1983" s="193">
        <v>4</v>
      </c>
      <c r="G1983" s="148">
        <v>111900</v>
      </c>
    </row>
    <row r="1984" spans="1:7" x14ac:dyDescent="0.25">
      <c r="A1984" s="147">
        <v>1979</v>
      </c>
      <c r="B1984" s="145">
        <v>46030</v>
      </c>
      <c r="C1984" s="191">
        <v>2026</v>
      </c>
      <c r="D1984" s="192" t="s">
        <v>35</v>
      </c>
      <c r="E1984" s="192" t="s">
        <v>1609</v>
      </c>
      <c r="F1984" s="193">
        <v>1</v>
      </c>
      <c r="G1984" s="148">
        <v>9149</v>
      </c>
    </row>
    <row r="1985" spans="1:7" x14ac:dyDescent="0.25">
      <c r="A1985" s="147">
        <v>1980</v>
      </c>
      <c r="B1985" s="145">
        <v>46030</v>
      </c>
      <c r="C1985" s="191">
        <v>2026</v>
      </c>
      <c r="D1985" s="192" t="s">
        <v>35</v>
      </c>
      <c r="E1985" s="192" t="s">
        <v>1610</v>
      </c>
      <c r="F1985" s="193">
        <v>2</v>
      </c>
      <c r="G1985" s="148">
        <v>19800</v>
      </c>
    </row>
    <row r="1986" spans="1:7" x14ac:dyDescent="0.25">
      <c r="A1986" s="147">
        <v>1981</v>
      </c>
      <c r="B1986" s="145">
        <v>46031</v>
      </c>
      <c r="C1986" s="191">
        <v>2026</v>
      </c>
      <c r="D1986" s="192" t="s">
        <v>35</v>
      </c>
      <c r="E1986" s="192" t="s">
        <v>1611</v>
      </c>
      <c r="F1986" s="193">
        <v>1</v>
      </c>
      <c r="G1986" s="148">
        <v>59800</v>
      </c>
    </row>
    <row r="1987" spans="1:7" x14ac:dyDescent="0.25">
      <c r="A1987" s="147">
        <v>1982</v>
      </c>
      <c r="B1987" s="145">
        <v>46031</v>
      </c>
      <c r="C1987" s="191">
        <v>2026</v>
      </c>
      <c r="D1987" s="192" t="s">
        <v>35</v>
      </c>
      <c r="E1987" s="192" t="s">
        <v>1539</v>
      </c>
      <c r="F1987" s="193">
        <v>2</v>
      </c>
      <c r="G1987" s="148">
        <v>151900</v>
      </c>
    </row>
    <row r="1988" spans="1:7" x14ac:dyDescent="0.25">
      <c r="A1988" s="147">
        <v>1983</v>
      </c>
      <c r="B1988" s="167">
        <v>46031</v>
      </c>
      <c r="C1988" s="117">
        <v>2026</v>
      </c>
      <c r="D1988" s="119" t="s">
        <v>35</v>
      </c>
      <c r="E1988" s="119" t="s">
        <v>684</v>
      </c>
      <c r="F1988" s="120">
        <v>12</v>
      </c>
      <c r="G1988" s="169">
        <v>157368</v>
      </c>
    </row>
    <row r="1989" spans="1:7" x14ac:dyDescent="0.25">
      <c r="A1989" s="147">
        <v>1984</v>
      </c>
      <c r="B1989" s="145">
        <v>46034</v>
      </c>
      <c r="C1989" s="191">
        <v>2026</v>
      </c>
      <c r="D1989" s="192" t="s">
        <v>35</v>
      </c>
      <c r="E1989" s="192" t="s">
        <v>211</v>
      </c>
      <c r="F1989" s="193">
        <v>10</v>
      </c>
      <c r="G1989" s="148">
        <v>210000</v>
      </c>
    </row>
    <row r="1990" spans="1:7" x14ac:dyDescent="0.25">
      <c r="A1990" s="147">
        <v>1985</v>
      </c>
      <c r="B1990" s="145">
        <v>46034</v>
      </c>
      <c r="C1990" s="191">
        <v>2026</v>
      </c>
      <c r="D1990" s="192" t="s">
        <v>35</v>
      </c>
      <c r="E1990" s="192" t="s">
        <v>211</v>
      </c>
      <c r="F1990" s="193">
        <v>5</v>
      </c>
      <c r="G1990" s="148">
        <v>95000</v>
      </c>
    </row>
    <row r="1991" spans="1:7" x14ac:dyDescent="0.25">
      <c r="A1991" s="147">
        <v>1986</v>
      </c>
      <c r="B1991" s="145">
        <v>46034</v>
      </c>
      <c r="C1991" s="191">
        <v>2026</v>
      </c>
      <c r="D1991" s="192" t="s">
        <v>35</v>
      </c>
      <c r="E1991" s="192" t="s">
        <v>211</v>
      </c>
      <c r="F1991" s="193">
        <v>2</v>
      </c>
      <c r="G1991" s="148">
        <v>39000</v>
      </c>
    </row>
    <row r="1992" spans="1:7" x14ac:dyDescent="0.25">
      <c r="A1992" s="147">
        <v>1987</v>
      </c>
      <c r="B1992" s="145">
        <v>46034</v>
      </c>
      <c r="C1992" s="191">
        <v>2026</v>
      </c>
      <c r="D1992" s="192" t="s">
        <v>35</v>
      </c>
      <c r="E1992" s="192" t="s">
        <v>1611</v>
      </c>
      <c r="F1992" s="193">
        <v>1</v>
      </c>
      <c r="G1992" s="148">
        <v>55400</v>
      </c>
    </row>
    <row r="1993" spans="1:7" x14ac:dyDescent="0.25">
      <c r="A1993" s="147">
        <v>1988</v>
      </c>
      <c r="B1993" s="145">
        <v>46035</v>
      </c>
      <c r="C1993" s="191">
        <v>2026</v>
      </c>
      <c r="D1993" s="192" t="s">
        <v>35</v>
      </c>
      <c r="E1993" s="192" t="s">
        <v>118</v>
      </c>
      <c r="F1993" s="193">
        <v>3</v>
      </c>
      <c r="G1993" s="148">
        <v>210000</v>
      </c>
    </row>
    <row r="1994" spans="1:7" x14ac:dyDescent="0.25">
      <c r="A1994" s="147">
        <v>1989</v>
      </c>
      <c r="B1994" s="145">
        <v>46035</v>
      </c>
      <c r="C1994" s="191">
        <v>2026</v>
      </c>
      <c r="D1994" s="192" t="s">
        <v>35</v>
      </c>
      <c r="E1994" s="192" t="s">
        <v>403</v>
      </c>
      <c r="F1994" s="193">
        <v>3</v>
      </c>
      <c r="G1994" s="148">
        <v>367500</v>
      </c>
    </row>
    <row r="1995" spans="1:7" x14ac:dyDescent="0.25">
      <c r="A1995" s="147">
        <v>1990</v>
      </c>
      <c r="B1995" s="145">
        <v>46035</v>
      </c>
      <c r="C1995" s="191">
        <v>2026</v>
      </c>
      <c r="D1995" s="192" t="s">
        <v>35</v>
      </c>
      <c r="E1995" s="192" t="s">
        <v>120</v>
      </c>
      <c r="F1995" s="193">
        <v>3</v>
      </c>
      <c r="G1995" s="148">
        <v>285000</v>
      </c>
    </row>
    <row r="1996" spans="1:7" x14ac:dyDescent="0.25">
      <c r="A1996" s="147">
        <v>1991</v>
      </c>
      <c r="B1996" s="145">
        <v>46035</v>
      </c>
      <c r="C1996" s="191">
        <v>2026</v>
      </c>
      <c r="D1996" s="192" t="s">
        <v>35</v>
      </c>
      <c r="E1996" s="192" t="s">
        <v>405</v>
      </c>
      <c r="F1996" s="193">
        <v>3</v>
      </c>
      <c r="G1996" s="148">
        <v>540000</v>
      </c>
    </row>
    <row r="1997" spans="1:7" x14ac:dyDescent="0.25">
      <c r="A1997" s="147">
        <v>1992</v>
      </c>
      <c r="B1997" s="145">
        <v>46036</v>
      </c>
      <c r="C1997" s="191">
        <v>2026</v>
      </c>
      <c r="D1997" s="192" t="s">
        <v>35</v>
      </c>
      <c r="E1997" s="192" t="s">
        <v>437</v>
      </c>
      <c r="F1997" s="193">
        <v>6</v>
      </c>
      <c r="G1997" s="148">
        <v>10542</v>
      </c>
    </row>
    <row r="1998" spans="1:7" x14ac:dyDescent="0.25">
      <c r="A1998" s="147">
        <v>1993</v>
      </c>
      <c r="B1998" s="145">
        <v>46036</v>
      </c>
      <c r="C1998" s="191">
        <v>2026</v>
      </c>
      <c r="D1998" s="192" t="s">
        <v>35</v>
      </c>
      <c r="E1998" s="192" t="s">
        <v>184</v>
      </c>
      <c r="F1998" s="193">
        <v>2</v>
      </c>
      <c r="G1998" s="148">
        <v>7000</v>
      </c>
    </row>
    <row r="1999" spans="1:7" x14ac:dyDescent="0.25">
      <c r="A1999" s="147">
        <v>1994</v>
      </c>
      <c r="B1999" s="145">
        <v>46036</v>
      </c>
      <c r="C1999" s="191">
        <v>2026</v>
      </c>
      <c r="D1999" s="192" t="s">
        <v>35</v>
      </c>
      <c r="E1999" s="192" t="s">
        <v>367</v>
      </c>
      <c r="F1999" s="193">
        <v>2</v>
      </c>
      <c r="G1999" s="148">
        <v>25000</v>
      </c>
    </row>
    <row r="2000" spans="1:7" x14ac:dyDescent="0.25">
      <c r="A2000" s="147">
        <v>1995</v>
      </c>
      <c r="B2000" s="145">
        <v>46036</v>
      </c>
      <c r="C2000" s="191">
        <v>2026</v>
      </c>
      <c r="D2000" s="192" t="s">
        <v>35</v>
      </c>
      <c r="E2000" s="192" t="s">
        <v>478</v>
      </c>
      <c r="F2000" s="193">
        <v>100</v>
      </c>
      <c r="G2000" s="148">
        <v>97900</v>
      </c>
    </row>
    <row r="2001" spans="1:7" x14ac:dyDescent="0.25">
      <c r="A2001" s="147">
        <v>1996</v>
      </c>
      <c r="B2001" s="145">
        <v>46036</v>
      </c>
      <c r="C2001" s="191">
        <v>2026</v>
      </c>
      <c r="D2001" s="192" t="s">
        <v>35</v>
      </c>
      <c r="E2001" s="192" t="s">
        <v>1616</v>
      </c>
      <c r="F2001" s="193">
        <v>1</v>
      </c>
      <c r="G2001" s="148">
        <v>250000</v>
      </c>
    </row>
    <row r="2002" spans="1:7" x14ac:dyDescent="0.25">
      <c r="A2002" s="147">
        <v>1997</v>
      </c>
      <c r="B2002" s="145">
        <v>46036</v>
      </c>
      <c r="C2002" s="191">
        <v>2026</v>
      </c>
      <c r="D2002" s="192" t="s">
        <v>35</v>
      </c>
      <c r="E2002" s="192" t="s">
        <v>637</v>
      </c>
      <c r="F2002" s="193">
        <v>2</v>
      </c>
      <c r="G2002" s="148">
        <v>61900</v>
      </c>
    </row>
    <row r="2003" spans="1:7" x14ac:dyDescent="0.25">
      <c r="A2003" s="147">
        <v>1998</v>
      </c>
      <c r="B2003" s="145">
        <v>46036</v>
      </c>
      <c r="C2003" s="191">
        <v>2026</v>
      </c>
      <c r="D2003" s="192" t="s">
        <v>35</v>
      </c>
      <c r="E2003" s="192" t="s">
        <v>365</v>
      </c>
      <c r="F2003" s="193">
        <v>4</v>
      </c>
      <c r="G2003" s="148">
        <v>6000</v>
      </c>
    </row>
    <row r="2004" spans="1:7" x14ac:dyDescent="0.25">
      <c r="A2004" s="147">
        <v>1999</v>
      </c>
      <c r="B2004" s="145">
        <v>46037</v>
      </c>
      <c r="C2004" s="191">
        <v>2026</v>
      </c>
      <c r="D2004" s="192" t="s">
        <v>35</v>
      </c>
      <c r="E2004" s="192" t="s">
        <v>1617</v>
      </c>
      <c r="F2004" s="193">
        <v>5</v>
      </c>
      <c r="G2004" s="148">
        <v>250000</v>
      </c>
    </row>
    <row r="2005" spans="1:7" x14ac:dyDescent="0.25">
      <c r="A2005" s="147">
        <v>2000</v>
      </c>
      <c r="B2005" s="145">
        <v>46039</v>
      </c>
      <c r="C2005" s="191">
        <v>2026</v>
      </c>
      <c r="D2005" s="192" t="s">
        <v>35</v>
      </c>
      <c r="E2005" s="192" t="s">
        <v>180</v>
      </c>
      <c r="F2005" s="193">
        <v>20</v>
      </c>
      <c r="G2005" s="148">
        <v>46900</v>
      </c>
    </row>
    <row r="2006" spans="1:7" x14ac:dyDescent="0.25">
      <c r="A2006" s="147">
        <v>2001</v>
      </c>
      <c r="B2006" s="145">
        <v>46041</v>
      </c>
      <c r="C2006" s="191">
        <v>2026</v>
      </c>
      <c r="D2006" s="192" t="s">
        <v>35</v>
      </c>
      <c r="E2006" s="192" t="s">
        <v>610</v>
      </c>
      <c r="F2006" s="193">
        <v>2</v>
      </c>
      <c r="G2006" s="148">
        <v>40900</v>
      </c>
    </row>
    <row r="2007" spans="1:7" x14ac:dyDescent="0.25">
      <c r="A2007" s="147">
        <v>2002</v>
      </c>
      <c r="B2007" s="145">
        <v>46041</v>
      </c>
      <c r="C2007" s="191">
        <v>2026</v>
      </c>
      <c r="D2007" s="192" t="s">
        <v>35</v>
      </c>
      <c r="E2007" s="192" t="s">
        <v>407</v>
      </c>
      <c r="F2007" s="193">
        <v>3</v>
      </c>
      <c r="G2007" s="148">
        <v>330000</v>
      </c>
    </row>
    <row r="2008" spans="1:7" x14ac:dyDescent="0.25">
      <c r="A2008" s="147">
        <v>2003</v>
      </c>
      <c r="B2008" s="145">
        <v>46041</v>
      </c>
      <c r="C2008" s="191">
        <v>2026</v>
      </c>
      <c r="D2008" s="192" t="s">
        <v>35</v>
      </c>
      <c r="E2008" s="192" t="s">
        <v>1315</v>
      </c>
      <c r="F2008" s="193">
        <v>1</v>
      </c>
      <c r="G2008" s="148">
        <v>36710</v>
      </c>
    </row>
    <row r="2009" spans="1:7" x14ac:dyDescent="0.25">
      <c r="A2009" s="147">
        <v>2004</v>
      </c>
      <c r="B2009" s="145">
        <v>46041</v>
      </c>
      <c r="C2009" s="191">
        <v>2026</v>
      </c>
      <c r="D2009" s="192" t="s">
        <v>35</v>
      </c>
      <c r="E2009" s="192" t="s">
        <v>677</v>
      </c>
      <c r="F2009" s="193">
        <v>5</v>
      </c>
      <c r="G2009" s="148">
        <v>35590</v>
      </c>
    </row>
    <row r="2010" spans="1:7" x14ac:dyDescent="0.25">
      <c r="A2010" s="147">
        <v>2005</v>
      </c>
      <c r="B2010" s="145">
        <v>46041</v>
      </c>
      <c r="C2010" s="191">
        <v>2026</v>
      </c>
      <c r="D2010" s="192" t="s">
        <v>35</v>
      </c>
      <c r="E2010" s="192" t="s">
        <v>1619</v>
      </c>
      <c r="F2010" s="193">
        <v>1</v>
      </c>
      <c r="G2010" s="148">
        <v>35000</v>
      </c>
    </row>
    <row r="2011" spans="1:7" x14ac:dyDescent="0.25">
      <c r="A2011" s="147">
        <v>2006</v>
      </c>
      <c r="B2011" s="145">
        <v>46042</v>
      </c>
      <c r="C2011" s="191">
        <v>2026</v>
      </c>
      <c r="D2011" s="192" t="s">
        <v>35</v>
      </c>
      <c r="E2011" s="192" t="s">
        <v>1620</v>
      </c>
      <c r="F2011" s="193">
        <v>1</v>
      </c>
      <c r="G2011" s="148">
        <v>137100</v>
      </c>
    </row>
    <row r="2012" spans="1:7" x14ac:dyDescent="0.25">
      <c r="A2012" s="147">
        <v>2007</v>
      </c>
      <c r="B2012" s="145">
        <v>46042</v>
      </c>
      <c r="C2012" s="191">
        <v>2026</v>
      </c>
      <c r="D2012" s="192" t="s">
        <v>35</v>
      </c>
      <c r="E2012" s="192" t="s">
        <v>1601</v>
      </c>
      <c r="F2012" s="193">
        <v>4</v>
      </c>
      <c r="G2012" s="148">
        <v>210000</v>
      </c>
    </row>
    <row r="2013" spans="1:7" x14ac:dyDescent="0.25">
      <c r="A2013" s="147">
        <v>2008</v>
      </c>
      <c r="B2013" s="145">
        <v>46042</v>
      </c>
      <c r="C2013" s="191">
        <v>2026</v>
      </c>
      <c r="D2013" s="192" t="s">
        <v>35</v>
      </c>
      <c r="E2013" s="192" t="s">
        <v>220</v>
      </c>
      <c r="F2013" s="193">
        <v>1</v>
      </c>
      <c r="G2013" s="148">
        <v>204600</v>
      </c>
    </row>
    <row r="2014" spans="1:7" x14ac:dyDescent="0.25">
      <c r="A2014" s="147">
        <v>2009</v>
      </c>
      <c r="B2014" s="145">
        <v>46042</v>
      </c>
      <c r="C2014" s="191">
        <v>2026</v>
      </c>
      <c r="D2014" s="192" t="s">
        <v>35</v>
      </c>
      <c r="E2014" s="192" t="s">
        <v>101</v>
      </c>
      <c r="F2014" s="193">
        <v>3</v>
      </c>
      <c r="G2014" s="148">
        <v>10131</v>
      </c>
    </row>
    <row r="2015" spans="1:7" x14ac:dyDescent="0.25">
      <c r="A2015" s="147">
        <v>2010</v>
      </c>
      <c r="B2015" s="145">
        <v>46042</v>
      </c>
      <c r="C2015" s="191">
        <v>2026</v>
      </c>
      <c r="D2015" s="192" t="s">
        <v>35</v>
      </c>
      <c r="E2015" s="192" t="s">
        <v>1399</v>
      </c>
      <c r="F2015" s="193">
        <v>1</v>
      </c>
      <c r="G2015" s="148">
        <v>19400</v>
      </c>
    </row>
    <row r="2016" spans="1:7" x14ac:dyDescent="0.25">
      <c r="A2016" s="147">
        <v>2011</v>
      </c>
      <c r="B2016" s="145">
        <v>46043</v>
      </c>
      <c r="C2016" s="191">
        <v>2026</v>
      </c>
      <c r="D2016" s="192" t="s">
        <v>35</v>
      </c>
      <c r="E2016" s="192" t="s">
        <v>677</v>
      </c>
      <c r="F2016" s="193">
        <v>2</v>
      </c>
      <c r="G2016" s="148">
        <v>19900</v>
      </c>
    </row>
    <row r="2017" spans="1:7" x14ac:dyDescent="0.25">
      <c r="A2017" s="147">
        <v>2012</v>
      </c>
      <c r="B2017" s="145">
        <v>46044</v>
      </c>
      <c r="C2017" s="191">
        <v>2026</v>
      </c>
      <c r="D2017" s="192" t="s">
        <v>35</v>
      </c>
      <c r="E2017" s="192" t="s">
        <v>252</v>
      </c>
      <c r="F2017" s="193">
        <v>2</v>
      </c>
      <c r="G2017" s="148">
        <v>2140000</v>
      </c>
    </row>
    <row r="2018" spans="1:7" x14ac:dyDescent="0.25">
      <c r="A2018" s="147">
        <v>2013</v>
      </c>
      <c r="B2018" s="145">
        <v>46044</v>
      </c>
      <c r="C2018" s="191">
        <v>2026</v>
      </c>
      <c r="D2018" s="192" t="s">
        <v>35</v>
      </c>
      <c r="E2018" s="192" t="s">
        <v>761</v>
      </c>
      <c r="F2018" s="193">
        <v>2</v>
      </c>
      <c r="G2018" s="148">
        <v>3150000</v>
      </c>
    </row>
    <row r="2019" spans="1:7" x14ac:dyDescent="0.25">
      <c r="A2019" s="147">
        <v>2014</v>
      </c>
      <c r="B2019" s="145">
        <v>46044</v>
      </c>
      <c r="C2019" s="191">
        <v>2026</v>
      </c>
      <c r="D2019" s="192" t="s">
        <v>35</v>
      </c>
      <c r="E2019" s="192" t="s">
        <v>761</v>
      </c>
      <c r="F2019" s="193">
        <v>4</v>
      </c>
      <c r="G2019" s="148">
        <v>9000000</v>
      </c>
    </row>
    <row r="2020" spans="1:7" x14ac:dyDescent="0.25">
      <c r="A2020" s="147">
        <v>2015</v>
      </c>
      <c r="B2020" s="145">
        <v>46044</v>
      </c>
      <c r="C2020" s="191">
        <v>2026</v>
      </c>
      <c r="D2020" s="192" t="s">
        <v>35</v>
      </c>
      <c r="E2020" s="192" t="s">
        <v>414</v>
      </c>
      <c r="F2020" s="193">
        <v>12</v>
      </c>
      <c r="G2020" s="148">
        <v>4080000</v>
      </c>
    </row>
    <row r="2021" spans="1:7" x14ac:dyDescent="0.25">
      <c r="A2021" s="147">
        <v>2016</v>
      </c>
      <c r="B2021" s="145">
        <v>46044</v>
      </c>
      <c r="C2021" s="191">
        <v>2026</v>
      </c>
      <c r="D2021" s="192" t="s">
        <v>35</v>
      </c>
      <c r="E2021" s="192" t="s">
        <v>1586</v>
      </c>
      <c r="F2021" s="193">
        <v>1</v>
      </c>
      <c r="G2021" s="148">
        <v>101083</v>
      </c>
    </row>
    <row r="2022" spans="1:7" x14ac:dyDescent="0.25">
      <c r="A2022" s="147">
        <v>2017</v>
      </c>
      <c r="B2022" s="145">
        <v>46044</v>
      </c>
      <c r="C2022" s="191">
        <v>2026</v>
      </c>
      <c r="D2022" s="192" t="s">
        <v>35</v>
      </c>
      <c r="E2022" s="192" t="s">
        <v>1450</v>
      </c>
      <c r="F2022" s="193">
        <v>1</v>
      </c>
      <c r="G2022" s="148">
        <v>65000</v>
      </c>
    </row>
    <row r="2023" spans="1:7" x14ac:dyDescent="0.25">
      <c r="A2023" s="147">
        <v>2018</v>
      </c>
      <c r="B2023" s="145">
        <v>46044</v>
      </c>
      <c r="C2023" s="191">
        <v>2026</v>
      </c>
      <c r="D2023" s="192" t="s">
        <v>35</v>
      </c>
      <c r="E2023" s="192" t="s">
        <v>72</v>
      </c>
      <c r="F2023" s="193">
        <v>1</v>
      </c>
      <c r="G2023" s="148">
        <v>25000</v>
      </c>
    </row>
    <row r="2024" spans="1:7" x14ac:dyDescent="0.25">
      <c r="A2024" s="147">
        <v>2019</v>
      </c>
      <c r="B2024" s="145">
        <v>46044</v>
      </c>
      <c r="C2024" s="191">
        <v>2026</v>
      </c>
      <c r="D2024" s="192" t="s">
        <v>35</v>
      </c>
      <c r="E2024" s="192" t="s">
        <v>852</v>
      </c>
      <c r="F2024" s="193">
        <v>1</v>
      </c>
      <c r="G2024" s="148">
        <v>19900</v>
      </c>
    </row>
    <row r="2025" spans="1:7" x14ac:dyDescent="0.25">
      <c r="A2025" s="147">
        <v>2020</v>
      </c>
      <c r="B2025" s="145">
        <v>46045</v>
      </c>
      <c r="C2025" s="191">
        <v>2026</v>
      </c>
      <c r="D2025" s="192" t="s">
        <v>35</v>
      </c>
      <c r="E2025" s="192" t="s">
        <v>1621</v>
      </c>
      <c r="F2025" s="193">
        <v>1</v>
      </c>
      <c r="G2025" s="148">
        <v>1250000</v>
      </c>
    </row>
    <row r="2026" spans="1:7" x14ac:dyDescent="0.25">
      <c r="A2026" s="147">
        <v>2021</v>
      </c>
      <c r="B2026" s="145">
        <v>46046</v>
      </c>
      <c r="C2026" s="191">
        <v>2026</v>
      </c>
      <c r="D2026" s="192" t="s">
        <v>35</v>
      </c>
      <c r="E2026" s="192" t="s">
        <v>612</v>
      </c>
      <c r="F2026" s="193">
        <v>4</v>
      </c>
      <c r="G2026" s="148">
        <v>24700</v>
      </c>
    </row>
    <row r="2027" spans="1:7" x14ac:dyDescent="0.25">
      <c r="A2027" s="147">
        <v>2022</v>
      </c>
      <c r="B2027" s="145">
        <v>46046</v>
      </c>
      <c r="C2027" s="191">
        <v>2026</v>
      </c>
      <c r="D2027" s="192" t="s">
        <v>35</v>
      </c>
      <c r="E2027" s="192" t="s">
        <v>1622</v>
      </c>
      <c r="F2027" s="193">
        <v>1</v>
      </c>
      <c r="G2027" s="148">
        <v>7650</v>
      </c>
    </row>
    <row r="2028" spans="1:7" x14ac:dyDescent="0.25">
      <c r="A2028" s="147">
        <v>2023</v>
      </c>
      <c r="B2028" s="145">
        <v>46046</v>
      </c>
      <c r="C2028" s="191">
        <v>2026</v>
      </c>
      <c r="D2028" s="192" t="s">
        <v>35</v>
      </c>
      <c r="E2028" s="192" t="s">
        <v>1623</v>
      </c>
      <c r="F2028" s="193">
        <v>1</v>
      </c>
      <c r="G2028" s="148">
        <v>55984</v>
      </c>
    </row>
    <row r="2029" spans="1:7" x14ac:dyDescent="0.25">
      <c r="A2029" s="147">
        <v>2024</v>
      </c>
      <c r="B2029" s="145">
        <v>46046</v>
      </c>
      <c r="C2029" s="191">
        <v>2026</v>
      </c>
      <c r="D2029" s="192" t="s">
        <v>35</v>
      </c>
      <c r="E2029" s="192" t="s">
        <v>1624</v>
      </c>
      <c r="F2029" s="193">
        <v>2</v>
      </c>
      <c r="G2029" s="148">
        <v>67500</v>
      </c>
    </row>
    <row r="2030" spans="1:7" x14ac:dyDescent="0.25">
      <c r="A2030" s="147">
        <v>2025</v>
      </c>
      <c r="B2030" s="145">
        <v>46046</v>
      </c>
      <c r="C2030" s="191">
        <v>2026</v>
      </c>
      <c r="D2030" s="192" t="s">
        <v>35</v>
      </c>
      <c r="E2030" s="192" t="s">
        <v>679</v>
      </c>
      <c r="F2030" s="193">
        <v>1</v>
      </c>
      <c r="G2030" s="148">
        <v>30899</v>
      </c>
    </row>
    <row r="2031" spans="1:7" x14ac:dyDescent="0.25">
      <c r="A2031" s="147">
        <v>2026</v>
      </c>
      <c r="B2031" s="145">
        <v>46048</v>
      </c>
      <c r="C2031" s="191">
        <v>2026</v>
      </c>
      <c r="D2031" s="192" t="s">
        <v>35</v>
      </c>
      <c r="E2031" s="192" t="s">
        <v>739</v>
      </c>
      <c r="F2031" s="193">
        <v>75</v>
      </c>
      <c r="G2031" s="148">
        <v>660000</v>
      </c>
    </row>
    <row r="2032" spans="1:7" x14ac:dyDescent="0.25">
      <c r="A2032" s="147">
        <v>2027</v>
      </c>
      <c r="B2032" s="145">
        <v>46048</v>
      </c>
      <c r="C2032" s="191">
        <v>2026</v>
      </c>
      <c r="D2032" s="192" t="s">
        <v>35</v>
      </c>
      <c r="E2032" s="192" t="s">
        <v>1611</v>
      </c>
      <c r="F2032" s="193">
        <v>26</v>
      </c>
      <c r="G2032" s="148">
        <v>1214278</v>
      </c>
    </row>
    <row r="2033" spans="1:7" x14ac:dyDescent="0.25">
      <c r="A2033" s="147">
        <v>2028</v>
      </c>
      <c r="B2033" s="145">
        <v>46048</v>
      </c>
      <c r="C2033" s="191">
        <v>2026</v>
      </c>
      <c r="D2033" s="192" t="s">
        <v>35</v>
      </c>
      <c r="E2033" s="192" t="s">
        <v>1069</v>
      </c>
      <c r="F2033" s="193">
        <v>1</v>
      </c>
      <c r="G2033" s="148">
        <v>56400</v>
      </c>
    </row>
    <row r="2034" spans="1:7" x14ac:dyDescent="0.25">
      <c r="A2034" s="147">
        <v>2029</v>
      </c>
      <c r="B2034" s="145">
        <v>46048</v>
      </c>
      <c r="C2034" s="191">
        <v>2026</v>
      </c>
      <c r="D2034" s="192" t="s">
        <v>35</v>
      </c>
      <c r="E2034" s="192" t="s">
        <v>1030</v>
      </c>
      <c r="F2034" s="193">
        <v>2</v>
      </c>
      <c r="G2034" s="148">
        <v>15000</v>
      </c>
    </row>
    <row r="2035" spans="1:7" x14ac:dyDescent="0.25">
      <c r="A2035" s="147">
        <v>2030</v>
      </c>
      <c r="B2035" s="145">
        <v>46048</v>
      </c>
      <c r="C2035" s="191">
        <v>2026</v>
      </c>
      <c r="D2035" s="192" t="s">
        <v>35</v>
      </c>
      <c r="E2035" s="192" t="s">
        <v>1030</v>
      </c>
      <c r="F2035" s="193">
        <v>2</v>
      </c>
      <c r="G2035" s="148">
        <v>13900</v>
      </c>
    </row>
    <row r="2036" spans="1:7" x14ac:dyDescent="0.25">
      <c r="A2036" s="147">
        <v>2031</v>
      </c>
      <c r="B2036" s="145">
        <v>46048</v>
      </c>
      <c r="C2036" s="191">
        <v>2026</v>
      </c>
      <c r="D2036" s="192" t="s">
        <v>35</v>
      </c>
      <c r="E2036" s="192" t="s">
        <v>1459</v>
      </c>
      <c r="F2036" s="193">
        <v>2</v>
      </c>
      <c r="G2036" s="148">
        <v>110000</v>
      </c>
    </row>
    <row r="2037" spans="1:7" x14ac:dyDescent="0.25">
      <c r="A2037" s="147">
        <v>2032</v>
      </c>
      <c r="B2037" s="145">
        <v>46049</v>
      </c>
      <c r="C2037" s="191">
        <v>2026</v>
      </c>
      <c r="D2037" s="192" t="s">
        <v>35</v>
      </c>
      <c r="E2037" s="192" t="s">
        <v>192</v>
      </c>
      <c r="F2037" s="193">
        <v>12</v>
      </c>
      <c r="G2037" s="148">
        <v>35484</v>
      </c>
    </row>
    <row r="2038" spans="1:7" x14ac:dyDescent="0.25">
      <c r="A2038" s="147">
        <v>2033</v>
      </c>
      <c r="B2038" s="145">
        <v>46049</v>
      </c>
      <c r="C2038" s="191">
        <v>2026</v>
      </c>
      <c r="D2038" s="192" t="s">
        <v>35</v>
      </c>
      <c r="E2038" s="192" t="s">
        <v>36</v>
      </c>
      <c r="F2038" s="193">
        <v>3</v>
      </c>
      <c r="G2038" s="148">
        <v>17652</v>
      </c>
    </row>
    <row r="2039" spans="1:7" x14ac:dyDescent="0.25">
      <c r="A2039" s="147">
        <v>2034</v>
      </c>
      <c r="B2039" s="145">
        <v>46049</v>
      </c>
      <c r="C2039" s="191">
        <v>2026</v>
      </c>
      <c r="D2039" s="192" t="s">
        <v>35</v>
      </c>
      <c r="E2039" s="192" t="s">
        <v>643</v>
      </c>
      <c r="F2039" s="193">
        <v>5</v>
      </c>
      <c r="G2039" s="148">
        <v>14950</v>
      </c>
    </row>
    <row r="2040" spans="1:7" x14ac:dyDescent="0.25">
      <c r="A2040" s="147">
        <v>2035</v>
      </c>
      <c r="B2040" s="145">
        <v>46050</v>
      </c>
      <c r="C2040" s="191">
        <v>2026</v>
      </c>
      <c r="D2040" s="192" t="s">
        <v>35</v>
      </c>
      <c r="E2040" s="192" t="s">
        <v>1601</v>
      </c>
      <c r="F2040" s="193">
        <v>4</v>
      </c>
      <c r="G2040" s="148">
        <v>210000</v>
      </c>
    </row>
    <row r="2041" spans="1:7" x14ac:dyDescent="0.25">
      <c r="A2041" s="147">
        <v>2036</v>
      </c>
      <c r="B2041" s="145">
        <v>46050</v>
      </c>
      <c r="C2041" s="191">
        <v>2026</v>
      </c>
      <c r="D2041" s="192" t="s">
        <v>35</v>
      </c>
      <c r="E2041" s="192" t="s">
        <v>1601</v>
      </c>
      <c r="F2041" s="193">
        <v>4</v>
      </c>
      <c r="G2041" s="148">
        <v>210000</v>
      </c>
    </row>
    <row r="2042" spans="1:7" x14ac:dyDescent="0.25">
      <c r="A2042" s="147">
        <v>2037</v>
      </c>
      <c r="B2042" s="145">
        <v>46050</v>
      </c>
      <c r="C2042" s="191">
        <v>2026</v>
      </c>
      <c r="D2042" s="192" t="s">
        <v>35</v>
      </c>
      <c r="E2042" s="192" t="s">
        <v>1601</v>
      </c>
      <c r="F2042" s="193">
        <v>4</v>
      </c>
      <c r="G2042" s="148">
        <v>210000</v>
      </c>
    </row>
    <row r="2043" spans="1:7" x14ac:dyDescent="0.25">
      <c r="A2043" s="147">
        <v>2038</v>
      </c>
      <c r="B2043" s="145">
        <v>46050</v>
      </c>
      <c r="C2043" s="191">
        <v>2026</v>
      </c>
      <c r="D2043" s="192" t="s">
        <v>35</v>
      </c>
      <c r="E2043" s="192" t="s">
        <v>478</v>
      </c>
      <c r="F2043" s="193">
        <v>100</v>
      </c>
      <c r="G2043" s="148">
        <v>42700</v>
      </c>
    </row>
    <row r="2044" spans="1:7" x14ac:dyDescent="0.25">
      <c r="A2044" s="147">
        <v>2039</v>
      </c>
      <c r="B2044" s="145">
        <v>46050</v>
      </c>
      <c r="C2044" s="191">
        <v>2026</v>
      </c>
      <c r="D2044" s="192" t="s">
        <v>35</v>
      </c>
      <c r="E2044" s="192" t="s">
        <v>629</v>
      </c>
      <c r="F2044" s="193">
        <v>1</v>
      </c>
      <c r="G2044" s="148">
        <v>27500</v>
      </c>
    </row>
    <row r="2045" spans="1:7" x14ac:dyDescent="0.25">
      <c r="A2045" s="147">
        <v>2040</v>
      </c>
      <c r="B2045" s="145">
        <v>46050</v>
      </c>
      <c r="C2045" s="191">
        <v>2026</v>
      </c>
      <c r="D2045" s="192" t="s">
        <v>35</v>
      </c>
      <c r="E2045" s="192" t="s">
        <v>629</v>
      </c>
      <c r="F2045" s="193">
        <v>2</v>
      </c>
      <c r="G2045" s="148">
        <v>33900</v>
      </c>
    </row>
    <row r="2046" spans="1:7" x14ac:dyDescent="0.25">
      <c r="A2046" s="147">
        <v>2041</v>
      </c>
      <c r="B2046" s="145">
        <v>46050</v>
      </c>
      <c r="C2046" s="191">
        <v>2026</v>
      </c>
      <c r="D2046" s="192" t="s">
        <v>35</v>
      </c>
      <c r="E2046" s="192" t="s">
        <v>1625</v>
      </c>
      <c r="F2046" s="193">
        <v>1</v>
      </c>
      <c r="G2046" s="148">
        <v>100799</v>
      </c>
    </row>
    <row r="2047" spans="1:7" x14ac:dyDescent="0.25">
      <c r="A2047" s="147">
        <v>2042</v>
      </c>
      <c r="B2047" s="145">
        <v>46050</v>
      </c>
      <c r="C2047" s="191">
        <v>2026</v>
      </c>
      <c r="D2047" s="192" t="s">
        <v>35</v>
      </c>
      <c r="E2047" s="192" t="s">
        <v>1470</v>
      </c>
      <c r="F2047" s="193">
        <v>1</v>
      </c>
      <c r="G2047" s="148">
        <v>100000</v>
      </c>
    </row>
    <row r="2048" spans="1:7" x14ac:dyDescent="0.25">
      <c r="A2048" s="147">
        <v>2043</v>
      </c>
      <c r="B2048" s="145">
        <v>46050</v>
      </c>
      <c r="C2048" s="191">
        <v>2026</v>
      </c>
      <c r="D2048" s="192" t="s">
        <v>35</v>
      </c>
      <c r="E2048" s="192" t="s">
        <v>708</v>
      </c>
      <c r="F2048" s="193">
        <v>30</v>
      </c>
      <c r="G2048" s="148">
        <v>154020</v>
      </c>
    </row>
    <row r="2049" spans="1:7" x14ac:dyDescent="0.25">
      <c r="A2049" s="147">
        <v>2044</v>
      </c>
      <c r="B2049" s="145">
        <v>46051</v>
      </c>
      <c r="C2049" s="191">
        <v>2026</v>
      </c>
      <c r="D2049" s="192" t="s">
        <v>35</v>
      </c>
      <c r="E2049" s="192" t="s">
        <v>1631</v>
      </c>
      <c r="F2049" s="193">
        <v>1</v>
      </c>
      <c r="G2049" s="148">
        <v>116900</v>
      </c>
    </row>
    <row r="2050" spans="1:7" x14ac:dyDescent="0.25">
      <c r="A2050" s="147">
        <v>2045</v>
      </c>
      <c r="B2050" s="145">
        <v>46052</v>
      </c>
      <c r="C2050" s="191">
        <v>2026</v>
      </c>
      <c r="D2050" s="192" t="s">
        <v>35</v>
      </c>
      <c r="E2050" s="192" t="s">
        <v>668</v>
      </c>
      <c r="F2050" s="193">
        <v>2</v>
      </c>
      <c r="G2050" s="148">
        <v>66900</v>
      </c>
    </row>
    <row r="2051" spans="1:7" x14ac:dyDescent="0.25">
      <c r="A2051" s="147">
        <v>2046</v>
      </c>
      <c r="B2051" s="145">
        <v>46053</v>
      </c>
      <c r="C2051" s="191">
        <v>2026</v>
      </c>
      <c r="D2051" s="192" t="s">
        <v>35</v>
      </c>
      <c r="E2051" s="192" t="s">
        <v>486</v>
      </c>
      <c r="F2051" s="193">
        <v>4</v>
      </c>
      <c r="G2051" s="148">
        <v>186252</v>
      </c>
    </row>
    <row r="2052" spans="1:7" x14ac:dyDescent="0.25">
      <c r="A2052" s="147">
        <v>2047</v>
      </c>
      <c r="B2052" s="145">
        <v>46053</v>
      </c>
      <c r="C2052" s="191">
        <v>2026</v>
      </c>
      <c r="D2052" s="192" t="s">
        <v>35</v>
      </c>
      <c r="E2052" s="192" t="s">
        <v>124</v>
      </c>
      <c r="F2052" s="193">
        <v>1</v>
      </c>
      <c r="G2052" s="148">
        <v>7230000</v>
      </c>
    </row>
    <row r="2053" spans="1:7" x14ac:dyDescent="0.25">
      <c r="A2053" s="147">
        <v>2048</v>
      </c>
      <c r="B2053" s="145">
        <v>46053</v>
      </c>
      <c r="C2053" s="191">
        <v>2026</v>
      </c>
      <c r="D2053" s="192" t="s">
        <v>35</v>
      </c>
      <c r="E2053" s="192" t="s">
        <v>1610</v>
      </c>
      <c r="F2053" s="193">
        <v>2</v>
      </c>
      <c r="G2053" s="148">
        <v>22000</v>
      </c>
    </row>
    <row r="2054" spans="1:7" x14ac:dyDescent="0.25">
      <c r="A2054" s="147">
        <v>2049</v>
      </c>
      <c r="B2054" s="145">
        <v>46056</v>
      </c>
      <c r="C2054" s="191">
        <v>2026</v>
      </c>
      <c r="D2054" s="192" t="s">
        <v>35</v>
      </c>
      <c r="E2054" s="192" t="s">
        <v>252</v>
      </c>
      <c r="F2054" s="193">
        <v>2</v>
      </c>
      <c r="G2054" s="148">
        <v>2140000</v>
      </c>
    </row>
    <row r="2055" spans="1:7" x14ac:dyDescent="0.25">
      <c r="A2055" s="147">
        <v>2050</v>
      </c>
      <c r="B2055" s="145">
        <v>46056</v>
      </c>
      <c r="C2055" s="191">
        <v>2026</v>
      </c>
      <c r="D2055" s="192" t="s">
        <v>35</v>
      </c>
      <c r="E2055" s="192" t="s">
        <v>761</v>
      </c>
      <c r="F2055" s="193">
        <v>1</v>
      </c>
      <c r="G2055" s="148">
        <v>2250000</v>
      </c>
    </row>
    <row r="2056" spans="1:7" x14ac:dyDescent="0.25">
      <c r="A2056" s="147">
        <v>2051</v>
      </c>
      <c r="B2056" s="145">
        <v>46056</v>
      </c>
      <c r="C2056" s="191">
        <v>2026</v>
      </c>
      <c r="D2056" s="192" t="s">
        <v>35</v>
      </c>
      <c r="E2056" s="192" t="s">
        <v>1450</v>
      </c>
      <c r="F2056" s="193">
        <v>1</v>
      </c>
      <c r="G2056" s="148">
        <v>65000</v>
      </c>
    </row>
    <row r="2057" spans="1:7" x14ac:dyDescent="0.25">
      <c r="A2057" s="147">
        <v>2052</v>
      </c>
      <c r="B2057" s="145">
        <v>46056</v>
      </c>
      <c r="C2057" s="191">
        <v>2026</v>
      </c>
      <c r="D2057" s="192" t="s">
        <v>35</v>
      </c>
      <c r="E2057" s="192" t="s">
        <v>72</v>
      </c>
      <c r="F2057" s="193">
        <v>1</v>
      </c>
      <c r="G2057" s="148">
        <v>25000</v>
      </c>
    </row>
    <row r="2058" spans="1:7" x14ac:dyDescent="0.25">
      <c r="A2058" s="147">
        <v>2053</v>
      </c>
      <c r="B2058" s="145">
        <v>46057</v>
      </c>
      <c r="C2058" s="191">
        <v>2026</v>
      </c>
      <c r="D2058" s="192" t="s">
        <v>35</v>
      </c>
      <c r="E2058" s="192" t="s">
        <v>211</v>
      </c>
      <c r="F2058" s="193">
        <v>10</v>
      </c>
      <c r="G2058" s="148">
        <v>220000</v>
      </c>
    </row>
    <row r="2059" spans="1:7" x14ac:dyDescent="0.25">
      <c r="A2059" s="147">
        <v>2054</v>
      </c>
      <c r="B2059" s="145">
        <v>46057</v>
      </c>
      <c r="C2059" s="191">
        <v>2026</v>
      </c>
      <c r="D2059" s="192" t="s">
        <v>35</v>
      </c>
      <c r="E2059" s="192" t="s">
        <v>211</v>
      </c>
      <c r="F2059" s="193">
        <v>2</v>
      </c>
      <c r="G2059" s="148">
        <v>39000</v>
      </c>
    </row>
    <row r="2060" spans="1:7" x14ac:dyDescent="0.25">
      <c r="A2060" s="147">
        <v>2055</v>
      </c>
      <c r="B2060" s="145">
        <v>46057</v>
      </c>
      <c r="C2060" s="191">
        <v>2026</v>
      </c>
      <c r="D2060" s="192" t="s">
        <v>35</v>
      </c>
      <c r="E2060" s="192" t="s">
        <v>1634</v>
      </c>
      <c r="F2060" s="193">
        <v>3</v>
      </c>
      <c r="G2060" s="148">
        <v>199350</v>
      </c>
    </row>
    <row r="2061" spans="1:7" x14ac:dyDescent="0.25">
      <c r="A2061" s="147">
        <v>2056</v>
      </c>
      <c r="B2061" s="145">
        <v>46058</v>
      </c>
      <c r="C2061" s="191">
        <v>2026</v>
      </c>
      <c r="D2061" s="192" t="s">
        <v>35</v>
      </c>
      <c r="E2061" s="192" t="s">
        <v>761</v>
      </c>
      <c r="F2061" s="193">
        <v>3</v>
      </c>
      <c r="G2061" s="148">
        <v>6750000</v>
      </c>
    </row>
    <row r="2062" spans="1:7" x14ac:dyDescent="0.25">
      <c r="A2062" s="147">
        <v>2057</v>
      </c>
      <c r="B2062" s="145">
        <v>46058</v>
      </c>
      <c r="C2062" s="191">
        <v>2026</v>
      </c>
      <c r="D2062" s="192" t="s">
        <v>35</v>
      </c>
      <c r="E2062" s="192" t="s">
        <v>1312</v>
      </c>
      <c r="F2062" s="193">
        <v>12</v>
      </c>
      <c r="G2062" s="148">
        <v>181104</v>
      </c>
    </row>
    <row r="2063" spans="1:7" x14ac:dyDescent="0.25">
      <c r="A2063" s="147">
        <v>2058</v>
      </c>
      <c r="B2063" s="145">
        <v>46058</v>
      </c>
      <c r="C2063" s="191">
        <v>2026</v>
      </c>
      <c r="D2063" s="192" t="s">
        <v>35</v>
      </c>
      <c r="E2063" s="192" t="s">
        <v>350</v>
      </c>
      <c r="F2063" s="193">
        <v>3</v>
      </c>
      <c r="G2063" s="148">
        <v>74799</v>
      </c>
    </row>
    <row r="2064" spans="1:7" x14ac:dyDescent="0.25">
      <c r="A2064" s="147">
        <v>2059</v>
      </c>
      <c r="B2064" s="145">
        <v>46059</v>
      </c>
      <c r="C2064" s="191">
        <v>2026</v>
      </c>
      <c r="D2064" s="192" t="s">
        <v>35</v>
      </c>
      <c r="E2064" s="192" t="s">
        <v>761</v>
      </c>
      <c r="F2064" s="193">
        <v>2</v>
      </c>
      <c r="G2064" s="148">
        <v>3150000</v>
      </c>
    </row>
    <row r="2065" spans="1:7" x14ac:dyDescent="0.25">
      <c r="A2065" s="147">
        <v>2060</v>
      </c>
      <c r="B2065" s="145">
        <v>46059</v>
      </c>
      <c r="C2065" s="191">
        <v>2026</v>
      </c>
      <c r="D2065" s="192" t="s">
        <v>35</v>
      </c>
      <c r="E2065" s="192" t="s">
        <v>670</v>
      </c>
      <c r="F2065" s="193">
        <v>10</v>
      </c>
      <c r="G2065" s="148">
        <v>23900</v>
      </c>
    </row>
    <row r="2066" spans="1:7" x14ac:dyDescent="0.25">
      <c r="A2066" s="147">
        <v>2061</v>
      </c>
      <c r="B2066" s="145">
        <v>46059</v>
      </c>
      <c r="C2066" s="191">
        <v>2026</v>
      </c>
      <c r="D2066" s="192" t="s">
        <v>35</v>
      </c>
      <c r="E2066" s="192" t="s">
        <v>1635</v>
      </c>
      <c r="F2066" s="193">
        <v>2</v>
      </c>
      <c r="G2066" s="148">
        <v>90900</v>
      </c>
    </row>
    <row r="2067" spans="1:7" x14ac:dyDescent="0.25">
      <c r="A2067" s="147">
        <v>2062</v>
      </c>
      <c r="B2067" s="145">
        <v>46059</v>
      </c>
      <c r="C2067" s="191">
        <v>2026</v>
      </c>
      <c r="D2067" s="192" t="s">
        <v>35</v>
      </c>
      <c r="E2067" s="192" t="s">
        <v>84</v>
      </c>
      <c r="F2067" s="193">
        <v>2</v>
      </c>
      <c r="G2067" s="148">
        <v>29700</v>
      </c>
    </row>
    <row r="2068" spans="1:7" x14ac:dyDescent="0.25">
      <c r="A2068" s="147">
        <v>2063</v>
      </c>
      <c r="B2068" s="145">
        <v>46060</v>
      </c>
      <c r="C2068" s="191">
        <v>2026</v>
      </c>
      <c r="D2068" s="192" t="s">
        <v>35</v>
      </c>
      <c r="E2068" s="192" t="s">
        <v>628</v>
      </c>
      <c r="F2068" s="193">
        <v>6</v>
      </c>
      <c r="G2068" s="148">
        <v>165096</v>
      </c>
    </row>
    <row r="2069" spans="1:7" x14ac:dyDescent="0.25">
      <c r="A2069" s="147">
        <v>2064</v>
      </c>
      <c r="B2069" s="145">
        <v>46060</v>
      </c>
      <c r="C2069" s="191">
        <v>2026</v>
      </c>
      <c r="D2069" s="192" t="s">
        <v>35</v>
      </c>
      <c r="E2069" s="192" t="s">
        <v>1328</v>
      </c>
      <c r="F2069" s="193">
        <v>1</v>
      </c>
      <c r="G2069" s="148">
        <v>10350</v>
      </c>
    </row>
    <row r="2070" spans="1:7" x14ac:dyDescent="0.25">
      <c r="A2070" s="147">
        <v>2065</v>
      </c>
      <c r="B2070" s="145">
        <v>46063</v>
      </c>
      <c r="C2070" s="191">
        <v>2026</v>
      </c>
      <c r="D2070" s="192" t="s">
        <v>35</v>
      </c>
      <c r="E2070" s="192" t="s">
        <v>46</v>
      </c>
      <c r="F2070" s="193">
        <v>15</v>
      </c>
      <c r="G2070" s="148">
        <v>45000</v>
      </c>
    </row>
    <row r="2071" spans="1:7" x14ac:dyDescent="0.25">
      <c r="A2071" s="147">
        <v>2066</v>
      </c>
      <c r="B2071" s="145">
        <v>46065</v>
      </c>
      <c r="C2071" s="191">
        <v>2026</v>
      </c>
      <c r="D2071" s="192" t="s">
        <v>35</v>
      </c>
      <c r="E2071" s="192" t="s">
        <v>1291</v>
      </c>
      <c r="F2071" s="193">
        <v>100</v>
      </c>
      <c r="G2071" s="148">
        <v>900000</v>
      </c>
    </row>
    <row r="2072" spans="1:7" x14ac:dyDescent="0.25">
      <c r="A2072" s="147">
        <v>2067</v>
      </c>
      <c r="B2072" s="145">
        <v>46065</v>
      </c>
      <c r="C2072" s="191">
        <v>2026</v>
      </c>
      <c r="D2072" s="192" t="s">
        <v>35</v>
      </c>
      <c r="E2072" s="192" t="s">
        <v>1610</v>
      </c>
      <c r="F2072" s="193">
        <v>2</v>
      </c>
      <c r="G2072" s="148">
        <v>22000</v>
      </c>
    </row>
    <row r="2073" spans="1:7" x14ac:dyDescent="0.25">
      <c r="A2073" s="147">
        <v>2068</v>
      </c>
      <c r="B2073" s="145">
        <v>46065</v>
      </c>
      <c r="C2073" s="191">
        <v>2026</v>
      </c>
      <c r="D2073" s="192" t="s">
        <v>35</v>
      </c>
      <c r="E2073" s="192" t="s">
        <v>1637</v>
      </c>
      <c r="F2073" s="193">
        <v>4</v>
      </c>
      <c r="G2073" s="148">
        <v>7500</v>
      </c>
    </row>
    <row r="2074" spans="1:7" x14ac:dyDescent="0.25">
      <c r="A2074" s="147">
        <v>2069</v>
      </c>
      <c r="B2074" s="145">
        <v>46067</v>
      </c>
      <c r="C2074" s="191">
        <v>2026</v>
      </c>
      <c r="D2074" s="192" t="s">
        <v>35</v>
      </c>
      <c r="E2074" s="192" t="s">
        <v>407</v>
      </c>
      <c r="F2074" s="193">
        <v>5</v>
      </c>
      <c r="G2074" s="148">
        <v>500000</v>
      </c>
    </row>
    <row r="2075" spans="1:7" x14ac:dyDescent="0.25">
      <c r="A2075" s="147">
        <v>2070</v>
      </c>
      <c r="B2075" s="145">
        <v>46067</v>
      </c>
      <c r="C2075" s="191">
        <v>2026</v>
      </c>
      <c r="D2075" s="192" t="s">
        <v>35</v>
      </c>
      <c r="E2075" s="192" t="s">
        <v>118</v>
      </c>
      <c r="F2075" s="193">
        <v>3</v>
      </c>
      <c r="G2075" s="148">
        <v>210000</v>
      </c>
    </row>
    <row r="2076" spans="1:7" x14ac:dyDescent="0.25">
      <c r="A2076" s="147">
        <v>2071</v>
      </c>
      <c r="B2076" s="145">
        <v>46067</v>
      </c>
      <c r="C2076" s="191">
        <v>2026</v>
      </c>
      <c r="D2076" s="192" t="s">
        <v>35</v>
      </c>
      <c r="E2076" s="192" t="s">
        <v>403</v>
      </c>
      <c r="F2076" s="193">
        <v>3</v>
      </c>
      <c r="G2076" s="148">
        <v>360000</v>
      </c>
    </row>
    <row r="2077" spans="1:7" x14ac:dyDescent="0.25">
      <c r="A2077" s="147">
        <v>2072</v>
      </c>
      <c r="B2077" s="145">
        <v>46067</v>
      </c>
      <c r="C2077" s="191">
        <v>2026</v>
      </c>
      <c r="D2077" s="192" t="s">
        <v>35</v>
      </c>
      <c r="E2077" s="192" t="s">
        <v>120</v>
      </c>
      <c r="F2077" s="193">
        <v>3</v>
      </c>
      <c r="G2077" s="148">
        <v>297000</v>
      </c>
    </row>
    <row r="2078" spans="1:7" x14ac:dyDescent="0.25">
      <c r="A2078" s="147">
        <v>2073</v>
      </c>
      <c r="B2078" s="145">
        <v>46067</v>
      </c>
      <c r="C2078" s="191">
        <v>2026</v>
      </c>
      <c r="D2078" s="192" t="s">
        <v>35</v>
      </c>
      <c r="E2078" s="192" t="s">
        <v>405</v>
      </c>
      <c r="F2078" s="193">
        <v>3</v>
      </c>
      <c r="G2078" s="148">
        <v>540000</v>
      </c>
    </row>
    <row r="2079" spans="1:7" x14ac:dyDescent="0.25">
      <c r="A2079" s="147">
        <v>2074</v>
      </c>
      <c r="B2079" s="145">
        <v>46067</v>
      </c>
      <c r="C2079" s="191">
        <v>2026</v>
      </c>
      <c r="D2079" s="192" t="s">
        <v>35</v>
      </c>
      <c r="E2079" s="192" t="s">
        <v>122</v>
      </c>
      <c r="F2079" s="193">
        <v>4</v>
      </c>
      <c r="G2079" s="148">
        <v>720000</v>
      </c>
    </row>
    <row r="2080" spans="1:7" x14ac:dyDescent="0.25">
      <c r="A2080" s="147">
        <v>2075</v>
      </c>
      <c r="B2080" s="145">
        <v>46067</v>
      </c>
      <c r="C2080" s="191">
        <v>2026</v>
      </c>
      <c r="D2080" s="192" t="s">
        <v>35</v>
      </c>
      <c r="E2080" s="192" t="s">
        <v>361</v>
      </c>
      <c r="F2080" s="193">
        <v>2</v>
      </c>
      <c r="G2080" s="148">
        <v>9000</v>
      </c>
    </row>
    <row r="2081" spans="1:7" x14ac:dyDescent="0.25">
      <c r="A2081" s="147">
        <v>2076</v>
      </c>
      <c r="B2081" s="145">
        <v>46067</v>
      </c>
      <c r="C2081" s="191">
        <v>2026</v>
      </c>
      <c r="D2081" s="192" t="s">
        <v>35</v>
      </c>
      <c r="E2081" s="192" t="s">
        <v>806</v>
      </c>
      <c r="F2081" s="193">
        <v>1</v>
      </c>
      <c r="G2081" s="148">
        <v>300000</v>
      </c>
    </row>
    <row r="2082" spans="1:7" x14ac:dyDescent="0.25">
      <c r="A2082" s="147">
        <v>2077</v>
      </c>
      <c r="B2082" s="145">
        <v>46067</v>
      </c>
      <c r="C2082" s="191">
        <v>2026</v>
      </c>
      <c r="D2082" s="192" t="s">
        <v>35</v>
      </c>
      <c r="E2082" s="192" t="s">
        <v>1610</v>
      </c>
      <c r="F2082" s="193">
        <v>2</v>
      </c>
      <c r="G2082" s="148">
        <v>22000</v>
      </c>
    </row>
    <row r="2083" spans="1:7" x14ac:dyDescent="0.25">
      <c r="A2083" s="147">
        <v>2078</v>
      </c>
      <c r="B2083" s="145">
        <v>46067</v>
      </c>
      <c r="C2083" s="191">
        <v>2026</v>
      </c>
      <c r="D2083" s="192" t="s">
        <v>35</v>
      </c>
      <c r="E2083" s="192" t="s">
        <v>1637</v>
      </c>
      <c r="F2083" s="193">
        <v>4</v>
      </c>
      <c r="G2083" s="148">
        <v>8000</v>
      </c>
    </row>
    <row r="2084" spans="1:7" x14ac:dyDescent="0.25">
      <c r="A2084" s="147">
        <v>2079</v>
      </c>
      <c r="B2084" s="145">
        <v>46067</v>
      </c>
      <c r="C2084" s="191">
        <v>2026</v>
      </c>
      <c r="D2084" s="192" t="s">
        <v>35</v>
      </c>
      <c r="E2084" s="192" t="s">
        <v>1329</v>
      </c>
      <c r="F2084" s="193">
        <v>1</v>
      </c>
      <c r="G2084" s="148">
        <v>48500</v>
      </c>
    </row>
    <row r="2085" spans="1:7" x14ac:dyDescent="0.25">
      <c r="A2085" s="147">
        <v>2080</v>
      </c>
      <c r="B2085" s="145">
        <v>46071</v>
      </c>
      <c r="C2085" s="191">
        <v>2026</v>
      </c>
      <c r="D2085" s="192" t="s">
        <v>35</v>
      </c>
      <c r="E2085" s="192" t="s">
        <v>761</v>
      </c>
      <c r="F2085" s="193">
        <v>2</v>
      </c>
      <c r="G2085" s="148">
        <v>3150000</v>
      </c>
    </row>
    <row r="2086" spans="1:7" x14ac:dyDescent="0.25">
      <c r="A2086" s="147">
        <v>2081</v>
      </c>
      <c r="B2086" s="145">
        <v>46071</v>
      </c>
      <c r="C2086" s="191">
        <v>2026</v>
      </c>
      <c r="D2086" s="192" t="s">
        <v>35</v>
      </c>
      <c r="E2086" s="192" t="s">
        <v>1642</v>
      </c>
      <c r="F2086" s="193">
        <v>4</v>
      </c>
      <c r="G2086" s="148">
        <v>50000</v>
      </c>
    </row>
    <row r="2087" spans="1:7" x14ac:dyDescent="0.25">
      <c r="A2087" s="147">
        <v>2082</v>
      </c>
      <c r="B2087" s="145">
        <v>46072</v>
      </c>
      <c r="C2087" s="191">
        <v>2026</v>
      </c>
      <c r="D2087" s="192" t="s">
        <v>35</v>
      </c>
      <c r="E2087" s="192" t="s">
        <v>1550</v>
      </c>
      <c r="F2087" s="193">
        <v>4</v>
      </c>
      <c r="G2087" s="148">
        <v>8000</v>
      </c>
    </row>
    <row r="2088" spans="1:7" x14ac:dyDescent="0.25">
      <c r="A2088" s="147">
        <v>2083</v>
      </c>
      <c r="B2088" s="145">
        <v>46073</v>
      </c>
      <c r="C2088" s="191">
        <v>2026</v>
      </c>
      <c r="D2088" s="192" t="s">
        <v>35</v>
      </c>
      <c r="E2088" s="192" t="s">
        <v>69</v>
      </c>
      <c r="F2088" s="193">
        <v>2</v>
      </c>
      <c r="G2088" s="148">
        <v>190000</v>
      </c>
    </row>
    <row r="2089" spans="1:7" x14ac:dyDescent="0.25">
      <c r="A2089" s="147">
        <v>2084</v>
      </c>
      <c r="B2089" s="145">
        <v>46073</v>
      </c>
      <c r="C2089" s="191">
        <v>2026</v>
      </c>
      <c r="D2089" s="192" t="s">
        <v>35</v>
      </c>
      <c r="E2089" s="192" t="s">
        <v>180</v>
      </c>
      <c r="F2089" s="193">
        <v>20</v>
      </c>
      <c r="G2089" s="148">
        <v>46900</v>
      </c>
    </row>
    <row r="2090" spans="1:7" x14ac:dyDescent="0.25">
      <c r="A2090" s="147">
        <v>2085</v>
      </c>
      <c r="B2090" s="145">
        <v>46073</v>
      </c>
      <c r="C2090" s="191">
        <v>2026</v>
      </c>
      <c r="D2090" s="192" t="s">
        <v>35</v>
      </c>
      <c r="E2090" s="192" t="s">
        <v>1459</v>
      </c>
      <c r="F2090" s="193">
        <v>1</v>
      </c>
      <c r="G2090" s="148">
        <v>110000</v>
      </c>
    </row>
    <row r="2091" spans="1:7" x14ac:dyDescent="0.25">
      <c r="A2091" s="147">
        <v>2086</v>
      </c>
      <c r="B2091" s="145">
        <v>46074</v>
      </c>
      <c r="C2091" s="191">
        <v>2026</v>
      </c>
      <c r="D2091" s="192" t="s">
        <v>35</v>
      </c>
      <c r="E2091" s="192" t="s">
        <v>128</v>
      </c>
      <c r="F2091" s="193">
        <v>1</v>
      </c>
      <c r="G2091" s="148">
        <v>175000</v>
      </c>
    </row>
    <row r="2092" spans="1:7" x14ac:dyDescent="0.25">
      <c r="A2092" s="147">
        <v>2087</v>
      </c>
      <c r="B2092" s="145">
        <v>46074</v>
      </c>
      <c r="C2092" s="191">
        <v>2026</v>
      </c>
      <c r="D2092" s="192" t="s">
        <v>35</v>
      </c>
      <c r="E2092" s="192" t="s">
        <v>205</v>
      </c>
      <c r="F2092" s="193">
        <v>1</v>
      </c>
      <c r="G2092" s="148">
        <v>20000</v>
      </c>
    </row>
    <row r="2093" spans="1:7" x14ac:dyDescent="0.25">
      <c r="A2093" s="147">
        <v>2088</v>
      </c>
      <c r="B2093" s="145">
        <v>46077</v>
      </c>
      <c r="C2093" s="191">
        <v>2026</v>
      </c>
      <c r="D2093" s="192" t="s">
        <v>35</v>
      </c>
      <c r="E2093" s="192" t="s">
        <v>1645</v>
      </c>
      <c r="F2093" s="193">
        <v>8</v>
      </c>
      <c r="G2093" s="148">
        <v>277904</v>
      </c>
    </row>
    <row r="2094" spans="1:7" x14ac:dyDescent="0.25">
      <c r="A2094" s="147">
        <v>2089</v>
      </c>
      <c r="B2094" s="145">
        <v>46077</v>
      </c>
      <c r="C2094" s="191">
        <v>2026</v>
      </c>
      <c r="D2094" s="192" t="s">
        <v>35</v>
      </c>
      <c r="E2094" s="192" t="s">
        <v>1646</v>
      </c>
      <c r="F2094" s="193">
        <v>2</v>
      </c>
      <c r="G2094" s="148">
        <v>241900</v>
      </c>
    </row>
    <row r="2095" spans="1:7" x14ac:dyDescent="0.25">
      <c r="A2095" s="147">
        <v>2090</v>
      </c>
      <c r="B2095" s="145">
        <v>46077</v>
      </c>
      <c r="C2095" s="191">
        <v>2026</v>
      </c>
      <c r="D2095" s="192" t="s">
        <v>35</v>
      </c>
      <c r="E2095" s="192" t="s">
        <v>1647</v>
      </c>
      <c r="F2095" s="193">
        <v>3</v>
      </c>
      <c r="G2095" s="148">
        <v>54402</v>
      </c>
    </row>
    <row r="2096" spans="1:7" x14ac:dyDescent="0.25">
      <c r="A2096" s="147">
        <v>2091</v>
      </c>
      <c r="B2096" s="145">
        <v>46077</v>
      </c>
      <c r="C2096" s="191">
        <v>2026</v>
      </c>
      <c r="D2096" s="192" t="s">
        <v>35</v>
      </c>
      <c r="E2096" s="192" t="s">
        <v>1392</v>
      </c>
      <c r="F2096" s="193">
        <v>4</v>
      </c>
      <c r="G2096" s="148">
        <v>160000</v>
      </c>
    </row>
    <row r="2097" spans="1:7" x14ac:dyDescent="0.25">
      <c r="A2097" s="147">
        <v>2092</v>
      </c>
      <c r="B2097" s="145">
        <v>46078</v>
      </c>
      <c r="C2097" s="191">
        <v>2026</v>
      </c>
      <c r="D2097" s="192" t="s">
        <v>35</v>
      </c>
      <c r="E2097" s="192" t="s">
        <v>739</v>
      </c>
      <c r="F2097" s="193">
        <v>75</v>
      </c>
      <c r="G2097" s="148">
        <v>660000</v>
      </c>
    </row>
    <row r="2098" spans="1:7" x14ac:dyDescent="0.25">
      <c r="A2098" s="147">
        <v>2093</v>
      </c>
      <c r="B2098" s="145">
        <v>46079</v>
      </c>
      <c r="C2098" s="191">
        <v>2026</v>
      </c>
      <c r="D2098" s="192" t="s">
        <v>35</v>
      </c>
      <c r="E2098" s="192" t="s">
        <v>610</v>
      </c>
      <c r="F2098" s="193">
        <v>2</v>
      </c>
      <c r="G2098" s="148">
        <v>41700</v>
      </c>
    </row>
    <row r="2099" spans="1:7" x14ac:dyDescent="0.25">
      <c r="A2099" s="147">
        <v>2094</v>
      </c>
      <c r="B2099" s="145">
        <v>46079</v>
      </c>
      <c r="C2099" s="191">
        <v>2026</v>
      </c>
      <c r="D2099" s="192" t="s">
        <v>35</v>
      </c>
      <c r="E2099" s="192" t="s">
        <v>79</v>
      </c>
      <c r="F2099" s="193">
        <v>4</v>
      </c>
      <c r="G2099" s="148">
        <v>189900</v>
      </c>
    </row>
    <row r="2100" spans="1:7" x14ac:dyDescent="0.25">
      <c r="A2100" s="147">
        <v>2095</v>
      </c>
      <c r="B2100" s="145">
        <v>46079</v>
      </c>
      <c r="C2100" s="191">
        <v>2026</v>
      </c>
      <c r="D2100" s="192" t="s">
        <v>35</v>
      </c>
      <c r="E2100" s="192" t="s">
        <v>378</v>
      </c>
      <c r="F2100" s="193">
        <v>50</v>
      </c>
      <c r="G2100" s="148">
        <v>12150</v>
      </c>
    </row>
    <row r="2101" spans="1:7" x14ac:dyDescent="0.25">
      <c r="A2101" s="147">
        <v>2096</v>
      </c>
      <c r="B2101" s="145">
        <v>46079</v>
      </c>
      <c r="C2101" s="191">
        <v>2026</v>
      </c>
      <c r="D2101" s="192" t="s">
        <v>35</v>
      </c>
      <c r="E2101" s="192" t="s">
        <v>1397</v>
      </c>
      <c r="F2101" s="193">
        <v>10</v>
      </c>
      <c r="G2101" s="148">
        <v>240000</v>
      </c>
    </row>
    <row r="2102" spans="1:7" x14ac:dyDescent="0.25">
      <c r="A2102" s="147">
        <v>2097</v>
      </c>
      <c r="B2102" s="145">
        <v>46079</v>
      </c>
      <c r="C2102" s="191">
        <v>2026</v>
      </c>
      <c r="D2102" s="192" t="s">
        <v>35</v>
      </c>
      <c r="E2102" s="192" t="s">
        <v>1527</v>
      </c>
      <c r="F2102" s="193">
        <v>1</v>
      </c>
      <c r="G2102" s="148">
        <v>200000</v>
      </c>
    </row>
    <row r="2103" spans="1:7" x14ac:dyDescent="0.25">
      <c r="A2103" s="147">
        <v>2098</v>
      </c>
      <c r="B2103" s="145">
        <v>46080</v>
      </c>
      <c r="C2103" s="191">
        <v>2026</v>
      </c>
      <c r="D2103" s="192" t="s">
        <v>35</v>
      </c>
      <c r="E2103" s="192" t="s">
        <v>36</v>
      </c>
      <c r="F2103" s="193">
        <v>3</v>
      </c>
      <c r="G2103" s="148">
        <v>17775</v>
      </c>
    </row>
    <row r="2104" spans="1:7" x14ac:dyDescent="0.25">
      <c r="A2104" s="147">
        <v>2099</v>
      </c>
      <c r="B2104" s="145">
        <v>46080</v>
      </c>
      <c r="C2104" s="191">
        <v>2026</v>
      </c>
      <c r="D2104" s="192" t="s">
        <v>35</v>
      </c>
      <c r="E2104" s="192" t="s">
        <v>110</v>
      </c>
      <c r="F2104" s="193">
        <v>2</v>
      </c>
      <c r="G2104" s="148">
        <v>17898</v>
      </c>
    </row>
    <row r="2105" spans="1:7" x14ac:dyDescent="0.25">
      <c r="A2105" s="147">
        <v>2100</v>
      </c>
      <c r="B2105" s="145">
        <v>46080</v>
      </c>
      <c r="C2105" s="191">
        <v>2026</v>
      </c>
      <c r="D2105" s="192" t="s">
        <v>35</v>
      </c>
      <c r="E2105" s="192" t="s">
        <v>1398</v>
      </c>
      <c r="F2105" s="193">
        <v>4</v>
      </c>
      <c r="G2105" s="148">
        <v>89700</v>
      </c>
    </row>
    <row r="2106" spans="1:7" x14ac:dyDescent="0.25">
      <c r="A2106" s="147">
        <v>2101</v>
      </c>
      <c r="B2106" s="145">
        <v>46081</v>
      </c>
      <c r="C2106" s="191">
        <v>2026</v>
      </c>
      <c r="D2106" s="192" t="s">
        <v>35</v>
      </c>
      <c r="E2106" s="192" t="s">
        <v>761</v>
      </c>
      <c r="F2106" s="193">
        <v>2</v>
      </c>
      <c r="G2106" s="148">
        <v>3150000</v>
      </c>
    </row>
    <row r="2107" spans="1:7" x14ac:dyDescent="0.25">
      <c r="A2107" s="147">
        <v>2102</v>
      </c>
      <c r="B2107" s="145">
        <v>46081</v>
      </c>
      <c r="C2107" s="191">
        <v>2026</v>
      </c>
      <c r="D2107" s="192" t="s">
        <v>35</v>
      </c>
      <c r="E2107" s="192" t="s">
        <v>1586</v>
      </c>
      <c r="F2107" s="193">
        <v>1</v>
      </c>
      <c r="G2107" s="148">
        <v>105900</v>
      </c>
    </row>
    <row r="2108" spans="1:7" x14ac:dyDescent="0.25">
      <c r="A2108" s="147">
        <v>2103</v>
      </c>
      <c r="B2108" s="145">
        <v>46081</v>
      </c>
      <c r="C2108" s="191">
        <v>2026</v>
      </c>
      <c r="D2108" s="192" t="s">
        <v>35</v>
      </c>
      <c r="E2108" s="192" t="s">
        <v>69</v>
      </c>
      <c r="F2108" s="193">
        <v>2</v>
      </c>
      <c r="G2108" s="148">
        <v>190000</v>
      </c>
    </row>
    <row r="2109" spans="1:7" x14ac:dyDescent="0.25">
      <c r="A2109" s="147">
        <v>2104</v>
      </c>
      <c r="B2109" s="145">
        <v>46081</v>
      </c>
      <c r="C2109" s="191">
        <v>2026</v>
      </c>
      <c r="D2109" s="192" t="s">
        <v>35</v>
      </c>
      <c r="E2109" s="192" t="s">
        <v>165</v>
      </c>
      <c r="F2109" s="193">
        <v>1</v>
      </c>
      <c r="G2109" s="148">
        <v>30000</v>
      </c>
    </row>
    <row r="2110" spans="1:7" x14ac:dyDescent="0.25">
      <c r="A2110" s="147">
        <v>2105</v>
      </c>
      <c r="B2110" s="145">
        <v>46081</v>
      </c>
      <c r="C2110" s="191">
        <v>2026</v>
      </c>
      <c r="D2110" s="192" t="s">
        <v>35</v>
      </c>
      <c r="E2110" s="192" t="s">
        <v>1631</v>
      </c>
      <c r="F2110" s="193">
        <v>2</v>
      </c>
      <c r="G2110" s="148">
        <v>231900</v>
      </c>
    </row>
    <row r="2111" spans="1:7" x14ac:dyDescent="0.25">
      <c r="A2111" s="147">
        <v>2106</v>
      </c>
      <c r="B2111" s="145">
        <v>46084</v>
      </c>
      <c r="C2111" s="191">
        <v>2026</v>
      </c>
      <c r="D2111" s="192" t="s">
        <v>35</v>
      </c>
      <c r="E2111" s="192" t="s">
        <v>211</v>
      </c>
      <c r="F2111" s="193">
        <v>10</v>
      </c>
      <c r="G2111" s="148">
        <v>152000</v>
      </c>
    </row>
    <row r="2112" spans="1:7" x14ac:dyDescent="0.25">
      <c r="A2112" s="147">
        <v>2107</v>
      </c>
      <c r="B2112" s="145">
        <v>46084</v>
      </c>
      <c r="C2112" s="191">
        <v>2026</v>
      </c>
      <c r="D2112" s="192" t="s">
        <v>35</v>
      </c>
      <c r="E2112" s="192" t="s">
        <v>407</v>
      </c>
      <c r="F2112" s="193">
        <v>5</v>
      </c>
      <c r="G2112" s="148">
        <v>525000</v>
      </c>
    </row>
    <row r="2113" spans="1:7" x14ac:dyDescent="0.25">
      <c r="A2113" s="147">
        <v>2108</v>
      </c>
      <c r="B2113" s="145">
        <v>46084</v>
      </c>
      <c r="C2113" s="191">
        <v>2026</v>
      </c>
      <c r="D2113" s="192" t="s">
        <v>35</v>
      </c>
      <c r="E2113" s="192" t="s">
        <v>118</v>
      </c>
      <c r="F2113" s="193">
        <v>3</v>
      </c>
      <c r="G2113" s="148">
        <v>210000</v>
      </c>
    </row>
    <row r="2114" spans="1:7" x14ac:dyDescent="0.25">
      <c r="A2114" s="147">
        <v>2109</v>
      </c>
      <c r="B2114" s="145">
        <v>46084</v>
      </c>
      <c r="C2114" s="191">
        <v>2026</v>
      </c>
      <c r="D2114" s="192" t="s">
        <v>35</v>
      </c>
      <c r="E2114" s="192" t="s">
        <v>403</v>
      </c>
      <c r="F2114" s="193">
        <v>5</v>
      </c>
      <c r="G2114" s="148">
        <v>600000</v>
      </c>
    </row>
    <row r="2115" spans="1:7" x14ac:dyDescent="0.25">
      <c r="A2115" s="147">
        <v>2110</v>
      </c>
      <c r="B2115" s="145">
        <v>46084</v>
      </c>
      <c r="C2115" s="191">
        <v>2026</v>
      </c>
      <c r="D2115" s="192" t="s">
        <v>35</v>
      </c>
      <c r="E2115" s="192" t="s">
        <v>120</v>
      </c>
      <c r="F2115" s="193">
        <v>3</v>
      </c>
      <c r="G2115" s="148">
        <v>292500</v>
      </c>
    </row>
    <row r="2116" spans="1:7" x14ac:dyDescent="0.25">
      <c r="A2116" s="147">
        <v>2111</v>
      </c>
      <c r="B2116" s="145">
        <v>46084</v>
      </c>
      <c r="C2116" s="191">
        <v>2026</v>
      </c>
      <c r="D2116" s="192" t="s">
        <v>35</v>
      </c>
      <c r="E2116" s="192" t="s">
        <v>405</v>
      </c>
      <c r="F2116" s="193">
        <v>5</v>
      </c>
      <c r="G2116" s="148">
        <v>900000</v>
      </c>
    </row>
    <row r="2117" spans="1:7" x14ac:dyDescent="0.25">
      <c r="A2117" s="147">
        <v>2112</v>
      </c>
      <c r="B2117" s="145">
        <v>46084</v>
      </c>
      <c r="C2117" s="191">
        <v>2026</v>
      </c>
      <c r="D2117" s="192" t="s">
        <v>35</v>
      </c>
      <c r="E2117" s="192" t="s">
        <v>476</v>
      </c>
      <c r="F2117" s="193">
        <v>3</v>
      </c>
      <c r="G2117" s="148">
        <v>74652</v>
      </c>
    </row>
    <row r="2118" spans="1:7" x14ac:dyDescent="0.25">
      <c r="A2118" s="147">
        <v>2113</v>
      </c>
      <c r="B2118" s="145">
        <v>46084</v>
      </c>
      <c r="C2118" s="191">
        <v>2026</v>
      </c>
      <c r="D2118" s="192" t="s">
        <v>35</v>
      </c>
      <c r="E2118" s="192" t="s">
        <v>1651</v>
      </c>
      <c r="F2118" s="193">
        <v>3</v>
      </c>
      <c r="G2118" s="148">
        <v>108000</v>
      </c>
    </row>
    <row r="2119" spans="1:7" x14ac:dyDescent="0.25">
      <c r="A2119" s="147">
        <v>2114</v>
      </c>
      <c r="B2119" s="145">
        <v>46084</v>
      </c>
      <c r="C2119" s="191">
        <v>2026</v>
      </c>
      <c r="D2119" s="192" t="s">
        <v>35</v>
      </c>
      <c r="E2119" s="192" t="s">
        <v>165</v>
      </c>
      <c r="F2119" s="193">
        <v>1</v>
      </c>
      <c r="G2119" s="148">
        <v>96800</v>
      </c>
    </row>
    <row r="2120" spans="1:7" x14ac:dyDescent="0.25">
      <c r="A2120" s="147">
        <v>2115</v>
      </c>
      <c r="B2120" s="145">
        <v>46084</v>
      </c>
      <c r="C2120" s="191">
        <v>2026</v>
      </c>
      <c r="D2120" s="192" t="s">
        <v>35</v>
      </c>
      <c r="E2120" s="192" t="s">
        <v>1389</v>
      </c>
      <c r="F2120" s="193">
        <v>1</v>
      </c>
      <c r="G2120" s="148">
        <v>96900</v>
      </c>
    </row>
    <row r="2121" spans="1:7" x14ac:dyDescent="0.25">
      <c r="A2121" s="147">
        <v>2116</v>
      </c>
      <c r="B2121" s="167">
        <v>46084</v>
      </c>
      <c r="C2121" s="117">
        <v>2026</v>
      </c>
      <c r="D2121" s="119" t="s">
        <v>35</v>
      </c>
      <c r="E2121" s="119" t="s">
        <v>220</v>
      </c>
      <c r="F2121" s="120">
        <v>1</v>
      </c>
      <c r="G2121" s="169">
        <v>204400</v>
      </c>
    </row>
    <row r="2122" spans="1:7" x14ac:dyDescent="0.25">
      <c r="A2122" s="147">
        <v>2117</v>
      </c>
      <c r="B2122" s="145">
        <v>46085</v>
      </c>
      <c r="C2122" s="191">
        <v>2026</v>
      </c>
      <c r="D2122" s="192" t="s">
        <v>35</v>
      </c>
      <c r="E2122" s="192" t="s">
        <v>299</v>
      </c>
      <c r="F2122" s="193">
        <v>3</v>
      </c>
      <c r="G2122" s="148">
        <v>24000</v>
      </c>
    </row>
    <row r="2123" spans="1:7" x14ac:dyDescent="0.25">
      <c r="A2123" s="147">
        <v>2118</v>
      </c>
      <c r="B2123" s="145">
        <v>46085</v>
      </c>
      <c r="C2123" s="191">
        <v>2026</v>
      </c>
      <c r="D2123" s="192" t="s">
        <v>35</v>
      </c>
      <c r="E2123" s="192" t="s">
        <v>1544</v>
      </c>
      <c r="F2123" s="193">
        <v>10</v>
      </c>
      <c r="G2123" s="148">
        <v>25000</v>
      </c>
    </row>
    <row r="2124" spans="1:7" x14ac:dyDescent="0.25">
      <c r="A2124" s="147">
        <v>2119</v>
      </c>
      <c r="B2124" s="145">
        <v>46086</v>
      </c>
      <c r="C2124" s="191">
        <v>2026</v>
      </c>
      <c r="D2124" s="192" t="s">
        <v>35</v>
      </c>
      <c r="E2124" s="192" t="s">
        <v>1056</v>
      </c>
      <c r="F2124" s="193">
        <v>3</v>
      </c>
      <c r="G2124" s="148">
        <v>31902</v>
      </c>
    </row>
    <row r="2125" spans="1:7" x14ac:dyDescent="0.25">
      <c r="A2125" s="147">
        <v>2120</v>
      </c>
      <c r="B2125" s="145">
        <v>46086</v>
      </c>
      <c r="C2125" s="191">
        <v>2026</v>
      </c>
      <c r="D2125" s="192" t="s">
        <v>35</v>
      </c>
      <c r="E2125" s="192" t="s">
        <v>1057</v>
      </c>
      <c r="F2125" s="193">
        <v>3</v>
      </c>
      <c r="G2125" s="148">
        <v>61152</v>
      </c>
    </row>
    <row r="2126" spans="1:7" x14ac:dyDescent="0.25">
      <c r="A2126" s="147">
        <v>2121</v>
      </c>
      <c r="B2126" s="145">
        <v>46086</v>
      </c>
      <c r="C2126" s="191">
        <v>2026</v>
      </c>
      <c r="D2126" s="192" t="s">
        <v>35</v>
      </c>
      <c r="E2126" s="192" t="s">
        <v>1308</v>
      </c>
      <c r="F2126" s="193">
        <v>3</v>
      </c>
      <c r="G2126" s="148">
        <v>31752</v>
      </c>
    </row>
    <row r="2127" spans="1:7" x14ac:dyDescent="0.25">
      <c r="A2127" s="147">
        <v>2122</v>
      </c>
      <c r="B2127" s="145">
        <v>46088</v>
      </c>
      <c r="C2127" s="191">
        <v>2026</v>
      </c>
      <c r="D2127" s="192" t="s">
        <v>35</v>
      </c>
      <c r="E2127" s="192" t="s">
        <v>1654</v>
      </c>
      <c r="F2127" s="193">
        <v>1</v>
      </c>
      <c r="G2127" s="148">
        <v>13400</v>
      </c>
    </row>
    <row r="2128" spans="1:7" x14ac:dyDescent="0.25">
      <c r="A2128" s="147">
        <v>2123</v>
      </c>
      <c r="B2128" s="145">
        <v>46090</v>
      </c>
      <c r="C2128" s="191">
        <v>2026</v>
      </c>
      <c r="D2128" s="192" t="s">
        <v>35</v>
      </c>
      <c r="E2128" s="192" t="s">
        <v>1262</v>
      </c>
      <c r="F2128" s="193">
        <v>2</v>
      </c>
      <c r="G2128" s="148">
        <v>499000</v>
      </c>
    </row>
    <row r="2129" spans="1:7" x14ac:dyDescent="0.25">
      <c r="A2129" s="147">
        <v>2124</v>
      </c>
      <c r="B2129" s="145">
        <v>46091</v>
      </c>
      <c r="C2129" s="191">
        <v>2026</v>
      </c>
      <c r="D2129" s="192" t="s">
        <v>35</v>
      </c>
      <c r="E2129" s="192" t="s">
        <v>761</v>
      </c>
      <c r="F2129" s="193">
        <v>2</v>
      </c>
      <c r="G2129" s="148">
        <v>3150000</v>
      </c>
    </row>
    <row r="2130" spans="1:7" x14ac:dyDescent="0.25">
      <c r="A2130" s="147">
        <v>2125</v>
      </c>
      <c r="B2130" s="145">
        <v>46091</v>
      </c>
      <c r="C2130" s="191">
        <v>2026</v>
      </c>
      <c r="D2130" s="192" t="s">
        <v>35</v>
      </c>
      <c r="E2130" s="192" t="s">
        <v>1655</v>
      </c>
      <c r="F2130" s="193">
        <v>1</v>
      </c>
      <c r="G2130" s="148">
        <v>140000</v>
      </c>
    </row>
    <row r="2131" spans="1:7" x14ac:dyDescent="0.25">
      <c r="A2131" s="147">
        <v>2126</v>
      </c>
      <c r="B2131" s="145">
        <v>46091</v>
      </c>
      <c r="C2131" s="191">
        <v>2026</v>
      </c>
      <c r="D2131" s="192" t="s">
        <v>35</v>
      </c>
      <c r="E2131" s="192" t="s">
        <v>115</v>
      </c>
      <c r="F2131" s="193">
        <v>2</v>
      </c>
      <c r="G2131" s="148">
        <v>160000</v>
      </c>
    </row>
    <row r="2132" spans="1:7" x14ac:dyDescent="0.25">
      <c r="A2132" s="147">
        <v>2127</v>
      </c>
      <c r="B2132" s="145">
        <v>46091</v>
      </c>
      <c r="C2132" s="191">
        <v>2026</v>
      </c>
      <c r="D2132" s="192" t="s">
        <v>35</v>
      </c>
      <c r="E2132" s="192" t="s">
        <v>1656</v>
      </c>
      <c r="F2132" s="193">
        <v>13</v>
      </c>
      <c r="G2132" s="148">
        <v>700011</v>
      </c>
    </row>
    <row r="2133" spans="1:7" x14ac:dyDescent="0.25">
      <c r="A2133" s="147">
        <v>2128</v>
      </c>
      <c r="B2133" s="145">
        <v>46092</v>
      </c>
      <c r="C2133" s="191">
        <v>2026</v>
      </c>
      <c r="D2133" s="192" t="s">
        <v>35</v>
      </c>
      <c r="E2133" s="192" t="s">
        <v>761</v>
      </c>
      <c r="F2133" s="193">
        <v>2</v>
      </c>
      <c r="G2133" s="148">
        <v>3150000</v>
      </c>
    </row>
    <row r="2134" spans="1:7" x14ac:dyDescent="0.25">
      <c r="A2134" s="147">
        <v>2129</v>
      </c>
      <c r="B2134" s="145">
        <v>46093</v>
      </c>
      <c r="C2134" s="191">
        <v>2026</v>
      </c>
      <c r="D2134" s="192" t="s">
        <v>35</v>
      </c>
      <c r="E2134" s="192" t="s">
        <v>211</v>
      </c>
      <c r="F2134" s="193">
        <v>10</v>
      </c>
      <c r="G2134" s="148">
        <v>195000</v>
      </c>
    </row>
    <row r="2135" spans="1:7" x14ac:dyDescent="0.25">
      <c r="A2135" s="147">
        <v>2130</v>
      </c>
      <c r="B2135" s="145">
        <v>46093</v>
      </c>
      <c r="C2135" s="191">
        <v>2026</v>
      </c>
      <c r="D2135" s="192" t="s">
        <v>35</v>
      </c>
      <c r="E2135" s="192" t="s">
        <v>211</v>
      </c>
      <c r="F2135" s="193">
        <v>3</v>
      </c>
      <c r="G2135" s="148">
        <v>58500</v>
      </c>
    </row>
    <row r="2136" spans="1:7" x14ac:dyDescent="0.25">
      <c r="A2136" s="147">
        <v>2131</v>
      </c>
      <c r="B2136" s="145">
        <v>46093</v>
      </c>
      <c r="C2136" s="191">
        <v>2026</v>
      </c>
      <c r="D2136" s="192" t="s">
        <v>35</v>
      </c>
      <c r="E2136" s="192" t="s">
        <v>356</v>
      </c>
      <c r="F2136" s="193">
        <v>1</v>
      </c>
      <c r="G2136" s="148">
        <v>34000</v>
      </c>
    </row>
    <row r="2137" spans="1:7" x14ac:dyDescent="0.25">
      <c r="A2137" s="147">
        <v>2132</v>
      </c>
      <c r="B2137" s="145">
        <v>46093</v>
      </c>
      <c r="C2137" s="191">
        <v>2026</v>
      </c>
      <c r="D2137" s="192" t="s">
        <v>35</v>
      </c>
      <c r="E2137" s="192" t="s">
        <v>1504</v>
      </c>
      <c r="F2137" s="193">
        <v>9</v>
      </c>
      <c r="G2137" s="148">
        <v>10387548</v>
      </c>
    </row>
    <row r="2138" spans="1:7" x14ac:dyDescent="0.25">
      <c r="A2138" s="147">
        <v>2133</v>
      </c>
      <c r="B2138" s="145">
        <v>46093</v>
      </c>
      <c r="C2138" s="191">
        <v>2026</v>
      </c>
      <c r="D2138" s="192" t="s">
        <v>35</v>
      </c>
      <c r="E2138" s="192" t="s">
        <v>1504</v>
      </c>
      <c r="F2138" s="193">
        <v>3</v>
      </c>
      <c r="G2138" s="148">
        <v>16424748</v>
      </c>
    </row>
    <row r="2139" spans="1:7" x14ac:dyDescent="0.25">
      <c r="A2139" s="147">
        <v>2134</v>
      </c>
      <c r="B2139" s="145">
        <v>46093</v>
      </c>
      <c r="C2139" s="191">
        <v>2026</v>
      </c>
      <c r="D2139" s="192" t="s">
        <v>35</v>
      </c>
      <c r="E2139" s="192" t="s">
        <v>1504</v>
      </c>
      <c r="F2139" s="193">
        <v>1</v>
      </c>
      <c r="G2139" s="148">
        <v>8187712</v>
      </c>
    </row>
    <row r="2140" spans="1:7" x14ac:dyDescent="0.25">
      <c r="A2140" s="147">
        <v>2135</v>
      </c>
      <c r="B2140" s="145">
        <v>46094</v>
      </c>
      <c r="C2140" s="191">
        <v>2026</v>
      </c>
      <c r="D2140" s="192" t="s">
        <v>35</v>
      </c>
      <c r="E2140" s="192" t="s">
        <v>761</v>
      </c>
      <c r="F2140" s="193">
        <v>2</v>
      </c>
      <c r="G2140" s="148">
        <v>3150000</v>
      </c>
    </row>
    <row r="2141" spans="1:7" x14ac:dyDescent="0.25">
      <c r="A2141" s="147">
        <v>2136</v>
      </c>
      <c r="B2141" s="145">
        <v>46094</v>
      </c>
      <c r="C2141" s="191">
        <v>2026</v>
      </c>
      <c r="D2141" s="192" t="s">
        <v>35</v>
      </c>
      <c r="E2141" s="192" t="s">
        <v>761</v>
      </c>
      <c r="F2141" s="193">
        <v>4</v>
      </c>
      <c r="G2141" s="148">
        <v>9000000</v>
      </c>
    </row>
    <row r="2142" spans="1:7" x14ac:dyDescent="0.25">
      <c r="A2142" s="147">
        <v>2137</v>
      </c>
      <c r="B2142" s="145">
        <v>46094</v>
      </c>
      <c r="C2142" s="191">
        <v>2026</v>
      </c>
      <c r="D2142" s="192" t="s">
        <v>35</v>
      </c>
      <c r="E2142" s="192" t="s">
        <v>1380</v>
      </c>
      <c r="F2142" s="193">
        <v>12</v>
      </c>
      <c r="G2142" s="148">
        <v>186000</v>
      </c>
    </row>
    <row r="2143" spans="1:7" x14ac:dyDescent="0.25">
      <c r="A2143" s="147">
        <v>2138</v>
      </c>
      <c r="B2143" s="145">
        <v>46094</v>
      </c>
      <c r="C2143" s="191">
        <v>2026</v>
      </c>
      <c r="D2143" s="192" t="s">
        <v>35</v>
      </c>
      <c r="E2143" s="192" t="s">
        <v>1381</v>
      </c>
      <c r="F2143" s="193">
        <v>22</v>
      </c>
      <c r="G2143" s="148">
        <v>2250006</v>
      </c>
    </row>
    <row r="2144" spans="1:7" x14ac:dyDescent="0.25">
      <c r="A2144" s="147">
        <v>2139</v>
      </c>
      <c r="B2144" s="145">
        <v>46094</v>
      </c>
      <c r="C2144" s="191">
        <v>2026</v>
      </c>
      <c r="D2144" s="192" t="s">
        <v>35</v>
      </c>
      <c r="E2144" s="192" t="s">
        <v>1382</v>
      </c>
      <c r="F2144" s="193">
        <v>22</v>
      </c>
      <c r="G2144" s="148">
        <v>2250006</v>
      </c>
    </row>
    <row r="2145" spans="1:7" x14ac:dyDescent="0.25">
      <c r="A2145" s="147">
        <v>2140</v>
      </c>
      <c r="B2145" s="145">
        <v>46094</v>
      </c>
      <c r="C2145" s="191">
        <v>2026</v>
      </c>
      <c r="D2145" s="192" t="s">
        <v>35</v>
      </c>
      <c r="E2145" s="192" t="s">
        <v>1659</v>
      </c>
      <c r="F2145" s="193">
        <v>2</v>
      </c>
      <c r="G2145" s="148">
        <v>24000</v>
      </c>
    </row>
    <row r="2146" spans="1:7" x14ac:dyDescent="0.25">
      <c r="A2146" s="147">
        <v>2141</v>
      </c>
      <c r="B2146" s="145">
        <v>46094</v>
      </c>
      <c r="C2146" s="191">
        <v>2026</v>
      </c>
      <c r="D2146" s="192" t="s">
        <v>35</v>
      </c>
      <c r="E2146" s="192" t="s">
        <v>1364</v>
      </c>
      <c r="F2146" s="193">
        <v>12</v>
      </c>
      <c r="G2146" s="148">
        <v>2329308</v>
      </c>
    </row>
    <row r="2147" spans="1:7" x14ac:dyDescent="0.25">
      <c r="A2147" s="147">
        <v>2142</v>
      </c>
      <c r="B2147" s="145">
        <v>46095</v>
      </c>
      <c r="C2147" s="191">
        <v>2026</v>
      </c>
      <c r="D2147" s="192" t="s">
        <v>35</v>
      </c>
      <c r="E2147" s="192" t="s">
        <v>761</v>
      </c>
      <c r="F2147" s="193">
        <v>2</v>
      </c>
      <c r="G2147" s="148">
        <v>3150000</v>
      </c>
    </row>
    <row r="2148" spans="1:7" x14ac:dyDescent="0.25">
      <c r="A2148" s="147">
        <v>2143</v>
      </c>
      <c r="B2148" s="145">
        <v>46095</v>
      </c>
      <c r="C2148" s="191">
        <v>2026</v>
      </c>
      <c r="D2148" s="192" t="s">
        <v>35</v>
      </c>
      <c r="E2148" s="192" t="s">
        <v>486</v>
      </c>
      <c r="F2148" s="193">
        <v>4</v>
      </c>
      <c r="G2148" s="148">
        <v>186056</v>
      </c>
    </row>
    <row r="2149" spans="1:7" x14ac:dyDescent="0.25">
      <c r="A2149" s="147">
        <v>2144</v>
      </c>
      <c r="B2149" s="145">
        <v>46097</v>
      </c>
      <c r="C2149" s="191">
        <v>2026</v>
      </c>
      <c r="D2149" s="192" t="s">
        <v>35</v>
      </c>
      <c r="E2149" s="192" t="s">
        <v>124</v>
      </c>
      <c r="F2149" s="193">
        <v>1</v>
      </c>
      <c r="G2149" s="148">
        <v>7230000</v>
      </c>
    </row>
    <row r="2150" spans="1:7" x14ac:dyDescent="0.25">
      <c r="A2150" s="147">
        <v>2145</v>
      </c>
      <c r="B2150" s="145">
        <v>46097</v>
      </c>
      <c r="C2150" s="191">
        <v>2026</v>
      </c>
      <c r="D2150" s="192" t="s">
        <v>35</v>
      </c>
      <c r="E2150" s="192" t="s">
        <v>1429</v>
      </c>
      <c r="F2150" s="193">
        <v>13</v>
      </c>
      <c r="G2150" s="148">
        <v>14911</v>
      </c>
    </row>
    <row r="2151" spans="1:7" x14ac:dyDescent="0.25">
      <c r="A2151" s="147">
        <v>2146</v>
      </c>
      <c r="B2151" s="145">
        <v>46097</v>
      </c>
      <c r="C2151" s="191">
        <v>2026</v>
      </c>
      <c r="D2151" s="192" t="s">
        <v>35</v>
      </c>
      <c r="E2151" s="192" t="s">
        <v>1661</v>
      </c>
      <c r="F2151" s="193">
        <v>9</v>
      </c>
      <c r="G2151" s="148">
        <v>55908</v>
      </c>
    </row>
    <row r="2152" spans="1:7" x14ac:dyDescent="0.25">
      <c r="A2152" s="147">
        <v>2147</v>
      </c>
      <c r="B2152" s="145">
        <v>46099</v>
      </c>
      <c r="C2152" s="191">
        <v>2026</v>
      </c>
      <c r="D2152" s="192" t="s">
        <v>35</v>
      </c>
      <c r="E2152" s="192" t="s">
        <v>565</v>
      </c>
      <c r="F2152" s="193">
        <v>1</v>
      </c>
      <c r="G2152" s="148">
        <v>46800</v>
      </c>
    </row>
    <row r="2153" spans="1:7" x14ac:dyDescent="0.25">
      <c r="A2153" s="147">
        <v>2148</v>
      </c>
      <c r="B2153" s="145">
        <v>46107</v>
      </c>
      <c r="C2153" s="191">
        <v>2026</v>
      </c>
      <c r="D2153" s="192" t="s">
        <v>35</v>
      </c>
      <c r="E2153" s="192" t="s">
        <v>761</v>
      </c>
      <c r="F2153" s="193">
        <v>4</v>
      </c>
      <c r="G2153" s="148">
        <v>9200000</v>
      </c>
    </row>
    <row r="2154" spans="1:7" x14ac:dyDescent="0.25">
      <c r="A2154" s="147">
        <v>2149</v>
      </c>
      <c r="B2154" s="145">
        <v>46107</v>
      </c>
      <c r="C2154" s="191">
        <v>2026</v>
      </c>
      <c r="D2154" s="192" t="s">
        <v>35</v>
      </c>
      <c r="E2154" s="192" t="s">
        <v>761</v>
      </c>
      <c r="F2154" s="193">
        <v>4</v>
      </c>
      <c r="G2154" s="148">
        <v>9200000</v>
      </c>
    </row>
    <row r="2155" spans="1:7" x14ac:dyDescent="0.25">
      <c r="A2155" s="147">
        <v>2150</v>
      </c>
      <c r="B2155" s="145">
        <v>46108</v>
      </c>
      <c r="C2155" s="191">
        <v>2026</v>
      </c>
      <c r="D2155" s="192" t="s">
        <v>35</v>
      </c>
      <c r="E2155" s="192" t="s">
        <v>414</v>
      </c>
      <c r="F2155" s="193">
        <v>12</v>
      </c>
      <c r="G2155" s="148">
        <v>4080000</v>
      </c>
    </row>
    <row r="2156" spans="1:7" x14ac:dyDescent="0.25">
      <c r="A2156" s="147">
        <v>2151</v>
      </c>
      <c r="B2156" s="145">
        <v>46109</v>
      </c>
      <c r="C2156" s="191">
        <v>2026</v>
      </c>
      <c r="D2156" s="192" t="s">
        <v>35</v>
      </c>
      <c r="E2156" s="192" t="s">
        <v>739</v>
      </c>
      <c r="F2156" s="193">
        <v>75</v>
      </c>
      <c r="G2156" s="148">
        <v>660000</v>
      </c>
    </row>
    <row r="2157" spans="1:7" x14ac:dyDescent="0.25">
      <c r="A2157" s="147">
        <v>2152</v>
      </c>
      <c r="B2157" s="145">
        <v>46109</v>
      </c>
      <c r="C2157" s="191">
        <v>2026</v>
      </c>
      <c r="D2157" s="192" t="s">
        <v>35</v>
      </c>
      <c r="E2157" s="192" t="s">
        <v>929</v>
      </c>
      <c r="F2157" s="193">
        <v>1</v>
      </c>
      <c r="G2157" s="148">
        <v>135000</v>
      </c>
    </row>
    <row r="2158" spans="1:7" x14ac:dyDescent="0.25">
      <c r="A2158" s="5"/>
      <c r="B2158" s="145">
        <v>46111</v>
      </c>
      <c r="C2158" s="191">
        <v>2026</v>
      </c>
      <c r="D2158" s="192" t="s">
        <v>35</v>
      </c>
      <c r="E2158" s="192" t="s">
        <v>692</v>
      </c>
      <c r="F2158" s="193">
        <v>1</v>
      </c>
      <c r="G2158" s="195">
        <v>460000</v>
      </c>
    </row>
    <row r="2159" spans="1:7" x14ac:dyDescent="0.25">
      <c r="A2159" s="147">
        <v>2153</v>
      </c>
      <c r="B2159" s="145">
        <v>46112</v>
      </c>
      <c r="C2159" s="191">
        <v>2026</v>
      </c>
      <c r="D2159" s="192" t="s">
        <v>35</v>
      </c>
      <c r="E2159" s="192" t="s">
        <v>1133</v>
      </c>
      <c r="F2159" s="193">
        <v>1</v>
      </c>
      <c r="G2159" s="148">
        <v>15799</v>
      </c>
    </row>
    <row r="2160" spans="1:7" x14ac:dyDescent="0.25">
      <c r="A2160" s="147">
        <v>2154</v>
      </c>
      <c r="B2160" s="145">
        <v>46112</v>
      </c>
      <c r="C2160" s="191">
        <v>2026</v>
      </c>
      <c r="D2160" s="192" t="s">
        <v>35</v>
      </c>
      <c r="E2160" s="192" t="s">
        <v>761</v>
      </c>
      <c r="F2160" s="193">
        <v>4</v>
      </c>
      <c r="G2160" s="148">
        <v>9200000</v>
      </c>
    </row>
    <row r="2161" spans="1:7" x14ac:dyDescent="0.25">
      <c r="A2161" s="147">
        <v>2155</v>
      </c>
      <c r="B2161" s="145">
        <v>46112</v>
      </c>
      <c r="C2161" s="191">
        <v>2026</v>
      </c>
      <c r="D2161" s="192" t="s">
        <v>35</v>
      </c>
      <c r="E2161" s="192" t="s">
        <v>1529</v>
      </c>
      <c r="F2161" s="193">
        <v>1</v>
      </c>
      <c r="G2161" s="148">
        <v>59800</v>
      </c>
    </row>
    <row r="2162" spans="1:7" x14ac:dyDescent="0.25">
      <c r="A2162" s="147">
        <v>2156</v>
      </c>
      <c r="B2162" s="145">
        <v>46116</v>
      </c>
      <c r="C2162" s="191">
        <v>2026</v>
      </c>
      <c r="D2162" s="192" t="s">
        <v>35</v>
      </c>
      <c r="E2162" s="192" t="s">
        <v>1367</v>
      </c>
      <c r="F2162" s="193">
        <v>1</v>
      </c>
      <c r="G2162" s="148">
        <v>26200</v>
      </c>
    </row>
    <row r="2163" spans="1:7" x14ac:dyDescent="0.25">
      <c r="A2163" s="147">
        <v>2157</v>
      </c>
      <c r="B2163" s="145">
        <v>46118</v>
      </c>
      <c r="C2163" s="191">
        <v>2026</v>
      </c>
      <c r="D2163" s="192" t="s">
        <v>35</v>
      </c>
      <c r="E2163" s="192" t="s">
        <v>679</v>
      </c>
      <c r="F2163" s="193">
        <v>2</v>
      </c>
      <c r="G2163" s="148">
        <v>63798</v>
      </c>
    </row>
    <row r="2164" spans="1:7" x14ac:dyDescent="0.25">
      <c r="A2164" s="147">
        <v>2158</v>
      </c>
      <c r="B2164" s="145">
        <v>46119</v>
      </c>
      <c r="C2164" s="191">
        <v>2026</v>
      </c>
      <c r="D2164" s="192" t="s">
        <v>35</v>
      </c>
      <c r="E2164" s="192" t="s">
        <v>806</v>
      </c>
      <c r="F2164" s="193">
        <v>1</v>
      </c>
      <c r="G2164" s="148">
        <v>300000</v>
      </c>
    </row>
    <row r="2165" spans="1:7" x14ac:dyDescent="0.25">
      <c r="A2165" s="147">
        <v>2159</v>
      </c>
      <c r="B2165" s="145">
        <v>46119</v>
      </c>
      <c r="C2165" s="191">
        <v>2026</v>
      </c>
      <c r="D2165" s="192" t="s">
        <v>35</v>
      </c>
      <c r="E2165" s="192" t="s">
        <v>180</v>
      </c>
      <c r="F2165" s="193">
        <v>20</v>
      </c>
      <c r="G2165" s="148">
        <v>47900</v>
      </c>
    </row>
    <row r="2166" spans="1:7" x14ac:dyDescent="0.25">
      <c r="A2166" s="147">
        <v>2160</v>
      </c>
      <c r="B2166" s="145">
        <v>46119</v>
      </c>
      <c r="C2166" s="191">
        <v>2026</v>
      </c>
      <c r="D2166" s="192" t="s">
        <v>35</v>
      </c>
      <c r="E2166" s="192" t="s">
        <v>1595</v>
      </c>
      <c r="F2166" s="193">
        <v>1</v>
      </c>
      <c r="G2166" s="148">
        <v>55000</v>
      </c>
    </row>
    <row r="2167" spans="1:7" x14ac:dyDescent="0.25">
      <c r="A2167" s="147">
        <v>2161</v>
      </c>
      <c r="B2167" s="145">
        <v>46119</v>
      </c>
      <c r="C2167" s="191">
        <v>2026</v>
      </c>
      <c r="D2167" s="192" t="s">
        <v>35</v>
      </c>
      <c r="E2167" s="192" t="s">
        <v>785</v>
      </c>
      <c r="F2167" s="193">
        <v>5</v>
      </c>
      <c r="G2167" s="148">
        <v>450000</v>
      </c>
    </row>
    <row r="2168" spans="1:7" x14ac:dyDescent="0.25">
      <c r="A2168" s="147">
        <v>2162</v>
      </c>
      <c r="B2168" s="145">
        <v>46119</v>
      </c>
      <c r="C2168" s="191">
        <v>2026</v>
      </c>
      <c r="D2168" s="192" t="s">
        <v>35</v>
      </c>
      <c r="E2168" s="192" t="s">
        <v>365</v>
      </c>
      <c r="F2168" s="193">
        <v>4</v>
      </c>
      <c r="G2168" s="148">
        <v>10000</v>
      </c>
    </row>
    <row r="2169" spans="1:7" x14ac:dyDescent="0.25">
      <c r="A2169" s="147">
        <v>2163</v>
      </c>
      <c r="B2169" s="145">
        <v>46119</v>
      </c>
      <c r="C2169" s="191">
        <v>2026</v>
      </c>
      <c r="D2169" s="192" t="s">
        <v>35</v>
      </c>
      <c r="E2169" s="192" t="s">
        <v>679</v>
      </c>
      <c r="F2169" s="193">
        <v>6</v>
      </c>
      <c r="G2169" s="148">
        <v>181896</v>
      </c>
    </row>
    <row r="2170" spans="1:7" x14ac:dyDescent="0.25">
      <c r="A2170" s="147">
        <v>2164</v>
      </c>
      <c r="B2170" s="145">
        <v>46119</v>
      </c>
      <c r="C2170" s="191">
        <v>2026</v>
      </c>
      <c r="D2170" s="192" t="s">
        <v>35</v>
      </c>
      <c r="E2170" s="192" t="s">
        <v>1631</v>
      </c>
      <c r="F2170" s="193">
        <v>2</v>
      </c>
      <c r="G2170" s="148">
        <v>151900</v>
      </c>
    </row>
    <row r="2171" spans="1:7" x14ac:dyDescent="0.25">
      <c r="A2171" s="147">
        <v>2165</v>
      </c>
      <c r="B2171" s="145">
        <v>46120</v>
      </c>
      <c r="C2171" s="191">
        <v>2026</v>
      </c>
      <c r="D2171" s="192" t="s">
        <v>35</v>
      </c>
      <c r="E2171" s="192" t="s">
        <v>1666</v>
      </c>
      <c r="F2171" s="193">
        <v>4</v>
      </c>
      <c r="G2171" s="148">
        <v>1000000</v>
      </c>
    </row>
    <row r="2172" spans="1:7" x14ac:dyDescent="0.25">
      <c r="A2172" s="147">
        <v>2166</v>
      </c>
      <c r="B2172" s="145">
        <v>46120</v>
      </c>
      <c r="C2172" s="191">
        <v>2026</v>
      </c>
      <c r="D2172" s="192" t="s">
        <v>35</v>
      </c>
      <c r="E2172" s="192" t="s">
        <v>612</v>
      </c>
      <c r="F2172" s="193">
        <v>5</v>
      </c>
      <c r="G2172" s="148">
        <v>30000</v>
      </c>
    </row>
    <row r="2173" spans="1:7" x14ac:dyDescent="0.25">
      <c r="A2173" s="147">
        <v>2167</v>
      </c>
      <c r="B2173" s="145">
        <v>46120</v>
      </c>
      <c r="C2173" s="191">
        <v>2026</v>
      </c>
      <c r="D2173" s="192" t="s">
        <v>35</v>
      </c>
      <c r="E2173" s="192" t="s">
        <v>1532</v>
      </c>
      <c r="F2173" s="193">
        <v>2</v>
      </c>
      <c r="G2173" s="148">
        <v>13800</v>
      </c>
    </row>
    <row r="2174" spans="1:7" x14ac:dyDescent="0.25">
      <c r="A2174" s="147">
        <v>2168</v>
      </c>
      <c r="B2174" s="145">
        <v>46120</v>
      </c>
      <c r="C2174" s="191">
        <v>2026</v>
      </c>
      <c r="D2174" s="192" t="s">
        <v>35</v>
      </c>
      <c r="E2174" s="192" t="s">
        <v>220</v>
      </c>
      <c r="F2174" s="193">
        <v>5</v>
      </c>
      <c r="G2174" s="148">
        <v>75350</v>
      </c>
    </row>
    <row r="2175" spans="1:7" x14ac:dyDescent="0.25">
      <c r="A2175" s="147">
        <v>2169</v>
      </c>
      <c r="B2175" s="145">
        <v>46120</v>
      </c>
      <c r="C2175" s="191">
        <v>2026</v>
      </c>
      <c r="D2175" s="192" t="s">
        <v>35</v>
      </c>
      <c r="E2175" s="192" t="s">
        <v>1667</v>
      </c>
      <c r="F2175" s="193">
        <v>1</v>
      </c>
      <c r="G2175" s="148">
        <v>25000</v>
      </c>
    </row>
    <row r="2176" spans="1:7" x14ac:dyDescent="0.25">
      <c r="A2176" s="147">
        <v>2170</v>
      </c>
      <c r="B2176" s="145">
        <v>46120</v>
      </c>
      <c r="C2176" s="191">
        <v>2026</v>
      </c>
      <c r="D2176" s="192" t="s">
        <v>35</v>
      </c>
      <c r="E2176" s="192" t="s">
        <v>1668</v>
      </c>
      <c r="F2176" s="193">
        <v>1</v>
      </c>
      <c r="G2176" s="148">
        <v>400000</v>
      </c>
    </row>
    <row r="2177" spans="1:7" x14ac:dyDescent="0.25">
      <c r="A2177" s="147">
        <v>2171</v>
      </c>
      <c r="B2177" s="145">
        <v>46120</v>
      </c>
      <c r="C2177" s="191">
        <v>2026</v>
      </c>
      <c r="D2177" s="192" t="s">
        <v>35</v>
      </c>
      <c r="E2177" s="192" t="s">
        <v>1669</v>
      </c>
      <c r="F2177" s="193">
        <v>1</v>
      </c>
      <c r="G2177" s="148">
        <v>380000</v>
      </c>
    </row>
    <row r="2178" spans="1:7" x14ac:dyDescent="0.25">
      <c r="A2178" s="147">
        <v>2172</v>
      </c>
      <c r="B2178" s="145">
        <v>46120</v>
      </c>
      <c r="C2178" s="191">
        <v>2026</v>
      </c>
      <c r="D2178" s="192" t="s">
        <v>35</v>
      </c>
      <c r="E2178" s="192" t="s">
        <v>1670</v>
      </c>
      <c r="F2178" s="193">
        <v>1</v>
      </c>
      <c r="G2178" s="148">
        <v>765000</v>
      </c>
    </row>
    <row r="2179" spans="1:7" x14ac:dyDescent="0.25">
      <c r="A2179" s="147">
        <v>2173</v>
      </c>
      <c r="B2179" s="145">
        <v>46120</v>
      </c>
      <c r="C2179" s="191">
        <v>2026</v>
      </c>
      <c r="D2179" s="192" t="s">
        <v>35</v>
      </c>
      <c r="E2179" s="192" t="s">
        <v>1534</v>
      </c>
      <c r="F2179" s="193">
        <v>2</v>
      </c>
      <c r="G2179" s="148">
        <v>5000</v>
      </c>
    </row>
    <row r="2180" spans="1:7" x14ac:dyDescent="0.25">
      <c r="A2180" s="147">
        <v>2174</v>
      </c>
      <c r="B2180" s="145">
        <v>46120</v>
      </c>
      <c r="C2180" s="191">
        <v>2026</v>
      </c>
      <c r="D2180" s="192" t="s">
        <v>35</v>
      </c>
      <c r="E2180" s="192" t="s">
        <v>1671</v>
      </c>
      <c r="F2180" s="193">
        <v>4</v>
      </c>
      <c r="G2180" s="148">
        <v>4200000</v>
      </c>
    </row>
    <row r="2181" spans="1:7" x14ac:dyDescent="0.25">
      <c r="A2181" s="147">
        <v>2175</v>
      </c>
      <c r="B2181" s="145">
        <v>46120</v>
      </c>
      <c r="C2181" s="191">
        <v>2026</v>
      </c>
      <c r="D2181" s="192" t="s">
        <v>35</v>
      </c>
      <c r="E2181" s="192" t="s">
        <v>1399</v>
      </c>
      <c r="F2181" s="193">
        <v>1</v>
      </c>
      <c r="G2181" s="148">
        <v>22900</v>
      </c>
    </row>
    <row r="2182" spans="1:7" x14ac:dyDescent="0.25">
      <c r="A2182" s="147">
        <v>2176</v>
      </c>
      <c r="B2182" s="145">
        <v>46120</v>
      </c>
      <c r="C2182" s="191">
        <v>2026</v>
      </c>
      <c r="D2182" s="192" t="s">
        <v>35</v>
      </c>
      <c r="E2182" s="192" t="s">
        <v>1672</v>
      </c>
      <c r="F2182" s="193">
        <v>4</v>
      </c>
      <c r="G2182" s="148">
        <v>1100000</v>
      </c>
    </row>
    <row r="2183" spans="1:7" x14ac:dyDescent="0.25">
      <c r="A2183" s="147">
        <v>2177</v>
      </c>
      <c r="B2183" s="145">
        <v>46121</v>
      </c>
      <c r="C2183" s="191">
        <v>2026</v>
      </c>
      <c r="D2183" s="192" t="s">
        <v>35</v>
      </c>
      <c r="E2183" s="192" t="s">
        <v>356</v>
      </c>
      <c r="F2183" s="193">
        <v>2</v>
      </c>
      <c r="G2183" s="148">
        <v>80000</v>
      </c>
    </row>
    <row r="2184" spans="1:7" x14ac:dyDescent="0.25">
      <c r="A2184" s="147">
        <v>2178</v>
      </c>
      <c r="B2184" s="145">
        <v>46121</v>
      </c>
      <c r="C2184" s="191">
        <v>2026</v>
      </c>
      <c r="D2184" s="192" t="s">
        <v>35</v>
      </c>
      <c r="E2184" s="192" t="s">
        <v>1355</v>
      </c>
      <c r="F2184" s="193">
        <v>2</v>
      </c>
      <c r="G2184" s="148">
        <v>20000</v>
      </c>
    </row>
    <row r="2185" spans="1:7" x14ac:dyDescent="0.25">
      <c r="A2185" s="147">
        <v>2179</v>
      </c>
      <c r="B2185" s="145">
        <v>46122</v>
      </c>
      <c r="C2185" s="191">
        <v>2026</v>
      </c>
      <c r="D2185" s="192" t="s">
        <v>35</v>
      </c>
      <c r="E2185" s="192" t="s">
        <v>211</v>
      </c>
      <c r="F2185" s="193">
        <v>2</v>
      </c>
      <c r="G2185" s="148">
        <v>92000</v>
      </c>
    </row>
    <row r="2186" spans="1:7" x14ac:dyDescent="0.25">
      <c r="A2186" s="147">
        <v>2180</v>
      </c>
      <c r="B2186" s="145">
        <v>46122</v>
      </c>
      <c r="C2186" s="191">
        <v>2026</v>
      </c>
      <c r="D2186" s="192" t="s">
        <v>35</v>
      </c>
      <c r="E2186" s="192" t="s">
        <v>43</v>
      </c>
      <c r="F2186" s="193">
        <v>1</v>
      </c>
      <c r="G2186" s="148">
        <v>30000</v>
      </c>
    </row>
    <row r="2187" spans="1:7" x14ac:dyDescent="0.25">
      <c r="A2187" s="147">
        <v>2181</v>
      </c>
      <c r="B2187" s="145">
        <v>46122</v>
      </c>
      <c r="C2187" s="191">
        <v>2026</v>
      </c>
      <c r="D2187" s="192" t="s">
        <v>35</v>
      </c>
      <c r="E2187" s="192" t="s">
        <v>1583</v>
      </c>
      <c r="F2187" s="193">
        <v>2</v>
      </c>
      <c r="G2187" s="148">
        <v>39000</v>
      </c>
    </row>
    <row r="2188" spans="1:7" x14ac:dyDescent="0.25">
      <c r="A2188" s="147">
        <v>2182</v>
      </c>
      <c r="B2188" s="145">
        <v>46123</v>
      </c>
      <c r="C2188" s="191">
        <v>2026</v>
      </c>
      <c r="D2188" s="192" t="s">
        <v>35</v>
      </c>
      <c r="E2188" s="192" t="s">
        <v>1433</v>
      </c>
      <c r="F2188" s="193">
        <v>1</v>
      </c>
      <c r="G2188" s="148">
        <v>9000</v>
      </c>
    </row>
    <row r="2189" spans="1:7" x14ac:dyDescent="0.25">
      <c r="A2189" s="147">
        <v>2183</v>
      </c>
      <c r="B2189" s="167">
        <v>46123</v>
      </c>
      <c r="C2189" s="117">
        <v>2026</v>
      </c>
      <c r="D2189" s="119" t="s">
        <v>35</v>
      </c>
      <c r="E2189" s="119" t="s">
        <v>473</v>
      </c>
      <c r="F2189" s="120">
        <v>12</v>
      </c>
      <c r="G2189" s="169">
        <v>241776</v>
      </c>
    </row>
    <row r="2190" spans="1:7" x14ac:dyDescent="0.25">
      <c r="A2190" s="147">
        <v>2184</v>
      </c>
      <c r="B2190" s="167">
        <v>46123</v>
      </c>
      <c r="C2190" s="117">
        <v>2026</v>
      </c>
      <c r="D2190" s="119" t="s">
        <v>35</v>
      </c>
      <c r="E2190" s="119" t="s">
        <v>486</v>
      </c>
      <c r="F2190" s="120">
        <v>10</v>
      </c>
      <c r="G2190" s="169">
        <v>153400</v>
      </c>
    </row>
    <row r="2191" spans="1:7" x14ac:dyDescent="0.25">
      <c r="A2191" s="147">
        <v>2185</v>
      </c>
      <c r="B2191" s="145">
        <v>46125</v>
      </c>
      <c r="C2191" s="191">
        <v>2026</v>
      </c>
      <c r="D2191" s="192" t="s">
        <v>35</v>
      </c>
      <c r="E2191" s="192" t="s">
        <v>130</v>
      </c>
      <c r="F2191" s="193">
        <v>1</v>
      </c>
      <c r="G2191" s="148">
        <v>220000</v>
      </c>
    </row>
    <row r="2192" spans="1:7" x14ac:dyDescent="0.25">
      <c r="A2192" s="147">
        <v>2186</v>
      </c>
      <c r="B2192" s="145">
        <v>46126</v>
      </c>
      <c r="C2192" s="191">
        <v>2026</v>
      </c>
      <c r="D2192" s="192" t="s">
        <v>35</v>
      </c>
      <c r="E2192" s="192" t="s">
        <v>211</v>
      </c>
      <c r="F2192" s="193">
        <v>10</v>
      </c>
      <c r="G2192" s="148">
        <v>182000</v>
      </c>
    </row>
    <row r="2193" spans="1:7" x14ac:dyDescent="0.25">
      <c r="A2193" s="147">
        <v>2187</v>
      </c>
      <c r="B2193" s="145">
        <v>46126</v>
      </c>
      <c r="C2193" s="191">
        <v>2026</v>
      </c>
      <c r="D2193" s="192" t="s">
        <v>35</v>
      </c>
      <c r="E2193" s="192" t="s">
        <v>478</v>
      </c>
      <c r="F2193" s="193">
        <v>100</v>
      </c>
      <c r="G2193" s="148">
        <v>97900</v>
      </c>
    </row>
    <row r="2194" spans="1:7" x14ac:dyDescent="0.25">
      <c r="A2194" s="147">
        <v>2188</v>
      </c>
      <c r="B2194" s="145">
        <v>46126</v>
      </c>
      <c r="C2194" s="191">
        <v>2026</v>
      </c>
      <c r="D2194" s="192" t="s">
        <v>35</v>
      </c>
      <c r="E2194" s="192" t="s">
        <v>571</v>
      </c>
      <c r="F2194" s="193">
        <v>2</v>
      </c>
      <c r="G2194" s="148">
        <v>34000</v>
      </c>
    </row>
    <row r="2195" spans="1:7" x14ac:dyDescent="0.25">
      <c r="A2195" s="147">
        <v>2189</v>
      </c>
      <c r="B2195" s="145">
        <v>46126</v>
      </c>
      <c r="C2195" s="191">
        <v>2026</v>
      </c>
      <c r="D2195" s="192" t="s">
        <v>35</v>
      </c>
      <c r="E2195" s="192" t="s">
        <v>573</v>
      </c>
      <c r="F2195" s="193">
        <v>2</v>
      </c>
      <c r="G2195" s="148">
        <v>33900</v>
      </c>
    </row>
    <row r="2196" spans="1:7" x14ac:dyDescent="0.25">
      <c r="A2196" s="147">
        <v>2190</v>
      </c>
      <c r="B2196" s="145">
        <v>46127</v>
      </c>
      <c r="C2196" s="191">
        <v>2026</v>
      </c>
      <c r="D2196" s="192" t="s">
        <v>35</v>
      </c>
      <c r="E2196" s="192" t="s">
        <v>761</v>
      </c>
      <c r="F2196" s="193">
        <v>4</v>
      </c>
      <c r="G2196" s="148">
        <v>9200000</v>
      </c>
    </row>
    <row r="2197" spans="1:7" x14ac:dyDescent="0.25">
      <c r="A2197" s="147">
        <v>2191</v>
      </c>
      <c r="B2197" s="145">
        <v>46127</v>
      </c>
      <c r="C2197" s="191">
        <v>2026</v>
      </c>
      <c r="D2197" s="192" t="s">
        <v>35</v>
      </c>
      <c r="E2197" s="192" t="s">
        <v>1602</v>
      </c>
      <c r="F2197" s="193">
        <v>1</v>
      </c>
      <c r="G2197" s="148">
        <v>17398</v>
      </c>
    </row>
    <row r="2198" spans="1:7" x14ac:dyDescent="0.25">
      <c r="A2198" s="147">
        <v>2192</v>
      </c>
      <c r="B2198" s="145">
        <v>46127</v>
      </c>
      <c r="C2198" s="191">
        <v>2026</v>
      </c>
      <c r="D2198" s="192" t="s">
        <v>35</v>
      </c>
      <c r="E2198" s="192" t="s">
        <v>1249</v>
      </c>
      <c r="F2198" s="193">
        <v>1</v>
      </c>
      <c r="G2198" s="148">
        <v>57900</v>
      </c>
    </row>
    <row r="2199" spans="1:7" x14ac:dyDescent="0.25">
      <c r="A2199" s="147">
        <v>2193</v>
      </c>
      <c r="B2199" s="145">
        <v>46127</v>
      </c>
      <c r="C2199" s="191">
        <v>2026</v>
      </c>
      <c r="D2199" s="192" t="s">
        <v>35</v>
      </c>
      <c r="E2199" s="192" t="s">
        <v>1673</v>
      </c>
      <c r="F2199" s="193">
        <v>1</v>
      </c>
      <c r="G2199" s="148">
        <v>119399</v>
      </c>
    </row>
    <row r="2200" spans="1:7" x14ac:dyDescent="0.25">
      <c r="A2200" s="147">
        <v>2194</v>
      </c>
      <c r="B2200" s="145">
        <v>46128</v>
      </c>
      <c r="C2200" s="191">
        <v>2026</v>
      </c>
      <c r="D2200" s="192" t="s">
        <v>35</v>
      </c>
      <c r="E2200" s="192" t="s">
        <v>407</v>
      </c>
      <c r="F2200" s="193">
        <v>5</v>
      </c>
      <c r="G2200" s="148">
        <v>525000</v>
      </c>
    </row>
    <row r="2201" spans="1:7" x14ac:dyDescent="0.25">
      <c r="A2201" s="147">
        <v>2195</v>
      </c>
      <c r="B2201" s="145">
        <v>46128</v>
      </c>
      <c r="C2201" s="191">
        <v>2026</v>
      </c>
      <c r="D2201" s="192" t="s">
        <v>35</v>
      </c>
      <c r="E2201" s="192" t="s">
        <v>403</v>
      </c>
      <c r="F2201" s="193">
        <v>5</v>
      </c>
      <c r="G2201" s="148">
        <v>575000</v>
      </c>
    </row>
    <row r="2202" spans="1:7" x14ac:dyDescent="0.25">
      <c r="A2202" s="147">
        <v>2196</v>
      </c>
      <c r="B2202" s="145">
        <v>46128</v>
      </c>
      <c r="C2202" s="191">
        <v>2026</v>
      </c>
      <c r="D2202" s="192" t="s">
        <v>35</v>
      </c>
      <c r="E2202" s="192" t="s">
        <v>405</v>
      </c>
      <c r="F2202" s="193">
        <v>5</v>
      </c>
      <c r="G2202" s="148">
        <v>587500</v>
      </c>
    </row>
    <row r="2203" spans="1:7" x14ac:dyDescent="0.25">
      <c r="A2203" s="147">
        <v>2197</v>
      </c>
      <c r="B2203" s="145">
        <v>46128</v>
      </c>
      <c r="C2203" s="191">
        <v>2026</v>
      </c>
      <c r="D2203" s="192" t="s">
        <v>35</v>
      </c>
      <c r="E2203" s="192" t="s">
        <v>69</v>
      </c>
      <c r="F2203" s="193">
        <v>2</v>
      </c>
      <c r="G2203" s="148">
        <v>220000</v>
      </c>
    </row>
    <row r="2204" spans="1:7" x14ac:dyDescent="0.25">
      <c r="A2204" s="147">
        <v>2198</v>
      </c>
      <c r="B2204" s="145">
        <v>46128</v>
      </c>
      <c r="C2204" s="191">
        <v>2026</v>
      </c>
      <c r="D2204" s="192" t="s">
        <v>35</v>
      </c>
      <c r="E2204" s="192" t="s">
        <v>1674</v>
      </c>
      <c r="F2204" s="193">
        <v>1</v>
      </c>
      <c r="G2204" s="148">
        <v>18564</v>
      </c>
    </row>
    <row r="2205" spans="1:7" x14ac:dyDescent="0.25">
      <c r="A2205" s="147">
        <v>2199</v>
      </c>
      <c r="B2205" s="145">
        <v>46128</v>
      </c>
      <c r="C2205" s="191">
        <v>2026</v>
      </c>
      <c r="D2205" s="192" t="s">
        <v>35</v>
      </c>
      <c r="E2205" s="192" t="s">
        <v>955</v>
      </c>
      <c r="F2205" s="193">
        <v>6</v>
      </c>
      <c r="G2205" s="148">
        <v>1294998</v>
      </c>
    </row>
    <row r="2206" spans="1:7" x14ac:dyDescent="0.25">
      <c r="A2206" s="147">
        <v>2200</v>
      </c>
      <c r="B2206" s="145">
        <v>46128</v>
      </c>
      <c r="C2206" s="191">
        <v>2026</v>
      </c>
      <c r="D2206" s="192" t="s">
        <v>35</v>
      </c>
      <c r="E2206" s="192" t="s">
        <v>842</v>
      </c>
      <c r="F2206" s="193">
        <v>6</v>
      </c>
      <c r="G2206" s="148">
        <v>1230000</v>
      </c>
    </row>
    <row r="2207" spans="1:7" x14ac:dyDescent="0.25">
      <c r="A2207" s="147">
        <v>2201</v>
      </c>
      <c r="B2207" s="145">
        <v>46129</v>
      </c>
      <c r="C2207" s="191">
        <v>2026</v>
      </c>
      <c r="D2207" s="192" t="s">
        <v>35</v>
      </c>
      <c r="E2207" s="192" t="s">
        <v>761</v>
      </c>
      <c r="F2207" s="193">
        <v>2</v>
      </c>
      <c r="G2207" s="148">
        <v>3150000</v>
      </c>
    </row>
    <row r="2208" spans="1:7" x14ac:dyDescent="0.25">
      <c r="A2208" s="147">
        <v>2202</v>
      </c>
      <c r="B2208" s="145">
        <v>46129</v>
      </c>
      <c r="C2208" s="191">
        <v>2026</v>
      </c>
      <c r="D2208" s="192" t="s">
        <v>35</v>
      </c>
      <c r="E2208" s="192" t="s">
        <v>761</v>
      </c>
      <c r="F2208" s="193">
        <v>4</v>
      </c>
      <c r="G2208" s="148">
        <v>9200000</v>
      </c>
    </row>
    <row r="2209" spans="1:7" x14ac:dyDescent="0.25">
      <c r="A2209" s="147">
        <v>2203</v>
      </c>
      <c r="B2209" s="145">
        <v>46129</v>
      </c>
      <c r="C2209" s="191">
        <v>2026</v>
      </c>
      <c r="D2209" s="192" t="s">
        <v>35</v>
      </c>
      <c r="E2209" s="192" t="s">
        <v>761</v>
      </c>
      <c r="F2209" s="193">
        <v>2</v>
      </c>
      <c r="G2209" s="148">
        <v>3150000</v>
      </c>
    </row>
    <row r="2210" spans="1:7" x14ac:dyDescent="0.25">
      <c r="A2210" s="147">
        <v>2204</v>
      </c>
      <c r="B2210" s="145">
        <v>46129</v>
      </c>
      <c r="C2210" s="191">
        <v>2026</v>
      </c>
      <c r="D2210" s="192" t="s">
        <v>35</v>
      </c>
      <c r="E2210" s="192" t="s">
        <v>1244</v>
      </c>
      <c r="F2210" s="193">
        <v>4</v>
      </c>
      <c r="G2210" s="148">
        <v>220000</v>
      </c>
    </row>
    <row r="2211" spans="1:7" x14ac:dyDescent="0.25">
      <c r="A2211" s="147">
        <v>2205</v>
      </c>
      <c r="B2211" s="145">
        <v>46129</v>
      </c>
      <c r="C2211" s="191">
        <v>2026</v>
      </c>
      <c r="D2211" s="192" t="s">
        <v>35</v>
      </c>
      <c r="E2211" s="192" t="s">
        <v>43</v>
      </c>
      <c r="F2211" s="193">
        <v>2</v>
      </c>
      <c r="G2211" s="148">
        <v>60000</v>
      </c>
    </row>
    <row r="2212" spans="1:7" x14ac:dyDescent="0.25">
      <c r="A2212" s="147">
        <v>2206</v>
      </c>
      <c r="B2212" s="145">
        <v>46130</v>
      </c>
      <c r="C2212" s="191">
        <v>2026</v>
      </c>
      <c r="D2212" s="192" t="s">
        <v>35</v>
      </c>
      <c r="E2212" s="192" t="s">
        <v>356</v>
      </c>
      <c r="F2212" s="193">
        <v>1</v>
      </c>
      <c r="G2212" s="148">
        <v>102000</v>
      </c>
    </row>
    <row r="2213" spans="1:7" x14ac:dyDescent="0.25">
      <c r="A2213" s="147">
        <v>2207</v>
      </c>
      <c r="B2213" s="145">
        <v>46130</v>
      </c>
      <c r="C2213" s="191">
        <v>2026</v>
      </c>
      <c r="D2213" s="192" t="s">
        <v>35</v>
      </c>
      <c r="E2213" s="192" t="s">
        <v>476</v>
      </c>
      <c r="F2213" s="193">
        <v>6</v>
      </c>
      <c r="G2213" s="148">
        <v>169302</v>
      </c>
    </row>
    <row r="2214" spans="1:7" x14ac:dyDescent="0.25">
      <c r="A2214" s="147">
        <v>2208</v>
      </c>
      <c r="B2214" s="145">
        <v>46130</v>
      </c>
      <c r="C2214" s="191">
        <v>2026</v>
      </c>
      <c r="D2214" s="192" t="s">
        <v>35</v>
      </c>
      <c r="E2214" s="192" t="s">
        <v>1188</v>
      </c>
      <c r="F2214" s="193">
        <v>2</v>
      </c>
      <c r="G2214" s="148">
        <v>307500</v>
      </c>
    </row>
    <row r="2215" spans="1:7" x14ac:dyDescent="0.25">
      <c r="A2215" s="147">
        <v>2209</v>
      </c>
      <c r="B2215" s="145">
        <v>46130</v>
      </c>
      <c r="C2215" s="191">
        <v>2026</v>
      </c>
      <c r="D2215" s="192" t="s">
        <v>35</v>
      </c>
      <c r="E2215" s="192" t="s">
        <v>71</v>
      </c>
      <c r="F2215" s="193">
        <v>1</v>
      </c>
      <c r="G2215" s="148">
        <v>2500</v>
      </c>
    </row>
    <row r="2216" spans="1:7" x14ac:dyDescent="0.25">
      <c r="A2216" s="147">
        <v>2210</v>
      </c>
      <c r="B2216" s="145">
        <v>46130</v>
      </c>
      <c r="C2216" s="191">
        <v>2026</v>
      </c>
      <c r="D2216" s="192" t="s">
        <v>35</v>
      </c>
      <c r="E2216" s="192" t="s">
        <v>1486</v>
      </c>
      <c r="F2216" s="193">
        <v>2</v>
      </c>
      <c r="G2216" s="148">
        <v>70000</v>
      </c>
    </row>
    <row r="2217" spans="1:7" x14ac:dyDescent="0.25">
      <c r="A2217" s="147">
        <v>2211</v>
      </c>
      <c r="B2217" s="145">
        <v>46132</v>
      </c>
      <c r="C2217" s="191">
        <v>2026</v>
      </c>
      <c r="D2217" s="192" t="s">
        <v>35</v>
      </c>
      <c r="E2217" s="192" t="s">
        <v>761</v>
      </c>
      <c r="F2217" s="193">
        <v>2</v>
      </c>
      <c r="G2217" s="148">
        <v>3150000</v>
      </c>
    </row>
    <row r="2218" spans="1:7" x14ac:dyDescent="0.25">
      <c r="A2218" s="147">
        <v>2212</v>
      </c>
      <c r="B2218" s="145">
        <v>46132</v>
      </c>
      <c r="C2218" s="191">
        <v>2026</v>
      </c>
      <c r="D2218" s="192" t="s">
        <v>35</v>
      </c>
      <c r="E2218" s="192" t="s">
        <v>761</v>
      </c>
      <c r="F2218" s="193">
        <v>4</v>
      </c>
      <c r="G2218" s="148">
        <v>5100000</v>
      </c>
    </row>
    <row r="2219" spans="1:7" x14ac:dyDescent="0.25">
      <c r="A2219" s="147">
        <v>2213</v>
      </c>
      <c r="B2219" s="145">
        <v>46132</v>
      </c>
      <c r="C2219" s="191">
        <v>2026</v>
      </c>
      <c r="D2219" s="192" t="s">
        <v>35</v>
      </c>
      <c r="E2219" s="192" t="s">
        <v>761</v>
      </c>
      <c r="F2219" s="193">
        <v>2</v>
      </c>
      <c r="G2219" s="148">
        <v>3150000</v>
      </c>
    </row>
    <row r="2220" spans="1:7" x14ac:dyDescent="0.25">
      <c r="A2220" s="147">
        <v>2214</v>
      </c>
      <c r="B2220" s="145">
        <v>46132</v>
      </c>
      <c r="C2220" s="191">
        <v>2026</v>
      </c>
      <c r="D2220" s="192" t="s">
        <v>35</v>
      </c>
      <c r="E2220" s="192" t="s">
        <v>382</v>
      </c>
      <c r="F2220" s="193">
        <v>1</v>
      </c>
      <c r="G2220" s="148">
        <v>10000</v>
      </c>
    </row>
    <row r="2221" spans="1:7" x14ac:dyDescent="0.25">
      <c r="A2221" s="147">
        <v>2215</v>
      </c>
      <c r="B2221" s="145">
        <v>46132</v>
      </c>
      <c r="C2221" s="191">
        <v>2026</v>
      </c>
      <c r="D2221" s="192" t="s">
        <v>35</v>
      </c>
      <c r="E2221" s="192" t="s">
        <v>1676</v>
      </c>
      <c r="F2221" s="193">
        <v>1</v>
      </c>
      <c r="G2221" s="148">
        <v>20050</v>
      </c>
    </row>
    <row r="2222" spans="1:7" x14ac:dyDescent="0.25">
      <c r="A2222" s="147">
        <v>2216</v>
      </c>
      <c r="B2222" s="145">
        <v>46133</v>
      </c>
      <c r="C2222" s="191">
        <v>2026</v>
      </c>
      <c r="D2222" s="192" t="s">
        <v>35</v>
      </c>
      <c r="E2222" s="192" t="s">
        <v>1139</v>
      </c>
      <c r="F2222" s="193">
        <v>1</v>
      </c>
      <c r="G2222" s="148">
        <v>111282</v>
      </c>
    </row>
    <row r="2223" spans="1:7" x14ac:dyDescent="0.25">
      <c r="A2223" s="147">
        <v>2217</v>
      </c>
      <c r="B2223" s="145">
        <v>46133</v>
      </c>
      <c r="C2223" s="191">
        <v>2026</v>
      </c>
      <c r="D2223" s="192" t="s">
        <v>35</v>
      </c>
      <c r="E2223" s="192" t="s">
        <v>553</v>
      </c>
      <c r="F2223" s="193">
        <v>2</v>
      </c>
      <c r="G2223" s="148">
        <v>15900</v>
      </c>
    </row>
    <row r="2224" spans="1:7" x14ac:dyDescent="0.25">
      <c r="A2224" s="147">
        <v>2218</v>
      </c>
      <c r="B2224" s="145">
        <v>46133</v>
      </c>
      <c r="C2224" s="191">
        <v>2026</v>
      </c>
      <c r="D2224" s="192" t="s">
        <v>35</v>
      </c>
      <c r="E2224" s="192" t="s">
        <v>1140</v>
      </c>
      <c r="F2224" s="193">
        <v>2</v>
      </c>
      <c r="G2224" s="148">
        <v>77900</v>
      </c>
    </row>
    <row r="2225" spans="1:7" x14ac:dyDescent="0.25">
      <c r="A2225" s="147">
        <v>2219</v>
      </c>
      <c r="B2225" s="145">
        <v>46133</v>
      </c>
      <c r="C2225" s="191">
        <v>2026</v>
      </c>
      <c r="D2225" s="192" t="s">
        <v>35</v>
      </c>
      <c r="E2225" s="192" t="s">
        <v>130</v>
      </c>
      <c r="F2225" s="193">
        <v>1</v>
      </c>
      <c r="G2225" s="148">
        <v>220000</v>
      </c>
    </row>
    <row r="2226" spans="1:7" x14ac:dyDescent="0.25">
      <c r="A2226" s="147">
        <v>2220</v>
      </c>
      <c r="B2226" s="167">
        <v>46133</v>
      </c>
      <c r="C2226" s="117">
        <v>2026</v>
      </c>
      <c r="D2226" s="119" t="s">
        <v>35</v>
      </c>
      <c r="E2226" s="119" t="s">
        <v>687</v>
      </c>
      <c r="F2226" s="120">
        <v>12</v>
      </c>
      <c r="G2226" s="169">
        <v>172896</v>
      </c>
    </row>
    <row r="2227" spans="1:7" x14ac:dyDescent="0.25">
      <c r="A2227" s="147">
        <v>2221</v>
      </c>
      <c r="B2227" s="145">
        <v>46134</v>
      </c>
      <c r="C2227" s="191">
        <v>2026</v>
      </c>
      <c r="D2227" s="192" t="s">
        <v>35</v>
      </c>
      <c r="E2227" s="192" t="s">
        <v>1677</v>
      </c>
      <c r="F2227" s="193">
        <v>30</v>
      </c>
      <c r="G2227" s="148">
        <v>14010</v>
      </c>
    </row>
    <row r="2228" spans="1:7" x14ac:dyDescent="0.25">
      <c r="A2228" s="147">
        <v>2222</v>
      </c>
      <c r="B2228" s="145">
        <v>46134</v>
      </c>
      <c r="C2228" s="191">
        <v>2026</v>
      </c>
      <c r="D2228" s="192" t="s">
        <v>35</v>
      </c>
      <c r="E2228" s="192" t="s">
        <v>929</v>
      </c>
      <c r="F2228" s="193">
        <v>1</v>
      </c>
      <c r="G2228" s="148">
        <v>135000</v>
      </c>
    </row>
    <row r="2229" spans="1:7" x14ac:dyDescent="0.25">
      <c r="A2229" s="147">
        <v>2223</v>
      </c>
      <c r="B2229" s="145">
        <v>46134</v>
      </c>
      <c r="C2229" s="191">
        <v>2026</v>
      </c>
      <c r="D2229" s="192" t="s">
        <v>35</v>
      </c>
      <c r="E2229" s="192" t="s">
        <v>1392</v>
      </c>
      <c r="F2229" s="193">
        <v>4</v>
      </c>
      <c r="G2229" s="148">
        <v>200000</v>
      </c>
    </row>
    <row r="2230" spans="1:7" x14ac:dyDescent="0.25">
      <c r="A2230" s="147">
        <v>2224</v>
      </c>
      <c r="B2230" s="145">
        <v>46135</v>
      </c>
      <c r="C2230" s="191">
        <v>2026</v>
      </c>
      <c r="D2230" s="192" t="s">
        <v>35</v>
      </c>
      <c r="E2230" s="192" t="s">
        <v>192</v>
      </c>
      <c r="F2230" s="193">
        <v>12</v>
      </c>
      <c r="G2230" s="148">
        <v>35400</v>
      </c>
    </row>
    <row r="2231" spans="1:7" x14ac:dyDescent="0.25">
      <c r="A2231" s="147">
        <v>2225</v>
      </c>
      <c r="B2231" s="145">
        <v>46136</v>
      </c>
      <c r="C2231" s="191">
        <v>2026</v>
      </c>
      <c r="D2231" s="192" t="s">
        <v>35</v>
      </c>
      <c r="E2231" s="192" t="s">
        <v>761</v>
      </c>
      <c r="F2231" s="193">
        <v>4</v>
      </c>
      <c r="G2231" s="148">
        <v>9200000</v>
      </c>
    </row>
    <row r="2232" spans="1:7" x14ac:dyDescent="0.25">
      <c r="A2232" s="147">
        <v>2226</v>
      </c>
      <c r="B2232" s="145">
        <v>46136</v>
      </c>
      <c r="C2232" s="191">
        <v>2026</v>
      </c>
      <c r="D2232" s="192" t="s">
        <v>35</v>
      </c>
      <c r="E2232" s="192" t="s">
        <v>1683</v>
      </c>
      <c r="F2232" s="193">
        <v>1</v>
      </c>
      <c r="G2232" s="148">
        <v>66900</v>
      </c>
    </row>
    <row r="2233" spans="1:7" x14ac:dyDescent="0.25">
      <c r="A2233" s="147">
        <v>2227</v>
      </c>
      <c r="B2233" s="145">
        <v>46136</v>
      </c>
      <c r="C2233" s="191">
        <v>2026</v>
      </c>
      <c r="D2233" s="192" t="s">
        <v>35</v>
      </c>
      <c r="E2233" s="192" t="s">
        <v>1684</v>
      </c>
      <c r="F2233" s="193">
        <v>1</v>
      </c>
      <c r="G2233" s="148">
        <v>275000</v>
      </c>
    </row>
    <row r="2234" spans="1:7" x14ac:dyDescent="0.25">
      <c r="A2234" s="147">
        <v>2228</v>
      </c>
      <c r="B2234" s="145">
        <v>46136</v>
      </c>
      <c r="C2234" s="191">
        <v>2026</v>
      </c>
      <c r="D2234" s="192" t="s">
        <v>35</v>
      </c>
      <c r="E2234" s="192" t="s">
        <v>1596</v>
      </c>
      <c r="F2234" s="193">
        <v>1</v>
      </c>
      <c r="G2234" s="148">
        <v>49150</v>
      </c>
    </row>
    <row r="2235" spans="1:7" x14ac:dyDescent="0.25">
      <c r="A2235" s="147">
        <v>2229</v>
      </c>
      <c r="B2235" s="145">
        <v>46137</v>
      </c>
      <c r="C2235" s="191">
        <v>2026</v>
      </c>
      <c r="D2235" s="192" t="s">
        <v>35</v>
      </c>
      <c r="E2235" s="192" t="s">
        <v>69</v>
      </c>
      <c r="F2235" s="193">
        <v>2</v>
      </c>
      <c r="G2235" s="148">
        <v>210000</v>
      </c>
    </row>
    <row r="2236" spans="1:7" x14ac:dyDescent="0.25">
      <c r="A2236" s="147">
        <v>2230</v>
      </c>
      <c r="B2236" s="145">
        <v>46139</v>
      </c>
      <c r="C2236" s="191">
        <v>2026</v>
      </c>
      <c r="D2236" s="192" t="s">
        <v>35</v>
      </c>
      <c r="E2236" s="192" t="s">
        <v>1550</v>
      </c>
      <c r="F2236" s="193">
        <v>1</v>
      </c>
      <c r="G2236" s="148">
        <v>6000</v>
      </c>
    </row>
    <row r="2237" spans="1:7" x14ac:dyDescent="0.25">
      <c r="A2237" s="147">
        <v>2231</v>
      </c>
      <c r="B2237" s="145">
        <v>46139</v>
      </c>
      <c r="C2237" s="191">
        <v>2026</v>
      </c>
      <c r="D2237" s="192" t="s">
        <v>35</v>
      </c>
      <c r="E2237" s="192" t="s">
        <v>476</v>
      </c>
      <c r="F2237" s="193">
        <v>20</v>
      </c>
      <c r="G2237" s="148">
        <v>575000</v>
      </c>
    </row>
    <row r="2238" spans="1:7" x14ac:dyDescent="0.25">
      <c r="A2238" s="147">
        <v>2232</v>
      </c>
      <c r="B2238" s="145">
        <v>46139</v>
      </c>
      <c r="C2238" s="191">
        <v>2026</v>
      </c>
      <c r="D2238" s="192" t="s">
        <v>35</v>
      </c>
      <c r="E2238" s="192" t="s">
        <v>63</v>
      </c>
      <c r="F2238" s="193">
        <v>30</v>
      </c>
      <c r="G2238" s="148">
        <v>7170</v>
      </c>
    </row>
    <row r="2239" spans="1:7" x14ac:dyDescent="0.25">
      <c r="A2239" s="147">
        <v>2233</v>
      </c>
      <c r="B2239" s="145">
        <v>46139</v>
      </c>
      <c r="C2239" s="191">
        <v>2026</v>
      </c>
      <c r="D2239" s="192" t="s">
        <v>35</v>
      </c>
      <c r="E2239" s="192" t="s">
        <v>1606</v>
      </c>
      <c r="F2239" s="193">
        <v>2</v>
      </c>
      <c r="G2239" s="148">
        <v>92000</v>
      </c>
    </row>
    <row r="2240" spans="1:7" x14ac:dyDescent="0.25">
      <c r="A2240" s="147">
        <v>2234</v>
      </c>
      <c r="B2240" s="145">
        <v>46140</v>
      </c>
      <c r="C2240" s="191">
        <v>2026</v>
      </c>
      <c r="D2240" s="192" t="s">
        <v>35</v>
      </c>
      <c r="E2240" s="192" t="s">
        <v>739</v>
      </c>
      <c r="F2240" s="193">
        <v>75</v>
      </c>
      <c r="G2240" s="148">
        <v>660000</v>
      </c>
    </row>
    <row r="2241" spans="1:7" x14ac:dyDescent="0.25">
      <c r="A2241" s="147">
        <v>2235</v>
      </c>
      <c r="B2241" s="145">
        <v>46140</v>
      </c>
      <c r="C2241" s="191">
        <v>2026</v>
      </c>
      <c r="D2241" s="192" t="s">
        <v>35</v>
      </c>
      <c r="E2241" s="192" t="s">
        <v>918</v>
      </c>
      <c r="F2241" s="193">
        <v>1</v>
      </c>
      <c r="G2241" s="148">
        <v>75000</v>
      </c>
    </row>
    <row r="2242" spans="1:7" x14ac:dyDescent="0.25">
      <c r="A2242" s="147">
        <v>2236</v>
      </c>
      <c r="B2242" s="145">
        <v>46140</v>
      </c>
      <c r="C2242" s="191">
        <v>2026</v>
      </c>
      <c r="D2242" s="192" t="s">
        <v>35</v>
      </c>
      <c r="E2242" s="192" t="s">
        <v>124</v>
      </c>
      <c r="F2242" s="193">
        <v>1</v>
      </c>
      <c r="G2242" s="148">
        <v>430000</v>
      </c>
    </row>
    <row r="2243" spans="1:7" x14ac:dyDescent="0.25">
      <c r="A2243" s="147">
        <v>2237</v>
      </c>
      <c r="B2243" s="145">
        <v>46141</v>
      </c>
      <c r="C2243" s="191">
        <v>2026</v>
      </c>
      <c r="D2243" s="192" t="s">
        <v>35</v>
      </c>
      <c r="E2243" s="192" t="s">
        <v>69</v>
      </c>
      <c r="F2243" s="193">
        <v>2</v>
      </c>
      <c r="G2243" s="148">
        <v>210000</v>
      </c>
    </row>
    <row r="2244" spans="1:7" x14ac:dyDescent="0.25">
      <c r="A2244" s="147">
        <v>2238</v>
      </c>
      <c r="B2244" s="145">
        <v>46142</v>
      </c>
      <c r="C2244" s="191">
        <v>2026</v>
      </c>
      <c r="D2244" s="192" t="s">
        <v>35</v>
      </c>
      <c r="E2244" s="192" t="s">
        <v>325</v>
      </c>
      <c r="F2244" s="193">
        <v>1</v>
      </c>
      <c r="G2244" s="148">
        <v>2100000</v>
      </c>
    </row>
    <row r="2245" spans="1:7" x14ac:dyDescent="0.25">
      <c r="A2245" s="147">
        <v>2239</v>
      </c>
      <c r="B2245" s="145">
        <v>46142</v>
      </c>
      <c r="C2245" s="191">
        <v>2026</v>
      </c>
      <c r="D2245" s="192" t="s">
        <v>35</v>
      </c>
      <c r="E2245" s="192" t="s">
        <v>220</v>
      </c>
      <c r="F2245" s="193">
        <v>3</v>
      </c>
      <c r="G2245" s="148">
        <v>293460</v>
      </c>
    </row>
    <row r="2246" spans="1:7" x14ac:dyDescent="0.25">
      <c r="A2246" s="147">
        <v>2240</v>
      </c>
      <c r="B2246" s="145">
        <v>46142</v>
      </c>
      <c r="C2246" s="191">
        <v>2026</v>
      </c>
      <c r="D2246" s="192" t="s">
        <v>35</v>
      </c>
      <c r="E2246" s="192" t="s">
        <v>485</v>
      </c>
      <c r="F2246" s="193">
        <v>2</v>
      </c>
      <c r="G2246" s="148">
        <v>10160</v>
      </c>
    </row>
    <row r="2247" spans="1:7" x14ac:dyDescent="0.25">
      <c r="A2247" s="196">
        <v>2241</v>
      </c>
      <c r="B2247" s="145">
        <v>46142</v>
      </c>
      <c r="C2247" s="191">
        <v>2026</v>
      </c>
      <c r="D2247" s="192" t="s">
        <v>35</v>
      </c>
      <c r="E2247" s="192" t="s">
        <v>741</v>
      </c>
      <c r="F2247" s="193">
        <v>1</v>
      </c>
      <c r="G2247" s="148">
        <v>350000</v>
      </c>
    </row>
  </sheetData>
  <autoFilter ref="A5:G2246">
    <sortState ref="A6:G2247">
      <sortCondition ref="B5:B2246"/>
    </sortState>
  </autoFilter>
  <mergeCells count="9">
    <mergeCell ref="N9:N10"/>
    <mergeCell ref="O9:Q9"/>
    <mergeCell ref="J24:L24"/>
    <mergeCell ref="A1:F1"/>
    <mergeCell ref="A2:F2"/>
    <mergeCell ref="I5:I7"/>
    <mergeCell ref="J5:L5"/>
    <mergeCell ref="N5:N6"/>
    <mergeCell ref="O5:Q5"/>
  </mergeCells>
  <pageMargins left="0.7" right="0.7" top="0.75" bottom="0.75" header="0.3" footer="0.3"/>
  <pageSetup paperSize="10000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2"/>
  <sheetViews>
    <sheetView tabSelected="1" topLeftCell="E5" zoomScale="110" zoomScaleNormal="110" workbookViewId="0">
      <selection activeCell="N24" sqref="N24"/>
    </sheetView>
  </sheetViews>
  <sheetFormatPr defaultRowHeight="15" x14ac:dyDescent="0.25"/>
  <cols>
    <col min="1" max="1" width="7" customWidth="1"/>
    <col min="2" max="2" width="11.28515625" customWidth="1"/>
    <col min="3" max="3" width="8.42578125" customWidth="1"/>
    <col min="4" max="4" width="13.28515625" customWidth="1"/>
    <col min="5" max="5" width="29.140625" customWidth="1"/>
    <col min="6" max="6" width="7.5703125" customWidth="1"/>
    <col min="7" max="7" width="11.7109375" customWidth="1"/>
    <col min="9" max="9" width="13" customWidth="1"/>
    <col min="10" max="10" width="17.42578125" customWidth="1"/>
    <col min="11" max="11" width="15.28515625" customWidth="1"/>
    <col min="12" max="12" width="17.42578125" customWidth="1"/>
    <col min="13" max="13" width="4.7109375" customWidth="1"/>
    <col min="14" max="14" width="37.140625" bestFit="1" customWidth="1"/>
    <col min="15" max="16" width="13.28515625" customWidth="1"/>
    <col min="17" max="17" width="15.140625" customWidth="1"/>
    <col min="18" max="18" width="11.42578125" customWidth="1"/>
  </cols>
  <sheetData>
    <row r="1" spans="1:17" ht="15.75" x14ac:dyDescent="0.25">
      <c r="A1" s="94" t="s">
        <v>1696</v>
      </c>
      <c r="B1" s="94"/>
      <c r="C1" s="94"/>
      <c r="D1" s="94"/>
      <c r="E1" s="94"/>
      <c r="F1" s="94"/>
    </row>
    <row r="2" spans="1:17" x14ac:dyDescent="0.25">
      <c r="A2" s="98" t="s">
        <v>1688</v>
      </c>
      <c r="B2" s="98"/>
      <c r="C2" s="98"/>
      <c r="D2" s="98"/>
      <c r="E2" s="98"/>
      <c r="F2" s="98"/>
    </row>
    <row r="4" spans="1:17" x14ac:dyDescent="0.25">
      <c r="A4" s="46"/>
    </row>
    <row r="5" spans="1:17" ht="30" x14ac:dyDescent="0.25">
      <c r="A5" s="106" t="s">
        <v>0</v>
      </c>
      <c r="B5" s="107" t="s">
        <v>2</v>
      </c>
      <c r="C5" s="107" t="s">
        <v>751</v>
      </c>
      <c r="D5" s="106" t="s">
        <v>4</v>
      </c>
      <c r="E5" s="106" t="s">
        <v>5</v>
      </c>
      <c r="F5" s="106" t="s">
        <v>752</v>
      </c>
      <c r="G5" s="109" t="s">
        <v>754</v>
      </c>
      <c r="I5" s="176" t="s">
        <v>1689</v>
      </c>
      <c r="J5" s="177" t="s">
        <v>751</v>
      </c>
      <c r="K5" s="178"/>
      <c r="L5" s="179"/>
      <c r="N5" s="176" t="s">
        <v>1690</v>
      </c>
      <c r="O5" s="177" t="s">
        <v>757</v>
      </c>
      <c r="P5" s="178"/>
      <c r="Q5" s="179"/>
    </row>
    <row r="6" spans="1:17" x14ac:dyDescent="0.25">
      <c r="A6" s="197">
        <v>1</v>
      </c>
      <c r="B6" s="116">
        <v>45293</v>
      </c>
      <c r="C6" s="117">
        <v>2024</v>
      </c>
      <c r="D6" s="118" t="s">
        <v>259</v>
      </c>
      <c r="E6" s="119" t="s">
        <v>758</v>
      </c>
      <c r="F6" s="120">
        <v>1</v>
      </c>
      <c r="G6" s="121">
        <v>158000</v>
      </c>
      <c r="I6" s="182"/>
      <c r="J6" s="183">
        <v>2024</v>
      </c>
      <c r="K6" s="183">
        <v>2025</v>
      </c>
      <c r="L6" s="183">
        <v>2026</v>
      </c>
      <c r="N6" s="184"/>
      <c r="O6" s="183">
        <v>2024</v>
      </c>
      <c r="P6" s="183">
        <v>2025</v>
      </c>
      <c r="Q6" s="183">
        <v>2026</v>
      </c>
    </row>
    <row r="7" spans="1:17" x14ac:dyDescent="0.25">
      <c r="A7" s="197">
        <v>2</v>
      </c>
      <c r="B7" s="116">
        <v>45293</v>
      </c>
      <c r="C7" s="117">
        <v>2024</v>
      </c>
      <c r="D7" s="118" t="s">
        <v>259</v>
      </c>
      <c r="E7" s="119" t="s">
        <v>760</v>
      </c>
      <c r="F7" s="120">
        <v>1</v>
      </c>
      <c r="G7" s="121">
        <v>1540000</v>
      </c>
      <c r="I7" s="184"/>
      <c r="J7" s="134">
        <v>29044670</v>
      </c>
      <c r="K7" s="128">
        <v>85203517</v>
      </c>
      <c r="L7" s="134">
        <v>28845461</v>
      </c>
      <c r="N7" s="18" t="s">
        <v>762</v>
      </c>
      <c r="O7" s="134">
        <v>12850000</v>
      </c>
      <c r="P7" s="128">
        <v>11261800</v>
      </c>
      <c r="Q7" s="134">
        <v>5096700</v>
      </c>
    </row>
    <row r="8" spans="1:17" x14ac:dyDescent="0.25">
      <c r="A8" s="197">
        <v>3</v>
      </c>
      <c r="B8" s="116">
        <v>45314</v>
      </c>
      <c r="C8" s="117">
        <v>2024</v>
      </c>
      <c r="D8" s="118" t="s">
        <v>259</v>
      </c>
      <c r="E8" s="119" t="s">
        <v>828</v>
      </c>
      <c r="F8" s="120">
        <v>1</v>
      </c>
      <c r="G8" s="121">
        <v>50000</v>
      </c>
      <c r="J8" s="163"/>
      <c r="K8" s="198"/>
      <c r="L8" s="198"/>
      <c r="P8" s="199"/>
    </row>
    <row r="9" spans="1:17" x14ac:dyDescent="0.25">
      <c r="A9" s="197">
        <v>4</v>
      </c>
      <c r="B9" s="116">
        <v>45317</v>
      </c>
      <c r="C9" s="117">
        <v>2024</v>
      </c>
      <c r="D9" s="118" t="s">
        <v>259</v>
      </c>
      <c r="E9" s="119" t="s">
        <v>832</v>
      </c>
      <c r="F9" s="120">
        <v>1</v>
      </c>
      <c r="G9" s="121">
        <v>395000</v>
      </c>
      <c r="N9" s="176" t="s">
        <v>1690</v>
      </c>
      <c r="O9" s="177" t="s">
        <v>1691</v>
      </c>
      <c r="P9" s="178"/>
      <c r="Q9" s="179"/>
    </row>
    <row r="10" spans="1:17" x14ac:dyDescent="0.25">
      <c r="A10" s="197">
        <v>5</v>
      </c>
      <c r="B10" s="116">
        <v>45344</v>
      </c>
      <c r="C10" s="117">
        <v>2024</v>
      </c>
      <c r="D10" s="118" t="s">
        <v>259</v>
      </c>
      <c r="E10" s="119" t="s">
        <v>658</v>
      </c>
      <c r="F10" s="120">
        <v>5</v>
      </c>
      <c r="G10" s="121">
        <v>201500</v>
      </c>
      <c r="N10" s="184"/>
      <c r="O10" s="183">
        <v>2024</v>
      </c>
      <c r="P10" s="183">
        <v>2025</v>
      </c>
      <c r="Q10" s="183">
        <v>2026</v>
      </c>
    </row>
    <row r="11" spans="1:17" x14ac:dyDescent="0.25">
      <c r="A11" s="197">
        <v>6</v>
      </c>
      <c r="B11" s="116">
        <v>45367</v>
      </c>
      <c r="C11" s="117">
        <v>2024</v>
      </c>
      <c r="D11" s="118" t="s">
        <v>259</v>
      </c>
      <c r="E11" s="119" t="s">
        <v>331</v>
      </c>
      <c r="F11" s="120">
        <v>3</v>
      </c>
      <c r="G11" s="121">
        <v>501000</v>
      </c>
      <c r="N11" s="18" t="s">
        <v>1697</v>
      </c>
      <c r="O11" s="134" t="s">
        <v>1698</v>
      </c>
      <c r="P11" s="128"/>
      <c r="Q11" s="134"/>
    </row>
    <row r="12" spans="1:17" x14ac:dyDescent="0.25">
      <c r="A12" s="197">
        <v>7</v>
      </c>
      <c r="B12" s="116">
        <v>45370</v>
      </c>
      <c r="C12" s="117">
        <v>2024</v>
      </c>
      <c r="D12" s="118" t="s">
        <v>259</v>
      </c>
      <c r="E12" s="119" t="s">
        <v>331</v>
      </c>
      <c r="F12" s="120">
        <v>3</v>
      </c>
      <c r="G12" s="121">
        <v>740000</v>
      </c>
      <c r="N12" s="5" t="s">
        <v>1699</v>
      </c>
      <c r="O12" s="5"/>
      <c r="P12" s="5" t="s">
        <v>1700</v>
      </c>
      <c r="Q12" s="5"/>
    </row>
    <row r="13" spans="1:17" x14ac:dyDescent="0.25">
      <c r="A13" s="197">
        <v>8</v>
      </c>
      <c r="B13" s="116">
        <v>45379</v>
      </c>
      <c r="C13" s="117">
        <v>2024</v>
      </c>
      <c r="D13" s="118" t="s">
        <v>259</v>
      </c>
      <c r="E13" s="119" t="s">
        <v>331</v>
      </c>
      <c r="F13" s="120">
        <v>1</v>
      </c>
      <c r="G13" s="121">
        <v>246000</v>
      </c>
      <c r="N13" s="5" t="s">
        <v>1701</v>
      </c>
      <c r="O13" s="5"/>
      <c r="P13" s="5"/>
      <c r="Q13" s="5" t="s">
        <v>1702</v>
      </c>
    </row>
    <row r="14" spans="1:17" x14ac:dyDescent="0.25">
      <c r="A14" s="197">
        <v>9</v>
      </c>
      <c r="B14" s="116">
        <v>45387</v>
      </c>
      <c r="C14" s="117">
        <v>2024</v>
      </c>
      <c r="D14" s="118" t="s">
        <v>259</v>
      </c>
      <c r="E14" s="119" t="s">
        <v>989</v>
      </c>
      <c r="F14" s="120">
        <v>1</v>
      </c>
      <c r="G14" s="121">
        <v>140000</v>
      </c>
    </row>
    <row r="15" spans="1:17" x14ac:dyDescent="0.25">
      <c r="A15" s="197">
        <v>10</v>
      </c>
      <c r="B15" s="116">
        <v>45387</v>
      </c>
      <c r="C15" s="117">
        <v>2024</v>
      </c>
      <c r="D15" s="118" t="s">
        <v>259</v>
      </c>
      <c r="E15" s="119" t="s">
        <v>990</v>
      </c>
      <c r="F15" s="120">
        <v>1</v>
      </c>
      <c r="G15" s="121">
        <v>375000</v>
      </c>
    </row>
    <row r="16" spans="1:17" x14ac:dyDescent="0.25">
      <c r="A16" s="197">
        <v>11</v>
      </c>
      <c r="B16" s="116">
        <v>45414</v>
      </c>
      <c r="C16" s="117">
        <v>2024</v>
      </c>
      <c r="D16" s="118" t="s">
        <v>259</v>
      </c>
      <c r="E16" s="119" t="s">
        <v>639</v>
      </c>
      <c r="F16" s="120">
        <v>5</v>
      </c>
      <c r="G16" s="121">
        <v>350000</v>
      </c>
    </row>
    <row r="17" spans="1:7" x14ac:dyDescent="0.25">
      <c r="A17" s="197">
        <v>12</v>
      </c>
      <c r="B17" s="116">
        <v>45419</v>
      </c>
      <c r="C17" s="117">
        <v>2024</v>
      </c>
      <c r="D17" s="118" t="s">
        <v>259</v>
      </c>
      <c r="E17" s="119" t="s">
        <v>990</v>
      </c>
      <c r="F17" s="120">
        <v>1</v>
      </c>
      <c r="G17" s="121">
        <v>375000</v>
      </c>
    </row>
    <row r="18" spans="1:7" x14ac:dyDescent="0.25">
      <c r="A18" s="197">
        <v>13</v>
      </c>
      <c r="B18" s="116">
        <v>45428</v>
      </c>
      <c r="C18" s="117">
        <v>2024</v>
      </c>
      <c r="D18" s="118" t="s">
        <v>259</v>
      </c>
      <c r="E18" s="119" t="s">
        <v>760</v>
      </c>
      <c r="F18" s="120">
        <v>1</v>
      </c>
      <c r="G18" s="121">
        <v>882700</v>
      </c>
    </row>
    <row r="19" spans="1:7" x14ac:dyDescent="0.25">
      <c r="A19" s="197">
        <v>14</v>
      </c>
      <c r="B19" s="116">
        <v>45430</v>
      </c>
      <c r="C19" s="117">
        <v>2024</v>
      </c>
      <c r="D19" s="118" t="s">
        <v>259</v>
      </c>
      <c r="E19" s="119" t="s">
        <v>760</v>
      </c>
      <c r="F19" s="120">
        <v>1</v>
      </c>
      <c r="G19" s="121">
        <v>315100</v>
      </c>
    </row>
    <row r="20" spans="1:7" x14ac:dyDescent="0.25">
      <c r="A20" s="197">
        <v>15</v>
      </c>
      <c r="B20" s="116">
        <v>45453</v>
      </c>
      <c r="C20" s="117">
        <v>2024</v>
      </c>
      <c r="D20" s="118" t="s">
        <v>259</v>
      </c>
      <c r="E20" s="119" t="s">
        <v>1090</v>
      </c>
      <c r="F20" s="120">
        <v>1</v>
      </c>
      <c r="G20" s="121">
        <v>158400</v>
      </c>
    </row>
    <row r="21" spans="1:7" x14ac:dyDescent="0.25">
      <c r="A21" s="197">
        <v>16</v>
      </c>
      <c r="B21" s="116">
        <v>45482</v>
      </c>
      <c r="C21" s="117">
        <v>2024</v>
      </c>
      <c r="D21" s="118" t="s">
        <v>259</v>
      </c>
      <c r="E21" s="119" t="s">
        <v>1120</v>
      </c>
      <c r="F21" s="120">
        <v>1</v>
      </c>
      <c r="G21" s="121">
        <v>2050000</v>
      </c>
    </row>
    <row r="22" spans="1:7" x14ac:dyDescent="0.25">
      <c r="A22" s="197">
        <v>17</v>
      </c>
      <c r="B22" s="116">
        <v>45513</v>
      </c>
      <c r="C22" s="117">
        <v>2024</v>
      </c>
      <c r="D22" s="118" t="s">
        <v>259</v>
      </c>
      <c r="E22" s="119" t="s">
        <v>1141</v>
      </c>
      <c r="F22" s="120">
        <v>1</v>
      </c>
      <c r="G22" s="121">
        <v>193300</v>
      </c>
    </row>
    <row r="23" spans="1:7" x14ac:dyDescent="0.25">
      <c r="A23" s="197">
        <v>18</v>
      </c>
      <c r="B23" s="116">
        <v>45523</v>
      </c>
      <c r="C23" s="117">
        <v>2024</v>
      </c>
      <c r="D23" s="118" t="s">
        <v>259</v>
      </c>
      <c r="E23" s="119" t="s">
        <v>1149</v>
      </c>
      <c r="F23" s="120">
        <v>1</v>
      </c>
      <c r="G23" s="121">
        <v>175609</v>
      </c>
    </row>
    <row r="24" spans="1:7" x14ac:dyDescent="0.25">
      <c r="A24" s="197">
        <v>19</v>
      </c>
      <c r="B24" s="116">
        <v>45563</v>
      </c>
      <c r="C24" s="117">
        <v>2024</v>
      </c>
      <c r="D24" s="118" t="s">
        <v>259</v>
      </c>
      <c r="E24" s="119" t="s">
        <v>1181</v>
      </c>
      <c r="F24" s="120">
        <v>1</v>
      </c>
      <c r="G24" s="121">
        <v>162150</v>
      </c>
    </row>
    <row r="25" spans="1:7" x14ac:dyDescent="0.25">
      <c r="A25" s="197">
        <v>20</v>
      </c>
      <c r="B25" s="116">
        <v>45563</v>
      </c>
      <c r="C25" s="117">
        <v>2024</v>
      </c>
      <c r="D25" s="118" t="s">
        <v>259</v>
      </c>
      <c r="E25" s="119" t="s">
        <v>1182</v>
      </c>
      <c r="F25" s="120">
        <v>1</v>
      </c>
      <c r="G25" s="121">
        <v>915000</v>
      </c>
    </row>
    <row r="26" spans="1:7" x14ac:dyDescent="0.25">
      <c r="A26" s="197">
        <v>21</v>
      </c>
      <c r="B26" s="116">
        <v>45563</v>
      </c>
      <c r="C26" s="117">
        <v>2024</v>
      </c>
      <c r="D26" s="118" t="s">
        <v>259</v>
      </c>
      <c r="E26" s="119" t="s">
        <v>989</v>
      </c>
      <c r="F26" s="120">
        <v>1</v>
      </c>
      <c r="G26" s="121">
        <v>162150</v>
      </c>
    </row>
    <row r="27" spans="1:7" x14ac:dyDescent="0.25">
      <c r="A27" s="197">
        <v>22</v>
      </c>
      <c r="B27" s="116">
        <v>45572</v>
      </c>
      <c r="C27" s="117">
        <v>2024</v>
      </c>
      <c r="D27" s="118" t="s">
        <v>259</v>
      </c>
      <c r="E27" s="119" t="s">
        <v>1182</v>
      </c>
      <c r="F27" s="120">
        <v>1</v>
      </c>
      <c r="G27" s="121">
        <v>948400</v>
      </c>
    </row>
    <row r="28" spans="1:7" x14ac:dyDescent="0.25">
      <c r="A28" s="197">
        <v>23</v>
      </c>
      <c r="B28" s="116">
        <v>45590</v>
      </c>
      <c r="C28" s="117">
        <v>2024</v>
      </c>
      <c r="D28" s="118" t="s">
        <v>259</v>
      </c>
      <c r="E28" s="119" t="s">
        <v>828</v>
      </c>
      <c r="F28" s="120">
        <v>2</v>
      </c>
      <c r="G28" s="121">
        <v>128900</v>
      </c>
    </row>
    <row r="29" spans="1:7" x14ac:dyDescent="0.25">
      <c r="A29" s="197">
        <v>24</v>
      </c>
      <c r="B29" s="116">
        <v>45590</v>
      </c>
      <c r="C29" s="117">
        <v>2024</v>
      </c>
      <c r="D29" s="118" t="s">
        <v>259</v>
      </c>
      <c r="E29" s="119" t="s">
        <v>1203</v>
      </c>
      <c r="F29" s="120">
        <v>1</v>
      </c>
      <c r="G29" s="121">
        <v>69500</v>
      </c>
    </row>
    <row r="30" spans="1:7" x14ac:dyDescent="0.25">
      <c r="A30" s="197">
        <v>25</v>
      </c>
      <c r="B30" s="167">
        <v>45597</v>
      </c>
      <c r="C30" s="117">
        <v>2024</v>
      </c>
      <c r="D30" s="119" t="s">
        <v>259</v>
      </c>
      <c r="E30" s="119" t="s">
        <v>1220</v>
      </c>
      <c r="F30" s="120">
        <v>10</v>
      </c>
      <c r="G30" s="168">
        <v>148000</v>
      </c>
    </row>
    <row r="31" spans="1:7" x14ac:dyDescent="0.25">
      <c r="A31" s="197">
        <v>26</v>
      </c>
      <c r="B31" s="116">
        <v>45597</v>
      </c>
      <c r="C31" s="117">
        <v>2024</v>
      </c>
      <c r="D31" s="118" t="s">
        <v>259</v>
      </c>
      <c r="E31" s="119" t="s">
        <v>1220</v>
      </c>
      <c r="F31" s="120">
        <v>6</v>
      </c>
      <c r="G31" s="121">
        <v>70800</v>
      </c>
    </row>
    <row r="32" spans="1:7" x14ac:dyDescent="0.25">
      <c r="A32" s="197">
        <v>27</v>
      </c>
      <c r="B32" s="116">
        <v>45602</v>
      </c>
      <c r="C32" s="117">
        <v>2024</v>
      </c>
      <c r="D32" s="118" t="s">
        <v>259</v>
      </c>
      <c r="E32" s="119" t="s">
        <v>762</v>
      </c>
      <c r="F32" s="120">
        <v>2</v>
      </c>
      <c r="G32" s="121">
        <v>12850000</v>
      </c>
    </row>
    <row r="33" spans="1:7" x14ac:dyDescent="0.25">
      <c r="A33" s="197">
        <v>28</v>
      </c>
      <c r="B33" s="167">
        <v>45602</v>
      </c>
      <c r="C33" s="117">
        <v>2024</v>
      </c>
      <c r="D33" s="119" t="s">
        <v>259</v>
      </c>
      <c r="E33" s="119" t="s">
        <v>1221</v>
      </c>
      <c r="F33" s="120">
        <v>1</v>
      </c>
      <c r="G33" s="168">
        <v>502500</v>
      </c>
    </row>
    <row r="34" spans="1:7" x14ac:dyDescent="0.25">
      <c r="A34" s="197">
        <v>29</v>
      </c>
      <c r="B34" s="116">
        <v>45607</v>
      </c>
      <c r="C34" s="117">
        <v>2024</v>
      </c>
      <c r="D34" s="118" t="s">
        <v>259</v>
      </c>
      <c r="E34" s="119" t="s">
        <v>1242</v>
      </c>
      <c r="F34" s="120">
        <v>1</v>
      </c>
      <c r="G34" s="121">
        <v>15000</v>
      </c>
    </row>
    <row r="35" spans="1:7" x14ac:dyDescent="0.25">
      <c r="A35" s="197">
        <v>30</v>
      </c>
      <c r="B35" s="116">
        <v>45609</v>
      </c>
      <c r="C35" s="117">
        <v>2024</v>
      </c>
      <c r="D35" s="118" t="s">
        <v>259</v>
      </c>
      <c r="E35" s="119" t="s">
        <v>331</v>
      </c>
      <c r="F35" s="120">
        <v>4</v>
      </c>
      <c r="G35" s="121">
        <v>680000</v>
      </c>
    </row>
    <row r="36" spans="1:7" x14ac:dyDescent="0.25">
      <c r="A36" s="197">
        <v>31</v>
      </c>
      <c r="B36" s="116">
        <v>45609</v>
      </c>
      <c r="C36" s="117">
        <v>2024</v>
      </c>
      <c r="D36" s="118" t="s">
        <v>259</v>
      </c>
      <c r="E36" s="119" t="s">
        <v>1249</v>
      </c>
      <c r="F36" s="120">
        <v>6</v>
      </c>
      <c r="G36" s="121">
        <v>318000</v>
      </c>
    </row>
    <row r="37" spans="1:7" x14ac:dyDescent="0.25">
      <c r="A37" s="197">
        <v>32</v>
      </c>
      <c r="B37" s="116">
        <v>45609</v>
      </c>
      <c r="C37" s="117">
        <v>2024</v>
      </c>
      <c r="D37" s="118" t="s">
        <v>259</v>
      </c>
      <c r="E37" s="119" t="s">
        <v>1247</v>
      </c>
      <c r="F37" s="120">
        <v>1</v>
      </c>
      <c r="G37" s="121">
        <v>54300</v>
      </c>
    </row>
    <row r="38" spans="1:7" x14ac:dyDescent="0.25">
      <c r="A38" s="197">
        <v>33</v>
      </c>
      <c r="B38" s="116">
        <v>45609</v>
      </c>
      <c r="C38" s="117">
        <v>2024</v>
      </c>
      <c r="D38" s="118" t="s">
        <v>259</v>
      </c>
      <c r="E38" s="119" t="s">
        <v>1248</v>
      </c>
      <c r="F38" s="120">
        <v>3</v>
      </c>
      <c r="G38" s="121">
        <v>330000</v>
      </c>
    </row>
    <row r="39" spans="1:7" x14ac:dyDescent="0.25">
      <c r="A39" s="197">
        <v>34</v>
      </c>
      <c r="B39" s="116">
        <v>45612</v>
      </c>
      <c r="C39" s="117">
        <v>2024</v>
      </c>
      <c r="D39" s="118" t="s">
        <v>259</v>
      </c>
      <c r="E39" s="119" t="s">
        <v>1258</v>
      </c>
      <c r="F39" s="120">
        <v>1</v>
      </c>
      <c r="G39" s="121">
        <v>20000</v>
      </c>
    </row>
    <row r="40" spans="1:7" x14ac:dyDescent="0.25">
      <c r="A40" s="197">
        <v>35</v>
      </c>
      <c r="B40" s="116">
        <v>45632</v>
      </c>
      <c r="C40" s="117">
        <v>2024</v>
      </c>
      <c r="D40" s="118" t="s">
        <v>259</v>
      </c>
      <c r="E40" s="119" t="s">
        <v>1276</v>
      </c>
      <c r="F40" s="120">
        <v>1</v>
      </c>
      <c r="G40" s="194">
        <v>403280</v>
      </c>
    </row>
    <row r="41" spans="1:7" x14ac:dyDescent="0.25">
      <c r="A41" s="197">
        <v>36</v>
      </c>
      <c r="B41" s="167">
        <v>45632</v>
      </c>
      <c r="C41" s="117">
        <v>2024</v>
      </c>
      <c r="D41" s="119" t="s">
        <v>259</v>
      </c>
      <c r="E41" s="119" t="s">
        <v>1278</v>
      </c>
      <c r="F41" s="120">
        <v>1</v>
      </c>
      <c r="G41" s="169">
        <v>289150</v>
      </c>
    </row>
    <row r="42" spans="1:7" x14ac:dyDescent="0.25">
      <c r="A42" s="197">
        <v>37</v>
      </c>
      <c r="B42" s="116">
        <v>45633</v>
      </c>
      <c r="C42" s="117">
        <v>2024</v>
      </c>
      <c r="D42" s="118" t="s">
        <v>259</v>
      </c>
      <c r="E42" s="119" t="s">
        <v>1279</v>
      </c>
      <c r="F42" s="120">
        <v>1</v>
      </c>
      <c r="G42" s="121">
        <v>8300</v>
      </c>
    </row>
    <row r="43" spans="1:7" x14ac:dyDescent="0.25">
      <c r="A43" s="197">
        <v>38</v>
      </c>
      <c r="B43" s="116">
        <v>45633</v>
      </c>
      <c r="C43" s="117">
        <v>2024</v>
      </c>
      <c r="D43" s="118" t="s">
        <v>259</v>
      </c>
      <c r="E43" s="119" t="s">
        <v>1280</v>
      </c>
      <c r="F43" s="120">
        <v>1</v>
      </c>
      <c r="G43" s="121">
        <v>583800</v>
      </c>
    </row>
    <row r="44" spans="1:7" x14ac:dyDescent="0.25">
      <c r="A44" s="197">
        <v>39</v>
      </c>
      <c r="B44" s="116">
        <v>45633</v>
      </c>
      <c r="C44" s="117">
        <v>2024</v>
      </c>
      <c r="D44" s="118" t="s">
        <v>259</v>
      </c>
      <c r="E44" s="119" t="s">
        <v>1281</v>
      </c>
      <c r="F44" s="120">
        <v>1</v>
      </c>
      <c r="G44" s="121">
        <v>510100</v>
      </c>
    </row>
    <row r="45" spans="1:7" x14ac:dyDescent="0.25">
      <c r="A45" s="197">
        <v>40</v>
      </c>
      <c r="B45" s="116">
        <v>45640</v>
      </c>
      <c r="C45" s="117">
        <v>2024</v>
      </c>
      <c r="D45" s="118" t="s">
        <v>259</v>
      </c>
      <c r="E45" s="119" t="s">
        <v>1292</v>
      </c>
      <c r="F45" s="120">
        <v>1</v>
      </c>
      <c r="G45" s="121">
        <v>91000</v>
      </c>
    </row>
    <row r="46" spans="1:7" x14ac:dyDescent="0.25">
      <c r="A46" s="197">
        <v>41</v>
      </c>
      <c r="B46" s="116">
        <v>45643</v>
      </c>
      <c r="C46" s="117">
        <v>2024</v>
      </c>
      <c r="D46" s="118" t="s">
        <v>259</v>
      </c>
      <c r="E46" s="119" t="s">
        <v>1299</v>
      </c>
      <c r="F46" s="120">
        <v>1</v>
      </c>
      <c r="G46" s="121">
        <v>900000</v>
      </c>
    </row>
    <row r="47" spans="1:7" x14ac:dyDescent="0.25">
      <c r="A47" s="197">
        <v>42</v>
      </c>
      <c r="B47" s="116">
        <v>45646</v>
      </c>
      <c r="C47" s="117">
        <v>2024</v>
      </c>
      <c r="D47" s="118" t="s">
        <v>259</v>
      </c>
      <c r="E47" s="119" t="s">
        <v>658</v>
      </c>
      <c r="F47" s="120">
        <v>1</v>
      </c>
      <c r="G47" s="121">
        <v>37731</v>
      </c>
    </row>
    <row r="48" spans="1:7" x14ac:dyDescent="0.25">
      <c r="A48" s="197">
        <v>43</v>
      </c>
      <c r="B48" s="116">
        <v>45664</v>
      </c>
      <c r="C48" s="117">
        <v>2025</v>
      </c>
      <c r="D48" s="118" t="s">
        <v>259</v>
      </c>
      <c r="E48" s="119" t="s">
        <v>1313</v>
      </c>
      <c r="F48" s="120">
        <v>3</v>
      </c>
      <c r="G48" s="121">
        <v>58701</v>
      </c>
    </row>
    <row r="49" spans="1:7" x14ac:dyDescent="0.25">
      <c r="A49" s="197">
        <v>44</v>
      </c>
      <c r="B49" s="116">
        <v>45664</v>
      </c>
      <c r="C49" s="117">
        <v>2025</v>
      </c>
      <c r="D49" s="118" t="s">
        <v>259</v>
      </c>
      <c r="E49" s="119" t="s">
        <v>1314</v>
      </c>
      <c r="F49" s="120">
        <v>1</v>
      </c>
      <c r="G49" s="121">
        <v>21900</v>
      </c>
    </row>
    <row r="50" spans="1:7" x14ac:dyDescent="0.25">
      <c r="A50" s="197">
        <v>45</v>
      </c>
      <c r="B50" s="116">
        <v>45680</v>
      </c>
      <c r="C50" s="117">
        <v>2025</v>
      </c>
      <c r="D50" s="118" t="s">
        <v>259</v>
      </c>
      <c r="E50" s="119" t="s">
        <v>1332</v>
      </c>
      <c r="F50" s="120">
        <v>1</v>
      </c>
      <c r="G50" s="121">
        <v>4591000</v>
      </c>
    </row>
    <row r="51" spans="1:7" x14ac:dyDescent="0.25">
      <c r="A51" s="197">
        <v>46</v>
      </c>
      <c r="B51" s="116">
        <v>45681</v>
      </c>
      <c r="C51" s="117">
        <v>2025</v>
      </c>
      <c r="D51" s="118" t="s">
        <v>259</v>
      </c>
      <c r="E51" s="119" t="s">
        <v>1333</v>
      </c>
      <c r="F51" s="120">
        <v>1</v>
      </c>
      <c r="G51" s="121">
        <v>982000</v>
      </c>
    </row>
    <row r="52" spans="1:7" x14ac:dyDescent="0.25">
      <c r="A52" s="197">
        <v>47</v>
      </c>
      <c r="B52" s="116">
        <v>45681</v>
      </c>
      <c r="C52" s="117">
        <v>2025</v>
      </c>
      <c r="D52" s="118" t="s">
        <v>259</v>
      </c>
      <c r="E52" s="119" t="s">
        <v>1334</v>
      </c>
      <c r="F52" s="120">
        <v>1</v>
      </c>
      <c r="G52" s="121">
        <v>436107</v>
      </c>
    </row>
    <row r="53" spans="1:7" x14ac:dyDescent="0.25">
      <c r="A53" s="197">
        <v>48</v>
      </c>
      <c r="B53" s="116">
        <v>45681</v>
      </c>
      <c r="C53" s="117">
        <v>2025</v>
      </c>
      <c r="D53" s="118" t="s">
        <v>259</v>
      </c>
      <c r="E53" s="119" t="s">
        <v>1335</v>
      </c>
      <c r="F53" s="120">
        <v>1</v>
      </c>
      <c r="G53" s="121">
        <v>887000</v>
      </c>
    </row>
    <row r="54" spans="1:7" x14ac:dyDescent="0.25">
      <c r="A54" s="197">
        <v>49</v>
      </c>
      <c r="B54" s="116">
        <v>45681</v>
      </c>
      <c r="C54" s="117">
        <v>2025</v>
      </c>
      <c r="D54" s="118" t="s">
        <v>259</v>
      </c>
      <c r="E54" s="119" t="s">
        <v>335</v>
      </c>
      <c r="F54" s="120">
        <v>1</v>
      </c>
      <c r="G54" s="121">
        <v>132000</v>
      </c>
    </row>
    <row r="55" spans="1:7" x14ac:dyDescent="0.25">
      <c r="A55" s="197">
        <v>50</v>
      </c>
      <c r="B55" s="116">
        <v>45681</v>
      </c>
      <c r="C55" s="117">
        <v>2025</v>
      </c>
      <c r="D55" s="118" t="s">
        <v>259</v>
      </c>
      <c r="E55" s="119" t="s">
        <v>1336</v>
      </c>
      <c r="F55" s="120">
        <v>1</v>
      </c>
      <c r="G55" s="121">
        <v>172000</v>
      </c>
    </row>
    <row r="56" spans="1:7" x14ac:dyDescent="0.25">
      <c r="A56" s="197">
        <v>51</v>
      </c>
      <c r="B56" s="116">
        <v>45681</v>
      </c>
      <c r="C56" s="117">
        <v>2025</v>
      </c>
      <c r="D56" s="118" t="s">
        <v>259</v>
      </c>
      <c r="E56" s="119" t="s">
        <v>1337</v>
      </c>
      <c r="F56" s="120">
        <v>1</v>
      </c>
      <c r="G56" s="121">
        <v>251000</v>
      </c>
    </row>
    <row r="57" spans="1:7" x14ac:dyDescent="0.25">
      <c r="A57" s="197">
        <v>52</v>
      </c>
      <c r="B57" s="116">
        <v>45681</v>
      </c>
      <c r="C57" s="117">
        <v>2025</v>
      </c>
      <c r="D57" s="118" t="s">
        <v>259</v>
      </c>
      <c r="E57" s="119" t="s">
        <v>1338</v>
      </c>
      <c r="F57" s="120">
        <v>1</v>
      </c>
      <c r="G57" s="121">
        <v>280000</v>
      </c>
    </row>
    <row r="58" spans="1:7" x14ac:dyDescent="0.25">
      <c r="A58" s="197">
        <v>53</v>
      </c>
      <c r="B58" s="116">
        <v>45682</v>
      </c>
      <c r="C58" s="117">
        <v>2025</v>
      </c>
      <c r="D58" s="118" t="s">
        <v>259</v>
      </c>
      <c r="E58" s="119" t="s">
        <v>331</v>
      </c>
      <c r="F58" s="120">
        <v>3</v>
      </c>
      <c r="G58" s="121">
        <v>510000</v>
      </c>
    </row>
    <row r="59" spans="1:7" x14ac:dyDescent="0.25">
      <c r="A59" s="197">
        <v>54</v>
      </c>
      <c r="B59" s="116">
        <v>45682</v>
      </c>
      <c r="C59" s="117">
        <v>2025</v>
      </c>
      <c r="D59" s="118" t="s">
        <v>259</v>
      </c>
      <c r="E59" s="119" t="s">
        <v>654</v>
      </c>
      <c r="F59" s="120">
        <v>5</v>
      </c>
      <c r="G59" s="121">
        <v>40000</v>
      </c>
    </row>
    <row r="60" spans="1:7" x14ac:dyDescent="0.25">
      <c r="A60" s="197">
        <v>55</v>
      </c>
      <c r="B60" s="116">
        <v>45682</v>
      </c>
      <c r="C60" s="117">
        <v>2025</v>
      </c>
      <c r="D60" s="118" t="s">
        <v>259</v>
      </c>
      <c r="E60" s="119" t="s">
        <v>1248</v>
      </c>
      <c r="F60" s="120">
        <v>1</v>
      </c>
      <c r="G60" s="121">
        <v>110000</v>
      </c>
    </row>
    <row r="61" spans="1:7" x14ac:dyDescent="0.25">
      <c r="A61" s="197">
        <v>56</v>
      </c>
      <c r="B61" s="116">
        <v>45682</v>
      </c>
      <c r="C61" s="117">
        <v>2025</v>
      </c>
      <c r="D61" s="118" t="s">
        <v>259</v>
      </c>
      <c r="E61" s="119" t="s">
        <v>299</v>
      </c>
      <c r="F61" s="120">
        <v>5</v>
      </c>
      <c r="G61" s="121">
        <v>82500</v>
      </c>
    </row>
    <row r="62" spans="1:7" x14ac:dyDescent="0.25">
      <c r="A62" s="197">
        <v>57</v>
      </c>
      <c r="B62" s="116">
        <v>45682</v>
      </c>
      <c r="C62" s="117">
        <v>2025</v>
      </c>
      <c r="D62" s="118" t="s">
        <v>259</v>
      </c>
      <c r="E62" s="119" t="s">
        <v>1339</v>
      </c>
      <c r="F62" s="120">
        <v>1</v>
      </c>
      <c r="G62" s="121">
        <v>636600</v>
      </c>
    </row>
    <row r="63" spans="1:7" x14ac:dyDescent="0.25">
      <c r="A63" s="197">
        <v>58</v>
      </c>
      <c r="B63" s="116">
        <v>45702</v>
      </c>
      <c r="C63" s="117">
        <v>2025</v>
      </c>
      <c r="D63" s="118" t="s">
        <v>259</v>
      </c>
      <c r="E63" s="119" t="s">
        <v>758</v>
      </c>
      <c r="F63" s="120">
        <v>1</v>
      </c>
      <c r="G63" s="121">
        <v>17000</v>
      </c>
    </row>
    <row r="64" spans="1:7" x14ac:dyDescent="0.25">
      <c r="A64" s="197">
        <v>59</v>
      </c>
      <c r="B64" s="116">
        <v>45713</v>
      </c>
      <c r="C64" s="117">
        <v>2025</v>
      </c>
      <c r="D64" s="118" t="s">
        <v>259</v>
      </c>
      <c r="E64" s="119" t="s">
        <v>1351</v>
      </c>
      <c r="F64" s="120">
        <v>2</v>
      </c>
      <c r="G64" s="121">
        <v>175000</v>
      </c>
    </row>
    <row r="65" spans="1:7" x14ac:dyDescent="0.25">
      <c r="A65" s="197">
        <v>60</v>
      </c>
      <c r="B65" s="116">
        <v>45713</v>
      </c>
      <c r="C65" s="117">
        <v>2025</v>
      </c>
      <c r="D65" s="118" t="s">
        <v>259</v>
      </c>
      <c r="E65" s="119" t="s">
        <v>1352</v>
      </c>
      <c r="F65" s="120">
        <v>1</v>
      </c>
      <c r="G65" s="121">
        <v>123300</v>
      </c>
    </row>
    <row r="66" spans="1:7" x14ac:dyDescent="0.25">
      <c r="A66" s="197">
        <v>61</v>
      </c>
      <c r="B66" s="116">
        <v>45713</v>
      </c>
      <c r="C66" s="117">
        <v>2025</v>
      </c>
      <c r="D66" s="118" t="s">
        <v>259</v>
      </c>
      <c r="E66" s="119" t="s">
        <v>1353</v>
      </c>
      <c r="F66" s="120">
        <v>1</v>
      </c>
      <c r="G66" s="121">
        <v>34500</v>
      </c>
    </row>
    <row r="67" spans="1:7" x14ac:dyDescent="0.25">
      <c r="A67" s="197">
        <v>62</v>
      </c>
      <c r="B67" s="116">
        <v>45713</v>
      </c>
      <c r="C67" s="117">
        <v>2025</v>
      </c>
      <c r="D67" s="118" t="s">
        <v>259</v>
      </c>
      <c r="E67" s="119" t="s">
        <v>1354</v>
      </c>
      <c r="F67" s="120">
        <v>1</v>
      </c>
      <c r="G67" s="121">
        <v>2905000</v>
      </c>
    </row>
    <row r="68" spans="1:7" x14ac:dyDescent="0.25">
      <c r="A68" s="197">
        <v>63</v>
      </c>
      <c r="B68" s="116">
        <v>45719</v>
      </c>
      <c r="C68" s="117">
        <v>2025</v>
      </c>
      <c r="D68" s="118" t="s">
        <v>259</v>
      </c>
      <c r="E68" s="119" t="s">
        <v>1358</v>
      </c>
      <c r="F68" s="120">
        <v>3</v>
      </c>
      <c r="G68" s="121">
        <v>591600</v>
      </c>
    </row>
    <row r="69" spans="1:7" x14ac:dyDescent="0.25">
      <c r="A69" s="197">
        <v>64</v>
      </c>
      <c r="B69" s="116">
        <v>45719</v>
      </c>
      <c r="C69" s="117">
        <v>2025</v>
      </c>
      <c r="D69" s="118" t="s">
        <v>259</v>
      </c>
      <c r="E69" s="119" t="s">
        <v>1359</v>
      </c>
      <c r="F69" s="120">
        <v>3</v>
      </c>
      <c r="G69" s="121">
        <v>1258527</v>
      </c>
    </row>
    <row r="70" spans="1:7" x14ac:dyDescent="0.25">
      <c r="A70" s="197">
        <v>65</v>
      </c>
      <c r="B70" s="116">
        <v>45719</v>
      </c>
      <c r="C70" s="117">
        <v>2025</v>
      </c>
      <c r="D70" s="118" t="s">
        <v>259</v>
      </c>
      <c r="E70" s="119" t="s">
        <v>1360</v>
      </c>
      <c r="F70" s="120">
        <v>3</v>
      </c>
      <c r="G70" s="121">
        <v>434550</v>
      </c>
    </row>
    <row r="71" spans="1:7" x14ac:dyDescent="0.25">
      <c r="A71" s="197">
        <v>66</v>
      </c>
      <c r="B71" s="116">
        <v>45719</v>
      </c>
      <c r="C71" s="117">
        <v>2025</v>
      </c>
      <c r="D71" s="118" t="s">
        <v>259</v>
      </c>
      <c r="E71" s="119" t="s">
        <v>1360</v>
      </c>
      <c r="F71" s="120">
        <v>2</v>
      </c>
      <c r="G71" s="121">
        <v>244160</v>
      </c>
    </row>
    <row r="72" spans="1:7" x14ac:dyDescent="0.25">
      <c r="A72" s="197">
        <v>67</v>
      </c>
      <c r="B72" s="116">
        <v>45719</v>
      </c>
      <c r="C72" s="117">
        <v>2025</v>
      </c>
      <c r="D72" s="118" t="s">
        <v>259</v>
      </c>
      <c r="E72" s="119" t="s">
        <v>1360</v>
      </c>
      <c r="F72" s="120">
        <v>2</v>
      </c>
      <c r="G72" s="121">
        <v>163100</v>
      </c>
    </row>
    <row r="73" spans="1:7" x14ac:dyDescent="0.25">
      <c r="A73" s="197">
        <v>68</v>
      </c>
      <c r="B73" s="116">
        <v>45735</v>
      </c>
      <c r="C73" s="117">
        <v>2025</v>
      </c>
      <c r="D73" s="118" t="s">
        <v>259</v>
      </c>
      <c r="E73" s="119" t="s">
        <v>1374</v>
      </c>
      <c r="F73" s="120">
        <v>1</v>
      </c>
      <c r="G73" s="121">
        <v>165000</v>
      </c>
    </row>
    <row r="74" spans="1:7" x14ac:dyDescent="0.25">
      <c r="A74" s="197">
        <v>69</v>
      </c>
      <c r="B74" s="116">
        <v>45736</v>
      </c>
      <c r="C74" s="117">
        <v>2025</v>
      </c>
      <c r="D74" s="118" t="s">
        <v>259</v>
      </c>
      <c r="E74" s="119" t="s">
        <v>1376</v>
      </c>
      <c r="F74" s="120">
        <v>1</v>
      </c>
      <c r="G74" s="121">
        <v>1451548</v>
      </c>
    </row>
    <row r="75" spans="1:7" x14ac:dyDescent="0.25">
      <c r="A75" s="197">
        <v>70</v>
      </c>
      <c r="B75" s="116">
        <v>45736</v>
      </c>
      <c r="C75" s="117">
        <v>2025</v>
      </c>
      <c r="D75" s="118" t="s">
        <v>259</v>
      </c>
      <c r="E75" s="119" t="s">
        <v>1377</v>
      </c>
      <c r="F75" s="120">
        <v>1</v>
      </c>
      <c r="G75" s="121">
        <v>280900</v>
      </c>
    </row>
    <row r="76" spans="1:7" x14ac:dyDescent="0.25">
      <c r="A76" s="197">
        <v>71</v>
      </c>
      <c r="B76" s="116">
        <v>45740</v>
      </c>
      <c r="C76" s="117">
        <v>2025</v>
      </c>
      <c r="D76" s="118" t="s">
        <v>259</v>
      </c>
      <c r="E76" s="119" t="s">
        <v>331</v>
      </c>
      <c r="F76" s="120">
        <v>8</v>
      </c>
      <c r="G76" s="121">
        <v>1550800</v>
      </c>
    </row>
    <row r="77" spans="1:7" x14ac:dyDescent="0.25">
      <c r="A77" s="197">
        <v>72</v>
      </c>
      <c r="B77" s="116">
        <v>45740</v>
      </c>
      <c r="C77" s="117">
        <v>2025</v>
      </c>
      <c r="D77" s="118" t="s">
        <v>259</v>
      </c>
      <c r="E77" s="119" t="s">
        <v>639</v>
      </c>
      <c r="F77" s="120">
        <v>6</v>
      </c>
      <c r="G77" s="121">
        <v>246600</v>
      </c>
    </row>
    <row r="78" spans="1:7" x14ac:dyDescent="0.25">
      <c r="A78" s="197">
        <v>73</v>
      </c>
      <c r="B78" s="116">
        <v>45740</v>
      </c>
      <c r="C78" s="117">
        <v>2025</v>
      </c>
      <c r="D78" s="118" t="s">
        <v>259</v>
      </c>
      <c r="E78" s="119" t="s">
        <v>335</v>
      </c>
      <c r="F78" s="120">
        <v>3</v>
      </c>
      <c r="G78" s="121">
        <v>345300</v>
      </c>
    </row>
    <row r="79" spans="1:7" x14ac:dyDescent="0.25">
      <c r="A79" s="197">
        <v>74</v>
      </c>
      <c r="B79" s="116">
        <v>45756</v>
      </c>
      <c r="C79" s="117">
        <v>2025</v>
      </c>
      <c r="D79" s="118" t="s">
        <v>259</v>
      </c>
      <c r="E79" s="119" t="s">
        <v>1391</v>
      </c>
      <c r="F79" s="120">
        <v>100</v>
      </c>
      <c r="G79" s="121">
        <v>189900</v>
      </c>
    </row>
    <row r="80" spans="1:7" x14ac:dyDescent="0.25">
      <c r="A80" s="197">
        <v>75</v>
      </c>
      <c r="B80" s="116">
        <v>45761</v>
      </c>
      <c r="C80" s="117">
        <v>2025</v>
      </c>
      <c r="D80" s="118" t="s">
        <v>259</v>
      </c>
      <c r="E80" s="119" t="s">
        <v>338</v>
      </c>
      <c r="F80" s="120">
        <v>2</v>
      </c>
      <c r="G80" s="121">
        <v>850000</v>
      </c>
    </row>
    <row r="81" spans="1:7" x14ac:dyDescent="0.25">
      <c r="A81" s="197">
        <v>76</v>
      </c>
      <c r="B81" s="116">
        <v>45764</v>
      </c>
      <c r="C81" s="117">
        <v>2025</v>
      </c>
      <c r="D81" s="118" t="s">
        <v>259</v>
      </c>
      <c r="E81" s="119" t="s">
        <v>760</v>
      </c>
      <c r="F81" s="120">
        <v>1</v>
      </c>
      <c r="G81" s="121">
        <v>106900</v>
      </c>
    </row>
    <row r="82" spans="1:7" x14ac:dyDescent="0.25">
      <c r="A82" s="197">
        <v>77</v>
      </c>
      <c r="B82" s="116">
        <v>45764</v>
      </c>
      <c r="C82" s="117">
        <v>2025</v>
      </c>
      <c r="D82" s="118" t="s">
        <v>259</v>
      </c>
      <c r="E82" s="119" t="s">
        <v>1396</v>
      </c>
      <c r="F82" s="120">
        <v>2</v>
      </c>
      <c r="G82" s="121">
        <v>27150</v>
      </c>
    </row>
    <row r="83" spans="1:7" x14ac:dyDescent="0.25">
      <c r="A83" s="197">
        <v>78</v>
      </c>
      <c r="B83" s="116">
        <v>45764</v>
      </c>
      <c r="C83" s="117">
        <v>2025</v>
      </c>
      <c r="D83" s="118" t="s">
        <v>259</v>
      </c>
      <c r="E83" s="119" t="s">
        <v>1361</v>
      </c>
      <c r="F83" s="120">
        <v>2</v>
      </c>
      <c r="G83" s="121">
        <v>287900</v>
      </c>
    </row>
    <row r="84" spans="1:7" x14ac:dyDescent="0.25">
      <c r="A84" s="197">
        <v>79</v>
      </c>
      <c r="B84" s="116">
        <v>45776</v>
      </c>
      <c r="C84" s="117">
        <v>2025</v>
      </c>
      <c r="D84" s="118" t="s">
        <v>259</v>
      </c>
      <c r="E84" s="119" t="s">
        <v>760</v>
      </c>
      <c r="F84" s="120">
        <v>2</v>
      </c>
      <c r="G84" s="121">
        <v>200100</v>
      </c>
    </row>
    <row r="85" spans="1:7" x14ac:dyDescent="0.25">
      <c r="A85" s="197">
        <v>80</v>
      </c>
      <c r="B85" s="116">
        <v>45776</v>
      </c>
      <c r="C85" s="117">
        <v>2025</v>
      </c>
      <c r="D85" s="118" t="s">
        <v>259</v>
      </c>
      <c r="E85" s="119" t="s">
        <v>1403</v>
      </c>
      <c r="F85" s="120">
        <v>1</v>
      </c>
      <c r="G85" s="121">
        <v>27900</v>
      </c>
    </row>
    <row r="86" spans="1:7" x14ac:dyDescent="0.25">
      <c r="A86" s="197">
        <v>81</v>
      </c>
      <c r="B86" s="167">
        <v>45777</v>
      </c>
      <c r="C86" s="117">
        <v>2025</v>
      </c>
      <c r="D86" s="119" t="s">
        <v>259</v>
      </c>
      <c r="E86" s="119" t="s">
        <v>658</v>
      </c>
      <c r="F86" s="120">
        <v>2</v>
      </c>
      <c r="G86" s="169">
        <v>72300</v>
      </c>
    </row>
    <row r="87" spans="1:7" x14ac:dyDescent="0.25">
      <c r="A87" s="197">
        <v>82</v>
      </c>
      <c r="B87" s="116">
        <v>45782</v>
      </c>
      <c r="C87" s="117">
        <v>2025</v>
      </c>
      <c r="D87" s="118" t="s">
        <v>259</v>
      </c>
      <c r="E87" s="119" t="s">
        <v>610</v>
      </c>
      <c r="F87" s="120">
        <v>2</v>
      </c>
      <c r="G87" s="121">
        <v>41900</v>
      </c>
    </row>
    <row r="88" spans="1:7" x14ac:dyDescent="0.25">
      <c r="A88" s="197">
        <v>83</v>
      </c>
      <c r="B88" s="116">
        <v>45782</v>
      </c>
      <c r="C88" s="117">
        <v>2025</v>
      </c>
      <c r="D88" s="118" t="s">
        <v>259</v>
      </c>
      <c r="E88" s="119" t="s">
        <v>341</v>
      </c>
      <c r="F88" s="120">
        <v>2</v>
      </c>
      <c r="G88" s="121">
        <v>4250000</v>
      </c>
    </row>
    <row r="89" spans="1:7" x14ac:dyDescent="0.25">
      <c r="A89" s="197">
        <v>84</v>
      </c>
      <c r="B89" s="167">
        <v>45790</v>
      </c>
      <c r="C89" s="117">
        <v>2025</v>
      </c>
      <c r="D89" s="119" t="s">
        <v>259</v>
      </c>
      <c r="E89" s="119" t="s">
        <v>762</v>
      </c>
      <c r="F89" s="120">
        <v>1</v>
      </c>
      <c r="G89" s="169">
        <v>6495500</v>
      </c>
    </row>
    <row r="90" spans="1:7" x14ac:dyDescent="0.25">
      <c r="A90" s="197">
        <v>85</v>
      </c>
      <c r="B90" s="116">
        <v>45797</v>
      </c>
      <c r="C90" s="117">
        <v>2025</v>
      </c>
      <c r="D90" s="118" t="s">
        <v>259</v>
      </c>
      <c r="E90" s="119" t="s">
        <v>1412</v>
      </c>
      <c r="F90" s="120">
        <v>2</v>
      </c>
      <c r="G90" s="121">
        <v>62750</v>
      </c>
    </row>
    <row r="91" spans="1:7" x14ac:dyDescent="0.25">
      <c r="A91" s="197">
        <v>86</v>
      </c>
      <c r="B91" s="116">
        <v>45797</v>
      </c>
      <c r="C91" s="117">
        <v>2025</v>
      </c>
      <c r="D91" s="118" t="s">
        <v>259</v>
      </c>
      <c r="E91" s="119" t="s">
        <v>1413</v>
      </c>
      <c r="F91" s="120">
        <v>1</v>
      </c>
      <c r="G91" s="121">
        <v>29850</v>
      </c>
    </row>
    <row r="92" spans="1:7" x14ac:dyDescent="0.25">
      <c r="A92" s="197">
        <v>87</v>
      </c>
      <c r="B92" s="116">
        <v>45797</v>
      </c>
      <c r="C92" s="117">
        <v>2025</v>
      </c>
      <c r="D92" s="118" t="s">
        <v>259</v>
      </c>
      <c r="E92" s="119" t="s">
        <v>1414</v>
      </c>
      <c r="F92" s="120">
        <v>1</v>
      </c>
      <c r="G92" s="121">
        <v>1158500</v>
      </c>
    </row>
    <row r="93" spans="1:7" x14ac:dyDescent="0.25">
      <c r="A93" s="197">
        <v>88</v>
      </c>
      <c r="B93" s="116">
        <v>45797</v>
      </c>
      <c r="C93" s="117">
        <v>2025</v>
      </c>
      <c r="D93" s="118" t="s">
        <v>259</v>
      </c>
      <c r="E93" s="119" t="s">
        <v>1415</v>
      </c>
      <c r="F93" s="120">
        <v>1</v>
      </c>
      <c r="G93" s="121">
        <v>206900</v>
      </c>
    </row>
    <row r="94" spans="1:7" x14ac:dyDescent="0.25">
      <c r="A94" s="197">
        <v>89</v>
      </c>
      <c r="B94" s="116">
        <v>45797</v>
      </c>
      <c r="C94" s="117">
        <v>2025</v>
      </c>
      <c r="D94" s="118" t="s">
        <v>259</v>
      </c>
      <c r="E94" s="119" t="s">
        <v>1416</v>
      </c>
      <c r="F94" s="120">
        <v>2</v>
      </c>
      <c r="G94" s="121">
        <v>93898</v>
      </c>
    </row>
    <row r="95" spans="1:7" x14ac:dyDescent="0.25">
      <c r="A95" s="197">
        <v>90</v>
      </c>
      <c r="B95" s="116">
        <v>45801</v>
      </c>
      <c r="C95" s="117">
        <v>2025</v>
      </c>
      <c r="D95" s="118" t="s">
        <v>259</v>
      </c>
      <c r="E95" s="119" t="s">
        <v>1333</v>
      </c>
      <c r="F95" s="120">
        <v>1</v>
      </c>
      <c r="G95" s="121">
        <v>872000</v>
      </c>
    </row>
    <row r="96" spans="1:7" x14ac:dyDescent="0.25">
      <c r="A96" s="197">
        <v>91</v>
      </c>
      <c r="B96" s="116">
        <v>45801</v>
      </c>
      <c r="C96" s="117">
        <v>2025</v>
      </c>
      <c r="D96" s="118" t="s">
        <v>259</v>
      </c>
      <c r="E96" s="119" t="s">
        <v>1421</v>
      </c>
      <c r="F96" s="120">
        <v>1</v>
      </c>
      <c r="G96" s="121">
        <v>1152000</v>
      </c>
    </row>
    <row r="97" spans="1:7" x14ac:dyDescent="0.25">
      <c r="A97" s="197">
        <v>92</v>
      </c>
      <c r="B97" s="116">
        <v>45801</v>
      </c>
      <c r="C97" s="117">
        <v>2025</v>
      </c>
      <c r="D97" s="118" t="s">
        <v>259</v>
      </c>
      <c r="E97" s="119" t="s">
        <v>760</v>
      </c>
      <c r="F97" s="120">
        <v>1</v>
      </c>
      <c r="G97" s="121">
        <v>90700</v>
      </c>
    </row>
    <row r="98" spans="1:7" x14ac:dyDescent="0.25">
      <c r="A98" s="197">
        <v>93</v>
      </c>
      <c r="B98" s="116">
        <v>45801</v>
      </c>
      <c r="C98" s="117">
        <v>2025</v>
      </c>
      <c r="D98" s="118" t="s">
        <v>259</v>
      </c>
      <c r="E98" s="119" t="s">
        <v>760</v>
      </c>
      <c r="F98" s="120">
        <v>1</v>
      </c>
      <c r="G98" s="121">
        <v>90700</v>
      </c>
    </row>
    <row r="99" spans="1:7" x14ac:dyDescent="0.25">
      <c r="A99" s="197">
        <v>94</v>
      </c>
      <c r="B99" s="116">
        <v>45801</v>
      </c>
      <c r="C99" s="117">
        <v>2025</v>
      </c>
      <c r="D99" s="118" t="s">
        <v>259</v>
      </c>
      <c r="E99" s="119" t="s">
        <v>1422</v>
      </c>
      <c r="F99" s="120">
        <v>1</v>
      </c>
      <c r="G99" s="121">
        <v>887000</v>
      </c>
    </row>
    <row r="100" spans="1:7" x14ac:dyDescent="0.25">
      <c r="A100" s="197">
        <v>95</v>
      </c>
      <c r="B100" s="116">
        <v>45801</v>
      </c>
      <c r="C100" s="117">
        <v>2025</v>
      </c>
      <c r="D100" s="118" t="s">
        <v>259</v>
      </c>
      <c r="E100" s="119" t="s">
        <v>1423</v>
      </c>
      <c r="F100" s="120">
        <v>1</v>
      </c>
      <c r="G100" s="121">
        <v>837000</v>
      </c>
    </row>
    <row r="101" spans="1:7" x14ac:dyDescent="0.25">
      <c r="A101" s="197">
        <v>96</v>
      </c>
      <c r="B101" s="116">
        <v>45801</v>
      </c>
      <c r="C101" s="117">
        <v>2025</v>
      </c>
      <c r="D101" s="118" t="s">
        <v>259</v>
      </c>
      <c r="E101" s="119" t="s">
        <v>335</v>
      </c>
      <c r="F101" s="120">
        <v>1</v>
      </c>
      <c r="G101" s="121">
        <v>137590</v>
      </c>
    </row>
    <row r="102" spans="1:7" x14ac:dyDescent="0.25">
      <c r="A102" s="197">
        <v>97</v>
      </c>
      <c r="B102" s="116">
        <v>45801</v>
      </c>
      <c r="C102" s="117">
        <v>2025</v>
      </c>
      <c r="D102" s="118" t="s">
        <v>259</v>
      </c>
      <c r="E102" s="119" t="s">
        <v>989</v>
      </c>
      <c r="F102" s="120">
        <v>1</v>
      </c>
      <c r="G102" s="121">
        <v>182000</v>
      </c>
    </row>
    <row r="103" spans="1:7" x14ac:dyDescent="0.25">
      <c r="A103" s="197">
        <v>98</v>
      </c>
      <c r="B103" s="116">
        <v>45801</v>
      </c>
      <c r="C103" s="117">
        <v>2025</v>
      </c>
      <c r="D103" s="118" t="s">
        <v>259</v>
      </c>
      <c r="E103" s="119" t="s">
        <v>989</v>
      </c>
      <c r="F103" s="120">
        <v>1</v>
      </c>
      <c r="G103" s="121">
        <v>182000</v>
      </c>
    </row>
    <row r="104" spans="1:7" x14ac:dyDescent="0.25">
      <c r="A104" s="197">
        <v>99</v>
      </c>
      <c r="B104" s="116">
        <v>45801</v>
      </c>
      <c r="C104" s="117">
        <v>2025</v>
      </c>
      <c r="D104" s="118" t="s">
        <v>259</v>
      </c>
      <c r="E104" s="119" t="s">
        <v>1424</v>
      </c>
      <c r="F104" s="120">
        <v>1</v>
      </c>
      <c r="G104" s="121">
        <v>276000</v>
      </c>
    </row>
    <row r="105" spans="1:7" x14ac:dyDescent="0.25">
      <c r="A105" s="197">
        <v>100</v>
      </c>
      <c r="B105" s="116">
        <v>45801</v>
      </c>
      <c r="C105" s="117">
        <v>2025</v>
      </c>
      <c r="D105" s="118" t="s">
        <v>259</v>
      </c>
      <c r="E105" s="119" t="s">
        <v>1424</v>
      </c>
      <c r="F105" s="120">
        <v>1</v>
      </c>
      <c r="G105" s="121">
        <v>276000</v>
      </c>
    </row>
    <row r="106" spans="1:7" x14ac:dyDescent="0.25">
      <c r="A106" s="197">
        <v>101</v>
      </c>
      <c r="B106" s="116">
        <v>45803</v>
      </c>
      <c r="C106" s="117">
        <v>2025</v>
      </c>
      <c r="D106" s="118" t="s">
        <v>259</v>
      </c>
      <c r="E106" s="119" t="s">
        <v>1425</v>
      </c>
      <c r="F106" s="120">
        <v>1</v>
      </c>
      <c r="G106" s="121">
        <v>160000</v>
      </c>
    </row>
    <row r="107" spans="1:7" x14ac:dyDescent="0.25">
      <c r="A107" s="197">
        <v>102</v>
      </c>
      <c r="B107" s="116">
        <v>45833</v>
      </c>
      <c r="C107" s="117">
        <v>2025</v>
      </c>
      <c r="D107" s="118" t="s">
        <v>259</v>
      </c>
      <c r="E107" s="119" t="s">
        <v>1452</v>
      </c>
      <c r="F107" s="120">
        <v>1</v>
      </c>
      <c r="G107" s="121">
        <v>48840</v>
      </c>
    </row>
    <row r="108" spans="1:7" x14ac:dyDescent="0.25">
      <c r="A108" s="197">
        <v>103</v>
      </c>
      <c r="B108" s="116">
        <v>45833</v>
      </c>
      <c r="C108" s="117">
        <v>2025</v>
      </c>
      <c r="D108" s="118" t="s">
        <v>259</v>
      </c>
      <c r="E108" s="119" t="s">
        <v>1453</v>
      </c>
      <c r="F108" s="120">
        <v>1</v>
      </c>
      <c r="G108" s="121">
        <v>176346</v>
      </c>
    </row>
    <row r="109" spans="1:7" x14ac:dyDescent="0.25">
      <c r="A109" s="197">
        <v>104</v>
      </c>
      <c r="B109" s="116">
        <v>45833</v>
      </c>
      <c r="C109" s="117">
        <v>2025</v>
      </c>
      <c r="D109" s="118" t="s">
        <v>259</v>
      </c>
      <c r="E109" s="119" t="s">
        <v>1454</v>
      </c>
      <c r="F109" s="120">
        <v>1</v>
      </c>
      <c r="G109" s="121">
        <v>653860</v>
      </c>
    </row>
    <row r="110" spans="1:7" x14ac:dyDescent="0.25">
      <c r="A110" s="197">
        <v>105</v>
      </c>
      <c r="B110" s="116">
        <v>45833</v>
      </c>
      <c r="C110" s="117">
        <v>2025</v>
      </c>
      <c r="D110" s="118" t="s">
        <v>259</v>
      </c>
      <c r="E110" s="119" t="s">
        <v>1455</v>
      </c>
      <c r="F110" s="120">
        <v>1</v>
      </c>
      <c r="G110" s="121">
        <v>1355820</v>
      </c>
    </row>
    <row r="111" spans="1:7" x14ac:dyDescent="0.25">
      <c r="A111" s="197">
        <v>106</v>
      </c>
      <c r="B111" s="116">
        <v>45833</v>
      </c>
      <c r="C111" s="117">
        <v>2025</v>
      </c>
      <c r="D111" s="118" t="s">
        <v>259</v>
      </c>
      <c r="E111" s="119" t="s">
        <v>1278</v>
      </c>
      <c r="F111" s="120">
        <v>2</v>
      </c>
      <c r="G111" s="121">
        <v>506638</v>
      </c>
    </row>
    <row r="112" spans="1:7" x14ac:dyDescent="0.25">
      <c r="A112" s="197">
        <v>107</v>
      </c>
      <c r="B112" s="116">
        <v>45840</v>
      </c>
      <c r="C112" s="117">
        <v>2025</v>
      </c>
      <c r="D112" s="118" t="s">
        <v>259</v>
      </c>
      <c r="E112" s="119" t="s">
        <v>331</v>
      </c>
      <c r="F112" s="120">
        <v>2</v>
      </c>
      <c r="G112" s="121">
        <v>397900</v>
      </c>
    </row>
    <row r="113" spans="1:7" x14ac:dyDescent="0.25">
      <c r="A113" s="197">
        <v>108</v>
      </c>
      <c r="B113" s="116">
        <v>45840</v>
      </c>
      <c r="C113" s="117">
        <v>2025</v>
      </c>
      <c r="D113" s="118" t="s">
        <v>259</v>
      </c>
      <c r="E113" s="119" t="s">
        <v>1457</v>
      </c>
      <c r="F113" s="120">
        <v>1</v>
      </c>
      <c r="G113" s="121">
        <v>148000</v>
      </c>
    </row>
    <row r="114" spans="1:7" x14ac:dyDescent="0.25">
      <c r="A114" s="197">
        <v>109</v>
      </c>
      <c r="B114" s="116">
        <v>45840</v>
      </c>
      <c r="C114" s="117">
        <v>2025</v>
      </c>
      <c r="D114" s="118" t="s">
        <v>259</v>
      </c>
      <c r="E114" s="119" t="s">
        <v>1458</v>
      </c>
      <c r="F114" s="120">
        <v>1</v>
      </c>
      <c r="G114" s="121">
        <v>2172340</v>
      </c>
    </row>
    <row r="115" spans="1:7" x14ac:dyDescent="0.25">
      <c r="A115" s="197">
        <v>110</v>
      </c>
      <c r="B115" s="116">
        <v>45849</v>
      </c>
      <c r="C115" s="117">
        <v>2025</v>
      </c>
      <c r="D115" s="118" t="s">
        <v>259</v>
      </c>
      <c r="E115" s="119" t="s">
        <v>1465</v>
      </c>
      <c r="F115" s="120">
        <v>2000</v>
      </c>
      <c r="G115" s="121">
        <v>372000</v>
      </c>
    </row>
    <row r="116" spans="1:7" x14ac:dyDescent="0.25">
      <c r="A116" s="197">
        <v>111</v>
      </c>
      <c r="B116" s="116">
        <v>45849</v>
      </c>
      <c r="C116" s="117">
        <v>2025</v>
      </c>
      <c r="D116" s="118" t="s">
        <v>259</v>
      </c>
      <c r="E116" s="119" t="s">
        <v>1467</v>
      </c>
      <c r="F116" s="120">
        <v>1</v>
      </c>
      <c r="G116" s="121">
        <v>25900</v>
      </c>
    </row>
    <row r="117" spans="1:7" x14ac:dyDescent="0.25">
      <c r="A117" s="197">
        <v>112</v>
      </c>
      <c r="B117" s="116">
        <v>45852</v>
      </c>
      <c r="C117" s="117">
        <v>2025</v>
      </c>
      <c r="D117" s="118" t="s">
        <v>259</v>
      </c>
      <c r="E117" s="119" t="s">
        <v>1468</v>
      </c>
      <c r="F117" s="120">
        <v>1</v>
      </c>
      <c r="G117" s="121">
        <v>40299</v>
      </c>
    </row>
    <row r="118" spans="1:7" x14ac:dyDescent="0.25">
      <c r="A118" s="197">
        <v>113</v>
      </c>
      <c r="B118" s="116">
        <v>45854</v>
      </c>
      <c r="C118" s="117">
        <v>2025</v>
      </c>
      <c r="D118" s="118" t="s">
        <v>259</v>
      </c>
      <c r="E118" s="119" t="s">
        <v>1425</v>
      </c>
      <c r="F118" s="120">
        <v>1</v>
      </c>
      <c r="G118" s="121">
        <v>160000</v>
      </c>
    </row>
    <row r="119" spans="1:7" x14ac:dyDescent="0.25">
      <c r="A119" s="197">
        <v>114</v>
      </c>
      <c r="B119" s="116">
        <v>45859</v>
      </c>
      <c r="C119" s="117">
        <v>2025</v>
      </c>
      <c r="D119" s="118" t="s">
        <v>259</v>
      </c>
      <c r="E119" s="119" t="s">
        <v>1479</v>
      </c>
      <c r="F119" s="120">
        <v>1</v>
      </c>
      <c r="G119" s="121">
        <v>1277500</v>
      </c>
    </row>
    <row r="120" spans="1:7" x14ac:dyDescent="0.25">
      <c r="A120" s="197">
        <v>115</v>
      </c>
      <c r="B120" s="116">
        <v>45859</v>
      </c>
      <c r="C120" s="117">
        <v>2025</v>
      </c>
      <c r="D120" s="118" t="s">
        <v>259</v>
      </c>
      <c r="E120" s="119" t="s">
        <v>1480</v>
      </c>
      <c r="F120" s="120">
        <v>1</v>
      </c>
      <c r="G120" s="121">
        <v>927500</v>
      </c>
    </row>
    <row r="121" spans="1:7" x14ac:dyDescent="0.25">
      <c r="A121" s="197">
        <v>116</v>
      </c>
      <c r="B121" s="116">
        <v>45859</v>
      </c>
      <c r="C121" s="117">
        <v>2025</v>
      </c>
      <c r="D121" s="118" t="s">
        <v>259</v>
      </c>
      <c r="E121" s="119" t="s">
        <v>1481</v>
      </c>
      <c r="F121" s="120">
        <v>1</v>
      </c>
      <c r="G121" s="121">
        <v>1002475</v>
      </c>
    </row>
    <row r="122" spans="1:7" x14ac:dyDescent="0.25">
      <c r="A122" s="197">
        <v>117</v>
      </c>
      <c r="B122" s="116">
        <v>45859</v>
      </c>
      <c r="C122" s="117">
        <v>2025</v>
      </c>
      <c r="D122" s="118" t="s">
        <v>259</v>
      </c>
      <c r="E122" s="119" t="s">
        <v>1482</v>
      </c>
      <c r="F122" s="120">
        <v>1</v>
      </c>
      <c r="G122" s="121">
        <v>492500</v>
      </c>
    </row>
    <row r="123" spans="1:7" x14ac:dyDescent="0.25">
      <c r="A123" s="197">
        <v>118</v>
      </c>
      <c r="B123" s="116">
        <v>45859</v>
      </c>
      <c r="C123" s="117">
        <v>2025</v>
      </c>
      <c r="D123" s="118" t="s">
        <v>259</v>
      </c>
      <c r="E123" s="119" t="s">
        <v>990</v>
      </c>
      <c r="F123" s="120">
        <v>1</v>
      </c>
      <c r="G123" s="121">
        <v>292500</v>
      </c>
    </row>
    <row r="124" spans="1:7" x14ac:dyDescent="0.25">
      <c r="A124" s="197">
        <v>119</v>
      </c>
      <c r="B124" s="116">
        <v>45862</v>
      </c>
      <c r="C124" s="117">
        <v>2025</v>
      </c>
      <c r="D124" s="118" t="s">
        <v>259</v>
      </c>
      <c r="E124" s="119" t="s">
        <v>1452</v>
      </c>
      <c r="F124" s="120">
        <v>1</v>
      </c>
      <c r="G124" s="121">
        <v>909000</v>
      </c>
    </row>
    <row r="125" spans="1:7" x14ac:dyDescent="0.25">
      <c r="A125" s="197">
        <v>120</v>
      </c>
      <c r="B125" s="116">
        <v>45862</v>
      </c>
      <c r="C125" s="117">
        <v>2025</v>
      </c>
      <c r="D125" s="118" t="s">
        <v>259</v>
      </c>
      <c r="E125" s="119" t="s">
        <v>1487</v>
      </c>
      <c r="F125" s="120">
        <v>1</v>
      </c>
      <c r="G125" s="121">
        <v>31800</v>
      </c>
    </row>
    <row r="126" spans="1:7" x14ac:dyDescent="0.25">
      <c r="A126" s="197">
        <v>121</v>
      </c>
      <c r="B126" s="116">
        <v>45864</v>
      </c>
      <c r="C126" s="117">
        <v>2025</v>
      </c>
      <c r="D126" s="118" t="s">
        <v>259</v>
      </c>
      <c r="E126" s="119" t="s">
        <v>1492</v>
      </c>
      <c r="F126" s="120">
        <v>1</v>
      </c>
      <c r="G126" s="121">
        <v>35150</v>
      </c>
    </row>
    <row r="127" spans="1:7" x14ac:dyDescent="0.25">
      <c r="A127" s="197">
        <v>122</v>
      </c>
      <c r="B127" s="116">
        <v>45864</v>
      </c>
      <c r="C127" s="117">
        <v>2025</v>
      </c>
      <c r="D127" s="118" t="s">
        <v>259</v>
      </c>
      <c r="E127" s="119" t="s">
        <v>1493</v>
      </c>
      <c r="F127" s="120">
        <v>1</v>
      </c>
      <c r="G127" s="121">
        <v>67900</v>
      </c>
    </row>
    <row r="128" spans="1:7" x14ac:dyDescent="0.25">
      <c r="A128" s="197">
        <v>123</v>
      </c>
      <c r="B128" s="116">
        <v>45877</v>
      </c>
      <c r="C128" s="117">
        <v>2025</v>
      </c>
      <c r="D128" s="118" t="s">
        <v>259</v>
      </c>
      <c r="E128" s="119" t="s">
        <v>331</v>
      </c>
      <c r="F128" s="120">
        <v>8</v>
      </c>
      <c r="G128" s="121">
        <v>1762504</v>
      </c>
    </row>
    <row r="129" spans="1:7" x14ac:dyDescent="0.25">
      <c r="A129" s="197">
        <v>124</v>
      </c>
      <c r="B129" s="116">
        <v>45877</v>
      </c>
      <c r="C129" s="117">
        <v>2025</v>
      </c>
      <c r="D129" s="118" t="s">
        <v>259</v>
      </c>
      <c r="E129" s="119" t="s">
        <v>343</v>
      </c>
      <c r="F129" s="120">
        <v>1</v>
      </c>
      <c r="G129" s="121">
        <v>1197500</v>
      </c>
    </row>
    <row r="130" spans="1:7" x14ac:dyDescent="0.25">
      <c r="A130" s="197">
        <v>125</v>
      </c>
      <c r="B130" s="116">
        <v>45877</v>
      </c>
      <c r="C130" s="117">
        <v>2025</v>
      </c>
      <c r="D130" s="118" t="s">
        <v>259</v>
      </c>
      <c r="E130" s="119" t="s">
        <v>338</v>
      </c>
      <c r="F130" s="120">
        <v>2</v>
      </c>
      <c r="G130" s="121">
        <v>850000</v>
      </c>
    </row>
    <row r="131" spans="1:7" x14ac:dyDescent="0.25">
      <c r="A131" s="197">
        <v>126</v>
      </c>
      <c r="B131" s="116">
        <v>45888</v>
      </c>
      <c r="C131" s="117">
        <v>2025</v>
      </c>
      <c r="D131" s="118" t="s">
        <v>259</v>
      </c>
      <c r="E131" s="119" t="s">
        <v>1292</v>
      </c>
      <c r="F131" s="120">
        <v>1</v>
      </c>
      <c r="G131" s="121">
        <v>131410</v>
      </c>
    </row>
    <row r="132" spans="1:7" x14ac:dyDescent="0.25">
      <c r="A132" s="197">
        <v>127</v>
      </c>
      <c r="B132" s="167">
        <v>45889</v>
      </c>
      <c r="C132" s="117">
        <v>2025</v>
      </c>
      <c r="D132" s="119" t="s">
        <v>259</v>
      </c>
      <c r="E132" s="119" t="s">
        <v>658</v>
      </c>
      <c r="F132" s="120">
        <v>5</v>
      </c>
      <c r="G132" s="169">
        <v>157650</v>
      </c>
    </row>
    <row r="133" spans="1:7" x14ac:dyDescent="0.25">
      <c r="A133" s="197">
        <v>128</v>
      </c>
      <c r="B133" s="116">
        <v>45897</v>
      </c>
      <c r="C133" s="117">
        <v>2025</v>
      </c>
      <c r="D133" s="118" t="s">
        <v>259</v>
      </c>
      <c r="E133" s="119" t="s">
        <v>1517</v>
      </c>
      <c r="F133" s="120">
        <v>1</v>
      </c>
      <c r="G133" s="121">
        <v>6900</v>
      </c>
    </row>
    <row r="134" spans="1:7" x14ac:dyDescent="0.25">
      <c r="A134" s="197">
        <v>129</v>
      </c>
      <c r="B134" s="116">
        <v>45902</v>
      </c>
      <c r="C134" s="117">
        <v>2025</v>
      </c>
      <c r="D134" s="118" t="s">
        <v>259</v>
      </c>
      <c r="E134" s="119" t="s">
        <v>758</v>
      </c>
      <c r="F134" s="120">
        <v>2</v>
      </c>
      <c r="G134" s="121">
        <v>31900</v>
      </c>
    </row>
    <row r="135" spans="1:7" x14ac:dyDescent="0.25">
      <c r="A135" s="197">
        <v>130</v>
      </c>
      <c r="B135" s="116">
        <v>45903</v>
      </c>
      <c r="C135" s="117">
        <v>2025</v>
      </c>
      <c r="D135" s="118" t="s">
        <v>259</v>
      </c>
      <c r="E135" s="119" t="s">
        <v>398</v>
      </c>
      <c r="F135" s="120">
        <v>3</v>
      </c>
      <c r="G135" s="121">
        <v>17484</v>
      </c>
    </row>
    <row r="136" spans="1:7" x14ac:dyDescent="0.25">
      <c r="A136" s="197">
        <v>131</v>
      </c>
      <c r="B136" s="116">
        <v>45909</v>
      </c>
      <c r="C136" s="117">
        <v>2025</v>
      </c>
      <c r="D136" s="118" t="s">
        <v>259</v>
      </c>
      <c r="E136" s="119" t="s">
        <v>1365</v>
      </c>
      <c r="F136" s="120">
        <v>1</v>
      </c>
      <c r="G136" s="121">
        <v>39373</v>
      </c>
    </row>
    <row r="137" spans="1:7" x14ac:dyDescent="0.25">
      <c r="A137" s="197">
        <v>132</v>
      </c>
      <c r="B137" s="116">
        <v>45910</v>
      </c>
      <c r="C137" s="117">
        <v>2025</v>
      </c>
      <c r="D137" s="118" t="s">
        <v>259</v>
      </c>
      <c r="E137" s="119" t="s">
        <v>1525</v>
      </c>
      <c r="F137" s="120">
        <v>1</v>
      </c>
      <c r="G137" s="121">
        <v>270369</v>
      </c>
    </row>
    <row r="138" spans="1:7" x14ac:dyDescent="0.25">
      <c r="A138" s="197">
        <v>133</v>
      </c>
      <c r="B138" s="116">
        <v>45910</v>
      </c>
      <c r="C138" s="117">
        <v>2025</v>
      </c>
      <c r="D138" s="118" t="s">
        <v>259</v>
      </c>
      <c r="E138" s="119" t="s">
        <v>1526</v>
      </c>
      <c r="F138" s="120">
        <v>3</v>
      </c>
      <c r="G138" s="121">
        <v>10902</v>
      </c>
    </row>
    <row r="139" spans="1:7" x14ac:dyDescent="0.25">
      <c r="A139" s="197">
        <v>134</v>
      </c>
      <c r="B139" s="167">
        <v>45916</v>
      </c>
      <c r="C139" s="117">
        <v>2025</v>
      </c>
      <c r="D139" s="119" t="s">
        <v>259</v>
      </c>
      <c r="E139" s="119" t="s">
        <v>1528</v>
      </c>
      <c r="F139" s="120">
        <v>1</v>
      </c>
      <c r="G139" s="169">
        <v>76800</v>
      </c>
    </row>
    <row r="140" spans="1:7" x14ac:dyDescent="0.25">
      <c r="A140" s="197">
        <v>135</v>
      </c>
      <c r="B140" s="116">
        <v>45932</v>
      </c>
      <c r="C140" s="117">
        <v>2025</v>
      </c>
      <c r="D140" s="118" t="s">
        <v>259</v>
      </c>
      <c r="E140" s="119" t="s">
        <v>1540</v>
      </c>
      <c r="F140" s="120">
        <v>1</v>
      </c>
      <c r="G140" s="121">
        <v>8470000</v>
      </c>
    </row>
    <row r="141" spans="1:7" x14ac:dyDescent="0.25">
      <c r="A141" s="197">
        <v>136</v>
      </c>
      <c r="B141" s="167">
        <v>45936</v>
      </c>
      <c r="C141" s="117">
        <v>2025</v>
      </c>
      <c r="D141" s="119" t="s">
        <v>259</v>
      </c>
      <c r="E141" s="119" t="s">
        <v>1242</v>
      </c>
      <c r="F141" s="120">
        <v>1</v>
      </c>
      <c r="G141" s="168">
        <v>769000</v>
      </c>
    </row>
    <row r="142" spans="1:7" x14ac:dyDescent="0.25">
      <c r="A142" s="197">
        <v>137</v>
      </c>
      <c r="B142" s="167">
        <v>45938</v>
      </c>
      <c r="C142" s="117">
        <v>2025</v>
      </c>
      <c r="D142" s="119" t="s">
        <v>259</v>
      </c>
      <c r="E142" s="119" t="s">
        <v>1376</v>
      </c>
      <c r="F142" s="120">
        <v>1</v>
      </c>
      <c r="G142" s="168">
        <v>1072500</v>
      </c>
    </row>
    <row r="143" spans="1:7" x14ac:dyDescent="0.25">
      <c r="A143" s="197">
        <v>138</v>
      </c>
      <c r="B143" s="167">
        <v>45938</v>
      </c>
      <c r="C143" s="117">
        <v>2025</v>
      </c>
      <c r="D143" s="119" t="s">
        <v>259</v>
      </c>
      <c r="E143" s="119" t="s">
        <v>1528</v>
      </c>
      <c r="F143" s="120">
        <v>1</v>
      </c>
      <c r="G143" s="168">
        <v>66400</v>
      </c>
    </row>
    <row r="144" spans="1:7" x14ac:dyDescent="0.25">
      <c r="A144" s="197">
        <v>139</v>
      </c>
      <c r="B144" s="167">
        <v>45938</v>
      </c>
      <c r="C144" s="117">
        <v>2025</v>
      </c>
      <c r="D144" s="119" t="s">
        <v>259</v>
      </c>
      <c r="E144" s="119" t="s">
        <v>1377</v>
      </c>
      <c r="F144" s="120">
        <v>1</v>
      </c>
      <c r="G144" s="168">
        <v>302900</v>
      </c>
    </row>
    <row r="145" spans="1:14" x14ac:dyDescent="0.25">
      <c r="A145" s="197">
        <v>140</v>
      </c>
      <c r="B145" s="167">
        <v>45938</v>
      </c>
      <c r="C145" s="117">
        <v>2025</v>
      </c>
      <c r="D145" s="119" t="s">
        <v>259</v>
      </c>
      <c r="E145" s="119" t="s">
        <v>1141</v>
      </c>
      <c r="F145" s="120">
        <v>1</v>
      </c>
      <c r="G145" s="168">
        <v>52390</v>
      </c>
    </row>
    <row r="146" spans="1:14" x14ac:dyDescent="0.25">
      <c r="A146" s="197">
        <v>141</v>
      </c>
      <c r="B146" s="167">
        <v>45950</v>
      </c>
      <c r="C146" s="117">
        <v>2025</v>
      </c>
      <c r="D146" s="119" t="s">
        <v>259</v>
      </c>
      <c r="E146" s="119" t="s">
        <v>1551</v>
      </c>
      <c r="F146" s="120">
        <v>1</v>
      </c>
      <c r="G146" s="168">
        <v>3205500</v>
      </c>
    </row>
    <row r="147" spans="1:14" x14ac:dyDescent="0.25">
      <c r="A147" s="197">
        <v>142</v>
      </c>
      <c r="B147" s="167">
        <v>45950</v>
      </c>
      <c r="C147" s="117">
        <v>2025</v>
      </c>
      <c r="D147" s="119" t="s">
        <v>259</v>
      </c>
      <c r="E147" s="119" t="s">
        <v>1552</v>
      </c>
      <c r="F147" s="120">
        <v>1</v>
      </c>
      <c r="G147" s="168">
        <v>1802500</v>
      </c>
    </row>
    <row r="148" spans="1:14" x14ac:dyDescent="0.25">
      <c r="A148" s="197">
        <v>143</v>
      </c>
      <c r="B148" s="167">
        <v>45950</v>
      </c>
      <c r="C148" s="117">
        <v>2025</v>
      </c>
      <c r="D148" s="119" t="s">
        <v>259</v>
      </c>
      <c r="E148" s="119" t="s">
        <v>1553</v>
      </c>
      <c r="F148" s="120">
        <v>1</v>
      </c>
      <c r="G148" s="168">
        <v>159900</v>
      </c>
      <c r="N148" s="163"/>
    </row>
    <row r="149" spans="1:14" x14ac:dyDescent="0.25">
      <c r="A149" s="197">
        <v>144</v>
      </c>
      <c r="B149" s="167">
        <v>45951</v>
      </c>
      <c r="C149" s="117">
        <v>2025</v>
      </c>
      <c r="D149" s="119" t="s">
        <v>259</v>
      </c>
      <c r="E149" s="119" t="s">
        <v>1560</v>
      </c>
      <c r="F149" s="120">
        <v>1</v>
      </c>
      <c r="G149" s="168">
        <v>104900</v>
      </c>
      <c r="N149" s="163"/>
    </row>
    <row r="150" spans="1:14" x14ac:dyDescent="0.25">
      <c r="A150" s="197">
        <v>145</v>
      </c>
      <c r="B150" s="167">
        <v>45958</v>
      </c>
      <c r="C150" s="117">
        <v>2025</v>
      </c>
      <c r="D150" s="119" t="s">
        <v>259</v>
      </c>
      <c r="E150" s="119" t="s">
        <v>1569</v>
      </c>
      <c r="F150" s="120">
        <v>1</v>
      </c>
      <c r="G150" s="168">
        <v>80900</v>
      </c>
    </row>
    <row r="151" spans="1:14" x14ac:dyDescent="0.25">
      <c r="A151" s="197">
        <v>146</v>
      </c>
      <c r="B151" s="167">
        <v>45962</v>
      </c>
      <c r="C151" s="117">
        <v>2025</v>
      </c>
      <c r="D151" s="119" t="s">
        <v>259</v>
      </c>
      <c r="E151" s="119" t="s">
        <v>425</v>
      </c>
      <c r="F151" s="120">
        <v>10</v>
      </c>
      <c r="G151" s="168">
        <v>364700</v>
      </c>
    </row>
    <row r="152" spans="1:14" x14ac:dyDescent="0.25">
      <c r="A152" s="197">
        <v>147</v>
      </c>
      <c r="B152" s="116">
        <v>45965</v>
      </c>
      <c r="C152" s="117">
        <v>2025</v>
      </c>
      <c r="D152" s="118" t="s">
        <v>259</v>
      </c>
      <c r="E152" s="119" t="s">
        <v>1573</v>
      </c>
      <c r="F152" s="120">
        <v>1</v>
      </c>
      <c r="G152" s="121">
        <v>34400</v>
      </c>
    </row>
    <row r="153" spans="1:14" x14ac:dyDescent="0.25">
      <c r="A153" s="197">
        <v>148</v>
      </c>
      <c r="B153" s="167">
        <v>45967</v>
      </c>
      <c r="C153" s="117">
        <v>2025</v>
      </c>
      <c r="D153" s="119" t="s">
        <v>259</v>
      </c>
      <c r="E153" s="119" t="s">
        <v>1574</v>
      </c>
      <c r="F153" s="120">
        <v>1</v>
      </c>
      <c r="G153" s="168">
        <v>15000</v>
      </c>
    </row>
    <row r="154" spans="1:14" x14ac:dyDescent="0.25">
      <c r="A154" s="197">
        <v>149</v>
      </c>
      <c r="B154" s="167">
        <v>45969</v>
      </c>
      <c r="C154" s="117">
        <v>2025</v>
      </c>
      <c r="D154" s="119" t="s">
        <v>259</v>
      </c>
      <c r="E154" s="119" t="s">
        <v>758</v>
      </c>
      <c r="F154" s="120">
        <v>2</v>
      </c>
      <c r="G154" s="168">
        <v>41900</v>
      </c>
    </row>
    <row r="155" spans="1:14" x14ac:dyDescent="0.25">
      <c r="A155" s="197">
        <v>150</v>
      </c>
      <c r="B155" s="167">
        <v>45978</v>
      </c>
      <c r="C155" s="117">
        <v>2025</v>
      </c>
      <c r="D155" s="119" t="s">
        <v>259</v>
      </c>
      <c r="E155" s="119" t="s">
        <v>1577</v>
      </c>
      <c r="F155" s="120">
        <v>1</v>
      </c>
      <c r="G155" s="168">
        <v>291900</v>
      </c>
    </row>
    <row r="156" spans="1:14" x14ac:dyDescent="0.25">
      <c r="A156" s="197">
        <v>151</v>
      </c>
      <c r="B156" s="167">
        <v>45979</v>
      </c>
      <c r="C156" s="117">
        <v>2025</v>
      </c>
      <c r="D156" s="119" t="s">
        <v>259</v>
      </c>
      <c r="E156" s="119" t="s">
        <v>1540</v>
      </c>
      <c r="F156" s="120">
        <v>1</v>
      </c>
      <c r="G156" s="168">
        <v>630000</v>
      </c>
    </row>
    <row r="157" spans="1:14" x14ac:dyDescent="0.25">
      <c r="A157" s="197">
        <v>152</v>
      </c>
      <c r="B157" s="167">
        <v>45980</v>
      </c>
      <c r="C157" s="117">
        <v>2025</v>
      </c>
      <c r="D157" s="119" t="s">
        <v>259</v>
      </c>
      <c r="E157" s="119" t="s">
        <v>1525</v>
      </c>
      <c r="F157" s="120">
        <v>1</v>
      </c>
      <c r="G157" s="169">
        <v>315400</v>
      </c>
    </row>
    <row r="158" spans="1:14" x14ac:dyDescent="0.25">
      <c r="A158" s="197">
        <v>153</v>
      </c>
      <c r="B158" s="167">
        <v>45983</v>
      </c>
      <c r="C158" s="117">
        <v>2025</v>
      </c>
      <c r="D158" s="119" t="s">
        <v>259</v>
      </c>
      <c r="E158" s="119" t="s">
        <v>1482</v>
      </c>
      <c r="F158" s="120">
        <v>2</v>
      </c>
      <c r="G158" s="168">
        <v>1739500</v>
      </c>
    </row>
    <row r="159" spans="1:14" x14ac:dyDescent="0.25">
      <c r="A159" s="197">
        <v>154</v>
      </c>
      <c r="B159" s="167">
        <v>45986</v>
      </c>
      <c r="C159" s="117">
        <v>2025</v>
      </c>
      <c r="D159" s="119" t="s">
        <v>259</v>
      </c>
      <c r="E159" s="119" t="s">
        <v>762</v>
      </c>
      <c r="F159" s="120">
        <v>1</v>
      </c>
      <c r="G159" s="168">
        <v>4766300</v>
      </c>
    </row>
    <row r="160" spans="1:14" x14ac:dyDescent="0.25">
      <c r="A160" s="197">
        <v>155</v>
      </c>
      <c r="B160" s="167">
        <v>45993</v>
      </c>
      <c r="C160" s="117">
        <v>2025</v>
      </c>
      <c r="D160" s="119" t="s">
        <v>259</v>
      </c>
      <c r="E160" s="119" t="s">
        <v>1479</v>
      </c>
      <c r="F160" s="120">
        <v>1</v>
      </c>
      <c r="G160" s="168">
        <v>1337500</v>
      </c>
    </row>
    <row r="161" spans="1:7" x14ac:dyDescent="0.25">
      <c r="A161" s="197">
        <v>156</v>
      </c>
      <c r="B161" s="167">
        <v>45993</v>
      </c>
      <c r="C161" s="117">
        <v>2025</v>
      </c>
      <c r="D161" s="119" t="s">
        <v>259</v>
      </c>
      <c r="E161" s="119" t="s">
        <v>1585</v>
      </c>
      <c r="F161" s="120">
        <v>2</v>
      </c>
      <c r="G161" s="168">
        <v>365900</v>
      </c>
    </row>
    <row r="162" spans="1:7" x14ac:dyDescent="0.25">
      <c r="A162" s="197">
        <v>157</v>
      </c>
      <c r="B162" s="167">
        <v>45993</v>
      </c>
      <c r="C162" s="117">
        <v>2025</v>
      </c>
      <c r="D162" s="119" t="s">
        <v>259</v>
      </c>
      <c r="E162" s="119" t="s">
        <v>760</v>
      </c>
      <c r="F162" s="120">
        <v>1</v>
      </c>
      <c r="G162" s="168">
        <v>206900</v>
      </c>
    </row>
    <row r="163" spans="1:7" x14ac:dyDescent="0.25">
      <c r="A163" s="197">
        <v>158</v>
      </c>
      <c r="B163" s="167">
        <v>45993</v>
      </c>
      <c r="C163" s="117">
        <v>2025</v>
      </c>
      <c r="D163" s="119" t="s">
        <v>259</v>
      </c>
      <c r="E163" s="119" t="s">
        <v>1587</v>
      </c>
      <c r="F163" s="120">
        <v>1</v>
      </c>
      <c r="G163" s="168">
        <v>701500</v>
      </c>
    </row>
    <row r="164" spans="1:7" x14ac:dyDescent="0.25">
      <c r="A164" s="197">
        <v>159</v>
      </c>
      <c r="B164" s="167">
        <v>45993</v>
      </c>
      <c r="C164" s="117">
        <v>2025</v>
      </c>
      <c r="D164" s="119" t="s">
        <v>259</v>
      </c>
      <c r="E164" s="119" t="s">
        <v>1588</v>
      </c>
      <c r="F164" s="120">
        <v>1</v>
      </c>
      <c r="G164" s="168">
        <v>906700</v>
      </c>
    </row>
    <row r="165" spans="1:7" x14ac:dyDescent="0.25">
      <c r="A165" s="197">
        <v>160</v>
      </c>
      <c r="B165" s="116">
        <v>45993</v>
      </c>
      <c r="C165" s="117">
        <v>2025</v>
      </c>
      <c r="D165" s="118" t="s">
        <v>259</v>
      </c>
      <c r="E165" s="119" t="s">
        <v>1589</v>
      </c>
      <c r="F165" s="120">
        <v>1</v>
      </c>
      <c r="G165" s="121">
        <v>146900</v>
      </c>
    </row>
    <row r="166" spans="1:7" x14ac:dyDescent="0.25">
      <c r="A166" s="197">
        <v>161</v>
      </c>
      <c r="B166" s="116">
        <v>45993</v>
      </c>
      <c r="C166" s="117">
        <v>2025</v>
      </c>
      <c r="D166" s="118" t="s">
        <v>259</v>
      </c>
      <c r="E166" s="119" t="s">
        <v>335</v>
      </c>
      <c r="F166" s="120">
        <v>1</v>
      </c>
      <c r="G166" s="121">
        <v>141900</v>
      </c>
    </row>
    <row r="167" spans="1:7" x14ac:dyDescent="0.25">
      <c r="A167" s="197">
        <v>162</v>
      </c>
      <c r="B167" s="167">
        <v>45993</v>
      </c>
      <c r="C167" s="117">
        <v>2025</v>
      </c>
      <c r="D167" s="119" t="s">
        <v>259</v>
      </c>
      <c r="E167" s="119" t="s">
        <v>989</v>
      </c>
      <c r="F167" s="120">
        <v>1</v>
      </c>
      <c r="G167" s="168">
        <v>712500</v>
      </c>
    </row>
    <row r="168" spans="1:7" x14ac:dyDescent="0.25">
      <c r="A168" s="197">
        <v>163</v>
      </c>
      <c r="B168" s="167">
        <v>45993</v>
      </c>
      <c r="C168" s="117">
        <v>2025</v>
      </c>
      <c r="D168" s="119" t="s">
        <v>259</v>
      </c>
      <c r="E168" s="119" t="s">
        <v>990</v>
      </c>
      <c r="F168" s="120">
        <v>1</v>
      </c>
      <c r="G168" s="168">
        <v>462500</v>
      </c>
    </row>
    <row r="169" spans="1:7" x14ac:dyDescent="0.25">
      <c r="A169" s="197">
        <v>164</v>
      </c>
      <c r="B169" s="167">
        <v>45993</v>
      </c>
      <c r="C169" s="117">
        <v>2025</v>
      </c>
      <c r="D169" s="119" t="s">
        <v>259</v>
      </c>
      <c r="E169" s="119" t="s">
        <v>338</v>
      </c>
      <c r="F169" s="120">
        <v>1</v>
      </c>
      <c r="G169" s="168">
        <v>505000</v>
      </c>
    </row>
    <row r="170" spans="1:7" x14ac:dyDescent="0.25">
      <c r="A170" s="197">
        <v>165</v>
      </c>
      <c r="B170" s="167">
        <v>45993</v>
      </c>
      <c r="C170" s="117">
        <v>2025</v>
      </c>
      <c r="D170" s="119" t="s">
        <v>259</v>
      </c>
      <c r="E170" s="119" t="s">
        <v>1590</v>
      </c>
      <c r="F170" s="120">
        <v>1</v>
      </c>
      <c r="G170" s="168">
        <v>20620</v>
      </c>
    </row>
    <row r="171" spans="1:7" x14ac:dyDescent="0.25">
      <c r="A171" s="197">
        <v>166</v>
      </c>
      <c r="B171" s="167">
        <v>45993</v>
      </c>
      <c r="C171" s="117">
        <v>2025</v>
      </c>
      <c r="D171" s="119" t="s">
        <v>259</v>
      </c>
      <c r="E171" s="119" t="s">
        <v>1591</v>
      </c>
      <c r="F171" s="120">
        <v>1</v>
      </c>
      <c r="G171" s="168">
        <v>1101500</v>
      </c>
    </row>
    <row r="172" spans="1:7" x14ac:dyDescent="0.25">
      <c r="A172" s="197">
        <v>167</v>
      </c>
      <c r="B172" s="167">
        <v>45997</v>
      </c>
      <c r="C172" s="117">
        <v>2025</v>
      </c>
      <c r="D172" s="119" t="s">
        <v>259</v>
      </c>
      <c r="E172" s="119" t="s">
        <v>1574</v>
      </c>
      <c r="F172" s="120">
        <v>1</v>
      </c>
      <c r="G172" s="168">
        <v>15000</v>
      </c>
    </row>
    <row r="173" spans="1:7" x14ac:dyDescent="0.25">
      <c r="A173" s="197">
        <v>168</v>
      </c>
      <c r="B173" s="167">
        <v>46000</v>
      </c>
      <c r="C173" s="117">
        <v>2025</v>
      </c>
      <c r="D173" s="119" t="s">
        <v>259</v>
      </c>
      <c r="E173" s="119" t="s">
        <v>1315</v>
      </c>
      <c r="F173" s="120">
        <v>1</v>
      </c>
      <c r="G173" s="168">
        <v>31396</v>
      </c>
    </row>
    <row r="174" spans="1:7" x14ac:dyDescent="0.25">
      <c r="A174" s="197">
        <v>169</v>
      </c>
      <c r="B174" s="167">
        <v>46006</v>
      </c>
      <c r="C174" s="117">
        <v>2025</v>
      </c>
      <c r="D174" s="119" t="s">
        <v>259</v>
      </c>
      <c r="E174" s="119" t="s">
        <v>1391</v>
      </c>
      <c r="F174" s="120">
        <v>30</v>
      </c>
      <c r="G174" s="168">
        <v>30420</v>
      </c>
    </row>
    <row r="175" spans="1:7" x14ac:dyDescent="0.25">
      <c r="A175" s="197">
        <v>170</v>
      </c>
      <c r="B175" s="116">
        <v>46018</v>
      </c>
      <c r="C175" s="117">
        <v>2025</v>
      </c>
      <c r="D175" s="118" t="s">
        <v>259</v>
      </c>
      <c r="E175" s="119" t="s">
        <v>1574</v>
      </c>
      <c r="F175" s="120">
        <v>1</v>
      </c>
      <c r="G175" s="121">
        <v>15000</v>
      </c>
    </row>
    <row r="176" spans="1:7" x14ac:dyDescent="0.25">
      <c r="A176" s="197">
        <v>171</v>
      </c>
      <c r="B176" s="116">
        <v>46018</v>
      </c>
      <c r="C176" s="117">
        <v>2025</v>
      </c>
      <c r="D176" s="118" t="s">
        <v>259</v>
      </c>
      <c r="E176" s="119" t="s">
        <v>1292</v>
      </c>
      <c r="F176" s="120">
        <v>1</v>
      </c>
      <c r="G176" s="121">
        <v>147100</v>
      </c>
    </row>
    <row r="177" spans="1:7" x14ac:dyDescent="0.25">
      <c r="A177" s="197">
        <v>172</v>
      </c>
      <c r="B177" s="116">
        <v>46030</v>
      </c>
      <c r="C177" s="117">
        <v>2026</v>
      </c>
      <c r="D177" s="118" t="s">
        <v>259</v>
      </c>
      <c r="E177" s="119" t="s">
        <v>654</v>
      </c>
      <c r="F177" s="120">
        <v>5</v>
      </c>
      <c r="G177" s="121">
        <v>23550</v>
      </c>
    </row>
    <row r="178" spans="1:7" x14ac:dyDescent="0.25">
      <c r="A178" s="197">
        <v>173</v>
      </c>
      <c r="B178" s="167">
        <v>46032</v>
      </c>
      <c r="C178" s="117">
        <v>2026</v>
      </c>
      <c r="D178" s="119" t="s">
        <v>259</v>
      </c>
      <c r="E178" s="119" t="s">
        <v>762</v>
      </c>
      <c r="F178" s="120">
        <v>1</v>
      </c>
      <c r="G178" s="168">
        <v>5096700</v>
      </c>
    </row>
    <row r="179" spans="1:7" x14ac:dyDescent="0.25">
      <c r="A179" s="197">
        <v>174</v>
      </c>
      <c r="B179" s="167">
        <v>46032</v>
      </c>
      <c r="C179" s="117">
        <v>2026</v>
      </c>
      <c r="D179" s="119" t="s">
        <v>259</v>
      </c>
      <c r="E179" s="119" t="s">
        <v>1612</v>
      </c>
      <c r="F179" s="120">
        <v>1</v>
      </c>
      <c r="G179" s="168">
        <v>4900000</v>
      </c>
    </row>
    <row r="180" spans="1:7" x14ac:dyDescent="0.25">
      <c r="A180" s="197">
        <v>175</v>
      </c>
      <c r="B180" s="116">
        <v>46039</v>
      </c>
      <c r="C180" s="117">
        <v>2026</v>
      </c>
      <c r="D180" s="118" t="s">
        <v>259</v>
      </c>
      <c r="E180" s="119" t="s">
        <v>1618</v>
      </c>
      <c r="F180" s="120">
        <v>1</v>
      </c>
      <c r="G180" s="121">
        <v>468300</v>
      </c>
    </row>
    <row r="181" spans="1:7" x14ac:dyDescent="0.25">
      <c r="A181" s="197">
        <v>176</v>
      </c>
      <c r="B181" s="167">
        <v>46051</v>
      </c>
      <c r="C181" s="117">
        <v>2026</v>
      </c>
      <c r="D181" s="119" t="s">
        <v>259</v>
      </c>
      <c r="E181" s="119" t="s">
        <v>1626</v>
      </c>
      <c r="F181" s="120">
        <v>2</v>
      </c>
      <c r="G181" s="168">
        <v>43900</v>
      </c>
    </row>
    <row r="182" spans="1:7" x14ac:dyDescent="0.25">
      <c r="A182" s="197">
        <v>177</v>
      </c>
      <c r="B182" s="116">
        <v>46051</v>
      </c>
      <c r="C182" s="117">
        <v>2026</v>
      </c>
      <c r="D182" s="118" t="s">
        <v>259</v>
      </c>
      <c r="E182" s="119" t="s">
        <v>1627</v>
      </c>
      <c r="F182" s="120">
        <v>15</v>
      </c>
      <c r="G182" s="121">
        <v>31905</v>
      </c>
    </row>
    <row r="183" spans="1:7" x14ac:dyDescent="0.25">
      <c r="A183" s="197">
        <v>178</v>
      </c>
      <c r="B183" s="167">
        <v>46051</v>
      </c>
      <c r="C183" s="117">
        <v>2026</v>
      </c>
      <c r="D183" s="119" t="s">
        <v>259</v>
      </c>
      <c r="E183" s="119" t="s">
        <v>1628</v>
      </c>
      <c r="F183" s="120">
        <v>1</v>
      </c>
      <c r="G183" s="168">
        <v>122100</v>
      </c>
    </row>
    <row r="184" spans="1:7" x14ac:dyDescent="0.25">
      <c r="A184" s="197">
        <v>179</v>
      </c>
      <c r="B184" s="167">
        <v>46051</v>
      </c>
      <c r="C184" s="117">
        <v>2026</v>
      </c>
      <c r="D184" s="119" t="s">
        <v>259</v>
      </c>
      <c r="E184" s="119" t="s">
        <v>1629</v>
      </c>
      <c r="F184" s="120">
        <v>1</v>
      </c>
      <c r="G184" s="168">
        <v>106900</v>
      </c>
    </row>
    <row r="185" spans="1:7" x14ac:dyDescent="0.25">
      <c r="A185" s="197">
        <v>180</v>
      </c>
      <c r="B185" s="167">
        <v>46051</v>
      </c>
      <c r="C185" s="117">
        <v>2026</v>
      </c>
      <c r="D185" s="119" t="s">
        <v>259</v>
      </c>
      <c r="E185" s="119" t="s">
        <v>110</v>
      </c>
      <c r="F185" s="120">
        <v>2</v>
      </c>
      <c r="G185" s="168">
        <v>20760</v>
      </c>
    </row>
    <row r="186" spans="1:7" x14ac:dyDescent="0.25">
      <c r="A186" s="197">
        <v>181</v>
      </c>
      <c r="B186" s="116">
        <v>46051</v>
      </c>
      <c r="C186" s="117">
        <v>2026</v>
      </c>
      <c r="D186" s="118" t="s">
        <v>259</v>
      </c>
      <c r="E186" s="119" t="s">
        <v>1525</v>
      </c>
      <c r="F186" s="120">
        <v>9</v>
      </c>
      <c r="G186" s="121">
        <v>2389005</v>
      </c>
    </row>
    <row r="187" spans="1:7" x14ac:dyDescent="0.25">
      <c r="A187" s="197">
        <v>182</v>
      </c>
      <c r="B187" s="167">
        <v>46051</v>
      </c>
      <c r="C187" s="117">
        <v>2026</v>
      </c>
      <c r="D187" s="119" t="s">
        <v>259</v>
      </c>
      <c r="E187" s="119" t="s">
        <v>1630</v>
      </c>
      <c r="F187" s="120">
        <v>1</v>
      </c>
      <c r="G187" s="168">
        <v>22400</v>
      </c>
    </row>
    <row r="188" spans="1:7" x14ac:dyDescent="0.25">
      <c r="A188" s="197">
        <v>183</v>
      </c>
      <c r="B188" s="167">
        <v>46051</v>
      </c>
      <c r="C188" s="117">
        <v>2026</v>
      </c>
      <c r="D188" s="119" t="s">
        <v>259</v>
      </c>
      <c r="E188" s="119" t="s">
        <v>1526</v>
      </c>
      <c r="F188" s="120">
        <v>14</v>
      </c>
      <c r="G188" s="168">
        <v>43904</v>
      </c>
    </row>
    <row r="189" spans="1:7" x14ac:dyDescent="0.25">
      <c r="A189" s="197">
        <v>184</v>
      </c>
      <c r="B189" s="167">
        <v>46051</v>
      </c>
      <c r="C189" s="117">
        <v>2026</v>
      </c>
      <c r="D189" s="119" t="s">
        <v>259</v>
      </c>
      <c r="E189" s="119" t="s">
        <v>1632</v>
      </c>
      <c r="F189" s="120">
        <v>1</v>
      </c>
      <c r="G189" s="168">
        <v>292900</v>
      </c>
    </row>
    <row r="190" spans="1:7" x14ac:dyDescent="0.25">
      <c r="A190" s="197">
        <v>185</v>
      </c>
      <c r="B190" s="167">
        <v>46066</v>
      </c>
      <c r="C190" s="117">
        <v>2026</v>
      </c>
      <c r="D190" s="119" t="s">
        <v>259</v>
      </c>
      <c r="E190" s="119" t="s">
        <v>260</v>
      </c>
      <c r="F190" s="120">
        <v>1</v>
      </c>
      <c r="G190" s="168">
        <v>686900</v>
      </c>
    </row>
    <row r="191" spans="1:7" x14ac:dyDescent="0.25">
      <c r="A191" s="197">
        <v>186</v>
      </c>
      <c r="B191" s="167">
        <v>46066</v>
      </c>
      <c r="C191" s="117">
        <v>2026</v>
      </c>
      <c r="D191" s="119" t="s">
        <v>259</v>
      </c>
      <c r="E191" s="119" t="s">
        <v>1638</v>
      </c>
      <c r="F191" s="120">
        <v>1</v>
      </c>
      <c r="G191" s="168">
        <v>54900</v>
      </c>
    </row>
    <row r="192" spans="1:7" x14ac:dyDescent="0.25">
      <c r="A192" s="197">
        <v>187</v>
      </c>
      <c r="B192" s="116">
        <v>46066</v>
      </c>
      <c r="C192" s="117">
        <v>2026</v>
      </c>
      <c r="D192" s="118" t="s">
        <v>259</v>
      </c>
      <c r="E192" s="119" t="s">
        <v>1639</v>
      </c>
      <c r="F192" s="120">
        <v>1</v>
      </c>
      <c r="G192" s="121">
        <v>22900</v>
      </c>
    </row>
    <row r="193" spans="1:7" x14ac:dyDescent="0.25">
      <c r="A193" s="197">
        <v>188</v>
      </c>
      <c r="B193" s="116">
        <v>46069</v>
      </c>
      <c r="C193" s="117">
        <v>2026</v>
      </c>
      <c r="D193" s="118" t="s">
        <v>259</v>
      </c>
      <c r="E193" s="119" t="s">
        <v>341</v>
      </c>
      <c r="F193" s="120">
        <v>1</v>
      </c>
      <c r="G193" s="121">
        <v>2175000</v>
      </c>
    </row>
    <row r="194" spans="1:7" x14ac:dyDescent="0.25">
      <c r="A194" s="197">
        <v>189</v>
      </c>
      <c r="B194" s="167">
        <v>46078</v>
      </c>
      <c r="C194" s="117">
        <v>2026</v>
      </c>
      <c r="D194" s="119" t="s">
        <v>259</v>
      </c>
      <c r="E194" s="119" t="s">
        <v>1618</v>
      </c>
      <c r="F194" s="120">
        <v>1</v>
      </c>
      <c r="G194" s="168">
        <v>508900</v>
      </c>
    </row>
    <row r="195" spans="1:7" x14ac:dyDescent="0.25">
      <c r="A195" s="197">
        <v>190</v>
      </c>
      <c r="B195" s="167">
        <v>46083</v>
      </c>
      <c r="C195" s="117">
        <v>2026</v>
      </c>
      <c r="D195" s="119" t="s">
        <v>259</v>
      </c>
      <c r="E195" s="119" t="s">
        <v>1649</v>
      </c>
      <c r="F195" s="120">
        <v>1</v>
      </c>
      <c r="G195" s="168">
        <v>420000</v>
      </c>
    </row>
    <row r="196" spans="1:7" x14ac:dyDescent="0.25">
      <c r="A196" s="197">
        <v>191</v>
      </c>
      <c r="B196" s="167">
        <v>46083</v>
      </c>
      <c r="C196" s="117">
        <v>2026</v>
      </c>
      <c r="D196" s="119" t="s">
        <v>259</v>
      </c>
      <c r="E196" s="119" t="s">
        <v>1650</v>
      </c>
      <c r="F196" s="120">
        <v>1</v>
      </c>
      <c r="G196" s="168">
        <v>100000</v>
      </c>
    </row>
    <row r="197" spans="1:7" x14ac:dyDescent="0.25">
      <c r="A197" s="197">
        <v>192</v>
      </c>
      <c r="B197" s="167">
        <v>46087</v>
      </c>
      <c r="C197" s="117">
        <v>2026</v>
      </c>
      <c r="D197" s="119" t="s">
        <v>259</v>
      </c>
      <c r="E197" s="119" t="s">
        <v>341</v>
      </c>
      <c r="F197" s="120">
        <v>1</v>
      </c>
      <c r="G197" s="121">
        <v>2175000</v>
      </c>
    </row>
    <row r="198" spans="1:7" x14ac:dyDescent="0.25">
      <c r="A198" s="197">
        <v>193</v>
      </c>
      <c r="B198" s="116">
        <v>46088</v>
      </c>
      <c r="C198" s="117">
        <v>2026</v>
      </c>
      <c r="D198" s="118" t="s">
        <v>259</v>
      </c>
      <c r="E198" s="119" t="s">
        <v>1652</v>
      </c>
      <c r="F198" s="120">
        <v>2</v>
      </c>
      <c r="G198" s="121">
        <v>36900</v>
      </c>
    </row>
    <row r="199" spans="1:7" x14ac:dyDescent="0.25">
      <c r="A199" s="197">
        <v>194</v>
      </c>
      <c r="B199" s="116">
        <v>46088</v>
      </c>
      <c r="C199" s="117">
        <v>2026</v>
      </c>
      <c r="D199" s="118" t="s">
        <v>259</v>
      </c>
      <c r="E199" s="119" t="s">
        <v>758</v>
      </c>
      <c r="F199" s="120">
        <v>5</v>
      </c>
      <c r="G199" s="121">
        <v>139400</v>
      </c>
    </row>
    <row r="200" spans="1:7" x14ac:dyDescent="0.25">
      <c r="A200" s="197">
        <v>195</v>
      </c>
      <c r="B200" s="116">
        <v>46088</v>
      </c>
      <c r="C200" s="117">
        <v>2026</v>
      </c>
      <c r="D200" s="118" t="s">
        <v>259</v>
      </c>
      <c r="E200" s="119" t="s">
        <v>1653</v>
      </c>
      <c r="F200" s="120">
        <v>4</v>
      </c>
      <c r="G200" s="121">
        <v>1623900</v>
      </c>
    </row>
    <row r="201" spans="1:7" x14ac:dyDescent="0.25">
      <c r="A201" s="197">
        <v>196</v>
      </c>
      <c r="B201" s="116">
        <v>46088</v>
      </c>
      <c r="C201" s="117">
        <v>2026</v>
      </c>
      <c r="D201" s="118" t="s">
        <v>259</v>
      </c>
      <c r="E201" s="119" t="s">
        <v>1377</v>
      </c>
      <c r="F201" s="120">
        <v>3</v>
      </c>
      <c r="G201" s="121">
        <v>919182</v>
      </c>
    </row>
    <row r="202" spans="1:7" x14ac:dyDescent="0.25">
      <c r="A202" s="197">
        <v>197</v>
      </c>
      <c r="B202" s="116">
        <v>46088</v>
      </c>
      <c r="C202" s="117">
        <v>2026</v>
      </c>
      <c r="D202" s="118" t="s">
        <v>259</v>
      </c>
      <c r="E202" s="119" t="s">
        <v>1391</v>
      </c>
      <c r="F202" s="120">
        <v>100</v>
      </c>
      <c r="G202" s="121">
        <v>106800</v>
      </c>
    </row>
    <row r="203" spans="1:7" x14ac:dyDescent="0.25">
      <c r="A203" s="197">
        <v>198</v>
      </c>
      <c r="B203" s="167">
        <v>46093</v>
      </c>
      <c r="C203" s="117">
        <v>2026</v>
      </c>
      <c r="D203" s="119" t="s">
        <v>259</v>
      </c>
      <c r="E203" s="119" t="s">
        <v>331</v>
      </c>
      <c r="F203" s="120">
        <v>3</v>
      </c>
      <c r="G203" s="168">
        <v>721902</v>
      </c>
    </row>
    <row r="204" spans="1:7" x14ac:dyDescent="0.25">
      <c r="A204" s="197">
        <v>199</v>
      </c>
      <c r="B204" s="116">
        <v>46093</v>
      </c>
      <c r="C204" s="117">
        <v>2026</v>
      </c>
      <c r="D204" s="118" t="s">
        <v>259</v>
      </c>
      <c r="E204" s="119" t="s">
        <v>1658</v>
      </c>
      <c r="F204" s="120">
        <v>1</v>
      </c>
      <c r="G204" s="121">
        <v>79966</v>
      </c>
    </row>
    <row r="205" spans="1:7" x14ac:dyDescent="0.25">
      <c r="A205" s="197">
        <v>200</v>
      </c>
      <c r="B205" s="116">
        <v>46118</v>
      </c>
      <c r="C205" s="117">
        <v>2026</v>
      </c>
      <c r="D205" s="118" t="s">
        <v>259</v>
      </c>
      <c r="E205" s="119" t="s">
        <v>1662</v>
      </c>
      <c r="F205" s="120">
        <v>1</v>
      </c>
      <c r="G205" s="121">
        <v>1023900</v>
      </c>
    </row>
    <row r="206" spans="1:7" x14ac:dyDescent="0.25">
      <c r="A206" s="197">
        <v>201</v>
      </c>
      <c r="B206" s="116">
        <v>46118</v>
      </c>
      <c r="C206" s="117">
        <v>2026</v>
      </c>
      <c r="D206" s="118" t="s">
        <v>259</v>
      </c>
      <c r="E206" s="119" t="s">
        <v>1663</v>
      </c>
      <c r="F206" s="120">
        <v>1</v>
      </c>
      <c r="G206" s="121">
        <v>749000</v>
      </c>
    </row>
    <row r="207" spans="1:7" x14ac:dyDescent="0.25">
      <c r="A207" s="197">
        <v>202</v>
      </c>
      <c r="B207" s="167">
        <v>46118</v>
      </c>
      <c r="C207" s="117">
        <v>2026</v>
      </c>
      <c r="D207" s="119" t="s">
        <v>259</v>
      </c>
      <c r="E207" s="119" t="s">
        <v>1664</v>
      </c>
      <c r="F207" s="120">
        <v>1</v>
      </c>
      <c r="G207" s="168">
        <v>1014500</v>
      </c>
    </row>
    <row r="208" spans="1:7" x14ac:dyDescent="0.25">
      <c r="A208" s="197">
        <v>203</v>
      </c>
      <c r="B208" s="167">
        <v>46133</v>
      </c>
      <c r="C208" s="117">
        <v>2026</v>
      </c>
      <c r="D208" s="119" t="s">
        <v>259</v>
      </c>
      <c r="E208" s="119" t="s">
        <v>1249</v>
      </c>
      <c r="F208" s="120">
        <v>1</v>
      </c>
      <c r="G208" s="169">
        <v>60900</v>
      </c>
    </row>
    <row r="209" spans="1:7" x14ac:dyDescent="0.25">
      <c r="A209" s="197">
        <v>204</v>
      </c>
      <c r="B209" s="167">
        <v>46135</v>
      </c>
      <c r="C209" s="117">
        <v>2026</v>
      </c>
      <c r="D209" s="119" t="s">
        <v>259</v>
      </c>
      <c r="E209" s="119" t="s">
        <v>1652</v>
      </c>
      <c r="F209" s="120">
        <v>3</v>
      </c>
      <c r="G209" s="168">
        <v>84399</v>
      </c>
    </row>
    <row r="210" spans="1:7" x14ac:dyDescent="0.25">
      <c r="A210" s="197">
        <v>205</v>
      </c>
      <c r="B210" s="167">
        <v>46135</v>
      </c>
      <c r="C210" s="117">
        <v>2026</v>
      </c>
      <c r="D210" s="119" t="s">
        <v>259</v>
      </c>
      <c r="E210" s="119" t="s">
        <v>758</v>
      </c>
      <c r="F210" s="120">
        <v>4</v>
      </c>
      <c r="G210" s="168">
        <v>111900</v>
      </c>
    </row>
    <row r="211" spans="1:7" x14ac:dyDescent="0.25">
      <c r="A211" s="197">
        <v>206</v>
      </c>
      <c r="B211" s="116">
        <v>46135</v>
      </c>
      <c r="C211" s="117">
        <v>2026</v>
      </c>
      <c r="D211" s="118" t="s">
        <v>259</v>
      </c>
      <c r="E211" s="119" t="s">
        <v>1678</v>
      </c>
      <c r="F211" s="120">
        <v>2</v>
      </c>
      <c r="G211" s="121">
        <v>1048800</v>
      </c>
    </row>
    <row r="212" spans="1:7" x14ac:dyDescent="0.25">
      <c r="A212" s="197">
        <v>207</v>
      </c>
      <c r="B212" s="167">
        <v>46135</v>
      </c>
      <c r="C212" s="117">
        <v>2026</v>
      </c>
      <c r="D212" s="119" t="s">
        <v>259</v>
      </c>
      <c r="E212" s="119" t="s">
        <v>1679</v>
      </c>
      <c r="F212" s="120">
        <v>1</v>
      </c>
      <c r="G212" s="168">
        <v>596000</v>
      </c>
    </row>
    <row r="213" spans="1:7" x14ac:dyDescent="0.25">
      <c r="A213" s="197">
        <v>208</v>
      </c>
      <c r="B213" s="116">
        <v>46135</v>
      </c>
      <c r="C213" s="117">
        <v>2026</v>
      </c>
      <c r="D213" s="118" t="s">
        <v>259</v>
      </c>
      <c r="E213" s="119" t="s">
        <v>1680</v>
      </c>
      <c r="F213" s="120">
        <v>3</v>
      </c>
      <c r="G213" s="121">
        <v>21402</v>
      </c>
    </row>
    <row r="214" spans="1:7" x14ac:dyDescent="0.25">
      <c r="A214" s="197">
        <v>209</v>
      </c>
      <c r="B214" s="116">
        <v>46135</v>
      </c>
      <c r="C214" s="117">
        <v>2026</v>
      </c>
      <c r="D214" s="118" t="s">
        <v>259</v>
      </c>
      <c r="E214" s="119" t="s">
        <v>1681</v>
      </c>
      <c r="F214" s="120">
        <v>3</v>
      </c>
      <c r="G214" s="121">
        <v>21888</v>
      </c>
    </row>
    <row r="215" spans="1:7" x14ac:dyDescent="0.25">
      <c r="A215" s="197">
        <v>210</v>
      </c>
      <c r="B215" s="116">
        <v>46135</v>
      </c>
      <c r="C215" s="117">
        <v>2026</v>
      </c>
      <c r="D215" s="118" t="s">
        <v>259</v>
      </c>
      <c r="E215" s="119" t="s">
        <v>1682</v>
      </c>
      <c r="F215" s="120">
        <v>2</v>
      </c>
      <c r="G215" s="121">
        <v>43898</v>
      </c>
    </row>
    <row r="216" spans="1:7" x14ac:dyDescent="0.25">
      <c r="A216" s="197">
        <v>211</v>
      </c>
      <c r="B216" s="116">
        <v>46135</v>
      </c>
      <c r="C216" s="117">
        <v>2026</v>
      </c>
      <c r="D216" s="118" t="s">
        <v>259</v>
      </c>
      <c r="E216" s="119" t="s">
        <v>1149</v>
      </c>
      <c r="F216" s="120">
        <v>1</v>
      </c>
      <c r="G216" s="121">
        <v>79900</v>
      </c>
    </row>
    <row r="217" spans="1:7" x14ac:dyDescent="0.25">
      <c r="A217" s="197">
        <v>212</v>
      </c>
      <c r="B217" s="116">
        <v>46137</v>
      </c>
      <c r="C217" s="117">
        <v>2026</v>
      </c>
      <c r="D217" s="118" t="s">
        <v>259</v>
      </c>
      <c r="E217" s="119" t="s">
        <v>1315</v>
      </c>
      <c r="F217" s="120">
        <v>2</v>
      </c>
      <c r="G217" s="121">
        <v>70400</v>
      </c>
    </row>
    <row r="218" spans="1:7" x14ac:dyDescent="0.25">
      <c r="A218" s="197">
        <v>213</v>
      </c>
      <c r="B218" s="116">
        <v>46140</v>
      </c>
      <c r="C218" s="117">
        <v>2026</v>
      </c>
      <c r="D218" s="118" t="s">
        <v>259</v>
      </c>
      <c r="E218" s="119" t="s">
        <v>1560</v>
      </c>
      <c r="F218" s="120">
        <v>2</v>
      </c>
      <c r="G218" s="121">
        <v>363800</v>
      </c>
    </row>
    <row r="219" spans="1:7" x14ac:dyDescent="0.25">
      <c r="A219" s="197">
        <v>214</v>
      </c>
      <c r="B219" s="116">
        <v>46141</v>
      </c>
      <c r="C219" s="117">
        <v>2026</v>
      </c>
      <c r="D219" s="118" t="s">
        <v>259</v>
      </c>
      <c r="E219" s="119" t="s">
        <v>1686</v>
      </c>
      <c r="F219" s="120">
        <v>1</v>
      </c>
      <c r="G219" s="121">
        <v>220800</v>
      </c>
    </row>
    <row r="220" spans="1:7" x14ac:dyDescent="0.25">
      <c r="A220" s="102"/>
      <c r="B220" s="200"/>
      <c r="C220" s="201"/>
      <c r="D220" s="202"/>
      <c r="E220" s="202"/>
      <c r="F220" s="203"/>
      <c r="G220" s="204"/>
    </row>
    <row r="221" spans="1:7" x14ac:dyDescent="0.25">
      <c r="A221" s="102"/>
      <c r="B221" s="200"/>
      <c r="C221" s="201"/>
      <c r="D221" s="202"/>
      <c r="E221" s="202"/>
      <c r="F221" s="203"/>
      <c r="G221" s="204"/>
    </row>
    <row r="222" spans="1:7" x14ac:dyDescent="0.25">
      <c r="A222" s="102"/>
      <c r="B222" s="200"/>
      <c r="C222" s="201"/>
      <c r="D222" s="202"/>
      <c r="E222" s="202"/>
      <c r="F222" s="203"/>
      <c r="G222" s="204"/>
    </row>
    <row r="223" spans="1:7" x14ac:dyDescent="0.25">
      <c r="A223" s="102"/>
      <c r="B223" s="200"/>
      <c r="C223" s="201"/>
      <c r="D223" s="202"/>
      <c r="E223" s="202"/>
      <c r="F223" s="203"/>
      <c r="G223" s="204"/>
    </row>
    <row r="224" spans="1:7" x14ac:dyDescent="0.25">
      <c r="A224" s="102"/>
      <c r="B224" s="200"/>
      <c r="C224" s="201"/>
      <c r="D224" s="202"/>
      <c r="E224" s="202"/>
      <c r="F224" s="203"/>
      <c r="G224" s="204"/>
    </row>
    <row r="225" spans="1:7" x14ac:dyDescent="0.25">
      <c r="A225" s="102"/>
      <c r="B225" s="200"/>
      <c r="C225" s="201"/>
      <c r="D225" s="202"/>
      <c r="E225" s="202"/>
      <c r="F225" s="203"/>
      <c r="G225" s="204"/>
    </row>
    <row r="226" spans="1:7" x14ac:dyDescent="0.25">
      <c r="A226" s="102"/>
      <c r="B226" s="200"/>
      <c r="C226" s="201"/>
      <c r="D226" s="202"/>
      <c r="E226" s="202"/>
      <c r="F226" s="203"/>
      <c r="G226" s="204"/>
    </row>
    <row r="227" spans="1:7" x14ac:dyDescent="0.25">
      <c r="A227" s="102"/>
      <c r="B227" s="200"/>
      <c r="C227" s="201"/>
      <c r="D227" s="202"/>
      <c r="E227" s="202"/>
      <c r="F227" s="203"/>
      <c r="G227" s="204"/>
    </row>
    <row r="228" spans="1:7" x14ac:dyDescent="0.25">
      <c r="A228" s="102"/>
      <c r="B228" s="200"/>
      <c r="C228" s="201"/>
      <c r="D228" s="202"/>
      <c r="E228" s="202"/>
      <c r="F228" s="203"/>
      <c r="G228" s="204"/>
    </row>
    <row r="229" spans="1:7" x14ac:dyDescent="0.25">
      <c r="A229" s="102"/>
      <c r="B229" s="200"/>
      <c r="C229" s="201"/>
      <c r="D229" s="202"/>
      <c r="E229" s="202"/>
      <c r="F229" s="203"/>
      <c r="G229" s="204"/>
    </row>
    <row r="230" spans="1:7" x14ac:dyDescent="0.25">
      <c r="A230" s="102"/>
      <c r="B230" s="200"/>
      <c r="C230" s="201"/>
      <c r="D230" s="202"/>
      <c r="E230" s="202"/>
      <c r="F230" s="203"/>
      <c r="G230" s="204"/>
    </row>
    <row r="231" spans="1:7" x14ac:dyDescent="0.25">
      <c r="A231" s="102"/>
      <c r="B231" s="200"/>
      <c r="C231" s="201"/>
      <c r="D231" s="202"/>
      <c r="E231" s="202"/>
      <c r="F231" s="203"/>
      <c r="G231" s="204"/>
    </row>
    <row r="232" spans="1:7" x14ac:dyDescent="0.25">
      <c r="A232" s="102"/>
      <c r="B232" s="200"/>
      <c r="C232" s="201"/>
      <c r="D232" s="202"/>
      <c r="E232" s="202"/>
      <c r="F232" s="203"/>
      <c r="G232" s="204"/>
    </row>
    <row r="233" spans="1:7" x14ac:dyDescent="0.25">
      <c r="A233" s="102"/>
      <c r="B233" s="200"/>
      <c r="C233" s="201"/>
      <c r="D233" s="202"/>
      <c r="E233" s="202"/>
      <c r="F233" s="203"/>
      <c r="G233" s="204"/>
    </row>
    <row r="234" spans="1:7" x14ac:dyDescent="0.25">
      <c r="A234" s="102"/>
      <c r="B234" s="200"/>
      <c r="C234" s="201"/>
      <c r="D234" s="202"/>
      <c r="E234" s="202"/>
      <c r="F234" s="203"/>
      <c r="G234" s="204"/>
    </row>
    <row r="235" spans="1:7" x14ac:dyDescent="0.25">
      <c r="A235" s="102"/>
      <c r="B235" s="200"/>
      <c r="C235" s="201"/>
      <c r="D235" s="202"/>
      <c r="E235" s="202"/>
      <c r="F235" s="203"/>
      <c r="G235" s="204"/>
    </row>
    <row r="236" spans="1:7" x14ac:dyDescent="0.25">
      <c r="A236" s="102"/>
      <c r="B236" s="200"/>
      <c r="C236" s="201"/>
      <c r="D236" s="202"/>
      <c r="E236" s="202"/>
      <c r="F236" s="203"/>
      <c r="G236" s="204"/>
    </row>
    <row r="237" spans="1:7" x14ac:dyDescent="0.25">
      <c r="A237" s="102"/>
      <c r="B237" s="200"/>
      <c r="C237" s="201"/>
      <c r="D237" s="202"/>
      <c r="E237" s="202"/>
      <c r="F237" s="203"/>
      <c r="G237" s="204"/>
    </row>
    <row r="238" spans="1:7" x14ac:dyDescent="0.25">
      <c r="A238" s="102"/>
      <c r="B238" s="200"/>
      <c r="C238" s="201"/>
      <c r="D238" s="202"/>
      <c r="E238" s="202"/>
      <c r="F238" s="203"/>
      <c r="G238" s="204"/>
    </row>
    <row r="239" spans="1:7" x14ac:dyDescent="0.25">
      <c r="A239" s="102"/>
      <c r="B239" s="200"/>
      <c r="C239" s="201"/>
      <c r="D239" s="202"/>
      <c r="E239" s="202"/>
      <c r="F239" s="203"/>
      <c r="G239" s="204"/>
    </row>
    <row r="240" spans="1:7" x14ac:dyDescent="0.25">
      <c r="A240" s="102"/>
      <c r="B240" s="200"/>
      <c r="C240" s="201"/>
      <c r="D240" s="202"/>
      <c r="E240" s="202"/>
      <c r="F240" s="203"/>
      <c r="G240" s="204"/>
    </row>
    <row r="241" spans="1:7" x14ac:dyDescent="0.25">
      <c r="A241" s="102"/>
      <c r="B241" s="200"/>
      <c r="C241" s="201"/>
      <c r="D241" s="202"/>
      <c r="E241" s="202"/>
      <c r="F241" s="203"/>
      <c r="G241" s="204"/>
    </row>
    <row r="242" spans="1:7" x14ac:dyDescent="0.25">
      <c r="A242" s="102"/>
      <c r="B242" s="200"/>
      <c r="C242" s="201"/>
      <c r="D242" s="202"/>
      <c r="E242" s="202"/>
      <c r="F242" s="203"/>
      <c r="G242" s="204"/>
    </row>
    <row r="243" spans="1:7" x14ac:dyDescent="0.25">
      <c r="A243" s="102"/>
      <c r="B243" s="200"/>
      <c r="C243" s="201"/>
      <c r="D243" s="202"/>
      <c r="E243" s="202"/>
      <c r="F243" s="203"/>
      <c r="G243" s="204"/>
    </row>
    <row r="244" spans="1:7" x14ac:dyDescent="0.25">
      <c r="A244" s="102"/>
      <c r="B244" s="200"/>
      <c r="C244" s="201"/>
      <c r="D244" s="202"/>
      <c r="E244" s="202"/>
      <c r="F244" s="203"/>
      <c r="G244" s="204"/>
    </row>
    <row r="245" spans="1:7" x14ac:dyDescent="0.25">
      <c r="A245" s="102"/>
      <c r="B245" s="200"/>
      <c r="C245" s="201"/>
      <c r="D245" s="202"/>
      <c r="E245" s="202"/>
      <c r="F245" s="203"/>
      <c r="G245" s="204"/>
    </row>
    <row r="246" spans="1:7" x14ac:dyDescent="0.25">
      <c r="A246" s="102"/>
      <c r="B246" s="200"/>
      <c r="C246" s="201"/>
      <c r="D246" s="202"/>
      <c r="E246" s="202"/>
      <c r="F246" s="203"/>
      <c r="G246" s="204"/>
    </row>
    <row r="247" spans="1:7" x14ac:dyDescent="0.25">
      <c r="A247" s="102"/>
      <c r="B247" s="200"/>
      <c r="C247" s="201"/>
      <c r="D247" s="202"/>
      <c r="E247" s="202"/>
      <c r="F247" s="203"/>
      <c r="G247" s="204"/>
    </row>
    <row r="248" spans="1:7" x14ac:dyDescent="0.25">
      <c r="A248" s="102"/>
      <c r="B248" s="200"/>
      <c r="C248" s="201"/>
      <c r="D248" s="202"/>
      <c r="E248" s="202"/>
      <c r="F248" s="203"/>
      <c r="G248" s="204"/>
    </row>
    <row r="249" spans="1:7" x14ac:dyDescent="0.25">
      <c r="A249" s="102"/>
      <c r="B249" s="200"/>
      <c r="C249" s="201"/>
      <c r="D249" s="202"/>
      <c r="E249" s="202"/>
      <c r="F249" s="203"/>
      <c r="G249" s="204"/>
    </row>
    <row r="250" spans="1:7" x14ac:dyDescent="0.25">
      <c r="A250" s="102"/>
      <c r="B250" s="200"/>
      <c r="C250" s="201"/>
      <c r="D250" s="202"/>
      <c r="E250" s="202"/>
      <c r="F250" s="203"/>
      <c r="G250" s="204"/>
    </row>
    <row r="251" spans="1:7" x14ac:dyDescent="0.25">
      <c r="A251" s="102"/>
      <c r="B251" s="200"/>
      <c r="C251" s="201"/>
      <c r="D251" s="202"/>
      <c r="E251" s="202"/>
      <c r="F251" s="203"/>
      <c r="G251" s="204"/>
    </row>
    <row r="252" spans="1:7" x14ac:dyDescent="0.25">
      <c r="A252" s="102"/>
      <c r="B252" s="200"/>
      <c r="C252" s="201"/>
      <c r="D252" s="202"/>
      <c r="E252" s="202"/>
      <c r="F252" s="203"/>
      <c r="G252" s="204"/>
    </row>
    <row r="253" spans="1:7" x14ac:dyDescent="0.25">
      <c r="A253" s="102"/>
      <c r="B253" s="200"/>
      <c r="C253" s="201"/>
      <c r="D253" s="202"/>
      <c r="E253" s="202"/>
      <c r="F253" s="203"/>
      <c r="G253" s="204"/>
    </row>
    <row r="254" spans="1:7" x14ac:dyDescent="0.25">
      <c r="A254" s="102"/>
      <c r="B254" s="200"/>
      <c r="C254" s="201"/>
      <c r="D254" s="202"/>
      <c r="E254" s="202"/>
      <c r="F254" s="203"/>
      <c r="G254" s="204"/>
    </row>
    <row r="255" spans="1:7" x14ac:dyDescent="0.25">
      <c r="A255" s="102"/>
      <c r="B255" s="200"/>
      <c r="C255" s="201"/>
      <c r="D255" s="202"/>
      <c r="E255" s="202"/>
      <c r="F255" s="203"/>
      <c r="G255" s="204"/>
    </row>
    <row r="256" spans="1:7" x14ac:dyDescent="0.25">
      <c r="A256" s="102"/>
      <c r="B256" s="200"/>
      <c r="C256" s="201"/>
      <c r="D256" s="202"/>
      <c r="E256" s="202"/>
      <c r="F256" s="203"/>
      <c r="G256" s="204"/>
    </row>
    <row r="257" spans="1:7" x14ac:dyDescent="0.25">
      <c r="A257" s="102"/>
      <c r="B257" s="200"/>
      <c r="C257" s="201"/>
      <c r="D257" s="202"/>
      <c r="E257" s="202"/>
      <c r="F257" s="203"/>
      <c r="G257" s="204"/>
    </row>
    <row r="258" spans="1:7" x14ac:dyDescent="0.25">
      <c r="A258" s="102"/>
      <c r="B258" s="200"/>
      <c r="C258" s="201"/>
      <c r="D258" s="202"/>
      <c r="E258" s="202"/>
      <c r="F258" s="203"/>
      <c r="G258" s="204"/>
    </row>
    <row r="259" spans="1:7" x14ac:dyDescent="0.25">
      <c r="A259" s="102"/>
      <c r="B259" s="200"/>
      <c r="C259" s="201"/>
      <c r="D259" s="202"/>
      <c r="E259" s="202"/>
      <c r="F259" s="203"/>
      <c r="G259" s="204"/>
    </row>
    <row r="260" spans="1:7" x14ac:dyDescent="0.25">
      <c r="A260" s="102"/>
      <c r="B260" s="200"/>
      <c r="C260" s="201"/>
      <c r="D260" s="202"/>
      <c r="E260" s="202"/>
      <c r="F260" s="203"/>
      <c r="G260" s="204"/>
    </row>
    <row r="261" spans="1:7" x14ac:dyDescent="0.25">
      <c r="A261" s="102"/>
      <c r="B261" s="200"/>
      <c r="C261" s="201"/>
      <c r="D261" s="202"/>
      <c r="E261" s="202"/>
      <c r="F261" s="203"/>
      <c r="G261" s="204"/>
    </row>
    <row r="262" spans="1:7" x14ac:dyDescent="0.25">
      <c r="A262" s="102"/>
      <c r="B262" s="200"/>
      <c r="C262" s="201"/>
      <c r="D262" s="202"/>
      <c r="E262" s="202"/>
      <c r="F262" s="203"/>
      <c r="G262" s="204"/>
    </row>
    <row r="263" spans="1:7" x14ac:dyDescent="0.25">
      <c r="A263" s="102"/>
      <c r="B263" s="200"/>
      <c r="C263" s="201"/>
      <c r="D263" s="202"/>
      <c r="E263" s="202"/>
      <c r="F263" s="203"/>
      <c r="G263" s="204"/>
    </row>
    <row r="264" spans="1:7" x14ac:dyDescent="0.25">
      <c r="A264" s="102"/>
      <c r="B264" s="200"/>
      <c r="C264" s="201"/>
      <c r="D264" s="202"/>
      <c r="E264" s="202"/>
      <c r="F264" s="203"/>
      <c r="G264" s="204"/>
    </row>
    <row r="265" spans="1:7" x14ac:dyDescent="0.25">
      <c r="A265" s="102"/>
      <c r="B265" s="200"/>
      <c r="C265" s="201"/>
      <c r="D265" s="202"/>
      <c r="E265" s="202"/>
      <c r="F265" s="203"/>
      <c r="G265" s="204"/>
    </row>
    <row r="266" spans="1:7" x14ac:dyDescent="0.25">
      <c r="A266" s="102"/>
      <c r="B266" s="200"/>
      <c r="C266" s="201"/>
      <c r="D266" s="202"/>
      <c r="E266" s="202"/>
      <c r="F266" s="203"/>
      <c r="G266" s="204"/>
    </row>
    <row r="267" spans="1:7" x14ac:dyDescent="0.25">
      <c r="A267" s="102"/>
      <c r="B267" s="200"/>
      <c r="C267" s="201"/>
      <c r="D267" s="202"/>
      <c r="E267" s="202"/>
      <c r="F267" s="203"/>
      <c r="G267" s="204"/>
    </row>
    <row r="268" spans="1:7" x14ac:dyDescent="0.25">
      <c r="A268" s="102"/>
      <c r="B268" s="200"/>
      <c r="C268" s="201"/>
      <c r="D268" s="202"/>
      <c r="E268" s="202"/>
      <c r="F268" s="203"/>
      <c r="G268" s="204"/>
    </row>
    <row r="269" spans="1:7" x14ac:dyDescent="0.25">
      <c r="A269" s="102"/>
      <c r="B269" s="200"/>
      <c r="C269" s="201"/>
      <c r="D269" s="202"/>
      <c r="E269" s="202"/>
      <c r="F269" s="203"/>
      <c r="G269" s="204"/>
    </row>
    <row r="270" spans="1:7" x14ac:dyDescent="0.25">
      <c r="A270" s="102"/>
      <c r="B270" s="200"/>
      <c r="C270" s="201"/>
      <c r="D270" s="202"/>
      <c r="E270" s="202"/>
      <c r="F270" s="203"/>
      <c r="G270" s="204"/>
    </row>
    <row r="271" spans="1:7" x14ac:dyDescent="0.25">
      <c r="A271" s="102"/>
      <c r="B271" s="200"/>
      <c r="C271" s="201"/>
      <c r="D271" s="202"/>
      <c r="E271" s="202"/>
      <c r="F271" s="203"/>
      <c r="G271" s="204"/>
    </row>
    <row r="272" spans="1:7" x14ac:dyDescent="0.25">
      <c r="A272" s="102"/>
      <c r="B272" s="200"/>
      <c r="C272" s="201"/>
      <c r="D272" s="202"/>
      <c r="E272" s="202"/>
      <c r="F272" s="203"/>
      <c r="G272" s="204"/>
    </row>
    <row r="273" spans="1:7" x14ac:dyDescent="0.25">
      <c r="A273" s="102"/>
      <c r="B273" s="200"/>
      <c r="C273" s="201"/>
      <c r="D273" s="202"/>
      <c r="E273" s="202"/>
      <c r="F273" s="203"/>
      <c r="G273" s="204"/>
    </row>
    <row r="274" spans="1:7" x14ac:dyDescent="0.25">
      <c r="A274" s="102"/>
      <c r="B274" s="200"/>
      <c r="C274" s="201"/>
      <c r="D274" s="202"/>
      <c r="E274" s="202"/>
      <c r="F274" s="203"/>
      <c r="G274" s="204"/>
    </row>
    <row r="275" spans="1:7" x14ac:dyDescent="0.25">
      <c r="A275" s="102"/>
      <c r="B275" s="200"/>
      <c r="C275" s="201"/>
      <c r="D275" s="202"/>
      <c r="E275" s="202"/>
      <c r="F275" s="203"/>
      <c r="G275" s="204"/>
    </row>
    <row r="276" spans="1:7" x14ac:dyDescent="0.25">
      <c r="A276" s="102"/>
      <c r="B276" s="200"/>
      <c r="C276" s="201"/>
      <c r="D276" s="202"/>
      <c r="E276" s="202"/>
      <c r="F276" s="203"/>
      <c r="G276" s="204"/>
    </row>
    <row r="277" spans="1:7" x14ac:dyDescent="0.25">
      <c r="A277" s="102"/>
      <c r="B277" s="200"/>
      <c r="C277" s="201"/>
      <c r="D277" s="202"/>
      <c r="E277" s="202"/>
      <c r="F277" s="203"/>
      <c r="G277" s="204"/>
    </row>
    <row r="278" spans="1:7" x14ac:dyDescent="0.25">
      <c r="A278" s="102"/>
      <c r="B278" s="200"/>
      <c r="C278" s="201"/>
      <c r="D278" s="202"/>
      <c r="E278" s="202"/>
      <c r="F278" s="203"/>
      <c r="G278" s="204"/>
    </row>
    <row r="279" spans="1:7" x14ac:dyDescent="0.25">
      <c r="A279" s="102"/>
      <c r="B279" s="200"/>
      <c r="C279" s="201"/>
      <c r="D279" s="202"/>
      <c r="E279" s="202"/>
      <c r="F279" s="203"/>
      <c r="G279" s="204"/>
    </row>
    <row r="280" spans="1:7" x14ac:dyDescent="0.25">
      <c r="A280" s="102"/>
      <c r="B280" s="200"/>
      <c r="C280" s="201"/>
      <c r="D280" s="202"/>
      <c r="E280" s="202"/>
      <c r="F280" s="203"/>
      <c r="G280" s="204"/>
    </row>
    <row r="281" spans="1:7" x14ac:dyDescent="0.25">
      <c r="A281" s="102"/>
      <c r="B281" s="200"/>
      <c r="C281" s="201"/>
      <c r="D281" s="202"/>
      <c r="E281" s="202"/>
      <c r="F281" s="203"/>
      <c r="G281" s="204"/>
    </row>
    <row r="282" spans="1:7" x14ac:dyDescent="0.25">
      <c r="A282" s="102"/>
      <c r="B282" s="200"/>
      <c r="C282" s="201"/>
      <c r="D282" s="202"/>
      <c r="E282" s="202"/>
      <c r="F282" s="203"/>
      <c r="G282" s="204"/>
    </row>
    <row r="283" spans="1:7" x14ac:dyDescent="0.25">
      <c r="A283" s="102"/>
      <c r="B283" s="200"/>
      <c r="C283" s="201"/>
      <c r="D283" s="202"/>
      <c r="E283" s="202"/>
      <c r="F283" s="203"/>
      <c r="G283" s="204"/>
    </row>
    <row r="284" spans="1:7" x14ac:dyDescent="0.25">
      <c r="A284" s="102"/>
      <c r="B284" s="200"/>
      <c r="C284" s="201"/>
      <c r="D284" s="202"/>
      <c r="E284" s="202"/>
      <c r="F284" s="203"/>
      <c r="G284" s="204"/>
    </row>
    <row r="285" spans="1:7" x14ac:dyDescent="0.25">
      <c r="A285" s="102"/>
      <c r="B285" s="200"/>
      <c r="C285" s="201"/>
      <c r="D285" s="202"/>
      <c r="E285" s="202"/>
      <c r="F285" s="203"/>
      <c r="G285" s="204"/>
    </row>
    <row r="286" spans="1:7" x14ac:dyDescent="0.25">
      <c r="A286" s="102"/>
      <c r="B286" s="200"/>
      <c r="C286" s="201"/>
      <c r="D286" s="202"/>
      <c r="E286" s="202"/>
      <c r="F286" s="203"/>
      <c r="G286" s="204"/>
    </row>
    <row r="287" spans="1:7" x14ac:dyDescent="0.25">
      <c r="A287" s="102"/>
      <c r="B287" s="200"/>
      <c r="C287" s="201"/>
      <c r="D287" s="202"/>
      <c r="E287" s="202"/>
      <c r="F287" s="203"/>
      <c r="G287" s="204"/>
    </row>
    <row r="288" spans="1:7" x14ac:dyDescent="0.25">
      <c r="A288" s="102"/>
      <c r="B288" s="200"/>
      <c r="C288" s="201"/>
      <c r="D288" s="202"/>
      <c r="E288" s="202"/>
      <c r="F288" s="203"/>
      <c r="G288" s="204"/>
    </row>
    <row r="289" spans="1:7" x14ac:dyDescent="0.25">
      <c r="A289" s="102"/>
      <c r="B289" s="200"/>
      <c r="C289" s="201"/>
      <c r="D289" s="202"/>
      <c r="E289" s="202"/>
      <c r="F289" s="203"/>
      <c r="G289" s="204"/>
    </row>
    <row r="290" spans="1:7" x14ac:dyDescent="0.25">
      <c r="A290" s="102"/>
      <c r="B290" s="200"/>
      <c r="C290" s="201"/>
      <c r="D290" s="202"/>
      <c r="E290" s="202"/>
      <c r="F290" s="203"/>
      <c r="G290" s="204"/>
    </row>
    <row r="291" spans="1:7" x14ac:dyDescent="0.25">
      <c r="A291" s="102"/>
      <c r="B291" s="200"/>
      <c r="C291" s="201"/>
      <c r="D291" s="202"/>
      <c r="E291" s="202"/>
      <c r="F291" s="203"/>
      <c r="G291" s="204"/>
    </row>
    <row r="292" spans="1:7" x14ac:dyDescent="0.25">
      <c r="A292" s="102"/>
      <c r="B292" s="200"/>
      <c r="C292" s="201"/>
      <c r="D292" s="202"/>
      <c r="E292" s="202"/>
      <c r="F292" s="203"/>
      <c r="G292" s="204"/>
    </row>
    <row r="293" spans="1:7" x14ac:dyDescent="0.25">
      <c r="A293" s="102"/>
      <c r="B293" s="200"/>
      <c r="C293" s="201"/>
      <c r="D293" s="202"/>
      <c r="E293" s="202"/>
      <c r="F293" s="203"/>
      <c r="G293" s="204"/>
    </row>
    <row r="294" spans="1:7" x14ac:dyDescent="0.25">
      <c r="A294" s="102"/>
      <c r="B294" s="200"/>
      <c r="C294" s="201"/>
      <c r="D294" s="202"/>
      <c r="E294" s="202"/>
      <c r="F294" s="203"/>
      <c r="G294" s="204"/>
    </row>
    <row r="295" spans="1:7" x14ac:dyDescent="0.25">
      <c r="A295" s="102"/>
      <c r="B295" s="200"/>
      <c r="C295" s="201"/>
      <c r="D295" s="202"/>
      <c r="E295" s="202"/>
      <c r="F295" s="203"/>
      <c r="G295" s="204"/>
    </row>
    <row r="296" spans="1:7" x14ac:dyDescent="0.25">
      <c r="A296" s="102"/>
      <c r="B296" s="200"/>
      <c r="C296" s="201"/>
      <c r="D296" s="202"/>
      <c r="E296" s="202"/>
      <c r="F296" s="203"/>
      <c r="G296" s="204"/>
    </row>
    <row r="297" spans="1:7" x14ac:dyDescent="0.25">
      <c r="A297" s="102"/>
      <c r="B297" s="200"/>
      <c r="C297" s="201"/>
      <c r="D297" s="202"/>
      <c r="E297" s="202"/>
      <c r="F297" s="203"/>
      <c r="G297" s="204"/>
    </row>
    <row r="298" spans="1:7" x14ac:dyDescent="0.25">
      <c r="A298" s="102"/>
      <c r="B298" s="200"/>
      <c r="C298" s="201"/>
      <c r="D298" s="202"/>
      <c r="E298" s="202"/>
      <c r="F298" s="203"/>
      <c r="G298" s="204"/>
    </row>
    <row r="299" spans="1:7" x14ac:dyDescent="0.25">
      <c r="A299" s="102"/>
      <c r="B299" s="200"/>
      <c r="C299" s="201"/>
      <c r="D299" s="202"/>
      <c r="E299" s="202"/>
      <c r="F299" s="203"/>
      <c r="G299" s="204"/>
    </row>
    <row r="300" spans="1:7" x14ac:dyDescent="0.25">
      <c r="A300" s="102"/>
      <c r="B300" s="200"/>
      <c r="C300" s="201"/>
      <c r="D300" s="202"/>
      <c r="E300" s="202"/>
      <c r="F300" s="203"/>
      <c r="G300" s="204"/>
    </row>
    <row r="301" spans="1:7" x14ac:dyDescent="0.25">
      <c r="A301" s="102"/>
      <c r="B301" s="200"/>
      <c r="C301" s="201"/>
      <c r="D301" s="202"/>
      <c r="E301" s="202"/>
      <c r="F301" s="203"/>
      <c r="G301" s="204"/>
    </row>
    <row r="302" spans="1:7" x14ac:dyDescent="0.25">
      <c r="A302" s="102"/>
      <c r="B302" s="200"/>
      <c r="C302" s="201"/>
      <c r="D302" s="202"/>
      <c r="E302" s="202"/>
      <c r="F302" s="203"/>
      <c r="G302" s="204"/>
    </row>
    <row r="303" spans="1:7" x14ac:dyDescent="0.25">
      <c r="A303" s="102"/>
      <c r="B303" s="200"/>
      <c r="C303" s="201"/>
      <c r="D303" s="202"/>
      <c r="E303" s="202"/>
      <c r="F303" s="203"/>
      <c r="G303" s="204"/>
    </row>
    <row r="304" spans="1:7" x14ac:dyDescent="0.25">
      <c r="A304" s="102"/>
      <c r="B304" s="200"/>
      <c r="C304" s="201"/>
      <c r="D304" s="202"/>
      <c r="E304" s="202"/>
      <c r="F304" s="203"/>
      <c r="G304" s="204"/>
    </row>
    <row r="305" spans="1:7" x14ac:dyDescent="0.25">
      <c r="A305" s="102"/>
      <c r="B305" s="200"/>
      <c r="C305" s="201"/>
      <c r="D305" s="202"/>
      <c r="E305" s="202"/>
      <c r="F305" s="203"/>
      <c r="G305" s="204"/>
    </row>
    <row r="306" spans="1:7" x14ac:dyDescent="0.25">
      <c r="A306" s="102"/>
      <c r="B306" s="200"/>
      <c r="C306" s="201"/>
      <c r="D306" s="202"/>
      <c r="E306" s="202"/>
      <c r="F306" s="203"/>
      <c r="G306" s="204"/>
    </row>
    <row r="307" spans="1:7" x14ac:dyDescent="0.25">
      <c r="A307" s="102"/>
      <c r="B307" s="200"/>
      <c r="C307" s="201"/>
      <c r="D307" s="202"/>
      <c r="E307" s="202"/>
      <c r="F307" s="203"/>
      <c r="G307" s="204"/>
    </row>
    <row r="308" spans="1:7" x14ac:dyDescent="0.25">
      <c r="A308" s="102"/>
      <c r="B308" s="200"/>
      <c r="C308" s="201"/>
      <c r="D308" s="202"/>
      <c r="E308" s="202"/>
      <c r="F308" s="203"/>
      <c r="G308" s="204"/>
    </row>
    <row r="309" spans="1:7" x14ac:dyDescent="0.25">
      <c r="A309" s="102"/>
      <c r="B309" s="200"/>
      <c r="C309" s="201"/>
      <c r="D309" s="202"/>
      <c r="E309" s="202"/>
      <c r="F309" s="203"/>
      <c r="G309" s="204"/>
    </row>
    <row r="310" spans="1:7" x14ac:dyDescent="0.25">
      <c r="A310" s="102"/>
      <c r="B310" s="200"/>
      <c r="C310" s="201"/>
      <c r="D310" s="202"/>
      <c r="E310" s="202"/>
      <c r="F310" s="203"/>
      <c r="G310" s="204"/>
    </row>
    <row r="311" spans="1:7" x14ac:dyDescent="0.25">
      <c r="A311" s="102"/>
      <c r="B311" s="200"/>
      <c r="C311" s="201"/>
      <c r="D311" s="202"/>
      <c r="E311" s="202"/>
      <c r="F311" s="203"/>
      <c r="G311" s="204"/>
    </row>
    <row r="312" spans="1:7" x14ac:dyDescent="0.25">
      <c r="A312" s="102"/>
      <c r="B312" s="200"/>
      <c r="C312" s="201"/>
      <c r="D312" s="202"/>
      <c r="E312" s="202"/>
      <c r="F312" s="203"/>
      <c r="G312" s="204"/>
    </row>
    <row r="313" spans="1:7" x14ac:dyDescent="0.25">
      <c r="A313" s="102"/>
      <c r="B313" s="200"/>
      <c r="C313" s="201"/>
      <c r="D313" s="202"/>
      <c r="E313" s="202"/>
      <c r="F313" s="203"/>
      <c r="G313" s="204"/>
    </row>
    <row r="314" spans="1:7" x14ac:dyDescent="0.25">
      <c r="A314" s="102"/>
      <c r="B314" s="200"/>
      <c r="C314" s="201"/>
      <c r="D314" s="202"/>
      <c r="E314" s="202"/>
      <c r="F314" s="203"/>
      <c r="G314" s="204"/>
    </row>
    <row r="315" spans="1:7" x14ac:dyDescent="0.25">
      <c r="A315" s="102"/>
      <c r="B315" s="200"/>
      <c r="C315" s="201"/>
      <c r="D315" s="202"/>
      <c r="E315" s="202"/>
      <c r="F315" s="203"/>
      <c r="G315" s="204"/>
    </row>
    <row r="316" spans="1:7" x14ac:dyDescent="0.25">
      <c r="A316" s="102"/>
      <c r="B316" s="200"/>
      <c r="C316" s="201"/>
      <c r="D316" s="202"/>
      <c r="E316" s="202"/>
      <c r="F316" s="203"/>
      <c r="G316" s="204"/>
    </row>
    <row r="317" spans="1:7" x14ac:dyDescent="0.25">
      <c r="A317" s="102"/>
      <c r="B317" s="200"/>
      <c r="C317" s="201"/>
      <c r="D317" s="202"/>
      <c r="E317" s="202"/>
      <c r="F317" s="203"/>
      <c r="G317" s="204"/>
    </row>
    <row r="318" spans="1:7" x14ac:dyDescent="0.25">
      <c r="A318" s="102"/>
      <c r="B318" s="200"/>
      <c r="C318" s="201"/>
      <c r="D318" s="202"/>
      <c r="E318" s="202"/>
      <c r="F318" s="203"/>
      <c r="G318" s="204"/>
    </row>
    <row r="319" spans="1:7" x14ac:dyDescent="0.25">
      <c r="A319" s="102"/>
      <c r="B319" s="200"/>
      <c r="C319" s="201"/>
      <c r="D319" s="202"/>
      <c r="E319" s="202"/>
      <c r="F319" s="203"/>
      <c r="G319" s="204"/>
    </row>
    <row r="320" spans="1:7" x14ac:dyDescent="0.25">
      <c r="A320" s="102"/>
      <c r="B320" s="200"/>
      <c r="C320" s="201"/>
      <c r="D320" s="202"/>
      <c r="E320" s="202"/>
      <c r="F320" s="203"/>
      <c r="G320" s="204"/>
    </row>
    <row r="321" spans="1:7" x14ac:dyDescent="0.25">
      <c r="A321" s="102"/>
      <c r="B321" s="200"/>
      <c r="C321" s="201"/>
      <c r="D321" s="202"/>
      <c r="E321" s="202"/>
      <c r="F321" s="203"/>
      <c r="G321" s="204"/>
    </row>
    <row r="322" spans="1:7" x14ac:dyDescent="0.25">
      <c r="A322" s="102"/>
      <c r="B322" s="200"/>
      <c r="C322" s="201"/>
      <c r="D322" s="202"/>
      <c r="E322" s="202"/>
      <c r="F322" s="203"/>
      <c r="G322" s="204"/>
    </row>
    <row r="323" spans="1:7" x14ac:dyDescent="0.25">
      <c r="A323" s="102"/>
      <c r="B323" s="200"/>
      <c r="C323" s="201"/>
      <c r="D323" s="202"/>
      <c r="E323" s="202"/>
      <c r="F323" s="203"/>
      <c r="G323" s="204"/>
    </row>
    <row r="324" spans="1:7" x14ac:dyDescent="0.25">
      <c r="A324" s="102"/>
      <c r="B324" s="200"/>
      <c r="C324" s="201"/>
      <c r="D324" s="202"/>
      <c r="E324" s="202"/>
      <c r="F324" s="203"/>
      <c r="G324" s="204"/>
    </row>
    <row r="325" spans="1:7" x14ac:dyDescent="0.25">
      <c r="A325" s="102"/>
      <c r="B325" s="200"/>
      <c r="C325" s="201"/>
      <c r="D325" s="202"/>
      <c r="E325" s="202"/>
      <c r="F325" s="203"/>
      <c r="G325" s="204"/>
    </row>
    <row r="326" spans="1:7" x14ac:dyDescent="0.25">
      <c r="A326" s="102"/>
      <c r="B326" s="200"/>
      <c r="C326" s="201"/>
      <c r="D326" s="202"/>
      <c r="E326" s="202"/>
      <c r="F326" s="203"/>
      <c r="G326" s="204"/>
    </row>
    <row r="327" spans="1:7" x14ac:dyDescent="0.25">
      <c r="A327" s="102"/>
      <c r="B327" s="200"/>
      <c r="C327" s="201"/>
      <c r="D327" s="202"/>
      <c r="E327" s="202"/>
      <c r="F327" s="203"/>
      <c r="G327" s="204"/>
    </row>
    <row r="328" spans="1:7" x14ac:dyDescent="0.25">
      <c r="A328" s="102"/>
      <c r="B328" s="200"/>
      <c r="C328" s="201"/>
      <c r="D328" s="202"/>
      <c r="E328" s="202"/>
      <c r="F328" s="203"/>
      <c r="G328" s="204"/>
    </row>
    <row r="329" spans="1:7" x14ac:dyDescent="0.25">
      <c r="A329" s="102"/>
      <c r="B329" s="200"/>
      <c r="C329" s="201"/>
      <c r="D329" s="202"/>
      <c r="E329" s="202"/>
      <c r="F329" s="203"/>
      <c r="G329" s="204"/>
    </row>
    <row r="330" spans="1:7" x14ac:dyDescent="0.25">
      <c r="A330" s="102"/>
      <c r="B330" s="200"/>
      <c r="C330" s="201"/>
      <c r="D330" s="202"/>
      <c r="E330" s="202"/>
      <c r="F330" s="203"/>
      <c r="G330" s="204"/>
    </row>
    <row r="331" spans="1:7" x14ac:dyDescent="0.25">
      <c r="A331" s="102"/>
      <c r="B331" s="200"/>
      <c r="C331" s="201"/>
      <c r="D331" s="202"/>
      <c r="E331" s="202"/>
      <c r="F331" s="203"/>
      <c r="G331" s="204"/>
    </row>
    <row r="332" spans="1:7" x14ac:dyDescent="0.25">
      <c r="A332" s="102"/>
      <c r="B332" s="200"/>
      <c r="C332" s="201"/>
      <c r="D332" s="202"/>
      <c r="E332" s="202"/>
      <c r="F332" s="203"/>
      <c r="G332" s="204"/>
    </row>
    <row r="333" spans="1:7" x14ac:dyDescent="0.25">
      <c r="A333" s="102"/>
      <c r="B333" s="200"/>
      <c r="C333" s="201"/>
      <c r="D333" s="202"/>
      <c r="E333" s="202"/>
      <c r="F333" s="203"/>
      <c r="G333" s="204"/>
    </row>
    <row r="334" spans="1:7" x14ac:dyDescent="0.25">
      <c r="A334" s="102"/>
      <c r="B334" s="200"/>
      <c r="C334" s="201"/>
      <c r="D334" s="202"/>
      <c r="E334" s="202"/>
      <c r="F334" s="203"/>
      <c r="G334" s="204"/>
    </row>
    <row r="335" spans="1:7" x14ac:dyDescent="0.25">
      <c r="A335" s="102"/>
      <c r="B335" s="200"/>
      <c r="C335" s="201"/>
      <c r="D335" s="202"/>
      <c r="E335" s="202"/>
      <c r="F335" s="203"/>
      <c r="G335" s="204"/>
    </row>
    <row r="336" spans="1:7" x14ac:dyDescent="0.25">
      <c r="A336" s="102"/>
      <c r="B336" s="200"/>
      <c r="C336" s="201"/>
      <c r="D336" s="202"/>
      <c r="E336" s="202"/>
      <c r="F336" s="203"/>
      <c r="G336" s="204"/>
    </row>
    <row r="337" spans="1:7" x14ac:dyDescent="0.25">
      <c r="A337" s="102"/>
      <c r="B337" s="200"/>
      <c r="C337" s="201"/>
      <c r="D337" s="202"/>
      <c r="E337" s="202"/>
      <c r="F337" s="203"/>
      <c r="G337" s="204"/>
    </row>
    <row r="338" spans="1:7" x14ac:dyDescent="0.25">
      <c r="A338" s="102"/>
      <c r="B338" s="200"/>
      <c r="C338" s="201"/>
      <c r="D338" s="202"/>
      <c r="E338" s="202"/>
      <c r="F338" s="203"/>
      <c r="G338" s="204"/>
    </row>
    <row r="339" spans="1:7" x14ac:dyDescent="0.25">
      <c r="A339" s="102"/>
      <c r="B339" s="200"/>
      <c r="C339" s="201"/>
      <c r="D339" s="202"/>
      <c r="E339" s="202"/>
      <c r="F339" s="203"/>
      <c r="G339" s="204"/>
    </row>
    <row r="340" spans="1:7" x14ac:dyDescent="0.25">
      <c r="A340" s="102"/>
      <c r="B340" s="200"/>
      <c r="C340" s="201"/>
      <c r="D340" s="202"/>
      <c r="E340" s="202"/>
      <c r="F340" s="203"/>
      <c r="G340" s="204"/>
    </row>
    <row r="341" spans="1:7" x14ac:dyDescent="0.25">
      <c r="A341" s="102"/>
      <c r="B341" s="200"/>
      <c r="C341" s="201"/>
      <c r="D341" s="202"/>
      <c r="E341" s="202"/>
      <c r="F341" s="203"/>
      <c r="G341" s="204"/>
    </row>
    <row r="342" spans="1:7" x14ac:dyDescent="0.25">
      <c r="A342" s="102"/>
      <c r="B342" s="200"/>
      <c r="C342" s="201"/>
      <c r="D342" s="202"/>
      <c r="E342" s="202"/>
      <c r="F342" s="203"/>
      <c r="G342" s="204"/>
    </row>
    <row r="343" spans="1:7" x14ac:dyDescent="0.25">
      <c r="A343" s="102"/>
      <c r="B343" s="200"/>
      <c r="C343" s="201"/>
      <c r="D343" s="202"/>
      <c r="E343" s="202"/>
      <c r="F343" s="203"/>
      <c r="G343" s="204"/>
    </row>
    <row r="344" spans="1:7" x14ac:dyDescent="0.25">
      <c r="A344" s="102"/>
      <c r="B344" s="200"/>
      <c r="C344" s="201"/>
      <c r="D344" s="202"/>
      <c r="E344" s="202"/>
      <c r="F344" s="203"/>
      <c r="G344" s="204"/>
    </row>
    <row r="345" spans="1:7" x14ac:dyDescent="0.25">
      <c r="A345" s="102"/>
      <c r="B345" s="200"/>
      <c r="C345" s="201"/>
      <c r="D345" s="202"/>
      <c r="E345" s="202"/>
      <c r="F345" s="203"/>
      <c r="G345" s="204"/>
    </row>
    <row r="346" spans="1:7" x14ac:dyDescent="0.25">
      <c r="A346" s="102"/>
      <c r="B346" s="200"/>
      <c r="C346" s="201"/>
      <c r="D346" s="202"/>
      <c r="E346" s="202"/>
      <c r="F346" s="203"/>
      <c r="G346" s="204"/>
    </row>
    <row r="347" spans="1:7" x14ac:dyDescent="0.25">
      <c r="A347" s="102"/>
      <c r="B347" s="200"/>
      <c r="C347" s="201"/>
      <c r="D347" s="202"/>
      <c r="E347" s="202"/>
      <c r="F347" s="203"/>
      <c r="G347" s="204"/>
    </row>
    <row r="348" spans="1:7" x14ac:dyDescent="0.25">
      <c r="A348" s="102"/>
      <c r="B348" s="200"/>
      <c r="C348" s="201"/>
      <c r="D348" s="202"/>
      <c r="E348" s="202"/>
      <c r="F348" s="203"/>
      <c r="G348" s="204"/>
    </row>
    <row r="349" spans="1:7" x14ac:dyDescent="0.25">
      <c r="A349" s="102"/>
      <c r="B349" s="200"/>
      <c r="C349" s="201"/>
      <c r="D349" s="202"/>
      <c r="E349" s="202"/>
      <c r="F349" s="203"/>
      <c r="G349" s="204"/>
    </row>
    <row r="350" spans="1:7" x14ac:dyDescent="0.25">
      <c r="A350" s="102"/>
      <c r="B350" s="200"/>
      <c r="C350" s="201"/>
      <c r="D350" s="202"/>
      <c r="E350" s="202"/>
      <c r="F350" s="203"/>
      <c r="G350" s="204"/>
    </row>
    <row r="351" spans="1:7" x14ac:dyDescent="0.25">
      <c r="A351" s="102"/>
      <c r="B351" s="200"/>
      <c r="C351" s="201"/>
      <c r="D351" s="202"/>
      <c r="E351" s="202"/>
      <c r="F351" s="203"/>
      <c r="G351" s="204"/>
    </row>
    <row r="352" spans="1:7" x14ac:dyDescent="0.25">
      <c r="A352" s="102"/>
      <c r="B352" s="200"/>
      <c r="C352" s="201"/>
      <c r="D352" s="202"/>
      <c r="E352" s="202"/>
      <c r="F352" s="203"/>
      <c r="G352" s="204"/>
    </row>
    <row r="353" spans="1:7" x14ac:dyDescent="0.25">
      <c r="A353" s="102"/>
      <c r="B353" s="200"/>
      <c r="C353" s="201"/>
      <c r="D353" s="202"/>
      <c r="E353" s="202"/>
      <c r="F353" s="203"/>
      <c r="G353" s="204"/>
    </row>
    <row r="354" spans="1:7" x14ac:dyDescent="0.25">
      <c r="A354" s="102"/>
      <c r="B354" s="200"/>
      <c r="C354" s="201"/>
      <c r="D354" s="202"/>
      <c r="E354" s="202"/>
      <c r="F354" s="203"/>
      <c r="G354" s="204"/>
    </row>
    <row r="355" spans="1:7" x14ac:dyDescent="0.25">
      <c r="A355" s="102"/>
      <c r="B355" s="200"/>
      <c r="C355" s="201"/>
      <c r="D355" s="202"/>
      <c r="E355" s="202"/>
      <c r="F355" s="203"/>
      <c r="G355" s="204"/>
    </row>
    <row r="356" spans="1:7" x14ac:dyDescent="0.25">
      <c r="A356" s="102"/>
      <c r="B356" s="200"/>
      <c r="C356" s="201"/>
      <c r="D356" s="202"/>
      <c r="E356" s="202"/>
      <c r="F356" s="203"/>
      <c r="G356" s="204"/>
    </row>
    <row r="357" spans="1:7" x14ac:dyDescent="0.25">
      <c r="A357" s="102"/>
      <c r="B357" s="200"/>
      <c r="C357" s="201"/>
      <c r="D357" s="202"/>
      <c r="E357" s="202"/>
      <c r="F357" s="203"/>
      <c r="G357" s="204"/>
    </row>
    <row r="358" spans="1:7" x14ac:dyDescent="0.25">
      <c r="A358" s="102"/>
      <c r="B358" s="200"/>
      <c r="C358" s="201"/>
      <c r="D358" s="202"/>
      <c r="E358" s="202"/>
      <c r="F358" s="203"/>
      <c r="G358" s="204"/>
    </row>
    <row r="359" spans="1:7" x14ac:dyDescent="0.25">
      <c r="A359" s="102"/>
      <c r="B359" s="200"/>
      <c r="C359" s="201"/>
      <c r="D359" s="202"/>
      <c r="E359" s="202"/>
      <c r="F359" s="203"/>
      <c r="G359" s="204"/>
    </row>
    <row r="360" spans="1:7" x14ac:dyDescent="0.25">
      <c r="A360" s="102"/>
      <c r="B360" s="200"/>
      <c r="C360" s="201"/>
      <c r="D360" s="202"/>
      <c r="E360" s="202"/>
      <c r="F360" s="203"/>
      <c r="G360" s="204"/>
    </row>
    <row r="361" spans="1:7" x14ac:dyDescent="0.25">
      <c r="A361" s="102"/>
      <c r="B361" s="200"/>
      <c r="C361" s="201"/>
      <c r="D361" s="202"/>
      <c r="E361" s="202"/>
      <c r="F361" s="203"/>
      <c r="G361" s="204"/>
    </row>
    <row r="362" spans="1:7" x14ac:dyDescent="0.25">
      <c r="A362" s="102"/>
      <c r="B362" s="200"/>
      <c r="C362" s="201"/>
      <c r="D362" s="202"/>
      <c r="E362" s="202"/>
      <c r="F362" s="203"/>
      <c r="G362" s="204"/>
    </row>
    <row r="363" spans="1:7" x14ac:dyDescent="0.25">
      <c r="A363" s="102"/>
      <c r="B363" s="200"/>
      <c r="C363" s="201"/>
      <c r="D363" s="202"/>
      <c r="E363" s="202"/>
      <c r="F363" s="203"/>
      <c r="G363" s="204"/>
    </row>
    <row r="364" spans="1:7" x14ac:dyDescent="0.25">
      <c r="A364" s="102"/>
      <c r="B364" s="200"/>
      <c r="C364" s="201"/>
      <c r="D364" s="202"/>
      <c r="E364" s="202"/>
      <c r="F364" s="203"/>
      <c r="G364" s="204"/>
    </row>
    <row r="365" spans="1:7" x14ac:dyDescent="0.25">
      <c r="A365" s="102"/>
      <c r="B365" s="200"/>
      <c r="C365" s="201"/>
      <c r="D365" s="202"/>
      <c r="E365" s="202"/>
      <c r="F365" s="203"/>
      <c r="G365" s="204"/>
    </row>
    <row r="366" spans="1:7" x14ac:dyDescent="0.25">
      <c r="A366" s="102"/>
      <c r="B366" s="200"/>
      <c r="C366" s="201"/>
      <c r="D366" s="202"/>
      <c r="E366" s="202"/>
      <c r="F366" s="203"/>
      <c r="G366" s="204"/>
    </row>
    <row r="367" spans="1:7" x14ac:dyDescent="0.25">
      <c r="A367" s="102"/>
      <c r="B367" s="200"/>
      <c r="C367" s="201"/>
      <c r="D367" s="202"/>
      <c r="E367" s="202"/>
      <c r="F367" s="203"/>
      <c r="G367" s="204"/>
    </row>
    <row r="368" spans="1:7" x14ac:dyDescent="0.25">
      <c r="A368" s="102"/>
      <c r="B368" s="200"/>
      <c r="C368" s="201"/>
      <c r="D368" s="202"/>
      <c r="E368" s="202"/>
      <c r="F368" s="203"/>
      <c r="G368" s="204"/>
    </row>
    <row r="369" spans="1:7" x14ac:dyDescent="0.25">
      <c r="A369" s="102"/>
      <c r="B369" s="200"/>
      <c r="C369" s="201"/>
      <c r="D369" s="202"/>
      <c r="E369" s="202"/>
      <c r="F369" s="203"/>
      <c r="G369" s="204"/>
    </row>
    <row r="370" spans="1:7" x14ac:dyDescent="0.25">
      <c r="A370" s="102"/>
      <c r="B370" s="200"/>
      <c r="C370" s="201"/>
      <c r="D370" s="202"/>
      <c r="E370" s="202"/>
      <c r="F370" s="203"/>
      <c r="G370" s="204"/>
    </row>
    <row r="371" spans="1:7" x14ac:dyDescent="0.25">
      <c r="A371" s="102"/>
      <c r="B371" s="200"/>
      <c r="C371" s="201"/>
      <c r="D371" s="202"/>
      <c r="E371" s="202"/>
      <c r="F371" s="203"/>
      <c r="G371" s="204"/>
    </row>
    <row r="372" spans="1:7" x14ac:dyDescent="0.25">
      <c r="A372" s="102"/>
      <c r="B372" s="200"/>
      <c r="C372" s="201"/>
      <c r="D372" s="202"/>
      <c r="E372" s="202"/>
      <c r="F372" s="203"/>
      <c r="G372" s="204"/>
    </row>
    <row r="373" spans="1:7" x14ac:dyDescent="0.25">
      <c r="A373" s="102"/>
      <c r="B373" s="200"/>
      <c r="C373" s="201"/>
      <c r="D373" s="202"/>
      <c r="E373" s="202"/>
      <c r="F373" s="203"/>
      <c r="G373" s="204"/>
    </row>
    <row r="374" spans="1:7" x14ac:dyDescent="0.25">
      <c r="A374" s="102"/>
      <c r="B374" s="200"/>
      <c r="C374" s="201"/>
      <c r="D374" s="202"/>
      <c r="E374" s="202"/>
      <c r="F374" s="203"/>
      <c r="G374" s="204"/>
    </row>
    <row r="375" spans="1:7" x14ac:dyDescent="0.25">
      <c r="A375" s="102"/>
      <c r="B375" s="200"/>
      <c r="C375" s="201"/>
      <c r="D375" s="202"/>
      <c r="E375" s="202"/>
      <c r="F375" s="203"/>
      <c r="G375" s="204"/>
    </row>
    <row r="376" spans="1:7" x14ac:dyDescent="0.25">
      <c r="A376" s="102"/>
      <c r="B376" s="200"/>
      <c r="C376" s="201"/>
      <c r="D376" s="202"/>
      <c r="E376" s="202"/>
      <c r="F376" s="203"/>
      <c r="G376" s="204"/>
    </row>
    <row r="377" spans="1:7" x14ac:dyDescent="0.25">
      <c r="A377" s="102"/>
      <c r="B377" s="200"/>
      <c r="C377" s="201"/>
      <c r="D377" s="202"/>
      <c r="E377" s="202"/>
      <c r="F377" s="203"/>
      <c r="G377" s="204"/>
    </row>
    <row r="378" spans="1:7" x14ac:dyDescent="0.25">
      <c r="A378" s="102"/>
      <c r="B378" s="200"/>
      <c r="C378" s="201"/>
      <c r="D378" s="202"/>
      <c r="E378" s="202"/>
      <c r="F378" s="203"/>
      <c r="G378" s="204"/>
    </row>
    <row r="379" spans="1:7" x14ac:dyDescent="0.25">
      <c r="A379" s="102"/>
      <c r="B379" s="200"/>
      <c r="C379" s="201"/>
      <c r="D379" s="202"/>
      <c r="E379" s="202"/>
      <c r="F379" s="203"/>
      <c r="G379" s="204"/>
    </row>
    <row r="380" spans="1:7" x14ac:dyDescent="0.25">
      <c r="A380" s="102"/>
      <c r="B380" s="200"/>
      <c r="C380" s="201"/>
      <c r="D380" s="202"/>
      <c r="E380" s="202"/>
      <c r="F380" s="203"/>
      <c r="G380" s="204"/>
    </row>
    <row r="381" spans="1:7" x14ac:dyDescent="0.25">
      <c r="A381" s="102"/>
      <c r="B381" s="200"/>
      <c r="C381" s="201"/>
      <c r="D381" s="202"/>
      <c r="E381" s="202"/>
      <c r="F381" s="203"/>
      <c r="G381" s="204"/>
    </row>
    <row r="382" spans="1:7" x14ac:dyDescent="0.25">
      <c r="A382" s="102"/>
      <c r="B382" s="200"/>
      <c r="C382" s="201"/>
      <c r="D382" s="202"/>
      <c r="E382" s="202"/>
      <c r="F382" s="203"/>
      <c r="G382" s="204"/>
    </row>
    <row r="383" spans="1:7" x14ac:dyDescent="0.25">
      <c r="A383" s="102"/>
      <c r="B383" s="200"/>
      <c r="C383" s="201"/>
      <c r="D383" s="202"/>
      <c r="E383" s="202"/>
      <c r="F383" s="203"/>
      <c r="G383" s="204"/>
    </row>
    <row r="384" spans="1:7" x14ac:dyDescent="0.25">
      <c r="A384" s="102"/>
      <c r="B384" s="200"/>
      <c r="C384" s="201"/>
      <c r="D384" s="202"/>
      <c r="E384" s="202"/>
      <c r="F384" s="203"/>
      <c r="G384" s="204"/>
    </row>
    <row r="385" spans="1:7" x14ac:dyDescent="0.25">
      <c r="A385" s="102"/>
      <c r="B385" s="200"/>
      <c r="C385" s="201"/>
      <c r="D385" s="202"/>
      <c r="E385" s="202"/>
      <c r="F385" s="203"/>
      <c r="G385" s="204"/>
    </row>
    <row r="386" spans="1:7" x14ac:dyDescent="0.25">
      <c r="A386" s="102"/>
      <c r="B386" s="200"/>
      <c r="C386" s="201"/>
      <c r="D386" s="202"/>
      <c r="E386" s="202"/>
      <c r="F386" s="203"/>
      <c r="G386" s="204"/>
    </row>
    <row r="387" spans="1:7" x14ac:dyDescent="0.25">
      <c r="A387" s="102"/>
      <c r="B387" s="200"/>
      <c r="C387" s="201"/>
      <c r="D387" s="202"/>
      <c r="E387" s="202"/>
      <c r="F387" s="203"/>
      <c r="G387" s="204"/>
    </row>
    <row r="388" spans="1:7" x14ac:dyDescent="0.25">
      <c r="A388" s="102"/>
      <c r="B388" s="200"/>
      <c r="C388" s="201"/>
      <c r="D388" s="202"/>
      <c r="E388" s="202"/>
      <c r="F388" s="203"/>
      <c r="G388" s="204"/>
    </row>
    <row r="389" spans="1:7" x14ac:dyDescent="0.25">
      <c r="A389" s="102"/>
      <c r="B389" s="200"/>
      <c r="C389" s="201"/>
      <c r="D389" s="202"/>
      <c r="E389" s="202"/>
      <c r="F389" s="203"/>
      <c r="G389" s="204"/>
    </row>
    <row r="390" spans="1:7" x14ac:dyDescent="0.25">
      <c r="A390" s="102"/>
      <c r="B390" s="200"/>
      <c r="C390" s="201"/>
      <c r="D390" s="202"/>
      <c r="E390" s="202"/>
      <c r="F390" s="203"/>
      <c r="G390" s="204"/>
    </row>
    <row r="391" spans="1:7" x14ac:dyDescent="0.25">
      <c r="A391" s="102"/>
      <c r="B391" s="200"/>
      <c r="C391" s="201"/>
      <c r="D391" s="202"/>
      <c r="E391" s="202"/>
      <c r="F391" s="203"/>
      <c r="G391" s="204"/>
    </row>
    <row r="392" spans="1:7" x14ac:dyDescent="0.25">
      <c r="A392" s="102"/>
      <c r="B392" s="200"/>
      <c r="C392" s="201"/>
      <c r="D392" s="202"/>
      <c r="E392" s="202"/>
      <c r="F392" s="203"/>
      <c r="G392" s="204"/>
    </row>
    <row r="393" spans="1:7" x14ac:dyDescent="0.25">
      <c r="A393" s="102"/>
      <c r="B393" s="200"/>
      <c r="C393" s="201"/>
      <c r="D393" s="202"/>
      <c r="E393" s="202"/>
      <c r="F393" s="203"/>
      <c r="G393" s="204"/>
    </row>
    <row r="394" spans="1:7" x14ac:dyDescent="0.25">
      <c r="A394" s="102"/>
      <c r="B394" s="200"/>
      <c r="C394" s="201"/>
      <c r="D394" s="202"/>
      <c r="E394" s="202"/>
      <c r="F394" s="203"/>
      <c r="G394" s="204"/>
    </row>
    <row r="395" spans="1:7" x14ac:dyDescent="0.25">
      <c r="A395" s="102"/>
      <c r="B395" s="200"/>
      <c r="C395" s="201"/>
      <c r="D395" s="202"/>
      <c r="E395" s="202"/>
      <c r="F395" s="203"/>
      <c r="G395" s="204"/>
    </row>
    <row r="396" spans="1:7" x14ac:dyDescent="0.25">
      <c r="A396" s="102"/>
      <c r="B396" s="200"/>
      <c r="C396" s="201"/>
      <c r="D396" s="202"/>
      <c r="E396" s="202"/>
      <c r="F396" s="203"/>
      <c r="G396" s="204"/>
    </row>
    <row r="397" spans="1:7" x14ac:dyDescent="0.25">
      <c r="A397" s="102"/>
      <c r="B397" s="200"/>
      <c r="C397" s="201"/>
      <c r="D397" s="202"/>
      <c r="E397" s="202"/>
      <c r="F397" s="203"/>
      <c r="G397" s="204"/>
    </row>
    <row r="398" spans="1:7" x14ac:dyDescent="0.25">
      <c r="A398" s="102"/>
      <c r="B398" s="200"/>
      <c r="C398" s="201"/>
      <c r="D398" s="202"/>
      <c r="E398" s="202"/>
      <c r="F398" s="203"/>
      <c r="G398" s="204"/>
    </row>
    <row r="399" spans="1:7" x14ac:dyDescent="0.25">
      <c r="A399" s="102"/>
      <c r="B399" s="200"/>
      <c r="C399" s="201"/>
      <c r="D399" s="202"/>
      <c r="E399" s="202"/>
      <c r="F399" s="203"/>
      <c r="G399" s="204"/>
    </row>
    <row r="400" spans="1:7" x14ac:dyDescent="0.25">
      <c r="A400" s="102"/>
      <c r="B400" s="200"/>
      <c r="C400" s="201"/>
      <c r="D400" s="202"/>
      <c r="E400" s="202"/>
      <c r="F400" s="203"/>
      <c r="G400" s="204"/>
    </row>
    <row r="401" spans="1:7" x14ac:dyDescent="0.25">
      <c r="A401" s="102"/>
      <c r="B401" s="200"/>
      <c r="C401" s="201"/>
      <c r="D401" s="202"/>
      <c r="E401" s="202"/>
      <c r="F401" s="203"/>
      <c r="G401" s="204"/>
    </row>
    <row r="402" spans="1:7" x14ac:dyDescent="0.25">
      <c r="A402" s="102"/>
      <c r="B402" s="200"/>
      <c r="C402" s="201"/>
      <c r="D402" s="202"/>
      <c r="E402" s="202"/>
      <c r="F402" s="203"/>
      <c r="G402" s="204"/>
    </row>
    <row r="403" spans="1:7" x14ac:dyDescent="0.25">
      <c r="A403" s="102"/>
      <c r="B403" s="200"/>
      <c r="C403" s="201"/>
      <c r="D403" s="202"/>
      <c r="E403" s="202"/>
      <c r="F403" s="203"/>
      <c r="G403" s="204"/>
    </row>
    <row r="404" spans="1:7" x14ac:dyDescent="0.25">
      <c r="A404" s="102"/>
      <c r="B404" s="200"/>
      <c r="C404" s="201"/>
      <c r="D404" s="202"/>
      <c r="E404" s="202"/>
      <c r="F404" s="203"/>
      <c r="G404" s="204"/>
    </row>
    <row r="405" spans="1:7" x14ac:dyDescent="0.25">
      <c r="A405" s="102"/>
      <c r="B405" s="200"/>
      <c r="C405" s="201"/>
      <c r="D405" s="202"/>
      <c r="E405" s="202"/>
      <c r="F405" s="203"/>
      <c r="G405" s="204"/>
    </row>
    <row r="406" spans="1:7" x14ac:dyDescent="0.25">
      <c r="A406" s="102"/>
      <c r="B406" s="200"/>
      <c r="C406" s="201"/>
      <c r="D406" s="202"/>
      <c r="E406" s="202"/>
      <c r="F406" s="203"/>
      <c r="G406" s="204"/>
    </row>
    <row r="407" spans="1:7" x14ac:dyDescent="0.25">
      <c r="A407" s="102"/>
      <c r="B407" s="200"/>
      <c r="C407" s="201"/>
      <c r="D407" s="202"/>
      <c r="E407" s="202"/>
      <c r="F407" s="203"/>
      <c r="G407" s="204"/>
    </row>
    <row r="408" spans="1:7" x14ac:dyDescent="0.25">
      <c r="A408" s="102"/>
      <c r="B408" s="200"/>
      <c r="C408" s="201"/>
      <c r="D408" s="202"/>
      <c r="E408" s="202"/>
      <c r="F408" s="203"/>
      <c r="G408" s="204"/>
    </row>
    <row r="409" spans="1:7" x14ac:dyDescent="0.25">
      <c r="A409" s="102"/>
      <c r="B409" s="200"/>
      <c r="C409" s="201"/>
      <c r="D409" s="202"/>
      <c r="E409" s="202"/>
      <c r="F409" s="203"/>
      <c r="G409" s="204"/>
    </row>
    <row r="410" spans="1:7" x14ac:dyDescent="0.25">
      <c r="A410" s="102"/>
      <c r="B410" s="200"/>
      <c r="C410" s="201"/>
      <c r="D410" s="202"/>
      <c r="E410" s="202"/>
      <c r="F410" s="203"/>
      <c r="G410" s="204"/>
    </row>
    <row r="411" spans="1:7" x14ac:dyDescent="0.25">
      <c r="A411" s="102"/>
      <c r="B411" s="200"/>
      <c r="C411" s="201"/>
      <c r="D411" s="202"/>
      <c r="E411" s="202"/>
      <c r="F411" s="203"/>
      <c r="G411" s="204"/>
    </row>
    <row r="412" spans="1:7" x14ac:dyDescent="0.25">
      <c r="A412" s="102"/>
      <c r="B412" s="200"/>
      <c r="C412" s="201"/>
      <c r="D412" s="202"/>
      <c r="E412" s="202"/>
      <c r="F412" s="203"/>
      <c r="G412" s="204"/>
    </row>
    <row r="413" spans="1:7" x14ac:dyDescent="0.25">
      <c r="A413" s="102"/>
      <c r="B413" s="200"/>
      <c r="C413" s="201"/>
      <c r="D413" s="202"/>
      <c r="E413" s="202"/>
      <c r="F413" s="203"/>
      <c r="G413" s="204"/>
    </row>
    <row r="414" spans="1:7" x14ac:dyDescent="0.25">
      <c r="A414" s="102"/>
      <c r="B414" s="200"/>
      <c r="C414" s="201"/>
      <c r="D414" s="202"/>
      <c r="E414" s="202"/>
      <c r="F414" s="203"/>
      <c r="G414" s="204"/>
    </row>
    <row r="415" spans="1:7" x14ac:dyDescent="0.25">
      <c r="A415" s="102"/>
      <c r="B415" s="200"/>
      <c r="C415" s="201"/>
      <c r="D415" s="202"/>
      <c r="E415" s="202"/>
      <c r="F415" s="203"/>
      <c r="G415" s="204"/>
    </row>
    <row r="416" spans="1:7" x14ac:dyDescent="0.25">
      <c r="A416" s="102"/>
      <c r="B416" s="200"/>
      <c r="C416" s="201"/>
      <c r="D416" s="202"/>
      <c r="E416" s="202"/>
      <c r="F416" s="203"/>
      <c r="G416" s="204"/>
    </row>
    <row r="417" spans="1:7" x14ac:dyDescent="0.25">
      <c r="A417" s="102"/>
      <c r="B417" s="200"/>
      <c r="C417" s="201"/>
      <c r="D417" s="202"/>
      <c r="E417" s="202"/>
      <c r="F417" s="203"/>
      <c r="G417" s="204"/>
    </row>
    <row r="418" spans="1:7" x14ac:dyDescent="0.25">
      <c r="A418" s="102"/>
      <c r="B418" s="200"/>
      <c r="C418" s="201"/>
      <c r="D418" s="202"/>
      <c r="E418" s="202"/>
      <c r="F418" s="203"/>
      <c r="G418" s="204"/>
    </row>
    <row r="419" spans="1:7" x14ac:dyDescent="0.25">
      <c r="A419" s="102"/>
      <c r="B419" s="200"/>
      <c r="C419" s="201"/>
      <c r="D419" s="202"/>
      <c r="E419" s="202"/>
      <c r="F419" s="203"/>
      <c r="G419" s="204"/>
    </row>
    <row r="420" spans="1:7" x14ac:dyDescent="0.25">
      <c r="A420" s="102"/>
      <c r="B420" s="200"/>
      <c r="C420" s="201"/>
      <c r="D420" s="202"/>
      <c r="E420" s="202"/>
      <c r="F420" s="203"/>
      <c r="G420" s="204"/>
    </row>
    <row r="421" spans="1:7" x14ac:dyDescent="0.25">
      <c r="A421" s="102"/>
      <c r="B421" s="200"/>
      <c r="C421" s="201"/>
      <c r="D421" s="202"/>
      <c r="E421" s="202"/>
      <c r="F421" s="203"/>
      <c r="G421" s="204"/>
    </row>
    <row r="422" spans="1:7" x14ac:dyDescent="0.25">
      <c r="A422" s="102"/>
      <c r="B422" s="200"/>
      <c r="C422" s="201"/>
      <c r="D422" s="202"/>
      <c r="E422" s="202"/>
      <c r="F422" s="203"/>
      <c r="G422" s="204"/>
    </row>
    <row r="423" spans="1:7" x14ac:dyDescent="0.25">
      <c r="A423" s="102"/>
      <c r="B423" s="200"/>
      <c r="C423" s="201"/>
      <c r="D423" s="202"/>
      <c r="E423" s="202"/>
      <c r="F423" s="203"/>
      <c r="G423" s="204"/>
    </row>
    <row r="424" spans="1:7" x14ac:dyDescent="0.25">
      <c r="A424" s="102"/>
      <c r="B424" s="200"/>
      <c r="C424" s="201"/>
      <c r="D424" s="202"/>
      <c r="E424" s="202"/>
      <c r="F424" s="203"/>
      <c r="G424" s="204"/>
    </row>
    <row r="425" spans="1:7" x14ac:dyDescent="0.25">
      <c r="A425" s="102"/>
      <c r="B425" s="200"/>
      <c r="C425" s="201"/>
      <c r="D425" s="202"/>
      <c r="E425" s="202"/>
      <c r="F425" s="203"/>
      <c r="G425" s="204"/>
    </row>
    <row r="426" spans="1:7" x14ac:dyDescent="0.25">
      <c r="A426" s="102"/>
      <c r="B426" s="200"/>
      <c r="C426" s="201"/>
      <c r="D426" s="202"/>
      <c r="E426" s="202"/>
      <c r="F426" s="203"/>
      <c r="G426" s="204"/>
    </row>
    <row r="427" spans="1:7" x14ac:dyDescent="0.25">
      <c r="A427" s="102"/>
      <c r="B427" s="200"/>
      <c r="C427" s="201"/>
      <c r="D427" s="202"/>
      <c r="E427" s="202"/>
      <c r="F427" s="203"/>
      <c r="G427" s="204"/>
    </row>
    <row r="428" spans="1:7" x14ac:dyDescent="0.25">
      <c r="A428" s="102"/>
      <c r="B428" s="200"/>
      <c r="C428" s="201"/>
      <c r="D428" s="202"/>
      <c r="E428" s="202"/>
      <c r="F428" s="203"/>
      <c r="G428" s="204"/>
    </row>
    <row r="429" spans="1:7" x14ac:dyDescent="0.25">
      <c r="A429" s="102"/>
      <c r="B429" s="200"/>
      <c r="C429" s="201"/>
      <c r="D429" s="202"/>
      <c r="E429" s="202"/>
      <c r="F429" s="203"/>
      <c r="G429" s="204"/>
    </row>
    <row r="430" spans="1:7" x14ac:dyDescent="0.25">
      <c r="A430" s="102"/>
      <c r="B430" s="200"/>
      <c r="C430" s="201"/>
      <c r="D430" s="202"/>
      <c r="E430" s="202"/>
      <c r="F430" s="203"/>
      <c r="G430" s="204"/>
    </row>
    <row r="431" spans="1:7" x14ac:dyDescent="0.25">
      <c r="A431" s="102"/>
      <c r="B431" s="200"/>
      <c r="C431" s="201"/>
      <c r="D431" s="202"/>
      <c r="E431" s="202"/>
      <c r="F431" s="203"/>
      <c r="G431" s="204"/>
    </row>
    <row r="432" spans="1:7" x14ac:dyDescent="0.25">
      <c r="A432" s="102"/>
      <c r="B432" s="200"/>
      <c r="C432" s="201"/>
      <c r="D432" s="202"/>
      <c r="E432" s="202"/>
      <c r="F432" s="203"/>
      <c r="G432" s="204"/>
    </row>
    <row r="433" spans="1:7" x14ac:dyDescent="0.25">
      <c r="A433" s="102"/>
      <c r="B433" s="200"/>
      <c r="C433" s="201"/>
      <c r="D433" s="202"/>
      <c r="E433" s="202"/>
      <c r="F433" s="203"/>
      <c r="G433" s="204"/>
    </row>
    <row r="434" spans="1:7" x14ac:dyDescent="0.25">
      <c r="A434" s="102"/>
      <c r="B434" s="200"/>
      <c r="C434" s="201"/>
      <c r="D434" s="202"/>
      <c r="E434" s="202"/>
      <c r="F434" s="203"/>
      <c r="G434" s="204"/>
    </row>
    <row r="435" spans="1:7" x14ac:dyDescent="0.25">
      <c r="A435" s="102"/>
      <c r="B435" s="200"/>
      <c r="C435" s="201"/>
      <c r="D435" s="202"/>
      <c r="E435" s="202"/>
      <c r="F435" s="203"/>
      <c r="G435" s="204"/>
    </row>
    <row r="436" spans="1:7" x14ac:dyDescent="0.25">
      <c r="A436" s="102"/>
      <c r="B436" s="200"/>
      <c r="C436" s="201"/>
      <c r="D436" s="202"/>
      <c r="E436" s="202"/>
      <c r="F436" s="203"/>
      <c r="G436" s="204"/>
    </row>
    <row r="437" spans="1:7" x14ac:dyDescent="0.25">
      <c r="A437" s="102"/>
      <c r="B437" s="200"/>
      <c r="C437" s="201"/>
      <c r="D437" s="202"/>
      <c r="E437" s="202"/>
      <c r="F437" s="203"/>
      <c r="G437" s="204"/>
    </row>
    <row r="438" spans="1:7" x14ac:dyDescent="0.25">
      <c r="A438" s="102"/>
      <c r="B438" s="200"/>
      <c r="C438" s="201"/>
      <c r="D438" s="202"/>
      <c r="E438" s="202"/>
      <c r="F438" s="203"/>
      <c r="G438" s="204"/>
    </row>
    <row r="439" spans="1:7" x14ac:dyDescent="0.25">
      <c r="A439" s="102"/>
      <c r="B439" s="200"/>
      <c r="C439" s="201"/>
      <c r="D439" s="202"/>
      <c r="E439" s="202"/>
      <c r="F439" s="203"/>
      <c r="G439" s="204"/>
    </row>
    <row r="440" spans="1:7" x14ac:dyDescent="0.25">
      <c r="A440" s="102"/>
      <c r="B440" s="200"/>
      <c r="C440" s="201"/>
      <c r="D440" s="202"/>
      <c r="E440" s="202"/>
      <c r="F440" s="203"/>
      <c r="G440" s="204"/>
    </row>
    <row r="441" spans="1:7" x14ac:dyDescent="0.25">
      <c r="A441" s="102"/>
      <c r="B441" s="200"/>
      <c r="C441" s="201"/>
      <c r="D441" s="202"/>
      <c r="E441" s="202"/>
      <c r="F441" s="203"/>
      <c r="G441" s="204"/>
    </row>
    <row r="442" spans="1:7" x14ac:dyDescent="0.25">
      <c r="A442" s="102"/>
      <c r="B442" s="200"/>
      <c r="C442" s="201"/>
      <c r="D442" s="202"/>
      <c r="E442" s="202"/>
      <c r="F442" s="203"/>
      <c r="G442" s="204"/>
    </row>
    <row r="443" spans="1:7" x14ac:dyDescent="0.25">
      <c r="A443" s="102"/>
      <c r="B443" s="200"/>
      <c r="C443" s="201"/>
      <c r="D443" s="202"/>
      <c r="E443" s="202"/>
      <c r="F443" s="203"/>
      <c r="G443" s="204"/>
    </row>
    <row r="444" spans="1:7" x14ac:dyDescent="0.25">
      <c r="A444" s="102"/>
      <c r="B444" s="200"/>
      <c r="C444" s="201"/>
      <c r="D444" s="202"/>
      <c r="E444" s="202"/>
      <c r="F444" s="203"/>
      <c r="G444" s="204"/>
    </row>
    <row r="445" spans="1:7" x14ac:dyDescent="0.25">
      <c r="A445" s="102"/>
      <c r="B445" s="200"/>
      <c r="C445" s="201"/>
      <c r="D445" s="202"/>
      <c r="E445" s="202"/>
      <c r="F445" s="203"/>
      <c r="G445" s="204"/>
    </row>
    <row r="446" spans="1:7" x14ac:dyDescent="0.25">
      <c r="A446" s="102"/>
      <c r="B446" s="200"/>
      <c r="C446" s="201"/>
      <c r="D446" s="202"/>
      <c r="E446" s="202"/>
      <c r="F446" s="203"/>
      <c r="G446" s="204"/>
    </row>
    <row r="447" spans="1:7" x14ac:dyDescent="0.25">
      <c r="A447" s="102"/>
      <c r="B447" s="200"/>
      <c r="C447" s="201"/>
      <c r="D447" s="202"/>
      <c r="E447" s="202"/>
      <c r="F447" s="203"/>
      <c r="G447" s="204"/>
    </row>
    <row r="448" spans="1:7" x14ac:dyDescent="0.25">
      <c r="A448" s="102"/>
      <c r="B448" s="200"/>
      <c r="C448" s="201"/>
      <c r="D448" s="202"/>
      <c r="E448" s="202"/>
      <c r="F448" s="203"/>
      <c r="G448" s="204"/>
    </row>
    <row r="449" spans="1:7" x14ac:dyDescent="0.25">
      <c r="A449" s="102"/>
      <c r="B449" s="200"/>
      <c r="C449" s="201"/>
      <c r="D449" s="202"/>
      <c r="E449" s="202"/>
      <c r="F449" s="203"/>
      <c r="G449" s="204"/>
    </row>
    <row r="450" spans="1:7" x14ac:dyDescent="0.25">
      <c r="A450" s="102"/>
      <c r="B450" s="200"/>
      <c r="C450" s="201"/>
      <c r="D450" s="202"/>
      <c r="E450" s="202"/>
      <c r="F450" s="203"/>
      <c r="G450" s="204"/>
    </row>
    <row r="451" spans="1:7" x14ac:dyDescent="0.25">
      <c r="A451" s="102"/>
      <c r="B451" s="200"/>
      <c r="C451" s="201"/>
      <c r="D451" s="202"/>
      <c r="E451" s="202"/>
      <c r="F451" s="203"/>
      <c r="G451" s="204"/>
    </row>
    <row r="452" spans="1:7" x14ac:dyDescent="0.25">
      <c r="A452" s="102"/>
      <c r="B452" s="200"/>
      <c r="C452" s="201"/>
      <c r="D452" s="202"/>
      <c r="E452" s="202"/>
      <c r="F452" s="203"/>
      <c r="G452" s="204"/>
    </row>
    <row r="453" spans="1:7" x14ac:dyDescent="0.25">
      <c r="A453" s="102"/>
      <c r="B453" s="200"/>
      <c r="C453" s="201"/>
      <c r="D453" s="202"/>
      <c r="E453" s="202"/>
      <c r="F453" s="203"/>
      <c r="G453" s="204"/>
    </row>
    <row r="454" spans="1:7" x14ac:dyDescent="0.25">
      <c r="A454" s="102"/>
      <c r="B454" s="200"/>
      <c r="C454" s="201"/>
      <c r="D454" s="202"/>
      <c r="E454" s="202"/>
      <c r="F454" s="203"/>
      <c r="G454" s="204"/>
    </row>
    <row r="455" spans="1:7" x14ac:dyDescent="0.25">
      <c r="A455" s="102"/>
      <c r="B455" s="200"/>
      <c r="C455" s="201"/>
      <c r="D455" s="202"/>
      <c r="E455" s="202"/>
      <c r="F455" s="203"/>
      <c r="G455" s="204"/>
    </row>
    <row r="456" spans="1:7" x14ac:dyDescent="0.25">
      <c r="A456" s="102"/>
      <c r="B456" s="200"/>
      <c r="C456" s="201"/>
      <c r="D456" s="202"/>
      <c r="E456" s="202"/>
      <c r="F456" s="203"/>
      <c r="G456" s="204"/>
    </row>
    <row r="457" spans="1:7" x14ac:dyDescent="0.25">
      <c r="A457" s="102"/>
      <c r="B457" s="200"/>
      <c r="C457" s="201"/>
      <c r="D457" s="202"/>
      <c r="E457" s="202"/>
      <c r="F457" s="203"/>
      <c r="G457" s="204"/>
    </row>
    <row r="458" spans="1:7" x14ac:dyDescent="0.25">
      <c r="A458" s="102"/>
      <c r="B458" s="200"/>
      <c r="C458" s="201"/>
      <c r="D458" s="202"/>
      <c r="E458" s="202"/>
      <c r="F458" s="203"/>
      <c r="G458" s="204"/>
    </row>
    <row r="459" spans="1:7" x14ac:dyDescent="0.25">
      <c r="A459" s="102"/>
      <c r="B459" s="200"/>
      <c r="C459" s="201"/>
      <c r="D459" s="202"/>
      <c r="E459" s="202"/>
      <c r="F459" s="203"/>
      <c r="G459" s="204"/>
    </row>
    <row r="460" spans="1:7" x14ac:dyDescent="0.25">
      <c r="A460" s="102"/>
      <c r="B460" s="200"/>
      <c r="C460" s="201"/>
      <c r="D460" s="202"/>
      <c r="E460" s="202"/>
      <c r="F460" s="203"/>
      <c r="G460" s="204"/>
    </row>
    <row r="461" spans="1:7" x14ac:dyDescent="0.25">
      <c r="A461" s="102"/>
      <c r="B461" s="200"/>
      <c r="C461" s="201"/>
      <c r="D461" s="202"/>
      <c r="E461" s="202"/>
      <c r="F461" s="203"/>
      <c r="G461" s="204"/>
    </row>
    <row r="462" spans="1:7" x14ac:dyDescent="0.25">
      <c r="A462" s="102"/>
      <c r="B462" s="200"/>
      <c r="C462" s="201"/>
      <c r="D462" s="202"/>
      <c r="E462" s="202"/>
      <c r="F462" s="203"/>
      <c r="G462" s="204"/>
    </row>
    <row r="463" spans="1:7" x14ac:dyDescent="0.25">
      <c r="A463" s="102"/>
      <c r="B463" s="200"/>
      <c r="C463" s="201"/>
      <c r="D463" s="202"/>
      <c r="E463" s="202"/>
      <c r="F463" s="203"/>
      <c r="G463" s="204"/>
    </row>
    <row r="464" spans="1:7" x14ac:dyDescent="0.25">
      <c r="A464" s="102"/>
      <c r="B464" s="200"/>
      <c r="C464" s="201"/>
      <c r="D464" s="202"/>
      <c r="E464" s="202"/>
      <c r="F464" s="203"/>
      <c r="G464" s="204"/>
    </row>
    <row r="465" spans="1:7" x14ac:dyDescent="0.25">
      <c r="A465" s="102"/>
      <c r="B465" s="200"/>
      <c r="C465" s="201"/>
      <c r="D465" s="202"/>
      <c r="E465" s="202"/>
      <c r="F465" s="203"/>
      <c r="G465" s="204"/>
    </row>
    <row r="466" spans="1:7" x14ac:dyDescent="0.25">
      <c r="A466" s="102"/>
      <c r="B466" s="200"/>
      <c r="C466" s="201"/>
      <c r="D466" s="202"/>
      <c r="E466" s="202"/>
      <c r="F466" s="203"/>
      <c r="G466" s="204"/>
    </row>
    <row r="467" spans="1:7" x14ac:dyDescent="0.25">
      <c r="A467" s="102"/>
      <c r="B467" s="200"/>
      <c r="C467" s="201"/>
      <c r="D467" s="202"/>
      <c r="E467" s="202"/>
      <c r="F467" s="203"/>
      <c r="G467" s="204"/>
    </row>
    <row r="468" spans="1:7" x14ac:dyDescent="0.25">
      <c r="A468" s="102"/>
      <c r="B468" s="200"/>
      <c r="C468" s="201"/>
      <c r="D468" s="202"/>
      <c r="E468" s="202"/>
      <c r="F468" s="203"/>
      <c r="G468" s="204"/>
    </row>
    <row r="469" spans="1:7" x14ac:dyDescent="0.25">
      <c r="A469" s="102"/>
      <c r="B469" s="200"/>
      <c r="C469" s="201"/>
      <c r="D469" s="202"/>
      <c r="E469" s="202"/>
      <c r="F469" s="203"/>
      <c r="G469" s="204"/>
    </row>
    <row r="470" spans="1:7" x14ac:dyDescent="0.25">
      <c r="A470" s="102"/>
      <c r="B470" s="200"/>
      <c r="C470" s="201"/>
      <c r="D470" s="202"/>
      <c r="E470" s="202"/>
      <c r="F470" s="203"/>
      <c r="G470" s="204"/>
    </row>
    <row r="471" spans="1:7" x14ac:dyDescent="0.25">
      <c r="A471" s="102"/>
      <c r="B471" s="200"/>
      <c r="C471" s="201"/>
      <c r="D471" s="202"/>
      <c r="E471" s="202"/>
      <c r="F471" s="203"/>
      <c r="G471" s="204"/>
    </row>
    <row r="472" spans="1:7" x14ac:dyDescent="0.25">
      <c r="A472" s="102"/>
      <c r="B472" s="200"/>
      <c r="C472" s="201"/>
      <c r="D472" s="202"/>
      <c r="E472" s="202"/>
      <c r="F472" s="203"/>
      <c r="G472" s="204"/>
    </row>
    <row r="473" spans="1:7" x14ac:dyDescent="0.25">
      <c r="A473" s="102"/>
      <c r="B473" s="200"/>
      <c r="C473" s="201"/>
      <c r="D473" s="202"/>
      <c r="E473" s="202"/>
      <c r="F473" s="203"/>
      <c r="G473" s="204"/>
    </row>
    <row r="474" spans="1:7" x14ac:dyDescent="0.25">
      <c r="A474" s="102"/>
      <c r="B474" s="200"/>
      <c r="C474" s="201"/>
      <c r="D474" s="202"/>
      <c r="E474" s="202"/>
      <c r="F474" s="203"/>
      <c r="G474" s="204"/>
    </row>
    <row r="475" spans="1:7" x14ac:dyDescent="0.25">
      <c r="A475" s="102"/>
      <c r="B475" s="200"/>
      <c r="C475" s="201"/>
      <c r="D475" s="202"/>
      <c r="E475" s="202"/>
      <c r="F475" s="203"/>
      <c r="G475" s="204"/>
    </row>
    <row r="476" spans="1:7" x14ac:dyDescent="0.25">
      <c r="A476" s="102"/>
      <c r="B476" s="200"/>
      <c r="C476" s="201"/>
      <c r="D476" s="202"/>
      <c r="E476" s="202"/>
      <c r="F476" s="203"/>
      <c r="G476" s="204"/>
    </row>
    <row r="477" spans="1:7" x14ac:dyDescent="0.25">
      <c r="A477" s="102"/>
      <c r="B477" s="200"/>
      <c r="C477" s="201"/>
      <c r="D477" s="202"/>
      <c r="E477" s="202"/>
      <c r="F477" s="203"/>
      <c r="G477" s="204"/>
    </row>
    <row r="478" spans="1:7" x14ac:dyDescent="0.25">
      <c r="A478" s="102"/>
      <c r="B478" s="200"/>
      <c r="C478" s="201"/>
      <c r="D478" s="202"/>
      <c r="E478" s="202"/>
      <c r="F478" s="203"/>
      <c r="G478" s="204"/>
    </row>
    <row r="479" spans="1:7" x14ac:dyDescent="0.25">
      <c r="A479" s="102"/>
      <c r="B479" s="200"/>
      <c r="C479" s="201"/>
      <c r="D479" s="202"/>
      <c r="E479" s="202"/>
      <c r="F479" s="203"/>
      <c r="G479" s="204"/>
    </row>
    <row r="480" spans="1:7" x14ac:dyDescent="0.25">
      <c r="A480" s="102"/>
      <c r="B480" s="200"/>
      <c r="C480" s="201"/>
      <c r="D480" s="202"/>
      <c r="E480" s="202"/>
      <c r="F480" s="203"/>
      <c r="G480" s="204"/>
    </row>
    <row r="481" spans="1:7" x14ac:dyDescent="0.25">
      <c r="A481" s="102"/>
      <c r="B481" s="200"/>
      <c r="C481" s="201"/>
      <c r="D481" s="202"/>
      <c r="E481" s="202"/>
      <c r="F481" s="203"/>
      <c r="G481" s="204"/>
    </row>
    <row r="482" spans="1:7" x14ac:dyDescent="0.25">
      <c r="A482" s="102"/>
      <c r="B482" s="200"/>
      <c r="C482" s="201"/>
      <c r="D482" s="202"/>
      <c r="E482" s="202"/>
      <c r="F482" s="203"/>
      <c r="G482" s="204"/>
    </row>
    <row r="483" spans="1:7" x14ac:dyDescent="0.25">
      <c r="A483" s="102"/>
      <c r="B483" s="200"/>
      <c r="C483" s="201"/>
      <c r="D483" s="202"/>
      <c r="E483" s="202"/>
      <c r="F483" s="203"/>
      <c r="G483" s="204"/>
    </row>
    <row r="484" spans="1:7" x14ac:dyDescent="0.25">
      <c r="A484" s="102"/>
      <c r="B484" s="200"/>
      <c r="C484" s="201"/>
      <c r="D484" s="202"/>
      <c r="E484" s="202"/>
      <c r="F484" s="203"/>
      <c r="G484" s="204"/>
    </row>
    <row r="485" spans="1:7" x14ac:dyDescent="0.25">
      <c r="A485" s="102"/>
      <c r="B485" s="200"/>
      <c r="C485" s="201"/>
      <c r="D485" s="202"/>
      <c r="E485" s="202"/>
      <c r="F485" s="203"/>
      <c r="G485" s="204"/>
    </row>
    <row r="486" spans="1:7" x14ac:dyDescent="0.25">
      <c r="A486" s="102"/>
      <c r="B486" s="200"/>
      <c r="C486" s="201"/>
      <c r="D486" s="202"/>
      <c r="E486" s="202"/>
      <c r="F486" s="203"/>
      <c r="G486" s="204"/>
    </row>
    <row r="487" spans="1:7" x14ac:dyDescent="0.25">
      <c r="A487" s="102"/>
      <c r="B487" s="200"/>
      <c r="C487" s="201"/>
      <c r="D487" s="202"/>
      <c r="E487" s="202"/>
      <c r="F487" s="203"/>
      <c r="G487" s="204"/>
    </row>
    <row r="488" spans="1:7" x14ac:dyDescent="0.25">
      <c r="A488" s="102"/>
      <c r="B488" s="200"/>
      <c r="C488" s="201"/>
      <c r="D488" s="202"/>
      <c r="E488" s="202"/>
      <c r="F488" s="203"/>
      <c r="G488" s="204"/>
    </row>
    <row r="489" spans="1:7" x14ac:dyDescent="0.25">
      <c r="A489" s="102"/>
      <c r="B489" s="200"/>
      <c r="C489" s="201"/>
      <c r="D489" s="202"/>
      <c r="E489" s="202"/>
      <c r="F489" s="203"/>
      <c r="G489" s="204"/>
    </row>
    <row r="490" spans="1:7" x14ac:dyDescent="0.25">
      <c r="A490" s="102"/>
      <c r="B490" s="200"/>
      <c r="C490" s="201"/>
      <c r="D490" s="202"/>
      <c r="E490" s="202"/>
      <c r="F490" s="203"/>
      <c r="G490" s="204"/>
    </row>
    <row r="491" spans="1:7" x14ac:dyDescent="0.25">
      <c r="A491" s="102"/>
      <c r="B491" s="200"/>
      <c r="C491" s="201"/>
      <c r="D491" s="202"/>
      <c r="E491" s="202"/>
      <c r="F491" s="203"/>
      <c r="G491" s="204"/>
    </row>
    <row r="492" spans="1:7" x14ac:dyDescent="0.25">
      <c r="A492" s="102"/>
      <c r="B492" s="200"/>
      <c r="C492" s="201"/>
      <c r="D492" s="202"/>
      <c r="E492" s="202"/>
      <c r="F492" s="203"/>
      <c r="G492" s="204"/>
    </row>
    <row r="493" spans="1:7" x14ac:dyDescent="0.25">
      <c r="A493" s="102"/>
      <c r="B493" s="200"/>
      <c r="C493" s="201"/>
      <c r="D493" s="202"/>
      <c r="E493" s="202"/>
      <c r="F493" s="203"/>
      <c r="G493" s="204"/>
    </row>
    <row r="494" spans="1:7" x14ac:dyDescent="0.25">
      <c r="A494" s="102"/>
      <c r="B494" s="200"/>
      <c r="C494" s="201"/>
      <c r="D494" s="202"/>
      <c r="E494" s="202"/>
      <c r="F494" s="203"/>
      <c r="G494" s="204"/>
    </row>
    <row r="495" spans="1:7" x14ac:dyDescent="0.25">
      <c r="A495" s="102"/>
      <c r="B495" s="200"/>
      <c r="C495" s="201"/>
      <c r="D495" s="202"/>
      <c r="E495" s="202"/>
      <c r="F495" s="203"/>
      <c r="G495" s="204"/>
    </row>
    <row r="496" spans="1:7" x14ac:dyDescent="0.25">
      <c r="A496" s="102"/>
      <c r="B496" s="200"/>
      <c r="C496" s="201"/>
      <c r="D496" s="202"/>
      <c r="E496" s="202"/>
      <c r="F496" s="203"/>
      <c r="G496" s="204"/>
    </row>
    <row r="497" spans="1:7" x14ac:dyDescent="0.25">
      <c r="A497" s="102"/>
      <c r="B497" s="200"/>
      <c r="C497" s="201"/>
      <c r="D497" s="202"/>
      <c r="E497" s="202"/>
      <c r="F497" s="203"/>
      <c r="G497" s="204"/>
    </row>
    <row r="498" spans="1:7" x14ac:dyDescent="0.25">
      <c r="A498" s="102"/>
      <c r="B498" s="200"/>
      <c r="C498" s="201"/>
      <c r="D498" s="202"/>
      <c r="E498" s="202"/>
      <c r="F498" s="203"/>
      <c r="G498" s="204"/>
    </row>
    <row r="499" spans="1:7" x14ac:dyDescent="0.25">
      <c r="A499" s="102"/>
      <c r="B499" s="200"/>
      <c r="C499" s="201"/>
      <c r="D499" s="202"/>
      <c r="E499" s="202"/>
      <c r="F499" s="203"/>
      <c r="G499" s="204"/>
    </row>
    <row r="500" spans="1:7" x14ac:dyDescent="0.25">
      <c r="A500" s="102"/>
      <c r="B500" s="200"/>
      <c r="C500" s="201"/>
      <c r="D500" s="202"/>
      <c r="E500" s="202"/>
      <c r="F500" s="203"/>
      <c r="G500" s="204"/>
    </row>
    <row r="501" spans="1:7" x14ac:dyDescent="0.25">
      <c r="A501" s="102"/>
      <c r="B501" s="200"/>
      <c r="C501" s="201"/>
      <c r="D501" s="202"/>
      <c r="E501" s="202"/>
      <c r="F501" s="203"/>
      <c r="G501" s="204"/>
    </row>
    <row r="502" spans="1:7" x14ac:dyDescent="0.25">
      <c r="A502" s="102"/>
      <c r="B502" s="200"/>
      <c r="C502" s="201"/>
      <c r="D502" s="202"/>
      <c r="E502" s="202"/>
      <c r="F502" s="203"/>
      <c r="G502" s="204"/>
    </row>
    <row r="503" spans="1:7" x14ac:dyDescent="0.25">
      <c r="A503" s="102"/>
      <c r="B503" s="200"/>
      <c r="C503" s="201"/>
      <c r="D503" s="202"/>
      <c r="E503" s="202"/>
      <c r="F503" s="203"/>
      <c r="G503" s="204"/>
    </row>
    <row r="504" spans="1:7" x14ac:dyDescent="0.25">
      <c r="A504" s="102"/>
      <c r="B504" s="200"/>
      <c r="C504" s="201"/>
      <c r="D504" s="202"/>
      <c r="E504" s="202"/>
      <c r="F504" s="203"/>
      <c r="G504" s="204"/>
    </row>
    <row r="505" spans="1:7" x14ac:dyDescent="0.25">
      <c r="A505" s="102"/>
      <c r="B505" s="200"/>
      <c r="C505" s="201"/>
      <c r="D505" s="202"/>
      <c r="E505" s="202"/>
      <c r="F505" s="203"/>
      <c r="G505" s="204"/>
    </row>
    <row r="506" spans="1:7" x14ac:dyDescent="0.25">
      <c r="A506" s="102"/>
      <c r="B506" s="200"/>
      <c r="C506" s="201"/>
      <c r="D506" s="202"/>
      <c r="E506" s="202"/>
      <c r="F506" s="203"/>
      <c r="G506" s="204"/>
    </row>
    <row r="507" spans="1:7" x14ac:dyDescent="0.25">
      <c r="A507" s="102"/>
      <c r="B507" s="200"/>
      <c r="C507" s="201"/>
      <c r="D507" s="202"/>
      <c r="E507" s="202"/>
      <c r="F507" s="203"/>
      <c r="G507" s="204"/>
    </row>
    <row r="508" spans="1:7" x14ac:dyDescent="0.25">
      <c r="A508" s="102"/>
      <c r="B508" s="200"/>
      <c r="C508" s="201"/>
      <c r="D508" s="202"/>
      <c r="E508" s="202"/>
      <c r="F508" s="203"/>
      <c r="G508" s="204"/>
    </row>
    <row r="509" spans="1:7" x14ac:dyDescent="0.25">
      <c r="A509" s="102"/>
      <c r="B509" s="200"/>
      <c r="C509" s="201"/>
      <c r="D509" s="202"/>
      <c r="E509" s="202"/>
      <c r="F509" s="203"/>
      <c r="G509" s="204"/>
    </row>
    <row r="510" spans="1:7" x14ac:dyDescent="0.25">
      <c r="A510" s="102"/>
      <c r="B510" s="200"/>
      <c r="C510" s="201"/>
      <c r="D510" s="202"/>
      <c r="E510" s="202"/>
      <c r="F510" s="203"/>
      <c r="G510" s="204"/>
    </row>
    <row r="511" spans="1:7" x14ac:dyDescent="0.25">
      <c r="A511" s="102"/>
      <c r="B511" s="200"/>
      <c r="C511" s="201"/>
      <c r="D511" s="202"/>
      <c r="E511" s="202"/>
      <c r="F511" s="203"/>
      <c r="G511" s="204"/>
    </row>
    <row r="512" spans="1:7" x14ac:dyDescent="0.25">
      <c r="A512" s="102"/>
      <c r="B512" s="200"/>
      <c r="C512" s="201"/>
      <c r="D512" s="202"/>
      <c r="E512" s="202"/>
      <c r="F512" s="203"/>
      <c r="G512" s="204"/>
    </row>
    <row r="513" spans="1:7" x14ac:dyDescent="0.25">
      <c r="A513" s="102"/>
      <c r="B513" s="200"/>
      <c r="C513" s="201"/>
      <c r="D513" s="202"/>
      <c r="E513" s="202"/>
      <c r="F513" s="203"/>
      <c r="G513" s="204"/>
    </row>
    <row r="514" spans="1:7" x14ac:dyDescent="0.25">
      <c r="A514" s="102"/>
      <c r="B514" s="200"/>
      <c r="C514" s="201"/>
      <c r="D514" s="202"/>
      <c r="E514" s="202"/>
      <c r="F514" s="203"/>
      <c r="G514" s="204"/>
    </row>
    <row r="515" spans="1:7" x14ac:dyDescent="0.25">
      <c r="A515" s="102"/>
      <c r="B515" s="200"/>
      <c r="C515" s="201"/>
      <c r="D515" s="202"/>
      <c r="E515" s="202"/>
      <c r="F515" s="203"/>
      <c r="G515" s="204"/>
    </row>
    <row r="516" spans="1:7" x14ac:dyDescent="0.25">
      <c r="A516" s="102"/>
      <c r="B516" s="200"/>
      <c r="C516" s="201"/>
      <c r="D516" s="202"/>
      <c r="E516" s="202"/>
      <c r="F516" s="203"/>
      <c r="G516" s="204"/>
    </row>
    <row r="517" spans="1:7" x14ac:dyDescent="0.25">
      <c r="A517" s="102"/>
      <c r="B517" s="200"/>
      <c r="C517" s="201"/>
      <c r="D517" s="202"/>
      <c r="E517" s="202"/>
      <c r="F517" s="203"/>
      <c r="G517" s="204"/>
    </row>
    <row r="518" spans="1:7" x14ac:dyDescent="0.25">
      <c r="A518" s="102"/>
      <c r="B518" s="200"/>
      <c r="C518" s="201"/>
      <c r="D518" s="202"/>
      <c r="E518" s="202"/>
      <c r="F518" s="203"/>
      <c r="G518" s="204"/>
    </row>
    <row r="519" spans="1:7" x14ac:dyDescent="0.25">
      <c r="A519" s="102"/>
      <c r="B519" s="200"/>
      <c r="C519" s="201"/>
      <c r="D519" s="202"/>
      <c r="E519" s="202"/>
      <c r="F519" s="203"/>
      <c r="G519" s="204"/>
    </row>
    <row r="520" spans="1:7" x14ac:dyDescent="0.25">
      <c r="A520" s="102"/>
      <c r="B520" s="200"/>
      <c r="C520" s="201"/>
      <c r="D520" s="202"/>
      <c r="E520" s="202"/>
      <c r="F520" s="203"/>
      <c r="G520" s="204"/>
    </row>
    <row r="521" spans="1:7" x14ac:dyDescent="0.25">
      <c r="A521" s="102"/>
      <c r="B521" s="200"/>
      <c r="C521" s="201"/>
      <c r="D521" s="202"/>
      <c r="E521" s="202"/>
      <c r="F521" s="203"/>
      <c r="G521" s="204"/>
    </row>
    <row r="522" spans="1:7" x14ac:dyDescent="0.25">
      <c r="A522" s="102"/>
      <c r="B522" s="200"/>
      <c r="C522" s="201"/>
      <c r="D522" s="202"/>
      <c r="E522" s="202"/>
      <c r="F522" s="203"/>
      <c r="G522" s="204"/>
    </row>
    <row r="523" spans="1:7" x14ac:dyDescent="0.25">
      <c r="A523" s="102"/>
      <c r="B523" s="200"/>
      <c r="C523" s="201"/>
      <c r="D523" s="202"/>
      <c r="E523" s="202"/>
      <c r="F523" s="203"/>
      <c r="G523" s="204"/>
    </row>
    <row r="524" spans="1:7" x14ac:dyDescent="0.25">
      <c r="A524" s="102"/>
      <c r="B524" s="200"/>
      <c r="C524" s="201"/>
      <c r="D524" s="202"/>
      <c r="E524" s="202"/>
      <c r="F524" s="203"/>
      <c r="G524" s="204"/>
    </row>
    <row r="525" spans="1:7" x14ac:dyDescent="0.25">
      <c r="A525" s="102"/>
      <c r="B525" s="200"/>
      <c r="C525" s="201"/>
      <c r="D525" s="202"/>
      <c r="E525" s="202"/>
      <c r="F525" s="203"/>
      <c r="G525" s="204"/>
    </row>
    <row r="526" spans="1:7" x14ac:dyDescent="0.25">
      <c r="A526" s="102"/>
      <c r="B526" s="200"/>
      <c r="C526" s="201"/>
      <c r="D526" s="202"/>
      <c r="E526" s="202"/>
      <c r="F526" s="203"/>
      <c r="G526" s="204"/>
    </row>
    <row r="527" spans="1:7" x14ac:dyDescent="0.25">
      <c r="A527" s="102"/>
      <c r="B527" s="200"/>
      <c r="C527" s="201"/>
      <c r="D527" s="202"/>
      <c r="E527" s="202"/>
      <c r="F527" s="203"/>
      <c r="G527" s="204"/>
    </row>
    <row r="528" spans="1:7" x14ac:dyDescent="0.25">
      <c r="A528" s="102"/>
      <c r="B528" s="200"/>
      <c r="C528" s="201"/>
      <c r="D528" s="202"/>
      <c r="E528" s="202"/>
      <c r="F528" s="203"/>
      <c r="G528" s="204"/>
    </row>
    <row r="529" spans="1:7" x14ac:dyDescent="0.25">
      <c r="A529" s="102"/>
      <c r="B529" s="200"/>
      <c r="C529" s="201"/>
      <c r="D529" s="202"/>
      <c r="E529" s="202"/>
      <c r="F529" s="203"/>
      <c r="G529" s="204"/>
    </row>
    <row r="530" spans="1:7" x14ac:dyDescent="0.25">
      <c r="A530" s="102"/>
      <c r="B530" s="200"/>
      <c r="C530" s="201"/>
      <c r="D530" s="202"/>
      <c r="E530" s="202"/>
      <c r="F530" s="203"/>
      <c r="G530" s="204"/>
    </row>
    <row r="531" spans="1:7" x14ac:dyDescent="0.25">
      <c r="A531" s="102"/>
      <c r="B531" s="200"/>
      <c r="C531" s="201"/>
      <c r="D531" s="202"/>
      <c r="E531" s="202"/>
      <c r="F531" s="203"/>
      <c r="G531" s="204"/>
    </row>
    <row r="532" spans="1:7" x14ac:dyDescent="0.25">
      <c r="A532" s="102"/>
      <c r="B532" s="200"/>
      <c r="C532" s="201"/>
      <c r="D532" s="202"/>
      <c r="E532" s="202"/>
      <c r="F532" s="203"/>
      <c r="G532" s="204"/>
    </row>
    <row r="533" spans="1:7" x14ac:dyDescent="0.25">
      <c r="A533" s="102"/>
      <c r="B533" s="200"/>
      <c r="C533" s="201"/>
      <c r="D533" s="202"/>
      <c r="E533" s="202"/>
      <c r="F533" s="203"/>
      <c r="G533" s="204"/>
    </row>
    <row r="534" spans="1:7" x14ac:dyDescent="0.25">
      <c r="A534" s="102"/>
      <c r="B534" s="200"/>
      <c r="C534" s="201"/>
      <c r="D534" s="202"/>
      <c r="E534" s="202"/>
      <c r="F534" s="203"/>
      <c r="G534" s="204"/>
    </row>
    <row r="535" spans="1:7" x14ac:dyDescent="0.25">
      <c r="A535" s="102"/>
      <c r="B535" s="200"/>
      <c r="C535" s="201"/>
      <c r="D535" s="202"/>
      <c r="E535" s="202"/>
      <c r="F535" s="203"/>
      <c r="G535" s="204"/>
    </row>
    <row r="536" spans="1:7" x14ac:dyDescent="0.25">
      <c r="A536" s="102"/>
      <c r="B536" s="200"/>
      <c r="C536" s="201"/>
      <c r="D536" s="202"/>
      <c r="E536" s="202"/>
      <c r="F536" s="203"/>
      <c r="G536" s="204"/>
    </row>
    <row r="537" spans="1:7" x14ac:dyDescent="0.25">
      <c r="A537" s="102"/>
      <c r="B537" s="200"/>
      <c r="C537" s="201"/>
      <c r="D537" s="202"/>
      <c r="E537" s="202"/>
      <c r="F537" s="203"/>
      <c r="G537" s="204"/>
    </row>
    <row r="538" spans="1:7" x14ac:dyDescent="0.25">
      <c r="A538" s="102"/>
      <c r="B538" s="200"/>
      <c r="C538" s="201"/>
      <c r="D538" s="202"/>
      <c r="E538" s="202"/>
      <c r="F538" s="203"/>
      <c r="G538" s="204"/>
    </row>
    <row r="539" spans="1:7" x14ac:dyDescent="0.25">
      <c r="A539" s="102"/>
      <c r="B539" s="200"/>
      <c r="C539" s="201"/>
      <c r="D539" s="202"/>
      <c r="E539" s="202"/>
      <c r="F539" s="203"/>
      <c r="G539" s="204"/>
    </row>
    <row r="540" spans="1:7" x14ac:dyDescent="0.25">
      <c r="A540" s="102"/>
      <c r="B540" s="200"/>
      <c r="C540" s="201"/>
      <c r="D540" s="202"/>
      <c r="E540" s="202"/>
      <c r="F540" s="203"/>
      <c r="G540" s="204"/>
    </row>
    <row r="541" spans="1:7" x14ac:dyDescent="0.25">
      <c r="A541" s="102"/>
      <c r="B541" s="200"/>
      <c r="C541" s="201"/>
      <c r="D541" s="202"/>
      <c r="E541" s="202"/>
      <c r="F541" s="203"/>
      <c r="G541" s="204"/>
    </row>
    <row r="542" spans="1:7" x14ac:dyDescent="0.25">
      <c r="A542" s="102"/>
      <c r="B542" s="200"/>
      <c r="C542" s="201"/>
      <c r="D542" s="202"/>
      <c r="E542" s="202"/>
      <c r="F542" s="203"/>
      <c r="G542" s="204"/>
    </row>
    <row r="543" spans="1:7" x14ac:dyDescent="0.25">
      <c r="A543" s="102"/>
      <c r="B543" s="200"/>
      <c r="C543" s="201"/>
      <c r="D543" s="202"/>
      <c r="E543" s="202"/>
      <c r="F543" s="203"/>
      <c r="G543" s="204"/>
    </row>
    <row r="544" spans="1:7" x14ac:dyDescent="0.25">
      <c r="A544" s="102"/>
      <c r="B544" s="200"/>
      <c r="C544" s="201"/>
      <c r="D544" s="202"/>
      <c r="E544" s="202"/>
      <c r="F544" s="203"/>
      <c r="G544" s="204"/>
    </row>
    <row r="545" spans="1:7" x14ac:dyDescent="0.25">
      <c r="A545" s="102"/>
      <c r="B545" s="200"/>
      <c r="C545" s="201"/>
      <c r="D545" s="202"/>
      <c r="E545" s="202"/>
      <c r="F545" s="203"/>
      <c r="G545" s="204"/>
    </row>
    <row r="546" spans="1:7" x14ac:dyDescent="0.25">
      <c r="A546" s="102"/>
      <c r="B546" s="200"/>
      <c r="C546" s="201"/>
      <c r="D546" s="202"/>
      <c r="E546" s="202"/>
      <c r="F546" s="203"/>
      <c r="G546" s="204"/>
    </row>
    <row r="547" spans="1:7" x14ac:dyDescent="0.25">
      <c r="A547" s="102"/>
      <c r="B547" s="200"/>
      <c r="C547" s="201"/>
      <c r="D547" s="202"/>
      <c r="E547" s="202"/>
      <c r="F547" s="203"/>
      <c r="G547" s="204"/>
    </row>
    <row r="548" spans="1:7" x14ac:dyDescent="0.25">
      <c r="A548" s="102"/>
      <c r="B548" s="200"/>
      <c r="C548" s="201"/>
      <c r="D548" s="202"/>
      <c r="E548" s="202"/>
      <c r="F548" s="203"/>
      <c r="G548" s="204"/>
    </row>
    <row r="549" spans="1:7" x14ac:dyDescent="0.25">
      <c r="A549" s="102"/>
      <c r="B549" s="200"/>
      <c r="C549" s="201"/>
      <c r="D549" s="202"/>
      <c r="E549" s="202"/>
      <c r="F549" s="203"/>
      <c r="G549" s="204"/>
    </row>
    <row r="550" spans="1:7" x14ac:dyDescent="0.25">
      <c r="A550" s="102"/>
      <c r="B550" s="200"/>
      <c r="C550" s="201"/>
      <c r="D550" s="202"/>
      <c r="E550" s="202"/>
      <c r="F550" s="203"/>
      <c r="G550" s="204"/>
    </row>
    <row r="551" spans="1:7" x14ac:dyDescent="0.25">
      <c r="A551" s="102"/>
      <c r="B551" s="200"/>
      <c r="C551" s="201"/>
      <c r="D551" s="202"/>
      <c r="E551" s="202"/>
      <c r="F551" s="203"/>
      <c r="G551" s="204"/>
    </row>
    <row r="552" spans="1:7" x14ac:dyDescent="0.25">
      <c r="A552" s="102"/>
      <c r="B552" s="200"/>
      <c r="C552" s="201"/>
      <c r="D552" s="202"/>
      <c r="E552" s="202"/>
      <c r="F552" s="203"/>
      <c r="G552" s="204"/>
    </row>
    <row r="553" spans="1:7" x14ac:dyDescent="0.25">
      <c r="A553" s="102"/>
      <c r="B553" s="200"/>
      <c r="C553" s="201"/>
      <c r="D553" s="202"/>
      <c r="E553" s="202"/>
      <c r="F553" s="203"/>
      <c r="G553" s="204"/>
    </row>
    <row r="554" spans="1:7" x14ac:dyDescent="0.25">
      <c r="A554" s="102"/>
      <c r="B554" s="200"/>
      <c r="C554" s="201"/>
      <c r="D554" s="202"/>
      <c r="E554" s="202"/>
      <c r="F554" s="203"/>
      <c r="G554" s="204"/>
    </row>
    <row r="555" spans="1:7" x14ac:dyDescent="0.25">
      <c r="A555" s="102"/>
      <c r="B555" s="200"/>
      <c r="C555" s="201"/>
      <c r="D555" s="202"/>
      <c r="E555" s="202"/>
      <c r="F555" s="203"/>
      <c r="G555" s="204"/>
    </row>
    <row r="556" spans="1:7" x14ac:dyDescent="0.25">
      <c r="A556" s="102"/>
      <c r="B556" s="200"/>
      <c r="C556" s="201"/>
      <c r="D556" s="202"/>
      <c r="E556" s="202"/>
      <c r="F556" s="203"/>
      <c r="G556" s="204"/>
    </row>
    <row r="557" spans="1:7" x14ac:dyDescent="0.25">
      <c r="A557" s="102"/>
      <c r="B557" s="200"/>
      <c r="C557" s="201"/>
      <c r="D557" s="202"/>
      <c r="E557" s="202"/>
      <c r="F557" s="203"/>
      <c r="G557" s="204"/>
    </row>
    <row r="558" spans="1:7" x14ac:dyDescent="0.25">
      <c r="A558" s="102"/>
      <c r="B558" s="200"/>
      <c r="C558" s="201"/>
      <c r="D558" s="202"/>
      <c r="E558" s="202"/>
      <c r="F558" s="203"/>
      <c r="G558" s="204"/>
    </row>
    <row r="559" spans="1:7" x14ac:dyDescent="0.25">
      <c r="A559" s="102"/>
      <c r="B559" s="200"/>
      <c r="C559" s="201"/>
      <c r="D559" s="202"/>
      <c r="E559" s="202"/>
      <c r="F559" s="203"/>
      <c r="G559" s="204"/>
    </row>
    <row r="560" spans="1:7" x14ac:dyDescent="0.25">
      <c r="A560" s="102"/>
      <c r="B560" s="200"/>
      <c r="C560" s="201"/>
      <c r="D560" s="202"/>
      <c r="E560" s="202"/>
      <c r="F560" s="203"/>
      <c r="G560" s="204"/>
    </row>
    <row r="561" spans="1:7" x14ac:dyDescent="0.25">
      <c r="A561" s="102"/>
      <c r="B561" s="200"/>
      <c r="C561" s="201"/>
      <c r="D561" s="202"/>
      <c r="E561" s="202"/>
      <c r="F561" s="203"/>
      <c r="G561" s="204"/>
    </row>
    <row r="562" spans="1:7" x14ac:dyDescent="0.25">
      <c r="A562" s="102"/>
      <c r="B562" s="200"/>
      <c r="C562" s="201"/>
      <c r="D562" s="202"/>
      <c r="E562" s="202"/>
      <c r="F562" s="203"/>
      <c r="G562" s="204"/>
    </row>
    <row r="563" spans="1:7" x14ac:dyDescent="0.25">
      <c r="A563" s="102"/>
      <c r="B563" s="200"/>
      <c r="C563" s="201"/>
      <c r="D563" s="202"/>
      <c r="E563" s="202"/>
      <c r="F563" s="203"/>
      <c r="G563" s="204"/>
    </row>
    <row r="564" spans="1:7" x14ac:dyDescent="0.25">
      <c r="A564" s="102"/>
      <c r="B564" s="200"/>
      <c r="C564" s="201"/>
      <c r="D564" s="202"/>
      <c r="E564" s="202"/>
      <c r="F564" s="203"/>
      <c r="G564" s="204"/>
    </row>
    <row r="565" spans="1:7" x14ac:dyDescent="0.25">
      <c r="A565" s="102"/>
      <c r="B565" s="200"/>
      <c r="C565" s="201"/>
      <c r="D565" s="202"/>
      <c r="E565" s="202"/>
      <c r="F565" s="203"/>
      <c r="G565" s="204"/>
    </row>
    <row r="566" spans="1:7" x14ac:dyDescent="0.25">
      <c r="A566" s="102"/>
      <c r="B566" s="200"/>
      <c r="C566" s="201"/>
      <c r="D566" s="202"/>
      <c r="E566" s="202"/>
      <c r="F566" s="203"/>
      <c r="G566" s="204"/>
    </row>
    <row r="567" spans="1:7" x14ac:dyDescent="0.25">
      <c r="A567" s="102"/>
      <c r="B567" s="200"/>
      <c r="C567" s="201"/>
      <c r="D567" s="202"/>
      <c r="E567" s="202"/>
      <c r="F567" s="203"/>
      <c r="G567" s="204"/>
    </row>
    <row r="568" spans="1:7" x14ac:dyDescent="0.25">
      <c r="A568" s="102"/>
      <c r="B568" s="200"/>
      <c r="C568" s="201"/>
      <c r="D568" s="202"/>
      <c r="E568" s="202"/>
      <c r="F568" s="203"/>
      <c r="G568" s="204"/>
    </row>
    <row r="569" spans="1:7" x14ac:dyDescent="0.25">
      <c r="A569" s="102"/>
      <c r="B569" s="200"/>
      <c r="C569" s="201"/>
      <c r="D569" s="202"/>
      <c r="E569" s="202"/>
      <c r="F569" s="203"/>
      <c r="G569" s="204"/>
    </row>
    <row r="570" spans="1:7" x14ac:dyDescent="0.25">
      <c r="A570" s="102"/>
      <c r="B570" s="200"/>
      <c r="C570" s="201"/>
      <c r="D570" s="202"/>
      <c r="E570" s="202"/>
      <c r="F570" s="203"/>
      <c r="G570" s="204"/>
    </row>
    <row r="571" spans="1:7" x14ac:dyDescent="0.25">
      <c r="A571" s="102"/>
      <c r="B571" s="200"/>
      <c r="C571" s="201"/>
      <c r="D571" s="202"/>
      <c r="E571" s="202"/>
      <c r="F571" s="203"/>
      <c r="G571" s="204"/>
    </row>
    <row r="572" spans="1:7" x14ac:dyDescent="0.25">
      <c r="A572" s="102"/>
      <c r="B572" s="200"/>
      <c r="C572" s="201"/>
      <c r="D572" s="202"/>
      <c r="E572" s="202"/>
      <c r="F572" s="203"/>
      <c r="G572" s="204"/>
    </row>
    <row r="573" spans="1:7" x14ac:dyDescent="0.25">
      <c r="A573" s="102"/>
      <c r="B573" s="200"/>
      <c r="C573" s="201"/>
      <c r="D573" s="202"/>
      <c r="E573" s="202"/>
      <c r="F573" s="203"/>
      <c r="G573" s="204"/>
    </row>
    <row r="574" spans="1:7" x14ac:dyDescent="0.25">
      <c r="A574" s="102"/>
      <c r="B574" s="200"/>
      <c r="C574" s="201"/>
      <c r="D574" s="202"/>
      <c r="E574" s="202"/>
      <c r="F574" s="203"/>
      <c r="G574" s="204"/>
    </row>
    <row r="575" spans="1:7" x14ac:dyDescent="0.25">
      <c r="A575" s="102"/>
      <c r="B575" s="200"/>
      <c r="C575" s="201"/>
      <c r="D575" s="202"/>
      <c r="E575" s="202"/>
      <c r="F575" s="203"/>
      <c r="G575" s="204"/>
    </row>
    <row r="576" spans="1:7" x14ac:dyDescent="0.25">
      <c r="A576" s="102"/>
      <c r="B576" s="200"/>
      <c r="C576" s="201"/>
      <c r="D576" s="202"/>
      <c r="E576" s="202"/>
      <c r="F576" s="203"/>
      <c r="G576" s="204"/>
    </row>
    <row r="577" spans="1:7" x14ac:dyDescent="0.25">
      <c r="A577" s="102"/>
      <c r="B577" s="200"/>
      <c r="C577" s="201"/>
      <c r="D577" s="202"/>
      <c r="E577" s="202"/>
      <c r="F577" s="203"/>
      <c r="G577" s="204"/>
    </row>
    <row r="578" spans="1:7" x14ac:dyDescent="0.25">
      <c r="A578" s="102"/>
      <c r="B578" s="200"/>
      <c r="C578" s="201"/>
      <c r="D578" s="202"/>
      <c r="E578" s="202"/>
      <c r="F578" s="203"/>
      <c r="G578" s="204"/>
    </row>
    <row r="579" spans="1:7" x14ac:dyDescent="0.25">
      <c r="A579" s="102"/>
      <c r="B579" s="200"/>
      <c r="C579" s="201"/>
      <c r="D579" s="202"/>
      <c r="E579" s="202"/>
      <c r="F579" s="203"/>
      <c r="G579" s="204"/>
    </row>
    <row r="580" spans="1:7" x14ac:dyDescent="0.25">
      <c r="A580" s="102"/>
      <c r="B580" s="200"/>
      <c r="C580" s="201"/>
      <c r="D580" s="202"/>
      <c r="E580" s="202"/>
      <c r="F580" s="203"/>
      <c r="G580" s="204"/>
    </row>
    <row r="581" spans="1:7" x14ac:dyDescent="0.25">
      <c r="A581" s="102"/>
      <c r="B581" s="200"/>
      <c r="C581" s="201"/>
      <c r="D581" s="202"/>
      <c r="E581" s="202"/>
      <c r="F581" s="203"/>
      <c r="G581" s="204"/>
    </row>
    <row r="582" spans="1:7" x14ac:dyDescent="0.25">
      <c r="A582" s="102"/>
      <c r="B582" s="200"/>
      <c r="C582" s="201"/>
      <c r="D582" s="202"/>
      <c r="E582" s="202"/>
      <c r="F582" s="203"/>
      <c r="G582" s="204"/>
    </row>
    <row r="583" spans="1:7" x14ac:dyDescent="0.25">
      <c r="A583" s="102"/>
      <c r="B583" s="200"/>
      <c r="C583" s="201"/>
      <c r="D583" s="202"/>
      <c r="E583" s="202"/>
      <c r="F583" s="203"/>
      <c r="G583" s="204"/>
    </row>
    <row r="584" spans="1:7" x14ac:dyDescent="0.25">
      <c r="A584" s="102"/>
      <c r="B584" s="200"/>
      <c r="C584" s="201"/>
      <c r="D584" s="202"/>
      <c r="E584" s="202"/>
      <c r="F584" s="203"/>
      <c r="G584" s="204"/>
    </row>
    <row r="585" spans="1:7" x14ac:dyDescent="0.25">
      <c r="A585" s="102"/>
      <c r="B585" s="200"/>
      <c r="C585" s="201"/>
      <c r="D585" s="202"/>
      <c r="E585" s="202"/>
      <c r="F585" s="203"/>
      <c r="G585" s="204"/>
    </row>
    <row r="586" spans="1:7" x14ac:dyDescent="0.25">
      <c r="A586" s="102"/>
      <c r="B586" s="200"/>
      <c r="C586" s="201"/>
      <c r="D586" s="202"/>
      <c r="E586" s="202"/>
      <c r="F586" s="203"/>
      <c r="G586" s="204"/>
    </row>
    <row r="587" spans="1:7" x14ac:dyDescent="0.25">
      <c r="A587" s="102"/>
      <c r="B587" s="200"/>
      <c r="C587" s="201"/>
      <c r="D587" s="202"/>
      <c r="E587" s="202"/>
      <c r="F587" s="203"/>
      <c r="G587" s="204"/>
    </row>
    <row r="588" spans="1:7" x14ac:dyDescent="0.25">
      <c r="A588" s="102"/>
      <c r="B588" s="200"/>
      <c r="C588" s="201"/>
      <c r="D588" s="202"/>
      <c r="E588" s="202"/>
      <c r="F588" s="203"/>
      <c r="G588" s="204"/>
    </row>
    <row r="589" spans="1:7" x14ac:dyDescent="0.25">
      <c r="A589" s="102"/>
      <c r="B589" s="200"/>
      <c r="C589" s="201"/>
      <c r="D589" s="202"/>
      <c r="E589" s="202"/>
      <c r="F589" s="203"/>
      <c r="G589" s="204"/>
    </row>
    <row r="590" spans="1:7" x14ac:dyDescent="0.25">
      <c r="A590" s="102"/>
      <c r="B590" s="200"/>
      <c r="C590" s="201"/>
      <c r="D590" s="202"/>
      <c r="E590" s="202"/>
      <c r="F590" s="203"/>
      <c r="G590" s="204"/>
    </row>
    <row r="591" spans="1:7" x14ac:dyDescent="0.25">
      <c r="A591" s="102"/>
      <c r="B591" s="200"/>
      <c r="C591" s="201"/>
      <c r="D591" s="202"/>
      <c r="E591" s="202"/>
      <c r="F591" s="203"/>
      <c r="G591" s="204"/>
    </row>
    <row r="592" spans="1:7" x14ac:dyDescent="0.25">
      <c r="A592" s="102"/>
      <c r="B592" s="200"/>
      <c r="C592" s="201"/>
      <c r="D592" s="202"/>
      <c r="E592" s="202"/>
      <c r="F592" s="203"/>
      <c r="G592" s="204"/>
    </row>
    <row r="593" spans="1:7" x14ac:dyDescent="0.25">
      <c r="A593" s="102"/>
      <c r="B593" s="200"/>
      <c r="C593" s="201"/>
      <c r="D593" s="202"/>
      <c r="E593" s="202"/>
      <c r="F593" s="203"/>
      <c r="G593" s="204"/>
    </row>
    <row r="594" spans="1:7" x14ac:dyDescent="0.25">
      <c r="A594" s="102"/>
      <c r="B594" s="200"/>
      <c r="C594" s="201"/>
      <c r="D594" s="202"/>
      <c r="E594" s="202"/>
      <c r="F594" s="203"/>
      <c r="G594" s="204"/>
    </row>
    <row r="595" spans="1:7" x14ac:dyDescent="0.25">
      <c r="A595" s="102"/>
      <c r="B595" s="200"/>
      <c r="C595" s="201"/>
      <c r="D595" s="202"/>
      <c r="E595" s="202"/>
      <c r="F595" s="203"/>
      <c r="G595" s="204"/>
    </row>
    <row r="596" spans="1:7" x14ac:dyDescent="0.25">
      <c r="A596" s="102"/>
      <c r="B596" s="200"/>
      <c r="C596" s="201"/>
      <c r="D596" s="202"/>
      <c r="E596" s="202"/>
      <c r="F596" s="203"/>
      <c r="G596" s="204"/>
    </row>
    <row r="597" spans="1:7" x14ac:dyDescent="0.25">
      <c r="A597" s="102"/>
      <c r="B597" s="200"/>
      <c r="C597" s="201"/>
      <c r="D597" s="202"/>
      <c r="E597" s="202"/>
      <c r="F597" s="203"/>
      <c r="G597" s="204"/>
    </row>
    <row r="598" spans="1:7" x14ac:dyDescent="0.25">
      <c r="A598" s="102"/>
      <c r="B598" s="200"/>
      <c r="C598" s="201"/>
      <c r="D598" s="202"/>
      <c r="E598" s="202"/>
      <c r="F598" s="203"/>
      <c r="G598" s="204"/>
    </row>
    <row r="599" spans="1:7" x14ac:dyDescent="0.25">
      <c r="A599" s="102"/>
      <c r="B599" s="200"/>
      <c r="C599" s="201"/>
      <c r="D599" s="202"/>
      <c r="E599" s="202"/>
      <c r="F599" s="203"/>
      <c r="G599" s="204"/>
    </row>
    <row r="600" spans="1:7" x14ac:dyDescent="0.25">
      <c r="A600" s="102"/>
      <c r="B600" s="200"/>
      <c r="C600" s="201"/>
      <c r="D600" s="202"/>
      <c r="E600" s="202"/>
      <c r="F600" s="203"/>
      <c r="G600" s="204"/>
    </row>
    <row r="601" spans="1:7" x14ac:dyDescent="0.25">
      <c r="A601" s="102"/>
      <c r="B601" s="200"/>
      <c r="C601" s="201"/>
      <c r="D601" s="202"/>
      <c r="E601" s="202"/>
      <c r="F601" s="203"/>
      <c r="G601" s="204"/>
    </row>
    <row r="602" spans="1:7" x14ac:dyDescent="0.25">
      <c r="A602" s="102"/>
      <c r="B602" s="200"/>
      <c r="C602" s="201"/>
      <c r="D602" s="202"/>
      <c r="E602" s="202"/>
      <c r="F602" s="203"/>
      <c r="G602" s="204"/>
    </row>
    <row r="603" spans="1:7" x14ac:dyDescent="0.25">
      <c r="A603" s="102"/>
      <c r="B603" s="200"/>
      <c r="C603" s="201"/>
      <c r="D603" s="202"/>
      <c r="E603" s="202"/>
      <c r="F603" s="203"/>
      <c r="G603" s="204"/>
    </row>
    <row r="604" spans="1:7" x14ac:dyDescent="0.25">
      <c r="A604" s="102"/>
      <c r="B604" s="200"/>
      <c r="C604" s="201"/>
      <c r="D604" s="202"/>
      <c r="E604" s="202"/>
      <c r="F604" s="203"/>
      <c r="G604" s="204"/>
    </row>
    <row r="605" spans="1:7" x14ac:dyDescent="0.25">
      <c r="A605" s="102"/>
      <c r="B605" s="200"/>
      <c r="C605" s="201"/>
      <c r="D605" s="202"/>
      <c r="E605" s="202"/>
      <c r="F605" s="203"/>
      <c r="G605" s="204"/>
    </row>
    <row r="606" spans="1:7" x14ac:dyDescent="0.25">
      <c r="A606" s="102"/>
      <c r="B606" s="200"/>
      <c r="C606" s="201"/>
      <c r="D606" s="202"/>
      <c r="E606" s="202"/>
      <c r="F606" s="203"/>
      <c r="G606" s="204"/>
    </row>
    <row r="607" spans="1:7" x14ac:dyDescent="0.25">
      <c r="A607" s="102"/>
      <c r="B607" s="200"/>
      <c r="C607" s="201"/>
      <c r="D607" s="202"/>
      <c r="E607" s="202"/>
      <c r="F607" s="203"/>
      <c r="G607" s="204"/>
    </row>
    <row r="608" spans="1:7" x14ac:dyDescent="0.25">
      <c r="A608" s="102"/>
      <c r="B608" s="200"/>
      <c r="C608" s="201"/>
      <c r="D608" s="202"/>
      <c r="E608" s="202"/>
      <c r="F608" s="203"/>
      <c r="G608" s="204"/>
    </row>
    <row r="609" spans="1:7" x14ac:dyDescent="0.25">
      <c r="A609" s="102"/>
      <c r="B609" s="200"/>
      <c r="C609" s="201"/>
      <c r="D609" s="202"/>
      <c r="E609" s="202"/>
      <c r="F609" s="203"/>
      <c r="G609" s="204"/>
    </row>
    <row r="610" spans="1:7" x14ac:dyDescent="0.25">
      <c r="A610" s="102"/>
      <c r="B610" s="200"/>
      <c r="C610" s="201"/>
      <c r="D610" s="202"/>
      <c r="E610" s="202"/>
      <c r="F610" s="203"/>
      <c r="G610" s="204"/>
    </row>
    <row r="611" spans="1:7" x14ac:dyDescent="0.25">
      <c r="A611" s="102"/>
      <c r="B611" s="200"/>
      <c r="C611" s="201"/>
      <c r="D611" s="202"/>
      <c r="E611" s="202"/>
      <c r="F611" s="203"/>
      <c r="G611" s="204"/>
    </row>
    <row r="612" spans="1:7" x14ac:dyDescent="0.25">
      <c r="A612" s="102"/>
      <c r="B612" s="200"/>
      <c r="C612" s="201"/>
      <c r="D612" s="202"/>
      <c r="E612" s="202"/>
      <c r="F612" s="203"/>
      <c r="G612" s="204"/>
    </row>
    <row r="613" spans="1:7" x14ac:dyDescent="0.25">
      <c r="A613" s="102"/>
      <c r="B613" s="200"/>
      <c r="C613" s="201"/>
      <c r="D613" s="202"/>
      <c r="E613" s="202"/>
      <c r="F613" s="203"/>
      <c r="G613" s="204"/>
    </row>
    <row r="614" spans="1:7" x14ac:dyDescent="0.25">
      <c r="A614" s="102"/>
      <c r="B614" s="200"/>
      <c r="C614" s="201"/>
      <c r="D614" s="202"/>
      <c r="E614" s="202"/>
      <c r="F614" s="203"/>
      <c r="G614" s="204"/>
    </row>
    <row r="615" spans="1:7" x14ac:dyDescent="0.25">
      <c r="A615" s="102"/>
      <c r="B615" s="200"/>
      <c r="C615" s="201"/>
      <c r="D615" s="202"/>
      <c r="E615" s="202"/>
      <c r="F615" s="203"/>
      <c r="G615" s="204"/>
    </row>
    <row r="616" spans="1:7" x14ac:dyDescent="0.25">
      <c r="A616" s="102"/>
      <c r="B616" s="200"/>
      <c r="C616" s="201"/>
      <c r="D616" s="202"/>
      <c r="E616" s="202"/>
      <c r="F616" s="203"/>
      <c r="G616" s="204"/>
    </row>
    <row r="617" spans="1:7" x14ac:dyDescent="0.25">
      <c r="A617" s="102"/>
      <c r="B617" s="200"/>
      <c r="C617" s="201"/>
      <c r="D617" s="202"/>
      <c r="E617" s="202"/>
      <c r="F617" s="203"/>
      <c r="G617" s="204"/>
    </row>
    <row r="618" spans="1:7" x14ac:dyDescent="0.25">
      <c r="A618" s="102"/>
      <c r="B618" s="200"/>
      <c r="C618" s="201"/>
      <c r="D618" s="202"/>
      <c r="E618" s="202"/>
      <c r="F618" s="203"/>
      <c r="G618" s="204"/>
    </row>
    <row r="619" spans="1:7" x14ac:dyDescent="0.25">
      <c r="A619" s="102"/>
      <c r="B619" s="200"/>
      <c r="C619" s="201"/>
      <c r="D619" s="202"/>
      <c r="E619" s="202"/>
      <c r="F619" s="203"/>
      <c r="G619" s="204"/>
    </row>
    <row r="620" spans="1:7" x14ac:dyDescent="0.25">
      <c r="A620" s="102"/>
      <c r="B620" s="200"/>
      <c r="C620" s="201"/>
      <c r="D620" s="202"/>
      <c r="E620" s="202"/>
      <c r="F620" s="203"/>
      <c r="G620" s="204"/>
    </row>
    <row r="621" spans="1:7" x14ac:dyDescent="0.25">
      <c r="A621" s="102"/>
      <c r="B621" s="200"/>
      <c r="C621" s="201"/>
      <c r="D621" s="202"/>
      <c r="E621" s="202"/>
      <c r="F621" s="203"/>
      <c r="G621" s="204"/>
    </row>
    <row r="622" spans="1:7" x14ac:dyDescent="0.25">
      <c r="A622" s="102"/>
      <c r="B622" s="200"/>
      <c r="C622" s="201"/>
      <c r="D622" s="202"/>
      <c r="E622" s="202"/>
      <c r="F622" s="203"/>
      <c r="G622" s="204"/>
    </row>
    <row r="623" spans="1:7" x14ac:dyDescent="0.25">
      <c r="A623" s="102"/>
      <c r="B623" s="200"/>
      <c r="C623" s="201"/>
      <c r="D623" s="202"/>
      <c r="E623" s="202"/>
      <c r="F623" s="203"/>
      <c r="G623" s="204"/>
    </row>
    <row r="624" spans="1:7" x14ac:dyDescent="0.25">
      <c r="A624" s="102"/>
      <c r="B624" s="200"/>
      <c r="C624" s="201"/>
      <c r="D624" s="202"/>
      <c r="E624" s="202"/>
      <c r="F624" s="203"/>
      <c r="G624" s="204"/>
    </row>
    <row r="625" spans="1:7" x14ac:dyDescent="0.25">
      <c r="A625" s="102"/>
      <c r="B625" s="200"/>
      <c r="C625" s="201"/>
      <c r="D625" s="202"/>
      <c r="E625" s="202"/>
      <c r="F625" s="203"/>
      <c r="G625" s="204"/>
    </row>
    <row r="626" spans="1:7" x14ac:dyDescent="0.25">
      <c r="A626" s="102"/>
      <c r="B626" s="200"/>
      <c r="C626" s="201"/>
      <c r="D626" s="202"/>
      <c r="E626" s="202"/>
      <c r="F626" s="203"/>
      <c r="G626" s="204"/>
    </row>
    <row r="627" spans="1:7" x14ac:dyDescent="0.25">
      <c r="A627" s="102"/>
      <c r="B627" s="200"/>
      <c r="C627" s="201"/>
      <c r="D627" s="202"/>
      <c r="E627" s="202"/>
      <c r="F627" s="203"/>
      <c r="G627" s="204"/>
    </row>
    <row r="628" spans="1:7" x14ac:dyDescent="0.25">
      <c r="A628" s="102"/>
      <c r="B628" s="200"/>
      <c r="C628" s="201"/>
      <c r="D628" s="202"/>
      <c r="E628" s="202"/>
      <c r="F628" s="203"/>
      <c r="G628" s="204"/>
    </row>
    <row r="629" spans="1:7" x14ac:dyDescent="0.25">
      <c r="A629" s="102"/>
      <c r="B629" s="200"/>
      <c r="C629" s="201"/>
      <c r="D629" s="202"/>
      <c r="E629" s="202"/>
      <c r="F629" s="203"/>
      <c r="G629" s="204"/>
    </row>
    <row r="630" spans="1:7" x14ac:dyDescent="0.25">
      <c r="A630" s="102"/>
      <c r="B630" s="200"/>
      <c r="C630" s="201"/>
      <c r="D630" s="202"/>
      <c r="E630" s="202"/>
      <c r="F630" s="203"/>
      <c r="G630" s="204"/>
    </row>
    <row r="631" spans="1:7" x14ac:dyDescent="0.25">
      <c r="A631" s="102"/>
      <c r="B631" s="200"/>
      <c r="C631" s="201"/>
      <c r="D631" s="202"/>
      <c r="E631" s="202"/>
      <c r="F631" s="203"/>
      <c r="G631" s="204"/>
    </row>
    <row r="632" spans="1:7" x14ac:dyDescent="0.25">
      <c r="A632" s="102"/>
      <c r="B632" s="200"/>
      <c r="C632" s="201"/>
      <c r="D632" s="202"/>
      <c r="E632" s="202"/>
      <c r="F632" s="203"/>
      <c r="G632" s="204"/>
    </row>
    <row r="633" spans="1:7" x14ac:dyDescent="0.25">
      <c r="A633" s="102"/>
      <c r="B633" s="200"/>
      <c r="C633" s="201"/>
      <c r="D633" s="202"/>
      <c r="E633" s="202"/>
      <c r="F633" s="203"/>
      <c r="G633" s="204"/>
    </row>
    <row r="634" spans="1:7" x14ac:dyDescent="0.25">
      <c r="A634" s="102"/>
      <c r="B634" s="200"/>
      <c r="C634" s="201"/>
      <c r="D634" s="202"/>
      <c r="E634" s="202"/>
      <c r="F634" s="203"/>
      <c r="G634" s="204"/>
    </row>
    <row r="635" spans="1:7" x14ac:dyDescent="0.25">
      <c r="A635" s="102"/>
      <c r="B635" s="200"/>
      <c r="C635" s="201"/>
      <c r="D635" s="202"/>
      <c r="E635" s="202"/>
      <c r="F635" s="203"/>
      <c r="G635" s="204"/>
    </row>
    <row r="636" spans="1:7" x14ac:dyDescent="0.25">
      <c r="A636" s="102"/>
      <c r="B636" s="200"/>
      <c r="C636" s="201"/>
      <c r="D636" s="202"/>
      <c r="E636" s="202"/>
      <c r="F636" s="203"/>
      <c r="G636" s="204"/>
    </row>
    <row r="637" spans="1:7" x14ac:dyDescent="0.25">
      <c r="A637" s="102"/>
      <c r="B637" s="200"/>
      <c r="C637" s="201"/>
      <c r="D637" s="202"/>
      <c r="E637" s="202"/>
      <c r="F637" s="203"/>
      <c r="G637" s="204"/>
    </row>
    <row r="638" spans="1:7" x14ac:dyDescent="0.25">
      <c r="A638" s="102"/>
      <c r="B638" s="200"/>
      <c r="C638" s="201"/>
      <c r="D638" s="202"/>
      <c r="E638" s="202"/>
      <c r="F638" s="203"/>
      <c r="G638" s="204"/>
    </row>
    <row r="639" spans="1:7" x14ac:dyDescent="0.25">
      <c r="A639" s="102"/>
      <c r="B639" s="200"/>
      <c r="C639" s="201"/>
      <c r="D639" s="202"/>
      <c r="E639" s="202"/>
      <c r="F639" s="203"/>
      <c r="G639" s="204"/>
    </row>
    <row r="640" spans="1:7" x14ac:dyDescent="0.25">
      <c r="A640" s="102"/>
      <c r="B640" s="200"/>
      <c r="C640" s="201"/>
      <c r="D640" s="202"/>
      <c r="E640" s="202"/>
      <c r="F640" s="203"/>
      <c r="G640" s="204"/>
    </row>
    <row r="641" spans="1:7" x14ac:dyDescent="0.25">
      <c r="A641" s="102"/>
      <c r="B641" s="200"/>
      <c r="C641" s="201"/>
      <c r="D641" s="202"/>
      <c r="E641" s="202"/>
      <c r="F641" s="203"/>
      <c r="G641" s="204"/>
    </row>
    <row r="642" spans="1:7" x14ac:dyDescent="0.25">
      <c r="A642" s="102"/>
      <c r="B642" s="200"/>
      <c r="C642" s="201"/>
      <c r="D642" s="202"/>
      <c r="E642" s="202"/>
      <c r="F642" s="203"/>
      <c r="G642" s="204"/>
    </row>
    <row r="643" spans="1:7" x14ac:dyDescent="0.25">
      <c r="A643" s="102"/>
      <c r="B643" s="200"/>
      <c r="C643" s="201"/>
      <c r="D643" s="202"/>
      <c r="E643" s="202"/>
      <c r="F643" s="203"/>
      <c r="G643" s="204"/>
    </row>
    <row r="644" spans="1:7" x14ac:dyDescent="0.25">
      <c r="A644" s="102"/>
      <c r="B644" s="200"/>
      <c r="C644" s="201"/>
      <c r="D644" s="202"/>
      <c r="E644" s="202"/>
      <c r="F644" s="203"/>
      <c r="G644" s="204"/>
    </row>
    <row r="645" spans="1:7" x14ac:dyDescent="0.25">
      <c r="A645" s="102"/>
      <c r="B645" s="200"/>
      <c r="C645" s="201"/>
      <c r="D645" s="202"/>
      <c r="E645" s="202"/>
      <c r="F645" s="203"/>
      <c r="G645" s="204"/>
    </row>
    <row r="646" spans="1:7" x14ac:dyDescent="0.25">
      <c r="A646" s="102"/>
      <c r="B646" s="200"/>
      <c r="C646" s="201"/>
      <c r="D646" s="202"/>
      <c r="E646" s="202"/>
      <c r="F646" s="203"/>
      <c r="G646" s="204"/>
    </row>
    <row r="647" spans="1:7" x14ac:dyDescent="0.25">
      <c r="A647" s="102"/>
      <c r="B647" s="200"/>
      <c r="C647" s="201"/>
      <c r="D647" s="202"/>
      <c r="E647" s="202"/>
      <c r="F647" s="203"/>
      <c r="G647" s="204"/>
    </row>
    <row r="648" spans="1:7" x14ac:dyDescent="0.25">
      <c r="A648" s="102"/>
      <c r="B648" s="200"/>
      <c r="C648" s="201"/>
      <c r="D648" s="202"/>
      <c r="E648" s="202"/>
      <c r="F648" s="203"/>
      <c r="G648" s="204"/>
    </row>
    <row r="649" spans="1:7" x14ac:dyDescent="0.25">
      <c r="A649" s="102"/>
      <c r="B649" s="200"/>
      <c r="C649" s="201"/>
      <c r="D649" s="202"/>
      <c r="E649" s="202"/>
      <c r="F649" s="203"/>
      <c r="G649" s="204"/>
    </row>
    <row r="650" spans="1:7" x14ac:dyDescent="0.25">
      <c r="A650" s="102"/>
      <c r="B650" s="200"/>
      <c r="C650" s="201"/>
      <c r="D650" s="202"/>
      <c r="E650" s="202"/>
      <c r="F650" s="203"/>
      <c r="G650" s="204"/>
    </row>
    <row r="651" spans="1:7" x14ac:dyDescent="0.25">
      <c r="A651" s="102"/>
      <c r="B651" s="200"/>
      <c r="C651" s="201"/>
      <c r="D651" s="202"/>
      <c r="E651" s="202"/>
      <c r="F651" s="203"/>
      <c r="G651" s="204"/>
    </row>
    <row r="652" spans="1:7" x14ac:dyDescent="0.25">
      <c r="A652" s="102"/>
      <c r="B652" s="200"/>
      <c r="C652" s="201"/>
      <c r="D652" s="202"/>
      <c r="E652" s="202"/>
      <c r="F652" s="203"/>
      <c r="G652" s="204"/>
    </row>
    <row r="653" spans="1:7" x14ac:dyDescent="0.25">
      <c r="A653" s="102"/>
      <c r="B653" s="200"/>
      <c r="C653" s="201"/>
      <c r="D653" s="202"/>
      <c r="E653" s="202"/>
      <c r="F653" s="203"/>
      <c r="G653" s="204"/>
    </row>
    <row r="654" spans="1:7" x14ac:dyDescent="0.25">
      <c r="A654" s="102"/>
      <c r="B654" s="200"/>
      <c r="C654" s="201"/>
      <c r="D654" s="202"/>
      <c r="E654" s="202"/>
      <c r="F654" s="203"/>
      <c r="G654" s="204"/>
    </row>
    <row r="655" spans="1:7" x14ac:dyDescent="0.25">
      <c r="A655" s="102"/>
      <c r="B655" s="200"/>
      <c r="C655" s="201"/>
      <c r="D655" s="202"/>
      <c r="E655" s="202"/>
      <c r="F655" s="203"/>
      <c r="G655" s="204"/>
    </row>
    <row r="656" spans="1:7" x14ac:dyDescent="0.25">
      <c r="A656" s="102"/>
      <c r="B656" s="200"/>
      <c r="C656" s="201"/>
      <c r="D656" s="202"/>
      <c r="E656" s="202"/>
      <c r="F656" s="203"/>
      <c r="G656" s="204"/>
    </row>
    <row r="657" spans="1:7" x14ac:dyDescent="0.25">
      <c r="A657" s="102"/>
      <c r="B657" s="200"/>
      <c r="C657" s="201"/>
      <c r="D657" s="202"/>
      <c r="E657" s="202"/>
      <c r="F657" s="203"/>
      <c r="G657" s="204"/>
    </row>
    <row r="658" spans="1:7" x14ac:dyDescent="0.25">
      <c r="A658" s="102"/>
      <c r="B658" s="200"/>
      <c r="C658" s="201"/>
      <c r="D658" s="202"/>
      <c r="E658" s="202"/>
      <c r="F658" s="203"/>
      <c r="G658" s="204"/>
    </row>
    <row r="659" spans="1:7" x14ac:dyDescent="0.25">
      <c r="A659" s="102"/>
      <c r="B659" s="200"/>
      <c r="C659" s="201"/>
      <c r="D659" s="202"/>
      <c r="E659" s="202"/>
      <c r="F659" s="203"/>
      <c r="G659" s="204"/>
    </row>
    <row r="660" spans="1:7" x14ac:dyDescent="0.25">
      <c r="A660" s="102"/>
      <c r="B660" s="200"/>
      <c r="C660" s="201"/>
      <c r="D660" s="202"/>
      <c r="E660" s="202"/>
      <c r="F660" s="203"/>
      <c r="G660" s="204"/>
    </row>
    <row r="661" spans="1:7" x14ac:dyDescent="0.25">
      <c r="A661" s="102"/>
      <c r="B661" s="200"/>
      <c r="C661" s="201"/>
      <c r="D661" s="202"/>
      <c r="E661" s="202"/>
      <c r="F661" s="203"/>
      <c r="G661" s="204"/>
    </row>
    <row r="662" spans="1:7" x14ac:dyDescent="0.25">
      <c r="A662" s="102"/>
      <c r="B662" s="200"/>
      <c r="C662" s="201"/>
      <c r="D662" s="202"/>
      <c r="E662" s="202"/>
      <c r="F662" s="203"/>
      <c r="G662" s="204"/>
    </row>
    <row r="663" spans="1:7" x14ac:dyDescent="0.25">
      <c r="A663" s="102"/>
      <c r="B663" s="200"/>
      <c r="C663" s="201"/>
      <c r="D663" s="202"/>
      <c r="E663" s="202"/>
      <c r="F663" s="203"/>
      <c r="G663" s="204"/>
    </row>
    <row r="664" spans="1:7" x14ac:dyDescent="0.25">
      <c r="A664" s="102"/>
      <c r="B664" s="200"/>
      <c r="C664" s="201"/>
      <c r="D664" s="202"/>
      <c r="E664" s="202"/>
      <c r="F664" s="203"/>
      <c r="G664" s="204"/>
    </row>
    <row r="665" spans="1:7" x14ac:dyDescent="0.25">
      <c r="A665" s="102"/>
      <c r="B665" s="200"/>
      <c r="C665" s="201"/>
      <c r="D665" s="202"/>
      <c r="E665" s="202"/>
      <c r="F665" s="203"/>
      <c r="G665" s="204"/>
    </row>
    <row r="666" spans="1:7" x14ac:dyDescent="0.25">
      <c r="A666" s="102"/>
      <c r="B666" s="200"/>
      <c r="C666" s="201"/>
      <c r="D666" s="202"/>
      <c r="E666" s="202"/>
      <c r="F666" s="203"/>
      <c r="G666" s="204"/>
    </row>
    <row r="667" spans="1:7" x14ac:dyDescent="0.25">
      <c r="A667" s="102"/>
      <c r="B667" s="200"/>
      <c r="C667" s="201"/>
      <c r="D667" s="202"/>
      <c r="E667" s="202"/>
      <c r="F667" s="203"/>
      <c r="G667" s="204"/>
    </row>
    <row r="668" spans="1:7" x14ac:dyDescent="0.25">
      <c r="A668" s="102"/>
      <c r="B668" s="200"/>
      <c r="C668" s="201"/>
      <c r="D668" s="202"/>
      <c r="E668" s="202"/>
      <c r="F668" s="203"/>
      <c r="G668" s="204"/>
    </row>
    <row r="669" spans="1:7" x14ac:dyDescent="0.25">
      <c r="A669" s="102"/>
      <c r="B669" s="200"/>
      <c r="C669" s="201"/>
      <c r="D669" s="202"/>
      <c r="E669" s="202"/>
      <c r="F669" s="203"/>
      <c r="G669" s="204"/>
    </row>
    <row r="670" spans="1:7" x14ac:dyDescent="0.25">
      <c r="A670" s="102"/>
      <c r="B670" s="200"/>
      <c r="C670" s="201"/>
      <c r="D670" s="202"/>
      <c r="E670" s="202"/>
      <c r="F670" s="203"/>
      <c r="G670" s="204"/>
    </row>
    <row r="671" spans="1:7" x14ac:dyDescent="0.25">
      <c r="A671" s="102"/>
      <c r="B671" s="200"/>
      <c r="C671" s="201"/>
      <c r="D671" s="202"/>
      <c r="E671" s="202"/>
      <c r="F671" s="203"/>
      <c r="G671" s="204"/>
    </row>
    <row r="672" spans="1:7" x14ac:dyDescent="0.25">
      <c r="A672" s="102"/>
      <c r="B672" s="200"/>
      <c r="C672" s="201"/>
      <c r="D672" s="202"/>
      <c r="E672" s="202"/>
      <c r="F672" s="203"/>
      <c r="G672" s="204"/>
    </row>
    <row r="673" spans="1:7" x14ac:dyDescent="0.25">
      <c r="A673" s="102"/>
      <c r="B673" s="200"/>
      <c r="C673" s="201"/>
      <c r="D673" s="202"/>
      <c r="E673" s="202"/>
      <c r="F673" s="203"/>
      <c r="G673" s="204"/>
    </row>
    <row r="674" spans="1:7" x14ac:dyDescent="0.25">
      <c r="A674" s="102"/>
      <c r="B674" s="200"/>
      <c r="C674" s="201"/>
      <c r="D674" s="202"/>
      <c r="E674" s="202"/>
      <c r="F674" s="203"/>
      <c r="G674" s="204"/>
    </row>
    <row r="675" spans="1:7" x14ac:dyDescent="0.25">
      <c r="A675" s="102"/>
      <c r="B675" s="200"/>
      <c r="C675" s="201"/>
      <c r="D675" s="202"/>
      <c r="E675" s="202"/>
      <c r="F675" s="203"/>
      <c r="G675" s="204"/>
    </row>
    <row r="676" spans="1:7" x14ac:dyDescent="0.25">
      <c r="A676" s="102"/>
      <c r="B676" s="200"/>
      <c r="C676" s="201"/>
      <c r="D676" s="202"/>
      <c r="E676" s="202"/>
      <c r="F676" s="203"/>
      <c r="G676" s="204"/>
    </row>
    <row r="677" spans="1:7" x14ac:dyDescent="0.25">
      <c r="A677" s="102"/>
      <c r="B677" s="200"/>
      <c r="C677" s="201"/>
      <c r="D677" s="202"/>
      <c r="E677" s="202"/>
      <c r="F677" s="203"/>
      <c r="G677" s="204"/>
    </row>
    <row r="678" spans="1:7" x14ac:dyDescent="0.25">
      <c r="A678" s="102"/>
      <c r="B678" s="200"/>
      <c r="C678" s="201"/>
      <c r="D678" s="202"/>
      <c r="E678" s="202"/>
      <c r="F678" s="203"/>
      <c r="G678" s="204"/>
    </row>
    <row r="679" spans="1:7" x14ac:dyDescent="0.25">
      <c r="A679" s="102"/>
      <c r="B679" s="200"/>
      <c r="C679" s="201"/>
      <c r="D679" s="202"/>
      <c r="E679" s="202"/>
      <c r="F679" s="203"/>
      <c r="G679" s="204"/>
    </row>
    <row r="680" spans="1:7" x14ac:dyDescent="0.25">
      <c r="A680" s="102"/>
      <c r="B680" s="200"/>
      <c r="C680" s="201"/>
      <c r="D680" s="202"/>
      <c r="E680" s="202"/>
      <c r="F680" s="203"/>
      <c r="G680" s="204"/>
    </row>
    <row r="681" spans="1:7" x14ac:dyDescent="0.25">
      <c r="A681" s="102"/>
      <c r="B681" s="200"/>
      <c r="C681" s="201"/>
      <c r="D681" s="202"/>
      <c r="E681" s="202"/>
      <c r="F681" s="203"/>
      <c r="G681" s="204"/>
    </row>
    <row r="682" spans="1:7" x14ac:dyDescent="0.25">
      <c r="A682" s="102"/>
      <c r="B682" s="200"/>
      <c r="C682" s="201"/>
      <c r="D682" s="202"/>
      <c r="E682" s="202"/>
      <c r="F682" s="203"/>
      <c r="G682" s="204"/>
    </row>
    <row r="683" spans="1:7" x14ac:dyDescent="0.25">
      <c r="A683" s="102"/>
      <c r="B683" s="200"/>
      <c r="C683" s="201"/>
      <c r="D683" s="202"/>
      <c r="E683" s="202"/>
      <c r="F683" s="203"/>
      <c r="G683" s="204"/>
    </row>
    <row r="684" spans="1:7" x14ac:dyDescent="0.25">
      <c r="A684" s="102"/>
      <c r="B684" s="200"/>
      <c r="C684" s="201"/>
      <c r="D684" s="202"/>
      <c r="E684" s="202"/>
      <c r="F684" s="203"/>
      <c r="G684" s="204"/>
    </row>
    <row r="685" spans="1:7" x14ac:dyDescent="0.25">
      <c r="A685" s="102"/>
      <c r="B685" s="200"/>
      <c r="C685" s="201"/>
      <c r="D685" s="202"/>
      <c r="E685" s="202"/>
      <c r="F685" s="203"/>
      <c r="G685" s="204"/>
    </row>
    <row r="686" spans="1:7" x14ac:dyDescent="0.25">
      <c r="A686" s="102"/>
      <c r="B686" s="200"/>
      <c r="C686" s="201"/>
      <c r="D686" s="202"/>
      <c r="E686" s="202"/>
      <c r="F686" s="203"/>
      <c r="G686" s="204"/>
    </row>
    <row r="687" spans="1:7" x14ac:dyDescent="0.25">
      <c r="A687" s="102"/>
      <c r="B687" s="200"/>
      <c r="C687" s="201"/>
      <c r="D687" s="202"/>
      <c r="E687" s="202"/>
      <c r="F687" s="203"/>
      <c r="G687" s="204"/>
    </row>
    <row r="688" spans="1:7" x14ac:dyDescent="0.25">
      <c r="A688" s="102"/>
      <c r="B688" s="200"/>
      <c r="C688" s="201"/>
      <c r="D688" s="202"/>
      <c r="E688" s="202"/>
      <c r="F688" s="203"/>
      <c r="G688" s="204"/>
    </row>
    <row r="689" spans="1:7" x14ac:dyDescent="0.25">
      <c r="A689" s="102"/>
      <c r="B689" s="200"/>
      <c r="C689" s="201"/>
      <c r="D689" s="202"/>
      <c r="E689" s="202"/>
      <c r="F689" s="203"/>
      <c r="G689" s="204"/>
    </row>
    <row r="690" spans="1:7" x14ac:dyDescent="0.25">
      <c r="A690" s="102"/>
      <c r="B690" s="200"/>
      <c r="C690" s="201"/>
      <c r="D690" s="202"/>
      <c r="E690" s="202"/>
      <c r="F690" s="203"/>
      <c r="G690" s="204"/>
    </row>
    <row r="691" spans="1:7" x14ac:dyDescent="0.25">
      <c r="A691" s="102"/>
      <c r="B691" s="200"/>
      <c r="C691" s="201"/>
      <c r="D691" s="202"/>
      <c r="E691" s="202"/>
      <c r="F691" s="203"/>
      <c r="G691" s="204"/>
    </row>
    <row r="692" spans="1:7" x14ac:dyDescent="0.25">
      <c r="A692" s="102"/>
      <c r="B692" s="200"/>
      <c r="C692" s="201"/>
      <c r="D692" s="202"/>
      <c r="E692" s="202"/>
      <c r="F692" s="203"/>
      <c r="G692" s="204"/>
    </row>
    <row r="693" spans="1:7" x14ac:dyDescent="0.25">
      <c r="A693" s="102"/>
      <c r="B693" s="200"/>
      <c r="C693" s="201"/>
      <c r="D693" s="202"/>
      <c r="E693" s="202"/>
      <c r="F693" s="203"/>
      <c r="G693" s="204"/>
    </row>
    <row r="694" spans="1:7" x14ac:dyDescent="0.25">
      <c r="A694" s="102"/>
      <c r="B694" s="200"/>
      <c r="C694" s="201"/>
      <c r="D694" s="202"/>
      <c r="E694" s="202"/>
      <c r="F694" s="203"/>
      <c r="G694" s="204"/>
    </row>
    <row r="695" spans="1:7" x14ac:dyDescent="0.25">
      <c r="A695" s="102"/>
      <c r="B695" s="200"/>
      <c r="C695" s="201"/>
      <c r="D695" s="202"/>
      <c r="E695" s="202"/>
      <c r="F695" s="203"/>
      <c r="G695" s="204"/>
    </row>
    <row r="696" spans="1:7" x14ac:dyDescent="0.25">
      <c r="A696" s="102"/>
      <c r="B696" s="200"/>
      <c r="C696" s="201"/>
      <c r="D696" s="202"/>
      <c r="E696" s="202"/>
      <c r="F696" s="203"/>
      <c r="G696" s="204"/>
    </row>
    <row r="697" spans="1:7" x14ac:dyDescent="0.25">
      <c r="A697" s="102"/>
      <c r="B697" s="200"/>
      <c r="C697" s="201"/>
      <c r="D697" s="202"/>
      <c r="E697" s="202"/>
      <c r="F697" s="203"/>
      <c r="G697" s="204"/>
    </row>
    <row r="698" spans="1:7" x14ac:dyDescent="0.25">
      <c r="A698" s="102"/>
      <c r="B698" s="200"/>
      <c r="C698" s="201"/>
      <c r="D698" s="202"/>
      <c r="E698" s="202"/>
      <c r="F698" s="203"/>
      <c r="G698" s="204"/>
    </row>
    <row r="699" spans="1:7" x14ac:dyDescent="0.25">
      <c r="A699" s="102"/>
      <c r="B699" s="200"/>
      <c r="C699" s="201"/>
      <c r="D699" s="202"/>
      <c r="E699" s="202"/>
      <c r="F699" s="203"/>
      <c r="G699" s="204"/>
    </row>
    <row r="700" spans="1:7" x14ac:dyDescent="0.25">
      <c r="A700" s="102"/>
      <c r="B700" s="200"/>
      <c r="C700" s="201"/>
      <c r="D700" s="202"/>
      <c r="E700" s="202"/>
      <c r="F700" s="203"/>
      <c r="G700" s="204"/>
    </row>
    <row r="701" spans="1:7" x14ac:dyDescent="0.25">
      <c r="A701" s="102"/>
      <c r="B701" s="200"/>
      <c r="C701" s="201"/>
      <c r="D701" s="202"/>
      <c r="E701" s="202"/>
      <c r="F701" s="203"/>
      <c r="G701" s="204"/>
    </row>
    <row r="702" spans="1:7" x14ac:dyDescent="0.25">
      <c r="A702" s="102"/>
      <c r="B702" s="200"/>
      <c r="C702" s="201"/>
      <c r="D702" s="202"/>
      <c r="E702" s="202"/>
      <c r="F702" s="203"/>
      <c r="G702" s="204"/>
    </row>
    <row r="703" spans="1:7" x14ac:dyDescent="0.25">
      <c r="A703" s="102"/>
      <c r="B703" s="200"/>
      <c r="C703" s="201"/>
      <c r="D703" s="202"/>
      <c r="E703" s="202"/>
      <c r="F703" s="203"/>
      <c r="G703" s="204"/>
    </row>
    <row r="704" spans="1:7" x14ac:dyDescent="0.25">
      <c r="A704" s="102"/>
      <c r="B704" s="200"/>
      <c r="C704" s="201"/>
      <c r="D704" s="202"/>
      <c r="E704" s="202"/>
      <c r="F704" s="203"/>
      <c r="G704" s="204"/>
    </row>
    <row r="705" spans="1:7" x14ac:dyDescent="0.25">
      <c r="A705" s="102"/>
      <c r="B705" s="200"/>
      <c r="C705" s="201"/>
      <c r="D705" s="202"/>
      <c r="E705" s="202"/>
      <c r="F705" s="203"/>
      <c r="G705" s="204"/>
    </row>
    <row r="706" spans="1:7" x14ac:dyDescent="0.25">
      <c r="A706" s="102"/>
      <c r="B706" s="200"/>
      <c r="C706" s="201"/>
      <c r="D706" s="202"/>
      <c r="E706" s="202"/>
      <c r="F706" s="203"/>
      <c r="G706" s="204"/>
    </row>
    <row r="707" spans="1:7" x14ac:dyDescent="0.25">
      <c r="A707" s="102"/>
      <c r="B707" s="200"/>
      <c r="C707" s="201"/>
      <c r="D707" s="202"/>
      <c r="E707" s="202"/>
      <c r="F707" s="203"/>
      <c r="G707" s="204"/>
    </row>
    <row r="708" spans="1:7" x14ac:dyDescent="0.25">
      <c r="A708" s="102"/>
      <c r="B708" s="200"/>
      <c r="C708" s="201"/>
      <c r="D708" s="202"/>
      <c r="E708" s="202"/>
      <c r="F708" s="203"/>
      <c r="G708" s="204"/>
    </row>
    <row r="709" spans="1:7" x14ac:dyDescent="0.25">
      <c r="A709" s="102"/>
      <c r="B709" s="200"/>
      <c r="C709" s="201"/>
      <c r="D709" s="202"/>
      <c r="E709" s="202"/>
      <c r="F709" s="203"/>
      <c r="G709" s="204"/>
    </row>
    <row r="710" spans="1:7" x14ac:dyDescent="0.25">
      <c r="A710" s="102"/>
      <c r="B710" s="200"/>
      <c r="C710" s="201"/>
      <c r="D710" s="202"/>
      <c r="E710" s="202"/>
      <c r="F710" s="203"/>
      <c r="G710" s="204"/>
    </row>
    <row r="711" spans="1:7" x14ac:dyDescent="0.25">
      <c r="A711" s="102"/>
      <c r="B711" s="200"/>
      <c r="C711" s="201"/>
      <c r="D711" s="202"/>
      <c r="E711" s="202"/>
      <c r="F711" s="203"/>
      <c r="G711" s="204"/>
    </row>
    <row r="712" spans="1:7" x14ac:dyDescent="0.25">
      <c r="A712" s="102"/>
      <c r="B712" s="200"/>
      <c r="C712" s="201"/>
      <c r="D712" s="202"/>
      <c r="E712" s="202"/>
      <c r="F712" s="203"/>
      <c r="G712" s="204"/>
    </row>
    <row r="713" spans="1:7" x14ac:dyDescent="0.25">
      <c r="A713" s="102"/>
      <c r="B713" s="200"/>
      <c r="C713" s="201"/>
      <c r="D713" s="202"/>
      <c r="E713" s="202"/>
      <c r="F713" s="203"/>
      <c r="G713" s="204"/>
    </row>
    <row r="714" spans="1:7" x14ac:dyDescent="0.25">
      <c r="A714" s="102"/>
      <c r="B714" s="200"/>
      <c r="C714" s="201"/>
      <c r="D714" s="202"/>
      <c r="E714" s="202"/>
      <c r="F714" s="203"/>
      <c r="G714" s="204"/>
    </row>
    <row r="715" spans="1:7" x14ac:dyDescent="0.25">
      <c r="A715" s="102"/>
      <c r="B715" s="200"/>
      <c r="C715" s="201"/>
      <c r="D715" s="202"/>
      <c r="E715" s="202"/>
      <c r="F715" s="203"/>
      <c r="G715" s="204"/>
    </row>
    <row r="716" spans="1:7" x14ac:dyDescent="0.25">
      <c r="A716" s="102"/>
      <c r="B716" s="200"/>
      <c r="C716" s="201"/>
      <c r="D716" s="202"/>
      <c r="E716" s="202"/>
      <c r="F716" s="203"/>
      <c r="G716" s="204"/>
    </row>
    <row r="717" spans="1:7" x14ac:dyDescent="0.25">
      <c r="A717" s="102"/>
      <c r="B717" s="200"/>
      <c r="C717" s="201"/>
      <c r="D717" s="202"/>
      <c r="E717" s="202"/>
      <c r="F717" s="203"/>
      <c r="G717" s="204"/>
    </row>
    <row r="718" spans="1:7" x14ac:dyDescent="0.25">
      <c r="A718" s="102"/>
      <c r="B718" s="200"/>
      <c r="C718" s="201"/>
      <c r="D718" s="202"/>
      <c r="E718" s="202"/>
      <c r="F718" s="203"/>
      <c r="G718" s="204"/>
    </row>
    <row r="719" spans="1:7" x14ac:dyDescent="0.25">
      <c r="A719" s="102"/>
      <c r="B719" s="200"/>
      <c r="C719" s="201"/>
      <c r="D719" s="202"/>
      <c r="E719" s="202"/>
      <c r="F719" s="203"/>
      <c r="G719" s="204"/>
    </row>
    <row r="720" spans="1:7" x14ac:dyDescent="0.25">
      <c r="A720" s="102"/>
      <c r="B720" s="200"/>
      <c r="C720" s="201"/>
      <c r="D720" s="202"/>
      <c r="E720" s="202"/>
      <c r="F720" s="203"/>
      <c r="G720" s="204"/>
    </row>
    <row r="721" spans="1:7" x14ac:dyDescent="0.25">
      <c r="A721" s="102"/>
      <c r="B721" s="200"/>
      <c r="C721" s="201"/>
      <c r="D721" s="202"/>
      <c r="E721" s="202"/>
      <c r="F721" s="203"/>
      <c r="G721" s="204"/>
    </row>
    <row r="722" spans="1:7" x14ac:dyDescent="0.25">
      <c r="A722" s="102"/>
      <c r="B722" s="200"/>
      <c r="C722" s="201"/>
      <c r="D722" s="202"/>
      <c r="E722" s="202"/>
      <c r="F722" s="203"/>
      <c r="G722" s="204"/>
    </row>
    <row r="723" spans="1:7" x14ac:dyDescent="0.25">
      <c r="A723" s="102"/>
      <c r="B723" s="200"/>
      <c r="C723" s="201"/>
      <c r="D723" s="202"/>
      <c r="E723" s="202"/>
      <c r="F723" s="203"/>
      <c r="G723" s="204"/>
    </row>
    <row r="724" spans="1:7" x14ac:dyDescent="0.25">
      <c r="A724" s="102"/>
      <c r="B724" s="200"/>
      <c r="C724" s="201"/>
      <c r="D724" s="202"/>
      <c r="E724" s="202"/>
      <c r="F724" s="203"/>
      <c r="G724" s="204"/>
    </row>
    <row r="725" spans="1:7" x14ac:dyDescent="0.25">
      <c r="A725" s="102"/>
      <c r="B725" s="200"/>
      <c r="C725" s="201"/>
      <c r="D725" s="202"/>
      <c r="E725" s="202"/>
      <c r="F725" s="203"/>
      <c r="G725" s="204"/>
    </row>
    <row r="726" spans="1:7" x14ac:dyDescent="0.25">
      <c r="A726" s="102"/>
      <c r="B726" s="200"/>
      <c r="C726" s="201"/>
      <c r="D726" s="202"/>
      <c r="E726" s="202"/>
      <c r="F726" s="203"/>
      <c r="G726" s="204"/>
    </row>
    <row r="727" spans="1:7" x14ac:dyDescent="0.25">
      <c r="A727" s="102"/>
      <c r="B727" s="200"/>
      <c r="C727" s="201"/>
      <c r="D727" s="202"/>
      <c r="E727" s="202"/>
      <c r="F727" s="203"/>
      <c r="G727" s="204"/>
    </row>
    <row r="728" spans="1:7" x14ac:dyDescent="0.25">
      <c r="A728" s="102"/>
      <c r="B728" s="200"/>
      <c r="C728" s="201"/>
      <c r="D728" s="202"/>
      <c r="E728" s="202"/>
      <c r="F728" s="203"/>
      <c r="G728" s="204"/>
    </row>
    <row r="729" spans="1:7" x14ac:dyDescent="0.25">
      <c r="A729" s="102"/>
      <c r="B729" s="200"/>
      <c r="C729" s="201"/>
      <c r="D729" s="202"/>
      <c r="E729" s="202"/>
      <c r="F729" s="203"/>
      <c r="G729" s="204"/>
    </row>
    <row r="730" spans="1:7" x14ac:dyDescent="0.25">
      <c r="A730" s="102"/>
      <c r="B730" s="200"/>
      <c r="C730" s="201"/>
      <c r="D730" s="202"/>
      <c r="E730" s="202"/>
      <c r="F730" s="203"/>
      <c r="G730" s="204"/>
    </row>
    <row r="731" spans="1:7" x14ac:dyDescent="0.25">
      <c r="A731" s="102"/>
      <c r="B731" s="200"/>
      <c r="C731" s="201"/>
      <c r="D731" s="202"/>
      <c r="E731" s="202"/>
      <c r="F731" s="203"/>
      <c r="G731" s="204"/>
    </row>
    <row r="732" spans="1:7" x14ac:dyDescent="0.25">
      <c r="A732" s="102"/>
      <c r="B732" s="200"/>
      <c r="C732" s="201"/>
      <c r="D732" s="202"/>
      <c r="E732" s="202"/>
      <c r="F732" s="203"/>
      <c r="G732" s="204"/>
    </row>
    <row r="733" spans="1:7" x14ac:dyDescent="0.25">
      <c r="A733" s="102"/>
      <c r="B733" s="200"/>
      <c r="C733" s="201"/>
      <c r="D733" s="202"/>
      <c r="E733" s="202"/>
      <c r="F733" s="203"/>
      <c r="G733" s="204"/>
    </row>
    <row r="734" spans="1:7" x14ac:dyDescent="0.25">
      <c r="A734" s="102"/>
      <c r="B734" s="200"/>
      <c r="C734" s="201"/>
      <c r="D734" s="202"/>
      <c r="E734" s="202"/>
      <c r="F734" s="203"/>
      <c r="G734" s="204"/>
    </row>
    <row r="735" spans="1:7" x14ac:dyDescent="0.25">
      <c r="A735" s="102"/>
      <c r="B735" s="200"/>
      <c r="C735" s="201"/>
      <c r="D735" s="202"/>
      <c r="E735" s="202"/>
      <c r="F735" s="203"/>
      <c r="G735" s="204"/>
    </row>
    <row r="736" spans="1:7" x14ac:dyDescent="0.25">
      <c r="A736" s="102"/>
      <c r="B736" s="200"/>
      <c r="C736" s="201"/>
      <c r="D736" s="202"/>
      <c r="E736" s="202"/>
      <c r="F736" s="203"/>
      <c r="G736" s="204"/>
    </row>
    <row r="737" spans="1:7" x14ac:dyDescent="0.25">
      <c r="A737" s="102"/>
      <c r="B737" s="200"/>
      <c r="C737" s="201"/>
      <c r="D737" s="202"/>
      <c r="E737" s="202"/>
      <c r="F737" s="203"/>
      <c r="G737" s="204"/>
    </row>
    <row r="738" spans="1:7" x14ac:dyDescent="0.25">
      <c r="A738" s="102"/>
      <c r="B738" s="200"/>
      <c r="C738" s="201"/>
      <c r="D738" s="202"/>
      <c r="E738" s="202"/>
      <c r="F738" s="203"/>
      <c r="G738" s="204"/>
    </row>
    <row r="739" spans="1:7" x14ac:dyDescent="0.25">
      <c r="A739" s="102"/>
      <c r="B739" s="200"/>
      <c r="C739" s="201"/>
      <c r="D739" s="202"/>
      <c r="E739" s="202"/>
      <c r="F739" s="203"/>
      <c r="G739" s="204"/>
    </row>
    <row r="740" spans="1:7" x14ac:dyDescent="0.25">
      <c r="A740" s="102"/>
      <c r="B740" s="200"/>
      <c r="C740" s="201"/>
      <c r="D740" s="202"/>
      <c r="E740" s="202"/>
      <c r="F740" s="203"/>
      <c r="G740" s="204"/>
    </row>
    <row r="741" spans="1:7" x14ac:dyDescent="0.25">
      <c r="A741" s="102"/>
      <c r="B741" s="200"/>
      <c r="C741" s="201"/>
      <c r="D741" s="202"/>
      <c r="E741" s="202"/>
      <c r="F741" s="203"/>
      <c r="G741" s="204"/>
    </row>
    <row r="742" spans="1:7" x14ac:dyDescent="0.25">
      <c r="A742" s="102"/>
      <c r="B742" s="200"/>
      <c r="C742" s="201"/>
      <c r="D742" s="202"/>
      <c r="E742" s="202"/>
      <c r="F742" s="203"/>
      <c r="G742" s="204"/>
    </row>
    <row r="743" spans="1:7" x14ac:dyDescent="0.25">
      <c r="A743" s="102"/>
      <c r="B743" s="200"/>
      <c r="C743" s="201"/>
      <c r="D743" s="202"/>
      <c r="E743" s="202"/>
      <c r="F743" s="203"/>
      <c r="G743" s="204"/>
    </row>
    <row r="744" spans="1:7" x14ac:dyDescent="0.25">
      <c r="A744" s="102"/>
      <c r="B744" s="200"/>
      <c r="C744" s="201"/>
      <c r="D744" s="202"/>
      <c r="E744" s="202"/>
      <c r="F744" s="203"/>
      <c r="G744" s="204"/>
    </row>
    <row r="745" spans="1:7" x14ac:dyDescent="0.25">
      <c r="A745" s="102"/>
      <c r="B745" s="200"/>
      <c r="C745" s="201"/>
      <c r="D745" s="202"/>
      <c r="E745" s="202"/>
      <c r="F745" s="203"/>
      <c r="G745" s="204"/>
    </row>
    <row r="746" spans="1:7" x14ac:dyDescent="0.25">
      <c r="A746" s="102"/>
      <c r="B746" s="200"/>
      <c r="C746" s="201"/>
      <c r="D746" s="202"/>
      <c r="E746" s="202"/>
      <c r="F746" s="203"/>
      <c r="G746" s="204"/>
    </row>
    <row r="747" spans="1:7" x14ac:dyDescent="0.25">
      <c r="A747" s="102"/>
      <c r="B747" s="200"/>
      <c r="C747" s="201"/>
      <c r="D747" s="202"/>
      <c r="E747" s="202"/>
      <c r="F747" s="203"/>
      <c r="G747" s="204"/>
    </row>
    <row r="748" spans="1:7" x14ac:dyDescent="0.25">
      <c r="A748" s="102"/>
      <c r="B748" s="200"/>
      <c r="C748" s="201"/>
      <c r="D748" s="202"/>
      <c r="E748" s="202"/>
      <c r="F748" s="203"/>
      <c r="G748" s="204"/>
    </row>
    <row r="749" spans="1:7" x14ac:dyDescent="0.25">
      <c r="A749" s="102"/>
      <c r="B749" s="200"/>
      <c r="C749" s="201"/>
      <c r="D749" s="202"/>
      <c r="E749" s="202"/>
      <c r="F749" s="203"/>
      <c r="G749" s="204"/>
    </row>
    <row r="750" spans="1:7" x14ac:dyDescent="0.25">
      <c r="A750" s="102"/>
      <c r="B750" s="200"/>
      <c r="C750" s="201"/>
      <c r="D750" s="202"/>
      <c r="E750" s="202"/>
      <c r="F750" s="203"/>
      <c r="G750" s="204"/>
    </row>
    <row r="751" spans="1:7" x14ac:dyDescent="0.25">
      <c r="A751" s="102"/>
      <c r="B751" s="200"/>
      <c r="C751" s="201"/>
      <c r="D751" s="202"/>
      <c r="E751" s="202"/>
      <c r="F751" s="203"/>
      <c r="G751" s="204"/>
    </row>
    <row r="752" spans="1:7" x14ac:dyDescent="0.25">
      <c r="A752" s="102"/>
      <c r="B752" s="200"/>
      <c r="C752" s="201"/>
      <c r="D752" s="202"/>
      <c r="E752" s="202"/>
      <c r="F752" s="203"/>
      <c r="G752" s="204"/>
    </row>
    <row r="753" spans="1:7" x14ac:dyDescent="0.25">
      <c r="A753" s="102"/>
      <c r="B753" s="200"/>
      <c r="C753" s="201"/>
      <c r="D753" s="202"/>
      <c r="E753" s="202"/>
      <c r="F753" s="203"/>
      <c r="G753" s="204"/>
    </row>
    <row r="754" spans="1:7" x14ac:dyDescent="0.25">
      <c r="A754" s="102"/>
      <c r="B754" s="200"/>
      <c r="C754" s="201"/>
      <c r="D754" s="202"/>
      <c r="E754" s="202"/>
      <c r="F754" s="203"/>
      <c r="G754" s="204"/>
    </row>
    <row r="755" spans="1:7" x14ac:dyDescent="0.25">
      <c r="A755" s="102"/>
      <c r="B755" s="200"/>
      <c r="C755" s="201"/>
      <c r="D755" s="202"/>
      <c r="E755" s="202"/>
      <c r="F755" s="203"/>
      <c r="G755" s="204"/>
    </row>
    <row r="756" spans="1:7" x14ac:dyDescent="0.25">
      <c r="A756" s="102"/>
      <c r="B756" s="200"/>
      <c r="C756" s="201"/>
      <c r="D756" s="202"/>
      <c r="E756" s="202"/>
      <c r="F756" s="203"/>
      <c r="G756" s="204"/>
    </row>
    <row r="757" spans="1:7" x14ac:dyDescent="0.25">
      <c r="A757" s="102"/>
      <c r="B757" s="200"/>
      <c r="C757" s="201"/>
      <c r="D757" s="202"/>
      <c r="E757" s="202"/>
      <c r="F757" s="203"/>
      <c r="G757" s="204"/>
    </row>
    <row r="758" spans="1:7" x14ac:dyDescent="0.25">
      <c r="A758" s="102"/>
      <c r="B758" s="200"/>
      <c r="C758" s="201"/>
      <c r="D758" s="202"/>
      <c r="E758" s="202"/>
      <c r="F758" s="203"/>
      <c r="G758" s="204"/>
    </row>
    <row r="759" spans="1:7" x14ac:dyDescent="0.25">
      <c r="A759" s="102"/>
      <c r="B759" s="200"/>
      <c r="C759" s="201"/>
      <c r="D759" s="202"/>
      <c r="E759" s="202"/>
      <c r="F759" s="203"/>
      <c r="G759" s="204"/>
    </row>
    <row r="760" spans="1:7" x14ac:dyDescent="0.25">
      <c r="A760" s="102"/>
      <c r="B760" s="200"/>
      <c r="C760" s="201"/>
      <c r="D760" s="202"/>
      <c r="E760" s="202"/>
      <c r="F760" s="203"/>
      <c r="G760" s="204"/>
    </row>
    <row r="761" spans="1:7" x14ac:dyDescent="0.25">
      <c r="A761" s="102"/>
      <c r="B761" s="200"/>
      <c r="C761" s="201"/>
      <c r="D761" s="202"/>
      <c r="E761" s="202"/>
      <c r="F761" s="203"/>
      <c r="G761" s="204"/>
    </row>
    <row r="762" spans="1:7" x14ac:dyDescent="0.25">
      <c r="A762" s="102"/>
      <c r="B762" s="200"/>
      <c r="C762" s="201"/>
      <c r="D762" s="202"/>
      <c r="E762" s="202"/>
      <c r="F762" s="203"/>
      <c r="G762" s="204"/>
    </row>
    <row r="763" spans="1:7" x14ac:dyDescent="0.25">
      <c r="A763" s="102"/>
      <c r="B763" s="200"/>
      <c r="C763" s="201"/>
      <c r="D763" s="202"/>
      <c r="E763" s="202"/>
      <c r="F763" s="203"/>
      <c r="G763" s="204"/>
    </row>
    <row r="764" spans="1:7" x14ac:dyDescent="0.25">
      <c r="A764" s="102"/>
      <c r="B764" s="200"/>
      <c r="C764" s="201"/>
      <c r="D764" s="202"/>
      <c r="E764" s="202"/>
      <c r="F764" s="203"/>
      <c r="G764" s="204"/>
    </row>
    <row r="765" spans="1:7" x14ac:dyDescent="0.25">
      <c r="A765" s="102"/>
      <c r="B765" s="200"/>
      <c r="C765" s="201"/>
      <c r="D765" s="202"/>
      <c r="E765" s="202"/>
      <c r="F765" s="203"/>
      <c r="G765" s="204"/>
    </row>
    <row r="766" spans="1:7" x14ac:dyDescent="0.25">
      <c r="A766" s="102"/>
      <c r="B766" s="200"/>
      <c r="C766" s="201"/>
      <c r="D766" s="202"/>
      <c r="E766" s="202"/>
      <c r="F766" s="203"/>
      <c r="G766" s="204"/>
    </row>
    <row r="767" spans="1:7" x14ac:dyDescent="0.25">
      <c r="A767" s="102"/>
      <c r="B767" s="200"/>
      <c r="C767" s="201"/>
      <c r="D767" s="202"/>
      <c r="E767" s="202"/>
      <c r="F767" s="203"/>
      <c r="G767" s="204"/>
    </row>
    <row r="768" spans="1:7" x14ac:dyDescent="0.25">
      <c r="A768" s="102"/>
      <c r="B768" s="200"/>
      <c r="C768" s="201"/>
      <c r="D768" s="202"/>
      <c r="E768" s="202"/>
      <c r="F768" s="203"/>
      <c r="G768" s="204"/>
    </row>
    <row r="769" spans="1:7" x14ac:dyDescent="0.25">
      <c r="A769" s="102"/>
      <c r="B769" s="200"/>
      <c r="C769" s="201"/>
      <c r="D769" s="202"/>
      <c r="E769" s="202"/>
      <c r="F769" s="203"/>
      <c r="G769" s="204"/>
    </row>
    <row r="770" spans="1:7" x14ac:dyDescent="0.25">
      <c r="A770" s="102"/>
      <c r="B770" s="200"/>
      <c r="C770" s="201"/>
      <c r="D770" s="202"/>
      <c r="E770" s="202"/>
      <c r="F770" s="203"/>
      <c r="G770" s="204"/>
    </row>
    <row r="771" spans="1:7" x14ac:dyDescent="0.25">
      <c r="A771" s="102"/>
      <c r="B771" s="200"/>
      <c r="C771" s="201"/>
      <c r="D771" s="202"/>
      <c r="E771" s="202"/>
      <c r="F771" s="203"/>
      <c r="G771" s="204"/>
    </row>
    <row r="772" spans="1:7" x14ac:dyDescent="0.25">
      <c r="A772" s="102"/>
      <c r="B772" s="200"/>
      <c r="C772" s="201"/>
      <c r="D772" s="202"/>
      <c r="E772" s="202"/>
      <c r="F772" s="203"/>
      <c r="G772" s="204"/>
    </row>
    <row r="773" spans="1:7" x14ac:dyDescent="0.25">
      <c r="A773" s="102"/>
      <c r="B773" s="200"/>
      <c r="C773" s="201"/>
      <c r="D773" s="202"/>
      <c r="E773" s="202"/>
      <c r="F773" s="203"/>
      <c r="G773" s="204"/>
    </row>
    <row r="774" spans="1:7" x14ac:dyDescent="0.25">
      <c r="A774" s="102"/>
      <c r="B774" s="200"/>
      <c r="C774" s="201"/>
      <c r="D774" s="202"/>
      <c r="E774" s="202"/>
      <c r="F774" s="203"/>
      <c r="G774" s="204"/>
    </row>
    <row r="775" spans="1:7" x14ac:dyDescent="0.25">
      <c r="A775" s="102"/>
      <c r="B775" s="200"/>
      <c r="C775" s="201"/>
      <c r="D775" s="202"/>
      <c r="E775" s="202"/>
      <c r="F775" s="203"/>
      <c r="G775" s="204"/>
    </row>
    <row r="776" spans="1:7" x14ac:dyDescent="0.25">
      <c r="A776" s="102"/>
      <c r="B776" s="200"/>
      <c r="C776" s="201"/>
      <c r="D776" s="202"/>
      <c r="E776" s="202"/>
      <c r="F776" s="203"/>
      <c r="G776" s="204"/>
    </row>
    <row r="777" spans="1:7" x14ac:dyDescent="0.25">
      <c r="A777" s="102"/>
      <c r="B777" s="200"/>
      <c r="C777" s="201"/>
      <c r="D777" s="202"/>
      <c r="E777" s="202"/>
      <c r="F777" s="203"/>
      <c r="G777" s="204"/>
    </row>
    <row r="778" spans="1:7" x14ac:dyDescent="0.25">
      <c r="A778" s="102"/>
      <c r="B778" s="200"/>
      <c r="C778" s="201"/>
      <c r="D778" s="202"/>
      <c r="E778" s="202"/>
      <c r="F778" s="203"/>
      <c r="G778" s="204"/>
    </row>
    <row r="779" spans="1:7" x14ac:dyDescent="0.25">
      <c r="A779" s="102"/>
      <c r="B779" s="200"/>
      <c r="C779" s="201"/>
      <c r="D779" s="202"/>
      <c r="E779" s="202"/>
      <c r="F779" s="203"/>
      <c r="G779" s="204"/>
    </row>
    <row r="780" spans="1:7" x14ac:dyDescent="0.25">
      <c r="A780" s="102"/>
      <c r="B780" s="200"/>
      <c r="C780" s="201"/>
      <c r="D780" s="202"/>
      <c r="E780" s="202"/>
      <c r="F780" s="203"/>
      <c r="G780" s="204"/>
    </row>
    <row r="781" spans="1:7" x14ac:dyDescent="0.25">
      <c r="A781" s="102"/>
      <c r="B781" s="200"/>
      <c r="C781" s="201"/>
      <c r="D781" s="202"/>
      <c r="E781" s="202"/>
      <c r="F781" s="203"/>
      <c r="G781" s="204"/>
    </row>
    <row r="782" spans="1:7" x14ac:dyDescent="0.25">
      <c r="A782" s="102"/>
      <c r="B782" s="200"/>
      <c r="C782" s="201"/>
      <c r="D782" s="202"/>
      <c r="E782" s="202"/>
      <c r="F782" s="203"/>
      <c r="G782" s="204"/>
    </row>
    <row r="783" spans="1:7" x14ac:dyDescent="0.25">
      <c r="A783" s="102"/>
      <c r="B783" s="200"/>
      <c r="C783" s="201"/>
      <c r="D783" s="202"/>
      <c r="E783" s="202"/>
      <c r="F783" s="203"/>
      <c r="G783" s="204"/>
    </row>
    <row r="784" spans="1:7" x14ac:dyDescent="0.25">
      <c r="A784" s="102"/>
      <c r="B784" s="200"/>
      <c r="C784" s="201"/>
      <c r="D784" s="202"/>
      <c r="E784" s="202"/>
      <c r="F784" s="203"/>
      <c r="G784" s="204"/>
    </row>
    <row r="785" spans="1:7" x14ac:dyDescent="0.25">
      <c r="A785" s="102"/>
      <c r="B785" s="200"/>
      <c r="C785" s="201"/>
      <c r="D785" s="202"/>
      <c r="E785" s="202"/>
      <c r="F785" s="203"/>
      <c r="G785" s="204"/>
    </row>
    <row r="786" spans="1:7" x14ac:dyDescent="0.25">
      <c r="A786" s="102"/>
      <c r="B786" s="200"/>
      <c r="C786" s="201"/>
      <c r="D786" s="202"/>
      <c r="E786" s="202"/>
      <c r="F786" s="203"/>
      <c r="G786" s="204"/>
    </row>
    <row r="787" spans="1:7" x14ac:dyDescent="0.25">
      <c r="A787" s="102"/>
      <c r="B787" s="200"/>
      <c r="C787" s="201"/>
      <c r="D787" s="202"/>
      <c r="E787" s="202"/>
      <c r="F787" s="203"/>
      <c r="G787" s="204"/>
    </row>
    <row r="788" spans="1:7" x14ac:dyDescent="0.25">
      <c r="A788" s="102"/>
      <c r="B788" s="200"/>
      <c r="C788" s="201"/>
      <c r="D788" s="202"/>
      <c r="E788" s="202"/>
      <c r="F788" s="203"/>
      <c r="G788" s="204"/>
    </row>
    <row r="789" spans="1:7" x14ac:dyDescent="0.25">
      <c r="A789" s="102"/>
      <c r="B789" s="200"/>
      <c r="C789" s="201"/>
      <c r="D789" s="202"/>
      <c r="E789" s="202"/>
      <c r="F789" s="203"/>
      <c r="G789" s="204"/>
    </row>
    <row r="790" spans="1:7" x14ac:dyDescent="0.25">
      <c r="A790" s="102"/>
      <c r="B790" s="200"/>
      <c r="C790" s="201"/>
      <c r="D790" s="202"/>
      <c r="E790" s="202"/>
      <c r="F790" s="203"/>
      <c r="G790" s="204"/>
    </row>
    <row r="791" spans="1:7" x14ac:dyDescent="0.25">
      <c r="A791" s="102"/>
      <c r="B791" s="200"/>
      <c r="C791" s="201"/>
      <c r="D791" s="202"/>
      <c r="E791" s="202"/>
      <c r="F791" s="203"/>
      <c r="G791" s="204"/>
    </row>
    <row r="792" spans="1:7" x14ac:dyDescent="0.25">
      <c r="A792" s="102"/>
      <c r="B792" s="200"/>
      <c r="C792" s="201"/>
      <c r="D792" s="202"/>
      <c r="E792" s="202"/>
      <c r="F792" s="203"/>
      <c r="G792" s="204"/>
    </row>
    <row r="793" spans="1:7" x14ac:dyDescent="0.25">
      <c r="A793" s="102"/>
      <c r="B793" s="200"/>
      <c r="C793" s="201"/>
      <c r="D793" s="202"/>
      <c r="E793" s="202"/>
      <c r="F793" s="203"/>
      <c r="G793" s="204"/>
    </row>
    <row r="794" spans="1:7" x14ac:dyDescent="0.25">
      <c r="A794" s="102"/>
      <c r="B794" s="200"/>
      <c r="C794" s="201"/>
      <c r="D794" s="202"/>
      <c r="E794" s="202"/>
      <c r="F794" s="203"/>
      <c r="G794" s="204"/>
    </row>
    <row r="795" spans="1:7" x14ac:dyDescent="0.25">
      <c r="A795" s="102"/>
      <c r="B795" s="200"/>
      <c r="C795" s="201"/>
      <c r="D795" s="202"/>
      <c r="E795" s="202"/>
      <c r="F795" s="203"/>
      <c r="G795" s="204"/>
    </row>
    <row r="796" spans="1:7" x14ac:dyDescent="0.25">
      <c r="A796" s="102"/>
      <c r="B796" s="200"/>
      <c r="C796" s="201"/>
      <c r="D796" s="202"/>
      <c r="E796" s="202"/>
      <c r="F796" s="203"/>
      <c r="G796" s="204"/>
    </row>
    <row r="797" spans="1:7" x14ac:dyDescent="0.25">
      <c r="A797" s="102"/>
      <c r="B797" s="200"/>
      <c r="C797" s="201"/>
      <c r="D797" s="202"/>
      <c r="E797" s="202"/>
      <c r="F797" s="203"/>
      <c r="G797" s="204"/>
    </row>
    <row r="798" spans="1:7" x14ac:dyDescent="0.25">
      <c r="A798" s="102"/>
      <c r="B798" s="200"/>
      <c r="C798" s="201"/>
      <c r="D798" s="202"/>
      <c r="E798" s="202"/>
      <c r="F798" s="203"/>
      <c r="G798" s="204"/>
    </row>
    <row r="799" spans="1:7" x14ac:dyDescent="0.25">
      <c r="A799" s="102"/>
      <c r="B799" s="200"/>
      <c r="C799" s="201"/>
      <c r="D799" s="202"/>
      <c r="E799" s="202"/>
      <c r="F799" s="203"/>
      <c r="G799" s="204"/>
    </row>
    <row r="800" spans="1:7" x14ac:dyDescent="0.25">
      <c r="A800" s="102"/>
      <c r="B800" s="200"/>
      <c r="C800" s="201"/>
      <c r="D800" s="202"/>
      <c r="E800" s="202"/>
      <c r="F800" s="203"/>
      <c r="G800" s="204"/>
    </row>
    <row r="801" spans="1:7" x14ac:dyDescent="0.25">
      <c r="A801" s="102"/>
      <c r="B801" s="200"/>
      <c r="C801" s="201"/>
      <c r="D801" s="202"/>
      <c r="E801" s="202"/>
      <c r="F801" s="203"/>
      <c r="G801" s="204"/>
    </row>
    <row r="802" spans="1:7" x14ac:dyDescent="0.25">
      <c r="A802" s="102"/>
      <c r="B802" s="200"/>
      <c r="C802" s="201"/>
      <c r="D802" s="202"/>
      <c r="E802" s="202"/>
      <c r="F802" s="203"/>
      <c r="G802" s="204"/>
    </row>
    <row r="803" spans="1:7" x14ac:dyDescent="0.25">
      <c r="A803" s="102"/>
      <c r="B803" s="200"/>
      <c r="C803" s="201"/>
      <c r="D803" s="202"/>
      <c r="E803" s="202"/>
      <c r="F803" s="203"/>
      <c r="G803" s="204"/>
    </row>
    <row r="804" spans="1:7" x14ac:dyDescent="0.25">
      <c r="A804" s="102"/>
      <c r="B804" s="200"/>
      <c r="C804" s="201"/>
      <c r="D804" s="202"/>
      <c r="E804" s="202"/>
      <c r="F804" s="203"/>
      <c r="G804" s="204"/>
    </row>
    <row r="805" spans="1:7" x14ac:dyDescent="0.25">
      <c r="A805" s="102"/>
      <c r="B805" s="200"/>
      <c r="C805" s="201"/>
      <c r="D805" s="202"/>
      <c r="E805" s="202"/>
      <c r="F805" s="203"/>
      <c r="G805" s="204"/>
    </row>
    <row r="806" spans="1:7" x14ac:dyDescent="0.25">
      <c r="A806" s="102"/>
      <c r="B806" s="200"/>
      <c r="C806" s="201"/>
      <c r="D806" s="202"/>
      <c r="E806" s="202"/>
      <c r="F806" s="203"/>
      <c r="G806" s="204"/>
    </row>
    <row r="807" spans="1:7" x14ac:dyDescent="0.25">
      <c r="A807" s="102"/>
      <c r="B807" s="200"/>
      <c r="C807" s="201"/>
      <c r="D807" s="202"/>
      <c r="E807" s="202"/>
      <c r="F807" s="203"/>
      <c r="G807" s="204"/>
    </row>
    <row r="808" spans="1:7" x14ac:dyDescent="0.25">
      <c r="A808" s="102"/>
      <c r="B808" s="200"/>
      <c r="C808" s="201"/>
      <c r="D808" s="202"/>
      <c r="E808" s="202"/>
      <c r="F808" s="203"/>
      <c r="G808" s="204"/>
    </row>
    <row r="809" spans="1:7" x14ac:dyDescent="0.25">
      <c r="A809" s="102"/>
      <c r="B809" s="200"/>
      <c r="C809" s="201"/>
      <c r="D809" s="202"/>
      <c r="E809" s="202"/>
      <c r="F809" s="203"/>
      <c r="G809" s="204"/>
    </row>
    <row r="810" spans="1:7" x14ac:dyDescent="0.25">
      <c r="A810" s="102"/>
      <c r="B810" s="200"/>
      <c r="C810" s="201"/>
      <c r="D810" s="202"/>
      <c r="E810" s="202"/>
      <c r="F810" s="203"/>
      <c r="G810" s="204"/>
    </row>
    <row r="811" spans="1:7" x14ac:dyDescent="0.25">
      <c r="A811" s="102"/>
      <c r="B811" s="200"/>
      <c r="C811" s="201"/>
      <c r="D811" s="202"/>
      <c r="E811" s="202"/>
      <c r="F811" s="203"/>
      <c r="G811" s="204"/>
    </row>
    <row r="812" spans="1:7" x14ac:dyDescent="0.25">
      <c r="A812" s="102"/>
      <c r="B812" s="200"/>
      <c r="C812" s="201"/>
      <c r="D812" s="202"/>
      <c r="E812" s="202"/>
      <c r="F812" s="203"/>
      <c r="G812" s="204"/>
    </row>
    <row r="813" spans="1:7" x14ac:dyDescent="0.25">
      <c r="A813" s="102"/>
      <c r="B813" s="200"/>
      <c r="C813" s="201"/>
      <c r="D813" s="202"/>
      <c r="E813" s="202"/>
      <c r="F813" s="203"/>
      <c r="G813" s="204"/>
    </row>
    <row r="814" spans="1:7" x14ac:dyDescent="0.25">
      <c r="A814" s="102"/>
      <c r="B814" s="200"/>
      <c r="C814" s="201"/>
      <c r="D814" s="202"/>
      <c r="E814" s="202"/>
      <c r="F814" s="203"/>
      <c r="G814" s="204"/>
    </row>
    <row r="815" spans="1:7" x14ac:dyDescent="0.25">
      <c r="A815" s="102"/>
      <c r="B815" s="200"/>
      <c r="C815" s="201"/>
      <c r="D815" s="202"/>
      <c r="E815" s="202"/>
      <c r="F815" s="203"/>
      <c r="G815" s="204"/>
    </row>
    <row r="816" spans="1:7" x14ac:dyDescent="0.25">
      <c r="A816" s="102"/>
      <c r="B816" s="200"/>
      <c r="C816" s="201"/>
      <c r="D816" s="202"/>
      <c r="E816" s="202"/>
      <c r="F816" s="203"/>
      <c r="G816" s="204"/>
    </row>
    <row r="817" spans="1:7" x14ac:dyDescent="0.25">
      <c r="A817" s="102"/>
      <c r="B817" s="200"/>
      <c r="C817" s="201"/>
      <c r="D817" s="202"/>
      <c r="E817" s="202"/>
      <c r="F817" s="203"/>
      <c r="G817" s="204"/>
    </row>
    <row r="818" spans="1:7" x14ac:dyDescent="0.25">
      <c r="A818" s="102"/>
      <c r="B818" s="200"/>
      <c r="C818" s="201"/>
      <c r="D818" s="202"/>
      <c r="E818" s="202"/>
      <c r="F818" s="203"/>
      <c r="G818" s="204"/>
    </row>
    <row r="819" spans="1:7" x14ac:dyDescent="0.25">
      <c r="A819" s="102"/>
      <c r="B819" s="200"/>
      <c r="C819" s="201"/>
      <c r="D819" s="202"/>
      <c r="E819" s="202"/>
      <c r="F819" s="203"/>
      <c r="G819" s="204"/>
    </row>
    <row r="820" spans="1:7" x14ac:dyDescent="0.25">
      <c r="A820" s="102"/>
      <c r="B820" s="200"/>
      <c r="C820" s="201"/>
      <c r="D820" s="202"/>
      <c r="E820" s="202"/>
      <c r="F820" s="203"/>
      <c r="G820" s="204"/>
    </row>
    <row r="821" spans="1:7" x14ac:dyDescent="0.25">
      <c r="A821" s="102"/>
      <c r="B821" s="200"/>
      <c r="C821" s="201"/>
      <c r="D821" s="202"/>
      <c r="E821" s="202"/>
      <c r="F821" s="203"/>
      <c r="G821" s="204"/>
    </row>
    <row r="822" spans="1:7" x14ac:dyDescent="0.25">
      <c r="A822" s="102"/>
      <c r="B822" s="200"/>
      <c r="C822" s="201"/>
      <c r="D822" s="202"/>
      <c r="E822" s="202"/>
      <c r="F822" s="203"/>
      <c r="G822" s="204"/>
    </row>
    <row r="823" spans="1:7" x14ac:dyDescent="0.25">
      <c r="A823" s="102"/>
      <c r="B823" s="200"/>
      <c r="C823" s="201"/>
      <c r="D823" s="202"/>
      <c r="E823" s="202"/>
      <c r="F823" s="203"/>
      <c r="G823" s="204"/>
    </row>
    <row r="824" spans="1:7" x14ac:dyDescent="0.25">
      <c r="A824" s="102"/>
      <c r="B824" s="200"/>
      <c r="C824" s="201"/>
      <c r="D824" s="202"/>
      <c r="E824" s="202"/>
      <c r="F824" s="203"/>
      <c r="G824" s="204"/>
    </row>
    <row r="825" spans="1:7" x14ac:dyDescent="0.25">
      <c r="A825" s="102"/>
      <c r="B825" s="200"/>
      <c r="C825" s="201"/>
      <c r="D825" s="202"/>
      <c r="E825" s="202"/>
      <c r="F825" s="203"/>
      <c r="G825" s="204"/>
    </row>
    <row r="826" spans="1:7" x14ac:dyDescent="0.25">
      <c r="A826" s="102"/>
      <c r="B826" s="200"/>
      <c r="C826" s="201"/>
      <c r="D826" s="202"/>
      <c r="E826" s="202"/>
      <c r="F826" s="203"/>
      <c r="G826" s="204"/>
    </row>
    <row r="827" spans="1:7" x14ac:dyDescent="0.25">
      <c r="A827" s="102"/>
      <c r="B827" s="200"/>
      <c r="C827" s="201"/>
      <c r="D827" s="202"/>
      <c r="E827" s="202"/>
      <c r="F827" s="203"/>
      <c r="G827" s="204"/>
    </row>
    <row r="828" spans="1:7" x14ac:dyDescent="0.25">
      <c r="A828" s="102"/>
      <c r="B828" s="200"/>
      <c r="C828" s="201"/>
      <c r="D828" s="202"/>
      <c r="E828" s="202"/>
      <c r="F828" s="203"/>
      <c r="G828" s="204"/>
    </row>
    <row r="829" spans="1:7" x14ac:dyDescent="0.25">
      <c r="A829" s="102"/>
      <c r="B829" s="200"/>
      <c r="C829" s="201"/>
      <c r="D829" s="202"/>
      <c r="E829" s="202"/>
      <c r="F829" s="203"/>
      <c r="G829" s="204"/>
    </row>
    <row r="830" spans="1:7" x14ac:dyDescent="0.25">
      <c r="A830" s="102"/>
      <c r="B830" s="200"/>
      <c r="C830" s="201"/>
      <c r="D830" s="202"/>
      <c r="E830" s="202"/>
      <c r="F830" s="203"/>
      <c r="G830" s="204"/>
    </row>
    <row r="831" spans="1:7" x14ac:dyDescent="0.25">
      <c r="A831" s="102"/>
      <c r="B831" s="200"/>
      <c r="C831" s="201"/>
      <c r="D831" s="202"/>
      <c r="E831" s="202"/>
      <c r="F831" s="203"/>
      <c r="G831" s="204"/>
    </row>
    <row r="832" spans="1:7" x14ac:dyDescent="0.25">
      <c r="A832" s="102"/>
      <c r="B832" s="200"/>
      <c r="C832" s="201"/>
      <c r="D832" s="202"/>
      <c r="E832" s="202"/>
      <c r="F832" s="203"/>
      <c r="G832" s="204"/>
    </row>
    <row r="833" spans="1:7" x14ac:dyDescent="0.25">
      <c r="A833" s="102"/>
      <c r="B833" s="200"/>
      <c r="C833" s="201"/>
      <c r="D833" s="202"/>
      <c r="E833" s="202"/>
      <c r="F833" s="203"/>
      <c r="G833" s="204"/>
    </row>
    <row r="834" spans="1:7" x14ac:dyDescent="0.25">
      <c r="A834" s="102"/>
      <c r="B834" s="200"/>
      <c r="C834" s="201"/>
      <c r="D834" s="202"/>
      <c r="E834" s="202"/>
      <c r="F834" s="203"/>
      <c r="G834" s="204"/>
    </row>
    <row r="835" spans="1:7" x14ac:dyDescent="0.25">
      <c r="A835" s="102"/>
      <c r="B835" s="200"/>
      <c r="C835" s="201"/>
      <c r="D835" s="202"/>
      <c r="E835" s="202"/>
      <c r="F835" s="203"/>
      <c r="G835" s="204"/>
    </row>
    <row r="836" spans="1:7" x14ac:dyDescent="0.25">
      <c r="A836" s="102"/>
      <c r="B836" s="200"/>
      <c r="C836" s="201"/>
      <c r="D836" s="202"/>
      <c r="E836" s="202"/>
      <c r="F836" s="203"/>
      <c r="G836" s="204"/>
    </row>
    <row r="837" spans="1:7" x14ac:dyDescent="0.25">
      <c r="A837" s="102"/>
      <c r="B837" s="200"/>
      <c r="C837" s="201"/>
      <c r="D837" s="202"/>
      <c r="E837" s="202"/>
      <c r="F837" s="203"/>
      <c r="G837" s="204"/>
    </row>
    <row r="838" spans="1:7" x14ac:dyDescent="0.25">
      <c r="A838" s="102"/>
      <c r="B838" s="200"/>
      <c r="C838" s="201"/>
      <c r="D838" s="202"/>
      <c r="E838" s="202"/>
      <c r="F838" s="203"/>
      <c r="G838" s="204"/>
    </row>
    <row r="839" spans="1:7" x14ac:dyDescent="0.25">
      <c r="A839" s="102"/>
      <c r="B839" s="200"/>
      <c r="C839" s="201"/>
      <c r="D839" s="202"/>
      <c r="E839" s="202"/>
      <c r="F839" s="203"/>
      <c r="G839" s="204"/>
    </row>
    <row r="840" spans="1:7" x14ac:dyDescent="0.25">
      <c r="A840" s="102"/>
      <c r="B840" s="200"/>
      <c r="C840" s="201"/>
      <c r="D840" s="202"/>
      <c r="E840" s="202"/>
      <c r="F840" s="203"/>
      <c r="G840" s="204"/>
    </row>
    <row r="841" spans="1:7" x14ac:dyDescent="0.25">
      <c r="A841" s="102"/>
      <c r="B841" s="200"/>
      <c r="C841" s="201"/>
      <c r="D841" s="202"/>
      <c r="E841" s="202"/>
      <c r="F841" s="203"/>
      <c r="G841" s="204"/>
    </row>
    <row r="842" spans="1:7" x14ac:dyDescent="0.25">
      <c r="A842" s="102"/>
      <c r="B842" s="200"/>
      <c r="C842" s="201"/>
      <c r="D842" s="202"/>
      <c r="E842" s="202"/>
      <c r="F842" s="203"/>
      <c r="G842" s="204"/>
    </row>
    <row r="843" spans="1:7" x14ac:dyDescent="0.25">
      <c r="A843" s="102"/>
      <c r="B843" s="200"/>
      <c r="C843" s="201"/>
      <c r="D843" s="202"/>
      <c r="E843" s="202"/>
      <c r="F843" s="203"/>
      <c r="G843" s="204"/>
    </row>
    <row r="844" spans="1:7" x14ac:dyDescent="0.25">
      <c r="A844" s="102"/>
      <c r="B844" s="200"/>
      <c r="C844" s="201"/>
      <c r="D844" s="202"/>
      <c r="E844" s="202"/>
      <c r="F844" s="203"/>
      <c r="G844" s="204"/>
    </row>
    <row r="845" spans="1:7" x14ac:dyDescent="0.25">
      <c r="A845" s="102"/>
      <c r="B845" s="200"/>
      <c r="C845" s="201"/>
      <c r="D845" s="202"/>
      <c r="E845" s="202"/>
      <c r="F845" s="203"/>
      <c r="G845" s="204"/>
    </row>
    <row r="846" spans="1:7" x14ac:dyDescent="0.25">
      <c r="A846" s="102"/>
      <c r="B846" s="200"/>
      <c r="C846" s="201"/>
      <c r="D846" s="202"/>
      <c r="E846" s="202"/>
      <c r="F846" s="203"/>
      <c r="G846" s="204"/>
    </row>
    <row r="847" spans="1:7" x14ac:dyDescent="0.25">
      <c r="A847" s="102"/>
      <c r="B847" s="200"/>
      <c r="C847" s="201"/>
      <c r="D847" s="202"/>
      <c r="E847" s="202"/>
      <c r="F847" s="203"/>
      <c r="G847" s="204"/>
    </row>
    <row r="848" spans="1:7" x14ac:dyDescent="0.25">
      <c r="A848" s="102"/>
      <c r="B848" s="200"/>
      <c r="C848" s="201"/>
      <c r="D848" s="202"/>
      <c r="E848" s="202"/>
      <c r="F848" s="203"/>
      <c r="G848" s="204"/>
    </row>
    <row r="849" spans="1:7" x14ac:dyDescent="0.25">
      <c r="A849" s="102"/>
      <c r="B849" s="200"/>
      <c r="C849" s="201"/>
      <c r="D849" s="202"/>
      <c r="E849" s="202"/>
      <c r="F849" s="203"/>
      <c r="G849" s="204"/>
    </row>
    <row r="850" spans="1:7" x14ac:dyDescent="0.25">
      <c r="A850" s="102"/>
      <c r="B850" s="200"/>
      <c r="C850" s="201"/>
      <c r="D850" s="202"/>
      <c r="E850" s="202"/>
      <c r="F850" s="203"/>
      <c r="G850" s="204"/>
    </row>
    <row r="851" spans="1:7" x14ac:dyDescent="0.25">
      <c r="A851" s="102"/>
      <c r="B851" s="200"/>
      <c r="C851" s="201"/>
      <c r="D851" s="202"/>
      <c r="E851" s="202"/>
      <c r="F851" s="203"/>
      <c r="G851" s="204"/>
    </row>
    <row r="852" spans="1:7" x14ac:dyDescent="0.25">
      <c r="A852" s="102"/>
      <c r="B852" s="200"/>
      <c r="C852" s="201"/>
      <c r="D852" s="202"/>
      <c r="E852" s="202"/>
      <c r="F852" s="203"/>
      <c r="G852" s="204"/>
    </row>
    <row r="853" spans="1:7" x14ac:dyDescent="0.25">
      <c r="A853" s="102"/>
      <c r="B853" s="200"/>
      <c r="C853" s="201"/>
      <c r="D853" s="202"/>
      <c r="E853" s="202"/>
      <c r="F853" s="203"/>
      <c r="G853" s="204"/>
    </row>
    <row r="854" spans="1:7" x14ac:dyDescent="0.25">
      <c r="A854" s="102"/>
      <c r="B854" s="200"/>
      <c r="C854" s="201"/>
      <c r="D854" s="202"/>
      <c r="E854" s="202"/>
      <c r="F854" s="203"/>
      <c r="G854" s="204"/>
    </row>
    <row r="855" spans="1:7" x14ac:dyDescent="0.25">
      <c r="A855" s="102"/>
      <c r="B855" s="200"/>
      <c r="C855" s="201"/>
      <c r="D855" s="202"/>
      <c r="E855" s="202"/>
      <c r="F855" s="203"/>
      <c r="G855" s="204"/>
    </row>
    <row r="856" spans="1:7" x14ac:dyDescent="0.25">
      <c r="A856" s="102"/>
      <c r="B856" s="200"/>
      <c r="C856" s="201"/>
      <c r="D856" s="202"/>
      <c r="E856" s="202"/>
      <c r="F856" s="203"/>
      <c r="G856" s="204"/>
    </row>
    <row r="857" spans="1:7" x14ac:dyDescent="0.25">
      <c r="A857" s="102"/>
      <c r="B857" s="200"/>
      <c r="C857" s="201"/>
      <c r="D857" s="202"/>
      <c r="E857" s="202"/>
      <c r="F857" s="203"/>
      <c r="G857" s="204"/>
    </row>
    <row r="858" spans="1:7" x14ac:dyDescent="0.25">
      <c r="A858" s="102"/>
      <c r="B858" s="200"/>
      <c r="C858" s="201"/>
      <c r="D858" s="202"/>
      <c r="E858" s="202"/>
      <c r="F858" s="203"/>
      <c r="G858" s="204"/>
    </row>
    <row r="859" spans="1:7" x14ac:dyDescent="0.25">
      <c r="A859" s="102"/>
      <c r="B859" s="200"/>
      <c r="C859" s="201"/>
      <c r="D859" s="202"/>
      <c r="E859" s="202"/>
      <c r="F859" s="203"/>
      <c r="G859" s="204"/>
    </row>
    <row r="860" spans="1:7" x14ac:dyDescent="0.25">
      <c r="A860" s="102"/>
      <c r="B860" s="200"/>
      <c r="C860" s="201"/>
      <c r="D860" s="202"/>
      <c r="E860" s="202"/>
      <c r="F860" s="203"/>
      <c r="G860" s="204"/>
    </row>
    <row r="861" spans="1:7" x14ac:dyDescent="0.25">
      <c r="A861" s="102"/>
      <c r="B861" s="200"/>
      <c r="C861" s="201"/>
      <c r="D861" s="202"/>
      <c r="E861" s="202"/>
      <c r="F861" s="203"/>
      <c r="G861" s="204"/>
    </row>
    <row r="862" spans="1:7" x14ac:dyDescent="0.25">
      <c r="A862" s="102"/>
      <c r="B862" s="200"/>
      <c r="C862" s="201"/>
      <c r="D862" s="202"/>
      <c r="E862" s="202"/>
      <c r="F862" s="203"/>
      <c r="G862" s="204"/>
    </row>
    <row r="863" spans="1:7" x14ac:dyDescent="0.25">
      <c r="A863" s="102"/>
      <c r="B863" s="200"/>
      <c r="C863" s="201"/>
      <c r="D863" s="202"/>
      <c r="E863" s="202"/>
      <c r="F863" s="203"/>
      <c r="G863" s="204"/>
    </row>
    <row r="864" spans="1:7" x14ac:dyDescent="0.25">
      <c r="A864" s="102"/>
      <c r="B864" s="200"/>
      <c r="C864" s="201"/>
      <c r="D864" s="202"/>
      <c r="E864" s="202"/>
      <c r="F864" s="203"/>
      <c r="G864" s="204"/>
    </row>
    <row r="865" spans="1:7" x14ac:dyDescent="0.25">
      <c r="A865" s="102"/>
      <c r="B865" s="200"/>
      <c r="C865" s="201"/>
      <c r="D865" s="202"/>
      <c r="E865" s="202"/>
      <c r="F865" s="203"/>
      <c r="G865" s="204"/>
    </row>
    <row r="866" spans="1:7" x14ac:dyDescent="0.25">
      <c r="A866" s="102"/>
      <c r="B866" s="200"/>
      <c r="C866" s="201"/>
      <c r="D866" s="202"/>
      <c r="E866" s="202"/>
      <c r="F866" s="203"/>
      <c r="G866" s="204"/>
    </row>
    <row r="867" spans="1:7" x14ac:dyDescent="0.25">
      <c r="A867" s="102"/>
      <c r="B867" s="200"/>
      <c r="C867" s="201"/>
      <c r="D867" s="202"/>
      <c r="E867" s="202"/>
      <c r="F867" s="203"/>
      <c r="G867" s="204"/>
    </row>
    <row r="868" spans="1:7" x14ac:dyDescent="0.25">
      <c r="A868" s="102"/>
      <c r="B868" s="200"/>
      <c r="C868" s="201"/>
      <c r="D868" s="202"/>
      <c r="E868" s="202"/>
      <c r="F868" s="203"/>
      <c r="G868" s="204"/>
    </row>
    <row r="869" spans="1:7" x14ac:dyDescent="0.25">
      <c r="A869" s="102"/>
      <c r="B869" s="200"/>
      <c r="C869" s="201"/>
      <c r="D869" s="202"/>
      <c r="E869" s="202"/>
      <c r="F869" s="203"/>
      <c r="G869" s="204"/>
    </row>
    <row r="870" spans="1:7" x14ac:dyDescent="0.25">
      <c r="A870" s="102"/>
      <c r="B870" s="200"/>
      <c r="C870" s="201"/>
      <c r="D870" s="202"/>
      <c r="E870" s="202"/>
      <c r="F870" s="203"/>
      <c r="G870" s="204"/>
    </row>
    <row r="871" spans="1:7" x14ac:dyDescent="0.25">
      <c r="A871" s="102"/>
      <c r="B871" s="200"/>
      <c r="C871" s="201"/>
      <c r="D871" s="202"/>
      <c r="E871" s="202"/>
      <c r="F871" s="203"/>
      <c r="G871" s="204"/>
    </row>
    <row r="872" spans="1:7" x14ac:dyDescent="0.25">
      <c r="A872" s="102"/>
      <c r="B872" s="200"/>
      <c r="C872" s="201"/>
      <c r="D872" s="202"/>
      <c r="E872" s="202"/>
      <c r="F872" s="203"/>
      <c r="G872" s="204"/>
    </row>
    <row r="873" spans="1:7" x14ac:dyDescent="0.25">
      <c r="A873" s="102"/>
      <c r="B873" s="200"/>
      <c r="C873" s="201"/>
      <c r="D873" s="202"/>
      <c r="E873" s="202"/>
      <c r="F873" s="203"/>
      <c r="G873" s="204"/>
    </row>
    <row r="874" spans="1:7" x14ac:dyDescent="0.25">
      <c r="A874" s="102"/>
      <c r="B874" s="200"/>
      <c r="C874" s="201"/>
      <c r="D874" s="202"/>
      <c r="E874" s="202"/>
      <c r="F874" s="203"/>
      <c r="G874" s="204"/>
    </row>
    <row r="875" spans="1:7" x14ac:dyDescent="0.25">
      <c r="A875" s="102"/>
      <c r="B875" s="200"/>
      <c r="C875" s="201"/>
      <c r="D875" s="202"/>
      <c r="E875" s="202"/>
      <c r="F875" s="203"/>
      <c r="G875" s="204"/>
    </row>
    <row r="876" spans="1:7" x14ac:dyDescent="0.25">
      <c r="A876" s="102"/>
      <c r="B876" s="200"/>
      <c r="C876" s="201"/>
      <c r="D876" s="202"/>
      <c r="E876" s="202"/>
      <c r="F876" s="203"/>
      <c r="G876" s="204"/>
    </row>
    <row r="877" spans="1:7" x14ac:dyDescent="0.25">
      <c r="A877" s="102"/>
      <c r="B877" s="200"/>
      <c r="C877" s="201"/>
      <c r="D877" s="202"/>
      <c r="E877" s="202"/>
      <c r="F877" s="203"/>
      <c r="G877" s="204"/>
    </row>
    <row r="878" spans="1:7" x14ac:dyDescent="0.25">
      <c r="A878" s="102"/>
      <c r="B878" s="200"/>
      <c r="C878" s="201"/>
      <c r="D878" s="202"/>
      <c r="E878" s="202"/>
      <c r="F878" s="203"/>
      <c r="G878" s="204"/>
    </row>
    <row r="879" spans="1:7" x14ac:dyDescent="0.25">
      <c r="A879" s="102"/>
      <c r="B879" s="200"/>
      <c r="C879" s="201"/>
      <c r="D879" s="202"/>
      <c r="E879" s="202"/>
      <c r="F879" s="203"/>
      <c r="G879" s="204"/>
    </row>
    <row r="880" spans="1:7" x14ac:dyDescent="0.25">
      <c r="A880" s="102"/>
      <c r="B880" s="200"/>
      <c r="C880" s="201"/>
      <c r="D880" s="202"/>
      <c r="E880" s="202"/>
      <c r="F880" s="203"/>
      <c r="G880" s="204"/>
    </row>
    <row r="881" spans="1:7" x14ac:dyDescent="0.25">
      <c r="A881" s="102"/>
      <c r="B881" s="200"/>
      <c r="C881" s="201"/>
      <c r="D881" s="202"/>
      <c r="E881" s="202"/>
      <c r="F881" s="203"/>
      <c r="G881" s="204"/>
    </row>
    <row r="882" spans="1:7" x14ac:dyDescent="0.25">
      <c r="A882" s="102"/>
      <c r="B882" s="200"/>
      <c r="C882" s="201"/>
      <c r="D882" s="202"/>
      <c r="E882" s="202"/>
      <c r="F882" s="203"/>
      <c r="G882" s="204"/>
    </row>
    <row r="883" spans="1:7" x14ac:dyDescent="0.25">
      <c r="A883" s="102"/>
      <c r="B883" s="200"/>
      <c r="C883" s="201"/>
      <c r="D883" s="202"/>
      <c r="E883" s="202"/>
      <c r="F883" s="203"/>
      <c r="G883" s="204"/>
    </row>
    <row r="884" spans="1:7" x14ac:dyDescent="0.25">
      <c r="A884" s="102"/>
      <c r="B884" s="200"/>
      <c r="C884" s="201"/>
      <c r="D884" s="202"/>
      <c r="E884" s="202"/>
      <c r="F884" s="203"/>
      <c r="G884" s="204"/>
    </row>
    <row r="885" spans="1:7" x14ac:dyDescent="0.25">
      <c r="A885" s="102"/>
      <c r="B885" s="200"/>
      <c r="C885" s="201"/>
      <c r="D885" s="202"/>
      <c r="E885" s="202"/>
      <c r="F885" s="203"/>
      <c r="G885" s="204"/>
    </row>
    <row r="886" spans="1:7" x14ac:dyDescent="0.25">
      <c r="A886" s="102"/>
      <c r="B886" s="200"/>
      <c r="C886" s="201"/>
      <c r="D886" s="202"/>
      <c r="E886" s="202"/>
      <c r="F886" s="203"/>
      <c r="G886" s="204"/>
    </row>
    <row r="887" spans="1:7" x14ac:dyDescent="0.25">
      <c r="A887" s="102"/>
      <c r="B887" s="200"/>
      <c r="C887" s="201"/>
      <c r="D887" s="202"/>
      <c r="E887" s="202"/>
      <c r="F887" s="203"/>
      <c r="G887" s="204"/>
    </row>
    <row r="888" spans="1:7" x14ac:dyDescent="0.25">
      <c r="A888" s="102"/>
      <c r="B888" s="200"/>
      <c r="C888" s="201"/>
      <c r="D888" s="202"/>
      <c r="E888" s="202"/>
      <c r="F888" s="203"/>
      <c r="G888" s="204"/>
    </row>
    <row r="889" spans="1:7" x14ac:dyDescent="0.25">
      <c r="A889" s="102"/>
      <c r="B889" s="200"/>
      <c r="C889" s="201"/>
      <c r="D889" s="202"/>
      <c r="E889" s="202"/>
      <c r="F889" s="203"/>
      <c r="G889" s="204"/>
    </row>
    <row r="890" spans="1:7" x14ac:dyDescent="0.25">
      <c r="A890" s="102"/>
      <c r="B890" s="200"/>
      <c r="C890" s="201"/>
      <c r="D890" s="202"/>
      <c r="E890" s="202"/>
      <c r="F890" s="203"/>
      <c r="G890" s="204"/>
    </row>
    <row r="891" spans="1:7" x14ac:dyDescent="0.25">
      <c r="A891" s="102"/>
      <c r="B891" s="200"/>
      <c r="C891" s="201"/>
      <c r="D891" s="202"/>
      <c r="E891" s="202"/>
      <c r="F891" s="203"/>
      <c r="G891" s="204"/>
    </row>
    <row r="892" spans="1:7" x14ac:dyDescent="0.25">
      <c r="A892" s="102"/>
      <c r="B892" s="200"/>
      <c r="C892" s="201"/>
      <c r="D892" s="202"/>
      <c r="E892" s="202"/>
      <c r="F892" s="203"/>
      <c r="G892" s="204"/>
    </row>
    <row r="893" spans="1:7" x14ac:dyDescent="0.25">
      <c r="A893" s="102"/>
      <c r="B893" s="200"/>
      <c r="C893" s="201"/>
      <c r="D893" s="202"/>
      <c r="E893" s="202"/>
      <c r="F893" s="203"/>
      <c r="G893" s="204"/>
    </row>
    <row r="894" spans="1:7" x14ac:dyDescent="0.25">
      <c r="A894" s="102"/>
      <c r="B894" s="200"/>
      <c r="C894" s="201"/>
      <c r="D894" s="202"/>
      <c r="E894" s="202"/>
      <c r="F894" s="203"/>
      <c r="G894" s="204"/>
    </row>
    <row r="895" spans="1:7" x14ac:dyDescent="0.25">
      <c r="A895" s="102"/>
      <c r="B895" s="200"/>
      <c r="C895" s="201"/>
      <c r="D895" s="202"/>
      <c r="E895" s="202"/>
      <c r="F895" s="203"/>
      <c r="G895" s="204"/>
    </row>
    <row r="896" spans="1:7" x14ac:dyDescent="0.25">
      <c r="A896" s="102"/>
      <c r="B896" s="200"/>
      <c r="C896" s="201"/>
      <c r="D896" s="202"/>
      <c r="E896" s="202"/>
      <c r="F896" s="203"/>
      <c r="G896" s="204"/>
    </row>
    <row r="897" spans="1:7" x14ac:dyDescent="0.25">
      <c r="A897" s="102"/>
      <c r="B897" s="200"/>
      <c r="C897" s="201"/>
      <c r="D897" s="202"/>
      <c r="E897" s="202"/>
      <c r="F897" s="203"/>
      <c r="G897" s="204"/>
    </row>
    <row r="898" spans="1:7" x14ac:dyDescent="0.25">
      <c r="A898" s="102"/>
      <c r="B898" s="200"/>
      <c r="C898" s="201"/>
      <c r="D898" s="202"/>
      <c r="E898" s="202"/>
      <c r="F898" s="203"/>
      <c r="G898" s="204"/>
    </row>
    <row r="899" spans="1:7" x14ac:dyDescent="0.25">
      <c r="A899" s="102"/>
      <c r="B899" s="200"/>
      <c r="C899" s="201"/>
      <c r="D899" s="202"/>
      <c r="E899" s="202"/>
      <c r="F899" s="203"/>
      <c r="G899" s="204"/>
    </row>
    <row r="900" spans="1:7" x14ac:dyDescent="0.25">
      <c r="A900" s="102"/>
      <c r="B900" s="200"/>
      <c r="C900" s="201"/>
      <c r="D900" s="202"/>
      <c r="E900" s="202"/>
      <c r="F900" s="203"/>
      <c r="G900" s="204"/>
    </row>
    <row r="901" spans="1:7" x14ac:dyDescent="0.25">
      <c r="A901" s="102"/>
      <c r="B901" s="200"/>
      <c r="C901" s="201"/>
      <c r="D901" s="202"/>
      <c r="E901" s="202"/>
      <c r="F901" s="203"/>
      <c r="G901" s="204"/>
    </row>
    <row r="902" spans="1:7" x14ac:dyDescent="0.25">
      <c r="A902" s="102"/>
      <c r="B902" s="200"/>
      <c r="C902" s="201"/>
      <c r="D902" s="202"/>
      <c r="E902" s="202"/>
      <c r="F902" s="203"/>
      <c r="G902" s="204"/>
    </row>
    <row r="903" spans="1:7" x14ac:dyDescent="0.25">
      <c r="A903" s="102"/>
      <c r="B903" s="200"/>
      <c r="C903" s="201"/>
      <c r="D903" s="202"/>
      <c r="E903" s="202"/>
      <c r="F903" s="203"/>
      <c r="G903" s="204"/>
    </row>
    <row r="904" spans="1:7" x14ac:dyDescent="0.25">
      <c r="A904" s="102"/>
      <c r="B904" s="200"/>
      <c r="C904" s="201"/>
      <c r="D904" s="202"/>
      <c r="E904" s="202"/>
      <c r="F904" s="203"/>
      <c r="G904" s="204"/>
    </row>
    <row r="905" spans="1:7" x14ac:dyDescent="0.25">
      <c r="A905" s="102"/>
      <c r="B905" s="200"/>
      <c r="C905" s="201"/>
      <c r="D905" s="202"/>
      <c r="E905" s="202"/>
      <c r="F905" s="203"/>
      <c r="G905" s="204"/>
    </row>
    <row r="906" spans="1:7" x14ac:dyDescent="0.25">
      <c r="A906" s="102"/>
      <c r="B906" s="200"/>
      <c r="C906" s="201"/>
      <c r="D906" s="202"/>
      <c r="E906" s="202"/>
      <c r="F906" s="203"/>
      <c r="G906" s="204"/>
    </row>
    <row r="907" spans="1:7" x14ac:dyDescent="0.25">
      <c r="A907" s="102"/>
      <c r="B907" s="200"/>
      <c r="C907" s="201"/>
      <c r="D907" s="202"/>
      <c r="E907" s="202"/>
      <c r="F907" s="203"/>
      <c r="G907" s="204"/>
    </row>
    <row r="908" spans="1:7" x14ac:dyDescent="0.25">
      <c r="A908" s="102"/>
      <c r="B908" s="200"/>
      <c r="C908" s="201"/>
      <c r="D908" s="202"/>
      <c r="E908" s="202"/>
      <c r="F908" s="203"/>
      <c r="G908" s="204"/>
    </row>
    <row r="909" spans="1:7" x14ac:dyDescent="0.25">
      <c r="A909" s="102"/>
      <c r="B909" s="200"/>
      <c r="C909" s="201"/>
      <c r="D909" s="202"/>
      <c r="E909" s="202"/>
      <c r="F909" s="203"/>
      <c r="G909" s="204"/>
    </row>
    <row r="910" spans="1:7" x14ac:dyDescent="0.25">
      <c r="A910" s="102"/>
      <c r="B910" s="200"/>
      <c r="C910" s="201"/>
      <c r="D910" s="202"/>
      <c r="E910" s="202"/>
      <c r="F910" s="203"/>
      <c r="G910" s="204"/>
    </row>
    <row r="911" spans="1:7" x14ac:dyDescent="0.25">
      <c r="A911" s="102"/>
      <c r="B911" s="200"/>
      <c r="C911" s="201"/>
      <c r="D911" s="202"/>
      <c r="E911" s="202"/>
      <c r="F911" s="203"/>
      <c r="G911" s="204"/>
    </row>
    <row r="912" spans="1:7" x14ac:dyDescent="0.25">
      <c r="A912" s="102"/>
      <c r="B912" s="200"/>
      <c r="C912" s="201"/>
      <c r="D912" s="202"/>
      <c r="E912" s="202"/>
      <c r="F912" s="203"/>
      <c r="G912" s="204"/>
    </row>
    <row r="913" spans="1:7" x14ac:dyDescent="0.25">
      <c r="A913" s="102"/>
      <c r="B913" s="200"/>
      <c r="C913" s="201"/>
      <c r="D913" s="202"/>
      <c r="E913" s="202"/>
      <c r="F913" s="203"/>
      <c r="G913" s="204"/>
    </row>
    <row r="914" spans="1:7" x14ac:dyDescent="0.25">
      <c r="A914" s="102"/>
      <c r="B914" s="200"/>
      <c r="C914" s="201"/>
      <c r="D914" s="202"/>
      <c r="E914" s="202"/>
      <c r="F914" s="203"/>
      <c r="G914" s="204"/>
    </row>
    <row r="915" spans="1:7" x14ac:dyDescent="0.25">
      <c r="A915" s="102"/>
      <c r="B915" s="200"/>
      <c r="C915" s="201"/>
      <c r="D915" s="202"/>
      <c r="E915" s="202"/>
      <c r="F915" s="203"/>
      <c r="G915" s="204"/>
    </row>
    <row r="916" spans="1:7" x14ac:dyDescent="0.25">
      <c r="A916" s="102"/>
      <c r="B916" s="200"/>
      <c r="C916" s="201"/>
      <c r="D916" s="202"/>
      <c r="E916" s="202"/>
      <c r="F916" s="203"/>
      <c r="G916" s="204"/>
    </row>
    <row r="917" spans="1:7" x14ac:dyDescent="0.25">
      <c r="A917" s="102"/>
      <c r="B917" s="200"/>
      <c r="C917" s="201"/>
      <c r="D917" s="202"/>
      <c r="E917" s="202"/>
      <c r="F917" s="203"/>
      <c r="G917" s="204"/>
    </row>
    <row r="918" spans="1:7" x14ac:dyDescent="0.25">
      <c r="A918" s="102"/>
      <c r="B918" s="200"/>
      <c r="C918" s="201"/>
      <c r="D918" s="202"/>
      <c r="E918" s="202"/>
      <c r="F918" s="203"/>
      <c r="G918" s="204"/>
    </row>
    <row r="919" spans="1:7" x14ac:dyDescent="0.25">
      <c r="A919" s="102"/>
      <c r="B919" s="200"/>
      <c r="C919" s="201"/>
      <c r="D919" s="202"/>
      <c r="E919" s="202"/>
      <c r="F919" s="203"/>
      <c r="G919" s="204"/>
    </row>
    <row r="920" spans="1:7" x14ac:dyDescent="0.25">
      <c r="A920" s="102"/>
      <c r="B920" s="200"/>
      <c r="C920" s="201"/>
      <c r="D920" s="202"/>
      <c r="E920" s="202"/>
      <c r="F920" s="203"/>
      <c r="G920" s="204"/>
    </row>
    <row r="921" spans="1:7" x14ac:dyDescent="0.25">
      <c r="A921" s="102"/>
      <c r="B921" s="200"/>
      <c r="C921" s="201"/>
      <c r="D921" s="202"/>
      <c r="E921" s="202"/>
      <c r="F921" s="203"/>
      <c r="G921" s="204"/>
    </row>
    <row r="922" spans="1:7" x14ac:dyDescent="0.25">
      <c r="A922" s="102"/>
      <c r="B922" s="200"/>
      <c r="C922" s="201"/>
      <c r="D922" s="202"/>
      <c r="E922" s="202"/>
      <c r="F922" s="203"/>
      <c r="G922" s="204"/>
    </row>
    <row r="923" spans="1:7" x14ac:dyDescent="0.25">
      <c r="A923" s="102"/>
      <c r="B923" s="200"/>
      <c r="C923" s="201"/>
      <c r="D923" s="202"/>
      <c r="E923" s="202"/>
      <c r="F923" s="203"/>
      <c r="G923" s="204"/>
    </row>
    <row r="924" spans="1:7" x14ac:dyDescent="0.25">
      <c r="A924" s="102"/>
      <c r="B924" s="200"/>
      <c r="C924" s="201"/>
      <c r="D924" s="202"/>
      <c r="E924" s="202"/>
      <c r="F924" s="203"/>
      <c r="G924" s="204"/>
    </row>
    <row r="925" spans="1:7" x14ac:dyDescent="0.25">
      <c r="A925" s="102"/>
      <c r="B925" s="200"/>
      <c r="C925" s="201"/>
      <c r="D925" s="202"/>
      <c r="E925" s="202"/>
      <c r="F925" s="203"/>
      <c r="G925" s="204"/>
    </row>
    <row r="926" spans="1:7" x14ac:dyDescent="0.25">
      <c r="A926" s="102"/>
      <c r="B926" s="200"/>
      <c r="C926" s="201"/>
      <c r="D926" s="202"/>
      <c r="E926" s="202"/>
      <c r="F926" s="203"/>
      <c r="G926" s="204"/>
    </row>
    <row r="927" spans="1:7" x14ac:dyDescent="0.25">
      <c r="A927" s="102"/>
      <c r="B927" s="200"/>
      <c r="C927" s="201"/>
      <c r="D927" s="202"/>
      <c r="E927" s="202"/>
      <c r="F927" s="203"/>
      <c r="G927" s="204"/>
    </row>
    <row r="928" spans="1:7" x14ac:dyDescent="0.25">
      <c r="A928" s="102"/>
      <c r="B928" s="200"/>
      <c r="C928" s="201"/>
      <c r="D928" s="202"/>
      <c r="E928" s="202"/>
      <c r="F928" s="203"/>
      <c r="G928" s="204"/>
    </row>
    <row r="929" spans="1:7" x14ac:dyDescent="0.25">
      <c r="A929" s="102"/>
      <c r="B929" s="200"/>
      <c r="C929" s="201"/>
      <c r="D929" s="202"/>
      <c r="E929" s="202"/>
      <c r="F929" s="203"/>
      <c r="G929" s="204"/>
    </row>
    <row r="930" spans="1:7" x14ac:dyDescent="0.25">
      <c r="A930" s="102"/>
      <c r="B930" s="200"/>
      <c r="C930" s="201"/>
      <c r="D930" s="202"/>
      <c r="E930" s="202"/>
      <c r="F930" s="203"/>
      <c r="G930" s="204"/>
    </row>
    <row r="931" spans="1:7" x14ac:dyDescent="0.25">
      <c r="A931" s="102"/>
      <c r="B931" s="200"/>
      <c r="C931" s="201"/>
      <c r="D931" s="202"/>
      <c r="E931" s="202"/>
      <c r="F931" s="203"/>
      <c r="G931" s="204"/>
    </row>
    <row r="932" spans="1:7" x14ac:dyDescent="0.25">
      <c r="A932" s="102"/>
      <c r="B932" s="200"/>
      <c r="C932" s="201"/>
      <c r="D932" s="202"/>
      <c r="E932" s="202"/>
      <c r="F932" s="203"/>
      <c r="G932" s="204"/>
    </row>
    <row r="933" spans="1:7" x14ac:dyDescent="0.25">
      <c r="A933" s="102"/>
      <c r="B933" s="200"/>
      <c r="C933" s="201"/>
      <c r="D933" s="202"/>
      <c r="E933" s="202"/>
      <c r="F933" s="203"/>
      <c r="G933" s="204"/>
    </row>
    <row r="934" spans="1:7" x14ac:dyDescent="0.25">
      <c r="A934" s="102"/>
      <c r="B934" s="200"/>
      <c r="C934" s="201"/>
      <c r="D934" s="202"/>
      <c r="E934" s="202"/>
      <c r="F934" s="203"/>
      <c r="G934" s="204"/>
    </row>
    <row r="935" spans="1:7" x14ac:dyDescent="0.25">
      <c r="A935" s="102"/>
      <c r="B935" s="200"/>
      <c r="C935" s="201"/>
      <c r="D935" s="202"/>
      <c r="E935" s="202"/>
      <c r="F935" s="203"/>
      <c r="G935" s="204"/>
    </row>
    <row r="936" spans="1:7" x14ac:dyDescent="0.25">
      <c r="A936" s="102"/>
      <c r="B936" s="200"/>
      <c r="C936" s="201"/>
      <c r="D936" s="202"/>
      <c r="E936" s="202"/>
      <c r="F936" s="203"/>
      <c r="G936" s="204"/>
    </row>
    <row r="937" spans="1:7" x14ac:dyDescent="0.25">
      <c r="A937" s="102"/>
      <c r="B937" s="200"/>
      <c r="C937" s="201"/>
      <c r="D937" s="202"/>
      <c r="E937" s="202"/>
      <c r="F937" s="203"/>
      <c r="G937" s="204"/>
    </row>
    <row r="938" spans="1:7" x14ac:dyDescent="0.25">
      <c r="A938" s="102"/>
      <c r="B938" s="200"/>
      <c r="C938" s="201"/>
      <c r="D938" s="202"/>
      <c r="E938" s="202"/>
      <c r="F938" s="203"/>
      <c r="G938" s="204"/>
    </row>
    <row r="939" spans="1:7" x14ac:dyDescent="0.25">
      <c r="A939" s="102"/>
      <c r="B939" s="200"/>
      <c r="C939" s="201"/>
      <c r="D939" s="202"/>
      <c r="E939" s="202"/>
      <c r="F939" s="203"/>
      <c r="G939" s="204"/>
    </row>
    <row r="940" spans="1:7" x14ac:dyDescent="0.25">
      <c r="A940" s="102"/>
      <c r="B940" s="200"/>
      <c r="C940" s="201"/>
      <c r="D940" s="202"/>
      <c r="E940" s="202"/>
      <c r="F940" s="203"/>
      <c r="G940" s="204"/>
    </row>
    <row r="941" spans="1:7" x14ac:dyDescent="0.25">
      <c r="A941" s="102"/>
      <c r="B941" s="200"/>
      <c r="C941" s="201"/>
      <c r="D941" s="202"/>
      <c r="E941" s="202"/>
      <c r="F941" s="203"/>
      <c r="G941" s="204"/>
    </row>
    <row r="942" spans="1:7" x14ac:dyDescent="0.25">
      <c r="A942" s="102"/>
      <c r="B942" s="200"/>
      <c r="C942" s="201"/>
      <c r="D942" s="202"/>
      <c r="E942" s="202"/>
      <c r="F942" s="203"/>
      <c r="G942" s="204"/>
    </row>
    <row r="943" spans="1:7" x14ac:dyDescent="0.25">
      <c r="A943" s="102"/>
      <c r="B943" s="200"/>
      <c r="C943" s="201"/>
      <c r="D943" s="202"/>
      <c r="E943" s="202"/>
      <c r="F943" s="203"/>
      <c r="G943" s="204"/>
    </row>
    <row r="944" spans="1:7" x14ac:dyDescent="0.25">
      <c r="A944" s="102"/>
      <c r="B944" s="200"/>
      <c r="C944" s="201"/>
      <c r="D944" s="202"/>
      <c r="E944" s="202"/>
      <c r="F944" s="203"/>
      <c r="G944" s="204"/>
    </row>
    <row r="945" spans="1:7" x14ac:dyDescent="0.25">
      <c r="A945" s="102"/>
      <c r="B945" s="200"/>
      <c r="C945" s="201"/>
      <c r="D945" s="202"/>
      <c r="E945" s="202"/>
      <c r="F945" s="203"/>
      <c r="G945" s="204"/>
    </row>
    <row r="946" spans="1:7" x14ac:dyDescent="0.25">
      <c r="A946" s="102"/>
      <c r="B946" s="200"/>
      <c r="C946" s="201"/>
      <c r="D946" s="202"/>
      <c r="E946" s="202"/>
      <c r="F946" s="203"/>
      <c r="G946" s="204"/>
    </row>
    <row r="947" spans="1:7" x14ac:dyDescent="0.25">
      <c r="A947" s="102"/>
      <c r="B947" s="200"/>
      <c r="C947" s="201"/>
      <c r="D947" s="202"/>
      <c r="E947" s="202"/>
      <c r="F947" s="203"/>
      <c r="G947" s="204"/>
    </row>
    <row r="948" spans="1:7" x14ac:dyDescent="0.25">
      <c r="A948" s="102"/>
      <c r="B948" s="200"/>
      <c r="C948" s="201"/>
      <c r="D948" s="202"/>
      <c r="E948" s="202"/>
      <c r="F948" s="203"/>
      <c r="G948" s="204"/>
    </row>
    <row r="949" spans="1:7" x14ac:dyDescent="0.25">
      <c r="A949" s="102"/>
      <c r="B949" s="200"/>
      <c r="C949" s="201"/>
      <c r="D949" s="202"/>
      <c r="E949" s="202"/>
      <c r="F949" s="203"/>
      <c r="G949" s="204"/>
    </row>
    <row r="950" spans="1:7" x14ac:dyDescent="0.25">
      <c r="A950" s="102"/>
      <c r="B950" s="200"/>
      <c r="C950" s="201"/>
      <c r="D950" s="202"/>
      <c r="E950" s="202"/>
      <c r="F950" s="203"/>
      <c r="G950" s="204"/>
    </row>
    <row r="951" spans="1:7" x14ac:dyDescent="0.25">
      <c r="A951" s="102"/>
      <c r="B951" s="200"/>
      <c r="C951" s="201"/>
      <c r="D951" s="202"/>
      <c r="E951" s="202"/>
      <c r="F951" s="203"/>
      <c r="G951" s="204"/>
    </row>
    <row r="952" spans="1:7" x14ac:dyDescent="0.25">
      <c r="A952" s="102"/>
      <c r="B952" s="200"/>
      <c r="C952" s="201"/>
      <c r="D952" s="202"/>
      <c r="E952" s="202"/>
      <c r="F952" s="203"/>
      <c r="G952" s="204"/>
    </row>
    <row r="953" spans="1:7" x14ac:dyDescent="0.25">
      <c r="A953" s="102"/>
      <c r="B953" s="200"/>
      <c r="C953" s="201"/>
      <c r="D953" s="202"/>
      <c r="E953" s="202"/>
      <c r="F953" s="203"/>
      <c r="G953" s="204"/>
    </row>
    <row r="954" spans="1:7" x14ac:dyDescent="0.25">
      <c r="A954" s="102"/>
      <c r="B954" s="200"/>
      <c r="C954" s="201"/>
      <c r="D954" s="202"/>
      <c r="E954" s="202"/>
      <c r="F954" s="203"/>
      <c r="G954" s="204"/>
    </row>
    <row r="955" spans="1:7" x14ac:dyDescent="0.25">
      <c r="A955" s="102"/>
      <c r="B955" s="200"/>
      <c r="C955" s="201"/>
      <c r="D955" s="202"/>
      <c r="E955" s="202"/>
      <c r="F955" s="203"/>
      <c r="G955" s="204"/>
    </row>
    <row r="956" spans="1:7" x14ac:dyDescent="0.25">
      <c r="A956" s="102"/>
      <c r="B956" s="200"/>
      <c r="C956" s="201"/>
      <c r="D956" s="202"/>
      <c r="E956" s="202"/>
      <c r="F956" s="203"/>
      <c r="G956" s="204"/>
    </row>
    <row r="957" spans="1:7" x14ac:dyDescent="0.25">
      <c r="A957" s="102"/>
      <c r="B957" s="200"/>
      <c r="C957" s="201"/>
      <c r="D957" s="202"/>
      <c r="E957" s="202"/>
      <c r="F957" s="203"/>
      <c r="G957" s="204"/>
    </row>
    <row r="958" spans="1:7" x14ac:dyDescent="0.25">
      <c r="A958" s="102"/>
      <c r="B958" s="200"/>
      <c r="C958" s="201"/>
      <c r="D958" s="202"/>
      <c r="E958" s="202"/>
      <c r="F958" s="203"/>
      <c r="G958" s="204"/>
    </row>
    <row r="959" spans="1:7" x14ac:dyDescent="0.25">
      <c r="A959" s="102"/>
      <c r="B959" s="200"/>
      <c r="C959" s="201"/>
      <c r="D959" s="202"/>
      <c r="E959" s="202"/>
      <c r="F959" s="203"/>
      <c r="G959" s="204"/>
    </row>
    <row r="960" spans="1:7" x14ac:dyDescent="0.25">
      <c r="A960" s="102"/>
      <c r="B960" s="200"/>
      <c r="C960" s="201"/>
      <c r="D960" s="202"/>
      <c r="E960" s="202"/>
      <c r="F960" s="203"/>
      <c r="G960" s="204"/>
    </row>
    <row r="961" spans="1:7" x14ac:dyDescent="0.25">
      <c r="A961" s="102"/>
      <c r="B961" s="200"/>
      <c r="C961" s="201"/>
      <c r="D961" s="202"/>
      <c r="E961" s="202"/>
      <c r="F961" s="203"/>
      <c r="G961" s="204"/>
    </row>
    <row r="962" spans="1:7" x14ac:dyDescent="0.25">
      <c r="A962" s="102"/>
      <c r="B962" s="200"/>
      <c r="C962" s="201"/>
      <c r="D962" s="202"/>
      <c r="E962" s="202"/>
      <c r="F962" s="203"/>
      <c r="G962" s="204"/>
    </row>
    <row r="963" spans="1:7" x14ac:dyDescent="0.25">
      <c r="A963" s="102"/>
      <c r="B963" s="200"/>
      <c r="C963" s="201"/>
      <c r="D963" s="202"/>
      <c r="E963" s="202"/>
      <c r="F963" s="203"/>
      <c r="G963" s="204"/>
    </row>
    <row r="964" spans="1:7" x14ac:dyDescent="0.25">
      <c r="A964" s="102"/>
      <c r="B964" s="200"/>
      <c r="C964" s="201"/>
      <c r="D964" s="202"/>
      <c r="E964" s="202"/>
      <c r="F964" s="203"/>
      <c r="G964" s="204"/>
    </row>
    <row r="965" spans="1:7" x14ac:dyDescent="0.25">
      <c r="A965" s="102"/>
      <c r="B965" s="200"/>
      <c r="C965" s="201"/>
      <c r="D965" s="202"/>
      <c r="E965" s="202"/>
      <c r="F965" s="203"/>
      <c r="G965" s="204"/>
    </row>
    <row r="966" spans="1:7" x14ac:dyDescent="0.25">
      <c r="A966" s="102"/>
      <c r="B966" s="200"/>
      <c r="C966" s="201"/>
      <c r="D966" s="202"/>
      <c r="E966" s="202"/>
      <c r="F966" s="203"/>
      <c r="G966" s="204"/>
    </row>
    <row r="967" spans="1:7" x14ac:dyDescent="0.25">
      <c r="A967" s="102"/>
      <c r="B967" s="200"/>
      <c r="C967" s="201"/>
      <c r="D967" s="202"/>
      <c r="E967" s="202"/>
      <c r="F967" s="203"/>
      <c r="G967" s="204"/>
    </row>
    <row r="968" spans="1:7" x14ac:dyDescent="0.25">
      <c r="A968" s="102"/>
      <c r="B968" s="200"/>
      <c r="C968" s="201"/>
      <c r="D968" s="202"/>
      <c r="E968" s="202"/>
      <c r="F968" s="203"/>
      <c r="G968" s="204"/>
    </row>
    <row r="969" spans="1:7" x14ac:dyDescent="0.25">
      <c r="A969" s="102"/>
      <c r="B969" s="200"/>
      <c r="C969" s="201"/>
      <c r="D969" s="202"/>
      <c r="E969" s="202"/>
      <c r="F969" s="203"/>
      <c r="G969" s="204"/>
    </row>
    <row r="970" spans="1:7" x14ac:dyDescent="0.25">
      <c r="A970" s="102"/>
      <c r="B970" s="200"/>
      <c r="C970" s="201"/>
      <c r="D970" s="202"/>
      <c r="E970" s="202"/>
      <c r="F970" s="203"/>
      <c r="G970" s="204"/>
    </row>
    <row r="971" spans="1:7" x14ac:dyDescent="0.25">
      <c r="A971" s="102"/>
      <c r="B971" s="200"/>
      <c r="C971" s="201"/>
      <c r="D971" s="202"/>
      <c r="E971" s="202"/>
      <c r="F971" s="203"/>
      <c r="G971" s="204"/>
    </row>
    <row r="972" spans="1:7" x14ac:dyDescent="0.25">
      <c r="A972" s="102"/>
      <c r="B972" s="200"/>
      <c r="C972" s="201"/>
      <c r="D972" s="202"/>
      <c r="E972" s="202"/>
      <c r="F972" s="203"/>
      <c r="G972" s="204"/>
    </row>
    <row r="973" spans="1:7" x14ac:dyDescent="0.25">
      <c r="A973" s="102"/>
      <c r="B973" s="200"/>
      <c r="C973" s="201"/>
      <c r="D973" s="202"/>
      <c r="E973" s="202"/>
      <c r="F973" s="203"/>
      <c r="G973" s="204"/>
    </row>
    <row r="974" spans="1:7" x14ac:dyDescent="0.25">
      <c r="A974" s="102"/>
      <c r="B974" s="200"/>
      <c r="C974" s="201"/>
      <c r="D974" s="202"/>
      <c r="E974" s="202"/>
      <c r="F974" s="203"/>
      <c r="G974" s="204"/>
    </row>
    <row r="975" spans="1:7" x14ac:dyDescent="0.25">
      <c r="A975" s="102"/>
      <c r="B975" s="200"/>
      <c r="C975" s="201"/>
      <c r="D975" s="202"/>
      <c r="E975" s="202"/>
      <c r="F975" s="203"/>
      <c r="G975" s="204"/>
    </row>
    <row r="976" spans="1:7" x14ac:dyDescent="0.25">
      <c r="A976" s="102"/>
      <c r="B976" s="200"/>
      <c r="C976" s="201"/>
      <c r="D976" s="202"/>
      <c r="E976" s="202"/>
      <c r="F976" s="203"/>
      <c r="G976" s="204"/>
    </row>
    <row r="977" spans="1:7" x14ac:dyDescent="0.25">
      <c r="A977" s="102"/>
      <c r="B977" s="200"/>
      <c r="C977" s="201"/>
      <c r="D977" s="202"/>
      <c r="E977" s="202"/>
      <c r="F977" s="203"/>
      <c r="G977" s="204"/>
    </row>
    <row r="978" spans="1:7" x14ac:dyDescent="0.25">
      <c r="A978" s="102"/>
      <c r="B978" s="200"/>
      <c r="C978" s="201"/>
      <c r="D978" s="202"/>
      <c r="E978" s="202"/>
      <c r="F978" s="203"/>
      <c r="G978" s="204"/>
    </row>
    <row r="979" spans="1:7" x14ac:dyDescent="0.25">
      <c r="A979" s="102"/>
      <c r="B979" s="200"/>
      <c r="C979" s="201"/>
      <c r="D979" s="202"/>
      <c r="E979" s="202"/>
      <c r="F979" s="203"/>
      <c r="G979" s="204"/>
    </row>
    <row r="980" spans="1:7" x14ac:dyDescent="0.25">
      <c r="A980" s="102"/>
      <c r="B980" s="200"/>
      <c r="C980" s="201"/>
      <c r="D980" s="202"/>
      <c r="E980" s="202"/>
      <c r="F980" s="203"/>
      <c r="G980" s="204"/>
    </row>
    <row r="981" spans="1:7" x14ac:dyDescent="0.25">
      <c r="A981" s="102"/>
      <c r="B981" s="200"/>
      <c r="C981" s="201"/>
      <c r="D981" s="202"/>
      <c r="E981" s="202"/>
      <c r="F981" s="203"/>
      <c r="G981" s="204"/>
    </row>
    <row r="982" spans="1:7" x14ac:dyDescent="0.25">
      <c r="A982" s="102"/>
      <c r="B982" s="200"/>
      <c r="C982" s="201"/>
      <c r="D982" s="202"/>
      <c r="E982" s="202"/>
      <c r="F982" s="203"/>
      <c r="G982" s="204"/>
    </row>
  </sheetData>
  <autoFilter ref="A5:G219">
    <sortState ref="A6:G219">
      <sortCondition ref="B5:B203"/>
    </sortState>
  </autoFilter>
  <mergeCells count="8">
    <mergeCell ref="N9:N10"/>
    <mergeCell ref="O9:Q9"/>
    <mergeCell ref="A1:F1"/>
    <mergeCell ref="A2:F2"/>
    <mergeCell ref="I5:I7"/>
    <mergeCell ref="J5:L5"/>
    <mergeCell ref="N5:N6"/>
    <mergeCell ref="O5:Q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1"/>
  <sheetViews>
    <sheetView topLeftCell="D5" zoomScale="110" zoomScaleNormal="110" workbookViewId="0">
      <selection activeCell="Y11" sqref="Y11"/>
    </sheetView>
  </sheetViews>
  <sheetFormatPr defaultRowHeight="15" x14ac:dyDescent="0.25"/>
  <cols>
    <col min="1" max="1" width="7" customWidth="1"/>
    <col min="2" max="2" width="11.28515625" customWidth="1"/>
    <col min="3" max="3" width="8.42578125" customWidth="1"/>
    <col min="4" max="4" width="13.28515625" customWidth="1"/>
    <col min="5" max="5" width="29.140625" customWidth="1"/>
    <col min="6" max="6" width="7.5703125" customWidth="1"/>
    <col min="7" max="7" width="11.7109375" customWidth="1"/>
    <col min="9" max="9" width="15.42578125" customWidth="1"/>
    <col min="10" max="10" width="16.42578125" bestFit="1" customWidth="1"/>
    <col min="11" max="11" width="15.28515625" customWidth="1"/>
    <col min="12" max="12" width="15.7109375" customWidth="1"/>
    <col min="13" max="13" width="10.140625" customWidth="1"/>
    <col min="14" max="14" width="28.7109375" bestFit="1" customWidth="1"/>
    <col min="15" max="15" width="13.140625" customWidth="1"/>
    <col min="16" max="16" width="13.42578125" customWidth="1"/>
    <col min="17" max="17" width="14.28515625" customWidth="1"/>
    <col min="18" max="18" width="11.42578125" bestFit="1" customWidth="1"/>
  </cols>
  <sheetData>
    <row r="1" spans="1:17" ht="15.75" x14ac:dyDescent="0.25">
      <c r="A1" s="94" t="s">
        <v>1703</v>
      </c>
      <c r="B1" s="94"/>
      <c r="C1" s="94"/>
      <c r="D1" s="94"/>
      <c r="E1" s="94"/>
      <c r="F1" s="94"/>
    </row>
    <row r="2" spans="1:17" x14ac:dyDescent="0.25">
      <c r="A2" s="98" t="s">
        <v>1688</v>
      </c>
      <c r="B2" s="98"/>
      <c r="C2" s="98"/>
      <c r="D2" s="98"/>
      <c r="E2" s="98"/>
      <c r="F2" s="98"/>
    </row>
    <row r="4" spans="1:17" x14ac:dyDescent="0.25">
      <c r="A4" s="46"/>
    </row>
    <row r="5" spans="1:17" ht="30" x14ac:dyDescent="0.25">
      <c r="A5" s="106" t="s">
        <v>0</v>
      </c>
      <c r="B5" s="107" t="s">
        <v>2</v>
      </c>
      <c r="C5" s="107" t="s">
        <v>751</v>
      </c>
      <c r="D5" s="106" t="s">
        <v>4</v>
      </c>
      <c r="E5" s="106" t="s">
        <v>5</v>
      </c>
      <c r="F5" s="106" t="s">
        <v>752</v>
      </c>
      <c r="G5" s="109" t="s">
        <v>754</v>
      </c>
      <c r="I5" s="176" t="s">
        <v>1689</v>
      </c>
      <c r="J5" s="205" t="s">
        <v>751</v>
      </c>
      <c r="K5" s="205"/>
      <c r="L5" s="205"/>
      <c r="N5" s="205" t="s">
        <v>1690</v>
      </c>
      <c r="O5" s="205" t="s">
        <v>757</v>
      </c>
      <c r="P5" s="205"/>
      <c r="Q5" s="205"/>
    </row>
    <row r="6" spans="1:17" x14ac:dyDescent="0.25">
      <c r="A6" s="197">
        <v>1</v>
      </c>
      <c r="B6" s="116">
        <v>45322</v>
      </c>
      <c r="C6" s="117">
        <v>2024</v>
      </c>
      <c r="D6" s="118" t="s">
        <v>833</v>
      </c>
      <c r="E6" s="119" t="s">
        <v>589</v>
      </c>
      <c r="F6" s="120">
        <v>5</v>
      </c>
      <c r="G6" s="121">
        <v>187815</v>
      </c>
      <c r="I6" s="182"/>
      <c r="J6" s="183">
        <v>2024</v>
      </c>
      <c r="K6" s="183">
        <v>2025</v>
      </c>
      <c r="L6" s="183">
        <v>2026</v>
      </c>
      <c r="N6" s="205"/>
      <c r="O6" s="183">
        <v>2024</v>
      </c>
      <c r="P6" s="183">
        <v>2025</v>
      </c>
      <c r="Q6" s="183">
        <v>2026</v>
      </c>
    </row>
    <row r="7" spans="1:17" x14ac:dyDescent="0.25">
      <c r="A7" s="197">
        <v>2</v>
      </c>
      <c r="B7" s="116">
        <v>45322</v>
      </c>
      <c r="C7" s="117">
        <v>2024</v>
      </c>
      <c r="D7" s="118" t="s">
        <v>833</v>
      </c>
      <c r="E7" s="119" t="s">
        <v>589</v>
      </c>
      <c r="F7" s="120">
        <v>15</v>
      </c>
      <c r="G7" s="121">
        <v>640845</v>
      </c>
      <c r="I7" s="184"/>
      <c r="J7" s="128">
        <v>35341039</v>
      </c>
      <c r="K7" s="128">
        <v>24539074</v>
      </c>
      <c r="L7" s="32">
        <v>10434037</v>
      </c>
      <c r="N7" s="18" t="s">
        <v>589</v>
      </c>
      <c r="O7" s="128">
        <v>19933545</v>
      </c>
      <c r="P7" s="128">
        <v>12064375</v>
      </c>
      <c r="Q7" s="32">
        <v>6035583</v>
      </c>
    </row>
    <row r="8" spans="1:17" x14ac:dyDescent="0.25">
      <c r="A8" s="197">
        <v>3</v>
      </c>
      <c r="B8" s="116">
        <v>45322</v>
      </c>
      <c r="C8" s="117">
        <v>2024</v>
      </c>
      <c r="D8" s="118" t="s">
        <v>833</v>
      </c>
      <c r="E8" s="119" t="s">
        <v>589</v>
      </c>
      <c r="F8" s="120">
        <v>10</v>
      </c>
      <c r="G8" s="121">
        <v>427230</v>
      </c>
    </row>
    <row r="9" spans="1:17" x14ac:dyDescent="0.25">
      <c r="A9" s="197">
        <v>4</v>
      </c>
      <c r="B9" s="116">
        <v>45322</v>
      </c>
      <c r="C9" s="117">
        <v>2024</v>
      </c>
      <c r="D9" s="118" t="s">
        <v>833</v>
      </c>
      <c r="E9" s="119" t="s">
        <v>589</v>
      </c>
      <c r="F9" s="120">
        <v>1</v>
      </c>
      <c r="G9" s="121">
        <v>425000</v>
      </c>
      <c r="N9" s="205" t="s">
        <v>1690</v>
      </c>
      <c r="O9" s="205" t="s">
        <v>1691</v>
      </c>
      <c r="P9" s="205"/>
      <c r="Q9" s="205"/>
    </row>
    <row r="10" spans="1:17" x14ac:dyDescent="0.25">
      <c r="A10" s="197">
        <v>5</v>
      </c>
      <c r="B10" s="116">
        <v>45322</v>
      </c>
      <c r="C10" s="117">
        <v>2024</v>
      </c>
      <c r="D10" s="118" t="s">
        <v>833</v>
      </c>
      <c r="E10" s="119" t="s">
        <v>589</v>
      </c>
      <c r="F10" s="120">
        <v>5</v>
      </c>
      <c r="G10" s="121">
        <v>180900</v>
      </c>
      <c r="N10" s="205"/>
      <c r="O10" s="183">
        <v>2024</v>
      </c>
      <c r="P10" s="183">
        <v>2025</v>
      </c>
      <c r="Q10" s="183">
        <v>2026</v>
      </c>
    </row>
    <row r="11" spans="1:17" x14ac:dyDescent="0.25">
      <c r="A11" s="197">
        <v>6</v>
      </c>
      <c r="B11" s="116">
        <v>45322</v>
      </c>
      <c r="C11" s="117">
        <v>2024</v>
      </c>
      <c r="D11" s="118" t="s">
        <v>833</v>
      </c>
      <c r="E11" s="119" t="s">
        <v>589</v>
      </c>
      <c r="F11" s="120">
        <v>5</v>
      </c>
      <c r="G11" s="121">
        <v>206025</v>
      </c>
      <c r="N11" s="18" t="s">
        <v>847</v>
      </c>
      <c r="O11" s="128" t="s">
        <v>1704</v>
      </c>
      <c r="P11" s="128"/>
      <c r="Q11" s="32"/>
    </row>
    <row r="12" spans="1:17" x14ac:dyDescent="0.25">
      <c r="A12" s="197">
        <v>7</v>
      </c>
      <c r="B12" s="116">
        <v>45322</v>
      </c>
      <c r="C12" s="117">
        <v>2024</v>
      </c>
      <c r="D12" s="118" t="s">
        <v>833</v>
      </c>
      <c r="E12" s="119" t="s">
        <v>632</v>
      </c>
      <c r="F12" s="120">
        <v>12</v>
      </c>
      <c r="G12" s="121">
        <v>20000</v>
      </c>
      <c r="N12" s="5" t="s">
        <v>589</v>
      </c>
      <c r="O12" s="5"/>
      <c r="P12" s="5" t="s">
        <v>1705</v>
      </c>
      <c r="Q12" s="5"/>
    </row>
    <row r="13" spans="1:17" x14ac:dyDescent="0.25">
      <c r="A13" s="197">
        <v>8</v>
      </c>
      <c r="B13" s="116">
        <v>45322</v>
      </c>
      <c r="C13" s="117">
        <v>2024</v>
      </c>
      <c r="D13" s="118" t="s">
        <v>833</v>
      </c>
      <c r="E13" s="119" t="s">
        <v>834</v>
      </c>
      <c r="F13" s="120">
        <v>1</v>
      </c>
      <c r="G13" s="121">
        <v>9250</v>
      </c>
      <c r="N13" s="5" t="s">
        <v>846</v>
      </c>
      <c r="O13" s="5"/>
      <c r="P13" s="5"/>
      <c r="Q13" s="5" t="s">
        <v>1706</v>
      </c>
    </row>
    <row r="14" spans="1:17" x14ac:dyDescent="0.25">
      <c r="A14" s="197">
        <v>9</v>
      </c>
      <c r="B14" s="116">
        <v>45322</v>
      </c>
      <c r="C14" s="117">
        <v>2024</v>
      </c>
      <c r="D14" s="118" t="s">
        <v>833</v>
      </c>
      <c r="E14" s="119" t="s">
        <v>588</v>
      </c>
      <c r="F14" s="120">
        <v>3</v>
      </c>
      <c r="G14" s="121">
        <v>16500</v>
      </c>
    </row>
    <row r="15" spans="1:17" x14ac:dyDescent="0.25">
      <c r="A15" s="197">
        <v>10</v>
      </c>
      <c r="B15" s="116">
        <v>45328</v>
      </c>
      <c r="C15" s="117">
        <v>2024</v>
      </c>
      <c r="D15" s="118" t="s">
        <v>833</v>
      </c>
      <c r="E15" s="119" t="s">
        <v>589</v>
      </c>
      <c r="F15" s="120">
        <v>1</v>
      </c>
      <c r="G15" s="121">
        <v>244000</v>
      </c>
    </row>
    <row r="16" spans="1:17" x14ac:dyDescent="0.25">
      <c r="A16" s="197">
        <v>11</v>
      </c>
      <c r="B16" s="116">
        <v>45331</v>
      </c>
      <c r="C16" s="117">
        <v>2024</v>
      </c>
      <c r="D16" s="118" t="s">
        <v>833</v>
      </c>
      <c r="E16" s="119" t="s">
        <v>845</v>
      </c>
      <c r="F16" s="120">
        <v>2</v>
      </c>
      <c r="G16" s="121">
        <v>50000</v>
      </c>
    </row>
    <row r="17" spans="1:7" x14ac:dyDescent="0.25">
      <c r="A17" s="197">
        <v>12</v>
      </c>
      <c r="B17" s="116">
        <v>45334</v>
      </c>
      <c r="C17" s="117">
        <v>2024</v>
      </c>
      <c r="D17" s="118" t="s">
        <v>833</v>
      </c>
      <c r="E17" s="119" t="s">
        <v>846</v>
      </c>
      <c r="F17" s="120">
        <v>10</v>
      </c>
      <c r="G17" s="121">
        <v>78500</v>
      </c>
    </row>
    <row r="18" spans="1:7" x14ac:dyDescent="0.25">
      <c r="A18" s="197">
        <v>13</v>
      </c>
      <c r="B18" s="116">
        <v>45334</v>
      </c>
      <c r="C18" s="117">
        <v>2024</v>
      </c>
      <c r="D18" s="118" t="s">
        <v>833</v>
      </c>
      <c r="E18" s="119" t="s">
        <v>846</v>
      </c>
      <c r="F18" s="120">
        <v>45</v>
      </c>
      <c r="G18" s="121">
        <v>517500</v>
      </c>
    </row>
    <row r="19" spans="1:7" x14ac:dyDescent="0.25">
      <c r="A19" s="197">
        <v>14</v>
      </c>
      <c r="B19" s="116">
        <v>45334</v>
      </c>
      <c r="C19" s="117">
        <v>2024</v>
      </c>
      <c r="D19" s="118" t="s">
        <v>833</v>
      </c>
      <c r="E19" s="119" t="s">
        <v>847</v>
      </c>
      <c r="F19" s="120">
        <v>100</v>
      </c>
      <c r="G19" s="121">
        <v>38500</v>
      </c>
    </row>
    <row r="20" spans="1:7" x14ac:dyDescent="0.25">
      <c r="A20" s="197">
        <v>15</v>
      </c>
      <c r="B20" s="116">
        <v>45334</v>
      </c>
      <c r="C20" s="117">
        <v>2024</v>
      </c>
      <c r="D20" s="118" t="s">
        <v>833</v>
      </c>
      <c r="E20" s="119" t="s">
        <v>87</v>
      </c>
      <c r="F20" s="120">
        <v>12</v>
      </c>
      <c r="G20" s="121">
        <v>18600</v>
      </c>
    </row>
    <row r="21" spans="1:7" x14ac:dyDescent="0.25">
      <c r="A21" s="197">
        <v>16</v>
      </c>
      <c r="B21" s="116">
        <v>45334</v>
      </c>
      <c r="C21" s="117">
        <v>2024</v>
      </c>
      <c r="D21" s="118" t="s">
        <v>833</v>
      </c>
      <c r="E21" s="119" t="s">
        <v>103</v>
      </c>
      <c r="F21" s="120">
        <v>24</v>
      </c>
      <c r="G21" s="121">
        <v>23000</v>
      </c>
    </row>
    <row r="22" spans="1:7" x14ac:dyDescent="0.25">
      <c r="A22" s="197">
        <v>17</v>
      </c>
      <c r="B22" s="116">
        <v>45334</v>
      </c>
      <c r="C22" s="117">
        <v>2024</v>
      </c>
      <c r="D22" s="118" t="s">
        <v>833</v>
      </c>
      <c r="E22" s="119" t="s">
        <v>91</v>
      </c>
      <c r="F22" s="120">
        <v>12</v>
      </c>
      <c r="G22" s="121">
        <v>82800</v>
      </c>
    </row>
    <row r="23" spans="1:7" x14ac:dyDescent="0.25">
      <c r="A23" s="197">
        <v>18</v>
      </c>
      <c r="B23" s="116">
        <v>45334</v>
      </c>
      <c r="C23" s="117">
        <v>2024</v>
      </c>
      <c r="D23" s="118" t="s">
        <v>833</v>
      </c>
      <c r="E23" s="119" t="s">
        <v>535</v>
      </c>
      <c r="F23" s="120">
        <v>60</v>
      </c>
      <c r="G23" s="121">
        <v>165000</v>
      </c>
    </row>
    <row r="24" spans="1:7" x14ac:dyDescent="0.25">
      <c r="A24" s="197">
        <v>19</v>
      </c>
      <c r="B24" s="116">
        <v>45334</v>
      </c>
      <c r="C24" s="117">
        <v>2024</v>
      </c>
      <c r="D24" s="118" t="s">
        <v>833</v>
      </c>
      <c r="E24" s="119" t="s">
        <v>398</v>
      </c>
      <c r="F24" s="120">
        <v>42</v>
      </c>
      <c r="G24" s="121">
        <v>277536</v>
      </c>
    </row>
    <row r="25" spans="1:7" x14ac:dyDescent="0.25">
      <c r="A25" s="197">
        <v>20</v>
      </c>
      <c r="B25" s="116">
        <v>45334</v>
      </c>
      <c r="C25" s="117">
        <v>2024</v>
      </c>
      <c r="D25" s="118" t="s">
        <v>833</v>
      </c>
      <c r="E25" s="119" t="s">
        <v>848</v>
      </c>
      <c r="F25" s="120">
        <v>12</v>
      </c>
      <c r="G25" s="121">
        <v>19500</v>
      </c>
    </row>
    <row r="26" spans="1:7" x14ac:dyDescent="0.25">
      <c r="A26" s="197">
        <v>21</v>
      </c>
      <c r="B26" s="116">
        <v>45334</v>
      </c>
      <c r="C26" s="117">
        <v>2024</v>
      </c>
      <c r="D26" s="118" t="s">
        <v>833</v>
      </c>
      <c r="E26" s="119" t="s">
        <v>848</v>
      </c>
      <c r="F26" s="120">
        <v>6</v>
      </c>
      <c r="G26" s="121">
        <v>14832</v>
      </c>
    </row>
    <row r="27" spans="1:7" x14ac:dyDescent="0.25">
      <c r="A27" s="197">
        <v>22</v>
      </c>
      <c r="B27" s="116">
        <v>45334</v>
      </c>
      <c r="C27" s="117">
        <v>2024</v>
      </c>
      <c r="D27" s="118" t="s">
        <v>833</v>
      </c>
      <c r="E27" s="119" t="s">
        <v>848</v>
      </c>
      <c r="F27" s="120">
        <v>36</v>
      </c>
      <c r="G27" s="121">
        <v>237888</v>
      </c>
    </row>
    <row r="28" spans="1:7" x14ac:dyDescent="0.25">
      <c r="A28" s="197">
        <v>23</v>
      </c>
      <c r="B28" s="116">
        <v>45334</v>
      </c>
      <c r="C28" s="117">
        <v>2024</v>
      </c>
      <c r="D28" s="118" t="s">
        <v>833</v>
      </c>
      <c r="E28" s="119" t="s">
        <v>620</v>
      </c>
      <c r="F28" s="120">
        <v>3</v>
      </c>
      <c r="G28" s="121">
        <v>55833</v>
      </c>
    </row>
    <row r="29" spans="1:7" x14ac:dyDescent="0.25">
      <c r="A29" s="197">
        <v>24</v>
      </c>
      <c r="B29" s="116">
        <v>45334</v>
      </c>
      <c r="C29" s="117">
        <v>2024</v>
      </c>
      <c r="D29" s="118" t="s">
        <v>833</v>
      </c>
      <c r="E29" s="119" t="s">
        <v>589</v>
      </c>
      <c r="F29" s="120">
        <v>10</v>
      </c>
      <c r="G29" s="121">
        <v>427230</v>
      </c>
    </row>
    <row r="30" spans="1:7" x14ac:dyDescent="0.25">
      <c r="A30" s="197">
        <v>25</v>
      </c>
      <c r="B30" s="116">
        <v>45334</v>
      </c>
      <c r="C30" s="117">
        <v>2024</v>
      </c>
      <c r="D30" s="118" t="s">
        <v>833</v>
      </c>
      <c r="E30" s="119" t="s">
        <v>589</v>
      </c>
      <c r="F30" s="120">
        <v>1</v>
      </c>
      <c r="G30" s="121">
        <v>425000</v>
      </c>
    </row>
    <row r="31" spans="1:7" x14ac:dyDescent="0.25">
      <c r="A31" s="197">
        <v>26</v>
      </c>
      <c r="B31" s="116">
        <v>45334</v>
      </c>
      <c r="C31" s="117">
        <v>2024</v>
      </c>
      <c r="D31" s="118" t="s">
        <v>833</v>
      </c>
      <c r="E31" s="119" t="s">
        <v>589</v>
      </c>
      <c r="F31" s="120">
        <v>1</v>
      </c>
      <c r="G31" s="121">
        <v>244000</v>
      </c>
    </row>
    <row r="32" spans="1:7" x14ac:dyDescent="0.25">
      <c r="A32" s="197">
        <v>27</v>
      </c>
      <c r="B32" s="116">
        <v>45334</v>
      </c>
      <c r="C32" s="117">
        <v>2024</v>
      </c>
      <c r="D32" s="118" t="s">
        <v>833</v>
      </c>
      <c r="E32" s="119" t="s">
        <v>632</v>
      </c>
      <c r="F32" s="120">
        <v>12</v>
      </c>
      <c r="G32" s="121">
        <v>10000</v>
      </c>
    </row>
    <row r="33" spans="1:7" x14ac:dyDescent="0.25">
      <c r="A33" s="197">
        <v>28</v>
      </c>
      <c r="B33" s="116">
        <v>45334</v>
      </c>
      <c r="C33" s="117">
        <v>2024</v>
      </c>
      <c r="D33" s="118" t="s">
        <v>833</v>
      </c>
      <c r="E33" s="119" t="s">
        <v>517</v>
      </c>
      <c r="F33" s="120">
        <v>2</v>
      </c>
      <c r="G33" s="121">
        <v>9000</v>
      </c>
    </row>
    <row r="34" spans="1:7" x14ac:dyDescent="0.25">
      <c r="A34" s="197">
        <v>29</v>
      </c>
      <c r="B34" s="116">
        <v>45334</v>
      </c>
      <c r="C34" s="117">
        <v>2024</v>
      </c>
      <c r="D34" s="118" t="s">
        <v>833</v>
      </c>
      <c r="E34" s="119" t="s">
        <v>493</v>
      </c>
      <c r="F34" s="120">
        <v>10</v>
      </c>
      <c r="G34" s="121">
        <v>95000</v>
      </c>
    </row>
    <row r="35" spans="1:7" x14ac:dyDescent="0.25">
      <c r="A35" s="197">
        <v>30</v>
      </c>
      <c r="B35" s="116">
        <v>45334</v>
      </c>
      <c r="C35" s="117">
        <v>2024</v>
      </c>
      <c r="D35" s="118" t="s">
        <v>833</v>
      </c>
      <c r="E35" s="119" t="s">
        <v>854</v>
      </c>
      <c r="F35" s="120">
        <v>12</v>
      </c>
      <c r="G35" s="121">
        <v>67800</v>
      </c>
    </row>
    <row r="36" spans="1:7" x14ac:dyDescent="0.25">
      <c r="A36" s="197">
        <v>31</v>
      </c>
      <c r="B36" s="116">
        <v>45334</v>
      </c>
      <c r="C36" s="117">
        <v>2024</v>
      </c>
      <c r="D36" s="118" t="s">
        <v>833</v>
      </c>
      <c r="E36" s="119" t="s">
        <v>855</v>
      </c>
      <c r="F36" s="120">
        <v>1</v>
      </c>
      <c r="G36" s="121">
        <v>14500</v>
      </c>
    </row>
    <row r="37" spans="1:7" x14ac:dyDescent="0.25">
      <c r="A37" s="197">
        <v>32</v>
      </c>
      <c r="B37" s="116">
        <v>45334</v>
      </c>
      <c r="C37" s="117">
        <v>2024</v>
      </c>
      <c r="D37" s="118" t="s">
        <v>833</v>
      </c>
      <c r="E37" s="119" t="s">
        <v>306</v>
      </c>
      <c r="F37" s="120">
        <v>5</v>
      </c>
      <c r="G37" s="121">
        <v>52500</v>
      </c>
    </row>
    <row r="38" spans="1:7" x14ac:dyDescent="0.25">
      <c r="A38" s="197">
        <v>33</v>
      </c>
      <c r="B38" s="116">
        <v>45334</v>
      </c>
      <c r="C38" s="117">
        <v>2024</v>
      </c>
      <c r="D38" s="118" t="s">
        <v>833</v>
      </c>
      <c r="E38" s="119" t="s">
        <v>767</v>
      </c>
      <c r="F38" s="120">
        <v>1</v>
      </c>
      <c r="G38" s="121">
        <v>74000</v>
      </c>
    </row>
    <row r="39" spans="1:7" x14ac:dyDescent="0.25">
      <c r="A39" s="197">
        <v>34</v>
      </c>
      <c r="B39" s="116">
        <v>45334</v>
      </c>
      <c r="C39" s="117">
        <v>2024</v>
      </c>
      <c r="D39" s="118" t="s">
        <v>833</v>
      </c>
      <c r="E39" s="119" t="s">
        <v>495</v>
      </c>
      <c r="F39" s="120">
        <v>2</v>
      </c>
      <c r="G39" s="121">
        <v>174000</v>
      </c>
    </row>
    <row r="40" spans="1:7" x14ac:dyDescent="0.25">
      <c r="A40" s="197">
        <v>35</v>
      </c>
      <c r="B40" s="116">
        <v>45341</v>
      </c>
      <c r="C40" s="117">
        <v>2024</v>
      </c>
      <c r="D40" s="118" t="s">
        <v>833</v>
      </c>
      <c r="E40" s="119" t="s">
        <v>589</v>
      </c>
      <c r="F40" s="120">
        <v>1</v>
      </c>
      <c r="G40" s="121">
        <v>333000</v>
      </c>
    </row>
    <row r="41" spans="1:7" x14ac:dyDescent="0.25">
      <c r="A41" s="197">
        <v>36</v>
      </c>
      <c r="B41" s="116">
        <v>45343</v>
      </c>
      <c r="C41" s="117">
        <v>2024</v>
      </c>
      <c r="D41" s="118" t="s">
        <v>833</v>
      </c>
      <c r="E41" s="119" t="s">
        <v>913</v>
      </c>
      <c r="F41" s="120">
        <v>1</v>
      </c>
      <c r="G41" s="121">
        <v>45000</v>
      </c>
    </row>
    <row r="42" spans="1:7" x14ac:dyDescent="0.25">
      <c r="A42" s="197">
        <v>37</v>
      </c>
      <c r="B42" s="116">
        <v>45360</v>
      </c>
      <c r="C42" s="117">
        <v>2024</v>
      </c>
      <c r="D42" s="118" t="s">
        <v>833</v>
      </c>
      <c r="E42" s="119" t="s">
        <v>846</v>
      </c>
      <c r="F42" s="120">
        <v>5</v>
      </c>
      <c r="G42" s="121">
        <v>39250</v>
      </c>
    </row>
    <row r="43" spans="1:7" x14ac:dyDescent="0.25">
      <c r="A43" s="197">
        <v>38</v>
      </c>
      <c r="B43" s="116">
        <v>45360</v>
      </c>
      <c r="C43" s="117">
        <v>2024</v>
      </c>
      <c r="D43" s="118" t="s">
        <v>833</v>
      </c>
      <c r="E43" s="119" t="s">
        <v>846</v>
      </c>
      <c r="F43" s="120">
        <v>40</v>
      </c>
      <c r="G43" s="121">
        <v>460000</v>
      </c>
    </row>
    <row r="44" spans="1:7" x14ac:dyDescent="0.25">
      <c r="A44" s="197">
        <v>39</v>
      </c>
      <c r="B44" s="116">
        <v>45360</v>
      </c>
      <c r="C44" s="117">
        <v>2024</v>
      </c>
      <c r="D44" s="118" t="s">
        <v>833</v>
      </c>
      <c r="E44" s="119" t="s">
        <v>192</v>
      </c>
      <c r="F44" s="120">
        <v>10</v>
      </c>
      <c r="G44" s="121">
        <v>65000</v>
      </c>
    </row>
    <row r="45" spans="1:7" x14ac:dyDescent="0.25">
      <c r="A45" s="197">
        <v>40</v>
      </c>
      <c r="B45" s="116">
        <v>45360</v>
      </c>
      <c r="C45" s="117">
        <v>2024</v>
      </c>
      <c r="D45" s="118" t="s">
        <v>833</v>
      </c>
      <c r="E45" s="119" t="s">
        <v>192</v>
      </c>
      <c r="F45" s="120">
        <v>2</v>
      </c>
      <c r="G45" s="121">
        <v>20000</v>
      </c>
    </row>
    <row r="46" spans="1:7" x14ac:dyDescent="0.25">
      <c r="A46" s="197">
        <v>41</v>
      </c>
      <c r="B46" s="116">
        <v>45360</v>
      </c>
      <c r="C46" s="117">
        <v>2024</v>
      </c>
      <c r="D46" s="118" t="s">
        <v>833</v>
      </c>
      <c r="E46" s="119" t="s">
        <v>924</v>
      </c>
      <c r="F46" s="120">
        <v>2</v>
      </c>
      <c r="G46" s="121">
        <v>7500</v>
      </c>
    </row>
    <row r="47" spans="1:7" x14ac:dyDescent="0.25">
      <c r="A47" s="197">
        <v>42</v>
      </c>
      <c r="B47" s="116">
        <v>45360</v>
      </c>
      <c r="C47" s="117">
        <v>2024</v>
      </c>
      <c r="D47" s="118" t="s">
        <v>833</v>
      </c>
      <c r="E47" s="119" t="s">
        <v>511</v>
      </c>
      <c r="F47" s="120">
        <v>5</v>
      </c>
      <c r="G47" s="121">
        <v>138500</v>
      </c>
    </row>
    <row r="48" spans="1:7" x14ac:dyDescent="0.25">
      <c r="A48" s="197">
        <v>43</v>
      </c>
      <c r="B48" s="116">
        <v>45360</v>
      </c>
      <c r="C48" s="117">
        <v>2024</v>
      </c>
      <c r="D48" s="118" t="s">
        <v>833</v>
      </c>
      <c r="E48" s="119" t="s">
        <v>87</v>
      </c>
      <c r="F48" s="120">
        <v>24</v>
      </c>
      <c r="G48" s="121">
        <v>37200</v>
      </c>
    </row>
    <row r="49" spans="1:7" x14ac:dyDescent="0.25">
      <c r="A49" s="197">
        <v>44</v>
      </c>
      <c r="B49" s="116">
        <v>45360</v>
      </c>
      <c r="C49" s="117">
        <v>2024</v>
      </c>
      <c r="D49" s="118" t="s">
        <v>833</v>
      </c>
      <c r="E49" s="119" t="s">
        <v>925</v>
      </c>
      <c r="F49" s="120">
        <v>1</v>
      </c>
      <c r="G49" s="121">
        <v>7500</v>
      </c>
    </row>
    <row r="50" spans="1:7" x14ac:dyDescent="0.25">
      <c r="A50" s="197">
        <v>45</v>
      </c>
      <c r="B50" s="116">
        <v>45360</v>
      </c>
      <c r="C50" s="117">
        <v>2024</v>
      </c>
      <c r="D50" s="118" t="s">
        <v>833</v>
      </c>
      <c r="E50" s="119" t="s">
        <v>589</v>
      </c>
      <c r="F50" s="120">
        <v>1</v>
      </c>
      <c r="G50" s="121">
        <v>115000</v>
      </c>
    </row>
    <row r="51" spans="1:7" x14ac:dyDescent="0.25">
      <c r="A51" s="197">
        <v>46</v>
      </c>
      <c r="B51" s="116">
        <v>45360</v>
      </c>
      <c r="C51" s="117">
        <v>2024</v>
      </c>
      <c r="D51" s="118" t="s">
        <v>833</v>
      </c>
      <c r="E51" s="119" t="s">
        <v>589</v>
      </c>
      <c r="F51" s="120">
        <v>2</v>
      </c>
      <c r="G51" s="121">
        <v>666000</v>
      </c>
    </row>
    <row r="52" spans="1:7" x14ac:dyDescent="0.25">
      <c r="A52" s="197">
        <v>47</v>
      </c>
      <c r="B52" s="116">
        <v>45360</v>
      </c>
      <c r="C52" s="117">
        <v>2024</v>
      </c>
      <c r="D52" s="118" t="s">
        <v>833</v>
      </c>
      <c r="E52" s="119" t="s">
        <v>589</v>
      </c>
      <c r="F52" s="120">
        <v>1</v>
      </c>
      <c r="G52" s="121">
        <v>333000</v>
      </c>
    </row>
    <row r="53" spans="1:7" x14ac:dyDescent="0.25">
      <c r="A53" s="197">
        <v>48</v>
      </c>
      <c r="B53" s="116">
        <v>45360</v>
      </c>
      <c r="C53" s="117">
        <v>2024</v>
      </c>
      <c r="D53" s="118" t="s">
        <v>833</v>
      </c>
      <c r="E53" s="119" t="s">
        <v>478</v>
      </c>
      <c r="F53" s="120">
        <v>15</v>
      </c>
      <c r="G53" s="121">
        <v>652500</v>
      </c>
    </row>
    <row r="54" spans="1:7" x14ac:dyDescent="0.25">
      <c r="A54" s="197">
        <v>49</v>
      </c>
      <c r="B54" s="116">
        <v>45360</v>
      </c>
      <c r="C54" s="117">
        <v>2024</v>
      </c>
      <c r="D54" s="118" t="s">
        <v>833</v>
      </c>
      <c r="E54" s="119" t="s">
        <v>485</v>
      </c>
      <c r="F54" s="120">
        <v>1</v>
      </c>
      <c r="G54" s="121">
        <v>8300</v>
      </c>
    </row>
    <row r="55" spans="1:7" x14ac:dyDescent="0.25">
      <c r="A55" s="197">
        <v>50</v>
      </c>
      <c r="B55" s="116">
        <v>45360</v>
      </c>
      <c r="C55" s="117">
        <v>2024</v>
      </c>
      <c r="D55" s="118" t="s">
        <v>833</v>
      </c>
      <c r="E55" s="119" t="s">
        <v>632</v>
      </c>
      <c r="F55" s="120">
        <v>36</v>
      </c>
      <c r="G55" s="121">
        <v>58500</v>
      </c>
    </row>
    <row r="56" spans="1:7" x14ac:dyDescent="0.25">
      <c r="A56" s="197">
        <v>51</v>
      </c>
      <c r="B56" s="116">
        <v>45360</v>
      </c>
      <c r="C56" s="117">
        <v>2024</v>
      </c>
      <c r="D56" s="118" t="s">
        <v>833</v>
      </c>
      <c r="E56" s="119" t="s">
        <v>926</v>
      </c>
      <c r="F56" s="120">
        <v>4</v>
      </c>
      <c r="G56" s="121">
        <v>37000</v>
      </c>
    </row>
    <row r="57" spans="1:7" x14ac:dyDescent="0.25">
      <c r="A57" s="197">
        <v>52</v>
      </c>
      <c r="B57" s="116">
        <v>45360</v>
      </c>
      <c r="C57" s="117">
        <v>2024</v>
      </c>
      <c r="D57" s="118" t="s">
        <v>833</v>
      </c>
      <c r="E57" s="119" t="s">
        <v>517</v>
      </c>
      <c r="F57" s="120">
        <v>10</v>
      </c>
      <c r="G57" s="121">
        <v>16750</v>
      </c>
    </row>
    <row r="58" spans="1:7" x14ac:dyDescent="0.25">
      <c r="A58" s="197">
        <v>53</v>
      </c>
      <c r="B58" s="116">
        <v>45360</v>
      </c>
      <c r="C58" s="117">
        <v>2024</v>
      </c>
      <c r="D58" s="118" t="s">
        <v>833</v>
      </c>
      <c r="E58" s="119" t="s">
        <v>927</v>
      </c>
      <c r="F58" s="120">
        <v>2</v>
      </c>
      <c r="G58" s="121">
        <v>15000</v>
      </c>
    </row>
    <row r="59" spans="1:7" x14ac:dyDescent="0.25">
      <c r="A59" s="197">
        <v>54</v>
      </c>
      <c r="B59" s="116">
        <v>45360</v>
      </c>
      <c r="C59" s="117">
        <v>2024</v>
      </c>
      <c r="D59" s="118" t="s">
        <v>833</v>
      </c>
      <c r="E59" s="119" t="s">
        <v>855</v>
      </c>
      <c r="F59" s="120">
        <v>1</v>
      </c>
      <c r="G59" s="121">
        <v>8000</v>
      </c>
    </row>
    <row r="60" spans="1:7" x14ac:dyDescent="0.25">
      <c r="A60" s="197">
        <v>55</v>
      </c>
      <c r="B60" s="116">
        <v>45364</v>
      </c>
      <c r="C60" s="117">
        <v>2024</v>
      </c>
      <c r="D60" s="118" t="s">
        <v>833</v>
      </c>
      <c r="E60" s="119" t="s">
        <v>632</v>
      </c>
      <c r="F60" s="120">
        <v>20</v>
      </c>
      <c r="G60" s="121">
        <v>156000</v>
      </c>
    </row>
    <row r="61" spans="1:7" x14ac:dyDescent="0.25">
      <c r="A61" s="197">
        <v>56</v>
      </c>
      <c r="B61" s="116">
        <v>45364</v>
      </c>
      <c r="C61" s="117">
        <v>2024</v>
      </c>
      <c r="D61" s="118" t="s">
        <v>833</v>
      </c>
      <c r="E61" s="119" t="s">
        <v>495</v>
      </c>
      <c r="F61" s="120">
        <v>4</v>
      </c>
      <c r="G61" s="121">
        <v>348000</v>
      </c>
    </row>
    <row r="62" spans="1:7" x14ac:dyDescent="0.25">
      <c r="A62" s="197">
        <v>57</v>
      </c>
      <c r="B62" s="116">
        <v>45384</v>
      </c>
      <c r="C62" s="117">
        <v>2024</v>
      </c>
      <c r="D62" s="118" t="s">
        <v>833</v>
      </c>
      <c r="E62" s="119" t="s">
        <v>967</v>
      </c>
      <c r="F62" s="120">
        <v>100</v>
      </c>
      <c r="G62" s="121">
        <v>1000000</v>
      </c>
    </row>
    <row r="63" spans="1:7" x14ac:dyDescent="0.25">
      <c r="A63" s="197">
        <v>58</v>
      </c>
      <c r="B63" s="116">
        <v>45404</v>
      </c>
      <c r="C63" s="117">
        <v>2024</v>
      </c>
      <c r="D63" s="118" t="s">
        <v>833</v>
      </c>
      <c r="E63" s="119" t="s">
        <v>175</v>
      </c>
      <c r="F63" s="120">
        <v>5</v>
      </c>
      <c r="G63" s="121">
        <v>39250</v>
      </c>
    </row>
    <row r="64" spans="1:7" x14ac:dyDescent="0.25">
      <c r="A64" s="197">
        <v>59</v>
      </c>
      <c r="B64" s="116">
        <v>45404</v>
      </c>
      <c r="C64" s="117">
        <v>2024</v>
      </c>
      <c r="D64" s="118" t="s">
        <v>833</v>
      </c>
      <c r="E64" s="119" t="s">
        <v>175</v>
      </c>
      <c r="F64" s="120">
        <v>20</v>
      </c>
      <c r="G64" s="121">
        <v>230000</v>
      </c>
    </row>
    <row r="65" spans="1:7" x14ac:dyDescent="0.25">
      <c r="A65" s="197">
        <v>60</v>
      </c>
      <c r="B65" s="116">
        <v>45404</v>
      </c>
      <c r="C65" s="117">
        <v>2024</v>
      </c>
      <c r="D65" s="118" t="s">
        <v>833</v>
      </c>
      <c r="E65" s="119" t="s">
        <v>847</v>
      </c>
      <c r="F65" s="120">
        <v>100</v>
      </c>
      <c r="G65" s="121">
        <v>50000</v>
      </c>
    </row>
    <row r="66" spans="1:7" x14ac:dyDescent="0.25">
      <c r="A66" s="197">
        <v>61</v>
      </c>
      <c r="B66" s="116">
        <v>45404</v>
      </c>
      <c r="C66" s="117">
        <v>2024</v>
      </c>
      <c r="D66" s="118" t="s">
        <v>833</v>
      </c>
      <c r="E66" s="119" t="s">
        <v>924</v>
      </c>
      <c r="F66" s="120">
        <v>12</v>
      </c>
      <c r="G66" s="121">
        <v>27600</v>
      </c>
    </row>
    <row r="67" spans="1:7" x14ac:dyDescent="0.25">
      <c r="A67" s="197">
        <v>62</v>
      </c>
      <c r="B67" s="116">
        <v>45404</v>
      </c>
      <c r="C67" s="117">
        <v>2024</v>
      </c>
      <c r="D67" s="118" t="s">
        <v>833</v>
      </c>
      <c r="E67" s="119" t="s">
        <v>924</v>
      </c>
      <c r="F67" s="120">
        <v>6</v>
      </c>
      <c r="G67" s="121">
        <v>60000</v>
      </c>
    </row>
    <row r="68" spans="1:7" x14ac:dyDescent="0.25">
      <c r="A68" s="197">
        <v>63</v>
      </c>
      <c r="B68" s="116">
        <v>45404</v>
      </c>
      <c r="C68" s="117">
        <v>2024</v>
      </c>
      <c r="D68" s="118" t="s">
        <v>833</v>
      </c>
      <c r="E68" s="119" t="s">
        <v>511</v>
      </c>
      <c r="F68" s="120">
        <v>6</v>
      </c>
      <c r="G68" s="121">
        <v>177000</v>
      </c>
    </row>
    <row r="69" spans="1:7" x14ac:dyDescent="0.25">
      <c r="A69" s="197">
        <v>64</v>
      </c>
      <c r="B69" s="116">
        <v>45404</v>
      </c>
      <c r="C69" s="117">
        <v>2024</v>
      </c>
      <c r="D69" s="118" t="s">
        <v>833</v>
      </c>
      <c r="E69" s="119" t="s">
        <v>87</v>
      </c>
      <c r="F69" s="120">
        <v>12</v>
      </c>
      <c r="G69" s="121">
        <v>18600</v>
      </c>
    </row>
    <row r="70" spans="1:7" x14ac:dyDescent="0.25">
      <c r="A70" s="197">
        <v>65</v>
      </c>
      <c r="B70" s="116">
        <v>45404</v>
      </c>
      <c r="C70" s="117">
        <v>2024</v>
      </c>
      <c r="D70" s="118" t="s">
        <v>833</v>
      </c>
      <c r="E70" s="119" t="s">
        <v>87</v>
      </c>
      <c r="F70" s="120">
        <v>12</v>
      </c>
      <c r="G70" s="121">
        <v>18000</v>
      </c>
    </row>
    <row r="71" spans="1:7" x14ac:dyDescent="0.25">
      <c r="A71" s="197">
        <v>66</v>
      </c>
      <c r="B71" s="116">
        <v>45404</v>
      </c>
      <c r="C71" s="117">
        <v>2024</v>
      </c>
      <c r="D71" s="118" t="s">
        <v>833</v>
      </c>
      <c r="E71" s="119" t="s">
        <v>87</v>
      </c>
      <c r="F71" s="120">
        <v>12</v>
      </c>
      <c r="G71" s="121">
        <v>18000</v>
      </c>
    </row>
    <row r="72" spans="1:7" x14ac:dyDescent="0.25">
      <c r="A72" s="197">
        <v>67</v>
      </c>
      <c r="B72" s="116">
        <v>45404</v>
      </c>
      <c r="C72" s="117">
        <v>2024</v>
      </c>
      <c r="D72" s="118" t="s">
        <v>833</v>
      </c>
      <c r="E72" s="119" t="s">
        <v>103</v>
      </c>
      <c r="F72" s="120">
        <v>12</v>
      </c>
      <c r="G72" s="121">
        <v>11500</v>
      </c>
    </row>
    <row r="73" spans="1:7" x14ac:dyDescent="0.25">
      <c r="A73" s="197">
        <v>68</v>
      </c>
      <c r="B73" s="116">
        <v>45404</v>
      </c>
      <c r="C73" s="117">
        <v>2024</v>
      </c>
      <c r="D73" s="118" t="s">
        <v>833</v>
      </c>
      <c r="E73" s="119" t="s">
        <v>103</v>
      </c>
      <c r="F73" s="120">
        <v>24</v>
      </c>
      <c r="G73" s="121">
        <v>28000</v>
      </c>
    </row>
    <row r="74" spans="1:7" x14ac:dyDescent="0.25">
      <c r="A74" s="197">
        <v>69</v>
      </c>
      <c r="B74" s="116">
        <v>45404</v>
      </c>
      <c r="C74" s="117">
        <v>2024</v>
      </c>
      <c r="D74" s="118" t="s">
        <v>833</v>
      </c>
      <c r="E74" s="119" t="s">
        <v>535</v>
      </c>
      <c r="F74" s="120">
        <v>20</v>
      </c>
      <c r="G74" s="121">
        <v>54000</v>
      </c>
    </row>
    <row r="75" spans="1:7" x14ac:dyDescent="0.25">
      <c r="A75" s="197">
        <v>70</v>
      </c>
      <c r="B75" s="116">
        <v>45404</v>
      </c>
      <c r="C75" s="117">
        <v>2024</v>
      </c>
      <c r="D75" s="118" t="s">
        <v>833</v>
      </c>
      <c r="E75" s="119" t="s">
        <v>620</v>
      </c>
      <c r="F75" s="120">
        <v>1</v>
      </c>
      <c r="G75" s="121">
        <v>31000</v>
      </c>
    </row>
    <row r="76" spans="1:7" x14ac:dyDescent="0.25">
      <c r="A76" s="197">
        <v>71</v>
      </c>
      <c r="B76" s="116">
        <v>45404</v>
      </c>
      <c r="C76" s="117">
        <v>2024</v>
      </c>
      <c r="D76" s="118" t="s">
        <v>833</v>
      </c>
      <c r="E76" s="119" t="s">
        <v>589</v>
      </c>
      <c r="F76" s="120">
        <v>5</v>
      </c>
      <c r="G76" s="121">
        <v>223750</v>
      </c>
    </row>
    <row r="77" spans="1:7" x14ac:dyDescent="0.25">
      <c r="A77" s="197">
        <v>72</v>
      </c>
      <c r="B77" s="116">
        <v>45404</v>
      </c>
      <c r="C77" s="117">
        <v>2024</v>
      </c>
      <c r="D77" s="118" t="s">
        <v>833</v>
      </c>
      <c r="E77" s="119" t="s">
        <v>589</v>
      </c>
      <c r="F77" s="120">
        <v>2</v>
      </c>
      <c r="G77" s="121">
        <v>666000</v>
      </c>
    </row>
    <row r="78" spans="1:7" x14ac:dyDescent="0.25">
      <c r="A78" s="197">
        <v>73</v>
      </c>
      <c r="B78" s="116">
        <v>45404</v>
      </c>
      <c r="C78" s="117">
        <v>2024</v>
      </c>
      <c r="D78" s="118" t="s">
        <v>833</v>
      </c>
      <c r="E78" s="119" t="s">
        <v>589</v>
      </c>
      <c r="F78" s="120">
        <v>1</v>
      </c>
      <c r="G78" s="121">
        <v>244000</v>
      </c>
    </row>
    <row r="79" spans="1:7" x14ac:dyDescent="0.25">
      <c r="A79" s="197">
        <v>74</v>
      </c>
      <c r="B79" s="116">
        <v>45404</v>
      </c>
      <c r="C79" s="117">
        <v>2024</v>
      </c>
      <c r="D79" s="118" t="s">
        <v>833</v>
      </c>
      <c r="E79" s="119" t="s">
        <v>589</v>
      </c>
      <c r="F79" s="120">
        <v>5</v>
      </c>
      <c r="G79" s="121">
        <v>198500</v>
      </c>
    </row>
    <row r="80" spans="1:7" x14ac:dyDescent="0.25">
      <c r="A80" s="197">
        <v>75</v>
      </c>
      <c r="B80" s="116">
        <v>45404</v>
      </c>
      <c r="C80" s="117">
        <v>2024</v>
      </c>
      <c r="D80" s="118" t="s">
        <v>833</v>
      </c>
      <c r="E80" s="119" t="s">
        <v>632</v>
      </c>
      <c r="F80" s="120">
        <v>1</v>
      </c>
      <c r="G80" s="121">
        <v>9000</v>
      </c>
    </row>
    <row r="81" spans="1:7" x14ac:dyDescent="0.25">
      <c r="A81" s="197">
        <v>76</v>
      </c>
      <c r="B81" s="116">
        <v>45404</v>
      </c>
      <c r="C81" s="117">
        <v>2024</v>
      </c>
      <c r="D81" s="118" t="s">
        <v>833</v>
      </c>
      <c r="E81" s="119" t="s">
        <v>632</v>
      </c>
      <c r="F81" s="120">
        <v>12</v>
      </c>
      <c r="G81" s="121">
        <v>19500</v>
      </c>
    </row>
    <row r="82" spans="1:7" x14ac:dyDescent="0.25">
      <c r="A82" s="197">
        <v>77</v>
      </c>
      <c r="B82" s="116">
        <v>45404</v>
      </c>
      <c r="C82" s="117">
        <v>2024</v>
      </c>
      <c r="D82" s="118" t="s">
        <v>833</v>
      </c>
      <c r="E82" s="119" t="s">
        <v>1025</v>
      </c>
      <c r="F82" s="120">
        <v>2</v>
      </c>
      <c r="G82" s="121">
        <v>14000</v>
      </c>
    </row>
    <row r="83" spans="1:7" x14ac:dyDescent="0.25">
      <c r="A83" s="197">
        <v>78</v>
      </c>
      <c r="B83" s="116">
        <v>45404</v>
      </c>
      <c r="C83" s="117">
        <v>2024</v>
      </c>
      <c r="D83" s="118" t="s">
        <v>833</v>
      </c>
      <c r="E83" s="119" t="s">
        <v>493</v>
      </c>
      <c r="F83" s="120">
        <v>10</v>
      </c>
      <c r="G83" s="121">
        <v>90000</v>
      </c>
    </row>
    <row r="84" spans="1:7" x14ac:dyDescent="0.25">
      <c r="A84" s="197">
        <v>79</v>
      </c>
      <c r="B84" s="116">
        <v>45404</v>
      </c>
      <c r="C84" s="117">
        <v>2024</v>
      </c>
      <c r="D84" s="118" t="s">
        <v>833</v>
      </c>
      <c r="E84" s="119" t="s">
        <v>572</v>
      </c>
      <c r="F84" s="120">
        <v>1</v>
      </c>
      <c r="G84" s="121">
        <v>8500</v>
      </c>
    </row>
    <row r="85" spans="1:7" x14ac:dyDescent="0.25">
      <c r="A85" s="197">
        <v>80</v>
      </c>
      <c r="B85" s="116">
        <v>45404</v>
      </c>
      <c r="C85" s="117">
        <v>2024</v>
      </c>
      <c r="D85" s="118" t="s">
        <v>833</v>
      </c>
      <c r="E85" s="119" t="s">
        <v>572</v>
      </c>
      <c r="F85" s="120">
        <v>1</v>
      </c>
      <c r="G85" s="121">
        <v>8500</v>
      </c>
    </row>
    <row r="86" spans="1:7" x14ac:dyDescent="0.25">
      <c r="A86" s="197">
        <v>81</v>
      </c>
      <c r="B86" s="116">
        <v>45404</v>
      </c>
      <c r="C86" s="117">
        <v>2024</v>
      </c>
      <c r="D86" s="118" t="s">
        <v>833</v>
      </c>
      <c r="E86" s="119" t="s">
        <v>306</v>
      </c>
      <c r="F86" s="120">
        <v>1</v>
      </c>
      <c r="G86" s="121">
        <v>22500</v>
      </c>
    </row>
    <row r="87" spans="1:7" x14ac:dyDescent="0.25">
      <c r="A87" s="197">
        <v>82</v>
      </c>
      <c r="B87" s="116">
        <v>45404</v>
      </c>
      <c r="C87" s="117">
        <v>2024</v>
      </c>
      <c r="D87" s="118" t="s">
        <v>833</v>
      </c>
      <c r="E87" s="119" t="s">
        <v>306</v>
      </c>
      <c r="F87" s="120">
        <v>1</v>
      </c>
      <c r="G87" s="121">
        <v>68400</v>
      </c>
    </row>
    <row r="88" spans="1:7" x14ac:dyDescent="0.25">
      <c r="A88" s="197">
        <v>83</v>
      </c>
      <c r="B88" s="116">
        <v>45404</v>
      </c>
      <c r="C88" s="117">
        <v>2024</v>
      </c>
      <c r="D88" s="118" t="s">
        <v>833</v>
      </c>
      <c r="E88" s="119" t="s">
        <v>495</v>
      </c>
      <c r="F88" s="120">
        <v>2</v>
      </c>
      <c r="G88" s="121">
        <v>180000</v>
      </c>
    </row>
    <row r="89" spans="1:7" x14ac:dyDescent="0.25">
      <c r="A89" s="197">
        <v>84</v>
      </c>
      <c r="B89" s="116">
        <v>45436</v>
      </c>
      <c r="C89" s="117">
        <v>2024</v>
      </c>
      <c r="D89" s="118" t="s">
        <v>833</v>
      </c>
      <c r="E89" s="119" t="s">
        <v>175</v>
      </c>
      <c r="F89" s="120">
        <v>5</v>
      </c>
      <c r="G89" s="121">
        <v>100000</v>
      </c>
    </row>
    <row r="90" spans="1:7" x14ac:dyDescent="0.25">
      <c r="A90" s="197">
        <v>85</v>
      </c>
      <c r="B90" s="116">
        <v>45436</v>
      </c>
      <c r="C90" s="117">
        <v>2024</v>
      </c>
      <c r="D90" s="118" t="s">
        <v>833</v>
      </c>
      <c r="E90" s="119" t="s">
        <v>1065</v>
      </c>
      <c r="F90" s="120">
        <v>20</v>
      </c>
      <c r="G90" s="121">
        <v>230000</v>
      </c>
    </row>
    <row r="91" spans="1:7" x14ac:dyDescent="0.25">
      <c r="A91" s="197">
        <v>86</v>
      </c>
      <c r="B91" s="116">
        <v>45436</v>
      </c>
      <c r="C91" s="117">
        <v>2024</v>
      </c>
      <c r="D91" s="118" t="s">
        <v>833</v>
      </c>
      <c r="E91" s="119" t="s">
        <v>847</v>
      </c>
      <c r="F91" s="120">
        <v>200</v>
      </c>
      <c r="G91" s="121">
        <v>18000</v>
      </c>
    </row>
    <row r="92" spans="1:7" x14ac:dyDescent="0.25">
      <c r="A92" s="197">
        <v>87</v>
      </c>
      <c r="B92" s="116">
        <v>45436</v>
      </c>
      <c r="C92" s="117">
        <v>2024</v>
      </c>
      <c r="D92" s="118" t="s">
        <v>833</v>
      </c>
      <c r="E92" s="119" t="s">
        <v>689</v>
      </c>
      <c r="F92" s="120">
        <v>5</v>
      </c>
      <c r="G92" s="121">
        <v>82500</v>
      </c>
    </row>
    <row r="93" spans="1:7" x14ac:dyDescent="0.25">
      <c r="A93" s="197">
        <v>88</v>
      </c>
      <c r="B93" s="116">
        <v>45436</v>
      </c>
      <c r="C93" s="117">
        <v>2024</v>
      </c>
      <c r="D93" s="118" t="s">
        <v>833</v>
      </c>
      <c r="E93" s="119" t="s">
        <v>1066</v>
      </c>
      <c r="F93" s="120">
        <v>2</v>
      </c>
      <c r="G93" s="121">
        <v>13000</v>
      </c>
    </row>
    <row r="94" spans="1:7" x14ac:dyDescent="0.25">
      <c r="A94" s="197">
        <v>89</v>
      </c>
      <c r="B94" s="116">
        <v>45436</v>
      </c>
      <c r="C94" s="117">
        <v>2024</v>
      </c>
      <c r="D94" s="118" t="s">
        <v>833</v>
      </c>
      <c r="E94" s="119" t="s">
        <v>91</v>
      </c>
      <c r="F94" s="120">
        <v>1</v>
      </c>
      <c r="G94" s="121">
        <v>5500</v>
      </c>
    </row>
    <row r="95" spans="1:7" x14ac:dyDescent="0.25">
      <c r="A95" s="197">
        <v>90</v>
      </c>
      <c r="B95" s="116">
        <v>45436</v>
      </c>
      <c r="C95" s="117">
        <v>2024</v>
      </c>
      <c r="D95" s="118" t="s">
        <v>833</v>
      </c>
      <c r="E95" s="119" t="s">
        <v>620</v>
      </c>
      <c r="F95" s="120">
        <v>1</v>
      </c>
      <c r="G95" s="121">
        <v>28500</v>
      </c>
    </row>
    <row r="96" spans="1:7" x14ac:dyDescent="0.25">
      <c r="A96" s="197">
        <v>91</v>
      </c>
      <c r="B96" s="116">
        <v>45436</v>
      </c>
      <c r="C96" s="117">
        <v>2024</v>
      </c>
      <c r="D96" s="118" t="s">
        <v>833</v>
      </c>
      <c r="E96" s="119" t="s">
        <v>589</v>
      </c>
      <c r="F96" s="120">
        <v>2</v>
      </c>
      <c r="G96" s="121">
        <v>666000</v>
      </c>
    </row>
    <row r="97" spans="1:14" x14ac:dyDescent="0.25">
      <c r="A97" s="197">
        <v>92</v>
      </c>
      <c r="B97" s="116">
        <v>45436</v>
      </c>
      <c r="C97" s="117">
        <v>2024</v>
      </c>
      <c r="D97" s="118" t="s">
        <v>833</v>
      </c>
      <c r="E97" s="119" t="s">
        <v>589</v>
      </c>
      <c r="F97" s="120">
        <v>1</v>
      </c>
      <c r="G97" s="121">
        <v>41000</v>
      </c>
    </row>
    <row r="98" spans="1:14" x14ac:dyDescent="0.25">
      <c r="A98" s="197">
        <v>93</v>
      </c>
      <c r="B98" s="116">
        <v>45436</v>
      </c>
      <c r="C98" s="117">
        <v>2024</v>
      </c>
      <c r="D98" s="118" t="s">
        <v>833</v>
      </c>
      <c r="E98" s="119" t="s">
        <v>478</v>
      </c>
      <c r="F98" s="120">
        <v>5</v>
      </c>
      <c r="G98" s="121">
        <v>227500</v>
      </c>
    </row>
    <row r="99" spans="1:14" x14ac:dyDescent="0.25">
      <c r="A99" s="197">
        <v>94</v>
      </c>
      <c r="B99" s="116">
        <v>45436</v>
      </c>
      <c r="C99" s="117">
        <v>2024</v>
      </c>
      <c r="D99" s="118" t="s">
        <v>833</v>
      </c>
      <c r="E99" s="119" t="s">
        <v>101</v>
      </c>
      <c r="F99" s="120">
        <v>1</v>
      </c>
      <c r="G99" s="121">
        <v>5000</v>
      </c>
    </row>
    <row r="100" spans="1:14" x14ac:dyDescent="0.25">
      <c r="A100" s="197">
        <v>95</v>
      </c>
      <c r="B100" s="116">
        <v>45436</v>
      </c>
      <c r="C100" s="117">
        <v>2024</v>
      </c>
      <c r="D100" s="118" t="s">
        <v>833</v>
      </c>
      <c r="E100" s="119" t="s">
        <v>491</v>
      </c>
      <c r="F100" s="120">
        <v>11</v>
      </c>
      <c r="G100" s="121">
        <v>96250</v>
      </c>
    </row>
    <row r="101" spans="1:14" x14ac:dyDescent="0.25">
      <c r="A101" s="197">
        <v>96</v>
      </c>
      <c r="B101" s="116">
        <v>45436</v>
      </c>
      <c r="C101" s="117">
        <v>2024</v>
      </c>
      <c r="D101" s="118" t="s">
        <v>833</v>
      </c>
      <c r="E101" s="119" t="s">
        <v>561</v>
      </c>
      <c r="F101" s="120">
        <v>40</v>
      </c>
      <c r="G101" s="121">
        <v>76000</v>
      </c>
    </row>
    <row r="102" spans="1:14" x14ac:dyDescent="0.25">
      <c r="A102" s="197">
        <v>97</v>
      </c>
      <c r="B102" s="116">
        <v>45436</v>
      </c>
      <c r="C102" s="117">
        <v>2024</v>
      </c>
      <c r="D102" s="118" t="s">
        <v>833</v>
      </c>
      <c r="E102" s="119" t="s">
        <v>1067</v>
      </c>
      <c r="F102" s="120">
        <v>1</v>
      </c>
      <c r="G102" s="121">
        <v>9600</v>
      </c>
    </row>
    <row r="103" spans="1:14" x14ac:dyDescent="0.25">
      <c r="A103" s="197">
        <v>98</v>
      </c>
      <c r="B103" s="116">
        <v>45436</v>
      </c>
      <c r="C103" s="117">
        <v>2024</v>
      </c>
      <c r="D103" s="118" t="s">
        <v>833</v>
      </c>
      <c r="E103" s="119" t="s">
        <v>588</v>
      </c>
      <c r="F103" s="120">
        <v>12</v>
      </c>
      <c r="G103" s="121">
        <v>57000</v>
      </c>
    </row>
    <row r="104" spans="1:14" x14ac:dyDescent="0.25">
      <c r="A104" s="197">
        <v>99</v>
      </c>
      <c r="B104" s="116">
        <v>45461</v>
      </c>
      <c r="C104" s="117">
        <v>2024</v>
      </c>
      <c r="D104" s="118" t="s">
        <v>833</v>
      </c>
      <c r="E104" s="119" t="s">
        <v>175</v>
      </c>
      <c r="F104" s="120">
        <v>5</v>
      </c>
      <c r="G104" s="121">
        <v>39250</v>
      </c>
    </row>
    <row r="105" spans="1:14" x14ac:dyDescent="0.25">
      <c r="A105" s="197">
        <v>100</v>
      </c>
      <c r="B105" s="116">
        <v>45461</v>
      </c>
      <c r="C105" s="117">
        <v>2024</v>
      </c>
      <c r="D105" s="118" t="s">
        <v>833</v>
      </c>
      <c r="E105" s="119" t="s">
        <v>175</v>
      </c>
      <c r="F105" s="120">
        <v>10</v>
      </c>
      <c r="G105" s="121">
        <v>115000</v>
      </c>
    </row>
    <row r="106" spans="1:14" x14ac:dyDescent="0.25">
      <c r="A106" s="197">
        <v>101</v>
      </c>
      <c r="B106" s="116">
        <v>45461</v>
      </c>
      <c r="C106" s="117">
        <v>2024</v>
      </c>
      <c r="D106" s="118" t="s">
        <v>833</v>
      </c>
      <c r="E106" s="119" t="s">
        <v>1112</v>
      </c>
      <c r="F106" s="120">
        <v>12</v>
      </c>
      <c r="G106" s="121">
        <v>10020</v>
      </c>
    </row>
    <row r="107" spans="1:14" x14ac:dyDescent="0.25">
      <c r="A107" s="197">
        <v>102</v>
      </c>
      <c r="B107" s="116">
        <v>45461</v>
      </c>
      <c r="C107" s="117">
        <v>2024</v>
      </c>
      <c r="D107" s="118" t="s">
        <v>833</v>
      </c>
      <c r="E107" s="119" t="s">
        <v>511</v>
      </c>
      <c r="F107" s="120">
        <v>2</v>
      </c>
      <c r="G107" s="121">
        <v>33000</v>
      </c>
    </row>
    <row r="108" spans="1:14" x14ac:dyDescent="0.25">
      <c r="A108" s="197">
        <v>103</v>
      </c>
      <c r="B108" s="116">
        <v>45461</v>
      </c>
      <c r="C108" s="117">
        <v>2024</v>
      </c>
      <c r="D108" s="118" t="s">
        <v>833</v>
      </c>
      <c r="E108" s="119" t="s">
        <v>87</v>
      </c>
      <c r="F108" s="120">
        <v>12</v>
      </c>
      <c r="G108" s="121">
        <v>18600</v>
      </c>
    </row>
    <row r="109" spans="1:14" x14ac:dyDescent="0.25">
      <c r="A109" s="197">
        <v>104</v>
      </c>
      <c r="B109" s="116">
        <v>45461</v>
      </c>
      <c r="C109" s="117">
        <v>2024</v>
      </c>
      <c r="D109" s="118" t="s">
        <v>833</v>
      </c>
      <c r="E109" s="119" t="s">
        <v>645</v>
      </c>
      <c r="F109" s="120">
        <v>3</v>
      </c>
      <c r="G109" s="121">
        <v>6600</v>
      </c>
      <c r="N109" s="163"/>
    </row>
    <row r="110" spans="1:14" x14ac:dyDescent="0.25">
      <c r="A110" s="197">
        <v>105</v>
      </c>
      <c r="B110" s="116">
        <v>45461</v>
      </c>
      <c r="C110" s="117">
        <v>2024</v>
      </c>
      <c r="D110" s="118" t="s">
        <v>833</v>
      </c>
      <c r="E110" s="119" t="s">
        <v>91</v>
      </c>
      <c r="F110" s="120">
        <v>1</v>
      </c>
      <c r="G110" s="121">
        <v>6000</v>
      </c>
    </row>
    <row r="111" spans="1:14" x14ac:dyDescent="0.25">
      <c r="A111" s="197">
        <v>106</v>
      </c>
      <c r="B111" s="116">
        <v>45461</v>
      </c>
      <c r="C111" s="117">
        <v>2024</v>
      </c>
      <c r="D111" s="118" t="s">
        <v>833</v>
      </c>
      <c r="E111" s="119" t="s">
        <v>398</v>
      </c>
      <c r="F111" s="120">
        <v>12</v>
      </c>
      <c r="G111" s="121">
        <v>19500</v>
      </c>
    </row>
    <row r="112" spans="1:14" x14ac:dyDescent="0.25">
      <c r="A112" s="197">
        <v>107</v>
      </c>
      <c r="B112" s="116">
        <v>45461</v>
      </c>
      <c r="C112" s="117">
        <v>2024</v>
      </c>
      <c r="D112" s="118" t="s">
        <v>833</v>
      </c>
      <c r="E112" s="119" t="s">
        <v>620</v>
      </c>
      <c r="F112" s="120">
        <v>1</v>
      </c>
      <c r="G112" s="121">
        <v>28500</v>
      </c>
    </row>
    <row r="113" spans="1:7" x14ac:dyDescent="0.25">
      <c r="A113" s="197">
        <v>108</v>
      </c>
      <c r="B113" s="116">
        <v>45461</v>
      </c>
      <c r="C113" s="117">
        <v>2024</v>
      </c>
      <c r="D113" s="118" t="s">
        <v>833</v>
      </c>
      <c r="E113" s="119" t="s">
        <v>478</v>
      </c>
      <c r="F113" s="120">
        <v>6</v>
      </c>
      <c r="G113" s="121">
        <v>271500</v>
      </c>
    </row>
    <row r="114" spans="1:7" x14ac:dyDescent="0.25">
      <c r="A114" s="197">
        <v>109</v>
      </c>
      <c r="B114" s="116">
        <v>45461</v>
      </c>
      <c r="C114" s="117">
        <v>2024</v>
      </c>
      <c r="D114" s="118" t="s">
        <v>833</v>
      </c>
      <c r="E114" s="119" t="s">
        <v>478</v>
      </c>
      <c r="F114" s="120">
        <v>50</v>
      </c>
      <c r="G114" s="121">
        <v>36500</v>
      </c>
    </row>
    <row r="115" spans="1:7" x14ac:dyDescent="0.25">
      <c r="A115" s="197">
        <v>110</v>
      </c>
      <c r="B115" s="116">
        <v>45461</v>
      </c>
      <c r="C115" s="117">
        <v>2024</v>
      </c>
      <c r="D115" s="118" t="s">
        <v>833</v>
      </c>
      <c r="E115" s="119" t="s">
        <v>478</v>
      </c>
      <c r="F115" s="120">
        <v>2</v>
      </c>
      <c r="G115" s="121">
        <v>666000</v>
      </c>
    </row>
    <row r="116" spans="1:7" x14ac:dyDescent="0.25">
      <c r="A116" s="197">
        <v>111</v>
      </c>
      <c r="B116" s="116">
        <v>45461</v>
      </c>
      <c r="C116" s="117">
        <v>2024</v>
      </c>
      <c r="D116" s="118" t="s">
        <v>833</v>
      </c>
      <c r="E116" s="119" t="s">
        <v>632</v>
      </c>
      <c r="F116" s="120">
        <v>30</v>
      </c>
      <c r="G116" s="121">
        <v>54000</v>
      </c>
    </row>
    <row r="117" spans="1:7" x14ac:dyDescent="0.25">
      <c r="A117" s="197">
        <v>112</v>
      </c>
      <c r="B117" s="116">
        <v>45461</v>
      </c>
      <c r="C117" s="117">
        <v>2024</v>
      </c>
      <c r="D117" s="118" t="s">
        <v>833</v>
      </c>
      <c r="E117" s="119" t="s">
        <v>1113</v>
      </c>
      <c r="F117" s="120">
        <v>10</v>
      </c>
      <c r="G117" s="121">
        <v>14750</v>
      </c>
    </row>
    <row r="118" spans="1:7" x14ac:dyDescent="0.25">
      <c r="A118" s="197">
        <v>113</v>
      </c>
      <c r="B118" s="116">
        <v>45461</v>
      </c>
      <c r="C118" s="117">
        <v>2024</v>
      </c>
      <c r="D118" s="118" t="s">
        <v>833</v>
      </c>
      <c r="E118" s="119" t="s">
        <v>491</v>
      </c>
      <c r="F118" s="120">
        <v>2</v>
      </c>
      <c r="G118" s="121">
        <v>16000</v>
      </c>
    </row>
    <row r="119" spans="1:7" x14ac:dyDescent="0.25">
      <c r="A119" s="197">
        <v>114</v>
      </c>
      <c r="B119" s="116">
        <v>45461</v>
      </c>
      <c r="C119" s="117">
        <v>2024</v>
      </c>
      <c r="D119" s="118" t="s">
        <v>833</v>
      </c>
      <c r="E119" s="119" t="s">
        <v>1114</v>
      </c>
      <c r="F119" s="120">
        <v>1</v>
      </c>
      <c r="G119" s="121">
        <v>15000</v>
      </c>
    </row>
    <row r="120" spans="1:7" x14ac:dyDescent="0.25">
      <c r="A120" s="197">
        <v>115</v>
      </c>
      <c r="B120" s="116">
        <v>45461</v>
      </c>
      <c r="C120" s="117">
        <v>2024</v>
      </c>
      <c r="D120" s="118" t="s">
        <v>833</v>
      </c>
      <c r="E120" s="119" t="s">
        <v>834</v>
      </c>
      <c r="F120" s="120">
        <v>3</v>
      </c>
      <c r="G120" s="121">
        <v>10500</v>
      </c>
    </row>
    <row r="121" spans="1:7" x14ac:dyDescent="0.25">
      <c r="A121" s="197">
        <v>116</v>
      </c>
      <c r="B121" s="116">
        <v>45461</v>
      </c>
      <c r="C121" s="117">
        <v>2024</v>
      </c>
      <c r="D121" s="118" t="s">
        <v>833</v>
      </c>
      <c r="E121" s="119" t="s">
        <v>306</v>
      </c>
      <c r="F121" s="120">
        <v>1</v>
      </c>
      <c r="G121" s="121">
        <v>9500</v>
      </c>
    </row>
    <row r="122" spans="1:7" x14ac:dyDescent="0.25">
      <c r="A122" s="197">
        <v>117</v>
      </c>
      <c r="B122" s="116">
        <v>45461</v>
      </c>
      <c r="C122" s="117">
        <v>2024</v>
      </c>
      <c r="D122" s="118" t="s">
        <v>833</v>
      </c>
      <c r="E122" s="119" t="s">
        <v>586</v>
      </c>
      <c r="F122" s="120">
        <v>1</v>
      </c>
      <c r="G122" s="121">
        <v>50000</v>
      </c>
    </row>
    <row r="123" spans="1:7" x14ac:dyDescent="0.25">
      <c r="A123" s="197">
        <v>118</v>
      </c>
      <c r="B123" s="167">
        <v>45491</v>
      </c>
      <c r="C123" s="117">
        <v>2024</v>
      </c>
      <c r="D123" s="119" t="s">
        <v>833</v>
      </c>
      <c r="E123" s="119" t="s">
        <v>967</v>
      </c>
      <c r="F123" s="120">
        <v>100</v>
      </c>
      <c r="G123" s="168">
        <v>1000000</v>
      </c>
    </row>
    <row r="124" spans="1:7" x14ac:dyDescent="0.25">
      <c r="A124" s="197">
        <v>119</v>
      </c>
      <c r="B124" s="167">
        <v>45498</v>
      </c>
      <c r="C124" s="117">
        <v>2024</v>
      </c>
      <c r="D124" s="119" t="s">
        <v>833</v>
      </c>
      <c r="E124" s="119" t="s">
        <v>175</v>
      </c>
      <c r="F124" s="120">
        <v>5</v>
      </c>
      <c r="G124" s="168">
        <v>57500</v>
      </c>
    </row>
    <row r="125" spans="1:7" x14ac:dyDescent="0.25">
      <c r="A125" s="197">
        <v>120</v>
      </c>
      <c r="B125" s="167">
        <v>45498</v>
      </c>
      <c r="C125" s="117">
        <v>2024</v>
      </c>
      <c r="D125" s="119" t="s">
        <v>833</v>
      </c>
      <c r="E125" s="119" t="s">
        <v>175</v>
      </c>
      <c r="F125" s="120">
        <v>1</v>
      </c>
      <c r="G125" s="168">
        <v>38500</v>
      </c>
    </row>
    <row r="126" spans="1:7" x14ac:dyDescent="0.25">
      <c r="A126" s="197">
        <v>121</v>
      </c>
      <c r="B126" s="167">
        <v>45498</v>
      </c>
      <c r="C126" s="117">
        <v>2024</v>
      </c>
      <c r="D126" s="119" t="s">
        <v>833</v>
      </c>
      <c r="E126" s="119" t="s">
        <v>1065</v>
      </c>
      <c r="F126" s="120">
        <v>20</v>
      </c>
      <c r="G126" s="168">
        <v>157000</v>
      </c>
    </row>
    <row r="127" spans="1:7" x14ac:dyDescent="0.25">
      <c r="A127" s="197">
        <v>122</v>
      </c>
      <c r="B127" s="167">
        <v>45498</v>
      </c>
      <c r="C127" s="117">
        <v>2024</v>
      </c>
      <c r="D127" s="119" t="s">
        <v>833</v>
      </c>
      <c r="E127" s="119" t="s">
        <v>1065</v>
      </c>
      <c r="F127" s="120">
        <v>15</v>
      </c>
      <c r="G127" s="168">
        <v>172500</v>
      </c>
    </row>
    <row r="128" spans="1:7" x14ac:dyDescent="0.25">
      <c r="A128" s="197">
        <v>123</v>
      </c>
      <c r="B128" s="167">
        <v>45498</v>
      </c>
      <c r="C128" s="117">
        <v>2024</v>
      </c>
      <c r="D128" s="119" t="s">
        <v>833</v>
      </c>
      <c r="E128" s="119" t="s">
        <v>1065</v>
      </c>
      <c r="F128" s="120">
        <v>25</v>
      </c>
      <c r="G128" s="168">
        <v>500000</v>
      </c>
    </row>
    <row r="129" spans="1:7" x14ac:dyDescent="0.25">
      <c r="A129" s="197">
        <v>124</v>
      </c>
      <c r="B129" s="167">
        <v>45498</v>
      </c>
      <c r="C129" s="117">
        <v>2024</v>
      </c>
      <c r="D129" s="119" t="s">
        <v>833</v>
      </c>
      <c r="E129" s="119" t="s">
        <v>1065</v>
      </c>
      <c r="F129" s="120">
        <v>5</v>
      </c>
      <c r="G129" s="168">
        <v>86250</v>
      </c>
    </row>
    <row r="130" spans="1:7" x14ac:dyDescent="0.25">
      <c r="A130" s="197">
        <v>125</v>
      </c>
      <c r="B130" s="167">
        <v>45498</v>
      </c>
      <c r="C130" s="117">
        <v>2024</v>
      </c>
      <c r="D130" s="119" t="s">
        <v>833</v>
      </c>
      <c r="E130" s="119" t="s">
        <v>847</v>
      </c>
      <c r="F130" s="120">
        <v>5</v>
      </c>
      <c r="G130" s="168">
        <v>45000</v>
      </c>
    </row>
    <row r="131" spans="1:7" x14ac:dyDescent="0.25">
      <c r="A131" s="197">
        <v>126</v>
      </c>
      <c r="B131" s="167">
        <v>45498</v>
      </c>
      <c r="C131" s="117">
        <v>2024</v>
      </c>
      <c r="D131" s="119" t="s">
        <v>833</v>
      </c>
      <c r="E131" s="119" t="s">
        <v>87</v>
      </c>
      <c r="F131" s="120">
        <v>12</v>
      </c>
      <c r="G131" s="168">
        <v>18600</v>
      </c>
    </row>
    <row r="132" spans="1:7" x14ac:dyDescent="0.25">
      <c r="A132" s="197">
        <v>127</v>
      </c>
      <c r="B132" s="167">
        <v>45498</v>
      </c>
      <c r="C132" s="117">
        <v>2024</v>
      </c>
      <c r="D132" s="119" t="s">
        <v>833</v>
      </c>
      <c r="E132" s="119" t="s">
        <v>1136</v>
      </c>
      <c r="F132" s="120">
        <v>2</v>
      </c>
      <c r="G132" s="168">
        <v>25000</v>
      </c>
    </row>
    <row r="133" spans="1:7" x14ac:dyDescent="0.25">
      <c r="A133" s="197">
        <v>128</v>
      </c>
      <c r="B133" s="167">
        <v>45498</v>
      </c>
      <c r="C133" s="117">
        <v>2024</v>
      </c>
      <c r="D133" s="119" t="s">
        <v>833</v>
      </c>
      <c r="E133" s="119" t="s">
        <v>103</v>
      </c>
      <c r="F133" s="120">
        <v>1</v>
      </c>
      <c r="G133" s="168">
        <v>11500</v>
      </c>
    </row>
    <row r="134" spans="1:7" x14ac:dyDescent="0.25">
      <c r="A134" s="197">
        <v>129</v>
      </c>
      <c r="B134" s="116">
        <v>45498</v>
      </c>
      <c r="C134" s="117">
        <v>2024</v>
      </c>
      <c r="D134" s="118" t="s">
        <v>833</v>
      </c>
      <c r="E134" s="119" t="s">
        <v>103</v>
      </c>
      <c r="F134" s="120">
        <v>1</v>
      </c>
      <c r="G134" s="121">
        <v>11000</v>
      </c>
    </row>
    <row r="135" spans="1:7" x14ac:dyDescent="0.25">
      <c r="A135" s="197">
        <v>130</v>
      </c>
      <c r="B135" s="167">
        <v>45498</v>
      </c>
      <c r="C135" s="117">
        <v>2024</v>
      </c>
      <c r="D135" s="119" t="s">
        <v>833</v>
      </c>
      <c r="E135" s="119" t="s">
        <v>535</v>
      </c>
      <c r="F135" s="120">
        <v>20</v>
      </c>
      <c r="G135" s="168">
        <v>52000</v>
      </c>
    </row>
    <row r="136" spans="1:7" x14ac:dyDescent="0.25">
      <c r="A136" s="197">
        <v>131</v>
      </c>
      <c r="B136" s="167">
        <v>45498</v>
      </c>
      <c r="C136" s="117">
        <v>2024</v>
      </c>
      <c r="D136" s="119" t="s">
        <v>833</v>
      </c>
      <c r="E136" s="119" t="s">
        <v>848</v>
      </c>
      <c r="F136" s="120">
        <v>12</v>
      </c>
      <c r="G136" s="168">
        <v>19500</v>
      </c>
    </row>
    <row r="137" spans="1:7" x14ac:dyDescent="0.25">
      <c r="A137" s="197">
        <v>132</v>
      </c>
      <c r="B137" s="167">
        <v>45498</v>
      </c>
      <c r="C137" s="117">
        <v>2024</v>
      </c>
      <c r="D137" s="119" t="s">
        <v>833</v>
      </c>
      <c r="E137" s="119" t="s">
        <v>620</v>
      </c>
      <c r="F137" s="120">
        <v>3</v>
      </c>
      <c r="G137" s="168">
        <v>93000</v>
      </c>
    </row>
    <row r="138" spans="1:7" x14ac:dyDescent="0.25">
      <c r="A138" s="197">
        <v>133</v>
      </c>
      <c r="B138" s="167">
        <v>45498</v>
      </c>
      <c r="C138" s="117">
        <v>2024</v>
      </c>
      <c r="D138" s="119" t="s">
        <v>833</v>
      </c>
      <c r="E138" s="119" t="s">
        <v>589</v>
      </c>
      <c r="F138" s="120">
        <v>10</v>
      </c>
      <c r="G138" s="168">
        <v>420000</v>
      </c>
    </row>
    <row r="139" spans="1:7" x14ac:dyDescent="0.25">
      <c r="A139" s="197">
        <v>134</v>
      </c>
      <c r="B139" s="167">
        <v>45498</v>
      </c>
      <c r="C139" s="117">
        <v>2024</v>
      </c>
      <c r="D139" s="119" t="s">
        <v>833</v>
      </c>
      <c r="E139" s="119" t="s">
        <v>589</v>
      </c>
      <c r="F139" s="120">
        <v>3</v>
      </c>
      <c r="G139" s="168">
        <v>999000</v>
      </c>
    </row>
    <row r="140" spans="1:7" x14ac:dyDescent="0.25">
      <c r="A140" s="197">
        <v>135</v>
      </c>
      <c r="B140" s="167">
        <v>45498</v>
      </c>
      <c r="C140" s="117">
        <v>2024</v>
      </c>
      <c r="D140" s="119" t="s">
        <v>833</v>
      </c>
      <c r="E140" s="119" t="s">
        <v>589</v>
      </c>
      <c r="F140" s="120">
        <v>6</v>
      </c>
      <c r="G140" s="168">
        <v>1434000</v>
      </c>
    </row>
    <row r="141" spans="1:7" x14ac:dyDescent="0.25">
      <c r="A141" s="197">
        <v>136</v>
      </c>
      <c r="B141" s="167">
        <v>45498</v>
      </c>
      <c r="C141" s="117">
        <v>2024</v>
      </c>
      <c r="D141" s="119" t="s">
        <v>833</v>
      </c>
      <c r="E141" s="119" t="s">
        <v>589</v>
      </c>
      <c r="F141" s="120">
        <v>30</v>
      </c>
      <c r="G141" s="168">
        <v>1357500</v>
      </c>
    </row>
    <row r="142" spans="1:7" x14ac:dyDescent="0.25">
      <c r="A142" s="197">
        <v>137</v>
      </c>
      <c r="B142" s="167">
        <v>45498</v>
      </c>
      <c r="C142" s="117">
        <v>2024</v>
      </c>
      <c r="D142" s="119" t="s">
        <v>833</v>
      </c>
      <c r="E142" s="119" t="s">
        <v>589</v>
      </c>
      <c r="F142" s="120">
        <v>50</v>
      </c>
      <c r="G142" s="168">
        <v>36500</v>
      </c>
    </row>
    <row r="143" spans="1:7" x14ac:dyDescent="0.25">
      <c r="A143" s="197">
        <v>138</v>
      </c>
      <c r="B143" s="167">
        <v>45498</v>
      </c>
      <c r="C143" s="117">
        <v>2024</v>
      </c>
      <c r="D143" s="119" t="s">
        <v>833</v>
      </c>
      <c r="E143" s="119" t="s">
        <v>632</v>
      </c>
      <c r="F143" s="120">
        <v>30</v>
      </c>
      <c r="G143" s="168">
        <v>54000</v>
      </c>
    </row>
    <row r="144" spans="1:7" x14ac:dyDescent="0.25">
      <c r="A144" s="197">
        <v>139</v>
      </c>
      <c r="B144" s="167">
        <v>45498</v>
      </c>
      <c r="C144" s="117">
        <v>2024</v>
      </c>
      <c r="D144" s="119" t="s">
        <v>833</v>
      </c>
      <c r="E144" s="119" t="s">
        <v>855</v>
      </c>
      <c r="F144" s="120">
        <v>1</v>
      </c>
      <c r="G144" s="168">
        <v>62000</v>
      </c>
    </row>
    <row r="145" spans="1:7" x14ac:dyDescent="0.25">
      <c r="A145" s="197">
        <v>140</v>
      </c>
      <c r="B145" s="167">
        <v>45498</v>
      </c>
      <c r="C145" s="117">
        <v>2024</v>
      </c>
      <c r="D145" s="119" t="s">
        <v>833</v>
      </c>
      <c r="E145" s="119" t="s">
        <v>588</v>
      </c>
      <c r="F145" s="120">
        <v>12</v>
      </c>
      <c r="G145" s="168">
        <v>57600</v>
      </c>
    </row>
    <row r="146" spans="1:7" x14ac:dyDescent="0.25">
      <c r="A146" s="197">
        <v>141</v>
      </c>
      <c r="B146" s="116">
        <v>45506</v>
      </c>
      <c r="C146" s="117">
        <v>2024</v>
      </c>
      <c r="D146" s="118" t="s">
        <v>833</v>
      </c>
      <c r="E146" s="119" t="s">
        <v>589</v>
      </c>
      <c r="F146" s="120">
        <v>55</v>
      </c>
      <c r="G146" s="121">
        <v>99000</v>
      </c>
    </row>
    <row r="147" spans="1:7" x14ac:dyDescent="0.25">
      <c r="A147" s="197">
        <v>142</v>
      </c>
      <c r="B147" s="116">
        <v>45512</v>
      </c>
      <c r="C147" s="117">
        <v>2024</v>
      </c>
      <c r="D147" s="118" t="s">
        <v>833</v>
      </c>
      <c r="E147" s="119" t="s">
        <v>589</v>
      </c>
      <c r="F147" s="120">
        <v>100</v>
      </c>
      <c r="G147" s="121">
        <v>34000</v>
      </c>
    </row>
    <row r="148" spans="1:7" x14ac:dyDescent="0.25">
      <c r="A148" s="197">
        <v>143</v>
      </c>
      <c r="B148" s="167">
        <v>45544</v>
      </c>
      <c r="C148" s="117">
        <v>2024</v>
      </c>
      <c r="D148" s="119" t="s">
        <v>833</v>
      </c>
      <c r="E148" s="119" t="s">
        <v>1114</v>
      </c>
      <c r="F148" s="120">
        <v>3</v>
      </c>
      <c r="G148" s="168">
        <v>43800</v>
      </c>
    </row>
    <row r="149" spans="1:7" x14ac:dyDescent="0.25">
      <c r="A149" s="197">
        <v>144</v>
      </c>
      <c r="B149" s="167">
        <v>45568</v>
      </c>
      <c r="C149" s="117">
        <v>2024</v>
      </c>
      <c r="D149" s="119" t="s">
        <v>833</v>
      </c>
      <c r="E149" s="119" t="s">
        <v>967</v>
      </c>
      <c r="F149" s="120">
        <v>100</v>
      </c>
      <c r="G149" s="168">
        <v>1000000</v>
      </c>
    </row>
    <row r="150" spans="1:7" x14ac:dyDescent="0.25">
      <c r="A150" s="197">
        <v>145</v>
      </c>
      <c r="B150" s="167">
        <v>45588</v>
      </c>
      <c r="C150" s="117">
        <v>2024</v>
      </c>
      <c r="D150" s="119" t="s">
        <v>833</v>
      </c>
      <c r="E150" s="119" t="s">
        <v>425</v>
      </c>
      <c r="F150" s="120">
        <v>1</v>
      </c>
      <c r="G150" s="168">
        <v>46982.25</v>
      </c>
    </row>
    <row r="151" spans="1:7" x14ac:dyDescent="0.25">
      <c r="A151" s="197">
        <v>146</v>
      </c>
      <c r="B151" s="167">
        <v>45588</v>
      </c>
      <c r="C151" s="117">
        <v>2024</v>
      </c>
      <c r="D151" s="119" t="s">
        <v>833</v>
      </c>
      <c r="E151" s="119" t="s">
        <v>425</v>
      </c>
      <c r="F151" s="120">
        <v>1</v>
      </c>
      <c r="G151" s="168">
        <v>46982.25</v>
      </c>
    </row>
    <row r="152" spans="1:7" x14ac:dyDescent="0.25">
      <c r="A152" s="197">
        <v>147</v>
      </c>
      <c r="B152" s="167">
        <v>45588</v>
      </c>
      <c r="C152" s="117">
        <v>2024</v>
      </c>
      <c r="D152" s="119" t="s">
        <v>833</v>
      </c>
      <c r="E152" s="119" t="s">
        <v>425</v>
      </c>
      <c r="F152" s="120">
        <v>1</v>
      </c>
      <c r="G152" s="168">
        <v>46982.25</v>
      </c>
    </row>
    <row r="153" spans="1:7" x14ac:dyDescent="0.25">
      <c r="A153" s="197">
        <v>148</v>
      </c>
      <c r="B153" s="167">
        <v>45588</v>
      </c>
      <c r="C153" s="117">
        <v>2024</v>
      </c>
      <c r="D153" s="119" t="s">
        <v>833</v>
      </c>
      <c r="E153" s="119" t="s">
        <v>425</v>
      </c>
      <c r="F153" s="120">
        <v>1</v>
      </c>
      <c r="G153" s="168">
        <v>46982.25</v>
      </c>
    </row>
    <row r="154" spans="1:7" x14ac:dyDescent="0.25">
      <c r="A154" s="197">
        <v>149</v>
      </c>
      <c r="B154" s="167">
        <v>45590</v>
      </c>
      <c r="C154" s="117">
        <v>2024</v>
      </c>
      <c r="D154" s="119" t="s">
        <v>833</v>
      </c>
      <c r="E154" s="119" t="s">
        <v>589</v>
      </c>
      <c r="F154" s="120">
        <v>9</v>
      </c>
      <c r="G154" s="168">
        <v>2934000</v>
      </c>
    </row>
    <row r="155" spans="1:7" x14ac:dyDescent="0.25">
      <c r="A155" s="197">
        <v>150</v>
      </c>
      <c r="B155" s="116">
        <v>45590</v>
      </c>
      <c r="C155" s="117">
        <v>2024</v>
      </c>
      <c r="D155" s="118" t="s">
        <v>833</v>
      </c>
      <c r="E155" s="119" t="s">
        <v>589</v>
      </c>
      <c r="F155" s="120">
        <v>7</v>
      </c>
      <c r="G155" s="121">
        <v>1645000</v>
      </c>
    </row>
    <row r="156" spans="1:7" x14ac:dyDescent="0.25">
      <c r="A156" s="197">
        <v>151</v>
      </c>
      <c r="B156" s="116">
        <v>45590</v>
      </c>
      <c r="C156" s="117">
        <v>2024</v>
      </c>
      <c r="D156" s="118" t="s">
        <v>833</v>
      </c>
      <c r="E156" s="119" t="s">
        <v>589</v>
      </c>
      <c r="F156" s="120">
        <v>15</v>
      </c>
      <c r="G156" s="121">
        <v>607500</v>
      </c>
    </row>
    <row r="157" spans="1:7" x14ac:dyDescent="0.25">
      <c r="A157" s="197">
        <v>152</v>
      </c>
      <c r="B157" s="116">
        <v>45590</v>
      </c>
      <c r="C157" s="117">
        <v>2024</v>
      </c>
      <c r="D157" s="118" t="s">
        <v>833</v>
      </c>
      <c r="E157" s="119" t="s">
        <v>589</v>
      </c>
      <c r="F157" s="120">
        <v>15</v>
      </c>
      <c r="G157" s="121">
        <v>693750</v>
      </c>
    </row>
    <row r="158" spans="1:7" x14ac:dyDescent="0.25">
      <c r="A158" s="197">
        <v>153</v>
      </c>
      <c r="B158" s="167">
        <v>45590</v>
      </c>
      <c r="C158" s="117">
        <v>2024</v>
      </c>
      <c r="D158" s="119" t="s">
        <v>833</v>
      </c>
      <c r="E158" s="119" t="s">
        <v>1202</v>
      </c>
      <c r="F158" s="120">
        <v>2</v>
      </c>
      <c r="G158" s="168">
        <v>14000</v>
      </c>
    </row>
    <row r="159" spans="1:7" x14ac:dyDescent="0.25">
      <c r="A159" s="197">
        <v>154</v>
      </c>
      <c r="B159" s="167">
        <v>45591</v>
      </c>
      <c r="C159" s="117">
        <v>2024</v>
      </c>
      <c r="D159" s="119" t="s">
        <v>833</v>
      </c>
      <c r="E159" s="119" t="s">
        <v>1210</v>
      </c>
      <c r="F159" s="120">
        <v>10</v>
      </c>
      <c r="G159" s="168">
        <v>456910</v>
      </c>
    </row>
    <row r="160" spans="1:7" x14ac:dyDescent="0.25">
      <c r="A160" s="197">
        <v>155</v>
      </c>
      <c r="B160" s="167">
        <v>45593</v>
      </c>
      <c r="C160" s="117">
        <v>2024</v>
      </c>
      <c r="D160" s="119" t="s">
        <v>833</v>
      </c>
      <c r="E160" s="119" t="s">
        <v>175</v>
      </c>
      <c r="F160" s="120">
        <v>75</v>
      </c>
      <c r="G160" s="168">
        <v>948750</v>
      </c>
    </row>
    <row r="161" spans="1:7" x14ac:dyDescent="0.25">
      <c r="A161" s="197">
        <v>156</v>
      </c>
      <c r="B161" s="167">
        <v>45593</v>
      </c>
      <c r="C161" s="117">
        <v>2024</v>
      </c>
      <c r="D161" s="119" t="s">
        <v>833</v>
      </c>
      <c r="E161" s="119" t="s">
        <v>495</v>
      </c>
      <c r="F161" s="120">
        <v>10</v>
      </c>
      <c r="G161" s="168">
        <v>454900</v>
      </c>
    </row>
    <row r="162" spans="1:7" x14ac:dyDescent="0.25">
      <c r="A162" s="197">
        <v>157</v>
      </c>
      <c r="B162" s="116">
        <v>45594</v>
      </c>
      <c r="C162" s="117">
        <v>2024</v>
      </c>
      <c r="D162" s="118" t="s">
        <v>833</v>
      </c>
      <c r="E162" s="119" t="s">
        <v>600</v>
      </c>
      <c r="F162" s="120">
        <v>3</v>
      </c>
      <c r="G162" s="121">
        <v>8100</v>
      </c>
    </row>
    <row r="163" spans="1:7" x14ac:dyDescent="0.25">
      <c r="A163" s="197">
        <v>158</v>
      </c>
      <c r="B163" s="167">
        <v>45594</v>
      </c>
      <c r="C163" s="117">
        <v>2024</v>
      </c>
      <c r="D163" s="119" t="s">
        <v>833</v>
      </c>
      <c r="E163" s="119" t="s">
        <v>600</v>
      </c>
      <c r="F163" s="120">
        <v>3</v>
      </c>
      <c r="G163" s="168">
        <v>12600</v>
      </c>
    </row>
    <row r="164" spans="1:7" x14ac:dyDescent="0.25">
      <c r="A164" s="197">
        <v>159</v>
      </c>
      <c r="B164" s="167">
        <v>45594</v>
      </c>
      <c r="C164" s="117">
        <v>2024</v>
      </c>
      <c r="D164" s="119" t="s">
        <v>833</v>
      </c>
      <c r="E164" s="119" t="s">
        <v>1025</v>
      </c>
      <c r="F164" s="120">
        <v>2</v>
      </c>
      <c r="G164" s="168">
        <v>22000</v>
      </c>
    </row>
    <row r="165" spans="1:7" x14ac:dyDescent="0.25">
      <c r="A165" s="197">
        <v>160</v>
      </c>
      <c r="B165" s="167">
        <v>45594</v>
      </c>
      <c r="C165" s="117">
        <v>2024</v>
      </c>
      <c r="D165" s="119" t="s">
        <v>833</v>
      </c>
      <c r="E165" s="119" t="s">
        <v>171</v>
      </c>
      <c r="F165" s="120">
        <v>3</v>
      </c>
      <c r="G165" s="168">
        <v>28800</v>
      </c>
    </row>
    <row r="166" spans="1:7" x14ac:dyDescent="0.25">
      <c r="A166" s="197">
        <v>161</v>
      </c>
      <c r="B166" s="167">
        <v>45596</v>
      </c>
      <c r="C166" s="117">
        <v>2024</v>
      </c>
      <c r="D166" s="119" t="s">
        <v>833</v>
      </c>
      <c r="E166" s="119" t="s">
        <v>175</v>
      </c>
      <c r="F166" s="120">
        <v>47</v>
      </c>
      <c r="G166" s="168">
        <v>368950</v>
      </c>
    </row>
    <row r="167" spans="1:7" x14ac:dyDescent="0.25">
      <c r="A167" s="197">
        <v>162</v>
      </c>
      <c r="B167" s="116">
        <v>45601</v>
      </c>
      <c r="C167" s="117">
        <v>2024</v>
      </c>
      <c r="D167" s="118" t="s">
        <v>833</v>
      </c>
      <c r="E167" s="119" t="s">
        <v>1212</v>
      </c>
      <c r="F167" s="120">
        <v>1</v>
      </c>
      <c r="G167" s="121">
        <v>50670</v>
      </c>
    </row>
    <row r="168" spans="1:7" x14ac:dyDescent="0.25">
      <c r="A168" s="197">
        <v>163</v>
      </c>
      <c r="B168" s="167">
        <v>45602</v>
      </c>
      <c r="C168" s="117">
        <v>2024</v>
      </c>
      <c r="D168" s="119" t="s">
        <v>833</v>
      </c>
      <c r="E168" s="119" t="s">
        <v>493</v>
      </c>
      <c r="F168" s="120">
        <v>10</v>
      </c>
      <c r="G168" s="168">
        <v>90000</v>
      </c>
    </row>
    <row r="169" spans="1:7" x14ac:dyDescent="0.25">
      <c r="A169" s="197">
        <v>164</v>
      </c>
      <c r="B169" s="167">
        <v>45603</v>
      </c>
      <c r="C169" s="117">
        <v>2024</v>
      </c>
      <c r="D169" s="119" t="s">
        <v>833</v>
      </c>
      <c r="E169" s="119" t="s">
        <v>425</v>
      </c>
      <c r="F169" s="120">
        <v>1</v>
      </c>
      <c r="G169" s="121">
        <v>48670</v>
      </c>
    </row>
    <row r="170" spans="1:7" x14ac:dyDescent="0.25">
      <c r="A170" s="197">
        <v>165</v>
      </c>
      <c r="B170" s="116">
        <v>45612</v>
      </c>
      <c r="C170" s="117">
        <v>2024</v>
      </c>
      <c r="D170" s="118" t="s">
        <v>833</v>
      </c>
      <c r="E170" s="119" t="s">
        <v>588</v>
      </c>
      <c r="F170" s="120">
        <v>12</v>
      </c>
      <c r="G170" s="121">
        <v>46200</v>
      </c>
    </row>
    <row r="171" spans="1:7" x14ac:dyDescent="0.25">
      <c r="A171" s="197">
        <v>166</v>
      </c>
      <c r="B171" s="167">
        <v>45614</v>
      </c>
      <c r="C171" s="117">
        <v>2024</v>
      </c>
      <c r="D171" s="119" t="s">
        <v>833</v>
      </c>
      <c r="E171" s="119" t="s">
        <v>600</v>
      </c>
      <c r="F171" s="120">
        <v>2</v>
      </c>
      <c r="G171" s="168">
        <v>11400</v>
      </c>
    </row>
    <row r="172" spans="1:7" x14ac:dyDescent="0.25">
      <c r="A172" s="197">
        <v>167</v>
      </c>
      <c r="B172" s="116">
        <v>45614</v>
      </c>
      <c r="C172" s="117">
        <v>2024</v>
      </c>
      <c r="D172" s="118" t="s">
        <v>833</v>
      </c>
      <c r="E172" s="119" t="s">
        <v>600</v>
      </c>
      <c r="F172" s="120">
        <v>4</v>
      </c>
      <c r="G172" s="121">
        <v>22800</v>
      </c>
    </row>
    <row r="173" spans="1:7" x14ac:dyDescent="0.25">
      <c r="A173" s="197">
        <v>168</v>
      </c>
      <c r="B173" s="116">
        <v>45614</v>
      </c>
      <c r="C173" s="117">
        <v>2024</v>
      </c>
      <c r="D173" s="118" t="s">
        <v>833</v>
      </c>
      <c r="E173" s="119" t="s">
        <v>103</v>
      </c>
      <c r="F173" s="120">
        <v>36</v>
      </c>
      <c r="G173" s="121">
        <v>34500</v>
      </c>
    </row>
    <row r="174" spans="1:7" x14ac:dyDescent="0.25">
      <c r="A174" s="197">
        <v>169</v>
      </c>
      <c r="B174" s="116">
        <v>45614</v>
      </c>
      <c r="C174" s="117">
        <v>2024</v>
      </c>
      <c r="D174" s="118" t="s">
        <v>833</v>
      </c>
      <c r="E174" s="119" t="s">
        <v>103</v>
      </c>
      <c r="F174" s="120">
        <v>24</v>
      </c>
      <c r="G174" s="121">
        <v>22000</v>
      </c>
    </row>
    <row r="175" spans="1:7" x14ac:dyDescent="0.25">
      <c r="A175" s="197">
        <v>170</v>
      </c>
      <c r="B175" s="167">
        <v>45614</v>
      </c>
      <c r="C175" s="117">
        <v>2024</v>
      </c>
      <c r="D175" s="119" t="s">
        <v>833</v>
      </c>
      <c r="E175" s="119" t="s">
        <v>103</v>
      </c>
      <c r="F175" s="120">
        <v>24</v>
      </c>
      <c r="G175" s="168">
        <v>22000</v>
      </c>
    </row>
    <row r="176" spans="1:7" x14ac:dyDescent="0.25">
      <c r="A176" s="197">
        <v>171</v>
      </c>
      <c r="B176" s="167">
        <v>45614</v>
      </c>
      <c r="C176" s="117">
        <v>2024</v>
      </c>
      <c r="D176" s="119" t="s">
        <v>833</v>
      </c>
      <c r="E176" s="119" t="s">
        <v>539</v>
      </c>
      <c r="F176" s="120">
        <v>12</v>
      </c>
      <c r="G176" s="168">
        <v>74100</v>
      </c>
    </row>
    <row r="177" spans="1:7" x14ac:dyDescent="0.25">
      <c r="A177" s="197">
        <v>172</v>
      </c>
      <c r="B177" s="167">
        <v>45614</v>
      </c>
      <c r="C177" s="117">
        <v>2024</v>
      </c>
      <c r="D177" s="119" t="s">
        <v>833</v>
      </c>
      <c r="E177" s="119" t="s">
        <v>589</v>
      </c>
      <c r="F177" s="120">
        <v>20</v>
      </c>
      <c r="G177" s="168">
        <v>925000</v>
      </c>
    </row>
    <row r="178" spans="1:7" x14ac:dyDescent="0.25">
      <c r="A178" s="197">
        <v>173</v>
      </c>
      <c r="B178" s="116">
        <v>45614</v>
      </c>
      <c r="C178" s="117">
        <v>2024</v>
      </c>
      <c r="D178" s="118" t="s">
        <v>833</v>
      </c>
      <c r="E178" s="119" t="s">
        <v>491</v>
      </c>
      <c r="F178" s="120">
        <v>4</v>
      </c>
      <c r="G178" s="121">
        <v>37000</v>
      </c>
    </row>
    <row r="179" spans="1:7" x14ac:dyDescent="0.25">
      <c r="A179" s="197">
        <v>174</v>
      </c>
      <c r="B179" s="167">
        <v>45614</v>
      </c>
      <c r="C179" s="117">
        <v>2024</v>
      </c>
      <c r="D179" s="119" t="s">
        <v>833</v>
      </c>
      <c r="E179" s="119" t="s">
        <v>491</v>
      </c>
      <c r="F179" s="120">
        <v>2</v>
      </c>
      <c r="G179" s="168">
        <v>18500</v>
      </c>
    </row>
    <row r="180" spans="1:7" x14ac:dyDescent="0.25">
      <c r="A180" s="197">
        <v>175</v>
      </c>
      <c r="B180" s="116">
        <v>45614</v>
      </c>
      <c r="C180" s="117">
        <v>2024</v>
      </c>
      <c r="D180" s="118" t="s">
        <v>833</v>
      </c>
      <c r="E180" s="119" t="s">
        <v>517</v>
      </c>
      <c r="F180" s="120">
        <v>8</v>
      </c>
      <c r="G180" s="121">
        <v>13400</v>
      </c>
    </row>
    <row r="181" spans="1:7" x14ac:dyDescent="0.25">
      <c r="A181" s="197">
        <v>176</v>
      </c>
      <c r="B181" s="116">
        <v>45614</v>
      </c>
      <c r="C181" s="117">
        <v>2024</v>
      </c>
      <c r="D181" s="118" t="s">
        <v>833</v>
      </c>
      <c r="E181" s="119" t="s">
        <v>517</v>
      </c>
      <c r="F181" s="120">
        <v>2</v>
      </c>
      <c r="G181" s="121">
        <v>3350</v>
      </c>
    </row>
    <row r="182" spans="1:7" x14ac:dyDescent="0.25">
      <c r="A182" s="197">
        <v>177</v>
      </c>
      <c r="B182" s="116">
        <v>45614</v>
      </c>
      <c r="C182" s="117">
        <v>2024</v>
      </c>
      <c r="D182" s="118" t="s">
        <v>833</v>
      </c>
      <c r="E182" s="119" t="s">
        <v>563</v>
      </c>
      <c r="F182" s="120">
        <v>6</v>
      </c>
      <c r="G182" s="121">
        <v>66000</v>
      </c>
    </row>
    <row r="183" spans="1:7" x14ac:dyDescent="0.25">
      <c r="A183" s="197">
        <v>178</v>
      </c>
      <c r="B183" s="116">
        <v>45614</v>
      </c>
      <c r="C183" s="117">
        <v>2024</v>
      </c>
      <c r="D183" s="118" t="s">
        <v>833</v>
      </c>
      <c r="E183" s="119" t="s">
        <v>834</v>
      </c>
      <c r="F183" s="120">
        <v>3</v>
      </c>
      <c r="G183" s="121">
        <v>28500</v>
      </c>
    </row>
    <row r="184" spans="1:7" x14ac:dyDescent="0.25">
      <c r="A184" s="197">
        <v>179</v>
      </c>
      <c r="B184" s="116">
        <v>45614</v>
      </c>
      <c r="C184" s="117">
        <v>2024</v>
      </c>
      <c r="D184" s="118" t="s">
        <v>833</v>
      </c>
      <c r="E184" s="119" t="s">
        <v>834</v>
      </c>
      <c r="F184" s="120">
        <v>4</v>
      </c>
      <c r="G184" s="121">
        <v>38000</v>
      </c>
    </row>
    <row r="185" spans="1:7" x14ac:dyDescent="0.25">
      <c r="A185" s="197">
        <v>180</v>
      </c>
      <c r="B185" s="116">
        <v>45617</v>
      </c>
      <c r="C185" s="117">
        <v>2024</v>
      </c>
      <c r="D185" s="118" t="s">
        <v>833</v>
      </c>
      <c r="E185" s="119" t="s">
        <v>511</v>
      </c>
      <c r="F185" s="120">
        <v>3</v>
      </c>
      <c r="G185" s="121">
        <v>136500</v>
      </c>
    </row>
    <row r="186" spans="1:7" x14ac:dyDescent="0.25">
      <c r="A186" s="197">
        <v>181</v>
      </c>
      <c r="B186" s="167">
        <v>45617</v>
      </c>
      <c r="C186" s="117">
        <v>2024</v>
      </c>
      <c r="D186" s="119" t="s">
        <v>833</v>
      </c>
      <c r="E186" s="119" t="s">
        <v>493</v>
      </c>
      <c r="F186" s="120">
        <v>10</v>
      </c>
      <c r="G186" s="168">
        <v>90000</v>
      </c>
    </row>
    <row r="187" spans="1:7" x14ac:dyDescent="0.25">
      <c r="A187" s="197">
        <v>182</v>
      </c>
      <c r="B187" s="116">
        <v>45626</v>
      </c>
      <c r="C187" s="117">
        <v>2024</v>
      </c>
      <c r="D187" s="118" t="s">
        <v>833</v>
      </c>
      <c r="E187" s="119" t="s">
        <v>535</v>
      </c>
      <c r="F187" s="120">
        <v>40</v>
      </c>
      <c r="G187" s="121">
        <v>39960</v>
      </c>
    </row>
    <row r="188" spans="1:7" x14ac:dyDescent="0.25">
      <c r="A188" s="197">
        <v>183</v>
      </c>
      <c r="B188" s="167">
        <v>45629</v>
      </c>
      <c r="C188" s="117">
        <v>2024</v>
      </c>
      <c r="D188" s="119" t="s">
        <v>833</v>
      </c>
      <c r="E188" s="119" t="s">
        <v>580</v>
      </c>
      <c r="F188" s="120">
        <v>3</v>
      </c>
      <c r="G188" s="121">
        <v>140949.99</v>
      </c>
    </row>
    <row r="189" spans="1:7" x14ac:dyDescent="0.25">
      <c r="A189" s="197">
        <v>184</v>
      </c>
      <c r="B189" s="116">
        <v>45629</v>
      </c>
      <c r="C189" s="117">
        <v>2024</v>
      </c>
      <c r="D189" s="118" t="s">
        <v>833</v>
      </c>
      <c r="E189" s="119" t="s">
        <v>580</v>
      </c>
      <c r="F189" s="120">
        <v>1</v>
      </c>
      <c r="G189" s="121">
        <v>46983.33</v>
      </c>
    </row>
    <row r="190" spans="1:7" x14ac:dyDescent="0.25">
      <c r="A190" s="197">
        <v>185</v>
      </c>
      <c r="B190" s="116">
        <v>45629</v>
      </c>
      <c r="C190" s="117">
        <v>2024</v>
      </c>
      <c r="D190" s="118" t="s">
        <v>833</v>
      </c>
      <c r="E190" s="119" t="s">
        <v>580</v>
      </c>
      <c r="F190" s="120">
        <v>1</v>
      </c>
      <c r="G190" s="121">
        <v>46983.33</v>
      </c>
    </row>
    <row r="191" spans="1:7" x14ac:dyDescent="0.25">
      <c r="A191" s="197">
        <v>186</v>
      </c>
      <c r="B191" s="167">
        <v>45629</v>
      </c>
      <c r="C191" s="117">
        <v>2024</v>
      </c>
      <c r="D191" s="119" t="s">
        <v>833</v>
      </c>
      <c r="E191" s="119" t="s">
        <v>580</v>
      </c>
      <c r="F191" s="120">
        <v>1</v>
      </c>
      <c r="G191" s="168">
        <v>46983.33</v>
      </c>
    </row>
    <row r="192" spans="1:7" x14ac:dyDescent="0.25">
      <c r="A192" s="197">
        <v>187</v>
      </c>
      <c r="B192" s="116">
        <v>45629</v>
      </c>
      <c r="C192" s="117">
        <v>2024</v>
      </c>
      <c r="D192" s="118" t="s">
        <v>833</v>
      </c>
      <c r="E192" s="119" t="s">
        <v>1211</v>
      </c>
      <c r="F192" s="120">
        <v>1</v>
      </c>
      <c r="G192" s="121">
        <v>47316</v>
      </c>
    </row>
    <row r="193" spans="1:7" x14ac:dyDescent="0.25">
      <c r="A193" s="197">
        <v>188</v>
      </c>
      <c r="B193" s="116">
        <v>45629</v>
      </c>
      <c r="C193" s="117">
        <v>2024</v>
      </c>
      <c r="D193" s="118" t="s">
        <v>833</v>
      </c>
      <c r="E193" s="119" t="s">
        <v>1212</v>
      </c>
      <c r="F193" s="120">
        <v>3</v>
      </c>
      <c r="G193" s="121">
        <v>141948</v>
      </c>
    </row>
    <row r="194" spans="1:7" x14ac:dyDescent="0.25">
      <c r="A194" s="197">
        <v>189</v>
      </c>
      <c r="B194" s="116">
        <v>45629</v>
      </c>
      <c r="C194" s="117">
        <v>2024</v>
      </c>
      <c r="D194" s="118" t="s">
        <v>833</v>
      </c>
      <c r="E194" s="119" t="s">
        <v>1213</v>
      </c>
      <c r="F194" s="120">
        <v>1</v>
      </c>
      <c r="G194" s="121">
        <v>47316</v>
      </c>
    </row>
    <row r="195" spans="1:7" x14ac:dyDescent="0.25">
      <c r="A195" s="197">
        <v>190</v>
      </c>
      <c r="B195" s="116">
        <v>45629</v>
      </c>
      <c r="C195" s="117">
        <v>2024</v>
      </c>
      <c r="D195" s="118" t="s">
        <v>833</v>
      </c>
      <c r="E195" s="119" t="s">
        <v>1214</v>
      </c>
      <c r="F195" s="120">
        <v>1</v>
      </c>
      <c r="G195" s="206">
        <v>47316</v>
      </c>
    </row>
    <row r="196" spans="1:7" x14ac:dyDescent="0.25">
      <c r="A196" s="197">
        <v>191</v>
      </c>
      <c r="B196" s="167">
        <v>45633</v>
      </c>
      <c r="C196" s="117">
        <v>2024</v>
      </c>
      <c r="D196" s="119" t="s">
        <v>833</v>
      </c>
      <c r="E196" s="119" t="s">
        <v>967</v>
      </c>
      <c r="F196" s="120">
        <v>100</v>
      </c>
      <c r="G196" s="169">
        <v>1000000</v>
      </c>
    </row>
    <row r="197" spans="1:7" x14ac:dyDescent="0.25">
      <c r="A197" s="197">
        <v>192</v>
      </c>
      <c r="B197" s="167">
        <v>45664</v>
      </c>
      <c r="C197" s="117">
        <v>2025</v>
      </c>
      <c r="D197" s="119" t="s">
        <v>833</v>
      </c>
      <c r="E197" s="119" t="s">
        <v>620</v>
      </c>
      <c r="F197" s="120">
        <v>3</v>
      </c>
      <c r="G197" s="169">
        <v>69600</v>
      </c>
    </row>
    <row r="198" spans="1:7" x14ac:dyDescent="0.25">
      <c r="A198" s="197">
        <v>193</v>
      </c>
      <c r="B198" s="167">
        <v>45664</v>
      </c>
      <c r="C198" s="117">
        <v>2025</v>
      </c>
      <c r="D198" s="119" t="s">
        <v>833</v>
      </c>
      <c r="E198" s="119" t="s">
        <v>1315</v>
      </c>
      <c r="F198" s="120">
        <v>7</v>
      </c>
      <c r="G198" s="169">
        <v>56000</v>
      </c>
    </row>
    <row r="199" spans="1:7" x14ac:dyDescent="0.25">
      <c r="A199" s="197">
        <v>194</v>
      </c>
      <c r="B199" s="167">
        <v>45666</v>
      </c>
      <c r="C199" s="117">
        <v>2025</v>
      </c>
      <c r="D199" s="119" t="s">
        <v>833</v>
      </c>
      <c r="E199" s="119" t="s">
        <v>290</v>
      </c>
      <c r="F199" s="120">
        <v>10</v>
      </c>
      <c r="G199" s="169">
        <v>104290</v>
      </c>
    </row>
    <row r="200" spans="1:7" x14ac:dyDescent="0.25">
      <c r="A200" s="197">
        <v>195</v>
      </c>
      <c r="B200" s="167">
        <v>45682</v>
      </c>
      <c r="C200" s="117">
        <v>2025</v>
      </c>
      <c r="D200" s="119" t="s">
        <v>833</v>
      </c>
      <c r="E200" s="119" t="s">
        <v>87</v>
      </c>
      <c r="F200" s="120">
        <v>12</v>
      </c>
      <c r="G200" s="169">
        <v>18600</v>
      </c>
    </row>
    <row r="201" spans="1:7" x14ac:dyDescent="0.25">
      <c r="A201" s="197">
        <v>196</v>
      </c>
      <c r="B201" s="167">
        <v>45682</v>
      </c>
      <c r="C201" s="117">
        <v>2025</v>
      </c>
      <c r="D201" s="119" t="s">
        <v>833</v>
      </c>
      <c r="E201" s="119" t="s">
        <v>398</v>
      </c>
      <c r="F201" s="120">
        <v>12</v>
      </c>
      <c r="G201" s="169">
        <v>10008</v>
      </c>
    </row>
    <row r="202" spans="1:7" x14ac:dyDescent="0.25">
      <c r="A202" s="197">
        <v>197</v>
      </c>
      <c r="B202" s="167">
        <v>45682</v>
      </c>
      <c r="C202" s="117">
        <v>2025</v>
      </c>
      <c r="D202" s="119" t="s">
        <v>833</v>
      </c>
      <c r="E202" s="119" t="s">
        <v>478</v>
      </c>
      <c r="F202" s="120">
        <v>20</v>
      </c>
      <c r="G202" s="169">
        <v>750000</v>
      </c>
    </row>
    <row r="203" spans="1:7" x14ac:dyDescent="0.25">
      <c r="A203" s="197">
        <v>198</v>
      </c>
      <c r="B203" s="167">
        <v>45682</v>
      </c>
      <c r="C203" s="117">
        <v>2025</v>
      </c>
      <c r="D203" s="119" t="s">
        <v>833</v>
      </c>
      <c r="E203" s="119" t="s">
        <v>478</v>
      </c>
      <c r="F203" s="120">
        <v>1</v>
      </c>
      <c r="G203" s="169">
        <v>240000</v>
      </c>
    </row>
    <row r="204" spans="1:7" x14ac:dyDescent="0.25">
      <c r="A204" s="197">
        <v>199</v>
      </c>
      <c r="B204" s="167">
        <v>45682</v>
      </c>
      <c r="C204" s="117">
        <v>2025</v>
      </c>
      <c r="D204" s="119" t="s">
        <v>833</v>
      </c>
      <c r="E204" s="119" t="s">
        <v>478</v>
      </c>
      <c r="F204" s="120">
        <v>25</v>
      </c>
      <c r="G204" s="169">
        <v>1081250</v>
      </c>
    </row>
    <row r="205" spans="1:7" x14ac:dyDescent="0.25">
      <c r="A205" s="197">
        <v>200</v>
      </c>
      <c r="B205" s="167">
        <v>45682</v>
      </c>
      <c r="C205" s="117">
        <v>2025</v>
      </c>
      <c r="D205" s="119" t="s">
        <v>833</v>
      </c>
      <c r="E205" s="119" t="s">
        <v>523</v>
      </c>
      <c r="F205" s="120">
        <v>3</v>
      </c>
      <c r="G205" s="169">
        <v>45000</v>
      </c>
    </row>
    <row r="206" spans="1:7" x14ac:dyDescent="0.25">
      <c r="A206" s="197">
        <v>201</v>
      </c>
      <c r="B206" s="167">
        <v>45682</v>
      </c>
      <c r="C206" s="117">
        <v>2025</v>
      </c>
      <c r="D206" s="119" t="s">
        <v>833</v>
      </c>
      <c r="E206" s="119" t="s">
        <v>523</v>
      </c>
      <c r="F206" s="120">
        <v>2</v>
      </c>
      <c r="G206" s="169">
        <v>30000</v>
      </c>
    </row>
    <row r="207" spans="1:7" x14ac:dyDescent="0.25">
      <c r="A207" s="197">
        <v>202</v>
      </c>
      <c r="B207" s="167">
        <v>45682</v>
      </c>
      <c r="C207" s="117">
        <v>2025</v>
      </c>
      <c r="D207" s="119" t="s">
        <v>833</v>
      </c>
      <c r="E207" s="119" t="s">
        <v>523</v>
      </c>
      <c r="F207" s="120">
        <v>2</v>
      </c>
      <c r="G207" s="169">
        <v>30000</v>
      </c>
    </row>
    <row r="208" spans="1:7" x14ac:dyDescent="0.25">
      <c r="A208" s="197">
        <v>203</v>
      </c>
      <c r="B208" s="167">
        <v>45682</v>
      </c>
      <c r="C208" s="117">
        <v>2025</v>
      </c>
      <c r="D208" s="119" t="s">
        <v>833</v>
      </c>
      <c r="E208" s="119" t="s">
        <v>1209</v>
      </c>
      <c r="F208" s="120">
        <v>5</v>
      </c>
      <c r="G208" s="169">
        <v>48000</v>
      </c>
    </row>
    <row r="209" spans="1:7" x14ac:dyDescent="0.25">
      <c r="A209" s="197">
        <v>204</v>
      </c>
      <c r="B209" s="167">
        <v>45689</v>
      </c>
      <c r="C209" s="117">
        <v>2025</v>
      </c>
      <c r="D209" s="119" t="s">
        <v>833</v>
      </c>
      <c r="E209" s="119" t="s">
        <v>544</v>
      </c>
      <c r="F209" s="120">
        <v>10</v>
      </c>
      <c r="G209" s="169">
        <v>208600</v>
      </c>
    </row>
    <row r="210" spans="1:7" x14ac:dyDescent="0.25">
      <c r="A210" s="197">
        <v>205</v>
      </c>
      <c r="B210" s="167">
        <v>45716</v>
      </c>
      <c r="C210" s="117">
        <v>2025</v>
      </c>
      <c r="D210" s="119" t="s">
        <v>833</v>
      </c>
      <c r="E210" s="119" t="s">
        <v>620</v>
      </c>
      <c r="F210" s="120">
        <v>6</v>
      </c>
      <c r="G210" s="169">
        <v>95100</v>
      </c>
    </row>
    <row r="211" spans="1:7" x14ac:dyDescent="0.25">
      <c r="A211" s="197">
        <v>206</v>
      </c>
      <c r="B211" s="167">
        <v>45716</v>
      </c>
      <c r="C211" s="117">
        <v>2025</v>
      </c>
      <c r="D211" s="119" t="s">
        <v>833</v>
      </c>
      <c r="E211" s="119" t="s">
        <v>1209</v>
      </c>
      <c r="F211" s="120">
        <v>3</v>
      </c>
      <c r="G211" s="169">
        <v>28800</v>
      </c>
    </row>
    <row r="212" spans="1:7" x14ac:dyDescent="0.25">
      <c r="A212" s="197">
        <v>207</v>
      </c>
      <c r="B212" s="167">
        <v>45719</v>
      </c>
      <c r="C212" s="117">
        <v>2025</v>
      </c>
      <c r="D212" s="119" t="s">
        <v>833</v>
      </c>
      <c r="E212" s="119" t="s">
        <v>641</v>
      </c>
      <c r="F212" s="120">
        <v>3</v>
      </c>
      <c r="G212" s="169">
        <v>29001</v>
      </c>
    </row>
    <row r="213" spans="1:7" x14ac:dyDescent="0.25">
      <c r="A213" s="197">
        <v>208</v>
      </c>
      <c r="B213" s="167">
        <v>45719</v>
      </c>
      <c r="C213" s="117">
        <v>2025</v>
      </c>
      <c r="D213" s="119" t="s">
        <v>833</v>
      </c>
      <c r="E213" s="119" t="s">
        <v>641</v>
      </c>
      <c r="F213" s="120">
        <v>3</v>
      </c>
      <c r="G213" s="169">
        <v>29001</v>
      </c>
    </row>
    <row r="214" spans="1:7" x14ac:dyDescent="0.25">
      <c r="A214" s="197">
        <v>209</v>
      </c>
      <c r="B214" s="167">
        <v>45735</v>
      </c>
      <c r="C214" s="117">
        <v>2025</v>
      </c>
      <c r="D214" s="119" t="s">
        <v>833</v>
      </c>
      <c r="E214" s="119" t="s">
        <v>478</v>
      </c>
      <c r="F214" s="120">
        <v>3</v>
      </c>
      <c r="G214" s="169">
        <v>999000</v>
      </c>
    </row>
    <row r="215" spans="1:7" x14ac:dyDescent="0.25">
      <c r="A215" s="197">
        <v>210</v>
      </c>
      <c r="B215" s="167">
        <v>45735</v>
      </c>
      <c r="C215" s="117">
        <v>2025</v>
      </c>
      <c r="D215" s="119" t="s">
        <v>833</v>
      </c>
      <c r="E215" s="119" t="s">
        <v>478</v>
      </c>
      <c r="F215" s="120">
        <v>1</v>
      </c>
      <c r="G215" s="169">
        <v>240000</v>
      </c>
    </row>
    <row r="216" spans="1:7" x14ac:dyDescent="0.25">
      <c r="A216" s="197">
        <v>211</v>
      </c>
      <c r="B216" s="167">
        <v>45735</v>
      </c>
      <c r="C216" s="117">
        <v>2025</v>
      </c>
      <c r="D216" s="119" t="s">
        <v>833</v>
      </c>
      <c r="E216" s="119" t="s">
        <v>478</v>
      </c>
      <c r="F216" s="120">
        <v>15</v>
      </c>
      <c r="G216" s="169">
        <v>648750</v>
      </c>
    </row>
    <row r="217" spans="1:7" x14ac:dyDescent="0.25">
      <c r="A217" s="197">
        <v>212</v>
      </c>
      <c r="B217" s="167">
        <v>45735</v>
      </c>
      <c r="C217" s="117">
        <v>2025</v>
      </c>
      <c r="D217" s="119" t="s">
        <v>833</v>
      </c>
      <c r="E217" s="119" t="s">
        <v>1375</v>
      </c>
      <c r="F217" s="120">
        <v>1</v>
      </c>
      <c r="G217" s="169">
        <v>31400</v>
      </c>
    </row>
    <row r="218" spans="1:7" x14ac:dyDescent="0.25">
      <c r="A218" s="197">
        <v>213</v>
      </c>
      <c r="B218" s="167">
        <v>45735</v>
      </c>
      <c r="C218" s="117">
        <v>2025</v>
      </c>
      <c r="D218" s="119" t="s">
        <v>833</v>
      </c>
      <c r="E218" s="119" t="s">
        <v>588</v>
      </c>
      <c r="F218" s="120">
        <v>12</v>
      </c>
      <c r="G218" s="169">
        <v>46200</v>
      </c>
    </row>
    <row r="219" spans="1:7" x14ac:dyDescent="0.25">
      <c r="A219" s="197">
        <v>214</v>
      </c>
      <c r="B219" s="167">
        <v>45736</v>
      </c>
      <c r="C219" s="117">
        <v>2025</v>
      </c>
      <c r="D219" s="119" t="s">
        <v>833</v>
      </c>
      <c r="E219" s="119" t="s">
        <v>175</v>
      </c>
      <c r="F219" s="120">
        <v>75</v>
      </c>
      <c r="G219" s="169">
        <v>950700</v>
      </c>
    </row>
    <row r="220" spans="1:7" x14ac:dyDescent="0.25">
      <c r="A220" s="197">
        <v>215</v>
      </c>
      <c r="B220" s="167">
        <v>45736</v>
      </c>
      <c r="C220" s="117">
        <v>2025</v>
      </c>
      <c r="D220" s="119" t="s">
        <v>833</v>
      </c>
      <c r="E220" s="119" t="s">
        <v>192</v>
      </c>
      <c r="F220" s="120">
        <v>12</v>
      </c>
      <c r="G220" s="169">
        <v>30552</v>
      </c>
    </row>
    <row r="221" spans="1:7" x14ac:dyDescent="0.25">
      <c r="A221" s="197">
        <v>216</v>
      </c>
      <c r="B221" s="167">
        <v>45736</v>
      </c>
      <c r="C221" s="117">
        <v>2025</v>
      </c>
      <c r="D221" s="119" t="s">
        <v>833</v>
      </c>
      <c r="E221" s="119" t="s">
        <v>535</v>
      </c>
      <c r="F221" s="120">
        <v>40</v>
      </c>
      <c r="G221" s="169">
        <v>41320</v>
      </c>
    </row>
    <row r="222" spans="1:7" x14ac:dyDescent="0.25">
      <c r="A222" s="197">
        <v>217</v>
      </c>
      <c r="B222" s="167">
        <v>45762</v>
      </c>
      <c r="C222" s="117">
        <v>2025</v>
      </c>
      <c r="D222" s="119" t="s">
        <v>833</v>
      </c>
      <c r="E222" s="119" t="s">
        <v>103</v>
      </c>
      <c r="F222" s="120">
        <v>36</v>
      </c>
      <c r="G222" s="169">
        <v>30564</v>
      </c>
    </row>
    <row r="223" spans="1:7" x14ac:dyDescent="0.25">
      <c r="A223" s="197">
        <v>218</v>
      </c>
      <c r="B223" s="167">
        <v>45762</v>
      </c>
      <c r="C223" s="117">
        <v>2025</v>
      </c>
      <c r="D223" s="119" t="s">
        <v>833</v>
      </c>
      <c r="E223" s="119" t="s">
        <v>632</v>
      </c>
      <c r="F223" s="120">
        <v>12</v>
      </c>
      <c r="G223" s="169">
        <v>10908</v>
      </c>
    </row>
    <row r="224" spans="1:7" x14ac:dyDescent="0.25">
      <c r="A224" s="197">
        <v>219</v>
      </c>
      <c r="B224" s="167">
        <v>45762</v>
      </c>
      <c r="C224" s="117">
        <v>2025</v>
      </c>
      <c r="D224" s="119" t="s">
        <v>833</v>
      </c>
      <c r="E224" s="119" t="s">
        <v>632</v>
      </c>
      <c r="F224" s="120">
        <v>12</v>
      </c>
      <c r="G224" s="169">
        <v>10908</v>
      </c>
    </row>
    <row r="225" spans="1:7" x14ac:dyDescent="0.25">
      <c r="A225" s="197">
        <v>220</v>
      </c>
      <c r="B225" s="167">
        <v>45764</v>
      </c>
      <c r="C225" s="117">
        <v>2025</v>
      </c>
      <c r="D225" s="119" t="s">
        <v>833</v>
      </c>
      <c r="E225" s="119" t="s">
        <v>699</v>
      </c>
      <c r="F225" s="120">
        <v>1</v>
      </c>
      <c r="G225" s="169">
        <v>64800</v>
      </c>
    </row>
    <row r="226" spans="1:7" x14ac:dyDescent="0.25">
      <c r="A226" s="197">
        <v>221</v>
      </c>
      <c r="B226" s="167">
        <v>45764</v>
      </c>
      <c r="C226" s="117">
        <v>2025</v>
      </c>
      <c r="D226" s="119" t="s">
        <v>833</v>
      </c>
      <c r="E226" s="119" t="s">
        <v>1397</v>
      </c>
      <c r="F226" s="120">
        <v>5</v>
      </c>
      <c r="G226" s="169">
        <v>125000</v>
      </c>
    </row>
    <row r="227" spans="1:7" x14ac:dyDescent="0.25">
      <c r="A227" s="197">
        <v>222</v>
      </c>
      <c r="B227" s="167">
        <v>45770</v>
      </c>
      <c r="C227" s="117">
        <v>2025</v>
      </c>
      <c r="D227" s="119" t="s">
        <v>833</v>
      </c>
      <c r="E227" s="119" t="s">
        <v>1398</v>
      </c>
      <c r="F227" s="120">
        <v>3</v>
      </c>
      <c r="G227" s="169">
        <v>61851</v>
      </c>
    </row>
    <row r="228" spans="1:7" x14ac:dyDescent="0.25">
      <c r="A228" s="197">
        <v>223</v>
      </c>
      <c r="B228" s="167">
        <v>45773</v>
      </c>
      <c r="C228" s="117">
        <v>2025</v>
      </c>
      <c r="D228" s="119" t="s">
        <v>833</v>
      </c>
      <c r="E228" s="119" t="s">
        <v>1402</v>
      </c>
      <c r="F228" s="120">
        <v>2</v>
      </c>
      <c r="G228" s="169">
        <v>67900</v>
      </c>
    </row>
    <row r="229" spans="1:7" x14ac:dyDescent="0.25">
      <c r="A229" s="197">
        <v>224</v>
      </c>
      <c r="B229" s="167">
        <v>45773</v>
      </c>
      <c r="C229" s="117">
        <v>2025</v>
      </c>
      <c r="D229" s="119" t="s">
        <v>833</v>
      </c>
      <c r="E229" s="119" t="s">
        <v>425</v>
      </c>
      <c r="F229" s="120">
        <v>1</v>
      </c>
      <c r="G229" s="169">
        <v>50400</v>
      </c>
    </row>
    <row r="230" spans="1:7" x14ac:dyDescent="0.25">
      <c r="A230" s="197">
        <v>225</v>
      </c>
      <c r="B230" s="167">
        <v>45773</v>
      </c>
      <c r="C230" s="117">
        <v>2025</v>
      </c>
      <c r="D230" s="119" t="s">
        <v>833</v>
      </c>
      <c r="E230" s="119" t="s">
        <v>580</v>
      </c>
      <c r="F230" s="120">
        <v>1</v>
      </c>
      <c r="G230" s="169">
        <v>50400</v>
      </c>
    </row>
    <row r="231" spans="1:7" x14ac:dyDescent="0.25">
      <c r="A231" s="197">
        <v>226</v>
      </c>
      <c r="B231" s="167">
        <v>45773</v>
      </c>
      <c r="C231" s="117">
        <v>2025</v>
      </c>
      <c r="D231" s="119" t="s">
        <v>833</v>
      </c>
      <c r="E231" s="119" t="s">
        <v>495</v>
      </c>
      <c r="F231" s="120">
        <v>10</v>
      </c>
      <c r="G231" s="169">
        <v>451900</v>
      </c>
    </row>
    <row r="232" spans="1:7" x14ac:dyDescent="0.25">
      <c r="A232" s="197">
        <v>227</v>
      </c>
      <c r="B232" s="167">
        <v>45773</v>
      </c>
      <c r="C232" s="117">
        <v>2025</v>
      </c>
      <c r="D232" s="119" t="s">
        <v>833</v>
      </c>
      <c r="E232" s="119" t="s">
        <v>1321</v>
      </c>
      <c r="F232" s="120">
        <v>3</v>
      </c>
      <c r="G232" s="169">
        <v>136899</v>
      </c>
    </row>
    <row r="233" spans="1:7" x14ac:dyDescent="0.25">
      <c r="A233" s="197">
        <v>228</v>
      </c>
      <c r="B233" s="167">
        <v>45777</v>
      </c>
      <c r="C233" s="117">
        <v>2025</v>
      </c>
      <c r="D233" s="119" t="s">
        <v>833</v>
      </c>
      <c r="E233" s="119" t="s">
        <v>1209</v>
      </c>
      <c r="F233" s="120">
        <v>3</v>
      </c>
      <c r="G233" s="169">
        <v>30372</v>
      </c>
    </row>
    <row r="234" spans="1:7" x14ac:dyDescent="0.25">
      <c r="A234" s="197">
        <v>229</v>
      </c>
      <c r="B234" s="167">
        <v>45783</v>
      </c>
      <c r="C234" s="117">
        <v>2025</v>
      </c>
      <c r="D234" s="119" t="s">
        <v>833</v>
      </c>
      <c r="E234" s="119" t="s">
        <v>509</v>
      </c>
      <c r="F234" s="120">
        <v>12</v>
      </c>
      <c r="G234" s="169">
        <v>12408</v>
      </c>
    </row>
    <row r="235" spans="1:7" x14ac:dyDescent="0.25">
      <c r="A235" s="197">
        <v>230</v>
      </c>
      <c r="B235" s="167">
        <v>45797</v>
      </c>
      <c r="C235" s="117">
        <v>2025</v>
      </c>
      <c r="D235" s="119" t="s">
        <v>833</v>
      </c>
      <c r="E235" s="119" t="s">
        <v>175</v>
      </c>
      <c r="F235" s="120">
        <v>25</v>
      </c>
      <c r="G235" s="169">
        <v>196250</v>
      </c>
    </row>
    <row r="236" spans="1:7" x14ac:dyDescent="0.25">
      <c r="A236" s="197">
        <v>231</v>
      </c>
      <c r="B236" s="167">
        <v>45797</v>
      </c>
      <c r="C236" s="117">
        <v>2025</v>
      </c>
      <c r="D236" s="119" t="s">
        <v>833</v>
      </c>
      <c r="E236" s="119" t="s">
        <v>478</v>
      </c>
      <c r="F236" s="120">
        <v>3</v>
      </c>
      <c r="G236" s="169">
        <v>984150</v>
      </c>
    </row>
    <row r="237" spans="1:7" x14ac:dyDescent="0.25">
      <c r="A237" s="197">
        <v>232</v>
      </c>
      <c r="B237" s="167">
        <v>45797</v>
      </c>
      <c r="C237" s="117">
        <v>2025</v>
      </c>
      <c r="D237" s="119" t="s">
        <v>833</v>
      </c>
      <c r="E237" s="119" t="s">
        <v>478</v>
      </c>
      <c r="F237" s="120">
        <v>65</v>
      </c>
      <c r="G237" s="169">
        <v>2802865</v>
      </c>
    </row>
    <row r="238" spans="1:7" x14ac:dyDescent="0.25">
      <c r="A238" s="197">
        <v>233</v>
      </c>
      <c r="B238" s="167">
        <v>45798</v>
      </c>
      <c r="C238" s="117">
        <v>2025</v>
      </c>
      <c r="D238" s="119" t="s">
        <v>833</v>
      </c>
      <c r="E238" s="119" t="s">
        <v>101</v>
      </c>
      <c r="F238" s="120">
        <v>3</v>
      </c>
      <c r="G238" s="169">
        <v>9507</v>
      </c>
    </row>
    <row r="239" spans="1:7" x14ac:dyDescent="0.25">
      <c r="A239" s="197">
        <v>234</v>
      </c>
      <c r="B239" s="167">
        <v>45798</v>
      </c>
      <c r="C239" s="117">
        <v>2025</v>
      </c>
      <c r="D239" s="119" t="s">
        <v>833</v>
      </c>
      <c r="E239" s="119" t="s">
        <v>1419</v>
      </c>
      <c r="F239" s="120">
        <v>12</v>
      </c>
      <c r="G239" s="169">
        <v>56400</v>
      </c>
    </row>
    <row r="240" spans="1:7" x14ac:dyDescent="0.25">
      <c r="A240" s="197">
        <v>235</v>
      </c>
      <c r="B240" s="167">
        <v>45798</v>
      </c>
      <c r="C240" s="117">
        <v>2025</v>
      </c>
      <c r="D240" s="119" t="s">
        <v>833</v>
      </c>
      <c r="E240" s="119" t="s">
        <v>425</v>
      </c>
      <c r="F240" s="120">
        <v>4</v>
      </c>
      <c r="G240" s="169">
        <v>189896</v>
      </c>
    </row>
    <row r="241" spans="1:7" x14ac:dyDescent="0.25">
      <c r="A241" s="197">
        <v>236</v>
      </c>
      <c r="B241" s="167">
        <v>45804</v>
      </c>
      <c r="C241" s="117">
        <v>2025</v>
      </c>
      <c r="D241" s="119" t="s">
        <v>833</v>
      </c>
      <c r="E241" s="119" t="s">
        <v>398</v>
      </c>
      <c r="F241" s="120">
        <v>12</v>
      </c>
      <c r="G241" s="169">
        <v>13212</v>
      </c>
    </row>
    <row r="242" spans="1:7" x14ac:dyDescent="0.25">
      <c r="A242" s="197">
        <v>237</v>
      </c>
      <c r="B242" s="167">
        <v>45804</v>
      </c>
      <c r="C242" s="117">
        <v>2025</v>
      </c>
      <c r="D242" s="119" t="s">
        <v>833</v>
      </c>
      <c r="E242" s="119" t="s">
        <v>630</v>
      </c>
      <c r="F242" s="120">
        <v>24</v>
      </c>
      <c r="G242" s="169">
        <v>24912</v>
      </c>
    </row>
    <row r="243" spans="1:7" x14ac:dyDescent="0.25">
      <c r="A243" s="197">
        <v>238</v>
      </c>
      <c r="B243" s="167">
        <v>45804</v>
      </c>
      <c r="C243" s="117">
        <v>2025</v>
      </c>
      <c r="D243" s="119" t="s">
        <v>833</v>
      </c>
      <c r="E243" s="119" t="s">
        <v>491</v>
      </c>
      <c r="F243" s="120">
        <v>5</v>
      </c>
      <c r="G243" s="169">
        <v>36675</v>
      </c>
    </row>
    <row r="244" spans="1:7" x14ac:dyDescent="0.25">
      <c r="A244" s="197">
        <v>239</v>
      </c>
      <c r="B244" s="167">
        <v>45818</v>
      </c>
      <c r="C244" s="117">
        <v>2025</v>
      </c>
      <c r="D244" s="119" t="s">
        <v>833</v>
      </c>
      <c r="E244" s="119" t="s">
        <v>192</v>
      </c>
      <c r="F244" s="120">
        <v>12</v>
      </c>
      <c r="G244" s="169">
        <v>54204</v>
      </c>
    </row>
    <row r="245" spans="1:7" x14ac:dyDescent="0.25">
      <c r="A245" s="197">
        <v>240</v>
      </c>
      <c r="B245" s="167">
        <v>45818</v>
      </c>
      <c r="C245" s="117">
        <v>2025</v>
      </c>
      <c r="D245" s="119" t="s">
        <v>833</v>
      </c>
      <c r="E245" s="119" t="s">
        <v>493</v>
      </c>
      <c r="F245" s="120">
        <v>10</v>
      </c>
      <c r="G245" s="169">
        <v>86900</v>
      </c>
    </row>
    <row r="246" spans="1:7" x14ac:dyDescent="0.25">
      <c r="A246" s="197">
        <v>241</v>
      </c>
      <c r="B246" s="167">
        <v>45820</v>
      </c>
      <c r="C246" s="117">
        <v>2025</v>
      </c>
      <c r="D246" s="119" t="s">
        <v>833</v>
      </c>
      <c r="E246" s="119" t="s">
        <v>580</v>
      </c>
      <c r="F246" s="120">
        <v>3</v>
      </c>
      <c r="G246" s="169">
        <v>127533</v>
      </c>
    </row>
    <row r="247" spans="1:7" x14ac:dyDescent="0.25">
      <c r="A247" s="197">
        <v>242</v>
      </c>
      <c r="B247" s="167">
        <v>45820</v>
      </c>
      <c r="C247" s="117">
        <v>2025</v>
      </c>
      <c r="D247" s="119" t="s">
        <v>833</v>
      </c>
      <c r="E247" s="119" t="s">
        <v>580</v>
      </c>
      <c r="F247" s="120">
        <v>3</v>
      </c>
      <c r="G247" s="169">
        <v>127533</v>
      </c>
    </row>
    <row r="248" spans="1:7" x14ac:dyDescent="0.25">
      <c r="A248" s="197">
        <v>243</v>
      </c>
      <c r="B248" s="167">
        <v>45820</v>
      </c>
      <c r="C248" s="117">
        <v>2025</v>
      </c>
      <c r="D248" s="119" t="s">
        <v>833</v>
      </c>
      <c r="E248" s="119" t="s">
        <v>580</v>
      </c>
      <c r="F248" s="120">
        <v>3</v>
      </c>
      <c r="G248" s="169">
        <v>127533</v>
      </c>
    </row>
    <row r="249" spans="1:7" x14ac:dyDescent="0.25">
      <c r="A249" s="197">
        <v>244</v>
      </c>
      <c r="B249" s="167">
        <v>45826</v>
      </c>
      <c r="C249" s="117">
        <v>2025</v>
      </c>
      <c r="D249" s="119" t="s">
        <v>833</v>
      </c>
      <c r="E249" s="119" t="s">
        <v>603</v>
      </c>
      <c r="F249" s="120">
        <v>100</v>
      </c>
      <c r="G249" s="169">
        <v>22900</v>
      </c>
    </row>
    <row r="250" spans="1:7" x14ac:dyDescent="0.25">
      <c r="A250" s="197">
        <v>245</v>
      </c>
      <c r="B250" s="167">
        <v>45826</v>
      </c>
      <c r="C250" s="117">
        <v>2025</v>
      </c>
      <c r="D250" s="119" t="s">
        <v>833</v>
      </c>
      <c r="E250" s="119" t="s">
        <v>1356</v>
      </c>
      <c r="F250" s="120">
        <v>3</v>
      </c>
      <c r="G250" s="169">
        <v>10902</v>
      </c>
    </row>
    <row r="251" spans="1:7" x14ac:dyDescent="0.25">
      <c r="A251" s="197">
        <v>246</v>
      </c>
      <c r="B251" s="167">
        <v>45826</v>
      </c>
      <c r="C251" s="117">
        <v>2025</v>
      </c>
      <c r="D251" s="119" t="s">
        <v>833</v>
      </c>
      <c r="E251" s="119" t="s">
        <v>586</v>
      </c>
      <c r="F251" s="120">
        <v>3</v>
      </c>
      <c r="G251" s="169">
        <v>148902</v>
      </c>
    </row>
    <row r="252" spans="1:7" x14ac:dyDescent="0.25">
      <c r="A252" s="197">
        <v>247</v>
      </c>
      <c r="B252" s="167">
        <v>45827</v>
      </c>
      <c r="C252" s="117">
        <v>2025</v>
      </c>
      <c r="D252" s="119" t="s">
        <v>833</v>
      </c>
      <c r="E252" s="119" t="s">
        <v>495</v>
      </c>
      <c r="F252" s="120">
        <v>3</v>
      </c>
      <c r="G252" s="169">
        <v>123402</v>
      </c>
    </row>
    <row r="253" spans="1:7" x14ac:dyDescent="0.25">
      <c r="A253" s="197">
        <v>248</v>
      </c>
      <c r="B253" s="167">
        <v>45841</v>
      </c>
      <c r="C253" s="117">
        <v>2025</v>
      </c>
      <c r="D253" s="119" t="s">
        <v>833</v>
      </c>
      <c r="E253" s="119" t="s">
        <v>87</v>
      </c>
      <c r="F253" s="120">
        <v>12</v>
      </c>
      <c r="G253" s="169">
        <v>18960</v>
      </c>
    </row>
    <row r="254" spans="1:7" x14ac:dyDescent="0.25">
      <c r="A254" s="197">
        <v>249</v>
      </c>
      <c r="B254" s="167">
        <v>45841</v>
      </c>
      <c r="C254" s="117">
        <v>2025</v>
      </c>
      <c r="D254" s="119" t="s">
        <v>833</v>
      </c>
      <c r="E254" s="119" t="s">
        <v>87</v>
      </c>
      <c r="F254" s="120">
        <v>12</v>
      </c>
      <c r="G254" s="169">
        <v>18960</v>
      </c>
    </row>
    <row r="255" spans="1:7" x14ac:dyDescent="0.25">
      <c r="A255" s="197">
        <v>250</v>
      </c>
      <c r="B255" s="167">
        <v>45842</v>
      </c>
      <c r="C255" s="117">
        <v>2025</v>
      </c>
      <c r="D255" s="119" t="s">
        <v>833</v>
      </c>
      <c r="E255" s="119" t="s">
        <v>489</v>
      </c>
      <c r="F255" s="120">
        <v>3</v>
      </c>
      <c r="G255" s="169">
        <v>7602</v>
      </c>
    </row>
    <row r="256" spans="1:7" x14ac:dyDescent="0.25">
      <c r="A256" s="197">
        <v>251</v>
      </c>
      <c r="B256" s="167">
        <v>45845</v>
      </c>
      <c r="C256" s="117">
        <v>2025</v>
      </c>
      <c r="D256" s="119" t="s">
        <v>833</v>
      </c>
      <c r="E256" s="119" t="s">
        <v>1460</v>
      </c>
      <c r="F256" s="120">
        <v>5</v>
      </c>
      <c r="G256" s="169">
        <v>45650</v>
      </c>
    </row>
    <row r="257" spans="1:7" x14ac:dyDescent="0.25">
      <c r="A257" s="197">
        <v>252</v>
      </c>
      <c r="B257" s="167">
        <v>45846</v>
      </c>
      <c r="C257" s="117">
        <v>2025</v>
      </c>
      <c r="D257" s="119" t="s">
        <v>833</v>
      </c>
      <c r="E257" s="119" t="s">
        <v>620</v>
      </c>
      <c r="F257" s="120">
        <v>6</v>
      </c>
      <c r="G257" s="169">
        <v>106704</v>
      </c>
    </row>
    <row r="258" spans="1:7" x14ac:dyDescent="0.25">
      <c r="A258" s="197">
        <v>253</v>
      </c>
      <c r="B258" s="167">
        <v>45857</v>
      </c>
      <c r="C258" s="117">
        <v>2025</v>
      </c>
      <c r="D258" s="119" t="s">
        <v>833</v>
      </c>
      <c r="E258" s="119" t="s">
        <v>1477</v>
      </c>
      <c r="F258" s="120">
        <v>1</v>
      </c>
      <c r="G258" s="169">
        <v>9900</v>
      </c>
    </row>
    <row r="259" spans="1:7" x14ac:dyDescent="0.25">
      <c r="A259" s="197">
        <v>254</v>
      </c>
      <c r="B259" s="167">
        <v>45859</v>
      </c>
      <c r="C259" s="117">
        <v>2025</v>
      </c>
      <c r="D259" s="119" t="s">
        <v>833</v>
      </c>
      <c r="E259" s="119" t="s">
        <v>192</v>
      </c>
      <c r="F259" s="120">
        <v>12</v>
      </c>
      <c r="G259" s="169">
        <v>31272</v>
      </c>
    </row>
    <row r="260" spans="1:7" x14ac:dyDescent="0.25">
      <c r="A260" s="197">
        <v>255</v>
      </c>
      <c r="B260" s="167">
        <v>45859</v>
      </c>
      <c r="C260" s="117">
        <v>2025</v>
      </c>
      <c r="D260" s="119" t="s">
        <v>833</v>
      </c>
      <c r="E260" s="119" t="s">
        <v>535</v>
      </c>
      <c r="F260" s="120">
        <v>40</v>
      </c>
      <c r="G260" s="169">
        <v>42520</v>
      </c>
    </row>
    <row r="261" spans="1:7" x14ac:dyDescent="0.25">
      <c r="A261" s="197">
        <v>256</v>
      </c>
      <c r="B261" s="167">
        <v>45868</v>
      </c>
      <c r="C261" s="117">
        <v>2025</v>
      </c>
      <c r="D261" s="119" t="s">
        <v>833</v>
      </c>
      <c r="E261" s="119" t="s">
        <v>1497</v>
      </c>
      <c r="F261" s="120">
        <v>6</v>
      </c>
      <c r="G261" s="169">
        <v>120000</v>
      </c>
    </row>
    <row r="262" spans="1:7" x14ac:dyDescent="0.25">
      <c r="A262" s="197">
        <v>257</v>
      </c>
      <c r="B262" s="167">
        <v>45870</v>
      </c>
      <c r="C262" s="117">
        <v>2025</v>
      </c>
      <c r="D262" s="119" t="s">
        <v>833</v>
      </c>
      <c r="E262" s="119" t="s">
        <v>1502</v>
      </c>
      <c r="F262" s="120">
        <v>6</v>
      </c>
      <c r="G262" s="169">
        <v>24000</v>
      </c>
    </row>
    <row r="263" spans="1:7" x14ac:dyDescent="0.25">
      <c r="A263" s="197">
        <v>258</v>
      </c>
      <c r="B263" s="167">
        <v>45875</v>
      </c>
      <c r="C263" s="117">
        <v>2025</v>
      </c>
      <c r="D263" s="119" t="s">
        <v>833</v>
      </c>
      <c r="E263" s="119" t="s">
        <v>542</v>
      </c>
      <c r="F263" s="120">
        <v>5</v>
      </c>
      <c r="G263" s="169">
        <v>450000</v>
      </c>
    </row>
    <row r="264" spans="1:7" x14ac:dyDescent="0.25">
      <c r="A264" s="197">
        <v>259</v>
      </c>
      <c r="B264" s="167">
        <v>45875</v>
      </c>
      <c r="C264" s="117">
        <v>2025</v>
      </c>
      <c r="D264" s="119" t="s">
        <v>833</v>
      </c>
      <c r="E264" s="119" t="s">
        <v>1506</v>
      </c>
      <c r="F264" s="120">
        <v>2</v>
      </c>
      <c r="G264" s="169">
        <v>5000</v>
      </c>
    </row>
    <row r="265" spans="1:7" x14ac:dyDescent="0.25">
      <c r="A265" s="197">
        <v>260</v>
      </c>
      <c r="B265" s="167">
        <v>45876</v>
      </c>
      <c r="C265" s="117">
        <v>2025</v>
      </c>
      <c r="D265" s="119" t="s">
        <v>833</v>
      </c>
      <c r="E265" s="119" t="s">
        <v>494</v>
      </c>
      <c r="F265" s="120">
        <v>3</v>
      </c>
      <c r="G265" s="169">
        <v>7002</v>
      </c>
    </row>
    <row r="266" spans="1:7" x14ac:dyDescent="0.25">
      <c r="A266" s="197">
        <v>261</v>
      </c>
      <c r="B266" s="167">
        <v>45884</v>
      </c>
      <c r="C266" s="117">
        <v>2025</v>
      </c>
      <c r="D266" s="119" t="s">
        <v>833</v>
      </c>
      <c r="E266" s="119" t="s">
        <v>175</v>
      </c>
      <c r="F266" s="120">
        <v>75</v>
      </c>
      <c r="G266" s="169">
        <v>862500</v>
      </c>
    </row>
    <row r="267" spans="1:7" x14ac:dyDescent="0.25">
      <c r="A267" s="197">
        <v>262</v>
      </c>
      <c r="B267" s="167">
        <v>45884</v>
      </c>
      <c r="C267" s="117">
        <v>2025</v>
      </c>
      <c r="D267" s="119" t="s">
        <v>833</v>
      </c>
      <c r="E267" s="119" t="s">
        <v>79</v>
      </c>
      <c r="F267" s="120">
        <v>3</v>
      </c>
      <c r="G267" s="169">
        <v>177078</v>
      </c>
    </row>
    <row r="268" spans="1:7" x14ac:dyDescent="0.25">
      <c r="A268" s="197">
        <v>263</v>
      </c>
      <c r="B268" s="167">
        <v>45884</v>
      </c>
      <c r="C268" s="117">
        <v>2025</v>
      </c>
      <c r="D268" s="119" t="s">
        <v>833</v>
      </c>
      <c r="E268" s="119" t="s">
        <v>493</v>
      </c>
      <c r="F268" s="120">
        <v>10</v>
      </c>
      <c r="G268" s="169">
        <v>95000</v>
      </c>
    </row>
    <row r="269" spans="1:7" x14ac:dyDescent="0.25">
      <c r="A269" s="197">
        <v>264</v>
      </c>
      <c r="B269" s="167">
        <v>45884</v>
      </c>
      <c r="C269" s="117">
        <v>2025</v>
      </c>
      <c r="D269" s="119" t="s">
        <v>833</v>
      </c>
      <c r="E269" s="119" t="s">
        <v>171</v>
      </c>
      <c r="F269" s="120">
        <v>3</v>
      </c>
      <c r="G269" s="169">
        <v>28800</v>
      </c>
    </row>
    <row r="270" spans="1:7" x14ac:dyDescent="0.25">
      <c r="A270" s="197">
        <v>265</v>
      </c>
      <c r="B270" s="167">
        <v>45890</v>
      </c>
      <c r="C270" s="117">
        <v>2025</v>
      </c>
      <c r="D270" s="119" t="s">
        <v>833</v>
      </c>
      <c r="E270" s="119" t="s">
        <v>635</v>
      </c>
      <c r="F270" s="120">
        <v>12</v>
      </c>
      <c r="G270" s="169">
        <v>20700</v>
      </c>
    </row>
    <row r="271" spans="1:7" x14ac:dyDescent="0.25">
      <c r="A271" s="197">
        <v>266</v>
      </c>
      <c r="B271" s="167">
        <v>45890</v>
      </c>
      <c r="C271" s="117">
        <v>2025</v>
      </c>
      <c r="D271" s="119" t="s">
        <v>833</v>
      </c>
      <c r="E271" s="119" t="s">
        <v>563</v>
      </c>
      <c r="F271" s="120">
        <v>3</v>
      </c>
      <c r="G271" s="169">
        <v>31152</v>
      </c>
    </row>
    <row r="272" spans="1:7" x14ac:dyDescent="0.25">
      <c r="A272" s="197">
        <v>267</v>
      </c>
      <c r="B272" s="167">
        <v>45909</v>
      </c>
      <c r="C272" s="117">
        <v>2025</v>
      </c>
      <c r="D272" s="119" t="s">
        <v>833</v>
      </c>
      <c r="E272" s="119" t="s">
        <v>478</v>
      </c>
      <c r="F272" s="120">
        <v>10</v>
      </c>
      <c r="G272" s="169">
        <v>362500</v>
      </c>
    </row>
    <row r="273" spans="1:7" x14ac:dyDescent="0.25">
      <c r="A273" s="197">
        <v>268</v>
      </c>
      <c r="B273" s="167">
        <v>45910</v>
      </c>
      <c r="C273" s="117">
        <v>2025</v>
      </c>
      <c r="D273" s="119" t="s">
        <v>833</v>
      </c>
      <c r="E273" s="119" t="s">
        <v>103</v>
      </c>
      <c r="F273" s="120">
        <v>36</v>
      </c>
      <c r="G273" s="169">
        <v>30708</v>
      </c>
    </row>
    <row r="274" spans="1:7" x14ac:dyDescent="0.25">
      <c r="A274" s="197">
        <v>269</v>
      </c>
      <c r="B274" s="167">
        <v>45925</v>
      </c>
      <c r="C274" s="117">
        <v>2025</v>
      </c>
      <c r="D274" s="119" t="s">
        <v>833</v>
      </c>
      <c r="E274" s="119" t="s">
        <v>1535</v>
      </c>
      <c r="F274" s="120">
        <v>1</v>
      </c>
      <c r="G274" s="169">
        <v>1971000</v>
      </c>
    </row>
    <row r="275" spans="1:7" x14ac:dyDescent="0.25">
      <c r="A275" s="197">
        <v>270</v>
      </c>
      <c r="B275" s="167">
        <v>45929</v>
      </c>
      <c r="C275" s="117">
        <v>2025</v>
      </c>
      <c r="D275" s="119" t="s">
        <v>833</v>
      </c>
      <c r="E275" s="119" t="s">
        <v>517</v>
      </c>
      <c r="F275" s="120">
        <v>10</v>
      </c>
      <c r="G275" s="169">
        <v>18400</v>
      </c>
    </row>
    <row r="276" spans="1:7" x14ac:dyDescent="0.25">
      <c r="A276" s="197">
        <v>271</v>
      </c>
      <c r="B276" s="167">
        <v>45934</v>
      </c>
      <c r="C276" s="117">
        <v>2025</v>
      </c>
      <c r="D276" s="119" t="s">
        <v>833</v>
      </c>
      <c r="E276" s="119" t="s">
        <v>563</v>
      </c>
      <c r="F276" s="120">
        <v>3</v>
      </c>
      <c r="G276" s="169">
        <v>30402</v>
      </c>
    </row>
    <row r="277" spans="1:7" x14ac:dyDescent="0.25">
      <c r="A277" s="197">
        <v>272</v>
      </c>
      <c r="B277" s="167">
        <v>45939</v>
      </c>
      <c r="C277" s="117">
        <v>2025</v>
      </c>
      <c r="D277" s="119" t="s">
        <v>833</v>
      </c>
      <c r="E277" s="119" t="s">
        <v>588</v>
      </c>
      <c r="F277" s="120">
        <v>12</v>
      </c>
      <c r="G277" s="169">
        <v>52908</v>
      </c>
    </row>
    <row r="278" spans="1:7" x14ac:dyDescent="0.25">
      <c r="A278" s="197">
        <v>273</v>
      </c>
      <c r="B278" s="167">
        <v>45940</v>
      </c>
      <c r="C278" s="117">
        <v>2025</v>
      </c>
      <c r="D278" s="119" t="s">
        <v>833</v>
      </c>
      <c r="E278" s="119" t="s">
        <v>175</v>
      </c>
      <c r="F278" s="120">
        <v>50</v>
      </c>
      <c r="G278" s="169">
        <v>392500</v>
      </c>
    </row>
    <row r="279" spans="1:7" x14ac:dyDescent="0.25">
      <c r="A279" s="197">
        <v>274</v>
      </c>
      <c r="B279" s="167">
        <v>45940</v>
      </c>
      <c r="C279" s="117">
        <v>2025</v>
      </c>
      <c r="D279" s="119" t="s">
        <v>833</v>
      </c>
      <c r="E279" s="119" t="s">
        <v>398</v>
      </c>
      <c r="F279" s="120">
        <v>12</v>
      </c>
      <c r="G279" s="169">
        <v>13176</v>
      </c>
    </row>
    <row r="280" spans="1:7" x14ac:dyDescent="0.25">
      <c r="A280" s="197">
        <v>275</v>
      </c>
      <c r="B280" s="167">
        <v>45940</v>
      </c>
      <c r="C280" s="117">
        <v>2025</v>
      </c>
      <c r="D280" s="119" t="s">
        <v>833</v>
      </c>
      <c r="E280" s="119" t="s">
        <v>580</v>
      </c>
      <c r="F280" s="120">
        <v>3</v>
      </c>
      <c r="G280" s="169">
        <v>139989</v>
      </c>
    </row>
    <row r="281" spans="1:7" x14ac:dyDescent="0.25">
      <c r="A281" s="197">
        <v>276</v>
      </c>
      <c r="B281" s="167">
        <v>45940</v>
      </c>
      <c r="C281" s="117">
        <v>2025</v>
      </c>
      <c r="D281" s="119" t="s">
        <v>833</v>
      </c>
      <c r="E281" s="119" t="s">
        <v>580</v>
      </c>
      <c r="F281" s="120">
        <v>3</v>
      </c>
      <c r="G281" s="169">
        <v>139989</v>
      </c>
    </row>
    <row r="282" spans="1:7" x14ac:dyDescent="0.25">
      <c r="A282" s="197">
        <v>277</v>
      </c>
      <c r="B282" s="167">
        <v>45940</v>
      </c>
      <c r="C282" s="117">
        <v>2025</v>
      </c>
      <c r="D282" s="119" t="s">
        <v>833</v>
      </c>
      <c r="E282" s="119" t="s">
        <v>580</v>
      </c>
      <c r="F282" s="120">
        <v>3</v>
      </c>
      <c r="G282" s="169">
        <v>139989</v>
      </c>
    </row>
    <row r="283" spans="1:7" x14ac:dyDescent="0.25">
      <c r="A283" s="197">
        <v>278</v>
      </c>
      <c r="B283" s="167">
        <v>45946</v>
      </c>
      <c r="C283" s="117">
        <v>2025</v>
      </c>
      <c r="D283" s="119" t="s">
        <v>833</v>
      </c>
      <c r="E283" s="119" t="s">
        <v>834</v>
      </c>
      <c r="F283" s="120">
        <v>5</v>
      </c>
      <c r="G283" s="169">
        <v>20900</v>
      </c>
    </row>
    <row r="284" spans="1:7" x14ac:dyDescent="0.25">
      <c r="A284" s="197">
        <v>279</v>
      </c>
      <c r="B284" s="167">
        <v>45948</v>
      </c>
      <c r="C284" s="117">
        <v>2025</v>
      </c>
      <c r="D284" s="119" t="s">
        <v>833</v>
      </c>
      <c r="E284" s="119" t="s">
        <v>1315</v>
      </c>
      <c r="F284" s="120">
        <v>1</v>
      </c>
      <c r="G284" s="169">
        <v>30000</v>
      </c>
    </row>
    <row r="285" spans="1:7" x14ac:dyDescent="0.25">
      <c r="A285" s="197">
        <v>280</v>
      </c>
      <c r="B285" s="167">
        <v>45954</v>
      </c>
      <c r="C285" s="117">
        <v>2025</v>
      </c>
      <c r="D285" s="119" t="s">
        <v>833</v>
      </c>
      <c r="E285" s="119" t="s">
        <v>620</v>
      </c>
      <c r="F285" s="120">
        <v>4</v>
      </c>
      <c r="G285" s="169">
        <v>104300</v>
      </c>
    </row>
    <row r="286" spans="1:7" x14ac:dyDescent="0.25">
      <c r="A286" s="197">
        <v>281</v>
      </c>
      <c r="B286" s="167">
        <v>45954</v>
      </c>
      <c r="C286" s="117">
        <v>2025</v>
      </c>
      <c r="D286" s="119" t="s">
        <v>833</v>
      </c>
      <c r="E286" s="119" t="s">
        <v>489</v>
      </c>
      <c r="F286" s="120">
        <v>5</v>
      </c>
      <c r="G286" s="169">
        <v>9895</v>
      </c>
    </row>
    <row r="287" spans="1:7" x14ac:dyDescent="0.25">
      <c r="A287" s="197">
        <v>282</v>
      </c>
      <c r="B287" s="167">
        <v>45954</v>
      </c>
      <c r="C287" s="117">
        <v>2025</v>
      </c>
      <c r="D287" s="119" t="s">
        <v>833</v>
      </c>
      <c r="E287" s="119" t="s">
        <v>1565</v>
      </c>
      <c r="F287" s="120">
        <v>1</v>
      </c>
      <c r="G287" s="169">
        <v>31000</v>
      </c>
    </row>
    <row r="288" spans="1:7" x14ac:dyDescent="0.25">
      <c r="A288" s="197">
        <v>283</v>
      </c>
      <c r="B288" s="167">
        <v>45954</v>
      </c>
      <c r="C288" s="117">
        <v>2025</v>
      </c>
      <c r="D288" s="119" t="s">
        <v>833</v>
      </c>
      <c r="E288" s="119" t="s">
        <v>576</v>
      </c>
      <c r="F288" s="120">
        <v>1</v>
      </c>
      <c r="G288" s="169">
        <v>45835</v>
      </c>
    </row>
    <row r="289" spans="1:7" x14ac:dyDescent="0.25">
      <c r="A289" s="197">
        <v>284</v>
      </c>
      <c r="B289" s="167">
        <v>45954</v>
      </c>
      <c r="C289" s="117">
        <v>2025</v>
      </c>
      <c r="D289" s="119" t="s">
        <v>833</v>
      </c>
      <c r="E289" s="119" t="s">
        <v>576</v>
      </c>
      <c r="F289" s="120">
        <v>1</v>
      </c>
      <c r="G289" s="169">
        <v>45835</v>
      </c>
    </row>
    <row r="290" spans="1:7" x14ac:dyDescent="0.25">
      <c r="A290" s="197">
        <v>285</v>
      </c>
      <c r="B290" s="167">
        <v>45954</v>
      </c>
      <c r="C290" s="117">
        <v>2025</v>
      </c>
      <c r="D290" s="119" t="s">
        <v>833</v>
      </c>
      <c r="E290" s="119" t="s">
        <v>576</v>
      </c>
      <c r="F290" s="120">
        <v>1</v>
      </c>
      <c r="G290" s="169">
        <v>45835</v>
      </c>
    </row>
    <row r="291" spans="1:7" x14ac:dyDescent="0.25">
      <c r="A291" s="197">
        <v>286</v>
      </c>
      <c r="B291" s="167">
        <v>45954</v>
      </c>
      <c r="C291" s="117">
        <v>2025</v>
      </c>
      <c r="D291" s="119" t="s">
        <v>833</v>
      </c>
      <c r="E291" s="119" t="s">
        <v>576</v>
      </c>
      <c r="F291" s="120">
        <v>3</v>
      </c>
      <c r="G291" s="169">
        <v>133707</v>
      </c>
    </row>
    <row r="292" spans="1:7" x14ac:dyDescent="0.25">
      <c r="A292" s="197">
        <v>287</v>
      </c>
      <c r="B292" s="167">
        <v>45954</v>
      </c>
      <c r="C292" s="117">
        <v>2025</v>
      </c>
      <c r="D292" s="119" t="s">
        <v>833</v>
      </c>
      <c r="E292" s="119" t="s">
        <v>586</v>
      </c>
      <c r="F292" s="120">
        <v>3</v>
      </c>
      <c r="G292" s="169">
        <v>154899</v>
      </c>
    </row>
    <row r="293" spans="1:7" x14ac:dyDescent="0.25">
      <c r="A293" s="197">
        <v>288</v>
      </c>
      <c r="B293" s="167">
        <v>45971</v>
      </c>
      <c r="C293" s="117">
        <v>2025</v>
      </c>
      <c r="D293" s="119" t="s">
        <v>833</v>
      </c>
      <c r="E293" s="119" t="s">
        <v>493</v>
      </c>
      <c r="F293" s="120">
        <v>10</v>
      </c>
      <c r="G293" s="169">
        <v>95000</v>
      </c>
    </row>
    <row r="294" spans="1:7" x14ac:dyDescent="0.25">
      <c r="A294" s="197">
        <v>289</v>
      </c>
      <c r="B294" s="167">
        <v>45976</v>
      </c>
      <c r="C294" s="117">
        <v>2025</v>
      </c>
      <c r="D294" s="119" t="s">
        <v>833</v>
      </c>
      <c r="E294" s="119" t="s">
        <v>306</v>
      </c>
      <c r="F294" s="120">
        <v>6</v>
      </c>
      <c r="G294" s="169">
        <v>7902</v>
      </c>
    </row>
    <row r="295" spans="1:7" x14ac:dyDescent="0.25">
      <c r="A295" s="197">
        <v>290</v>
      </c>
      <c r="B295" s="167">
        <v>45980</v>
      </c>
      <c r="C295" s="117">
        <v>2025</v>
      </c>
      <c r="D295" s="119" t="s">
        <v>833</v>
      </c>
      <c r="E295" s="119" t="s">
        <v>341</v>
      </c>
      <c r="F295" s="120">
        <v>1</v>
      </c>
      <c r="G295" s="169">
        <v>2200000</v>
      </c>
    </row>
    <row r="296" spans="1:7" x14ac:dyDescent="0.25">
      <c r="A296" s="197">
        <v>291</v>
      </c>
      <c r="B296" s="167">
        <v>45982</v>
      </c>
      <c r="C296" s="117">
        <v>2025</v>
      </c>
      <c r="D296" s="119" t="s">
        <v>833</v>
      </c>
      <c r="E296" s="119" t="s">
        <v>87</v>
      </c>
      <c r="F296" s="120">
        <v>12</v>
      </c>
      <c r="G296" s="169">
        <v>20700</v>
      </c>
    </row>
    <row r="297" spans="1:7" x14ac:dyDescent="0.25">
      <c r="A297" s="197">
        <v>292</v>
      </c>
      <c r="B297" s="167">
        <v>45982</v>
      </c>
      <c r="C297" s="117">
        <v>2025</v>
      </c>
      <c r="D297" s="119" t="s">
        <v>833</v>
      </c>
      <c r="E297" s="119" t="s">
        <v>1315</v>
      </c>
      <c r="F297" s="120">
        <v>1</v>
      </c>
      <c r="G297" s="169">
        <v>25899</v>
      </c>
    </row>
    <row r="298" spans="1:7" x14ac:dyDescent="0.25">
      <c r="A298" s="197">
        <v>293</v>
      </c>
      <c r="B298" s="167">
        <v>45982</v>
      </c>
      <c r="C298" s="117">
        <v>2025</v>
      </c>
      <c r="D298" s="119" t="s">
        <v>833</v>
      </c>
      <c r="E298" s="119" t="s">
        <v>478</v>
      </c>
      <c r="F298" s="120">
        <v>30</v>
      </c>
      <c r="G298" s="169">
        <v>1092360</v>
      </c>
    </row>
    <row r="299" spans="1:7" x14ac:dyDescent="0.25">
      <c r="A299" s="197">
        <v>294</v>
      </c>
      <c r="B299" s="167">
        <v>45982</v>
      </c>
      <c r="C299" s="117">
        <v>2025</v>
      </c>
      <c r="D299" s="119" t="s">
        <v>833</v>
      </c>
      <c r="E299" s="119" t="s">
        <v>478</v>
      </c>
      <c r="F299" s="120">
        <v>75</v>
      </c>
      <c r="G299" s="169">
        <v>2798700</v>
      </c>
    </row>
    <row r="300" spans="1:7" x14ac:dyDescent="0.25">
      <c r="A300" s="197">
        <v>295</v>
      </c>
      <c r="B300" s="167">
        <v>45982</v>
      </c>
      <c r="C300" s="117">
        <v>2025</v>
      </c>
      <c r="D300" s="119" t="s">
        <v>833</v>
      </c>
      <c r="E300" s="119" t="s">
        <v>171</v>
      </c>
      <c r="F300" s="120">
        <v>3</v>
      </c>
      <c r="G300" s="169">
        <v>30792</v>
      </c>
    </row>
    <row r="301" spans="1:7" x14ac:dyDescent="0.25">
      <c r="A301" s="197">
        <v>296</v>
      </c>
      <c r="B301" s="167">
        <v>45982</v>
      </c>
      <c r="C301" s="117">
        <v>2025</v>
      </c>
      <c r="D301" s="119" t="s">
        <v>833</v>
      </c>
      <c r="E301" s="119" t="s">
        <v>588</v>
      </c>
      <c r="F301" s="120">
        <v>12</v>
      </c>
      <c r="G301" s="169">
        <v>37596</v>
      </c>
    </row>
    <row r="302" spans="1:7" x14ac:dyDescent="0.25">
      <c r="A302" s="197">
        <v>297</v>
      </c>
      <c r="B302" s="167">
        <v>46013</v>
      </c>
      <c r="C302" s="117">
        <v>2025</v>
      </c>
      <c r="D302" s="119" t="s">
        <v>833</v>
      </c>
      <c r="E302" s="119" t="s">
        <v>620</v>
      </c>
      <c r="F302" s="120">
        <v>4</v>
      </c>
      <c r="G302" s="169">
        <v>104400</v>
      </c>
    </row>
    <row r="303" spans="1:7" x14ac:dyDescent="0.25">
      <c r="A303" s="197">
        <v>298</v>
      </c>
      <c r="B303" s="167">
        <v>46025</v>
      </c>
      <c r="C303" s="117">
        <v>2026</v>
      </c>
      <c r="D303" s="119" t="s">
        <v>833</v>
      </c>
      <c r="E303" s="119" t="s">
        <v>478</v>
      </c>
      <c r="F303" s="120">
        <v>7</v>
      </c>
      <c r="G303" s="169">
        <v>3147277</v>
      </c>
    </row>
    <row r="304" spans="1:7" x14ac:dyDescent="0.25">
      <c r="A304" s="197">
        <v>299</v>
      </c>
      <c r="B304" s="167">
        <v>46025</v>
      </c>
      <c r="C304" s="117">
        <v>2026</v>
      </c>
      <c r="D304" s="119" t="s">
        <v>833</v>
      </c>
      <c r="E304" s="119" t="s">
        <v>478</v>
      </c>
      <c r="F304" s="120">
        <v>6</v>
      </c>
      <c r="G304" s="169">
        <v>1968306</v>
      </c>
    </row>
    <row r="305" spans="1:7" x14ac:dyDescent="0.25">
      <c r="A305" s="197">
        <v>300</v>
      </c>
      <c r="B305" s="167">
        <v>46027</v>
      </c>
      <c r="C305" s="117">
        <v>2026</v>
      </c>
      <c r="D305" s="119" t="s">
        <v>833</v>
      </c>
      <c r="E305" s="119" t="s">
        <v>175</v>
      </c>
      <c r="F305" s="120">
        <v>75</v>
      </c>
      <c r="G305" s="169">
        <v>862500</v>
      </c>
    </row>
    <row r="306" spans="1:7" x14ac:dyDescent="0.25">
      <c r="A306" s="197">
        <v>301</v>
      </c>
      <c r="B306" s="167">
        <v>46027</v>
      </c>
      <c r="C306" s="117">
        <v>2026</v>
      </c>
      <c r="D306" s="119" t="s">
        <v>833</v>
      </c>
      <c r="E306" s="119" t="s">
        <v>702</v>
      </c>
      <c r="F306" s="120">
        <v>1</v>
      </c>
      <c r="G306" s="169">
        <v>34400</v>
      </c>
    </row>
    <row r="307" spans="1:7" x14ac:dyDescent="0.25">
      <c r="A307" s="197">
        <v>302</v>
      </c>
      <c r="B307" s="167">
        <v>46031</v>
      </c>
      <c r="C307" s="117">
        <v>2026</v>
      </c>
      <c r="D307" s="119" t="s">
        <v>833</v>
      </c>
      <c r="E307" s="119" t="s">
        <v>563</v>
      </c>
      <c r="F307" s="120">
        <v>5</v>
      </c>
      <c r="G307" s="169">
        <v>55350</v>
      </c>
    </row>
    <row r="308" spans="1:7" x14ac:dyDescent="0.25">
      <c r="A308" s="197">
        <v>303</v>
      </c>
      <c r="B308" s="167">
        <v>46042</v>
      </c>
      <c r="C308" s="117">
        <v>2026</v>
      </c>
      <c r="D308" s="119" t="s">
        <v>833</v>
      </c>
      <c r="E308" s="119" t="s">
        <v>175</v>
      </c>
      <c r="F308" s="120">
        <v>5</v>
      </c>
      <c r="G308" s="169">
        <v>71400</v>
      </c>
    </row>
    <row r="309" spans="1:7" x14ac:dyDescent="0.25">
      <c r="A309" s="197">
        <v>304</v>
      </c>
      <c r="B309" s="167">
        <v>46042</v>
      </c>
      <c r="C309" s="117">
        <v>2026</v>
      </c>
      <c r="D309" s="119" t="s">
        <v>833</v>
      </c>
      <c r="E309" s="119" t="s">
        <v>175</v>
      </c>
      <c r="F309" s="120">
        <v>5</v>
      </c>
      <c r="G309" s="169">
        <v>92500</v>
      </c>
    </row>
    <row r="310" spans="1:7" x14ac:dyDescent="0.25">
      <c r="A310" s="197">
        <v>305</v>
      </c>
      <c r="B310" s="167">
        <v>46042</v>
      </c>
      <c r="C310" s="117">
        <v>2026</v>
      </c>
      <c r="D310" s="119" t="s">
        <v>833</v>
      </c>
      <c r="E310" s="119" t="s">
        <v>91</v>
      </c>
      <c r="F310" s="120">
        <v>5</v>
      </c>
      <c r="G310" s="169">
        <v>20660</v>
      </c>
    </row>
    <row r="311" spans="1:7" x14ac:dyDescent="0.25">
      <c r="A311" s="197">
        <v>306</v>
      </c>
      <c r="B311" s="167">
        <v>46042</v>
      </c>
      <c r="C311" s="117">
        <v>2026</v>
      </c>
      <c r="D311" s="119" t="s">
        <v>833</v>
      </c>
      <c r="E311" s="119" t="s">
        <v>493</v>
      </c>
      <c r="F311" s="120">
        <v>15</v>
      </c>
      <c r="G311" s="169">
        <v>135000</v>
      </c>
    </row>
    <row r="312" spans="1:7" x14ac:dyDescent="0.25">
      <c r="A312" s="197">
        <v>307</v>
      </c>
      <c r="B312" s="167">
        <v>46042</v>
      </c>
      <c r="C312" s="117">
        <v>2026</v>
      </c>
      <c r="D312" s="119" t="s">
        <v>833</v>
      </c>
      <c r="E312" s="119" t="s">
        <v>523</v>
      </c>
      <c r="F312" s="120">
        <v>3</v>
      </c>
      <c r="G312" s="169">
        <v>49449</v>
      </c>
    </row>
    <row r="313" spans="1:7" x14ac:dyDescent="0.25">
      <c r="A313" s="197">
        <v>308</v>
      </c>
      <c r="B313" s="167">
        <v>46042</v>
      </c>
      <c r="C313" s="117">
        <v>2026</v>
      </c>
      <c r="D313" s="119" t="s">
        <v>833</v>
      </c>
      <c r="E313" s="119" t="s">
        <v>495</v>
      </c>
      <c r="F313" s="120">
        <v>8</v>
      </c>
      <c r="G313" s="169">
        <v>387504</v>
      </c>
    </row>
    <row r="314" spans="1:7" x14ac:dyDescent="0.25">
      <c r="A314" s="197">
        <v>309</v>
      </c>
      <c r="B314" s="167">
        <v>46044</v>
      </c>
      <c r="C314" s="117">
        <v>2026</v>
      </c>
      <c r="D314" s="119" t="s">
        <v>833</v>
      </c>
      <c r="E314" s="119" t="s">
        <v>425</v>
      </c>
      <c r="F314" s="120">
        <v>12</v>
      </c>
      <c r="G314" s="169">
        <v>528900</v>
      </c>
    </row>
    <row r="315" spans="1:7" x14ac:dyDescent="0.25">
      <c r="A315" s="197">
        <v>310</v>
      </c>
      <c r="B315" s="167">
        <v>46045</v>
      </c>
      <c r="C315" s="117">
        <v>2026</v>
      </c>
      <c r="D315" s="119" t="s">
        <v>833</v>
      </c>
      <c r="E315" s="119" t="s">
        <v>1505</v>
      </c>
      <c r="F315" s="120">
        <v>1</v>
      </c>
      <c r="G315" s="169">
        <v>45000</v>
      </c>
    </row>
    <row r="316" spans="1:7" x14ac:dyDescent="0.25">
      <c r="A316" s="197">
        <v>311</v>
      </c>
      <c r="B316" s="167">
        <v>46071</v>
      </c>
      <c r="C316" s="117">
        <v>2026</v>
      </c>
      <c r="D316" s="119" t="s">
        <v>833</v>
      </c>
      <c r="E316" s="119" t="s">
        <v>645</v>
      </c>
      <c r="F316" s="120">
        <v>3</v>
      </c>
      <c r="G316" s="169">
        <v>7500</v>
      </c>
    </row>
    <row r="317" spans="1:7" x14ac:dyDescent="0.25">
      <c r="A317" s="197">
        <v>312</v>
      </c>
      <c r="B317" s="167">
        <v>46071</v>
      </c>
      <c r="C317" s="117">
        <v>2026</v>
      </c>
      <c r="D317" s="119" t="s">
        <v>833</v>
      </c>
      <c r="E317" s="119" t="s">
        <v>282</v>
      </c>
      <c r="F317" s="120">
        <v>1</v>
      </c>
      <c r="G317" s="169">
        <v>5500</v>
      </c>
    </row>
    <row r="318" spans="1:7" x14ac:dyDescent="0.25">
      <c r="A318" s="197">
        <v>313</v>
      </c>
      <c r="B318" s="167">
        <v>46072</v>
      </c>
      <c r="C318" s="117">
        <v>2026</v>
      </c>
      <c r="D318" s="119" t="s">
        <v>833</v>
      </c>
      <c r="E318" s="119" t="s">
        <v>603</v>
      </c>
      <c r="F318" s="120">
        <v>100</v>
      </c>
      <c r="G318" s="169">
        <v>24900</v>
      </c>
    </row>
    <row r="319" spans="1:7" x14ac:dyDescent="0.25">
      <c r="A319" s="197">
        <v>314</v>
      </c>
      <c r="B319" s="167">
        <v>46072</v>
      </c>
      <c r="C319" s="117">
        <v>2026</v>
      </c>
      <c r="D319" s="119" t="s">
        <v>833</v>
      </c>
      <c r="E319" s="119" t="s">
        <v>535</v>
      </c>
      <c r="F319" s="120">
        <v>60</v>
      </c>
      <c r="G319" s="169">
        <v>68700</v>
      </c>
    </row>
    <row r="320" spans="1:7" x14ac:dyDescent="0.25">
      <c r="A320" s="197">
        <v>315</v>
      </c>
      <c r="B320" s="167">
        <v>46072</v>
      </c>
      <c r="C320" s="117">
        <v>2026</v>
      </c>
      <c r="D320" s="119" t="s">
        <v>833</v>
      </c>
      <c r="E320" s="119" t="s">
        <v>630</v>
      </c>
      <c r="F320" s="120">
        <v>24</v>
      </c>
      <c r="G320" s="169">
        <v>22608</v>
      </c>
    </row>
    <row r="321" spans="1:7" x14ac:dyDescent="0.25">
      <c r="A321" s="197">
        <v>316</v>
      </c>
      <c r="B321" s="167">
        <v>46072</v>
      </c>
      <c r="C321" s="117">
        <v>2026</v>
      </c>
      <c r="D321" s="119" t="s">
        <v>833</v>
      </c>
      <c r="E321" s="119" t="s">
        <v>517</v>
      </c>
      <c r="F321" s="120">
        <v>10</v>
      </c>
      <c r="G321" s="169">
        <v>20400</v>
      </c>
    </row>
    <row r="322" spans="1:7" x14ac:dyDescent="0.25">
      <c r="A322" s="197">
        <v>317</v>
      </c>
      <c r="B322" s="167">
        <v>46072</v>
      </c>
      <c r="C322" s="117">
        <v>2026</v>
      </c>
      <c r="D322" s="119" t="s">
        <v>833</v>
      </c>
      <c r="E322" s="119" t="s">
        <v>517</v>
      </c>
      <c r="F322" s="120">
        <v>10</v>
      </c>
      <c r="G322" s="169">
        <v>18400</v>
      </c>
    </row>
    <row r="323" spans="1:7" x14ac:dyDescent="0.25">
      <c r="A323" s="197">
        <v>318</v>
      </c>
      <c r="B323" s="167">
        <v>46072</v>
      </c>
      <c r="C323" s="117">
        <v>2026</v>
      </c>
      <c r="D323" s="119" t="s">
        <v>833</v>
      </c>
      <c r="E323" s="119" t="s">
        <v>1344</v>
      </c>
      <c r="F323" s="120">
        <v>5</v>
      </c>
      <c r="G323" s="169">
        <v>87500</v>
      </c>
    </row>
    <row r="324" spans="1:7" x14ac:dyDescent="0.25">
      <c r="A324" s="197">
        <v>319</v>
      </c>
      <c r="B324" s="167">
        <v>46072</v>
      </c>
      <c r="C324" s="117">
        <v>2026</v>
      </c>
      <c r="D324" s="119" t="s">
        <v>833</v>
      </c>
      <c r="E324" s="119" t="s">
        <v>588</v>
      </c>
      <c r="F324" s="120">
        <v>12</v>
      </c>
      <c r="G324" s="169">
        <v>57708</v>
      </c>
    </row>
    <row r="325" spans="1:7" x14ac:dyDescent="0.25">
      <c r="A325" s="197">
        <v>320</v>
      </c>
      <c r="B325" s="167">
        <v>46074</v>
      </c>
      <c r="C325" s="117">
        <v>2026</v>
      </c>
      <c r="D325" s="119" t="s">
        <v>833</v>
      </c>
      <c r="E325" s="119" t="s">
        <v>306</v>
      </c>
      <c r="F325" s="120">
        <v>12</v>
      </c>
      <c r="G325" s="169">
        <v>15300</v>
      </c>
    </row>
    <row r="326" spans="1:7" x14ac:dyDescent="0.25">
      <c r="A326" s="197">
        <v>321</v>
      </c>
      <c r="B326" s="167">
        <v>46092</v>
      </c>
      <c r="C326" s="117">
        <v>2026</v>
      </c>
      <c r="D326" s="119" t="s">
        <v>833</v>
      </c>
      <c r="E326" s="119" t="s">
        <v>1657</v>
      </c>
      <c r="F326" s="120">
        <v>2</v>
      </c>
      <c r="G326" s="169">
        <v>12548</v>
      </c>
    </row>
    <row r="327" spans="1:7" x14ac:dyDescent="0.25">
      <c r="A327" s="197">
        <v>322</v>
      </c>
      <c r="B327" s="167">
        <v>46097</v>
      </c>
      <c r="C327" s="117">
        <v>2026</v>
      </c>
      <c r="D327" s="119" t="s">
        <v>833</v>
      </c>
      <c r="E327" s="119" t="s">
        <v>1660</v>
      </c>
      <c r="F327" s="120">
        <v>1</v>
      </c>
      <c r="G327" s="169">
        <v>8770</v>
      </c>
    </row>
    <row r="328" spans="1:7" x14ac:dyDescent="0.25">
      <c r="A328" s="197">
        <v>323</v>
      </c>
      <c r="B328" s="167">
        <v>46107</v>
      </c>
      <c r="C328" s="117">
        <v>2026</v>
      </c>
      <c r="D328" s="119" t="s">
        <v>833</v>
      </c>
      <c r="E328" s="119" t="s">
        <v>692</v>
      </c>
      <c r="F328" s="120">
        <v>2</v>
      </c>
      <c r="G328" s="169">
        <v>920000</v>
      </c>
    </row>
    <row r="329" spans="1:7" x14ac:dyDescent="0.25">
      <c r="A329" s="197">
        <v>324</v>
      </c>
      <c r="B329" s="167">
        <v>46123</v>
      </c>
      <c r="C329" s="117">
        <v>2026</v>
      </c>
      <c r="D329" s="119" t="s">
        <v>833</v>
      </c>
      <c r="E329" s="119" t="s">
        <v>192</v>
      </c>
      <c r="F329" s="120">
        <v>12</v>
      </c>
      <c r="G329" s="169">
        <v>57300</v>
      </c>
    </row>
    <row r="330" spans="1:7" x14ac:dyDescent="0.25">
      <c r="A330" s="197">
        <v>325</v>
      </c>
      <c r="B330" s="167">
        <v>46123</v>
      </c>
      <c r="C330" s="117">
        <v>2026</v>
      </c>
      <c r="D330" s="119" t="s">
        <v>833</v>
      </c>
      <c r="E330" s="119" t="s">
        <v>103</v>
      </c>
      <c r="F330" s="120">
        <v>24</v>
      </c>
      <c r="G330" s="169">
        <v>21912</v>
      </c>
    </row>
    <row r="331" spans="1:7" x14ac:dyDescent="0.25">
      <c r="A331" s="197">
        <v>326</v>
      </c>
      <c r="B331" s="167">
        <v>46123</v>
      </c>
      <c r="C331" s="117">
        <v>2026</v>
      </c>
      <c r="D331" s="119" t="s">
        <v>833</v>
      </c>
      <c r="E331" s="119" t="s">
        <v>491</v>
      </c>
      <c r="F331" s="120">
        <v>5</v>
      </c>
      <c r="G331" s="169">
        <v>42400</v>
      </c>
    </row>
    <row r="332" spans="1:7" x14ac:dyDescent="0.25">
      <c r="A332" s="197">
        <v>327</v>
      </c>
      <c r="B332" s="167">
        <v>46133</v>
      </c>
      <c r="C332" s="117">
        <v>2026</v>
      </c>
      <c r="D332" s="119" t="s">
        <v>833</v>
      </c>
      <c r="E332" s="119" t="s">
        <v>175</v>
      </c>
      <c r="F332" s="120">
        <v>50</v>
      </c>
      <c r="G332" s="169">
        <v>575000</v>
      </c>
    </row>
    <row r="333" spans="1:7" x14ac:dyDescent="0.25">
      <c r="A333" s="197">
        <v>328</v>
      </c>
      <c r="B333" s="167">
        <v>46133</v>
      </c>
      <c r="C333" s="117">
        <v>2026</v>
      </c>
      <c r="D333" s="119" t="s">
        <v>833</v>
      </c>
      <c r="E333" s="119" t="s">
        <v>192</v>
      </c>
      <c r="F333" s="120">
        <v>4</v>
      </c>
      <c r="G333" s="169">
        <v>13400</v>
      </c>
    </row>
    <row r="334" spans="1:7" x14ac:dyDescent="0.25">
      <c r="A334" s="197">
        <v>329</v>
      </c>
      <c r="B334" s="167">
        <v>46133</v>
      </c>
      <c r="C334" s="117">
        <v>2026</v>
      </c>
      <c r="D334" s="119" t="s">
        <v>833</v>
      </c>
      <c r="E334" s="119" t="s">
        <v>398</v>
      </c>
      <c r="F334" s="120">
        <v>12</v>
      </c>
      <c r="G334" s="169">
        <v>21000</v>
      </c>
    </row>
    <row r="335" spans="1:7" x14ac:dyDescent="0.25">
      <c r="A335" s="197">
        <v>330</v>
      </c>
      <c r="B335" s="167">
        <v>46133</v>
      </c>
      <c r="C335" s="117">
        <v>2026</v>
      </c>
      <c r="D335" s="119" t="s">
        <v>833</v>
      </c>
      <c r="E335" s="119" t="s">
        <v>580</v>
      </c>
      <c r="F335" s="120">
        <v>5</v>
      </c>
      <c r="G335" s="169">
        <v>248355</v>
      </c>
    </row>
    <row r="336" spans="1:7" x14ac:dyDescent="0.25">
      <c r="A336" s="197">
        <v>331</v>
      </c>
      <c r="B336" s="167">
        <v>46133</v>
      </c>
      <c r="C336" s="117">
        <v>2026</v>
      </c>
      <c r="D336" s="119" t="s">
        <v>833</v>
      </c>
      <c r="E336" s="119" t="s">
        <v>580</v>
      </c>
      <c r="F336" s="120">
        <v>5</v>
      </c>
      <c r="G336" s="169">
        <v>247690</v>
      </c>
    </row>
    <row r="337" spans="1:7" x14ac:dyDescent="0.25">
      <c r="A337" s="197">
        <v>332</v>
      </c>
      <c r="B337" s="167">
        <v>46133</v>
      </c>
      <c r="C337" s="117">
        <v>2026</v>
      </c>
      <c r="D337" s="119" t="s">
        <v>833</v>
      </c>
      <c r="E337" s="119" t="s">
        <v>580</v>
      </c>
      <c r="F337" s="120">
        <v>5</v>
      </c>
      <c r="G337" s="169">
        <v>247860</v>
      </c>
    </row>
    <row r="338" spans="1:7" x14ac:dyDescent="0.25">
      <c r="A338" s="197">
        <v>333</v>
      </c>
      <c r="B338" s="167">
        <v>46133</v>
      </c>
      <c r="C338" s="117">
        <v>2026</v>
      </c>
      <c r="D338" s="119" t="s">
        <v>833</v>
      </c>
      <c r="E338" s="119" t="s">
        <v>495</v>
      </c>
      <c r="F338" s="120">
        <v>2</v>
      </c>
      <c r="G338" s="169">
        <v>91900</v>
      </c>
    </row>
    <row r="339" spans="1:7" x14ac:dyDescent="0.25">
      <c r="A339" s="197">
        <v>334</v>
      </c>
      <c r="B339" s="167">
        <v>46133</v>
      </c>
      <c r="C339" s="117">
        <v>2026</v>
      </c>
      <c r="D339" s="119" t="s">
        <v>833</v>
      </c>
      <c r="E339" s="119" t="s">
        <v>495</v>
      </c>
      <c r="F339" s="120">
        <v>2</v>
      </c>
      <c r="G339" s="169">
        <v>91900</v>
      </c>
    </row>
    <row r="340" spans="1:7" x14ac:dyDescent="0.25">
      <c r="A340" s="197">
        <v>335</v>
      </c>
      <c r="B340" s="167">
        <v>46133</v>
      </c>
      <c r="C340" s="117">
        <v>2026</v>
      </c>
      <c r="D340" s="119" t="s">
        <v>833</v>
      </c>
      <c r="E340" s="119" t="s">
        <v>495</v>
      </c>
      <c r="F340" s="120">
        <v>2</v>
      </c>
      <c r="G340" s="169">
        <v>91900</v>
      </c>
    </row>
    <row r="341" spans="1:7" x14ac:dyDescent="0.25">
      <c r="A341" s="197">
        <v>336</v>
      </c>
      <c r="B341" s="167">
        <v>46136</v>
      </c>
      <c r="C341" s="117">
        <v>2026</v>
      </c>
      <c r="D341" s="119" t="s">
        <v>833</v>
      </c>
      <c r="E341" s="119" t="s">
        <v>489</v>
      </c>
      <c r="F341" s="120">
        <v>5</v>
      </c>
      <c r="G341" s="169">
        <v>15340</v>
      </c>
    </row>
    <row r="342" spans="1:7" x14ac:dyDescent="0.25">
      <c r="A342" s="102"/>
      <c r="B342" s="200"/>
      <c r="C342" s="201"/>
      <c r="D342" s="202"/>
      <c r="E342" s="202"/>
      <c r="F342" s="203"/>
      <c r="G342" s="204"/>
    </row>
    <row r="343" spans="1:7" x14ac:dyDescent="0.25">
      <c r="A343" s="102"/>
      <c r="B343" s="200"/>
      <c r="C343" s="201"/>
      <c r="D343" s="202"/>
      <c r="E343" s="202"/>
      <c r="F343" s="203"/>
      <c r="G343" s="204"/>
    </row>
    <row r="344" spans="1:7" x14ac:dyDescent="0.25">
      <c r="A344" s="102"/>
      <c r="B344" s="200"/>
      <c r="C344" s="201"/>
      <c r="D344" s="202"/>
      <c r="E344" s="202"/>
      <c r="F344" s="203"/>
      <c r="G344" s="204"/>
    </row>
    <row r="345" spans="1:7" x14ac:dyDescent="0.25">
      <c r="A345" s="102"/>
      <c r="B345" s="200"/>
      <c r="C345" s="201"/>
      <c r="D345" s="202"/>
      <c r="E345" s="202"/>
      <c r="F345" s="203"/>
      <c r="G345" s="204"/>
    </row>
    <row r="346" spans="1:7" x14ac:dyDescent="0.25">
      <c r="A346" s="102"/>
      <c r="B346" s="200"/>
      <c r="C346" s="201"/>
      <c r="D346" s="202"/>
      <c r="E346" s="202"/>
      <c r="F346" s="203"/>
      <c r="G346" s="204"/>
    </row>
    <row r="347" spans="1:7" x14ac:dyDescent="0.25">
      <c r="A347" s="102"/>
      <c r="B347" s="200"/>
      <c r="C347" s="201"/>
      <c r="D347" s="202"/>
      <c r="E347" s="202"/>
      <c r="F347" s="203"/>
      <c r="G347" s="204"/>
    </row>
    <row r="348" spans="1:7" x14ac:dyDescent="0.25">
      <c r="A348" s="102"/>
      <c r="B348" s="200"/>
      <c r="C348" s="201"/>
      <c r="D348" s="202"/>
      <c r="E348" s="202"/>
      <c r="F348" s="203"/>
      <c r="G348" s="204"/>
    </row>
    <row r="349" spans="1:7" x14ac:dyDescent="0.25">
      <c r="A349" s="102"/>
      <c r="B349" s="200"/>
      <c r="C349" s="201"/>
      <c r="D349" s="202"/>
      <c r="E349" s="202"/>
      <c r="F349" s="203"/>
      <c r="G349" s="204"/>
    </row>
    <row r="350" spans="1:7" x14ac:dyDescent="0.25">
      <c r="A350" s="102"/>
      <c r="B350" s="200"/>
      <c r="C350" s="201"/>
      <c r="D350" s="202"/>
      <c r="E350" s="202"/>
      <c r="F350" s="203"/>
      <c r="G350" s="204"/>
    </row>
    <row r="351" spans="1:7" x14ac:dyDescent="0.25">
      <c r="A351" s="102"/>
      <c r="B351" s="200"/>
      <c r="C351" s="201"/>
      <c r="D351" s="202"/>
      <c r="E351" s="202"/>
      <c r="F351" s="203"/>
      <c r="G351" s="204"/>
    </row>
    <row r="352" spans="1:7" x14ac:dyDescent="0.25">
      <c r="A352" s="102"/>
      <c r="B352" s="200"/>
      <c r="C352" s="201"/>
      <c r="D352" s="202"/>
      <c r="E352" s="202"/>
      <c r="F352" s="203"/>
      <c r="G352" s="204"/>
    </row>
    <row r="353" spans="1:7" x14ac:dyDescent="0.25">
      <c r="A353" s="102"/>
      <c r="B353" s="200"/>
      <c r="C353" s="201"/>
      <c r="D353" s="202"/>
      <c r="E353" s="202"/>
      <c r="F353" s="203"/>
      <c r="G353" s="204"/>
    </row>
    <row r="354" spans="1:7" x14ac:dyDescent="0.25">
      <c r="A354" s="102"/>
      <c r="B354" s="200"/>
      <c r="C354" s="201"/>
      <c r="D354" s="202"/>
      <c r="E354" s="202"/>
      <c r="F354" s="203"/>
      <c r="G354" s="204"/>
    </row>
    <row r="355" spans="1:7" x14ac:dyDescent="0.25">
      <c r="A355" s="102"/>
      <c r="B355" s="200"/>
      <c r="C355" s="201"/>
      <c r="D355" s="202"/>
      <c r="E355" s="202"/>
      <c r="F355" s="203"/>
      <c r="G355" s="204"/>
    </row>
    <row r="356" spans="1:7" x14ac:dyDescent="0.25">
      <c r="A356" s="102"/>
      <c r="B356" s="200"/>
      <c r="C356" s="201"/>
      <c r="D356" s="202"/>
      <c r="E356" s="202"/>
      <c r="F356" s="203"/>
      <c r="G356" s="204"/>
    </row>
    <row r="357" spans="1:7" x14ac:dyDescent="0.25">
      <c r="A357" s="102"/>
      <c r="B357" s="200"/>
      <c r="C357" s="201"/>
      <c r="D357" s="202"/>
      <c r="E357" s="202"/>
      <c r="F357" s="203"/>
      <c r="G357" s="204"/>
    </row>
    <row r="358" spans="1:7" x14ac:dyDescent="0.25">
      <c r="A358" s="102"/>
      <c r="B358" s="200"/>
      <c r="C358" s="201"/>
      <c r="D358" s="202"/>
      <c r="E358" s="202"/>
      <c r="F358" s="203"/>
      <c r="G358" s="204"/>
    </row>
    <row r="359" spans="1:7" x14ac:dyDescent="0.25">
      <c r="A359" s="102"/>
      <c r="B359" s="200"/>
      <c r="C359" s="201"/>
      <c r="D359" s="202"/>
      <c r="E359" s="202"/>
      <c r="F359" s="203"/>
      <c r="G359" s="204"/>
    </row>
    <row r="360" spans="1:7" x14ac:dyDescent="0.25">
      <c r="A360" s="102"/>
      <c r="B360" s="200"/>
      <c r="C360" s="201"/>
      <c r="D360" s="202"/>
      <c r="E360" s="202"/>
      <c r="F360" s="203"/>
      <c r="G360" s="204"/>
    </row>
    <row r="361" spans="1:7" x14ac:dyDescent="0.25">
      <c r="A361" s="102"/>
      <c r="B361" s="200"/>
      <c r="C361" s="201"/>
      <c r="D361" s="202"/>
      <c r="E361" s="202"/>
      <c r="F361" s="203"/>
      <c r="G361" s="204"/>
    </row>
    <row r="362" spans="1:7" x14ac:dyDescent="0.25">
      <c r="A362" s="102"/>
      <c r="B362" s="200"/>
      <c r="C362" s="201"/>
      <c r="D362" s="202"/>
      <c r="E362" s="202"/>
      <c r="F362" s="203"/>
      <c r="G362" s="204"/>
    </row>
    <row r="363" spans="1:7" x14ac:dyDescent="0.25">
      <c r="A363" s="102"/>
      <c r="B363" s="200"/>
      <c r="C363" s="201"/>
      <c r="D363" s="202"/>
      <c r="E363" s="202"/>
      <c r="F363" s="203"/>
      <c r="G363" s="204"/>
    </row>
    <row r="364" spans="1:7" x14ac:dyDescent="0.25">
      <c r="A364" s="102"/>
      <c r="B364" s="200"/>
      <c r="C364" s="201"/>
      <c r="D364" s="202"/>
      <c r="E364" s="202"/>
      <c r="F364" s="203"/>
      <c r="G364" s="204"/>
    </row>
    <row r="365" spans="1:7" x14ac:dyDescent="0.25">
      <c r="A365" s="102"/>
      <c r="B365" s="200"/>
      <c r="C365" s="201"/>
      <c r="D365" s="202"/>
      <c r="E365" s="202"/>
      <c r="F365" s="203"/>
      <c r="G365" s="204"/>
    </row>
    <row r="366" spans="1:7" x14ac:dyDescent="0.25">
      <c r="A366" s="102"/>
      <c r="B366" s="200"/>
      <c r="C366" s="201"/>
      <c r="D366" s="202"/>
      <c r="E366" s="202"/>
      <c r="F366" s="203"/>
      <c r="G366" s="204"/>
    </row>
    <row r="367" spans="1:7" x14ac:dyDescent="0.25">
      <c r="A367" s="102"/>
      <c r="B367" s="200"/>
      <c r="C367" s="201"/>
      <c r="D367" s="202"/>
      <c r="E367" s="202"/>
      <c r="F367" s="203"/>
      <c r="G367" s="204"/>
    </row>
    <row r="368" spans="1:7" x14ac:dyDescent="0.25">
      <c r="A368" s="102"/>
      <c r="B368" s="200"/>
      <c r="C368" s="201"/>
      <c r="D368" s="202"/>
      <c r="E368" s="202"/>
      <c r="F368" s="203"/>
      <c r="G368" s="204"/>
    </row>
    <row r="369" spans="1:7" x14ac:dyDescent="0.25">
      <c r="A369" s="102"/>
      <c r="B369" s="200"/>
      <c r="C369" s="201"/>
      <c r="D369" s="202"/>
      <c r="E369" s="202"/>
      <c r="F369" s="203"/>
      <c r="G369" s="204"/>
    </row>
    <row r="370" spans="1:7" x14ac:dyDescent="0.25">
      <c r="A370" s="102"/>
      <c r="B370" s="200"/>
      <c r="C370" s="201"/>
      <c r="D370" s="202"/>
      <c r="E370" s="202"/>
      <c r="F370" s="203"/>
      <c r="G370" s="204"/>
    </row>
    <row r="371" spans="1:7" x14ac:dyDescent="0.25">
      <c r="A371" s="102"/>
      <c r="B371" s="200"/>
      <c r="C371" s="201"/>
      <c r="D371" s="202"/>
      <c r="E371" s="202"/>
      <c r="F371" s="203"/>
      <c r="G371" s="204"/>
    </row>
    <row r="372" spans="1:7" x14ac:dyDescent="0.25">
      <c r="A372" s="102"/>
      <c r="B372" s="200"/>
      <c r="C372" s="201"/>
      <c r="D372" s="202"/>
      <c r="E372" s="202"/>
      <c r="F372" s="203"/>
      <c r="G372" s="204"/>
    </row>
    <row r="373" spans="1:7" x14ac:dyDescent="0.25">
      <c r="A373" s="102"/>
      <c r="B373" s="200"/>
      <c r="C373" s="201"/>
      <c r="D373" s="202"/>
      <c r="E373" s="202"/>
      <c r="F373" s="203"/>
      <c r="G373" s="204"/>
    </row>
    <row r="374" spans="1:7" x14ac:dyDescent="0.25">
      <c r="A374" s="102"/>
      <c r="B374" s="200"/>
      <c r="C374" s="201"/>
      <c r="D374" s="202"/>
      <c r="E374" s="202"/>
      <c r="F374" s="203"/>
      <c r="G374" s="204"/>
    </row>
    <row r="375" spans="1:7" x14ac:dyDescent="0.25">
      <c r="A375" s="102"/>
      <c r="B375" s="200"/>
      <c r="C375" s="201"/>
      <c r="D375" s="202"/>
      <c r="E375" s="202"/>
      <c r="F375" s="203"/>
      <c r="G375" s="204"/>
    </row>
    <row r="376" spans="1:7" x14ac:dyDescent="0.25">
      <c r="A376" s="102"/>
      <c r="B376" s="200"/>
      <c r="C376" s="201"/>
      <c r="D376" s="202"/>
      <c r="E376" s="202"/>
      <c r="F376" s="203"/>
      <c r="G376" s="204"/>
    </row>
    <row r="377" spans="1:7" x14ac:dyDescent="0.25">
      <c r="A377" s="102"/>
      <c r="B377" s="200"/>
      <c r="C377" s="201"/>
      <c r="D377" s="202"/>
      <c r="E377" s="202"/>
      <c r="F377" s="203"/>
      <c r="G377" s="204"/>
    </row>
    <row r="378" spans="1:7" x14ac:dyDescent="0.25">
      <c r="A378" s="102"/>
      <c r="B378" s="200"/>
      <c r="C378" s="201"/>
      <c r="D378" s="202"/>
      <c r="E378" s="202"/>
      <c r="F378" s="203"/>
      <c r="G378" s="204"/>
    </row>
    <row r="379" spans="1:7" x14ac:dyDescent="0.25">
      <c r="A379" s="102"/>
      <c r="B379" s="200"/>
      <c r="C379" s="201"/>
      <c r="D379" s="202"/>
      <c r="E379" s="202"/>
      <c r="F379" s="203"/>
      <c r="G379" s="204"/>
    </row>
    <row r="380" spans="1:7" x14ac:dyDescent="0.25">
      <c r="A380" s="102"/>
      <c r="B380" s="200"/>
      <c r="C380" s="201"/>
      <c r="D380" s="202"/>
      <c r="E380" s="202"/>
      <c r="F380" s="203"/>
      <c r="G380" s="204"/>
    </row>
    <row r="381" spans="1:7" x14ac:dyDescent="0.25">
      <c r="A381" s="102"/>
      <c r="B381" s="200"/>
      <c r="C381" s="201"/>
      <c r="D381" s="202"/>
      <c r="E381" s="202"/>
      <c r="F381" s="203"/>
      <c r="G381" s="204"/>
    </row>
    <row r="382" spans="1:7" x14ac:dyDescent="0.25">
      <c r="A382" s="102"/>
      <c r="B382" s="200"/>
      <c r="C382" s="201"/>
      <c r="D382" s="202"/>
      <c r="E382" s="202"/>
      <c r="F382" s="203"/>
      <c r="G382" s="204"/>
    </row>
    <row r="383" spans="1:7" x14ac:dyDescent="0.25">
      <c r="A383" s="102"/>
      <c r="B383" s="200"/>
      <c r="C383" s="201"/>
      <c r="D383" s="202"/>
      <c r="E383" s="202"/>
      <c r="F383" s="203"/>
      <c r="G383" s="204"/>
    </row>
    <row r="384" spans="1:7" x14ac:dyDescent="0.25">
      <c r="A384" s="102"/>
      <c r="B384" s="200"/>
      <c r="C384" s="201"/>
      <c r="D384" s="202"/>
      <c r="E384" s="202"/>
      <c r="F384" s="203"/>
      <c r="G384" s="204"/>
    </row>
    <row r="385" spans="1:7" x14ac:dyDescent="0.25">
      <c r="A385" s="102"/>
      <c r="B385" s="200"/>
      <c r="C385" s="201"/>
      <c r="D385" s="202"/>
      <c r="E385" s="202"/>
      <c r="F385" s="203"/>
      <c r="G385" s="204"/>
    </row>
    <row r="386" spans="1:7" x14ac:dyDescent="0.25">
      <c r="A386" s="102"/>
      <c r="B386" s="200"/>
      <c r="C386" s="201"/>
      <c r="D386" s="202"/>
      <c r="E386" s="202"/>
      <c r="F386" s="203"/>
      <c r="G386" s="204"/>
    </row>
    <row r="387" spans="1:7" x14ac:dyDescent="0.25">
      <c r="A387" s="102"/>
      <c r="B387" s="200"/>
      <c r="C387" s="201"/>
      <c r="D387" s="202"/>
      <c r="E387" s="202"/>
      <c r="F387" s="203"/>
      <c r="G387" s="204"/>
    </row>
    <row r="388" spans="1:7" x14ac:dyDescent="0.25">
      <c r="A388" s="102"/>
      <c r="B388" s="200"/>
      <c r="C388" s="201"/>
      <c r="D388" s="202"/>
      <c r="E388" s="202"/>
      <c r="F388" s="203"/>
      <c r="G388" s="204"/>
    </row>
    <row r="389" spans="1:7" x14ac:dyDescent="0.25">
      <c r="A389" s="102"/>
      <c r="B389" s="200"/>
      <c r="C389" s="201"/>
      <c r="D389" s="202"/>
      <c r="E389" s="202"/>
      <c r="F389" s="203"/>
      <c r="G389" s="204"/>
    </row>
    <row r="390" spans="1:7" x14ac:dyDescent="0.25">
      <c r="A390" s="102"/>
      <c r="B390" s="200"/>
      <c r="C390" s="201"/>
      <c r="D390" s="202"/>
      <c r="E390" s="202"/>
      <c r="F390" s="203"/>
      <c r="G390" s="204"/>
    </row>
    <row r="391" spans="1:7" x14ac:dyDescent="0.25">
      <c r="A391" s="102"/>
      <c r="B391" s="200"/>
      <c r="C391" s="201"/>
      <c r="D391" s="202"/>
      <c r="E391" s="202"/>
      <c r="F391" s="203"/>
      <c r="G391" s="204"/>
    </row>
    <row r="392" spans="1:7" x14ac:dyDescent="0.25">
      <c r="A392" s="102"/>
      <c r="B392" s="200"/>
      <c r="C392" s="201"/>
      <c r="D392" s="202"/>
      <c r="E392" s="202"/>
      <c r="F392" s="203"/>
      <c r="G392" s="204"/>
    </row>
    <row r="393" spans="1:7" x14ac:dyDescent="0.25">
      <c r="A393" s="102"/>
      <c r="B393" s="200"/>
      <c r="C393" s="201"/>
      <c r="D393" s="202"/>
      <c r="E393" s="202"/>
      <c r="F393" s="203"/>
      <c r="G393" s="204"/>
    </row>
    <row r="394" spans="1:7" x14ac:dyDescent="0.25">
      <c r="A394" s="102"/>
      <c r="B394" s="200"/>
      <c r="C394" s="201"/>
      <c r="D394" s="202"/>
      <c r="E394" s="202"/>
      <c r="F394" s="203"/>
      <c r="G394" s="204"/>
    </row>
    <row r="395" spans="1:7" x14ac:dyDescent="0.25">
      <c r="A395" s="102"/>
      <c r="B395" s="200"/>
      <c r="C395" s="201"/>
      <c r="D395" s="202"/>
      <c r="E395" s="202"/>
      <c r="F395" s="203"/>
      <c r="G395" s="204"/>
    </row>
    <row r="396" spans="1:7" x14ac:dyDescent="0.25">
      <c r="A396" s="102"/>
      <c r="B396" s="200"/>
      <c r="C396" s="201"/>
      <c r="D396" s="202"/>
      <c r="E396" s="202"/>
      <c r="F396" s="203"/>
      <c r="G396" s="204"/>
    </row>
    <row r="397" spans="1:7" x14ac:dyDescent="0.25">
      <c r="A397" s="102"/>
      <c r="B397" s="200"/>
      <c r="C397" s="201"/>
      <c r="D397" s="202"/>
      <c r="E397" s="202"/>
      <c r="F397" s="203"/>
      <c r="G397" s="204"/>
    </row>
    <row r="398" spans="1:7" x14ac:dyDescent="0.25">
      <c r="A398" s="102"/>
      <c r="B398" s="200"/>
      <c r="C398" s="201"/>
      <c r="D398" s="202"/>
      <c r="E398" s="202"/>
      <c r="F398" s="203"/>
      <c r="G398" s="204"/>
    </row>
    <row r="399" spans="1:7" x14ac:dyDescent="0.25">
      <c r="A399" s="102"/>
      <c r="B399" s="200"/>
      <c r="C399" s="201"/>
      <c r="D399" s="202"/>
      <c r="E399" s="202"/>
      <c r="F399" s="203"/>
      <c r="G399" s="204"/>
    </row>
    <row r="400" spans="1:7" x14ac:dyDescent="0.25">
      <c r="A400" s="102"/>
      <c r="B400" s="200"/>
      <c r="C400" s="201"/>
      <c r="D400" s="202"/>
      <c r="E400" s="202"/>
      <c r="F400" s="203"/>
      <c r="G400" s="204"/>
    </row>
    <row r="401" spans="1:7" x14ac:dyDescent="0.25">
      <c r="A401" s="102"/>
      <c r="B401" s="200"/>
      <c r="C401" s="201"/>
      <c r="D401" s="202"/>
      <c r="E401" s="202"/>
      <c r="F401" s="203"/>
      <c r="G401" s="204"/>
    </row>
    <row r="402" spans="1:7" x14ac:dyDescent="0.25">
      <c r="A402" s="102"/>
      <c r="B402" s="200"/>
      <c r="C402" s="201"/>
      <c r="D402" s="202"/>
      <c r="E402" s="202"/>
      <c r="F402" s="203"/>
      <c r="G402" s="204"/>
    </row>
    <row r="403" spans="1:7" x14ac:dyDescent="0.25">
      <c r="A403" s="102"/>
      <c r="B403" s="200"/>
      <c r="C403" s="201"/>
      <c r="D403" s="202"/>
      <c r="E403" s="202"/>
      <c r="F403" s="203"/>
      <c r="G403" s="204"/>
    </row>
    <row r="404" spans="1:7" x14ac:dyDescent="0.25">
      <c r="A404" s="102"/>
      <c r="B404" s="200"/>
      <c r="C404" s="201"/>
      <c r="D404" s="202"/>
      <c r="E404" s="202"/>
      <c r="F404" s="203"/>
      <c r="G404" s="204"/>
    </row>
    <row r="405" spans="1:7" x14ac:dyDescent="0.25">
      <c r="A405" s="102"/>
      <c r="B405" s="200"/>
      <c r="C405" s="201"/>
      <c r="D405" s="202"/>
      <c r="E405" s="202"/>
      <c r="F405" s="203"/>
      <c r="G405" s="204"/>
    </row>
    <row r="406" spans="1:7" x14ac:dyDescent="0.25">
      <c r="A406" s="102"/>
      <c r="B406" s="200"/>
      <c r="C406" s="201"/>
      <c r="D406" s="202"/>
      <c r="E406" s="202"/>
      <c r="F406" s="203"/>
      <c r="G406" s="204"/>
    </row>
    <row r="407" spans="1:7" x14ac:dyDescent="0.25">
      <c r="A407" s="102"/>
      <c r="B407" s="200"/>
      <c r="C407" s="201"/>
      <c r="D407" s="202"/>
      <c r="E407" s="202"/>
      <c r="F407" s="203"/>
      <c r="G407" s="204"/>
    </row>
    <row r="408" spans="1:7" x14ac:dyDescent="0.25">
      <c r="A408" s="102"/>
      <c r="B408" s="200"/>
      <c r="C408" s="201"/>
      <c r="D408" s="202"/>
      <c r="E408" s="202"/>
      <c r="F408" s="203"/>
      <c r="G408" s="204"/>
    </row>
    <row r="409" spans="1:7" x14ac:dyDescent="0.25">
      <c r="A409" s="102"/>
      <c r="B409" s="200"/>
      <c r="C409" s="201"/>
      <c r="D409" s="202"/>
      <c r="E409" s="202"/>
      <c r="F409" s="203"/>
      <c r="G409" s="204"/>
    </row>
    <row r="410" spans="1:7" x14ac:dyDescent="0.25">
      <c r="A410" s="102"/>
      <c r="B410" s="200"/>
      <c r="C410" s="201"/>
      <c r="D410" s="202"/>
      <c r="E410" s="202"/>
      <c r="F410" s="203"/>
      <c r="G410" s="204"/>
    </row>
    <row r="411" spans="1:7" x14ac:dyDescent="0.25">
      <c r="A411" s="102"/>
      <c r="B411" s="200"/>
      <c r="C411" s="201"/>
      <c r="D411" s="202"/>
      <c r="E411" s="202"/>
      <c r="F411" s="203"/>
      <c r="G411" s="204"/>
    </row>
    <row r="412" spans="1:7" x14ac:dyDescent="0.25">
      <c r="A412" s="102"/>
      <c r="B412" s="200"/>
      <c r="C412" s="201"/>
      <c r="D412" s="202"/>
      <c r="E412" s="202"/>
      <c r="F412" s="203"/>
      <c r="G412" s="204"/>
    </row>
    <row r="413" spans="1:7" x14ac:dyDescent="0.25">
      <c r="A413" s="102"/>
      <c r="B413" s="200"/>
      <c r="C413" s="201"/>
      <c r="D413" s="202"/>
      <c r="E413" s="202"/>
      <c r="F413" s="203"/>
      <c r="G413" s="204"/>
    </row>
    <row r="414" spans="1:7" x14ac:dyDescent="0.25">
      <c r="A414" s="102"/>
      <c r="B414" s="200"/>
      <c r="C414" s="201"/>
      <c r="D414" s="202"/>
      <c r="E414" s="202"/>
      <c r="F414" s="203"/>
      <c r="G414" s="204"/>
    </row>
    <row r="415" spans="1:7" x14ac:dyDescent="0.25">
      <c r="A415" s="102"/>
      <c r="B415" s="200"/>
      <c r="C415" s="201"/>
      <c r="D415" s="202"/>
      <c r="E415" s="202"/>
      <c r="F415" s="203"/>
      <c r="G415" s="204"/>
    </row>
    <row r="416" spans="1:7" x14ac:dyDescent="0.25">
      <c r="A416" s="102"/>
      <c r="B416" s="200"/>
      <c r="C416" s="201"/>
      <c r="D416" s="202"/>
      <c r="E416" s="202"/>
      <c r="F416" s="203"/>
      <c r="G416" s="204"/>
    </row>
    <row r="417" spans="1:7" x14ac:dyDescent="0.25">
      <c r="A417" s="102"/>
      <c r="B417" s="200"/>
      <c r="C417" s="201"/>
      <c r="D417" s="202"/>
      <c r="E417" s="202"/>
      <c r="F417" s="203"/>
      <c r="G417" s="204"/>
    </row>
    <row r="418" spans="1:7" x14ac:dyDescent="0.25">
      <c r="A418" s="102"/>
      <c r="B418" s="200"/>
      <c r="C418" s="201"/>
      <c r="D418" s="202"/>
      <c r="E418" s="202"/>
      <c r="F418" s="203"/>
      <c r="G418" s="204"/>
    </row>
    <row r="419" spans="1:7" x14ac:dyDescent="0.25">
      <c r="A419" s="102"/>
      <c r="B419" s="200"/>
      <c r="C419" s="201"/>
      <c r="D419" s="202"/>
      <c r="E419" s="202"/>
      <c r="F419" s="203"/>
      <c r="G419" s="204"/>
    </row>
    <row r="420" spans="1:7" x14ac:dyDescent="0.25">
      <c r="A420" s="102"/>
      <c r="B420" s="200"/>
      <c r="C420" s="201"/>
      <c r="D420" s="202"/>
      <c r="E420" s="202"/>
      <c r="F420" s="203"/>
      <c r="G420" s="204"/>
    </row>
    <row r="421" spans="1:7" x14ac:dyDescent="0.25">
      <c r="A421" s="102"/>
      <c r="B421" s="200"/>
      <c r="C421" s="201"/>
      <c r="D421" s="202"/>
      <c r="E421" s="202"/>
      <c r="F421" s="203"/>
      <c r="G421" s="204"/>
    </row>
    <row r="422" spans="1:7" x14ac:dyDescent="0.25">
      <c r="A422" s="102"/>
      <c r="B422" s="200"/>
      <c r="C422" s="201"/>
      <c r="D422" s="202"/>
      <c r="E422" s="202"/>
      <c r="F422" s="203"/>
      <c r="G422" s="204"/>
    </row>
    <row r="423" spans="1:7" x14ac:dyDescent="0.25">
      <c r="A423" s="102"/>
      <c r="B423" s="200"/>
      <c r="C423" s="201"/>
      <c r="D423" s="202"/>
      <c r="E423" s="202"/>
      <c r="F423" s="203"/>
      <c r="G423" s="204"/>
    </row>
    <row r="424" spans="1:7" x14ac:dyDescent="0.25">
      <c r="A424" s="102"/>
      <c r="B424" s="200"/>
      <c r="C424" s="201"/>
      <c r="D424" s="202"/>
      <c r="E424" s="202"/>
      <c r="F424" s="203"/>
      <c r="G424" s="204"/>
    </row>
    <row r="425" spans="1:7" x14ac:dyDescent="0.25">
      <c r="A425" s="102"/>
      <c r="B425" s="200"/>
      <c r="C425" s="201"/>
      <c r="D425" s="202"/>
      <c r="E425" s="202"/>
      <c r="F425" s="203"/>
      <c r="G425" s="204"/>
    </row>
    <row r="426" spans="1:7" x14ac:dyDescent="0.25">
      <c r="A426" s="102"/>
      <c r="B426" s="200"/>
      <c r="C426" s="201"/>
      <c r="D426" s="202"/>
      <c r="E426" s="202"/>
      <c r="F426" s="203"/>
      <c r="G426" s="204"/>
    </row>
    <row r="427" spans="1:7" x14ac:dyDescent="0.25">
      <c r="A427" s="102"/>
      <c r="B427" s="200"/>
      <c r="C427" s="201"/>
      <c r="D427" s="202"/>
      <c r="E427" s="202"/>
      <c r="F427" s="203"/>
      <c r="G427" s="204"/>
    </row>
    <row r="428" spans="1:7" x14ac:dyDescent="0.25">
      <c r="A428" s="102"/>
      <c r="B428" s="200"/>
      <c r="C428" s="201"/>
      <c r="D428" s="202"/>
      <c r="E428" s="202"/>
      <c r="F428" s="203"/>
      <c r="G428" s="204"/>
    </row>
    <row r="429" spans="1:7" x14ac:dyDescent="0.25">
      <c r="A429" s="102"/>
      <c r="B429" s="200"/>
      <c r="C429" s="201"/>
      <c r="D429" s="202"/>
      <c r="E429" s="202"/>
      <c r="F429" s="203"/>
      <c r="G429" s="204"/>
    </row>
    <row r="430" spans="1:7" x14ac:dyDescent="0.25">
      <c r="A430" s="102"/>
      <c r="B430" s="200"/>
      <c r="C430" s="201"/>
      <c r="D430" s="202"/>
      <c r="E430" s="202"/>
      <c r="F430" s="203"/>
      <c r="G430" s="204"/>
    </row>
    <row r="431" spans="1:7" x14ac:dyDescent="0.25">
      <c r="A431" s="102"/>
      <c r="B431" s="200"/>
      <c r="C431" s="201"/>
      <c r="D431" s="202"/>
      <c r="E431" s="202"/>
      <c r="F431" s="203"/>
      <c r="G431" s="204"/>
    </row>
    <row r="432" spans="1:7" x14ac:dyDescent="0.25">
      <c r="A432" s="102"/>
      <c r="B432" s="200"/>
      <c r="C432" s="201"/>
      <c r="D432" s="202"/>
      <c r="E432" s="202"/>
      <c r="F432" s="203"/>
      <c r="G432" s="204"/>
    </row>
    <row r="433" spans="1:7" x14ac:dyDescent="0.25">
      <c r="A433" s="102"/>
      <c r="B433" s="200"/>
      <c r="C433" s="201"/>
      <c r="D433" s="202"/>
      <c r="E433" s="202"/>
      <c r="F433" s="203"/>
      <c r="G433" s="204"/>
    </row>
    <row r="434" spans="1:7" x14ac:dyDescent="0.25">
      <c r="A434" s="102"/>
      <c r="B434" s="200"/>
      <c r="C434" s="201"/>
      <c r="D434" s="202"/>
      <c r="E434" s="202"/>
      <c r="F434" s="203"/>
      <c r="G434" s="204"/>
    </row>
    <row r="435" spans="1:7" x14ac:dyDescent="0.25">
      <c r="A435" s="102"/>
      <c r="B435" s="200"/>
      <c r="C435" s="201"/>
      <c r="D435" s="202"/>
      <c r="E435" s="202"/>
      <c r="F435" s="203"/>
      <c r="G435" s="204"/>
    </row>
    <row r="436" spans="1:7" x14ac:dyDescent="0.25">
      <c r="A436" s="102"/>
      <c r="B436" s="200"/>
      <c r="C436" s="201"/>
      <c r="D436" s="202"/>
      <c r="E436" s="202"/>
      <c r="F436" s="203"/>
      <c r="G436" s="204"/>
    </row>
    <row r="437" spans="1:7" x14ac:dyDescent="0.25">
      <c r="A437" s="102"/>
      <c r="B437" s="200"/>
      <c r="C437" s="201"/>
      <c r="D437" s="202"/>
      <c r="E437" s="202"/>
      <c r="F437" s="203"/>
      <c r="G437" s="204"/>
    </row>
    <row r="438" spans="1:7" x14ac:dyDescent="0.25">
      <c r="A438" s="102"/>
      <c r="B438" s="200"/>
      <c r="C438" s="201"/>
      <c r="D438" s="202"/>
      <c r="E438" s="202"/>
      <c r="F438" s="203"/>
      <c r="G438" s="204"/>
    </row>
    <row r="439" spans="1:7" x14ac:dyDescent="0.25">
      <c r="A439" s="102"/>
      <c r="B439" s="200"/>
      <c r="C439" s="201"/>
      <c r="D439" s="202"/>
      <c r="E439" s="202"/>
      <c r="F439" s="203"/>
      <c r="G439" s="204"/>
    </row>
    <row r="440" spans="1:7" x14ac:dyDescent="0.25">
      <c r="A440" s="102"/>
      <c r="B440" s="200"/>
      <c r="C440" s="201"/>
      <c r="D440" s="202"/>
      <c r="E440" s="202"/>
      <c r="F440" s="203"/>
      <c r="G440" s="204"/>
    </row>
    <row r="441" spans="1:7" x14ac:dyDescent="0.25">
      <c r="A441" s="102"/>
      <c r="B441" s="200"/>
      <c r="C441" s="201"/>
      <c r="D441" s="202"/>
      <c r="E441" s="202"/>
      <c r="F441" s="203"/>
      <c r="G441" s="204"/>
    </row>
    <row r="442" spans="1:7" x14ac:dyDescent="0.25">
      <c r="A442" s="102"/>
      <c r="B442" s="200"/>
      <c r="C442" s="201"/>
      <c r="D442" s="202"/>
      <c r="E442" s="202"/>
      <c r="F442" s="203"/>
      <c r="G442" s="204"/>
    </row>
    <row r="443" spans="1:7" x14ac:dyDescent="0.25">
      <c r="A443" s="102"/>
      <c r="B443" s="200"/>
      <c r="C443" s="201"/>
      <c r="D443" s="202"/>
      <c r="E443" s="202"/>
      <c r="F443" s="203"/>
      <c r="G443" s="204"/>
    </row>
    <row r="444" spans="1:7" x14ac:dyDescent="0.25">
      <c r="A444" s="102"/>
      <c r="B444" s="200"/>
      <c r="C444" s="201"/>
      <c r="D444" s="202"/>
      <c r="E444" s="202"/>
      <c r="F444" s="203"/>
      <c r="G444" s="204"/>
    </row>
    <row r="445" spans="1:7" x14ac:dyDescent="0.25">
      <c r="A445" s="102"/>
      <c r="B445" s="200"/>
      <c r="C445" s="201"/>
      <c r="D445" s="202"/>
      <c r="E445" s="202"/>
      <c r="F445" s="203"/>
      <c r="G445" s="204"/>
    </row>
    <row r="446" spans="1:7" x14ac:dyDescent="0.25">
      <c r="A446" s="102"/>
      <c r="B446" s="200"/>
      <c r="C446" s="201"/>
      <c r="D446" s="202"/>
      <c r="E446" s="202"/>
      <c r="F446" s="203"/>
      <c r="G446" s="204"/>
    </row>
    <row r="447" spans="1:7" x14ac:dyDescent="0.25">
      <c r="A447" s="102"/>
      <c r="B447" s="200"/>
      <c r="C447" s="201"/>
      <c r="D447" s="202"/>
      <c r="E447" s="202"/>
      <c r="F447" s="203"/>
      <c r="G447" s="204"/>
    </row>
    <row r="448" spans="1:7" x14ac:dyDescent="0.25">
      <c r="A448" s="102"/>
      <c r="B448" s="200"/>
      <c r="C448" s="201"/>
      <c r="D448" s="202"/>
      <c r="E448" s="202"/>
      <c r="F448" s="203"/>
      <c r="G448" s="204"/>
    </row>
    <row r="449" spans="1:7" x14ac:dyDescent="0.25">
      <c r="A449" s="102"/>
      <c r="B449" s="200"/>
      <c r="C449" s="201"/>
      <c r="D449" s="202"/>
      <c r="E449" s="202"/>
      <c r="F449" s="203"/>
      <c r="G449" s="204"/>
    </row>
    <row r="450" spans="1:7" x14ac:dyDescent="0.25">
      <c r="A450" s="102"/>
      <c r="B450" s="200"/>
      <c r="C450" s="201"/>
      <c r="D450" s="202"/>
      <c r="E450" s="202"/>
      <c r="F450" s="203"/>
      <c r="G450" s="204"/>
    </row>
    <row r="451" spans="1:7" x14ac:dyDescent="0.25">
      <c r="A451" s="102"/>
      <c r="B451" s="200"/>
      <c r="C451" s="201"/>
      <c r="D451" s="202"/>
      <c r="E451" s="202"/>
      <c r="F451" s="203"/>
      <c r="G451" s="204"/>
    </row>
    <row r="452" spans="1:7" x14ac:dyDescent="0.25">
      <c r="A452" s="102"/>
      <c r="B452" s="200"/>
      <c r="C452" s="201"/>
      <c r="D452" s="202"/>
      <c r="E452" s="202"/>
      <c r="F452" s="203"/>
      <c r="G452" s="204"/>
    </row>
    <row r="453" spans="1:7" x14ac:dyDescent="0.25">
      <c r="A453" s="102"/>
      <c r="B453" s="200"/>
      <c r="C453" s="201"/>
      <c r="D453" s="202"/>
      <c r="E453" s="202"/>
      <c r="F453" s="203"/>
      <c r="G453" s="204"/>
    </row>
    <row r="454" spans="1:7" x14ac:dyDescent="0.25">
      <c r="A454" s="102"/>
      <c r="B454" s="200"/>
      <c r="C454" s="201"/>
      <c r="D454" s="202"/>
      <c r="E454" s="202"/>
      <c r="F454" s="203"/>
      <c r="G454" s="204"/>
    </row>
    <row r="455" spans="1:7" x14ac:dyDescent="0.25">
      <c r="A455" s="102"/>
      <c r="B455" s="200"/>
      <c r="C455" s="201"/>
      <c r="D455" s="202"/>
      <c r="E455" s="202"/>
      <c r="F455" s="203"/>
      <c r="G455" s="204"/>
    </row>
    <row r="456" spans="1:7" x14ac:dyDescent="0.25">
      <c r="A456" s="102"/>
      <c r="B456" s="200"/>
      <c r="C456" s="201"/>
      <c r="D456" s="202"/>
      <c r="E456" s="202"/>
      <c r="F456" s="203"/>
      <c r="G456" s="204"/>
    </row>
    <row r="457" spans="1:7" x14ac:dyDescent="0.25">
      <c r="A457" s="102"/>
      <c r="B457" s="200"/>
      <c r="C457" s="201"/>
      <c r="D457" s="202"/>
      <c r="E457" s="202"/>
      <c r="F457" s="203"/>
      <c r="G457" s="204"/>
    </row>
    <row r="458" spans="1:7" x14ac:dyDescent="0.25">
      <c r="A458" s="102"/>
      <c r="B458" s="200"/>
      <c r="C458" s="201"/>
      <c r="D458" s="202"/>
      <c r="E458" s="202"/>
      <c r="F458" s="203"/>
      <c r="G458" s="204"/>
    </row>
    <row r="459" spans="1:7" x14ac:dyDescent="0.25">
      <c r="A459" s="102"/>
      <c r="B459" s="200"/>
      <c r="C459" s="201"/>
      <c r="D459" s="202"/>
      <c r="E459" s="202"/>
      <c r="F459" s="203"/>
      <c r="G459" s="204"/>
    </row>
    <row r="460" spans="1:7" x14ac:dyDescent="0.25">
      <c r="A460" s="102"/>
      <c r="B460" s="200"/>
      <c r="C460" s="201"/>
      <c r="D460" s="202"/>
      <c r="E460" s="202"/>
      <c r="F460" s="203"/>
      <c r="G460" s="204"/>
    </row>
    <row r="461" spans="1:7" x14ac:dyDescent="0.25">
      <c r="A461" s="102"/>
      <c r="B461" s="200"/>
      <c r="C461" s="201"/>
      <c r="D461" s="202"/>
      <c r="E461" s="202"/>
      <c r="F461" s="203"/>
      <c r="G461" s="204"/>
    </row>
    <row r="462" spans="1:7" x14ac:dyDescent="0.25">
      <c r="A462" s="102"/>
      <c r="B462" s="200"/>
      <c r="C462" s="201"/>
      <c r="D462" s="202"/>
      <c r="E462" s="202"/>
      <c r="F462" s="203"/>
      <c r="G462" s="204"/>
    </row>
    <row r="463" spans="1:7" x14ac:dyDescent="0.25">
      <c r="A463" s="102"/>
      <c r="B463" s="200"/>
      <c r="C463" s="201"/>
      <c r="D463" s="202"/>
      <c r="E463" s="202"/>
      <c r="F463" s="203"/>
      <c r="G463" s="204"/>
    </row>
    <row r="464" spans="1:7" x14ac:dyDescent="0.25">
      <c r="A464" s="102"/>
      <c r="B464" s="200"/>
      <c r="C464" s="201"/>
      <c r="D464" s="202"/>
      <c r="E464" s="202"/>
      <c r="F464" s="203"/>
      <c r="G464" s="204"/>
    </row>
    <row r="465" spans="1:7" x14ac:dyDescent="0.25">
      <c r="A465" s="102"/>
      <c r="B465" s="200"/>
      <c r="C465" s="201"/>
      <c r="D465" s="202"/>
      <c r="E465" s="202"/>
      <c r="F465" s="203"/>
      <c r="G465" s="204"/>
    </row>
    <row r="466" spans="1:7" x14ac:dyDescent="0.25">
      <c r="A466" s="102"/>
      <c r="B466" s="200"/>
      <c r="C466" s="201"/>
      <c r="D466" s="202"/>
      <c r="E466" s="202"/>
      <c r="F466" s="203"/>
      <c r="G466" s="204"/>
    </row>
    <row r="467" spans="1:7" x14ac:dyDescent="0.25">
      <c r="A467" s="102"/>
      <c r="B467" s="200"/>
      <c r="C467" s="201"/>
      <c r="D467" s="202"/>
      <c r="E467" s="202"/>
      <c r="F467" s="203"/>
      <c r="G467" s="204"/>
    </row>
    <row r="468" spans="1:7" x14ac:dyDescent="0.25">
      <c r="A468" s="102"/>
      <c r="B468" s="200"/>
      <c r="C468" s="201"/>
      <c r="D468" s="202"/>
      <c r="E468" s="202"/>
      <c r="F468" s="203"/>
      <c r="G468" s="204"/>
    </row>
    <row r="469" spans="1:7" x14ac:dyDescent="0.25">
      <c r="A469" s="102"/>
      <c r="B469" s="200"/>
      <c r="C469" s="201"/>
      <c r="D469" s="202"/>
      <c r="E469" s="202"/>
      <c r="F469" s="203"/>
      <c r="G469" s="204"/>
    </row>
    <row r="470" spans="1:7" x14ac:dyDescent="0.25">
      <c r="A470" s="102"/>
      <c r="B470" s="200"/>
      <c r="C470" s="201"/>
      <c r="D470" s="202"/>
      <c r="E470" s="202"/>
      <c r="F470" s="203"/>
      <c r="G470" s="204"/>
    </row>
    <row r="471" spans="1:7" x14ac:dyDescent="0.25">
      <c r="A471" s="102"/>
      <c r="B471" s="200"/>
      <c r="C471" s="201"/>
      <c r="D471" s="202"/>
      <c r="E471" s="202"/>
      <c r="F471" s="203"/>
      <c r="G471" s="204"/>
    </row>
    <row r="472" spans="1:7" x14ac:dyDescent="0.25">
      <c r="A472" s="102"/>
      <c r="B472" s="200"/>
      <c r="C472" s="201"/>
      <c r="D472" s="202"/>
      <c r="E472" s="202"/>
      <c r="F472" s="203"/>
      <c r="G472" s="204"/>
    </row>
    <row r="473" spans="1:7" x14ac:dyDescent="0.25">
      <c r="A473" s="102"/>
      <c r="B473" s="200"/>
      <c r="C473" s="201"/>
      <c r="D473" s="202"/>
      <c r="E473" s="202"/>
      <c r="F473" s="203"/>
      <c r="G473" s="204"/>
    </row>
    <row r="474" spans="1:7" x14ac:dyDescent="0.25">
      <c r="A474" s="102"/>
      <c r="B474" s="200"/>
      <c r="C474" s="201"/>
      <c r="D474" s="202"/>
      <c r="E474" s="202"/>
      <c r="F474" s="203"/>
      <c r="G474" s="204"/>
    </row>
    <row r="475" spans="1:7" x14ac:dyDescent="0.25">
      <c r="A475" s="102"/>
      <c r="B475" s="200"/>
      <c r="C475" s="201"/>
      <c r="D475" s="202"/>
      <c r="E475" s="202"/>
      <c r="F475" s="203"/>
      <c r="G475" s="204"/>
    </row>
    <row r="476" spans="1:7" x14ac:dyDescent="0.25">
      <c r="A476" s="102"/>
      <c r="B476" s="200"/>
      <c r="C476" s="201"/>
      <c r="D476" s="202"/>
      <c r="E476" s="202"/>
      <c r="F476" s="203"/>
      <c r="G476" s="204"/>
    </row>
    <row r="477" spans="1:7" x14ac:dyDescent="0.25">
      <c r="A477" s="102"/>
      <c r="B477" s="200"/>
      <c r="C477" s="201"/>
      <c r="D477" s="202"/>
      <c r="E477" s="202"/>
      <c r="F477" s="203"/>
      <c r="G477" s="204"/>
    </row>
    <row r="478" spans="1:7" x14ac:dyDescent="0.25">
      <c r="A478" s="102"/>
      <c r="B478" s="200"/>
      <c r="C478" s="201"/>
      <c r="D478" s="202"/>
      <c r="E478" s="202"/>
      <c r="F478" s="203"/>
      <c r="G478" s="204"/>
    </row>
    <row r="479" spans="1:7" x14ac:dyDescent="0.25">
      <c r="A479" s="102"/>
      <c r="B479" s="200"/>
      <c r="C479" s="201"/>
      <c r="D479" s="202"/>
      <c r="E479" s="202"/>
      <c r="F479" s="203"/>
      <c r="G479" s="204"/>
    </row>
    <row r="480" spans="1:7" x14ac:dyDescent="0.25">
      <c r="A480" s="102"/>
      <c r="B480" s="200"/>
      <c r="C480" s="201"/>
      <c r="D480" s="202"/>
      <c r="E480" s="202"/>
      <c r="F480" s="203"/>
      <c r="G480" s="204"/>
    </row>
    <row r="481" spans="1:7" x14ac:dyDescent="0.25">
      <c r="A481" s="102"/>
      <c r="B481" s="200"/>
      <c r="C481" s="201"/>
      <c r="D481" s="202"/>
      <c r="E481" s="202"/>
      <c r="F481" s="203"/>
      <c r="G481" s="204"/>
    </row>
    <row r="482" spans="1:7" x14ac:dyDescent="0.25">
      <c r="A482" s="102"/>
      <c r="B482" s="200"/>
      <c r="C482" s="201"/>
      <c r="D482" s="202"/>
      <c r="E482" s="202"/>
      <c r="F482" s="203"/>
      <c r="G482" s="204"/>
    </row>
    <row r="483" spans="1:7" x14ac:dyDescent="0.25">
      <c r="A483" s="102"/>
      <c r="B483" s="200"/>
      <c r="C483" s="201"/>
      <c r="D483" s="202"/>
      <c r="E483" s="202"/>
      <c r="F483" s="203"/>
      <c r="G483" s="204"/>
    </row>
    <row r="484" spans="1:7" x14ac:dyDescent="0.25">
      <c r="A484" s="102"/>
      <c r="B484" s="200"/>
      <c r="C484" s="201"/>
      <c r="D484" s="202"/>
      <c r="E484" s="202"/>
      <c r="F484" s="203"/>
      <c r="G484" s="204"/>
    </row>
    <row r="485" spans="1:7" x14ac:dyDescent="0.25">
      <c r="A485" s="102"/>
      <c r="B485" s="200"/>
      <c r="C485" s="201"/>
      <c r="D485" s="202"/>
      <c r="E485" s="202"/>
      <c r="F485" s="203"/>
      <c r="G485" s="204"/>
    </row>
    <row r="486" spans="1:7" x14ac:dyDescent="0.25">
      <c r="A486" s="102"/>
      <c r="B486" s="200"/>
      <c r="C486" s="201"/>
      <c r="D486" s="202"/>
      <c r="E486" s="202"/>
      <c r="F486" s="203"/>
      <c r="G486" s="204"/>
    </row>
    <row r="487" spans="1:7" x14ac:dyDescent="0.25">
      <c r="A487" s="102"/>
      <c r="B487" s="200"/>
      <c r="C487" s="201"/>
      <c r="D487" s="202"/>
      <c r="E487" s="202"/>
      <c r="F487" s="203"/>
      <c r="G487" s="204"/>
    </row>
    <row r="488" spans="1:7" x14ac:dyDescent="0.25">
      <c r="A488" s="102"/>
      <c r="B488" s="200"/>
      <c r="C488" s="201"/>
      <c r="D488" s="202"/>
      <c r="E488" s="202"/>
      <c r="F488" s="203"/>
      <c r="G488" s="204"/>
    </row>
    <row r="489" spans="1:7" x14ac:dyDescent="0.25">
      <c r="A489" s="102"/>
      <c r="B489" s="200"/>
      <c r="C489" s="201"/>
      <c r="D489" s="202"/>
      <c r="E489" s="202"/>
      <c r="F489" s="203"/>
      <c r="G489" s="204"/>
    </row>
    <row r="490" spans="1:7" x14ac:dyDescent="0.25">
      <c r="A490" s="102"/>
      <c r="B490" s="200"/>
      <c r="C490" s="201"/>
      <c r="D490" s="202"/>
      <c r="E490" s="202"/>
      <c r="F490" s="203"/>
      <c r="G490" s="204"/>
    </row>
    <row r="491" spans="1:7" x14ac:dyDescent="0.25">
      <c r="A491" s="102"/>
      <c r="B491" s="200"/>
      <c r="C491" s="201"/>
      <c r="D491" s="202"/>
      <c r="E491" s="202"/>
      <c r="F491" s="203"/>
      <c r="G491" s="204"/>
    </row>
    <row r="492" spans="1:7" x14ac:dyDescent="0.25">
      <c r="A492" s="102"/>
      <c r="B492" s="200"/>
      <c r="C492" s="201"/>
      <c r="D492" s="202"/>
      <c r="E492" s="202"/>
      <c r="F492" s="203"/>
      <c r="G492" s="204"/>
    </row>
    <row r="493" spans="1:7" x14ac:dyDescent="0.25">
      <c r="A493" s="102"/>
      <c r="B493" s="200"/>
      <c r="C493" s="201"/>
      <c r="D493" s="202"/>
      <c r="E493" s="202"/>
      <c r="F493" s="203"/>
      <c r="G493" s="204"/>
    </row>
    <row r="494" spans="1:7" x14ac:dyDescent="0.25">
      <c r="A494" s="102"/>
      <c r="B494" s="200"/>
      <c r="C494" s="201"/>
      <c r="D494" s="202"/>
      <c r="E494" s="202"/>
      <c r="F494" s="203"/>
      <c r="G494" s="204"/>
    </row>
    <row r="495" spans="1:7" x14ac:dyDescent="0.25">
      <c r="A495" s="102"/>
      <c r="B495" s="200"/>
      <c r="C495" s="201"/>
      <c r="D495" s="202"/>
      <c r="E495" s="202"/>
      <c r="F495" s="203"/>
      <c r="G495" s="204"/>
    </row>
    <row r="496" spans="1:7" x14ac:dyDescent="0.25">
      <c r="A496" s="102"/>
      <c r="B496" s="200"/>
      <c r="C496" s="201"/>
      <c r="D496" s="202"/>
      <c r="E496" s="202"/>
      <c r="F496" s="203"/>
      <c r="G496" s="204"/>
    </row>
    <row r="497" spans="1:7" x14ac:dyDescent="0.25">
      <c r="A497" s="102"/>
      <c r="B497" s="200"/>
      <c r="C497" s="201"/>
      <c r="D497" s="202"/>
      <c r="E497" s="202"/>
      <c r="F497" s="203"/>
      <c r="G497" s="204"/>
    </row>
    <row r="498" spans="1:7" x14ac:dyDescent="0.25">
      <c r="A498" s="102"/>
      <c r="B498" s="200"/>
      <c r="C498" s="201"/>
      <c r="D498" s="202"/>
      <c r="E498" s="202"/>
      <c r="F498" s="203"/>
      <c r="G498" s="204"/>
    </row>
    <row r="499" spans="1:7" x14ac:dyDescent="0.25">
      <c r="A499" s="102"/>
      <c r="B499" s="200"/>
      <c r="C499" s="201"/>
      <c r="D499" s="202"/>
      <c r="E499" s="202"/>
      <c r="F499" s="203"/>
      <c r="G499" s="204"/>
    </row>
    <row r="500" spans="1:7" x14ac:dyDescent="0.25">
      <c r="A500" s="102"/>
      <c r="B500" s="200"/>
      <c r="C500" s="201"/>
      <c r="D500" s="202"/>
      <c r="E500" s="202"/>
      <c r="F500" s="203"/>
      <c r="G500" s="204"/>
    </row>
    <row r="501" spans="1:7" x14ac:dyDescent="0.25">
      <c r="A501" s="102"/>
      <c r="B501" s="200"/>
      <c r="C501" s="201"/>
      <c r="D501" s="202"/>
      <c r="E501" s="202"/>
      <c r="F501" s="203"/>
      <c r="G501" s="204"/>
    </row>
    <row r="502" spans="1:7" x14ac:dyDescent="0.25">
      <c r="A502" s="102"/>
      <c r="B502" s="200"/>
      <c r="C502" s="201"/>
      <c r="D502" s="202"/>
      <c r="E502" s="202"/>
      <c r="F502" s="203"/>
      <c r="G502" s="204"/>
    </row>
    <row r="503" spans="1:7" x14ac:dyDescent="0.25">
      <c r="A503" s="102"/>
      <c r="B503" s="200"/>
      <c r="C503" s="201"/>
      <c r="D503" s="202"/>
      <c r="E503" s="202"/>
      <c r="F503" s="203"/>
      <c r="G503" s="204"/>
    </row>
    <row r="504" spans="1:7" x14ac:dyDescent="0.25">
      <c r="A504" s="102"/>
      <c r="B504" s="200"/>
      <c r="C504" s="201"/>
      <c r="D504" s="202"/>
      <c r="E504" s="202"/>
      <c r="F504" s="203"/>
      <c r="G504" s="204"/>
    </row>
    <row r="505" spans="1:7" x14ac:dyDescent="0.25">
      <c r="A505" s="102"/>
      <c r="B505" s="200"/>
      <c r="C505" s="201"/>
      <c r="D505" s="202"/>
      <c r="E505" s="202"/>
      <c r="F505" s="203"/>
      <c r="G505" s="204"/>
    </row>
    <row r="506" spans="1:7" x14ac:dyDescent="0.25">
      <c r="A506" s="102"/>
      <c r="B506" s="200"/>
      <c r="C506" s="201"/>
      <c r="D506" s="202"/>
      <c r="E506" s="202"/>
      <c r="F506" s="203"/>
      <c r="G506" s="204"/>
    </row>
    <row r="507" spans="1:7" x14ac:dyDescent="0.25">
      <c r="A507" s="102"/>
      <c r="B507" s="200"/>
      <c r="C507" s="201"/>
      <c r="D507" s="202"/>
      <c r="E507" s="202"/>
      <c r="F507" s="203"/>
      <c r="G507" s="204"/>
    </row>
    <row r="508" spans="1:7" x14ac:dyDescent="0.25">
      <c r="A508" s="102"/>
      <c r="B508" s="200"/>
      <c r="C508" s="201"/>
      <c r="D508" s="202"/>
      <c r="E508" s="202"/>
      <c r="F508" s="203"/>
      <c r="G508" s="204"/>
    </row>
    <row r="509" spans="1:7" x14ac:dyDescent="0.25">
      <c r="A509" s="102"/>
      <c r="B509" s="200"/>
      <c r="C509" s="201"/>
      <c r="D509" s="202"/>
      <c r="E509" s="202"/>
      <c r="F509" s="203"/>
      <c r="G509" s="204"/>
    </row>
    <row r="510" spans="1:7" x14ac:dyDescent="0.25">
      <c r="A510" s="102"/>
      <c r="B510" s="200"/>
      <c r="C510" s="201"/>
      <c r="D510" s="202"/>
      <c r="E510" s="202"/>
      <c r="F510" s="203"/>
      <c r="G510" s="204"/>
    </row>
    <row r="511" spans="1:7" x14ac:dyDescent="0.25">
      <c r="A511" s="102"/>
      <c r="B511" s="200"/>
      <c r="C511" s="201"/>
      <c r="D511" s="202"/>
      <c r="E511" s="202"/>
      <c r="F511" s="203"/>
      <c r="G511" s="204"/>
    </row>
    <row r="512" spans="1:7" x14ac:dyDescent="0.25">
      <c r="A512" s="102"/>
      <c r="B512" s="200"/>
      <c r="C512" s="201"/>
      <c r="D512" s="202"/>
      <c r="E512" s="202"/>
      <c r="F512" s="203"/>
      <c r="G512" s="204"/>
    </row>
    <row r="513" spans="1:7" x14ac:dyDescent="0.25">
      <c r="A513" s="102"/>
      <c r="B513" s="200"/>
      <c r="C513" s="201"/>
      <c r="D513" s="202"/>
      <c r="E513" s="202"/>
      <c r="F513" s="203"/>
      <c r="G513" s="204"/>
    </row>
    <row r="514" spans="1:7" x14ac:dyDescent="0.25">
      <c r="A514" s="102"/>
      <c r="B514" s="200"/>
      <c r="C514" s="201"/>
      <c r="D514" s="202"/>
      <c r="E514" s="202"/>
      <c r="F514" s="203"/>
      <c r="G514" s="204"/>
    </row>
    <row r="515" spans="1:7" x14ac:dyDescent="0.25">
      <c r="A515" s="102"/>
      <c r="B515" s="200"/>
      <c r="C515" s="201"/>
      <c r="D515" s="202"/>
      <c r="E515" s="202"/>
      <c r="F515" s="203"/>
      <c r="G515" s="204"/>
    </row>
    <row r="516" spans="1:7" x14ac:dyDescent="0.25">
      <c r="A516" s="102"/>
      <c r="B516" s="200"/>
      <c r="C516" s="201"/>
      <c r="D516" s="202"/>
      <c r="E516" s="202"/>
      <c r="F516" s="203"/>
      <c r="G516" s="204"/>
    </row>
    <row r="517" spans="1:7" x14ac:dyDescent="0.25">
      <c r="A517" s="102"/>
      <c r="B517" s="200"/>
      <c r="C517" s="201"/>
      <c r="D517" s="202"/>
      <c r="E517" s="202"/>
      <c r="F517" s="203"/>
      <c r="G517" s="204"/>
    </row>
    <row r="518" spans="1:7" x14ac:dyDescent="0.25">
      <c r="A518" s="102"/>
      <c r="B518" s="200"/>
      <c r="C518" s="201"/>
      <c r="D518" s="202"/>
      <c r="E518" s="202"/>
      <c r="F518" s="203"/>
      <c r="G518" s="204"/>
    </row>
    <row r="519" spans="1:7" x14ac:dyDescent="0.25">
      <c r="A519" s="102"/>
      <c r="B519" s="200"/>
      <c r="C519" s="201"/>
      <c r="D519" s="202"/>
      <c r="E519" s="202"/>
      <c r="F519" s="203"/>
      <c r="G519" s="204"/>
    </row>
    <row r="520" spans="1:7" x14ac:dyDescent="0.25">
      <c r="A520" s="102"/>
      <c r="B520" s="200"/>
      <c r="C520" s="201"/>
      <c r="D520" s="202"/>
      <c r="E520" s="202"/>
      <c r="F520" s="203"/>
      <c r="G520" s="204"/>
    </row>
    <row r="521" spans="1:7" x14ac:dyDescent="0.25">
      <c r="A521" s="102"/>
      <c r="B521" s="200"/>
      <c r="C521" s="201"/>
      <c r="D521" s="202"/>
      <c r="E521" s="202"/>
      <c r="F521" s="203"/>
      <c r="G521" s="204"/>
    </row>
    <row r="522" spans="1:7" x14ac:dyDescent="0.25">
      <c r="A522" s="102"/>
      <c r="B522" s="200"/>
      <c r="C522" s="201"/>
      <c r="D522" s="202"/>
      <c r="E522" s="202"/>
      <c r="F522" s="203"/>
      <c r="G522" s="204"/>
    </row>
    <row r="523" spans="1:7" x14ac:dyDescent="0.25">
      <c r="A523" s="102"/>
      <c r="B523" s="200"/>
      <c r="C523" s="201"/>
      <c r="D523" s="202"/>
      <c r="E523" s="202"/>
      <c r="F523" s="203"/>
      <c r="G523" s="204"/>
    </row>
    <row r="524" spans="1:7" x14ac:dyDescent="0.25">
      <c r="A524" s="102"/>
      <c r="B524" s="200"/>
      <c r="C524" s="201"/>
      <c r="D524" s="202"/>
      <c r="E524" s="202"/>
      <c r="F524" s="203"/>
      <c r="G524" s="204"/>
    </row>
    <row r="525" spans="1:7" x14ac:dyDescent="0.25">
      <c r="A525" s="102"/>
      <c r="B525" s="200"/>
      <c r="C525" s="201"/>
      <c r="D525" s="202"/>
      <c r="E525" s="202"/>
      <c r="F525" s="203"/>
      <c r="G525" s="204"/>
    </row>
    <row r="526" spans="1:7" x14ac:dyDescent="0.25">
      <c r="A526" s="102"/>
      <c r="B526" s="200"/>
      <c r="C526" s="201"/>
      <c r="D526" s="202"/>
      <c r="E526" s="202"/>
      <c r="F526" s="203"/>
      <c r="G526" s="204"/>
    </row>
    <row r="527" spans="1:7" x14ac:dyDescent="0.25">
      <c r="A527" s="102"/>
      <c r="B527" s="200"/>
      <c r="C527" s="201"/>
      <c r="D527" s="202"/>
      <c r="E527" s="202"/>
      <c r="F527" s="203"/>
      <c r="G527" s="204"/>
    </row>
    <row r="528" spans="1:7" x14ac:dyDescent="0.25">
      <c r="A528" s="102"/>
      <c r="B528" s="200"/>
      <c r="C528" s="201"/>
      <c r="D528" s="202"/>
      <c r="E528" s="202"/>
      <c r="F528" s="203"/>
      <c r="G528" s="204"/>
    </row>
    <row r="529" spans="1:7" x14ac:dyDescent="0.25">
      <c r="A529" s="102"/>
      <c r="B529" s="200"/>
      <c r="C529" s="201"/>
      <c r="D529" s="202"/>
      <c r="E529" s="202"/>
      <c r="F529" s="203"/>
      <c r="G529" s="204"/>
    </row>
    <row r="530" spans="1:7" x14ac:dyDescent="0.25">
      <c r="A530" s="102"/>
      <c r="B530" s="200"/>
      <c r="C530" s="201"/>
      <c r="D530" s="202"/>
      <c r="E530" s="202"/>
      <c r="F530" s="203"/>
      <c r="G530" s="204"/>
    </row>
    <row r="531" spans="1:7" x14ac:dyDescent="0.25">
      <c r="A531" s="102"/>
      <c r="B531" s="200"/>
      <c r="C531" s="201"/>
      <c r="D531" s="202"/>
      <c r="E531" s="202"/>
      <c r="F531" s="203"/>
      <c r="G531" s="204"/>
    </row>
    <row r="532" spans="1:7" x14ac:dyDescent="0.25">
      <c r="A532" s="102"/>
      <c r="B532" s="200"/>
      <c r="C532" s="201"/>
      <c r="D532" s="202"/>
      <c r="E532" s="202"/>
      <c r="F532" s="203"/>
      <c r="G532" s="204"/>
    </row>
    <row r="533" spans="1:7" x14ac:dyDescent="0.25">
      <c r="A533" s="102"/>
      <c r="B533" s="200"/>
      <c r="C533" s="201"/>
      <c r="D533" s="202"/>
      <c r="E533" s="202"/>
      <c r="F533" s="203"/>
      <c r="G533" s="204"/>
    </row>
    <row r="534" spans="1:7" x14ac:dyDescent="0.25">
      <c r="A534" s="102"/>
      <c r="B534" s="200"/>
      <c r="C534" s="201"/>
      <c r="D534" s="202"/>
      <c r="E534" s="202"/>
      <c r="F534" s="203"/>
      <c r="G534" s="204"/>
    </row>
    <row r="535" spans="1:7" x14ac:dyDescent="0.25">
      <c r="A535" s="102"/>
      <c r="B535" s="200"/>
      <c r="C535" s="201"/>
      <c r="D535" s="202"/>
      <c r="E535" s="202"/>
      <c r="F535" s="203"/>
      <c r="G535" s="204"/>
    </row>
    <row r="536" spans="1:7" x14ac:dyDescent="0.25">
      <c r="A536" s="102"/>
      <c r="B536" s="200"/>
      <c r="C536" s="201"/>
      <c r="D536" s="202"/>
      <c r="E536" s="202"/>
      <c r="F536" s="203"/>
      <c r="G536" s="204"/>
    </row>
    <row r="537" spans="1:7" x14ac:dyDescent="0.25">
      <c r="A537" s="102"/>
      <c r="B537" s="200"/>
      <c r="C537" s="201"/>
      <c r="D537" s="202"/>
      <c r="E537" s="202"/>
      <c r="F537" s="203"/>
      <c r="G537" s="204"/>
    </row>
    <row r="538" spans="1:7" x14ac:dyDescent="0.25">
      <c r="A538" s="102"/>
      <c r="B538" s="200"/>
      <c r="C538" s="201"/>
      <c r="D538" s="202"/>
      <c r="E538" s="202"/>
      <c r="F538" s="203"/>
      <c r="G538" s="204"/>
    </row>
    <row r="539" spans="1:7" x14ac:dyDescent="0.25">
      <c r="A539" s="102"/>
      <c r="B539" s="200"/>
      <c r="C539" s="201"/>
      <c r="D539" s="202"/>
      <c r="E539" s="202"/>
      <c r="F539" s="203"/>
      <c r="G539" s="204"/>
    </row>
    <row r="540" spans="1:7" x14ac:dyDescent="0.25">
      <c r="A540" s="102"/>
      <c r="B540" s="200"/>
      <c r="C540" s="201"/>
      <c r="D540" s="202"/>
      <c r="E540" s="202"/>
      <c r="F540" s="203"/>
      <c r="G540" s="204"/>
    </row>
    <row r="541" spans="1:7" x14ac:dyDescent="0.25">
      <c r="A541" s="102"/>
      <c r="B541" s="200"/>
      <c r="C541" s="201"/>
      <c r="D541" s="202"/>
      <c r="E541" s="202"/>
      <c r="F541" s="203"/>
      <c r="G541" s="204"/>
    </row>
    <row r="542" spans="1:7" x14ac:dyDescent="0.25">
      <c r="A542" s="102"/>
      <c r="B542" s="200"/>
      <c r="C542" s="201"/>
      <c r="D542" s="202"/>
      <c r="E542" s="202"/>
      <c r="F542" s="203"/>
      <c r="G542" s="204"/>
    </row>
    <row r="543" spans="1:7" x14ac:dyDescent="0.25">
      <c r="A543" s="102"/>
      <c r="B543" s="200"/>
      <c r="C543" s="201"/>
      <c r="D543" s="202"/>
      <c r="E543" s="202"/>
      <c r="F543" s="203"/>
      <c r="G543" s="204"/>
    </row>
    <row r="544" spans="1:7" x14ac:dyDescent="0.25">
      <c r="A544" s="102"/>
      <c r="B544" s="200"/>
      <c r="C544" s="201"/>
      <c r="D544" s="202"/>
      <c r="E544" s="202"/>
      <c r="F544" s="203"/>
      <c r="G544" s="204"/>
    </row>
    <row r="545" spans="1:7" x14ac:dyDescent="0.25">
      <c r="A545" s="102"/>
      <c r="B545" s="200"/>
      <c r="C545" s="201"/>
      <c r="D545" s="202"/>
      <c r="E545" s="202"/>
      <c r="F545" s="203"/>
      <c r="G545" s="204"/>
    </row>
    <row r="546" spans="1:7" x14ac:dyDescent="0.25">
      <c r="A546" s="102"/>
      <c r="B546" s="200"/>
      <c r="C546" s="201"/>
      <c r="D546" s="202"/>
      <c r="E546" s="202"/>
      <c r="F546" s="203"/>
      <c r="G546" s="204"/>
    </row>
    <row r="547" spans="1:7" x14ac:dyDescent="0.25">
      <c r="A547" s="102"/>
      <c r="B547" s="200"/>
      <c r="C547" s="201"/>
      <c r="D547" s="202"/>
      <c r="E547" s="202"/>
      <c r="F547" s="203"/>
      <c r="G547" s="204"/>
    </row>
    <row r="548" spans="1:7" x14ac:dyDescent="0.25">
      <c r="A548" s="102"/>
      <c r="B548" s="200"/>
      <c r="C548" s="201"/>
      <c r="D548" s="202"/>
      <c r="E548" s="202"/>
      <c r="F548" s="203"/>
      <c r="G548" s="204"/>
    </row>
    <row r="549" spans="1:7" x14ac:dyDescent="0.25">
      <c r="A549" s="102"/>
      <c r="B549" s="200"/>
      <c r="C549" s="201"/>
      <c r="D549" s="202"/>
      <c r="E549" s="202"/>
      <c r="F549" s="203"/>
      <c r="G549" s="204"/>
    </row>
    <row r="550" spans="1:7" x14ac:dyDescent="0.25">
      <c r="A550" s="102"/>
      <c r="B550" s="200"/>
      <c r="C550" s="201"/>
      <c r="D550" s="202"/>
      <c r="E550" s="202"/>
      <c r="F550" s="203"/>
      <c r="G550" s="204"/>
    </row>
    <row r="551" spans="1:7" x14ac:dyDescent="0.25">
      <c r="A551" s="102"/>
      <c r="B551" s="200"/>
      <c r="C551" s="201"/>
      <c r="D551" s="202"/>
      <c r="E551" s="202"/>
      <c r="F551" s="203"/>
      <c r="G551" s="204"/>
    </row>
    <row r="552" spans="1:7" x14ac:dyDescent="0.25">
      <c r="A552" s="102"/>
      <c r="B552" s="200"/>
      <c r="C552" s="201"/>
      <c r="D552" s="202"/>
      <c r="E552" s="202"/>
      <c r="F552" s="203"/>
      <c r="G552" s="204"/>
    </row>
    <row r="553" spans="1:7" x14ac:dyDescent="0.25">
      <c r="A553" s="102"/>
      <c r="B553" s="200"/>
      <c r="C553" s="201"/>
      <c r="D553" s="202"/>
      <c r="E553" s="202"/>
      <c r="F553" s="203"/>
      <c r="G553" s="204"/>
    </row>
    <row r="554" spans="1:7" x14ac:dyDescent="0.25">
      <c r="A554" s="102"/>
      <c r="B554" s="200"/>
      <c r="C554" s="201"/>
      <c r="D554" s="202"/>
      <c r="E554" s="202"/>
      <c r="F554" s="203"/>
      <c r="G554" s="204"/>
    </row>
    <row r="555" spans="1:7" x14ac:dyDescent="0.25">
      <c r="A555" s="102"/>
      <c r="B555" s="200"/>
      <c r="C555" s="201"/>
      <c r="D555" s="202"/>
      <c r="E555" s="202"/>
      <c r="F555" s="203"/>
      <c r="G555" s="204"/>
    </row>
    <row r="556" spans="1:7" x14ac:dyDescent="0.25">
      <c r="A556" s="102"/>
      <c r="B556" s="200"/>
      <c r="C556" s="201"/>
      <c r="D556" s="202"/>
      <c r="E556" s="202"/>
      <c r="F556" s="203"/>
      <c r="G556" s="204"/>
    </row>
    <row r="557" spans="1:7" x14ac:dyDescent="0.25">
      <c r="A557" s="102"/>
      <c r="B557" s="200"/>
      <c r="C557" s="201"/>
      <c r="D557" s="202"/>
      <c r="E557" s="202"/>
      <c r="F557" s="203"/>
      <c r="G557" s="204"/>
    </row>
    <row r="558" spans="1:7" x14ac:dyDescent="0.25">
      <c r="A558" s="102"/>
      <c r="B558" s="200"/>
      <c r="C558" s="201"/>
      <c r="D558" s="202"/>
      <c r="E558" s="202"/>
      <c r="F558" s="203"/>
      <c r="G558" s="204"/>
    </row>
    <row r="559" spans="1:7" x14ac:dyDescent="0.25">
      <c r="A559" s="102"/>
      <c r="B559" s="200"/>
      <c r="C559" s="201"/>
      <c r="D559" s="202"/>
      <c r="E559" s="202"/>
      <c r="F559" s="203"/>
      <c r="G559" s="204"/>
    </row>
    <row r="560" spans="1:7" x14ac:dyDescent="0.25">
      <c r="A560" s="102"/>
      <c r="B560" s="200"/>
      <c r="C560" s="201"/>
      <c r="D560" s="202"/>
      <c r="E560" s="202"/>
      <c r="F560" s="203"/>
      <c r="G560" s="204"/>
    </row>
    <row r="561" spans="1:7" x14ac:dyDescent="0.25">
      <c r="A561" s="102"/>
      <c r="B561" s="200"/>
      <c r="C561" s="201"/>
      <c r="D561" s="202"/>
      <c r="E561" s="202"/>
      <c r="F561" s="203"/>
      <c r="G561" s="204"/>
    </row>
    <row r="562" spans="1:7" x14ac:dyDescent="0.25">
      <c r="A562" s="102"/>
      <c r="B562" s="200"/>
      <c r="C562" s="201"/>
      <c r="D562" s="202"/>
      <c r="E562" s="202"/>
      <c r="F562" s="203"/>
      <c r="G562" s="204"/>
    </row>
    <row r="563" spans="1:7" x14ac:dyDescent="0.25">
      <c r="A563" s="102"/>
      <c r="B563" s="200"/>
      <c r="C563" s="201"/>
      <c r="D563" s="202"/>
      <c r="E563" s="202"/>
      <c r="F563" s="203"/>
      <c r="G563" s="204"/>
    </row>
    <row r="564" spans="1:7" x14ac:dyDescent="0.25">
      <c r="A564" s="102"/>
      <c r="B564" s="200"/>
      <c r="C564" s="201"/>
      <c r="D564" s="202"/>
      <c r="E564" s="202"/>
      <c r="F564" s="203"/>
      <c r="G564" s="204"/>
    </row>
    <row r="565" spans="1:7" x14ac:dyDescent="0.25">
      <c r="A565" s="102"/>
      <c r="B565" s="200"/>
      <c r="C565" s="201"/>
      <c r="D565" s="202"/>
      <c r="E565" s="202"/>
      <c r="F565" s="203"/>
      <c r="G565" s="204"/>
    </row>
    <row r="566" spans="1:7" x14ac:dyDescent="0.25">
      <c r="A566" s="102"/>
      <c r="B566" s="200"/>
      <c r="C566" s="201"/>
      <c r="D566" s="202"/>
      <c r="E566" s="202"/>
      <c r="F566" s="203"/>
      <c r="G566" s="204"/>
    </row>
    <row r="567" spans="1:7" x14ac:dyDescent="0.25">
      <c r="A567" s="102"/>
      <c r="B567" s="200"/>
      <c r="C567" s="201"/>
      <c r="D567" s="202"/>
      <c r="E567" s="202"/>
      <c r="F567" s="203"/>
      <c r="G567" s="204"/>
    </row>
    <row r="568" spans="1:7" x14ac:dyDescent="0.25">
      <c r="A568" s="102"/>
      <c r="B568" s="200"/>
      <c r="C568" s="201"/>
      <c r="D568" s="202"/>
      <c r="E568" s="202"/>
      <c r="F568" s="203"/>
      <c r="G568" s="204"/>
    </row>
    <row r="569" spans="1:7" x14ac:dyDescent="0.25">
      <c r="A569" s="102"/>
      <c r="B569" s="200"/>
      <c r="C569" s="201"/>
      <c r="D569" s="202"/>
      <c r="E569" s="202"/>
      <c r="F569" s="203"/>
      <c r="G569" s="204"/>
    </row>
    <row r="570" spans="1:7" x14ac:dyDescent="0.25">
      <c r="A570" s="102"/>
      <c r="B570" s="200"/>
      <c r="C570" s="201"/>
      <c r="D570" s="202"/>
      <c r="E570" s="202"/>
      <c r="F570" s="203"/>
      <c r="G570" s="204"/>
    </row>
    <row r="571" spans="1:7" x14ac:dyDescent="0.25">
      <c r="A571" s="102"/>
      <c r="B571" s="200"/>
      <c r="C571" s="201"/>
      <c r="D571" s="202"/>
      <c r="E571" s="202"/>
      <c r="F571" s="203"/>
      <c r="G571" s="204"/>
    </row>
    <row r="572" spans="1:7" x14ac:dyDescent="0.25">
      <c r="A572" s="102"/>
      <c r="B572" s="200"/>
      <c r="C572" s="201"/>
      <c r="D572" s="202"/>
      <c r="E572" s="202"/>
      <c r="F572" s="203"/>
      <c r="G572" s="204"/>
    </row>
    <row r="573" spans="1:7" x14ac:dyDescent="0.25">
      <c r="A573" s="102"/>
      <c r="B573" s="200"/>
      <c r="C573" s="201"/>
      <c r="D573" s="202"/>
      <c r="E573" s="202"/>
      <c r="F573" s="203"/>
      <c r="G573" s="204"/>
    </row>
    <row r="574" spans="1:7" x14ac:dyDescent="0.25">
      <c r="A574" s="102"/>
      <c r="B574" s="200"/>
      <c r="C574" s="201"/>
      <c r="D574" s="202"/>
      <c r="E574" s="202"/>
      <c r="F574" s="203"/>
      <c r="G574" s="204"/>
    </row>
    <row r="575" spans="1:7" x14ac:dyDescent="0.25">
      <c r="A575" s="102"/>
      <c r="B575" s="200"/>
      <c r="C575" s="201"/>
      <c r="D575" s="202"/>
      <c r="E575" s="202"/>
      <c r="F575" s="203"/>
      <c r="G575" s="204"/>
    </row>
    <row r="576" spans="1:7" x14ac:dyDescent="0.25">
      <c r="A576" s="102"/>
      <c r="B576" s="200"/>
      <c r="C576" s="201"/>
      <c r="D576" s="202"/>
      <c r="E576" s="202"/>
      <c r="F576" s="203"/>
      <c r="G576" s="204"/>
    </row>
    <row r="577" spans="1:7" x14ac:dyDescent="0.25">
      <c r="A577" s="102"/>
      <c r="B577" s="200"/>
      <c r="C577" s="201"/>
      <c r="D577" s="202"/>
      <c r="E577" s="202"/>
      <c r="F577" s="203"/>
      <c r="G577" s="204"/>
    </row>
    <row r="578" spans="1:7" x14ac:dyDescent="0.25">
      <c r="A578" s="102"/>
      <c r="B578" s="200"/>
      <c r="C578" s="201"/>
      <c r="D578" s="202"/>
      <c r="E578" s="202"/>
      <c r="F578" s="203"/>
      <c r="G578" s="204"/>
    </row>
    <row r="579" spans="1:7" x14ac:dyDescent="0.25">
      <c r="A579" s="102"/>
      <c r="B579" s="200"/>
      <c r="C579" s="201"/>
      <c r="D579" s="202"/>
      <c r="E579" s="202"/>
      <c r="F579" s="203"/>
      <c r="G579" s="204"/>
    </row>
    <row r="580" spans="1:7" x14ac:dyDescent="0.25">
      <c r="A580" s="102"/>
      <c r="B580" s="200"/>
      <c r="C580" s="201"/>
      <c r="D580" s="202"/>
      <c r="E580" s="202"/>
      <c r="F580" s="203"/>
      <c r="G580" s="204"/>
    </row>
    <row r="581" spans="1:7" x14ac:dyDescent="0.25">
      <c r="A581" s="102"/>
      <c r="B581" s="200"/>
      <c r="C581" s="201"/>
      <c r="D581" s="202"/>
      <c r="E581" s="202"/>
      <c r="F581" s="203"/>
      <c r="G581" s="204"/>
    </row>
    <row r="582" spans="1:7" x14ac:dyDescent="0.25">
      <c r="A582" s="102"/>
      <c r="B582" s="200"/>
      <c r="C582" s="201"/>
      <c r="D582" s="202"/>
      <c r="E582" s="202"/>
      <c r="F582" s="203"/>
      <c r="G582" s="204"/>
    </row>
    <row r="583" spans="1:7" x14ac:dyDescent="0.25">
      <c r="A583" s="102"/>
      <c r="B583" s="200"/>
      <c r="C583" s="201"/>
      <c r="D583" s="202"/>
      <c r="E583" s="202"/>
      <c r="F583" s="203"/>
      <c r="G583" s="204"/>
    </row>
    <row r="584" spans="1:7" x14ac:dyDescent="0.25">
      <c r="A584" s="102"/>
      <c r="B584" s="200"/>
      <c r="C584" s="201"/>
      <c r="D584" s="202"/>
      <c r="E584" s="202"/>
      <c r="F584" s="203"/>
      <c r="G584" s="204"/>
    </row>
    <row r="585" spans="1:7" x14ac:dyDescent="0.25">
      <c r="A585" s="102"/>
      <c r="B585" s="200"/>
      <c r="C585" s="201"/>
      <c r="D585" s="202"/>
      <c r="E585" s="202"/>
      <c r="F585" s="203"/>
      <c r="G585" s="204"/>
    </row>
    <row r="586" spans="1:7" x14ac:dyDescent="0.25">
      <c r="A586" s="102"/>
      <c r="B586" s="200"/>
      <c r="C586" s="201"/>
      <c r="D586" s="202"/>
      <c r="E586" s="202"/>
      <c r="F586" s="203"/>
      <c r="G586" s="204"/>
    </row>
    <row r="587" spans="1:7" x14ac:dyDescent="0.25">
      <c r="A587" s="102"/>
      <c r="B587" s="200"/>
      <c r="C587" s="201"/>
      <c r="D587" s="202"/>
      <c r="E587" s="202"/>
      <c r="F587" s="203"/>
      <c r="G587" s="204"/>
    </row>
    <row r="588" spans="1:7" x14ac:dyDescent="0.25">
      <c r="A588" s="102"/>
      <c r="B588" s="200"/>
      <c r="C588" s="201"/>
      <c r="D588" s="202"/>
      <c r="E588" s="202"/>
      <c r="F588" s="203"/>
      <c r="G588" s="204"/>
    </row>
    <row r="589" spans="1:7" x14ac:dyDescent="0.25">
      <c r="A589" s="102"/>
      <c r="B589" s="200"/>
      <c r="C589" s="201"/>
      <c r="D589" s="202"/>
      <c r="E589" s="202"/>
      <c r="F589" s="203"/>
      <c r="G589" s="204"/>
    </row>
    <row r="590" spans="1:7" x14ac:dyDescent="0.25">
      <c r="A590" s="102"/>
      <c r="B590" s="200"/>
      <c r="C590" s="201"/>
      <c r="D590" s="202"/>
      <c r="E590" s="202"/>
      <c r="F590" s="203"/>
      <c r="G590" s="204"/>
    </row>
    <row r="591" spans="1:7" x14ac:dyDescent="0.25">
      <c r="A591" s="102"/>
      <c r="B591" s="200"/>
      <c r="C591" s="201"/>
      <c r="D591" s="202"/>
      <c r="E591" s="202"/>
      <c r="F591" s="203"/>
      <c r="G591" s="204"/>
    </row>
    <row r="592" spans="1:7" x14ac:dyDescent="0.25">
      <c r="A592" s="102"/>
      <c r="B592" s="200"/>
      <c r="C592" s="201"/>
      <c r="D592" s="202"/>
      <c r="E592" s="202"/>
      <c r="F592" s="203"/>
      <c r="G592" s="204"/>
    </row>
    <row r="593" spans="1:7" x14ac:dyDescent="0.25">
      <c r="A593" s="102"/>
      <c r="B593" s="200"/>
      <c r="C593" s="201"/>
      <c r="D593" s="202"/>
      <c r="E593" s="202"/>
      <c r="F593" s="203"/>
      <c r="G593" s="204"/>
    </row>
    <row r="594" spans="1:7" x14ac:dyDescent="0.25">
      <c r="A594" s="102"/>
      <c r="B594" s="200"/>
      <c r="C594" s="201"/>
      <c r="D594" s="202"/>
      <c r="E594" s="202"/>
      <c r="F594" s="203"/>
      <c r="G594" s="204"/>
    </row>
    <row r="595" spans="1:7" x14ac:dyDescent="0.25">
      <c r="A595" s="102"/>
      <c r="B595" s="200"/>
      <c r="C595" s="201"/>
      <c r="D595" s="202"/>
      <c r="E595" s="202"/>
      <c r="F595" s="203"/>
      <c r="G595" s="204"/>
    </row>
    <row r="596" spans="1:7" x14ac:dyDescent="0.25">
      <c r="A596" s="102"/>
      <c r="B596" s="200"/>
      <c r="C596" s="201"/>
      <c r="D596" s="202"/>
      <c r="E596" s="202"/>
      <c r="F596" s="203"/>
      <c r="G596" s="204"/>
    </row>
    <row r="597" spans="1:7" x14ac:dyDescent="0.25">
      <c r="A597" s="102"/>
      <c r="B597" s="200"/>
      <c r="C597" s="201"/>
      <c r="D597" s="202"/>
      <c r="E597" s="202"/>
      <c r="F597" s="203"/>
      <c r="G597" s="204"/>
    </row>
    <row r="598" spans="1:7" x14ac:dyDescent="0.25">
      <c r="A598" s="102"/>
      <c r="B598" s="200"/>
      <c r="C598" s="201"/>
      <c r="D598" s="202"/>
      <c r="E598" s="202"/>
      <c r="F598" s="203"/>
      <c r="G598" s="204"/>
    </row>
    <row r="599" spans="1:7" x14ac:dyDescent="0.25">
      <c r="A599" s="102"/>
      <c r="B599" s="200"/>
      <c r="C599" s="201"/>
      <c r="D599" s="202"/>
      <c r="E599" s="202"/>
      <c r="F599" s="203"/>
      <c r="G599" s="204"/>
    </row>
    <row r="600" spans="1:7" x14ac:dyDescent="0.25">
      <c r="A600" s="102"/>
      <c r="B600" s="200"/>
      <c r="C600" s="201"/>
      <c r="D600" s="202"/>
      <c r="E600" s="202"/>
      <c r="F600" s="203"/>
      <c r="G600" s="204"/>
    </row>
    <row r="601" spans="1:7" x14ac:dyDescent="0.25">
      <c r="A601" s="102"/>
      <c r="B601" s="200"/>
      <c r="C601" s="201"/>
      <c r="D601" s="202"/>
      <c r="E601" s="202"/>
      <c r="F601" s="203"/>
      <c r="G601" s="204"/>
    </row>
    <row r="602" spans="1:7" x14ac:dyDescent="0.25">
      <c r="A602" s="102"/>
      <c r="B602" s="200"/>
      <c r="C602" s="201"/>
      <c r="D602" s="202"/>
      <c r="E602" s="202"/>
      <c r="F602" s="203"/>
      <c r="G602" s="204"/>
    </row>
    <row r="603" spans="1:7" x14ac:dyDescent="0.25">
      <c r="A603" s="102"/>
      <c r="B603" s="200"/>
      <c r="C603" s="201"/>
      <c r="D603" s="202"/>
      <c r="E603" s="202"/>
      <c r="F603" s="203"/>
      <c r="G603" s="204"/>
    </row>
    <row r="604" spans="1:7" x14ac:dyDescent="0.25">
      <c r="A604" s="102"/>
      <c r="B604" s="200"/>
      <c r="C604" s="201"/>
      <c r="D604" s="202"/>
      <c r="E604" s="202"/>
      <c r="F604" s="203"/>
      <c r="G604" s="204"/>
    </row>
    <row r="605" spans="1:7" x14ac:dyDescent="0.25">
      <c r="A605" s="102"/>
      <c r="B605" s="200"/>
      <c r="C605" s="201"/>
      <c r="D605" s="202"/>
      <c r="E605" s="202"/>
      <c r="F605" s="203"/>
      <c r="G605" s="204"/>
    </row>
    <row r="606" spans="1:7" x14ac:dyDescent="0.25">
      <c r="A606" s="102"/>
      <c r="B606" s="200"/>
      <c r="C606" s="201"/>
      <c r="D606" s="202"/>
      <c r="E606" s="202"/>
      <c r="F606" s="203"/>
      <c r="G606" s="204"/>
    </row>
    <row r="607" spans="1:7" x14ac:dyDescent="0.25">
      <c r="A607" s="102"/>
      <c r="B607" s="200"/>
      <c r="C607" s="201"/>
      <c r="D607" s="202"/>
      <c r="E607" s="202"/>
      <c r="F607" s="203"/>
      <c r="G607" s="204"/>
    </row>
    <row r="608" spans="1:7" x14ac:dyDescent="0.25">
      <c r="A608" s="102"/>
      <c r="B608" s="200"/>
      <c r="C608" s="201"/>
      <c r="D608" s="202"/>
      <c r="E608" s="202"/>
      <c r="F608" s="203"/>
      <c r="G608" s="204"/>
    </row>
    <row r="609" spans="1:7" x14ac:dyDescent="0.25">
      <c r="A609" s="102"/>
      <c r="B609" s="200"/>
      <c r="C609" s="201"/>
      <c r="D609" s="202"/>
      <c r="E609" s="202"/>
      <c r="F609" s="203"/>
      <c r="G609" s="204"/>
    </row>
    <row r="610" spans="1:7" x14ac:dyDescent="0.25">
      <c r="A610" s="102"/>
      <c r="B610" s="200"/>
      <c r="C610" s="201"/>
      <c r="D610" s="202"/>
      <c r="E610" s="202"/>
      <c r="F610" s="203"/>
      <c r="G610" s="204"/>
    </row>
    <row r="611" spans="1:7" x14ac:dyDescent="0.25">
      <c r="A611" s="102"/>
      <c r="B611" s="200"/>
      <c r="C611" s="201"/>
      <c r="D611" s="202"/>
      <c r="E611" s="202"/>
      <c r="F611" s="203"/>
      <c r="G611" s="204"/>
    </row>
    <row r="612" spans="1:7" x14ac:dyDescent="0.25">
      <c r="A612" s="102"/>
      <c r="B612" s="200"/>
      <c r="C612" s="201"/>
      <c r="D612" s="202"/>
      <c r="E612" s="202"/>
      <c r="F612" s="203"/>
      <c r="G612" s="204"/>
    </row>
    <row r="613" spans="1:7" x14ac:dyDescent="0.25">
      <c r="A613" s="102"/>
      <c r="B613" s="200"/>
      <c r="C613" s="201"/>
      <c r="D613" s="202"/>
      <c r="E613" s="202"/>
      <c r="F613" s="203"/>
      <c r="G613" s="204"/>
    </row>
    <row r="614" spans="1:7" x14ac:dyDescent="0.25">
      <c r="A614" s="102"/>
      <c r="B614" s="200"/>
      <c r="C614" s="201"/>
      <c r="D614" s="202"/>
      <c r="E614" s="202"/>
      <c r="F614" s="203"/>
      <c r="G614" s="204"/>
    </row>
    <row r="615" spans="1:7" x14ac:dyDescent="0.25">
      <c r="A615" s="102"/>
      <c r="B615" s="200"/>
      <c r="C615" s="201"/>
      <c r="D615" s="202"/>
      <c r="E615" s="202"/>
      <c r="F615" s="203"/>
      <c r="G615" s="204"/>
    </row>
    <row r="616" spans="1:7" x14ac:dyDescent="0.25">
      <c r="A616" s="102"/>
      <c r="B616" s="200"/>
      <c r="C616" s="201"/>
      <c r="D616" s="202"/>
      <c r="E616" s="202"/>
      <c r="F616" s="203"/>
      <c r="G616" s="204"/>
    </row>
    <row r="617" spans="1:7" x14ac:dyDescent="0.25">
      <c r="A617" s="102"/>
      <c r="B617" s="200"/>
      <c r="C617" s="201"/>
      <c r="D617" s="202"/>
      <c r="E617" s="202"/>
      <c r="F617" s="203"/>
      <c r="G617" s="204"/>
    </row>
    <row r="618" spans="1:7" x14ac:dyDescent="0.25">
      <c r="A618" s="102"/>
      <c r="B618" s="200"/>
      <c r="C618" s="201"/>
      <c r="D618" s="202"/>
      <c r="E618" s="202"/>
      <c r="F618" s="203"/>
      <c r="G618" s="204"/>
    </row>
    <row r="619" spans="1:7" x14ac:dyDescent="0.25">
      <c r="A619" s="102"/>
      <c r="B619" s="200"/>
      <c r="C619" s="201"/>
      <c r="D619" s="202"/>
      <c r="E619" s="202"/>
      <c r="F619" s="203"/>
      <c r="G619" s="204"/>
    </row>
    <row r="620" spans="1:7" x14ac:dyDescent="0.25">
      <c r="A620" s="102"/>
      <c r="B620" s="200"/>
      <c r="C620" s="201"/>
      <c r="D620" s="202"/>
      <c r="E620" s="202"/>
      <c r="F620" s="203"/>
      <c r="G620" s="204"/>
    </row>
    <row r="621" spans="1:7" x14ac:dyDescent="0.25">
      <c r="A621" s="102"/>
      <c r="B621" s="200"/>
      <c r="C621" s="201"/>
      <c r="D621" s="202"/>
      <c r="E621" s="202"/>
      <c r="F621" s="203"/>
      <c r="G621" s="204"/>
    </row>
    <row r="622" spans="1:7" x14ac:dyDescent="0.25">
      <c r="A622" s="102"/>
      <c r="B622" s="200"/>
      <c r="C622" s="201"/>
      <c r="D622" s="202"/>
      <c r="E622" s="202"/>
      <c r="F622" s="203"/>
      <c r="G622" s="204"/>
    </row>
    <row r="623" spans="1:7" x14ac:dyDescent="0.25">
      <c r="A623" s="102"/>
      <c r="B623" s="200"/>
      <c r="C623" s="201"/>
      <c r="D623" s="202"/>
      <c r="E623" s="202"/>
      <c r="F623" s="203"/>
      <c r="G623" s="204"/>
    </row>
    <row r="624" spans="1:7" x14ac:dyDescent="0.25">
      <c r="A624" s="102"/>
      <c r="B624" s="200"/>
      <c r="C624" s="201"/>
      <c r="D624" s="202"/>
      <c r="E624" s="202"/>
      <c r="F624" s="203"/>
      <c r="G624" s="204"/>
    </row>
    <row r="625" spans="1:7" x14ac:dyDescent="0.25">
      <c r="A625" s="102"/>
      <c r="B625" s="200"/>
      <c r="C625" s="201"/>
      <c r="D625" s="202"/>
      <c r="E625" s="202"/>
      <c r="F625" s="203"/>
      <c r="G625" s="204"/>
    </row>
    <row r="626" spans="1:7" x14ac:dyDescent="0.25">
      <c r="A626" s="102"/>
      <c r="B626" s="200"/>
      <c r="C626" s="201"/>
      <c r="D626" s="202"/>
      <c r="E626" s="202"/>
      <c r="F626" s="203"/>
      <c r="G626" s="204"/>
    </row>
    <row r="627" spans="1:7" x14ac:dyDescent="0.25">
      <c r="A627" s="102"/>
      <c r="B627" s="200"/>
      <c r="C627" s="201"/>
      <c r="D627" s="202"/>
      <c r="E627" s="202"/>
      <c r="F627" s="203"/>
      <c r="G627" s="204"/>
    </row>
    <row r="628" spans="1:7" x14ac:dyDescent="0.25">
      <c r="A628" s="102"/>
      <c r="B628" s="200"/>
      <c r="C628" s="201"/>
      <c r="D628" s="202"/>
      <c r="E628" s="202"/>
      <c r="F628" s="203"/>
      <c r="G628" s="204"/>
    </row>
    <row r="629" spans="1:7" x14ac:dyDescent="0.25">
      <c r="A629" s="102"/>
      <c r="B629" s="200"/>
      <c r="C629" s="201"/>
      <c r="D629" s="202"/>
      <c r="E629" s="202"/>
      <c r="F629" s="203"/>
      <c r="G629" s="204"/>
    </row>
    <row r="630" spans="1:7" x14ac:dyDescent="0.25">
      <c r="A630" s="102"/>
      <c r="B630" s="200"/>
      <c r="C630" s="201"/>
      <c r="D630" s="202"/>
      <c r="E630" s="202"/>
      <c r="F630" s="203"/>
      <c r="G630" s="204"/>
    </row>
    <row r="631" spans="1:7" x14ac:dyDescent="0.25">
      <c r="A631" s="102"/>
      <c r="B631" s="200"/>
      <c r="C631" s="201"/>
      <c r="D631" s="202"/>
      <c r="E631" s="202"/>
      <c r="F631" s="203"/>
      <c r="G631" s="204"/>
    </row>
    <row r="632" spans="1:7" x14ac:dyDescent="0.25">
      <c r="A632" s="102"/>
      <c r="B632" s="200"/>
      <c r="C632" s="201"/>
      <c r="D632" s="202"/>
      <c r="E632" s="202"/>
      <c r="F632" s="203"/>
      <c r="G632" s="204"/>
    </row>
    <row r="633" spans="1:7" x14ac:dyDescent="0.25">
      <c r="A633" s="102"/>
      <c r="B633" s="200"/>
      <c r="C633" s="201"/>
      <c r="D633" s="202"/>
      <c r="E633" s="202"/>
      <c r="F633" s="203"/>
      <c r="G633" s="204"/>
    </row>
    <row r="634" spans="1:7" x14ac:dyDescent="0.25">
      <c r="A634" s="102"/>
      <c r="B634" s="200"/>
      <c r="C634" s="201"/>
      <c r="D634" s="202"/>
      <c r="E634" s="202"/>
      <c r="F634" s="203"/>
      <c r="G634" s="204"/>
    </row>
    <row r="635" spans="1:7" x14ac:dyDescent="0.25">
      <c r="A635" s="102"/>
      <c r="B635" s="200"/>
      <c r="C635" s="201"/>
      <c r="D635" s="202"/>
      <c r="E635" s="202"/>
      <c r="F635" s="203"/>
      <c r="G635" s="204"/>
    </row>
    <row r="636" spans="1:7" x14ac:dyDescent="0.25">
      <c r="A636" s="102"/>
      <c r="B636" s="200"/>
      <c r="C636" s="201"/>
      <c r="D636" s="202"/>
      <c r="E636" s="202"/>
      <c r="F636" s="203"/>
      <c r="G636" s="204"/>
    </row>
    <row r="637" spans="1:7" x14ac:dyDescent="0.25">
      <c r="A637" s="102"/>
      <c r="B637" s="200"/>
      <c r="C637" s="201"/>
      <c r="D637" s="202"/>
      <c r="E637" s="202"/>
      <c r="F637" s="203"/>
      <c r="G637" s="204"/>
    </row>
    <row r="638" spans="1:7" x14ac:dyDescent="0.25">
      <c r="A638" s="102"/>
      <c r="B638" s="200"/>
      <c r="C638" s="201"/>
      <c r="D638" s="202"/>
      <c r="E638" s="202"/>
      <c r="F638" s="203"/>
      <c r="G638" s="204"/>
    </row>
    <row r="639" spans="1:7" x14ac:dyDescent="0.25">
      <c r="A639" s="102"/>
      <c r="B639" s="200"/>
      <c r="C639" s="201"/>
      <c r="D639" s="202"/>
      <c r="E639" s="202"/>
      <c r="F639" s="203"/>
      <c r="G639" s="204"/>
    </row>
    <row r="640" spans="1:7" x14ac:dyDescent="0.25">
      <c r="A640" s="102"/>
      <c r="B640" s="200"/>
      <c r="C640" s="201"/>
      <c r="D640" s="202"/>
      <c r="E640" s="202"/>
      <c r="F640" s="203"/>
      <c r="G640" s="204"/>
    </row>
    <row r="641" spans="1:7" x14ac:dyDescent="0.25">
      <c r="A641" s="102"/>
      <c r="B641" s="200"/>
      <c r="C641" s="201"/>
      <c r="D641" s="202"/>
      <c r="E641" s="202"/>
      <c r="F641" s="203"/>
      <c r="G641" s="204"/>
    </row>
    <row r="642" spans="1:7" x14ac:dyDescent="0.25">
      <c r="A642" s="102"/>
      <c r="B642" s="200"/>
      <c r="C642" s="201"/>
      <c r="D642" s="202"/>
      <c r="E642" s="202"/>
      <c r="F642" s="203"/>
      <c r="G642" s="204"/>
    </row>
    <row r="643" spans="1:7" x14ac:dyDescent="0.25">
      <c r="A643" s="102"/>
      <c r="B643" s="200"/>
      <c r="C643" s="201"/>
      <c r="D643" s="202"/>
      <c r="E643" s="202"/>
      <c r="F643" s="203"/>
      <c r="G643" s="204"/>
    </row>
    <row r="644" spans="1:7" x14ac:dyDescent="0.25">
      <c r="A644" s="102"/>
      <c r="B644" s="200"/>
      <c r="C644" s="201"/>
      <c r="D644" s="202"/>
      <c r="E644" s="202"/>
      <c r="F644" s="203"/>
      <c r="G644" s="204"/>
    </row>
    <row r="645" spans="1:7" x14ac:dyDescent="0.25">
      <c r="A645" s="102"/>
      <c r="B645" s="200"/>
      <c r="C645" s="201"/>
      <c r="D645" s="202"/>
      <c r="E645" s="202"/>
      <c r="F645" s="203"/>
      <c r="G645" s="204"/>
    </row>
    <row r="646" spans="1:7" x14ac:dyDescent="0.25">
      <c r="A646" s="102"/>
      <c r="B646" s="200"/>
      <c r="C646" s="201"/>
      <c r="D646" s="202"/>
      <c r="E646" s="202"/>
      <c r="F646" s="203"/>
      <c r="G646" s="204"/>
    </row>
    <row r="647" spans="1:7" x14ac:dyDescent="0.25">
      <c r="A647" s="102"/>
      <c r="B647" s="200"/>
      <c r="C647" s="201"/>
      <c r="D647" s="202"/>
      <c r="E647" s="202"/>
      <c r="F647" s="203"/>
      <c r="G647" s="204"/>
    </row>
    <row r="648" spans="1:7" x14ac:dyDescent="0.25">
      <c r="A648" s="102"/>
      <c r="B648" s="200"/>
      <c r="C648" s="201"/>
      <c r="D648" s="202"/>
      <c r="E648" s="202"/>
      <c r="F648" s="203"/>
      <c r="G648" s="204"/>
    </row>
    <row r="649" spans="1:7" x14ac:dyDescent="0.25">
      <c r="A649" s="102"/>
      <c r="B649" s="200"/>
      <c r="C649" s="201"/>
      <c r="D649" s="202"/>
      <c r="E649" s="202"/>
      <c r="F649" s="203"/>
      <c r="G649" s="204"/>
    </row>
    <row r="650" spans="1:7" x14ac:dyDescent="0.25">
      <c r="A650" s="102"/>
      <c r="B650" s="200"/>
      <c r="C650" s="201"/>
      <c r="D650" s="202"/>
      <c r="E650" s="202"/>
      <c r="F650" s="203"/>
      <c r="G650" s="204"/>
    </row>
    <row r="651" spans="1:7" x14ac:dyDescent="0.25">
      <c r="A651" s="102"/>
      <c r="B651" s="200"/>
      <c r="C651" s="201"/>
      <c r="D651" s="202"/>
      <c r="E651" s="202"/>
      <c r="F651" s="203"/>
      <c r="G651" s="204"/>
    </row>
    <row r="652" spans="1:7" x14ac:dyDescent="0.25">
      <c r="A652" s="102"/>
      <c r="B652" s="200"/>
      <c r="C652" s="201"/>
      <c r="D652" s="202"/>
      <c r="E652" s="202"/>
      <c r="F652" s="203"/>
      <c r="G652" s="204"/>
    </row>
    <row r="653" spans="1:7" x14ac:dyDescent="0.25">
      <c r="A653" s="102"/>
      <c r="B653" s="200"/>
      <c r="C653" s="201"/>
      <c r="D653" s="202"/>
      <c r="E653" s="202"/>
      <c r="F653" s="203"/>
      <c r="G653" s="204"/>
    </row>
    <row r="654" spans="1:7" x14ac:dyDescent="0.25">
      <c r="A654" s="102"/>
      <c r="B654" s="200"/>
      <c r="C654" s="201"/>
      <c r="D654" s="202"/>
      <c r="E654" s="202"/>
      <c r="F654" s="203"/>
      <c r="G654" s="204"/>
    </row>
    <row r="655" spans="1:7" x14ac:dyDescent="0.25">
      <c r="A655" s="102"/>
      <c r="B655" s="200"/>
      <c r="C655" s="201"/>
      <c r="D655" s="202"/>
      <c r="E655" s="202"/>
      <c r="F655" s="203"/>
      <c r="G655" s="204"/>
    </row>
    <row r="656" spans="1:7" x14ac:dyDescent="0.25">
      <c r="A656" s="102"/>
      <c r="B656" s="200"/>
      <c r="C656" s="201"/>
      <c r="D656" s="202"/>
      <c r="E656" s="202"/>
      <c r="F656" s="203"/>
      <c r="G656" s="204"/>
    </row>
    <row r="657" spans="1:7" x14ac:dyDescent="0.25">
      <c r="A657" s="102"/>
      <c r="B657" s="200"/>
      <c r="C657" s="201"/>
      <c r="D657" s="202"/>
      <c r="E657" s="202"/>
      <c r="F657" s="203"/>
      <c r="G657" s="204"/>
    </row>
    <row r="658" spans="1:7" x14ac:dyDescent="0.25">
      <c r="A658" s="102"/>
      <c r="B658" s="200"/>
      <c r="C658" s="201"/>
      <c r="D658" s="202"/>
      <c r="E658" s="202"/>
      <c r="F658" s="203"/>
      <c r="G658" s="204"/>
    </row>
    <row r="659" spans="1:7" x14ac:dyDescent="0.25">
      <c r="A659" s="102"/>
      <c r="B659" s="200"/>
      <c r="C659" s="201"/>
      <c r="D659" s="202"/>
      <c r="E659" s="202"/>
      <c r="F659" s="203"/>
      <c r="G659" s="204"/>
    </row>
    <row r="660" spans="1:7" x14ac:dyDescent="0.25">
      <c r="A660" s="102"/>
      <c r="B660" s="200"/>
      <c r="C660" s="201"/>
      <c r="D660" s="202"/>
      <c r="E660" s="202"/>
      <c r="F660" s="203"/>
      <c r="G660" s="204"/>
    </row>
    <row r="661" spans="1:7" x14ac:dyDescent="0.25">
      <c r="A661" s="102"/>
      <c r="B661" s="200"/>
      <c r="C661" s="201"/>
      <c r="D661" s="202"/>
      <c r="E661" s="202"/>
      <c r="F661" s="203"/>
      <c r="G661" s="204"/>
    </row>
    <row r="662" spans="1:7" x14ac:dyDescent="0.25">
      <c r="A662" s="102"/>
      <c r="B662" s="200"/>
      <c r="C662" s="201"/>
      <c r="D662" s="202"/>
      <c r="E662" s="202"/>
      <c r="F662" s="203"/>
      <c r="G662" s="204"/>
    </row>
    <row r="663" spans="1:7" x14ac:dyDescent="0.25">
      <c r="A663" s="102"/>
      <c r="B663" s="200"/>
      <c r="C663" s="201"/>
      <c r="D663" s="202"/>
      <c r="E663" s="202"/>
      <c r="F663" s="203"/>
      <c r="G663" s="204"/>
    </row>
    <row r="664" spans="1:7" x14ac:dyDescent="0.25">
      <c r="A664" s="102"/>
      <c r="B664" s="200"/>
      <c r="C664" s="201"/>
      <c r="D664" s="202"/>
      <c r="E664" s="202"/>
      <c r="F664" s="203"/>
      <c r="G664" s="204"/>
    </row>
    <row r="665" spans="1:7" x14ac:dyDescent="0.25">
      <c r="A665" s="102"/>
      <c r="B665" s="200"/>
      <c r="C665" s="201"/>
      <c r="D665" s="202"/>
      <c r="E665" s="202"/>
      <c r="F665" s="203"/>
      <c r="G665" s="204"/>
    </row>
    <row r="666" spans="1:7" x14ac:dyDescent="0.25">
      <c r="A666" s="102"/>
      <c r="B666" s="200"/>
      <c r="C666" s="201"/>
      <c r="D666" s="202"/>
      <c r="E666" s="202"/>
      <c r="F666" s="203"/>
      <c r="G666" s="204"/>
    </row>
    <row r="667" spans="1:7" x14ac:dyDescent="0.25">
      <c r="A667" s="102"/>
      <c r="B667" s="200"/>
      <c r="C667" s="201"/>
      <c r="D667" s="202"/>
      <c r="E667" s="202"/>
      <c r="F667" s="203"/>
      <c r="G667" s="204"/>
    </row>
    <row r="668" spans="1:7" x14ac:dyDescent="0.25">
      <c r="A668" s="102"/>
      <c r="B668" s="200"/>
      <c r="C668" s="201"/>
      <c r="D668" s="202"/>
      <c r="E668" s="202"/>
      <c r="F668" s="203"/>
      <c r="G668" s="204"/>
    </row>
    <row r="669" spans="1:7" x14ac:dyDescent="0.25">
      <c r="A669" s="102"/>
      <c r="B669" s="200"/>
      <c r="C669" s="201"/>
      <c r="D669" s="202"/>
      <c r="E669" s="202"/>
      <c r="F669" s="203"/>
      <c r="G669" s="204"/>
    </row>
    <row r="670" spans="1:7" x14ac:dyDescent="0.25">
      <c r="A670" s="102"/>
      <c r="B670" s="200"/>
      <c r="C670" s="201"/>
      <c r="D670" s="202"/>
      <c r="E670" s="202"/>
      <c r="F670" s="203"/>
      <c r="G670" s="204"/>
    </row>
    <row r="671" spans="1:7" x14ac:dyDescent="0.25">
      <c r="A671" s="102"/>
      <c r="B671" s="200"/>
      <c r="C671" s="201"/>
      <c r="D671" s="202"/>
      <c r="E671" s="202"/>
      <c r="F671" s="203"/>
      <c r="G671" s="204"/>
    </row>
    <row r="672" spans="1:7" x14ac:dyDescent="0.25">
      <c r="A672" s="102"/>
      <c r="B672" s="200"/>
      <c r="C672" s="201"/>
      <c r="D672" s="202"/>
      <c r="E672" s="202"/>
      <c r="F672" s="203"/>
      <c r="G672" s="204"/>
    </row>
    <row r="673" spans="1:7" x14ac:dyDescent="0.25">
      <c r="A673" s="102"/>
      <c r="B673" s="200"/>
      <c r="C673" s="201"/>
      <c r="D673" s="202"/>
      <c r="E673" s="202"/>
      <c r="F673" s="203"/>
      <c r="G673" s="204"/>
    </row>
    <row r="674" spans="1:7" x14ac:dyDescent="0.25">
      <c r="A674" s="102"/>
      <c r="B674" s="200"/>
      <c r="C674" s="201"/>
      <c r="D674" s="202"/>
      <c r="E674" s="202"/>
      <c r="F674" s="203"/>
      <c r="G674" s="204"/>
    </row>
    <row r="675" spans="1:7" x14ac:dyDescent="0.25">
      <c r="A675" s="102"/>
      <c r="B675" s="200"/>
      <c r="C675" s="201"/>
      <c r="D675" s="202"/>
      <c r="E675" s="202"/>
      <c r="F675" s="203"/>
      <c r="G675" s="204"/>
    </row>
    <row r="676" spans="1:7" x14ac:dyDescent="0.25">
      <c r="A676" s="102"/>
      <c r="B676" s="200"/>
      <c r="C676" s="201"/>
      <c r="D676" s="202"/>
      <c r="E676" s="202"/>
      <c r="F676" s="203"/>
      <c r="G676" s="204"/>
    </row>
    <row r="677" spans="1:7" x14ac:dyDescent="0.25">
      <c r="A677" s="102"/>
      <c r="B677" s="200"/>
      <c r="C677" s="201"/>
      <c r="D677" s="202"/>
      <c r="E677" s="202"/>
      <c r="F677" s="203"/>
      <c r="G677" s="204"/>
    </row>
    <row r="678" spans="1:7" x14ac:dyDescent="0.25">
      <c r="A678" s="102"/>
      <c r="B678" s="200"/>
      <c r="C678" s="201"/>
      <c r="D678" s="202"/>
      <c r="E678" s="202"/>
      <c r="F678" s="203"/>
      <c r="G678" s="204"/>
    </row>
    <row r="679" spans="1:7" x14ac:dyDescent="0.25">
      <c r="A679" s="102"/>
      <c r="B679" s="200"/>
      <c r="C679" s="201"/>
      <c r="D679" s="202"/>
      <c r="E679" s="202"/>
      <c r="F679" s="203"/>
      <c r="G679" s="204"/>
    </row>
    <row r="680" spans="1:7" x14ac:dyDescent="0.25">
      <c r="A680" s="102"/>
      <c r="B680" s="200"/>
      <c r="C680" s="201"/>
      <c r="D680" s="202"/>
      <c r="E680" s="202"/>
      <c r="F680" s="203"/>
      <c r="G680" s="204"/>
    </row>
    <row r="681" spans="1:7" x14ac:dyDescent="0.25">
      <c r="A681" s="102"/>
      <c r="B681" s="200"/>
      <c r="C681" s="201"/>
      <c r="D681" s="202"/>
      <c r="E681" s="202"/>
      <c r="F681" s="203"/>
      <c r="G681" s="204"/>
    </row>
    <row r="682" spans="1:7" x14ac:dyDescent="0.25">
      <c r="A682" s="102"/>
      <c r="B682" s="200"/>
      <c r="C682" s="201"/>
      <c r="D682" s="202"/>
      <c r="E682" s="202"/>
      <c r="F682" s="203"/>
      <c r="G682" s="204"/>
    </row>
    <row r="683" spans="1:7" x14ac:dyDescent="0.25">
      <c r="A683" s="102"/>
      <c r="B683" s="200"/>
      <c r="C683" s="201"/>
      <c r="D683" s="202"/>
      <c r="E683" s="202"/>
      <c r="F683" s="203"/>
      <c r="G683" s="204"/>
    </row>
    <row r="684" spans="1:7" x14ac:dyDescent="0.25">
      <c r="A684" s="102"/>
      <c r="B684" s="200"/>
      <c r="C684" s="201"/>
      <c r="D684" s="202"/>
      <c r="E684" s="202"/>
      <c r="F684" s="203"/>
      <c r="G684" s="204"/>
    </row>
    <row r="685" spans="1:7" x14ac:dyDescent="0.25">
      <c r="A685" s="102"/>
      <c r="B685" s="200"/>
      <c r="C685" s="201"/>
      <c r="D685" s="202"/>
      <c r="E685" s="202"/>
      <c r="F685" s="203"/>
      <c r="G685" s="204"/>
    </row>
    <row r="686" spans="1:7" x14ac:dyDescent="0.25">
      <c r="A686" s="102"/>
      <c r="B686" s="200"/>
      <c r="C686" s="201"/>
      <c r="D686" s="202"/>
      <c r="E686" s="202"/>
      <c r="F686" s="203"/>
      <c r="G686" s="204"/>
    </row>
    <row r="687" spans="1:7" x14ac:dyDescent="0.25">
      <c r="A687" s="102"/>
      <c r="B687" s="200"/>
      <c r="C687" s="201"/>
      <c r="D687" s="202"/>
      <c r="E687" s="202"/>
      <c r="F687" s="203"/>
      <c r="G687" s="204"/>
    </row>
    <row r="688" spans="1:7" x14ac:dyDescent="0.25">
      <c r="A688" s="102"/>
      <c r="B688" s="200"/>
      <c r="C688" s="201"/>
      <c r="D688" s="202"/>
      <c r="E688" s="202"/>
      <c r="F688" s="203"/>
      <c r="G688" s="204"/>
    </row>
    <row r="689" spans="1:7" x14ac:dyDescent="0.25">
      <c r="A689" s="102"/>
      <c r="B689" s="200"/>
      <c r="C689" s="201"/>
      <c r="D689" s="202"/>
      <c r="E689" s="202"/>
      <c r="F689" s="203"/>
      <c r="G689" s="204"/>
    </row>
    <row r="690" spans="1:7" x14ac:dyDescent="0.25">
      <c r="A690" s="102"/>
      <c r="B690" s="200"/>
      <c r="C690" s="201"/>
      <c r="D690" s="202"/>
      <c r="E690" s="202"/>
      <c r="F690" s="203"/>
      <c r="G690" s="204"/>
    </row>
    <row r="691" spans="1:7" x14ac:dyDescent="0.25">
      <c r="A691" s="102"/>
      <c r="B691" s="200"/>
      <c r="C691" s="201"/>
      <c r="D691" s="202"/>
      <c r="E691" s="202"/>
      <c r="F691" s="203"/>
      <c r="G691" s="204"/>
    </row>
    <row r="692" spans="1:7" x14ac:dyDescent="0.25">
      <c r="A692" s="102"/>
      <c r="B692" s="200"/>
      <c r="C692" s="201"/>
      <c r="D692" s="202"/>
      <c r="E692" s="202"/>
      <c r="F692" s="203"/>
      <c r="G692" s="204"/>
    </row>
    <row r="693" spans="1:7" x14ac:dyDescent="0.25">
      <c r="A693" s="102"/>
      <c r="B693" s="200"/>
      <c r="C693" s="201"/>
      <c r="D693" s="202"/>
      <c r="E693" s="202"/>
      <c r="F693" s="203"/>
      <c r="G693" s="204"/>
    </row>
    <row r="694" spans="1:7" x14ac:dyDescent="0.25">
      <c r="A694" s="102"/>
      <c r="B694" s="200"/>
      <c r="C694" s="201"/>
      <c r="D694" s="202"/>
      <c r="E694" s="202"/>
      <c r="F694" s="203"/>
      <c r="G694" s="204"/>
    </row>
    <row r="695" spans="1:7" x14ac:dyDescent="0.25">
      <c r="A695" s="102"/>
      <c r="B695" s="200"/>
      <c r="C695" s="201"/>
      <c r="D695" s="202"/>
      <c r="E695" s="202"/>
      <c r="F695" s="203"/>
      <c r="G695" s="204"/>
    </row>
    <row r="696" spans="1:7" x14ac:dyDescent="0.25">
      <c r="A696" s="102"/>
      <c r="B696" s="200"/>
      <c r="C696" s="201"/>
      <c r="D696" s="202"/>
      <c r="E696" s="202"/>
      <c r="F696" s="203"/>
      <c r="G696" s="204"/>
    </row>
    <row r="697" spans="1:7" x14ac:dyDescent="0.25">
      <c r="A697" s="102"/>
      <c r="B697" s="200"/>
      <c r="C697" s="201"/>
      <c r="D697" s="202"/>
      <c r="E697" s="202"/>
      <c r="F697" s="203"/>
      <c r="G697" s="204"/>
    </row>
    <row r="698" spans="1:7" x14ac:dyDescent="0.25">
      <c r="A698" s="102"/>
      <c r="B698" s="200"/>
      <c r="C698" s="201"/>
      <c r="D698" s="202"/>
      <c r="E698" s="202"/>
      <c r="F698" s="203"/>
      <c r="G698" s="204"/>
    </row>
    <row r="699" spans="1:7" x14ac:dyDescent="0.25">
      <c r="A699" s="102"/>
      <c r="B699" s="200"/>
      <c r="C699" s="201"/>
      <c r="D699" s="202"/>
      <c r="E699" s="202"/>
      <c r="F699" s="203"/>
      <c r="G699" s="204"/>
    </row>
    <row r="700" spans="1:7" x14ac:dyDescent="0.25">
      <c r="A700" s="102"/>
      <c r="B700" s="200"/>
      <c r="C700" s="201"/>
      <c r="D700" s="202"/>
      <c r="E700" s="202"/>
      <c r="F700" s="203"/>
      <c r="G700" s="204"/>
    </row>
    <row r="701" spans="1:7" x14ac:dyDescent="0.25">
      <c r="A701" s="102"/>
      <c r="B701" s="200"/>
      <c r="C701" s="201"/>
      <c r="D701" s="202"/>
      <c r="E701" s="202"/>
      <c r="F701" s="203"/>
      <c r="G701" s="204"/>
    </row>
    <row r="702" spans="1:7" x14ac:dyDescent="0.25">
      <c r="A702" s="102"/>
      <c r="B702" s="200"/>
      <c r="C702" s="201"/>
      <c r="D702" s="202"/>
      <c r="E702" s="202"/>
      <c r="F702" s="203"/>
      <c r="G702" s="204"/>
    </row>
    <row r="703" spans="1:7" x14ac:dyDescent="0.25">
      <c r="A703" s="102"/>
      <c r="B703" s="200"/>
      <c r="C703" s="201"/>
      <c r="D703" s="202"/>
      <c r="E703" s="202"/>
      <c r="F703" s="203"/>
      <c r="G703" s="204"/>
    </row>
    <row r="704" spans="1:7" x14ac:dyDescent="0.25">
      <c r="A704" s="102"/>
      <c r="B704" s="200"/>
      <c r="C704" s="201"/>
      <c r="D704" s="202"/>
      <c r="E704" s="202"/>
      <c r="F704" s="203"/>
      <c r="G704" s="204"/>
    </row>
    <row r="705" spans="1:7" x14ac:dyDescent="0.25">
      <c r="A705" s="102"/>
      <c r="B705" s="200"/>
      <c r="C705" s="201"/>
      <c r="D705" s="202"/>
      <c r="E705" s="202"/>
      <c r="F705" s="203"/>
      <c r="G705" s="204"/>
    </row>
    <row r="706" spans="1:7" x14ac:dyDescent="0.25">
      <c r="A706" s="102"/>
      <c r="B706" s="200"/>
      <c r="C706" s="201"/>
      <c r="D706" s="202"/>
      <c r="E706" s="202"/>
      <c r="F706" s="203"/>
      <c r="G706" s="204"/>
    </row>
    <row r="707" spans="1:7" x14ac:dyDescent="0.25">
      <c r="A707" s="102"/>
      <c r="B707" s="200"/>
      <c r="C707" s="201"/>
      <c r="D707" s="202"/>
      <c r="E707" s="202"/>
      <c r="F707" s="203"/>
      <c r="G707" s="204"/>
    </row>
    <row r="708" spans="1:7" x14ac:dyDescent="0.25">
      <c r="A708" s="102"/>
      <c r="B708" s="200"/>
      <c r="C708" s="201"/>
      <c r="D708" s="202"/>
      <c r="E708" s="202"/>
      <c r="F708" s="203"/>
      <c r="G708" s="204"/>
    </row>
    <row r="709" spans="1:7" x14ac:dyDescent="0.25">
      <c r="A709" s="102"/>
      <c r="B709" s="200"/>
      <c r="C709" s="201"/>
      <c r="D709" s="202"/>
      <c r="E709" s="202"/>
      <c r="F709" s="203"/>
      <c r="G709" s="204"/>
    </row>
    <row r="710" spans="1:7" x14ac:dyDescent="0.25">
      <c r="A710" s="102"/>
      <c r="B710" s="200"/>
      <c r="C710" s="201"/>
      <c r="D710" s="202"/>
      <c r="E710" s="202"/>
      <c r="F710" s="203"/>
      <c r="G710" s="204"/>
    </row>
    <row r="711" spans="1:7" x14ac:dyDescent="0.25">
      <c r="A711" s="102"/>
      <c r="B711" s="200"/>
      <c r="C711" s="201"/>
      <c r="D711" s="202"/>
      <c r="E711" s="202"/>
      <c r="F711" s="203"/>
      <c r="G711" s="204"/>
    </row>
    <row r="712" spans="1:7" x14ac:dyDescent="0.25">
      <c r="A712" s="102"/>
      <c r="B712" s="200"/>
      <c r="C712" s="201"/>
      <c r="D712" s="202"/>
      <c r="E712" s="202"/>
      <c r="F712" s="203"/>
      <c r="G712" s="204"/>
    </row>
    <row r="713" spans="1:7" x14ac:dyDescent="0.25">
      <c r="A713" s="102"/>
      <c r="B713" s="200"/>
      <c r="C713" s="201"/>
      <c r="D713" s="202"/>
      <c r="E713" s="202"/>
      <c r="F713" s="203"/>
      <c r="G713" s="204"/>
    </row>
    <row r="714" spans="1:7" x14ac:dyDescent="0.25">
      <c r="A714" s="102"/>
      <c r="B714" s="200"/>
      <c r="C714" s="201"/>
      <c r="D714" s="202"/>
      <c r="E714" s="202"/>
      <c r="F714" s="203"/>
      <c r="G714" s="204"/>
    </row>
    <row r="715" spans="1:7" x14ac:dyDescent="0.25">
      <c r="A715" s="102"/>
      <c r="B715" s="200"/>
      <c r="C715" s="201"/>
      <c r="D715" s="202"/>
      <c r="E715" s="202"/>
      <c r="F715" s="203"/>
      <c r="G715" s="204"/>
    </row>
    <row r="716" spans="1:7" x14ac:dyDescent="0.25">
      <c r="A716" s="102"/>
      <c r="B716" s="200"/>
      <c r="C716" s="201"/>
      <c r="D716" s="202"/>
      <c r="E716" s="202"/>
      <c r="F716" s="203"/>
      <c r="G716" s="204"/>
    </row>
    <row r="717" spans="1:7" x14ac:dyDescent="0.25">
      <c r="A717" s="102"/>
      <c r="B717" s="200"/>
      <c r="C717" s="201"/>
      <c r="D717" s="202"/>
      <c r="E717" s="202"/>
      <c r="F717" s="203"/>
      <c r="G717" s="204"/>
    </row>
    <row r="718" spans="1:7" x14ac:dyDescent="0.25">
      <c r="A718" s="102"/>
      <c r="B718" s="200"/>
      <c r="C718" s="201"/>
      <c r="D718" s="202"/>
      <c r="E718" s="202"/>
      <c r="F718" s="203"/>
      <c r="G718" s="204"/>
    </row>
    <row r="719" spans="1:7" x14ac:dyDescent="0.25">
      <c r="A719" s="102"/>
      <c r="B719" s="200"/>
      <c r="C719" s="201"/>
      <c r="D719" s="202"/>
      <c r="E719" s="202"/>
      <c r="F719" s="203"/>
      <c r="G719" s="204"/>
    </row>
    <row r="720" spans="1:7" x14ac:dyDescent="0.25">
      <c r="A720" s="102"/>
      <c r="B720" s="200"/>
      <c r="C720" s="201"/>
      <c r="D720" s="202"/>
      <c r="E720" s="202"/>
      <c r="F720" s="203"/>
      <c r="G720" s="204"/>
    </row>
    <row r="721" spans="1:7" x14ac:dyDescent="0.25">
      <c r="A721" s="102"/>
      <c r="B721" s="200"/>
      <c r="C721" s="201"/>
      <c r="D721" s="202"/>
      <c r="E721" s="202"/>
      <c r="F721" s="203"/>
      <c r="G721" s="204"/>
    </row>
    <row r="722" spans="1:7" x14ac:dyDescent="0.25">
      <c r="A722" s="102"/>
      <c r="B722" s="200"/>
      <c r="C722" s="201"/>
      <c r="D722" s="202"/>
      <c r="E722" s="202"/>
      <c r="F722" s="203"/>
      <c r="G722" s="204"/>
    </row>
    <row r="723" spans="1:7" x14ac:dyDescent="0.25">
      <c r="A723" s="102"/>
      <c r="B723" s="200"/>
      <c r="C723" s="201"/>
      <c r="D723" s="202"/>
      <c r="E723" s="202"/>
      <c r="F723" s="203"/>
      <c r="G723" s="204"/>
    </row>
    <row r="724" spans="1:7" x14ac:dyDescent="0.25">
      <c r="A724" s="102"/>
      <c r="B724" s="200"/>
      <c r="C724" s="201"/>
      <c r="D724" s="202"/>
      <c r="E724" s="202"/>
      <c r="F724" s="203"/>
      <c r="G724" s="204"/>
    </row>
    <row r="725" spans="1:7" x14ac:dyDescent="0.25">
      <c r="A725" s="102"/>
      <c r="B725" s="200"/>
      <c r="C725" s="201"/>
      <c r="D725" s="202"/>
      <c r="E725" s="202"/>
      <c r="F725" s="203"/>
      <c r="G725" s="204"/>
    </row>
    <row r="726" spans="1:7" x14ac:dyDescent="0.25">
      <c r="A726" s="102"/>
      <c r="B726" s="200"/>
      <c r="C726" s="201"/>
      <c r="D726" s="202"/>
      <c r="E726" s="202"/>
      <c r="F726" s="203"/>
      <c r="G726" s="204"/>
    </row>
    <row r="727" spans="1:7" x14ac:dyDescent="0.25">
      <c r="A727" s="102"/>
      <c r="B727" s="200"/>
      <c r="C727" s="201"/>
      <c r="D727" s="202"/>
      <c r="E727" s="202"/>
      <c r="F727" s="203"/>
      <c r="G727" s="204"/>
    </row>
    <row r="728" spans="1:7" x14ac:dyDescent="0.25">
      <c r="A728" s="102"/>
      <c r="B728" s="200"/>
      <c r="C728" s="201"/>
      <c r="D728" s="202"/>
      <c r="E728" s="202"/>
      <c r="F728" s="203"/>
      <c r="G728" s="204"/>
    </row>
    <row r="729" spans="1:7" x14ac:dyDescent="0.25">
      <c r="A729" s="102"/>
      <c r="B729" s="200"/>
      <c r="C729" s="201"/>
      <c r="D729" s="202"/>
      <c r="E729" s="202"/>
      <c r="F729" s="203"/>
      <c r="G729" s="204"/>
    </row>
    <row r="730" spans="1:7" x14ac:dyDescent="0.25">
      <c r="A730" s="102"/>
      <c r="B730" s="200"/>
      <c r="C730" s="201"/>
      <c r="D730" s="202"/>
      <c r="E730" s="202"/>
      <c r="F730" s="203"/>
      <c r="G730" s="204"/>
    </row>
    <row r="731" spans="1:7" x14ac:dyDescent="0.25">
      <c r="A731" s="102"/>
      <c r="B731" s="200"/>
      <c r="C731" s="201"/>
      <c r="D731" s="202"/>
      <c r="E731" s="202"/>
      <c r="F731" s="203"/>
      <c r="G731" s="204"/>
    </row>
    <row r="732" spans="1:7" x14ac:dyDescent="0.25">
      <c r="A732" s="102"/>
      <c r="B732" s="200"/>
      <c r="C732" s="201"/>
      <c r="D732" s="202"/>
      <c r="E732" s="202"/>
      <c r="F732" s="203"/>
      <c r="G732" s="204"/>
    </row>
    <row r="733" spans="1:7" x14ac:dyDescent="0.25">
      <c r="A733" s="102"/>
      <c r="B733" s="200"/>
      <c r="C733" s="201"/>
      <c r="D733" s="202"/>
      <c r="E733" s="202"/>
      <c r="F733" s="203"/>
      <c r="G733" s="204"/>
    </row>
    <row r="734" spans="1:7" x14ac:dyDescent="0.25">
      <c r="A734" s="102"/>
      <c r="B734" s="200"/>
      <c r="C734" s="201"/>
      <c r="D734" s="202"/>
      <c r="E734" s="202"/>
      <c r="F734" s="203"/>
      <c r="G734" s="204"/>
    </row>
    <row r="735" spans="1:7" x14ac:dyDescent="0.25">
      <c r="A735" s="102"/>
      <c r="B735" s="200"/>
      <c r="C735" s="201"/>
      <c r="D735" s="202"/>
      <c r="E735" s="202"/>
      <c r="F735" s="203"/>
      <c r="G735" s="204"/>
    </row>
    <row r="736" spans="1:7" x14ac:dyDescent="0.25">
      <c r="A736" s="102"/>
      <c r="B736" s="200"/>
      <c r="C736" s="201"/>
      <c r="D736" s="202"/>
      <c r="E736" s="202"/>
      <c r="F736" s="203"/>
      <c r="G736" s="204"/>
    </row>
    <row r="737" spans="1:7" x14ac:dyDescent="0.25">
      <c r="A737" s="102"/>
      <c r="B737" s="200"/>
      <c r="C737" s="201"/>
      <c r="D737" s="202"/>
      <c r="E737" s="202"/>
      <c r="F737" s="203"/>
      <c r="G737" s="204"/>
    </row>
    <row r="738" spans="1:7" x14ac:dyDescent="0.25">
      <c r="A738" s="102"/>
      <c r="B738" s="200"/>
      <c r="C738" s="201"/>
      <c r="D738" s="202"/>
      <c r="E738" s="202"/>
      <c r="F738" s="203"/>
      <c r="G738" s="204"/>
    </row>
    <row r="739" spans="1:7" x14ac:dyDescent="0.25">
      <c r="A739" s="102"/>
      <c r="B739" s="200"/>
      <c r="C739" s="201"/>
      <c r="D739" s="202"/>
      <c r="E739" s="202"/>
      <c r="F739" s="203"/>
      <c r="G739" s="204"/>
    </row>
    <row r="740" spans="1:7" x14ac:dyDescent="0.25">
      <c r="A740" s="102"/>
      <c r="B740" s="200"/>
      <c r="C740" s="201"/>
      <c r="D740" s="202"/>
      <c r="E740" s="202"/>
      <c r="F740" s="203"/>
      <c r="G740" s="204"/>
    </row>
    <row r="741" spans="1:7" x14ac:dyDescent="0.25">
      <c r="A741" s="102"/>
      <c r="B741" s="200"/>
      <c r="C741" s="201"/>
      <c r="D741" s="202"/>
      <c r="E741" s="202"/>
      <c r="F741" s="203"/>
      <c r="G741" s="204"/>
    </row>
    <row r="742" spans="1:7" x14ac:dyDescent="0.25">
      <c r="A742" s="102"/>
      <c r="B742" s="200"/>
      <c r="C742" s="201"/>
      <c r="D742" s="202"/>
      <c r="E742" s="202"/>
      <c r="F742" s="203"/>
      <c r="G742" s="204"/>
    </row>
    <row r="743" spans="1:7" x14ac:dyDescent="0.25">
      <c r="A743" s="102"/>
      <c r="B743" s="200"/>
      <c r="C743" s="201"/>
      <c r="D743" s="202"/>
      <c r="E743" s="202"/>
      <c r="F743" s="203"/>
      <c r="G743" s="204"/>
    </row>
    <row r="744" spans="1:7" x14ac:dyDescent="0.25">
      <c r="A744" s="102"/>
      <c r="B744" s="200"/>
      <c r="C744" s="201"/>
      <c r="D744" s="202"/>
      <c r="E744" s="202"/>
      <c r="F744" s="203"/>
      <c r="G744" s="204"/>
    </row>
    <row r="745" spans="1:7" x14ac:dyDescent="0.25">
      <c r="A745" s="102"/>
      <c r="B745" s="200"/>
      <c r="C745" s="201"/>
      <c r="D745" s="202"/>
      <c r="E745" s="202"/>
      <c r="F745" s="203"/>
      <c r="G745" s="204"/>
    </row>
    <row r="746" spans="1:7" x14ac:dyDescent="0.25">
      <c r="A746" s="102"/>
      <c r="B746" s="200"/>
      <c r="C746" s="201"/>
      <c r="D746" s="202"/>
      <c r="E746" s="202"/>
      <c r="F746" s="203"/>
      <c r="G746" s="204"/>
    </row>
    <row r="747" spans="1:7" x14ac:dyDescent="0.25">
      <c r="A747" s="102"/>
      <c r="B747" s="200"/>
      <c r="C747" s="201"/>
      <c r="D747" s="202"/>
      <c r="E747" s="202"/>
      <c r="F747" s="203"/>
      <c r="G747" s="204"/>
    </row>
    <row r="748" spans="1:7" x14ac:dyDescent="0.25">
      <c r="A748" s="102"/>
      <c r="B748" s="200"/>
      <c r="C748" s="201"/>
      <c r="D748" s="202"/>
      <c r="E748" s="202"/>
      <c r="F748" s="203"/>
      <c r="G748" s="204"/>
    </row>
    <row r="749" spans="1:7" x14ac:dyDescent="0.25">
      <c r="A749" s="102"/>
      <c r="B749" s="200"/>
      <c r="C749" s="201"/>
      <c r="D749" s="202"/>
      <c r="E749" s="202"/>
      <c r="F749" s="203"/>
      <c r="G749" s="204"/>
    </row>
    <row r="750" spans="1:7" x14ac:dyDescent="0.25">
      <c r="A750" s="102"/>
      <c r="B750" s="200"/>
      <c r="C750" s="201"/>
      <c r="D750" s="202"/>
      <c r="E750" s="202"/>
      <c r="F750" s="203"/>
      <c r="G750" s="204"/>
    </row>
    <row r="751" spans="1:7" x14ac:dyDescent="0.25">
      <c r="A751" s="102"/>
      <c r="B751" s="200"/>
      <c r="C751" s="201"/>
      <c r="D751" s="202"/>
      <c r="E751" s="202"/>
      <c r="F751" s="203"/>
      <c r="G751" s="204"/>
    </row>
    <row r="752" spans="1:7" x14ac:dyDescent="0.25">
      <c r="A752" s="102"/>
      <c r="B752" s="200"/>
      <c r="C752" s="201"/>
      <c r="D752" s="202"/>
      <c r="E752" s="202"/>
      <c r="F752" s="203"/>
      <c r="G752" s="204"/>
    </row>
    <row r="753" spans="1:7" x14ac:dyDescent="0.25">
      <c r="A753" s="102"/>
      <c r="B753" s="200"/>
      <c r="C753" s="201"/>
      <c r="D753" s="202"/>
      <c r="E753" s="202"/>
      <c r="F753" s="203"/>
      <c r="G753" s="204"/>
    </row>
    <row r="754" spans="1:7" x14ac:dyDescent="0.25">
      <c r="A754" s="102"/>
      <c r="B754" s="200"/>
      <c r="C754" s="201"/>
      <c r="D754" s="202"/>
      <c r="E754" s="202"/>
      <c r="F754" s="203"/>
      <c r="G754" s="204"/>
    </row>
    <row r="755" spans="1:7" x14ac:dyDescent="0.25">
      <c r="A755" s="102"/>
      <c r="B755" s="200"/>
      <c r="C755" s="201"/>
      <c r="D755" s="202"/>
      <c r="E755" s="202"/>
      <c r="F755" s="203"/>
      <c r="G755" s="204"/>
    </row>
    <row r="756" spans="1:7" x14ac:dyDescent="0.25">
      <c r="A756" s="102"/>
      <c r="B756" s="200"/>
      <c r="C756" s="201"/>
      <c r="D756" s="202"/>
      <c r="E756" s="202"/>
      <c r="F756" s="203"/>
      <c r="G756" s="204"/>
    </row>
    <row r="757" spans="1:7" x14ac:dyDescent="0.25">
      <c r="A757" s="102"/>
      <c r="B757" s="200"/>
      <c r="C757" s="201"/>
      <c r="D757" s="202"/>
      <c r="E757" s="202"/>
      <c r="F757" s="203"/>
      <c r="G757" s="204"/>
    </row>
    <row r="758" spans="1:7" x14ac:dyDescent="0.25">
      <c r="A758" s="102"/>
      <c r="B758" s="200"/>
      <c r="C758" s="201"/>
      <c r="D758" s="202"/>
      <c r="E758" s="202"/>
      <c r="F758" s="203"/>
      <c r="G758" s="204"/>
    </row>
    <row r="759" spans="1:7" x14ac:dyDescent="0.25">
      <c r="A759" s="102"/>
      <c r="B759" s="200"/>
      <c r="C759" s="201"/>
      <c r="D759" s="202"/>
      <c r="E759" s="202"/>
      <c r="F759" s="203"/>
      <c r="G759" s="204"/>
    </row>
    <row r="760" spans="1:7" x14ac:dyDescent="0.25">
      <c r="A760" s="102"/>
      <c r="B760" s="200"/>
      <c r="C760" s="201"/>
      <c r="D760" s="202"/>
      <c r="E760" s="202"/>
      <c r="F760" s="203"/>
      <c r="G760" s="204"/>
    </row>
    <row r="761" spans="1:7" x14ac:dyDescent="0.25">
      <c r="A761" s="102"/>
      <c r="B761" s="200"/>
      <c r="C761" s="201"/>
      <c r="D761" s="202"/>
      <c r="E761" s="202"/>
      <c r="F761" s="203"/>
      <c r="G761" s="204"/>
    </row>
    <row r="762" spans="1:7" x14ac:dyDescent="0.25">
      <c r="A762" s="102"/>
      <c r="B762" s="200"/>
      <c r="C762" s="201"/>
      <c r="D762" s="202"/>
      <c r="E762" s="202"/>
      <c r="F762" s="203"/>
      <c r="G762" s="204"/>
    </row>
    <row r="763" spans="1:7" x14ac:dyDescent="0.25">
      <c r="A763" s="102"/>
      <c r="B763" s="200"/>
      <c r="C763" s="201"/>
      <c r="D763" s="202"/>
      <c r="E763" s="202"/>
      <c r="F763" s="203"/>
      <c r="G763" s="204"/>
    </row>
    <row r="764" spans="1:7" x14ac:dyDescent="0.25">
      <c r="A764" s="102"/>
      <c r="B764" s="200"/>
      <c r="C764" s="201"/>
      <c r="D764" s="202"/>
      <c r="E764" s="202"/>
      <c r="F764" s="203"/>
      <c r="G764" s="204"/>
    </row>
    <row r="765" spans="1:7" x14ac:dyDescent="0.25">
      <c r="A765" s="102"/>
      <c r="B765" s="200"/>
      <c r="C765" s="201"/>
      <c r="D765" s="202"/>
      <c r="E765" s="202"/>
      <c r="F765" s="203"/>
      <c r="G765" s="204"/>
    </row>
    <row r="766" spans="1:7" x14ac:dyDescent="0.25">
      <c r="A766" s="102"/>
      <c r="B766" s="200"/>
      <c r="C766" s="201"/>
      <c r="D766" s="202"/>
      <c r="E766" s="202"/>
      <c r="F766" s="203"/>
      <c r="G766" s="204"/>
    </row>
    <row r="767" spans="1:7" x14ac:dyDescent="0.25">
      <c r="A767" s="102"/>
      <c r="B767" s="200"/>
      <c r="C767" s="201"/>
      <c r="D767" s="202"/>
      <c r="E767" s="202"/>
      <c r="F767" s="203"/>
      <c r="G767" s="204"/>
    </row>
    <row r="768" spans="1:7" x14ac:dyDescent="0.25">
      <c r="A768" s="102"/>
      <c r="B768" s="200"/>
      <c r="C768" s="201"/>
      <c r="D768" s="202"/>
      <c r="E768" s="202"/>
      <c r="F768" s="203"/>
      <c r="G768" s="204"/>
    </row>
    <row r="769" spans="1:7" x14ac:dyDescent="0.25">
      <c r="A769" s="102"/>
      <c r="B769" s="200"/>
      <c r="C769" s="201"/>
      <c r="D769" s="202"/>
      <c r="E769" s="202"/>
      <c r="F769" s="203"/>
      <c r="G769" s="204"/>
    </row>
    <row r="770" spans="1:7" x14ac:dyDescent="0.25">
      <c r="A770" s="102"/>
      <c r="B770" s="200"/>
      <c r="C770" s="201"/>
      <c r="D770" s="202"/>
      <c r="E770" s="202"/>
      <c r="F770" s="203"/>
      <c r="G770" s="204"/>
    </row>
    <row r="771" spans="1:7" x14ac:dyDescent="0.25">
      <c r="A771" s="102"/>
      <c r="B771" s="200"/>
      <c r="C771" s="201"/>
      <c r="D771" s="202"/>
      <c r="E771" s="202"/>
      <c r="F771" s="203"/>
      <c r="G771" s="204"/>
    </row>
    <row r="772" spans="1:7" x14ac:dyDescent="0.25">
      <c r="A772" s="102"/>
      <c r="B772" s="200"/>
      <c r="C772" s="201"/>
      <c r="D772" s="202"/>
      <c r="E772" s="202"/>
      <c r="F772" s="203"/>
      <c r="G772" s="204"/>
    </row>
    <row r="773" spans="1:7" x14ac:dyDescent="0.25">
      <c r="A773" s="102"/>
      <c r="B773" s="200"/>
      <c r="C773" s="201"/>
      <c r="D773" s="202"/>
      <c r="E773" s="202"/>
      <c r="F773" s="203"/>
      <c r="G773" s="204"/>
    </row>
    <row r="774" spans="1:7" x14ac:dyDescent="0.25">
      <c r="A774" s="102"/>
      <c r="B774" s="200"/>
      <c r="C774" s="201"/>
      <c r="D774" s="202"/>
      <c r="E774" s="202"/>
      <c r="F774" s="203"/>
      <c r="G774" s="204"/>
    </row>
    <row r="775" spans="1:7" x14ac:dyDescent="0.25">
      <c r="A775" s="102"/>
      <c r="B775" s="200"/>
      <c r="C775" s="201"/>
      <c r="D775" s="202"/>
      <c r="E775" s="202"/>
      <c r="F775" s="203"/>
      <c r="G775" s="204"/>
    </row>
    <row r="776" spans="1:7" x14ac:dyDescent="0.25">
      <c r="A776" s="102"/>
      <c r="B776" s="200"/>
      <c r="C776" s="201"/>
      <c r="D776" s="202"/>
      <c r="E776" s="202"/>
      <c r="F776" s="203"/>
      <c r="G776" s="204"/>
    </row>
    <row r="777" spans="1:7" x14ac:dyDescent="0.25">
      <c r="A777" s="102"/>
      <c r="B777" s="200"/>
      <c r="C777" s="201"/>
      <c r="D777" s="202"/>
      <c r="E777" s="202"/>
      <c r="F777" s="203"/>
      <c r="G777" s="204"/>
    </row>
    <row r="778" spans="1:7" x14ac:dyDescent="0.25">
      <c r="A778" s="102"/>
      <c r="B778" s="200"/>
      <c r="C778" s="201"/>
      <c r="D778" s="202"/>
      <c r="E778" s="202"/>
      <c r="F778" s="203"/>
      <c r="G778" s="204"/>
    </row>
    <row r="779" spans="1:7" x14ac:dyDescent="0.25">
      <c r="A779" s="102"/>
      <c r="B779" s="200"/>
      <c r="C779" s="201"/>
      <c r="D779" s="202"/>
      <c r="E779" s="202"/>
      <c r="F779" s="203"/>
      <c r="G779" s="204"/>
    </row>
    <row r="780" spans="1:7" x14ac:dyDescent="0.25">
      <c r="A780" s="102"/>
      <c r="B780" s="200"/>
      <c r="C780" s="201"/>
      <c r="D780" s="202"/>
      <c r="E780" s="202"/>
      <c r="F780" s="203"/>
      <c r="G780" s="204"/>
    </row>
    <row r="781" spans="1:7" x14ac:dyDescent="0.25">
      <c r="A781" s="102"/>
      <c r="B781" s="200"/>
      <c r="C781" s="201"/>
      <c r="D781" s="202"/>
      <c r="E781" s="202"/>
      <c r="F781" s="203"/>
      <c r="G781" s="204"/>
    </row>
    <row r="782" spans="1:7" x14ac:dyDescent="0.25">
      <c r="A782" s="102"/>
      <c r="B782" s="200"/>
      <c r="C782" s="201"/>
      <c r="D782" s="202"/>
      <c r="E782" s="202"/>
      <c r="F782" s="203"/>
      <c r="G782" s="204"/>
    </row>
    <row r="783" spans="1:7" x14ac:dyDescent="0.25">
      <c r="A783" s="102"/>
      <c r="B783" s="200"/>
      <c r="C783" s="201"/>
      <c r="D783" s="202"/>
      <c r="E783" s="202"/>
      <c r="F783" s="203"/>
      <c r="G783" s="204"/>
    </row>
    <row r="784" spans="1:7" x14ac:dyDescent="0.25">
      <c r="A784" s="102"/>
      <c r="B784" s="200"/>
      <c r="C784" s="201"/>
      <c r="D784" s="202"/>
      <c r="E784" s="202"/>
      <c r="F784" s="203"/>
      <c r="G784" s="204"/>
    </row>
    <row r="785" spans="1:7" x14ac:dyDescent="0.25">
      <c r="A785" s="102"/>
      <c r="B785" s="200"/>
      <c r="C785" s="201"/>
      <c r="D785" s="202"/>
      <c r="E785" s="202"/>
      <c r="F785" s="203"/>
      <c r="G785" s="204"/>
    </row>
    <row r="786" spans="1:7" x14ac:dyDescent="0.25">
      <c r="A786" s="102"/>
      <c r="B786" s="200"/>
      <c r="C786" s="201"/>
      <c r="D786" s="202"/>
      <c r="E786" s="202"/>
      <c r="F786" s="203"/>
      <c r="G786" s="204"/>
    </row>
    <row r="787" spans="1:7" x14ac:dyDescent="0.25">
      <c r="A787" s="102"/>
      <c r="B787" s="200"/>
      <c r="C787" s="201"/>
      <c r="D787" s="202"/>
      <c r="E787" s="202"/>
      <c r="F787" s="203"/>
      <c r="G787" s="204"/>
    </row>
    <row r="788" spans="1:7" x14ac:dyDescent="0.25">
      <c r="A788" s="102"/>
      <c r="B788" s="200"/>
      <c r="C788" s="201"/>
      <c r="D788" s="202"/>
      <c r="E788" s="202"/>
      <c r="F788" s="203"/>
      <c r="G788" s="204"/>
    </row>
    <row r="789" spans="1:7" x14ac:dyDescent="0.25">
      <c r="A789" s="102"/>
      <c r="B789" s="200"/>
      <c r="C789" s="201"/>
      <c r="D789" s="202"/>
      <c r="E789" s="202"/>
      <c r="F789" s="203"/>
      <c r="G789" s="204"/>
    </row>
    <row r="790" spans="1:7" x14ac:dyDescent="0.25">
      <c r="A790" s="102"/>
      <c r="B790" s="200"/>
      <c r="C790" s="201"/>
      <c r="D790" s="202"/>
      <c r="E790" s="202"/>
      <c r="F790" s="203"/>
      <c r="G790" s="204"/>
    </row>
    <row r="791" spans="1:7" x14ac:dyDescent="0.25">
      <c r="A791" s="102"/>
      <c r="B791" s="200"/>
      <c r="C791" s="201"/>
      <c r="D791" s="202"/>
      <c r="E791" s="202"/>
      <c r="F791" s="203"/>
      <c r="G791" s="204"/>
    </row>
    <row r="792" spans="1:7" x14ac:dyDescent="0.25">
      <c r="A792" s="102"/>
      <c r="B792" s="200"/>
      <c r="C792" s="201"/>
      <c r="D792" s="202"/>
      <c r="E792" s="202"/>
      <c r="F792" s="203"/>
      <c r="G792" s="204"/>
    </row>
    <row r="793" spans="1:7" x14ac:dyDescent="0.25">
      <c r="A793" s="102"/>
      <c r="B793" s="200"/>
      <c r="C793" s="201"/>
      <c r="D793" s="202"/>
      <c r="E793" s="202"/>
      <c r="F793" s="203"/>
      <c r="G793" s="204"/>
    </row>
    <row r="794" spans="1:7" x14ac:dyDescent="0.25">
      <c r="A794" s="102"/>
      <c r="B794" s="200"/>
      <c r="C794" s="201"/>
      <c r="D794" s="202"/>
      <c r="E794" s="202"/>
      <c r="F794" s="203"/>
      <c r="G794" s="204"/>
    </row>
    <row r="795" spans="1:7" x14ac:dyDescent="0.25">
      <c r="A795" s="102"/>
      <c r="B795" s="200"/>
      <c r="C795" s="201"/>
      <c r="D795" s="202"/>
      <c r="E795" s="202"/>
      <c r="F795" s="203"/>
      <c r="G795" s="204"/>
    </row>
    <row r="796" spans="1:7" x14ac:dyDescent="0.25">
      <c r="A796" s="102"/>
      <c r="B796" s="200"/>
      <c r="C796" s="201"/>
      <c r="D796" s="202"/>
      <c r="E796" s="202"/>
      <c r="F796" s="203"/>
      <c r="G796" s="204"/>
    </row>
    <row r="797" spans="1:7" x14ac:dyDescent="0.25">
      <c r="A797" s="102"/>
      <c r="B797" s="200"/>
      <c r="C797" s="201"/>
      <c r="D797" s="202"/>
      <c r="E797" s="202"/>
      <c r="F797" s="203"/>
      <c r="G797" s="204"/>
    </row>
    <row r="798" spans="1:7" x14ac:dyDescent="0.25">
      <c r="A798" s="102"/>
      <c r="B798" s="200"/>
      <c r="C798" s="201"/>
      <c r="D798" s="202"/>
      <c r="E798" s="202"/>
      <c r="F798" s="203"/>
      <c r="G798" s="204"/>
    </row>
    <row r="799" spans="1:7" x14ac:dyDescent="0.25">
      <c r="A799" s="102"/>
      <c r="B799" s="200"/>
      <c r="C799" s="201"/>
      <c r="D799" s="202"/>
      <c r="E799" s="202"/>
      <c r="F799" s="203"/>
      <c r="G799" s="204"/>
    </row>
    <row r="800" spans="1:7" x14ac:dyDescent="0.25">
      <c r="A800" s="102"/>
      <c r="B800" s="200"/>
      <c r="C800" s="201"/>
      <c r="D800" s="202"/>
      <c r="E800" s="202"/>
      <c r="F800" s="203"/>
      <c r="G800" s="204"/>
    </row>
    <row r="801" spans="1:7" x14ac:dyDescent="0.25">
      <c r="A801" s="102"/>
      <c r="B801" s="200"/>
      <c r="C801" s="201"/>
      <c r="D801" s="202"/>
      <c r="E801" s="202"/>
      <c r="F801" s="203"/>
      <c r="G801" s="204"/>
    </row>
    <row r="802" spans="1:7" x14ac:dyDescent="0.25">
      <c r="A802" s="102"/>
      <c r="B802" s="200"/>
      <c r="C802" s="201"/>
      <c r="D802" s="202"/>
      <c r="E802" s="202"/>
      <c r="F802" s="203"/>
      <c r="G802" s="204"/>
    </row>
    <row r="803" spans="1:7" x14ac:dyDescent="0.25">
      <c r="A803" s="102"/>
      <c r="B803" s="200"/>
      <c r="C803" s="201"/>
      <c r="D803" s="202"/>
      <c r="E803" s="202"/>
      <c r="F803" s="203"/>
      <c r="G803" s="204"/>
    </row>
    <row r="804" spans="1:7" x14ac:dyDescent="0.25">
      <c r="A804" s="102"/>
      <c r="B804" s="200"/>
      <c r="C804" s="201"/>
      <c r="D804" s="202"/>
      <c r="E804" s="202"/>
      <c r="F804" s="203"/>
      <c r="G804" s="204"/>
    </row>
    <row r="805" spans="1:7" x14ac:dyDescent="0.25">
      <c r="A805" s="102"/>
      <c r="B805" s="200"/>
      <c r="C805" s="201"/>
      <c r="D805" s="202"/>
      <c r="E805" s="202"/>
      <c r="F805" s="203"/>
      <c r="G805" s="204"/>
    </row>
    <row r="806" spans="1:7" x14ac:dyDescent="0.25">
      <c r="A806" s="102"/>
      <c r="B806" s="200"/>
      <c r="C806" s="201"/>
      <c r="D806" s="202"/>
      <c r="E806" s="202"/>
      <c r="F806" s="203"/>
      <c r="G806" s="204"/>
    </row>
    <row r="807" spans="1:7" x14ac:dyDescent="0.25">
      <c r="A807" s="102"/>
      <c r="B807" s="200"/>
      <c r="C807" s="201"/>
      <c r="D807" s="202"/>
      <c r="E807" s="202"/>
      <c r="F807" s="203"/>
      <c r="G807" s="204"/>
    </row>
    <row r="808" spans="1:7" x14ac:dyDescent="0.25">
      <c r="A808" s="102"/>
      <c r="B808" s="200"/>
      <c r="C808" s="201"/>
      <c r="D808" s="202"/>
      <c r="E808" s="202"/>
      <c r="F808" s="203"/>
      <c r="G808" s="204"/>
    </row>
    <row r="809" spans="1:7" x14ac:dyDescent="0.25">
      <c r="A809" s="102"/>
      <c r="B809" s="200"/>
      <c r="C809" s="201"/>
      <c r="D809" s="202"/>
      <c r="E809" s="202"/>
      <c r="F809" s="203"/>
      <c r="G809" s="204"/>
    </row>
    <row r="810" spans="1:7" x14ac:dyDescent="0.25">
      <c r="A810" s="102"/>
      <c r="B810" s="200"/>
      <c r="C810" s="201"/>
      <c r="D810" s="202"/>
      <c r="E810" s="202"/>
      <c r="F810" s="203"/>
      <c r="G810" s="204"/>
    </row>
    <row r="811" spans="1:7" x14ac:dyDescent="0.25">
      <c r="A811" s="102"/>
      <c r="B811" s="200"/>
      <c r="C811" s="201"/>
      <c r="D811" s="202"/>
      <c r="E811" s="202"/>
      <c r="F811" s="203"/>
      <c r="G811" s="204"/>
    </row>
    <row r="812" spans="1:7" x14ac:dyDescent="0.25">
      <c r="A812" s="102"/>
      <c r="B812" s="200"/>
      <c r="C812" s="201"/>
      <c r="D812" s="202"/>
      <c r="E812" s="202"/>
      <c r="F812" s="203"/>
      <c r="G812" s="204"/>
    </row>
    <row r="813" spans="1:7" x14ac:dyDescent="0.25">
      <c r="A813" s="102"/>
      <c r="B813" s="200"/>
      <c r="C813" s="201"/>
      <c r="D813" s="202"/>
      <c r="E813" s="202"/>
      <c r="F813" s="203"/>
      <c r="G813" s="204"/>
    </row>
    <row r="814" spans="1:7" x14ac:dyDescent="0.25">
      <c r="A814" s="102"/>
      <c r="B814" s="200"/>
      <c r="C814" s="201"/>
      <c r="D814" s="202"/>
      <c r="E814" s="202"/>
      <c r="F814" s="203"/>
      <c r="G814" s="204"/>
    </row>
    <row r="815" spans="1:7" x14ac:dyDescent="0.25">
      <c r="A815" s="102"/>
      <c r="B815" s="200"/>
      <c r="C815" s="201"/>
      <c r="D815" s="202"/>
      <c r="E815" s="202"/>
      <c r="F815" s="203"/>
      <c r="G815" s="204"/>
    </row>
    <row r="816" spans="1:7" x14ac:dyDescent="0.25">
      <c r="A816" s="102"/>
      <c r="B816" s="200"/>
      <c r="C816" s="201"/>
      <c r="D816" s="202"/>
      <c r="E816" s="202"/>
      <c r="F816" s="203"/>
      <c r="G816" s="204"/>
    </row>
    <row r="817" spans="1:7" x14ac:dyDescent="0.25">
      <c r="A817" s="102"/>
      <c r="B817" s="200"/>
      <c r="C817" s="201"/>
      <c r="D817" s="202"/>
      <c r="E817" s="202"/>
      <c r="F817" s="203"/>
      <c r="G817" s="204"/>
    </row>
    <row r="818" spans="1:7" x14ac:dyDescent="0.25">
      <c r="A818" s="102"/>
      <c r="B818" s="200"/>
      <c r="C818" s="201"/>
      <c r="D818" s="202"/>
      <c r="E818" s="202"/>
      <c r="F818" s="203"/>
      <c r="G818" s="204"/>
    </row>
    <row r="819" spans="1:7" x14ac:dyDescent="0.25">
      <c r="A819" s="102"/>
      <c r="B819" s="200"/>
      <c r="C819" s="201"/>
      <c r="D819" s="202"/>
      <c r="E819" s="202"/>
      <c r="F819" s="203"/>
      <c r="G819" s="204"/>
    </row>
    <row r="820" spans="1:7" x14ac:dyDescent="0.25">
      <c r="A820" s="102"/>
      <c r="B820" s="200"/>
      <c r="C820" s="201"/>
      <c r="D820" s="202"/>
      <c r="E820" s="202"/>
      <c r="F820" s="203"/>
      <c r="G820" s="204"/>
    </row>
    <row r="821" spans="1:7" x14ac:dyDescent="0.25">
      <c r="A821" s="102"/>
      <c r="B821" s="200"/>
      <c r="C821" s="201"/>
      <c r="D821" s="202"/>
      <c r="E821" s="202"/>
      <c r="F821" s="203"/>
      <c r="G821" s="204"/>
    </row>
    <row r="822" spans="1:7" x14ac:dyDescent="0.25">
      <c r="A822" s="102"/>
      <c r="B822" s="200"/>
      <c r="C822" s="201"/>
      <c r="D822" s="202"/>
      <c r="E822" s="202"/>
      <c r="F822" s="203"/>
      <c r="G822" s="204"/>
    </row>
    <row r="823" spans="1:7" x14ac:dyDescent="0.25">
      <c r="A823" s="102"/>
      <c r="B823" s="200"/>
      <c r="C823" s="201"/>
      <c r="D823" s="202"/>
      <c r="E823" s="202"/>
      <c r="F823" s="203"/>
      <c r="G823" s="204"/>
    </row>
    <row r="824" spans="1:7" x14ac:dyDescent="0.25">
      <c r="A824" s="102"/>
      <c r="B824" s="200"/>
      <c r="C824" s="201"/>
      <c r="D824" s="202"/>
      <c r="E824" s="202"/>
      <c r="F824" s="203"/>
      <c r="G824" s="204"/>
    </row>
    <row r="825" spans="1:7" x14ac:dyDescent="0.25">
      <c r="A825" s="102"/>
      <c r="B825" s="200"/>
      <c r="C825" s="201"/>
      <c r="D825" s="202"/>
      <c r="E825" s="202"/>
      <c r="F825" s="203"/>
      <c r="G825" s="204"/>
    </row>
    <row r="826" spans="1:7" x14ac:dyDescent="0.25">
      <c r="A826" s="102"/>
      <c r="B826" s="200"/>
      <c r="C826" s="201"/>
      <c r="D826" s="202"/>
      <c r="E826" s="202"/>
      <c r="F826" s="203"/>
      <c r="G826" s="204"/>
    </row>
    <row r="827" spans="1:7" x14ac:dyDescent="0.25">
      <c r="A827" s="102"/>
      <c r="B827" s="200"/>
      <c r="C827" s="201"/>
      <c r="D827" s="202"/>
      <c r="E827" s="202"/>
      <c r="F827" s="203"/>
      <c r="G827" s="204"/>
    </row>
    <row r="828" spans="1:7" x14ac:dyDescent="0.25">
      <c r="A828" s="102"/>
      <c r="B828" s="200"/>
      <c r="C828" s="201"/>
      <c r="D828" s="202"/>
      <c r="E828" s="202"/>
      <c r="F828" s="203"/>
      <c r="G828" s="204"/>
    </row>
    <row r="829" spans="1:7" x14ac:dyDescent="0.25">
      <c r="A829" s="102"/>
      <c r="B829" s="200"/>
      <c r="C829" s="201"/>
      <c r="D829" s="202"/>
      <c r="E829" s="202"/>
      <c r="F829" s="203"/>
      <c r="G829" s="204"/>
    </row>
    <row r="830" spans="1:7" x14ac:dyDescent="0.25">
      <c r="A830" s="102"/>
      <c r="B830" s="200"/>
      <c r="C830" s="201"/>
      <c r="D830" s="202"/>
      <c r="E830" s="202"/>
      <c r="F830" s="203"/>
      <c r="G830" s="204"/>
    </row>
    <row r="831" spans="1:7" x14ac:dyDescent="0.25">
      <c r="A831" s="102"/>
      <c r="B831" s="200"/>
      <c r="C831" s="201"/>
      <c r="D831" s="202"/>
      <c r="E831" s="202"/>
      <c r="F831" s="203"/>
      <c r="G831" s="204"/>
    </row>
    <row r="832" spans="1:7" x14ac:dyDescent="0.25">
      <c r="A832" s="102"/>
      <c r="B832" s="200"/>
      <c r="C832" s="201"/>
      <c r="D832" s="202"/>
      <c r="E832" s="202"/>
      <c r="F832" s="203"/>
      <c r="G832" s="204"/>
    </row>
    <row r="833" spans="1:7" x14ac:dyDescent="0.25">
      <c r="A833" s="102"/>
      <c r="B833" s="200"/>
      <c r="C833" s="201"/>
      <c r="D833" s="202"/>
      <c r="E833" s="202"/>
      <c r="F833" s="203"/>
      <c r="G833" s="204"/>
    </row>
    <row r="834" spans="1:7" x14ac:dyDescent="0.25">
      <c r="A834" s="102"/>
      <c r="B834" s="200"/>
      <c r="C834" s="201"/>
      <c r="D834" s="202"/>
      <c r="E834" s="202"/>
      <c r="F834" s="203"/>
      <c r="G834" s="204"/>
    </row>
    <row r="835" spans="1:7" x14ac:dyDescent="0.25">
      <c r="A835" s="102"/>
      <c r="B835" s="200"/>
      <c r="C835" s="201"/>
      <c r="D835" s="202"/>
      <c r="E835" s="202"/>
      <c r="F835" s="203"/>
      <c r="G835" s="204"/>
    </row>
    <row r="836" spans="1:7" x14ac:dyDescent="0.25">
      <c r="A836" s="102"/>
      <c r="B836" s="200"/>
      <c r="C836" s="201"/>
      <c r="D836" s="202"/>
      <c r="E836" s="202"/>
      <c r="F836" s="203"/>
      <c r="G836" s="204"/>
    </row>
    <row r="837" spans="1:7" x14ac:dyDescent="0.25">
      <c r="A837" s="102"/>
      <c r="B837" s="200"/>
      <c r="C837" s="201"/>
      <c r="D837" s="202"/>
      <c r="E837" s="202"/>
      <c r="F837" s="203"/>
      <c r="G837" s="204"/>
    </row>
    <row r="838" spans="1:7" x14ac:dyDescent="0.25">
      <c r="A838" s="102"/>
      <c r="B838" s="200"/>
      <c r="C838" s="201"/>
      <c r="D838" s="202"/>
      <c r="E838" s="202"/>
      <c r="F838" s="203"/>
      <c r="G838" s="204"/>
    </row>
    <row r="839" spans="1:7" x14ac:dyDescent="0.25">
      <c r="A839" s="102"/>
      <c r="B839" s="200"/>
      <c r="C839" s="201"/>
      <c r="D839" s="202"/>
      <c r="E839" s="202"/>
      <c r="F839" s="203"/>
      <c r="G839" s="204"/>
    </row>
    <row r="840" spans="1:7" x14ac:dyDescent="0.25">
      <c r="A840" s="102"/>
      <c r="B840" s="200"/>
      <c r="C840" s="201"/>
      <c r="D840" s="202"/>
      <c r="E840" s="202"/>
      <c r="F840" s="203"/>
      <c r="G840" s="204"/>
    </row>
    <row r="841" spans="1:7" x14ac:dyDescent="0.25">
      <c r="A841" s="102"/>
      <c r="B841" s="200"/>
      <c r="C841" s="201"/>
      <c r="D841" s="202"/>
      <c r="E841" s="202"/>
      <c r="F841" s="203"/>
      <c r="G841" s="204"/>
    </row>
    <row r="842" spans="1:7" x14ac:dyDescent="0.25">
      <c r="A842" s="102"/>
      <c r="B842" s="200"/>
      <c r="C842" s="201"/>
      <c r="D842" s="202"/>
      <c r="E842" s="202"/>
      <c r="F842" s="203"/>
      <c r="G842" s="204"/>
    </row>
    <row r="843" spans="1:7" x14ac:dyDescent="0.25">
      <c r="A843" s="102"/>
      <c r="B843" s="200"/>
      <c r="C843" s="201"/>
      <c r="D843" s="202"/>
      <c r="E843" s="202"/>
      <c r="F843" s="203"/>
      <c r="G843" s="204"/>
    </row>
    <row r="844" spans="1:7" x14ac:dyDescent="0.25">
      <c r="A844" s="102"/>
      <c r="B844" s="200"/>
      <c r="C844" s="201"/>
      <c r="D844" s="202"/>
      <c r="E844" s="202"/>
      <c r="F844" s="203"/>
      <c r="G844" s="204"/>
    </row>
    <row r="845" spans="1:7" x14ac:dyDescent="0.25">
      <c r="A845" s="102"/>
      <c r="B845" s="200"/>
      <c r="C845" s="201"/>
      <c r="D845" s="202"/>
      <c r="E845" s="202"/>
      <c r="F845" s="203"/>
      <c r="G845" s="204"/>
    </row>
    <row r="846" spans="1:7" x14ac:dyDescent="0.25">
      <c r="A846" s="102"/>
      <c r="B846" s="200"/>
      <c r="C846" s="201"/>
      <c r="D846" s="202"/>
      <c r="E846" s="202"/>
      <c r="F846" s="203"/>
      <c r="G846" s="204"/>
    </row>
    <row r="847" spans="1:7" x14ac:dyDescent="0.25">
      <c r="A847" s="102"/>
      <c r="B847" s="200"/>
      <c r="C847" s="201"/>
      <c r="D847" s="202"/>
      <c r="E847" s="202"/>
      <c r="F847" s="203"/>
      <c r="G847" s="204"/>
    </row>
    <row r="848" spans="1:7" x14ac:dyDescent="0.25">
      <c r="A848" s="102"/>
      <c r="B848" s="200"/>
      <c r="C848" s="201"/>
      <c r="D848" s="202"/>
      <c r="E848" s="202"/>
      <c r="F848" s="203"/>
      <c r="G848" s="204"/>
    </row>
    <row r="849" spans="1:7" x14ac:dyDescent="0.25">
      <c r="A849" s="102"/>
      <c r="B849" s="200"/>
      <c r="C849" s="201"/>
      <c r="D849" s="202"/>
      <c r="E849" s="202"/>
      <c r="F849" s="203"/>
      <c r="G849" s="204"/>
    </row>
    <row r="850" spans="1:7" x14ac:dyDescent="0.25">
      <c r="A850" s="102"/>
      <c r="B850" s="200"/>
      <c r="C850" s="201"/>
      <c r="D850" s="202"/>
      <c r="E850" s="202"/>
      <c r="F850" s="203"/>
      <c r="G850" s="204"/>
    </row>
    <row r="851" spans="1:7" x14ac:dyDescent="0.25">
      <c r="A851" s="102"/>
      <c r="B851" s="200"/>
      <c r="C851" s="201"/>
      <c r="D851" s="202"/>
      <c r="E851" s="202"/>
      <c r="F851" s="203"/>
      <c r="G851" s="204"/>
    </row>
    <row r="852" spans="1:7" x14ac:dyDescent="0.25">
      <c r="A852" s="102"/>
      <c r="B852" s="200"/>
      <c r="C852" s="201"/>
      <c r="D852" s="202"/>
      <c r="E852" s="202"/>
      <c r="F852" s="203"/>
      <c r="G852" s="204"/>
    </row>
    <row r="853" spans="1:7" x14ac:dyDescent="0.25">
      <c r="A853" s="102"/>
      <c r="B853" s="200"/>
      <c r="C853" s="201"/>
      <c r="D853" s="202"/>
      <c r="E853" s="202"/>
      <c r="F853" s="203"/>
      <c r="G853" s="204"/>
    </row>
    <row r="854" spans="1:7" x14ac:dyDescent="0.25">
      <c r="A854" s="102"/>
      <c r="B854" s="200"/>
      <c r="C854" s="201"/>
      <c r="D854" s="202"/>
      <c r="E854" s="202"/>
      <c r="F854" s="203"/>
      <c r="G854" s="204"/>
    </row>
    <row r="855" spans="1:7" x14ac:dyDescent="0.25">
      <c r="A855" s="102"/>
      <c r="B855" s="200"/>
      <c r="C855" s="201"/>
      <c r="D855" s="202"/>
      <c r="E855" s="202"/>
      <c r="F855" s="203"/>
      <c r="G855" s="204"/>
    </row>
    <row r="856" spans="1:7" x14ac:dyDescent="0.25">
      <c r="A856" s="102"/>
      <c r="B856" s="200"/>
      <c r="C856" s="201"/>
      <c r="D856" s="202"/>
      <c r="E856" s="202"/>
      <c r="F856" s="203"/>
      <c r="G856" s="204"/>
    </row>
    <row r="857" spans="1:7" x14ac:dyDescent="0.25">
      <c r="A857" s="102"/>
      <c r="B857" s="200"/>
      <c r="C857" s="201"/>
      <c r="D857" s="202"/>
      <c r="E857" s="202"/>
      <c r="F857" s="203"/>
      <c r="G857" s="204"/>
    </row>
    <row r="858" spans="1:7" x14ac:dyDescent="0.25">
      <c r="A858" s="102"/>
      <c r="B858" s="200"/>
      <c r="C858" s="201"/>
      <c r="D858" s="202"/>
      <c r="E858" s="202"/>
      <c r="F858" s="203"/>
      <c r="G858" s="204"/>
    </row>
    <row r="859" spans="1:7" x14ac:dyDescent="0.25">
      <c r="A859" s="102"/>
      <c r="B859" s="200"/>
      <c r="C859" s="201"/>
      <c r="D859" s="202"/>
      <c r="E859" s="202"/>
      <c r="F859" s="203"/>
      <c r="G859" s="204"/>
    </row>
    <row r="860" spans="1:7" x14ac:dyDescent="0.25">
      <c r="A860" s="102"/>
      <c r="B860" s="200"/>
      <c r="C860" s="201"/>
      <c r="D860" s="202"/>
      <c r="E860" s="202"/>
      <c r="F860" s="203"/>
      <c r="G860" s="204"/>
    </row>
    <row r="861" spans="1:7" x14ac:dyDescent="0.25">
      <c r="A861" s="102"/>
      <c r="B861" s="200"/>
      <c r="C861" s="201"/>
      <c r="D861" s="202"/>
      <c r="E861" s="202"/>
      <c r="F861" s="203"/>
      <c r="G861" s="204"/>
    </row>
    <row r="862" spans="1:7" x14ac:dyDescent="0.25">
      <c r="A862" s="102"/>
      <c r="B862" s="200"/>
      <c r="C862" s="201"/>
      <c r="D862" s="202"/>
      <c r="E862" s="202"/>
      <c r="F862" s="203"/>
      <c r="G862" s="204"/>
    </row>
    <row r="863" spans="1:7" x14ac:dyDescent="0.25">
      <c r="A863" s="102"/>
      <c r="B863" s="200"/>
      <c r="C863" s="201"/>
      <c r="D863" s="202"/>
      <c r="E863" s="202"/>
      <c r="F863" s="203"/>
      <c r="G863" s="204"/>
    </row>
    <row r="864" spans="1:7" x14ac:dyDescent="0.25">
      <c r="A864" s="102"/>
      <c r="B864" s="200"/>
      <c r="C864" s="201"/>
      <c r="D864" s="202"/>
      <c r="E864" s="202"/>
      <c r="F864" s="203"/>
      <c r="G864" s="204"/>
    </row>
    <row r="865" spans="1:7" x14ac:dyDescent="0.25">
      <c r="A865" s="102"/>
      <c r="B865" s="200"/>
      <c r="C865" s="201"/>
      <c r="D865" s="202"/>
      <c r="E865" s="202"/>
      <c r="F865" s="203"/>
      <c r="G865" s="204"/>
    </row>
    <row r="866" spans="1:7" x14ac:dyDescent="0.25">
      <c r="A866" s="102"/>
      <c r="B866" s="200"/>
      <c r="C866" s="201"/>
      <c r="D866" s="202"/>
      <c r="E866" s="202"/>
      <c r="F866" s="203"/>
      <c r="G866" s="204"/>
    </row>
    <row r="867" spans="1:7" x14ac:dyDescent="0.25">
      <c r="A867" s="102"/>
      <c r="B867" s="200"/>
      <c r="C867" s="201"/>
      <c r="D867" s="202"/>
      <c r="E867" s="202"/>
      <c r="F867" s="203"/>
      <c r="G867" s="204"/>
    </row>
    <row r="868" spans="1:7" x14ac:dyDescent="0.25">
      <c r="A868" s="102"/>
      <c r="B868" s="200"/>
      <c r="C868" s="201"/>
      <c r="D868" s="202"/>
      <c r="E868" s="202"/>
      <c r="F868" s="203"/>
      <c r="G868" s="204"/>
    </row>
    <row r="869" spans="1:7" x14ac:dyDescent="0.25">
      <c r="A869" s="102"/>
      <c r="B869" s="200"/>
      <c r="C869" s="201"/>
      <c r="D869" s="202"/>
      <c r="E869" s="202"/>
      <c r="F869" s="203"/>
      <c r="G869" s="204"/>
    </row>
    <row r="870" spans="1:7" x14ac:dyDescent="0.25">
      <c r="A870" s="102"/>
      <c r="B870" s="200"/>
      <c r="C870" s="201"/>
      <c r="D870" s="202"/>
      <c r="E870" s="202"/>
      <c r="F870" s="203"/>
      <c r="G870" s="204"/>
    </row>
    <row r="871" spans="1:7" x14ac:dyDescent="0.25">
      <c r="A871" s="102"/>
      <c r="B871" s="200"/>
      <c r="C871" s="201"/>
      <c r="D871" s="202"/>
      <c r="E871" s="202"/>
      <c r="F871" s="203"/>
      <c r="G871" s="204"/>
    </row>
  </sheetData>
  <autoFilter ref="A5:G341">
    <sortState ref="A6:G341">
      <sortCondition ref="B5:B340"/>
    </sortState>
  </autoFilter>
  <mergeCells count="8">
    <mergeCell ref="N9:N10"/>
    <mergeCell ref="O9:Q9"/>
    <mergeCell ref="A1:F1"/>
    <mergeCell ref="A2:F2"/>
    <mergeCell ref="I5:I7"/>
    <mergeCell ref="J5:L5"/>
    <mergeCell ref="N5:N6"/>
    <mergeCell ref="O5:Q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983"/>
  <sheetViews>
    <sheetView topLeftCell="F8" zoomScale="110" zoomScaleNormal="110" workbookViewId="0">
      <selection activeCell="N16" sqref="N16"/>
    </sheetView>
  </sheetViews>
  <sheetFormatPr defaultRowHeight="15" x14ac:dyDescent="0.25"/>
  <cols>
    <col min="1" max="1" width="7" customWidth="1"/>
    <col min="2" max="2" width="11.28515625" customWidth="1"/>
    <col min="3" max="3" width="8.42578125" customWidth="1"/>
    <col min="4" max="4" width="13.28515625" customWidth="1"/>
    <col min="5" max="5" width="29.140625" customWidth="1"/>
    <col min="6" max="6" width="7.5703125" customWidth="1"/>
    <col min="7" max="7" width="11.7109375" customWidth="1"/>
    <col min="9" max="9" width="14.7109375" customWidth="1"/>
    <col min="10" max="10" width="16.42578125" bestFit="1" customWidth="1"/>
    <col min="11" max="11" width="15.28515625" customWidth="1"/>
    <col min="12" max="12" width="16.7109375" customWidth="1"/>
    <col min="13" max="13" width="5.140625" customWidth="1"/>
    <col min="14" max="14" width="18.7109375" customWidth="1"/>
    <col min="15" max="15" width="13.85546875" customWidth="1"/>
    <col min="16" max="16" width="15.28515625" customWidth="1"/>
    <col min="17" max="17" width="15.42578125" customWidth="1"/>
    <col min="18" max="18" width="11.5703125" bestFit="1" customWidth="1"/>
    <col min="19" max="19" width="37.28515625" bestFit="1" customWidth="1"/>
    <col min="20" max="20" width="16.28515625" bestFit="1" customWidth="1"/>
    <col min="21" max="22" width="5.140625" bestFit="1" customWidth="1"/>
    <col min="23" max="23" width="11.42578125" bestFit="1" customWidth="1"/>
  </cols>
  <sheetData>
    <row r="1" spans="1:18" ht="15.75" x14ac:dyDescent="0.25">
      <c r="A1" s="94" t="s">
        <v>1707</v>
      </c>
      <c r="B1" s="94"/>
      <c r="C1" s="94"/>
      <c r="D1" s="94"/>
      <c r="E1" s="94"/>
      <c r="F1" s="94"/>
    </row>
    <row r="2" spans="1:18" x14ac:dyDescent="0.25">
      <c r="A2" s="98" t="s">
        <v>1688</v>
      </c>
      <c r="B2" s="98"/>
      <c r="C2" s="98"/>
      <c r="D2" s="98"/>
      <c r="E2" s="98"/>
      <c r="F2" s="98"/>
    </row>
    <row r="4" spans="1:18" x14ac:dyDescent="0.25">
      <c r="A4" s="46"/>
    </row>
    <row r="5" spans="1:18" ht="30" x14ac:dyDescent="0.25">
      <c r="A5" s="106" t="s">
        <v>0</v>
      </c>
      <c r="B5" s="107" t="s">
        <v>2</v>
      </c>
      <c r="C5" s="107" t="s">
        <v>751</v>
      </c>
      <c r="D5" s="106" t="s">
        <v>4</v>
      </c>
      <c r="E5" s="106" t="s">
        <v>5</v>
      </c>
      <c r="F5" s="106" t="s">
        <v>752</v>
      </c>
      <c r="G5" s="109" t="s">
        <v>754</v>
      </c>
      <c r="I5" s="176" t="s">
        <v>1689</v>
      </c>
      <c r="J5" s="177" t="s">
        <v>751</v>
      </c>
      <c r="K5" s="178"/>
      <c r="L5" s="179"/>
      <c r="N5" s="176" t="s">
        <v>1690</v>
      </c>
      <c r="O5" s="205" t="s">
        <v>757</v>
      </c>
      <c r="P5" s="205"/>
      <c r="Q5" s="205"/>
    </row>
    <row r="6" spans="1:18" x14ac:dyDescent="0.25">
      <c r="A6" s="197">
        <v>1</v>
      </c>
      <c r="B6" s="116">
        <v>45334</v>
      </c>
      <c r="C6" s="117">
        <v>2024</v>
      </c>
      <c r="D6" s="118" t="s">
        <v>851</v>
      </c>
      <c r="E6" s="119" t="s">
        <v>290</v>
      </c>
      <c r="F6" s="120">
        <v>2</v>
      </c>
      <c r="G6" s="121">
        <v>500</v>
      </c>
      <c r="I6" s="182"/>
      <c r="J6" s="183">
        <v>2024</v>
      </c>
      <c r="K6" s="183">
        <v>2025</v>
      </c>
      <c r="L6" s="183">
        <v>2026</v>
      </c>
      <c r="N6" s="184"/>
      <c r="O6" s="183">
        <v>2024</v>
      </c>
      <c r="P6" s="183">
        <v>2025</v>
      </c>
      <c r="Q6" s="183">
        <v>2026</v>
      </c>
    </row>
    <row r="7" spans="1:18" x14ac:dyDescent="0.25">
      <c r="A7" s="197">
        <v>2</v>
      </c>
      <c r="B7" s="116">
        <v>45334</v>
      </c>
      <c r="C7" s="117">
        <v>2024</v>
      </c>
      <c r="D7" s="118" t="s">
        <v>851</v>
      </c>
      <c r="E7" s="119" t="s">
        <v>290</v>
      </c>
      <c r="F7" s="120">
        <v>29</v>
      </c>
      <c r="G7" s="121">
        <v>433000</v>
      </c>
      <c r="I7" s="184"/>
      <c r="J7" s="128">
        <v>122949938</v>
      </c>
      <c r="K7" s="128">
        <v>243269649</v>
      </c>
      <c r="L7" s="128">
        <v>133018684</v>
      </c>
      <c r="N7" s="18" t="s">
        <v>763</v>
      </c>
      <c r="O7" s="128">
        <v>111000000</v>
      </c>
      <c r="P7" s="128">
        <v>208680000</v>
      </c>
      <c r="Q7" s="128">
        <v>104340000</v>
      </c>
    </row>
    <row r="8" spans="1:18" x14ac:dyDescent="0.25">
      <c r="A8" s="197">
        <v>3</v>
      </c>
      <c r="B8" s="116">
        <v>45334</v>
      </c>
      <c r="C8" s="117">
        <v>2024</v>
      </c>
      <c r="D8" s="118" t="s">
        <v>851</v>
      </c>
      <c r="E8" s="119" t="s">
        <v>299</v>
      </c>
      <c r="F8" s="120">
        <v>30</v>
      </c>
      <c r="G8" s="121">
        <v>165000</v>
      </c>
      <c r="O8" s="163"/>
      <c r="P8" s="207"/>
      <c r="Q8" s="207"/>
      <c r="R8" s="207"/>
    </row>
    <row r="9" spans="1:18" x14ac:dyDescent="0.25">
      <c r="A9" s="197">
        <v>4</v>
      </c>
      <c r="B9" s="116">
        <v>45334</v>
      </c>
      <c r="C9" s="117">
        <v>2024</v>
      </c>
      <c r="D9" s="118" t="s">
        <v>851</v>
      </c>
      <c r="E9" s="119" t="s">
        <v>299</v>
      </c>
      <c r="F9" s="120">
        <v>30</v>
      </c>
      <c r="G9" s="121">
        <v>165000</v>
      </c>
      <c r="N9" s="176" t="s">
        <v>1690</v>
      </c>
      <c r="O9" s="205" t="s">
        <v>1691</v>
      </c>
      <c r="P9" s="205"/>
      <c r="Q9" s="205"/>
    </row>
    <row r="10" spans="1:18" x14ac:dyDescent="0.25">
      <c r="A10" s="197">
        <v>5</v>
      </c>
      <c r="B10" s="116">
        <v>45334</v>
      </c>
      <c r="C10" s="117">
        <v>2024</v>
      </c>
      <c r="D10" s="118" t="s">
        <v>851</v>
      </c>
      <c r="E10" s="119" t="s">
        <v>299</v>
      </c>
      <c r="F10" s="120">
        <v>6</v>
      </c>
      <c r="G10" s="121">
        <v>72000</v>
      </c>
      <c r="N10" s="184"/>
      <c r="O10" s="183">
        <v>2024</v>
      </c>
      <c r="P10" s="183">
        <v>2025</v>
      </c>
      <c r="Q10" s="183">
        <v>2026</v>
      </c>
    </row>
    <row r="11" spans="1:18" x14ac:dyDescent="0.25">
      <c r="A11" s="197">
        <v>6</v>
      </c>
      <c r="B11" s="116">
        <v>45334</v>
      </c>
      <c r="C11" s="117">
        <v>2024</v>
      </c>
      <c r="D11" s="118" t="s">
        <v>851</v>
      </c>
      <c r="E11" s="119" t="s">
        <v>299</v>
      </c>
      <c r="F11" s="120">
        <v>24</v>
      </c>
      <c r="G11" s="121">
        <v>439200</v>
      </c>
      <c r="N11" s="18" t="s">
        <v>299</v>
      </c>
      <c r="O11" s="128" t="s">
        <v>1708</v>
      </c>
      <c r="P11" s="128"/>
      <c r="Q11" s="128"/>
    </row>
    <row r="12" spans="1:18" x14ac:dyDescent="0.25">
      <c r="A12" s="197">
        <v>7</v>
      </c>
      <c r="B12" s="116">
        <v>45360</v>
      </c>
      <c r="C12" s="117">
        <v>2024</v>
      </c>
      <c r="D12" s="118" t="s">
        <v>851</v>
      </c>
      <c r="E12" s="119" t="s">
        <v>544</v>
      </c>
      <c r="F12" s="120">
        <v>10</v>
      </c>
      <c r="G12" s="121">
        <v>245000</v>
      </c>
      <c r="N12" s="5" t="s">
        <v>1709</v>
      </c>
      <c r="O12" s="5"/>
      <c r="P12" s="5" t="s">
        <v>1710</v>
      </c>
      <c r="Q12" s="5"/>
    </row>
    <row r="13" spans="1:18" x14ac:dyDescent="0.25">
      <c r="A13" s="197">
        <v>8</v>
      </c>
      <c r="B13" s="116">
        <v>45360</v>
      </c>
      <c r="C13" s="117">
        <v>2024</v>
      </c>
      <c r="D13" s="118" t="s">
        <v>851</v>
      </c>
      <c r="E13" s="119" t="s">
        <v>481</v>
      </c>
      <c r="F13" s="120">
        <v>10</v>
      </c>
      <c r="G13" s="121">
        <v>300000</v>
      </c>
      <c r="N13" s="5" t="s">
        <v>299</v>
      </c>
      <c r="O13" s="5"/>
      <c r="P13" s="5"/>
      <c r="Q13" s="5" t="s">
        <v>1711</v>
      </c>
    </row>
    <row r="14" spans="1:18" x14ac:dyDescent="0.25">
      <c r="A14" s="197">
        <v>9</v>
      </c>
      <c r="B14" s="116">
        <v>45360</v>
      </c>
      <c r="C14" s="117">
        <v>2024</v>
      </c>
      <c r="D14" s="118" t="s">
        <v>851</v>
      </c>
      <c r="E14" s="119" t="s">
        <v>299</v>
      </c>
      <c r="F14" s="120">
        <v>72</v>
      </c>
      <c r="G14" s="121">
        <v>396000</v>
      </c>
    </row>
    <row r="15" spans="1:18" x14ac:dyDescent="0.25">
      <c r="A15" s="197">
        <v>10</v>
      </c>
      <c r="B15" s="116">
        <v>45360</v>
      </c>
      <c r="C15" s="117">
        <v>2024</v>
      </c>
      <c r="D15" s="118" t="s">
        <v>851</v>
      </c>
      <c r="E15" s="119" t="s">
        <v>299</v>
      </c>
      <c r="F15" s="120">
        <v>72</v>
      </c>
      <c r="G15" s="121">
        <v>396000</v>
      </c>
    </row>
    <row r="16" spans="1:18" x14ac:dyDescent="0.25">
      <c r="A16" s="197">
        <v>11</v>
      </c>
      <c r="B16" s="116">
        <v>45360</v>
      </c>
      <c r="C16" s="117">
        <v>2024</v>
      </c>
      <c r="D16" s="118" t="s">
        <v>851</v>
      </c>
      <c r="E16" s="119" t="s">
        <v>299</v>
      </c>
      <c r="F16" s="120">
        <v>2</v>
      </c>
      <c r="G16" s="121">
        <v>33000</v>
      </c>
    </row>
    <row r="17" spans="1:7" x14ac:dyDescent="0.25">
      <c r="A17" s="197">
        <v>12</v>
      </c>
      <c r="B17" s="116">
        <v>45360</v>
      </c>
      <c r="C17" s="117">
        <v>2024</v>
      </c>
      <c r="D17" s="118" t="s">
        <v>851</v>
      </c>
      <c r="E17" s="119" t="s">
        <v>159</v>
      </c>
      <c r="F17" s="120">
        <v>2</v>
      </c>
      <c r="G17" s="121">
        <v>53000</v>
      </c>
    </row>
    <row r="18" spans="1:7" x14ac:dyDescent="0.25">
      <c r="A18" s="197">
        <v>13</v>
      </c>
      <c r="B18" s="116">
        <v>45386</v>
      </c>
      <c r="C18" s="117">
        <v>2024</v>
      </c>
      <c r="D18" s="118" t="s">
        <v>851</v>
      </c>
      <c r="E18" s="119" t="s">
        <v>290</v>
      </c>
      <c r="F18" s="120">
        <v>14</v>
      </c>
      <c r="G18" s="121">
        <v>420000</v>
      </c>
    </row>
    <row r="19" spans="1:7" x14ac:dyDescent="0.25">
      <c r="A19" s="197">
        <v>14</v>
      </c>
      <c r="B19" s="116">
        <v>45404</v>
      </c>
      <c r="C19" s="117">
        <v>2024</v>
      </c>
      <c r="D19" s="118" t="s">
        <v>851</v>
      </c>
      <c r="E19" s="119" t="s">
        <v>299</v>
      </c>
      <c r="F19" s="120">
        <v>3</v>
      </c>
      <c r="G19" s="121">
        <v>49500</v>
      </c>
    </row>
    <row r="20" spans="1:7" x14ac:dyDescent="0.25">
      <c r="A20" s="197">
        <v>15</v>
      </c>
      <c r="B20" s="116">
        <v>45404</v>
      </c>
      <c r="C20" s="117">
        <v>2024</v>
      </c>
      <c r="D20" s="118" t="s">
        <v>851</v>
      </c>
      <c r="E20" s="119" t="s">
        <v>299</v>
      </c>
      <c r="F20" s="120">
        <v>6</v>
      </c>
      <c r="G20" s="121">
        <v>109800</v>
      </c>
    </row>
    <row r="21" spans="1:7" x14ac:dyDescent="0.25">
      <c r="A21" s="197">
        <v>16</v>
      </c>
      <c r="B21" s="116">
        <v>45404</v>
      </c>
      <c r="C21" s="117">
        <v>2024</v>
      </c>
      <c r="D21" s="118" t="s">
        <v>851</v>
      </c>
      <c r="E21" s="119" t="s">
        <v>299</v>
      </c>
      <c r="F21" s="120">
        <v>18</v>
      </c>
      <c r="G21" s="121">
        <v>121500</v>
      </c>
    </row>
    <row r="22" spans="1:7" x14ac:dyDescent="0.25">
      <c r="A22" s="197">
        <v>17</v>
      </c>
      <c r="B22" s="116">
        <v>45404</v>
      </c>
      <c r="C22" s="117">
        <v>2024</v>
      </c>
      <c r="D22" s="118" t="s">
        <v>851</v>
      </c>
      <c r="E22" s="119" t="s">
        <v>299</v>
      </c>
      <c r="F22" s="120">
        <v>18</v>
      </c>
      <c r="G22" s="121">
        <v>135000</v>
      </c>
    </row>
    <row r="23" spans="1:7" x14ac:dyDescent="0.25">
      <c r="A23" s="197">
        <v>18</v>
      </c>
      <c r="B23" s="116">
        <v>45408</v>
      </c>
      <c r="C23" s="117">
        <v>2024</v>
      </c>
      <c r="D23" s="118" t="s">
        <v>851</v>
      </c>
      <c r="E23" s="119" t="s">
        <v>1027</v>
      </c>
      <c r="F23" s="120">
        <v>1</v>
      </c>
      <c r="G23" s="121">
        <v>40000</v>
      </c>
    </row>
    <row r="24" spans="1:7" x14ac:dyDescent="0.25">
      <c r="A24" s="197">
        <v>19</v>
      </c>
      <c r="B24" s="116">
        <v>45436</v>
      </c>
      <c r="C24" s="117">
        <v>2024</v>
      </c>
      <c r="D24" s="118" t="s">
        <v>851</v>
      </c>
      <c r="E24" s="119" t="s">
        <v>290</v>
      </c>
      <c r="F24" s="120">
        <v>1</v>
      </c>
      <c r="G24" s="121">
        <v>17000</v>
      </c>
    </row>
    <row r="25" spans="1:7" x14ac:dyDescent="0.25">
      <c r="A25" s="197">
        <v>20</v>
      </c>
      <c r="B25" s="116">
        <v>45436</v>
      </c>
      <c r="C25" s="117">
        <v>2024</v>
      </c>
      <c r="D25" s="118" t="s">
        <v>851</v>
      </c>
      <c r="E25" s="119" t="s">
        <v>299</v>
      </c>
      <c r="F25" s="120">
        <v>78</v>
      </c>
      <c r="G25" s="121">
        <v>421200</v>
      </c>
    </row>
    <row r="26" spans="1:7" x14ac:dyDescent="0.25">
      <c r="A26" s="197">
        <v>21</v>
      </c>
      <c r="B26" s="116">
        <v>45436</v>
      </c>
      <c r="C26" s="117">
        <v>2024</v>
      </c>
      <c r="D26" s="118" t="s">
        <v>851</v>
      </c>
      <c r="E26" s="119" t="s">
        <v>299</v>
      </c>
      <c r="F26" s="120">
        <v>12</v>
      </c>
      <c r="G26" s="121">
        <v>219600</v>
      </c>
    </row>
    <row r="27" spans="1:7" x14ac:dyDescent="0.25">
      <c r="A27" s="197">
        <v>22</v>
      </c>
      <c r="B27" s="116">
        <v>45436</v>
      </c>
      <c r="C27" s="117">
        <v>2024</v>
      </c>
      <c r="D27" s="118" t="s">
        <v>851</v>
      </c>
      <c r="E27" s="119" t="s">
        <v>299</v>
      </c>
      <c r="F27" s="120">
        <v>1</v>
      </c>
      <c r="G27" s="121">
        <v>15000</v>
      </c>
    </row>
    <row r="28" spans="1:7" x14ac:dyDescent="0.25">
      <c r="A28" s="197">
        <v>23</v>
      </c>
      <c r="B28" s="116">
        <v>45436</v>
      </c>
      <c r="C28" s="117">
        <v>2024</v>
      </c>
      <c r="D28" s="118" t="s">
        <v>851</v>
      </c>
      <c r="E28" s="119" t="s">
        <v>159</v>
      </c>
      <c r="F28" s="120">
        <v>72</v>
      </c>
      <c r="G28" s="121">
        <v>388800</v>
      </c>
    </row>
    <row r="29" spans="1:7" x14ac:dyDescent="0.25">
      <c r="A29" s="197">
        <v>24</v>
      </c>
      <c r="B29" s="116">
        <v>45440</v>
      </c>
      <c r="C29" s="117">
        <v>2024</v>
      </c>
      <c r="D29" s="118" t="s">
        <v>851</v>
      </c>
      <c r="E29" s="119" t="s">
        <v>541</v>
      </c>
      <c r="F29" s="120">
        <v>20</v>
      </c>
      <c r="G29" s="121">
        <v>25000</v>
      </c>
    </row>
    <row r="30" spans="1:7" x14ac:dyDescent="0.25">
      <c r="A30" s="197">
        <v>25</v>
      </c>
      <c r="B30" s="116">
        <v>45440</v>
      </c>
      <c r="C30" s="117">
        <v>2024</v>
      </c>
      <c r="D30" s="118" t="s">
        <v>851</v>
      </c>
      <c r="E30" s="119" t="s">
        <v>290</v>
      </c>
      <c r="F30" s="120">
        <v>4</v>
      </c>
      <c r="G30" s="121">
        <v>120000</v>
      </c>
    </row>
    <row r="31" spans="1:7" x14ac:dyDescent="0.25">
      <c r="A31" s="197">
        <v>26</v>
      </c>
      <c r="B31" s="116">
        <v>45440</v>
      </c>
      <c r="C31" s="117">
        <v>2024</v>
      </c>
      <c r="D31" s="118" t="s">
        <v>851</v>
      </c>
      <c r="E31" s="119" t="s">
        <v>481</v>
      </c>
      <c r="F31" s="120">
        <v>4</v>
      </c>
      <c r="G31" s="121">
        <v>120000</v>
      </c>
    </row>
    <row r="32" spans="1:7" x14ac:dyDescent="0.25">
      <c r="A32" s="197">
        <v>27</v>
      </c>
      <c r="B32" s="116">
        <v>45443</v>
      </c>
      <c r="C32" s="117">
        <v>2024</v>
      </c>
      <c r="D32" s="118" t="s">
        <v>851</v>
      </c>
      <c r="E32" s="119" t="s">
        <v>1071</v>
      </c>
      <c r="F32" s="120">
        <v>4</v>
      </c>
      <c r="G32" s="121">
        <v>46104</v>
      </c>
    </row>
    <row r="33" spans="1:7" x14ac:dyDescent="0.25">
      <c r="A33" s="197">
        <v>28</v>
      </c>
      <c r="B33" s="116">
        <v>45461</v>
      </c>
      <c r="C33" s="117">
        <v>2024</v>
      </c>
      <c r="D33" s="118" t="s">
        <v>851</v>
      </c>
      <c r="E33" s="119" t="s">
        <v>299</v>
      </c>
      <c r="F33" s="120">
        <v>30</v>
      </c>
      <c r="G33" s="121">
        <v>202500</v>
      </c>
    </row>
    <row r="34" spans="1:7" x14ac:dyDescent="0.25">
      <c r="A34" s="197">
        <v>29</v>
      </c>
      <c r="B34" s="116">
        <v>45461</v>
      </c>
      <c r="C34" s="117">
        <v>2024</v>
      </c>
      <c r="D34" s="118" t="s">
        <v>851</v>
      </c>
      <c r="E34" s="119" t="s">
        <v>299</v>
      </c>
      <c r="F34" s="120">
        <v>30</v>
      </c>
      <c r="G34" s="121">
        <v>202500</v>
      </c>
    </row>
    <row r="35" spans="1:7" x14ac:dyDescent="0.25">
      <c r="A35" s="197">
        <v>30</v>
      </c>
      <c r="B35" s="116">
        <v>45461</v>
      </c>
      <c r="C35" s="117">
        <v>2024</v>
      </c>
      <c r="D35" s="118" t="s">
        <v>851</v>
      </c>
      <c r="E35" s="119" t="s">
        <v>159</v>
      </c>
      <c r="F35" s="120">
        <v>2</v>
      </c>
      <c r="G35" s="121">
        <v>30000</v>
      </c>
    </row>
    <row r="36" spans="1:7" x14ac:dyDescent="0.25">
      <c r="A36" s="197">
        <v>31</v>
      </c>
      <c r="B36" s="116">
        <v>45463</v>
      </c>
      <c r="C36" s="117">
        <v>2024</v>
      </c>
      <c r="D36" s="118" t="s">
        <v>851</v>
      </c>
      <c r="E36" s="119" t="s">
        <v>192</v>
      </c>
      <c r="F36" s="120">
        <v>3</v>
      </c>
      <c r="G36" s="121">
        <v>285000</v>
      </c>
    </row>
    <row r="37" spans="1:7" x14ac:dyDescent="0.25">
      <c r="A37" s="197">
        <v>32</v>
      </c>
      <c r="B37" s="116">
        <v>45464</v>
      </c>
      <c r="C37" s="117">
        <v>2024</v>
      </c>
      <c r="D37" s="118" t="s">
        <v>851</v>
      </c>
      <c r="E37" s="119" t="s">
        <v>290</v>
      </c>
      <c r="F37" s="120">
        <v>14</v>
      </c>
      <c r="G37" s="121">
        <v>365000</v>
      </c>
    </row>
    <row r="38" spans="1:7" x14ac:dyDescent="0.25">
      <c r="A38" s="197">
        <v>33</v>
      </c>
      <c r="B38" s="116">
        <v>45471</v>
      </c>
      <c r="C38" s="117">
        <v>2024</v>
      </c>
      <c r="D38" s="118" t="s">
        <v>851</v>
      </c>
      <c r="E38" s="119" t="s">
        <v>544</v>
      </c>
      <c r="F38" s="120">
        <v>10</v>
      </c>
      <c r="G38" s="121">
        <v>75000</v>
      </c>
    </row>
    <row r="39" spans="1:7" x14ac:dyDescent="0.25">
      <c r="A39" s="197">
        <v>34</v>
      </c>
      <c r="B39" s="116">
        <v>45471</v>
      </c>
      <c r="C39" s="117">
        <v>2024</v>
      </c>
      <c r="D39" s="118" t="s">
        <v>851</v>
      </c>
      <c r="E39" s="119" t="s">
        <v>299</v>
      </c>
      <c r="F39" s="120">
        <v>5</v>
      </c>
      <c r="G39" s="121">
        <v>245000</v>
      </c>
    </row>
    <row r="40" spans="1:7" x14ac:dyDescent="0.25">
      <c r="A40" s="197">
        <v>35</v>
      </c>
      <c r="B40" s="116">
        <v>45498</v>
      </c>
      <c r="C40" s="117">
        <v>2024</v>
      </c>
      <c r="D40" s="118" t="s">
        <v>851</v>
      </c>
      <c r="E40" s="119" t="s">
        <v>299</v>
      </c>
      <c r="F40" s="120">
        <v>72</v>
      </c>
      <c r="G40" s="121">
        <v>388800</v>
      </c>
    </row>
    <row r="41" spans="1:7" x14ac:dyDescent="0.25">
      <c r="A41" s="197">
        <v>36</v>
      </c>
      <c r="B41" s="116">
        <v>45498</v>
      </c>
      <c r="C41" s="117">
        <v>2024</v>
      </c>
      <c r="D41" s="118" t="s">
        <v>851</v>
      </c>
      <c r="E41" s="119" t="s">
        <v>299</v>
      </c>
      <c r="F41" s="120">
        <v>72</v>
      </c>
      <c r="G41" s="121">
        <v>388800</v>
      </c>
    </row>
    <row r="42" spans="1:7" x14ac:dyDescent="0.25">
      <c r="A42" s="197">
        <v>37</v>
      </c>
      <c r="B42" s="116">
        <v>45539</v>
      </c>
      <c r="C42" s="117">
        <v>2024</v>
      </c>
      <c r="D42" s="118" t="s">
        <v>851</v>
      </c>
      <c r="E42" s="119" t="s">
        <v>481</v>
      </c>
      <c r="F42" s="120">
        <v>19</v>
      </c>
      <c r="G42" s="121">
        <v>420000</v>
      </c>
    </row>
    <row r="43" spans="1:7" x14ac:dyDescent="0.25">
      <c r="A43" s="197">
        <v>38</v>
      </c>
      <c r="B43" s="116">
        <v>45544</v>
      </c>
      <c r="C43" s="117">
        <v>2024</v>
      </c>
      <c r="D43" s="118" t="s">
        <v>851</v>
      </c>
      <c r="E43" s="119" t="s">
        <v>1172</v>
      </c>
      <c r="F43" s="120">
        <v>1</v>
      </c>
      <c r="G43" s="121">
        <v>63100</v>
      </c>
    </row>
    <row r="44" spans="1:7" x14ac:dyDescent="0.25">
      <c r="A44" s="197">
        <v>39</v>
      </c>
      <c r="B44" s="116">
        <v>45547</v>
      </c>
      <c r="C44" s="117">
        <v>2024</v>
      </c>
      <c r="D44" s="118" t="s">
        <v>851</v>
      </c>
      <c r="E44" s="119" t="s">
        <v>299</v>
      </c>
      <c r="F44" s="120">
        <v>12</v>
      </c>
      <c r="G44" s="121">
        <v>102528</v>
      </c>
    </row>
    <row r="45" spans="1:7" x14ac:dyDescent="0.25">
      <c r="A45" s="197">
        <v>40</v>
      </c>
      <c r="B45" s="116">
        <v>45555</v>
      </c>
      <c r="C45" s="117">
        <v>2024</v>
      </c>
      <c r="D45" s="118" t="s">
        <v>851</v>
      </c>
      <c r="E45" s="119" t="s">
        <v>282</v>
      </c>
      <c r="F45" s="120">
        <v>5</v>
      </c>
      <c r="G45" s="121">
        <v>33000</v>
      </c>
    </row>
    <row r="46" spans="1:7" x14ac:dyDescent="0.25">
      <c r="A46" s="197">
        <v>41</v>
      </c>
      <c r="B46" s="116">
        <v>45555</v>
      </c>
      <c r="C46" s="117">
        <v>2024</v>
      </c>
      <c r="D46" s="118" t="s">
        <v>851</v>
      </c>
      <c r="E46" s="119" t="s">
        <v>544</v>
      </c>
      <c r="F46" s="120">
        <v>10</v>
      </c>
      <c r="G46" s="121">
        <v>186000</v>
      </c>
    </row>
    <row r="47" spans="1:7" x14ac:dyDescent="0.25">
      <c r="A47" s="197">
        <v>42</v>
      </c>
      <c r="B47" s="116">
        <v>45555</v>
      </c>
      <c r="C47" s="117">
        <v>2024</v>
      </c>
      <c r="D47" s="118" t="s">
        <v>851</v>
      </c>
      <c r="E47" s="119" t="s">
        <v>481</v>
      </c>
      <c r="F47" s="120">
        <v>12</v>
      </c>
      <c r="G47" s="121">
        <v>194000</v>
      </c>
    </row>
    <row r="48" spans="1:7" x14ac:dyDescent="0.25">
      <c r="A48" s="197">
        <v>43</v>
      </c>
      <c r="B48" s="116">
        <v>45562</v>
      </c>
      <c r="C48" s="117">
        <v>2024</v>
      </c>
      <c r="D48" s="118" t="s">
        <v>851</v>
      </c>
      <c r="E48" s="119" t="s">
        <v>644</v>
      </c>
      <c r="F48" s="120">
        <v>10</v>
      </c>
      <c r="G48" s="121">
        <v>186000</v>
      </c>
    </row>
    <row r="49" spans="1:7" x14ac:dyDescent="0.25">
      <c r="A49" s="197">
        <v>44</v>
      </c>
      <c r="B49" s="116">
        <v>45583</v>
      </c>
      <c r="C49" s="117">
        <v>2024</v>
      </c>
      <c r="D49" s="118" t="s">
        <v>851</v>
      </c>
      <c r="E49" s="119" t="s">
        <v>1198</v>
      </c>
      <c r="F49" s="120">
        <v>101</v>
      </c>
      <c r="G49" s="121">
        <v>95854</v>
      </c>
    </row>
    <row r="50" spans="1:7" x14ac:dyDescent="0.25">
      <c r="A50" s="197">
        <v>45</v>
      </c>
      <c r="B50" s="116">
        <v>45591</v>
      </c>
      <c r="C50" s="117">
        <v>2024</v>
      </c>
      <c r="D50" s="118" t="s">
        <v>851</v>
      </c>
      <c r="E50" s="119" t="s">
        <v>101</v>
      </c>
      <c r="F50" s="120">
        <v>2</v>
      </c>
      <c r="G50" s="121">
        <v>9294</v>
      </c>
    </row>
    <row r="51" spans="1:7" x14ac:dyDescent="0.25">
      <c r="A51" s="197">
        <v>46</v>
      </c>
      <c r="B51" s="116">
        <v>45591</v>
      </c>
      <c r="C51" s="117">
        <v>2024</v>
      </c>
      <c r="D51" s="118" t="s">
        <v>851</v>
      </c>
      <c r="E51" s="119" t="s">
        <v>1209</v>
      </c>
      <c r="F51" s="120">
        <v>3</v>
      </c>
      <c r="G51" s="121">
        <v>32067</v>
      </c>
    </row>
    <row r="52" spans="1:7" x14ac:dyDescent="0.25">
      <c r="A52" s="197">
        <v>47</v>
      </c>
      <c r="B52" s="116">
        <v>45591</v>
      </c>
      <c r="C52" s="117">
        <v>2024</v>
      </c>
      <c r="D52" s="118" t="s">
        <v>851</v>
      </c>
      <c r="E52" s="119" t="s">
        <v>1211</v>
      </c>
      <c r="F52" s="120">
        <v>1</v>
      </c>
      <c r="G52" s="121">
        <v>47483</v>
      </c>
    </row>
    <row r="53" spans="1:7" x14ac:dyDescent="0.25">
      <c r="A53" s="197">
        <v>48</v>
      </c>
      <c r="B53" s="116">
        <v>45591</v>
      </c>
      <c r="C53" s="117">
        <v>2024</v>
      </c>
      <c r="D53" s="118" t="s">
        <v>851</v>
      </c>
      <c r="E53" s="119" t="s">
        <v>1212</v>
      </c>
      <c r="F53" s="120">
        <v>1</v>
      </c>
      <c r="G53" s="121">
        <v>47483</v>
      </c>
    </row>
    <row r="54" spans="1:7" x14ac:dyDescent="0.25">
      <c r="A54" s="197">
        <v>49</v>
      </c>
      <c r="B54" s="116">
        <v>45591</v>
      </c>
      <c r="C54" s="117">
        <v>2024</v>
      </c>
      <c r="D54" s="118" t="s">
        <v>851</v>
      </c>
      <c r="E54" s="119" t="s">
        <v>1213</v>
      </c>
      <c r="F54" s="120">
        <v>1</v>
      </c>
      <c r="G54" s="121">
        <v>47483</v>
      </c>
    </row>
    <row r="55" spans="1:7" x14ac:dyDescent="0.25">
      <c r="A55" s="197">
        <v>50</v>
      </c>
      <c r="B55" s="116">
        <v>45591</v>
      </c>
      <c r="C55" s="117">
        <v>2024</v>
      </c>
      <c r="D55" s="118" t="s">
        <v>851</v>
      </c>
      <c r="E55" s="119" t="s">
        <v>1214</v>
      </c>
      <c r="F55" s="120">
        <v>1</v>
      </c>
      <c r="G55" s="121">
        <v>47483</v>
      </c>
    </row>
    <row r="56" spans="1:7" x14ac:dyDescent="0.25">
      <c r="A56" s="197">
        <v>51</v>
      </c>
      <c r="B56" s="116">
        <v>45593</v>
      </c>
      <c r="C56" s="117">
        <v>2024</v>
      </c>
      <c r="D56" s="118" t="s">
        <v>851</v>
      </c>
      <c r="E56" s="119" t="s">
        <v>1215</v>
      </c>
      <c r="F56" s="120">
        <v>1</v>
      </c>
      <c r="G56" s="121">
        <v>10900</v>
      </c>
    </row>
    <row r="57" spans="1:7" x14ac:dyDescent="0.25">
      <c r="A57" s="197">
        <v>52</v>
      </c>
      <c r="B57" s="116">
        <v>45602</v>
      </c>
      <c r="C57" s="117">
        <v>2024</v>
      </c>
      <c r="D57" s="118" t="s">
        <v>851</v>
      </c>
      <c r="E57" s="119" t="s">
        <v>1222</v>
      </c>
      <c r="F57" s="120">
        <v>101</v>
      </c>
      <c r="G57" s="121">
        <v>97869</v>
      </c>
    </row>
    <row r="58" spans="1:7" x14ac:dyDescent="0.25">
      <c r="A58" s="197">
        <v>53</v>
      </c>
      <c r="B58" s="116">
        <v>45603</v>
      </c>
      <c r="C58" s="117">
        <v>2024</v>
      </c>
      <c r="D58" s="118" t="s">
        <v>851</v>
      </c>
      <c r="E58" s="119" t="s">
        <v>1198</v>
      </c>
      <c r="F58" s="120">
        <v>101</v>
      </c>
      <c r="G58" s="121">
        <v>95900</v>
      </c>
    </row>
    <row r="59" spans="1:7" x14ac:dyDescent="0.25">
      <c r="A59" s="197">
        <v>54</v>
      </c>
      <c r="B59" s="116">
        <v>45612</v>
      </c>
      <c r="C59" s="117">
        <v>2024</v>
      </c>
      <c r="D59" s="118" t="s">
        <v>851</v>
      </c>
      <c r="E59" s="119" t="s">
        <v>481</v>
      </c>
      <c r="F59" s="120">
        <v>15</v>
      </c>
      <c r="G59" s="121">
        <v>261990</v>
      </c>
    </row>
    <row r="60" spans="1:7" x14ac:dyDescent="0.25">
      <c r="A60" s="197">
        <v>55</v>
      </c>
      <c r="B60" s="116">
        <v>45612</v>
      </c>
      <c r="C60" s="117">
        <v>2024</v>
      </c>
      <c r="D60" s="118" t="s">
        <v>851</v>
      </c>
      <c r="E60" s="119" t="s">
        <v>481</v>
      </c>
      <c r="F60" s="120">
        <v>15</v>
      </c>
      <c r="G60" s="121">
        <v>300000</v>
      </c>
    </row>
    <row r="61" spans="1:7" x14ac:dyDescent="0.25">
      <c r="A61" s="197">
        <v>56</v>
      </c>
      <c r="B61" s="116">
        <v>45612</v>
      </c>
      <c r="C61" s="117">
        <v>2024</v>
      </c>
      <c r="D61" s="118" t="s">
        <v>851</v>
      </c>
      <c r="E61" s="119" t="s">
        <v>481</v>
      </c>
      <c r="F61" s="120">
        <v>15</v>
      </c>
      <c r="G61" s="121">
        <v>240000</v>
      </c>
    </row>
    <row r="62" spans="1:7" x14ac:dyDescent="0.25">
      <c r="A62" s="197">
        <v>57</v>
      </c>
      <c r="B62" s="116">
        <v>45612</v>
      </c>
      <c r="C62" s="117">
        <v>2024</v>
      </c>
      <c r="D62" s="118" t="s">
        <v>851</v>
      </c>
      <c r="E62" s="119" t="s">
        <v>481</v>
      </c>
      <c r="F62" s="120">
        <v>15</v>
      </c>
      <c r="G62" s="121">
        <v>195000</v>
      </c>
    </row>
    <row r="63" spans="1:7" x14ac:dyDescent="0.25">
      <c r="A63" s="197">
        <v>58</v>
      </c>
      <c r="B63" s="116">
        <v>45614</v>
      </c>
      <c r="C63" s="117">
        <v>2024</v>
      </c>
      <c r="D63" s="118" t="s">
        <v>851</v>
      </c>
      <c r="E63" s="119" t="s">
        <v>290</v>
      </c>
      <c r="F63" s="120">
        <v>6</v>
      </c>
      <c r="G63" s="121">
        <v>210000</v>
      </c>
    </row>
    <row r="64" spans="1:7" x14ac:dyDescent="0.25">
      <c r="A64" s="197">
        <v>59</v>
      </c>
      <c r="B64" s="116">
        <v>45614</v>
      </c>
      <c r="C64" s="117">
        <v>2024</v>
      </c>
      <c r="D64" s="118" t="s">
        <v>851</v>
      </c>
      <c r="E64" s="119" t="s">
        <v>299</v>
      </c>
      <c r="F64" s="120">
        <v>72</v>
      </c>
      <c r="G64" s="121">
        <v>460800</v>
      </c>
    </row>
    <row r="65" spans="1:7" x14ac:dyDescent="0.25">
      <c r="A65" s="197">
        <v>60</v>
      </c>
      <c r="B65" s="116">
        <v>45614</v>
      </c>
      <c r="C65" s="117">
        <v>2024</v>
      </c>
      <c r="D65" s="118" t="s">
        <v>851</v>
      </c>
      <c r="E65" s="119" t="s">
        <v>299</v>
      </c>
      <c r="F65" s="120">
        <v>72</v>
      </c>
      <c r="G65" s="121">
        <v>388800</v>
      </c>
    </row>
    <row r="66" spans="1:7" x14ac:dyDescent="0.25">
      <c r="A66" s="197">
        <v>61</v>
      </c>
      <c r="B66" s="116">
        <v>45617</v>
      </c>
      <c r="C66" s="117">
        <v>2024</v>
      </c>
      <c r="D66" s="119" t="s">
        <v>851</v>
      </c>
      <c r="E66" s="119" t="s">
        <v>763</v>
      </c>
      <c r="F66" s="120">
        <v>1</v>
      </c>
      <c r="G66" s="121">
        <v>111000000</v>
      </c>
    </row>
    <row r="67" spans="1:7" x14ac:dyDescent="0.25">
      <c r="A67" s="197">
        <v>62</v>
      </c>
      <c r="B67" s="116">
        <v>45650</v>
      </c>
      <c r="C67" s="117">
        <v>2024</v>
      </c>
      <c r="D67" s="118" t="s">
        <v>851</v>
      </c>
      <c r="E67" s="119" t="s">
        <v>1309</v>
      </c>
      <c r="F67" s="120">
        <v>2</v>
      </c>
      <c r="G67" s="121">
        <v>43000</v>
      </c>
    </row>
    <row r="68" spans="1:7" x14ac:dyDescent="0.25">
      <c r="A68" s="197">
        <v>63</v>
      </c>
      <c r="B68" s="116">
        <v>45650</v>
      </c>
      <c r="C68" s="117">
        <v>2024</v>
      </c>
      <c r="D68" s="118" t="s">
        <v>851</v>
      </c>
      <c r="E68" s="119" t="s">
        <v>1310</v>
      </c>
      <c r="F68" s="120">
        <v>1</v>
      </c>
      <c r="G68" s="121">
        <v>67000</v>
      </c>
    </row>
    <row r="69" spans="1:7" x14ac:dyDescent="0.25">
      <c r="A69" s="197">
        <v>64</v>
      </c>
      <c r="B69" s="116">
        <v>45650</v>
      </c>
      <c r="C69" s="117">
        <v>2024</v>
      </c>
      <c r="D69" s="118" t="s">
        <v>851</v>
      </c>
      <c r="E69" s="119" t="s">
        <v>1311</v>
      </c>
      <c r="F69" s="120">
        <v>1</v>
      </c>
      <c r="G69" s="121">
        <v>16500</v>
      </c>
    </row>
    <row r="70" spans="1:7" hidden="1" x14ac:dyDescent="0.25">
      <c r="A70" s="197">
        <v>65</v>
      </c>
      <c r="B70" s="116">
        <v>45663</v>
      </c>
      <c r="C70" s="117">
        <v>2025</v>
      </c>
      <c r="D70" s="118" t="s">
        <v>851</v>
      </c>
      <c r="E70" s="119" t="s">
        <v>84</v>
      </c>
      <c r="F70" s="120">
        <v>2</v>
      </c>
      <c r="G70" s="121">
        <v>27000</v>
      </c>
    </row>
    <row r="71" spans="1:7" hidden="1" x14ac:dyDescent="0.25">
      <c r="A71" s="197">
        <v>66</v>
      </c>
      <c r="B71" s="116">
        <v>45680</v>
      </c>
      <c r="C71" s="117">
        <v>2025</v>
      </c>
      <c r="D71" s="118" t="s">
        <v>851</v>
      </c>
      <c r="E71" s="119" t="s">
        <v>1057</v>
      </c>
      <c r="F71" s="120">
        <v>1</v>
      </c>
      <c r="G71" s="121">
        <v>18000</v>
      </c>
    </row>
    <row r="72" spans="1:7" hidden="1" x14ac:dyDescent="0.25">
      <c r="A72" s="197">
        <v>67</v>
      </c>
      <c r="B72" s="116">
        <v>45681</v>
      </c>
      <c r="C72" s="117">
        <v>2025</v>
      </c>
      <c r="D72" s="118" t="s">
        <v>851</v>
      </c>
      <c r="E72" s="119" t="s">
        <v>382</v>
      </c>
      <c r="F72" s="120">
        <v>1</v>
      </c>
      <c r="G72" s="121">
        <v>23700</v>
      </c>
    </row>
    <row r="73" spans="1:7" hidden="1" x14ac:dyDescent="0.25">
      <c r="A73" s="197">
        <v>68</v>
      </c>
      <c r="B73" s="116">
        <v>45698</v>
      </c>
      <c r="C73" s="117">
        <v>2025</v>
      </c>
      <c r="D73" s="118" t="s">
        <v>851</v>
      </c>
      <c r="E73" s="119" t="s">
        <v>1346</v>
      </c>
      <c r="F73" s="120">
        <v>1</v>
      </c>
      <c r="G73" s="121">
        <v>6500</v>
      </c>
    </row>
    <row r="74" spans="1:7" hidden="1" x14ac:dyDescent="0.25">
      <c r="A74" s="197">
        <v>69</v>
      </c>
      <c r="B74" s="116">
        <v>45698</v>
      </c>
      <c r="C74" s="117">
        <v>2025</v>
      </c>
      <c r="D74" s="118" t="s">
        <v>851</v>
      </c>
      <c r="E74" s="119" t="s">
        <v>1347</v>
      </c>
      <c r="F74" s="120">
        <v>1</v>
      </c>
      <c r="G74" s="121">
        <v>35000</v>
      </c>
    </row>
    <row r="75" spans="1:7" hidden="1" x14ac:dyDescent="0.25">
      <c r="A75" s="197">
        <v>70</v>
      </c>
      <c r="B75" s="116">
        <v>45714</v>
      </c>
      <c r="C75" s="117">
        <v>2025</v>
      </c>
      <c r="D75" s="118" t="s">
        <v>851</v>
      </c>
      <c r="E75" s="119" t="s">
        <v>101</v>
      </c>
      <c r="F75" s="120">
        <v>3</v>
      </c>
      <c r="G75" s="121">
        <v>8901</v>
      </c>
    </row>
    <row r="76" spans="1:7" hidden="1" x14ac:dyDescent="0.25">
      <c r="A76" s="197">
        <v>71</v>
      </c>
      <c r="B76" s="116">
        <v>45714</v>
      </c>
      <c r="C76" s="117">
        <v>2025</v>
      </c>
      <c r="D76" s="118" t="s">
        <v>851</v>
      </c>
      <c r="E76" s="119" t="s">
        <v>1356</v>
      </c>
      <c r="F76" s="120">
        <v>3</v>
      </c>
      <c r="G76" s="121">
        <v>11775</v>
      </c>
    </row>
    <row r="77" spans="1:7" hidden="1" x14ac:dyDescent="0.25">
      <c r="A77" s="197">
        <v>72</v>
      </c>
      <c r="B77" s="116">
        <v>45716</v>
      </c>
      <c r="C77" s="117">
        <v>2025</v>
      </c>
      <c r="D77" s="118" t="s">
        <v>851</v>
      </c>
      <c r="E77" s="119" t="s">
        <v>290</v>
      </c>
      <c r="F77" s="120">
        <v>10</v>
      </c>
      <c r="G77" s="121">
        <v>309000</v>
      </c>
    </row>
    <row r="78" spans="1:7" hidden="1" x14ac:dyDescent="0.25">
      <c r="A78" s="197">
        <v>73</v>
      </c>
      <c r="B78" s="116">
        <v>45716</v>
      </c>
      <c r="C78" s="117">
        <v>2025</v>
      </c>
      <c r="D78" s="118" t="s">
        <v>851</v>
      </c>
      <c r="E78" s="119" t="s">
        <v>571</v>
      </c>
      <c r="F78" s="120">
        <v>3</v>
      </c>
      <c r="G78" s="121">
        <v>51000</v>
      </c>
    </row>
    <row r="79" spans="1:7" hidden="1" x14ac:dyDescent="0.25">
      <c r="A79" s="197">
        <v>74</v>
      </c>
      <c r="B79" s="116">
        <v>45717</v>
      </c>
      <c r="C79" s="117">
        <v>2025</v>
      </c>
      <c r="D79" s="118" t="s">
        <v>851</v>
      </c>
      <c r="E79" s="119" t="s">
        <v>1357</v>
      </c>
      <c r="F79" s="120">
        <v>1</v>
      </c>
      <c r="G79" s="121">
        <v>360400</v>
      </c>
    </row>
    <row r="80" spans="1:7" hidden="1" x14ac:dyDescent="0.25">
      <c r="A80" s="197">
        <v>75</v>
      </c>
      <c r="B80" s="116">
        <v>45717</v>
      </c>
      <c r="C80" s="117">
        <v>2025</v>
      </c>
      <c r="D80" s="118" t="s">
        <v>851</v>
      </c>
      <c r="E80" s="119" t="s">
        <v>1358</v>
      </c>
      <c r="F80" s="120">
        <v>3</v>
      </c>
      <c r="G80" s="121">
        <v>591600</v>
      </c>
    </row>
    <row r="81" spans="1:7" hidden="1" x14ac:dyDescent="0.25">
      <c r="A81" s="197">
        <v>76</v>
      </c>
      <c r="B81" s="116">
        <v>45717</v>
      </c>
      <c r="C81" s="117">
        <v>2025</v>
      </c>
      <c r="D81" s="118" t="s">
        <v>851</v>
      </c>
      <c r="E81" s="119" t="s">
        <v>1359</v>
      </c>
      <c r="F81" s="120">
        <v>3</v>
      </c>
      <c r="G81" s="121">
        <v>1258527</v>
      </c>
    </row>
    <row r="82" spans="1:7" hidden="1" x14ac:dyDescent="0.25">
      <c r="A82" s="197">
        <v>77</v>
      </c>
      <c r="B82" s="116">
        <v>45717</v>
      </c>
      <c r="C82" s="117">
        <v>2025</v>
      </c>
      <c r="D82" s="118" t="s">
        <v>851</v>
      </c>
      <c r="E82" s="119" t="s">
        <v>1360</v>
      </c>
      <c r="F82" s="120">
        <v>3</v>
      </c>
      <c r="G82" s="121">
        <v>434550</v>
      </c>
    </row>
    <row r="83" spans="1:7" hidden="1" x14ac:dyDescent="0.25">
      <c r="A83" s="197">
        <v>78</v>
      </c>
      <c r="B83" s="116">
        <v>45717</v>
      </c>
      <c r="C83" s="117">
        <v>2025</v>
      </c>
      <c r="D83" s="118" t="s">
        <v>851</v>
      </c>
      <c r="E83" s="119" t="s">
        <v>1361</v>
      </c>
      <c r="F83" s="120">
        <v>3</v>
      </c>
      <c r="G83" s="121">
        <v>366240</v>
      </c>
    </row>
    <row r="84" spans="1:7" hidden="1" x14ac:dyDescent="0.25">
      <c r="A84" s="197">
        <v>79</v>
      </c>
      <c r="B84" s="116">
        <v>45722</v>
      </c>
      <c r="C84" s="117">
        <v>2025</v>
      </c>
      <c r="D84" s="118" t="s">
        <v>851</v>
      </c>
      <c r="E84" s="119" t="s">
        <v>1056</v>
      </c>
      <c r="F84" s="120">
        <v>6</v>
      </c>
      <c r="G84" s="121">
        <v>49800</v>
      </c>
    </row>
    <row r="85" spans="1:7" hidden="1" x14ac:dyDescent="0.25">
      <c r="A85" s="197">
        <v>80</v>
      </c>
      <c r="B85" s="116">
        <v>45722</v>
      </c>
      <c r="C85" s="117">
        <v>2025</v>
      </c>
      <c r="D85" s="118" t="s">
        <v>851</v>
      </c>
      <c r="E85" s="119" t="s">
        <v>1363</v>
      </c>
      <c r="F85" s="120">
        <v>2</v>
      </c>
      <c r="G85" s="121">
        <v>14900</v>
      </c>
    </row>
    <row r="86" spans="1:7" hidden="1" x14ac:dyDescent="0.25">
      <c r="A86" s="197">
        <v>81</v>
      </c>
      <c r="B86" s="116">
        <v>45722</v>
      </c>
      <c r="C86" s="117">
        <v>2025</v>
      </c>
      <c r="D86" s="118" t="s">
        <v>851</v>
      </c>
      <c r="E86" s="119" t="s">
        <v>1057</v>
      </c>
      <c r="F86" s="120">
        <v>10</v>
      </c>
      <c r="G86" s="121">
        <v>132210</v>
      </c>
    </row>
    <row r="87" spans="1:7" hidden="1" x14ac:dyDescent="0.25">
      <c r="A87" s="197">
        <v>82</v>
      </c>
      <c r="B87" s="116">
        <v>45743</v>
      </c>
      <c r="C87" s="117">
        <v>2025</v>
      </c>
      <c r="D87" s="118" t="s">
        <v>851</v>
      </c>
      <c r="E87" s="119" t="s">
        <v>1384</v>
      </c>
      <c r="F87" s="120">
        <v>100</v>
      </c>
      <c r="G87" s="121">
        <v>7000</v>
      </c>
    </row>
    <row r="88" spans="1:7" hidden="1" x14ac:dyDescent="0.25">
      <c r="A88" s="197">
        <v>83</v>
      </c>
      <c r="B88" s="116">
        <v>45744</v>
      </c>
      <c r="C88" s="117">
        <v>2025</v>
      </c>
      <c r="D88" s="118" t="s">
        <v>851</v>
      </c>
      <c r="E88" s="119" t="s">
        <v>299</v>
      </c>
      <c r="F88" s="120">
        <v>2</v>
      </c>
      <c r="G88" s="121">
        <v>16900</v>
      </c>
    </row>
    <row r="89" spans="1:7" hidden="1" x14ac:dyDescent="0.25">
      <c r="A89" s="197">
        <v>84</v>
      </c>
      <c r="B89" s="116">
        <v>45761</v>
      </c>
      <c r="C89" s="117">
        <v>2025</v>
      </c>
      <c r="D89" s="118" t="s">
        <v>851</v>
      </c>
      <c r="E89" s="119" t="s">
        <v>666</v>
      </c>
      <c r="F89" s="120">
        <v>1</v>
      </c>
      <c r="G89" s="121">
        <v>10900</v>
      </c>
    </row>
    <row r="90" spans="1:7" hidden="1" x14ac:dyDescent="0.25">
      <c r="A90" s="197">
        <v>85</v>
      </c>
      <c r="B90" s="116">
        <v>45761</v>
      </c>
      <c r="C90" s="117">
        <v>2025</v>
      </c>
      <c r="D90" s="118" t="s">
        <v>851</v>
      </c>
      <c r="E90" s="119" t="s">
        <v>175</v>
      </c>
      <c r="F90" s="120">
        <v>100</v>
      </c>
      <c r="G90" s="121">
        <v>34900</v>
      </c>
    </row>
    <row r="91" spans="1:7" hidden="1" x14ac:dyDescent="0.25">
      <c r="A91" s="197">
        <v>86</v>
      </c>
      <c r="B91" s="116">
        <v>45761</v>
      </c>
      <c r="C91" s="117">
        <v>2025</v>
      </c>
      <c r="D91" s="118" t="s">
        <v>851</v>
      </c>
      <c r="E91" s="119" t="s">
        <v>544</v>
      </c>
      <c r="F91" s="120">
        <v>10</v>
      </c>
      <c r="G91" s="121">
        <v>187900</v>
      </c>
    </row>
    <row r="92" spans="1:7" hidden="1" x14ac:dyDescent="0.25">
      <c r="A92" s="197">
        <v>87</v>
      </c>
      <c r="B92" s="116">
        <v>45761</v>
      </c>
      <c r="C92" s="117">
        <v>2025</v>
      </c>
      <c r="D92" s="118" t="s">
        <v>851</v>
      </c>
      <c r="E92" s="119" t="s">
        <v>481</v>
      </c>
      <c r="F92" s="120">
        <v>5</v>
      </c>
      <c r="G92" s="121">
        <v>15395</v>
      </c>
    </row>
    <row r="93" spans="1:7" hidden="1" x14ac:dyDescent="0.25">
      <c r="A93" s="197">
        <v>88</v>
      </c>
      <c r="B93" s="116">
        <v>45761</v>
      </c>
      <c r="C93" s="117">
        <v>2025</v>
      </c>
      <c r="D93" s="118" t="s">
        <v>851</v>
      </c>
      <c r="E93" s="119" t="s">
        <v>493</v>
      </c>
      <c r="F93" s="120">
        <v>10</v>
      </c>
      <c r="G93" s="121">
        <v>100000</v>
      </c>
    </row>
    <row r="94" spans="1:7" hidden="1" x14ac:dyDescent="0.25">
      <c r="A94" s="197">
        <v>89</v>
      </c>
      <c r="B94" s="116">
        <v>45761</v>
      </c>
      <c r="C94" s="117">
        <v>2025</v>
      </c>
      <c r="D94" s="118" t="s">
        <v>851</v>
      </c>
      <c r="E94" s="119" t="s">
        <v>84</v>
      </c>
      <c r="F94" s="120">
        <v>2</v>
      </c>
      <c r="G94" s="121">
        <v>30300</v>
      </c>
    </row>
    <row r="95" spans="1:7" hidden="1" x14ac:dyDescent="0.25">
      <c r="A95" s="197">
        <v>90</v>
      </c>
      <c r="B95" s="116">
        <v>45764</v>
      </c>
      <c r="C95" s="117">
        <v>2025</v>
      </c>
      <c r="D95" s="118" t="s">
        <v>851</v>
      </c>
      <c r="E95" s="119" t="s">
        <v>855</v>
      </c>
      <c r="F95" s="120">
        <v>5</v>
      </c>
      <c r="G95" s="121">
        <v>37400</v>
      </c>
    </row>
    <row r="96" spans="1:7" hidden="1" x14ac:dyDescent="0.25">
      <c r="A96" s="197">
        <v>91</v>
      </c>
      <c r="B96" s="116">
        <v>45770</v>
      </c>
      <c r="C96" s="117">
        <v>2025</v>
      </c>
      <c r="D96" s="118" t="s">
        <v>851</v>
      </c>
      <c r="E96" s="119" t="s">
        <v>666</v>
      </c>
      <c r="F96" s="120">
        <v>6</v>
      </c>
      <c r="G96" s="121">
        <v>52902</v>
      </c>
    </row>
    <row r="97" spans="1:7" hidden="1" x14ac:dyDescent="0.25">
      <c r="A97" s="197">
        <v>92</v>
      </c>
      <c r="B97" s="116">
        <v>45783</v>
      </c>
      <c r="C97" s="117">
        <v>2025</v>
      </c>
      <c r="D97" s="118" t="s">
        <v>851</v>
      </c>
      <c r="E97" s="119" t="s">
        <v>531</v>
      </c>
      <c r="F97" s="120">
        <v>24</v>
      </c>
      <c r="G97" s="121">
        <v>61512</v>
      </c>
    </row>
    <row r="98" spans="1:7" hidden="1" x14ac:dyDescent="0.25">
      <c r="A98" s="197">
        <v>93</v>
      </c>
      <c r="B98" s="116">
        <v>45783</v>
      </c>
      <c r="C98" s="117">
        <v>2025</v>
      </c>
      <c r="D98" s="118" t="s">
        <v>851</v>
      </c>
      <c r="E98" s="119" t="s">
        <v>1405</v>
      </c>
      <c r="F98" s="120">
        <v>1</v>
      </c>
      <c r="G98" s="121">
        <v>561900</v>
      </c>
    </row>
    <row r="99" spans="1:7" hidden="1" x14ac:dyDescent="0.25">
      <c r="A99" s="197">
        <v>94</v>
      </c>
      <c r="B99" s="116">
        <v>45787</v>
      </c>
      <c r="C99" s="117">
        <v>2025</v>
      </c>
      <c r="D99" s="118" t="s">
        <v>851</v>
      </c>
      <c r="E99" s="119" t="s">
        <v>652</v>
      </c>
      <c r="F99" s="120">
        <v>2</v>
      </c>
      <c r="G99" s="121">
        <v>7000</v>
      </c>
    </row>
    <row r="100" spans="1:7" hidden="1" x14ac:dyDescent="0.25">
      <c r="A100" s="197">
        <v>95</v>
      </c>
      <c r="B100" s="116">
        <v>45787</v>
      </c>
      <c r="C100" s="117">
        <v>2025</v>
      </c>
      <c r="D100" s="118" t="s">
        <v>851</v>
      </c>
      <c r="E100" s="119" t="s">
        <v>600</v>
      </c>
      <c r="F100" s="120">
        <v>48</v>
      </c>
      <c r="G100" s="121">
        <v>120000</v>
      </c>
    </row>
    <row r="101" spans="1:7" hidden="1" x14ac:dyDescent="0.25">
      <c r="A101" s="197">
        <v>96</v>
      </c>
      <c r="B101" s="116">
        <v>45787</v>
      </c>
      <c r="C101" s="117">
        <v>2025</v>
      </c>
      <c r="D101" s="118" t="s">
        <v>851</v>
      </c>
      <c r="E101" s="119" t="s">
        <v>1407</v>
      </c>
      <c r="F101" s="120">
        <v>6</v>
      </c>
      <c r="G101" s="121">
        <v>714696</v>
      </c>
    </row>
    <row r="102" spans="1:7" hidden="1" x14ac:dyDescent="0.25">
      <c r="A102" s="197">
        <v>97</v>
      </c>
      <c r="B102" s="116">
        <v>45787</v>
      </c>
      <c r="C102" s="117">
        <v>2025</v>
      </c>
      <c r="D102" s="118" t="s">
        <v>851</v>
      </c>
      <c r="E102" s="119" t="s">
        <v>1408</v>
      </c>
      <c r="F102" s="120">
        <v>500</v>
      </c>
      <c r="G102" s="121">
        <v>24000</v>
      </c>
    </row>
    <row r="103" spans="1:7" hidden="1" x14ac:dyDescent="0.25">
      <c r="A103" s="197">
        <v>98</v>
      </c>
      <c r="B103" s="116">
        <v>45797</v>
      </c>
      <c r="C103" s="117">
        <v>2025</v>
      </c>
      <c r="D103" s="118" t="s">
        <v>851</v>
      </c>
      <c r="E103" s="119" t="s">
        <v>1417</v>
      </c>
      <c r="F103" s="120">
        <v>7</v>
      </c>
      <c r="G103" s="121">
        <v>2202137</v>
      </c>
    </row>
    <row r="104" spans="1:7" hidden="1" x14ac:dyDescent="0.25">
      <c r="A104" s="197">
        <v>99</v>
      </c>
      <c r="B104" s="116">
        <v>45797</v>
      </c>
      <c r="C104" s="117">
        <v>2025</v>
      </c>
      <c r="D104" s="118" t="s">
        <v>851</v>
      </c>
      <c r="E104" s="119" t="s">
        <v>299</v>
      </c>
      <c r="F104" s="120">
        <v>2</v>
      </c>
      <c r="G104" s="121">
        <v>17068</v>
      </c>
    </row>
    <row r="105" spans="1:7" hidden="1" x14ac:dyDescent="0.25">
      <c r="A105" s="197">
        <v>100</v>
      </c>
      <c r="B105" s="116">
        <v>45797</v>
      </c>
      <c r="C105" s="117">
        <v>2025</v>
      </c>
      <c r="D105" s="118" t="s">
        <v>851</v>
      </c>
      <c r="E105" s="119" t="s">
        <v>1418</v>
      </c>
      <c r="F105" s="120">
        <v>3</v>
      </c>
      <c r="G105" s="121">
        <v>217002</v>
      </c>
    </row>
    <row r="106" spans="1:7" hidden="1" x14ac:dyDescent="0.25">
      <c r="A106" s="197">
        <v>101</v>
      </c>
      <c r="B106" s="116">
        <v>45800</v>
      </c>
      <c r="C106" s="117">
        <v>2025</v>
      </c>
      <c r="D106" s="118" t="s">
        <v>851</v>
      </c>
      <c r="E106" s="119" t="s">
        <v>605</v>
      </c>
      <c r="F106" s="120">
        <v>3</v>
      </c>
      <c r="G106" s="121">
        <v>22602</v>
      </c>
    </row>
    <row r="107" spans="1:7" hidden="1" x14ac:dyDescent="0.25">
      <c r="A107" s="197">
        <v>102</v>
      </c>
      <c r="B107" s="116">
        <v>45801</v>
      </c>
      <c r="C107" s="117">
        <v>2025</v>
      </c>
      <c r="D107" s="118" t="s">
        <v>851</v>
      </c>
      <c r="E107" s="119" t="s">
        <v>180</v>
      </c>
      <c r="F107" s="120">
        <v>20</v>
      </c>
      <c r="G107" s="121">
        <v>50000</v>
      </c>
    </row>
    <row r="108" spans="1:7" hidden="1" x14ac:dyDescent="0.25">
      <c r="A108" s="197">
        <v>103</v>
      </c>
      <c r="B108" s="116">
        <v>45804</v>
      </c>
      <c r="C108" s="117">
        <v>2025</v>
      </c>
      <c r="D108" s="118" t="s">
        <v>851</v>
      </c>
      <c r="E108" s="119" t="s">
        <v>1426</v>
      </c>
      <c r="F108" s="120">
        <v>1</v>
      </c>
      <c r="G108" s="121">
        <v>276900</v>
      </c>
    </row>
    <row r="109" spans="1:7" hidden="1" x14ac:dyDescent="0.25">
      <c r="A109" s="197">
        <v>104</v>
      </c>
      <c r="B109" s="116">
        <v>45807</v>
      </c>
      <c r="C109" s="117">
        <v>2025</v>
      </c>
      <c r="D109" s="118" t="s">
        <v>851</v>
      </c>
      <c r="E109" s="119" t="s">
        <v>1148</v>
      </c>
      <c r="F109" s="120">
        <v>1</v>
      </c>
      <c r="G109" s="121">
        <v>20000</v>
      </c>
    </row>
    <row r="110" spans="1:7" hidden="1" x14ac:dyDescent="0.25">
      <c r="A110" s="197">
        <v>105</v>
      </c>
      <c r="B110" s="116">
        <v>45807</v>
      </c>
      <c r="C110" s="117">
        <v>2025</v>
      </c>
      <c r="D110" s="118" t="s">
        <v>851</v>
      </c>
      <c r="E110" s="119" t="s">
        <v>1329</v>
      </c>
      <c r="F110" s="120">
        <v>3</v>
      </c>
      <c r="G110" s="121">
        <v>126000</v>
      </c>
    </row>
    <row r="111" spans="1:7" hidden="1" x14ac:dyDescent="0.25">
      <c r="A111" s="197">
        <v>106</v>
      </c>
      <c r="B111" s="116">
        <v>45808</v>
      </c>
      <c r="C111" s="117">
        <v>2025</v>
      </c>
      <c r="D111" s="118" t="s">
        <v>851</v>
      </c>
      <c r="E111" s="119" t="s">
        <v>666</v>
      </c>
      <c r="F111" s="120">
        <v>1</v>
      </c>
      <c r="G111" s="121">
        <v>26900</v>
      </c>
    </row>
    <row r="112" spans="1:7" hidden="1" x14ac:dyDescent="0.25">
      <c r="A112" s="197">
        <v>107</v>
      </c>
      <c r="B112" s="116">
        <v>45812</v>
      </c>
      <c r="C112" s="117">
        <v>2025</v>
      </c>
      <c r="D112" s="118" t="s">
        <v>851</v>
      </c>
      <c r="E112" s="119" t="s">
        <v>1427</v>
      </c>
      <c r="F112" s="120">
        <v>130</v>
      </c>
      <c r="G112" s="121">
        <v>205270</v>
      </c>
    </row>
    <row r="113" spans="1:7" hidden="1" x14ac:dyDescent="0.25">
      <c r="A113" s="197">
        <v>108</v>
      </c>
      <c r="B113" s="116">
        <v>45812</v>
      </c>
      <c r="C113" s="117">
        <v>2025</v>
      </c>
      <c r="D113" s="118" t="s">
        <v>851</v>
      </c>
      <c r="E113" s="119" t="s">
        <v>706</v>
      </c>
      <c r="F113" s="120">
        <v>100</v>
      </c>
      <c r="G113" s="121">
        <v>274400</v>
      </c>
    </row>
    <row r="114" spans="1:7" hidden="1" x14ac:dyDescent="0.25">
      <c r="A114" s="197">
        <v>109</v>
      </c>
      <c r="B114" s="116">
        <v>45812</v>
      </c>
      <c r="C114" s="117">
        <v>2025</v>
      </c>
      <c r="D114" s="118" t="s">
        <v>851</v>
      </c>
      <c r="E114" s="119" t="s">
        <v>1429</v>
      </c>
      <c r="F114" s="120">
        <v>30</v>
      </c>
      <c r="G114" s="121">
        <v>18420</v>
      </c>
    </row>
    <row r="115" spans="1:7" hidden="1" x14ac:dyDescent="0.25">
      <c r="A115" s="197">
        <v>110</v>
      </c>
      <c r="B115" s="116">
        <v>45815</v>
      </c>
      <c r="C115" s="117">
        <v>2025</v>
      </c>
      <c r="D115" s="118" t="s">
        <v>851</v>
      </c>
      <c r="E115" s="119" t="s">
        <v>652</v>
      </c>
      <c r="F115" s="120">
        <v>1</v>
      </c>
      <c r="G115" s="121">
        <v>3635</v>
      </c>
    </row>
    <row r="116" spans="1:7" hidden="1" x14ac:dyDescent="0.25">
      <c r="A116" s="197">
        <v>111</v>
      </c>
      <c r="B116" s="116">
        <v>45815</v>
      </c>
      <c r="C116" s="117">
        <v>2025</v>
      </c>
      <c r="D116" s="118" t="s">
        <v>851</v>
      </c>
      <c r="E116" s="119" t="s">
        <v>600</v>
      </c>
      <c r="F116" s="120">
        <v>12</v>
      </c>
      <c r="G116" s="121">
        <v>27588</v>
      </c>
    </row>
    <row r="117" spans="1:7" hidden="1" x14ac:dyDescent="0.25">
      <c r="A117" s="197">
        <v>112</v>
      </c>
      <c r="B117" s="116">
        <v>45815</v>
      </c>
      <c r="C117" s="117">
        <v>2025</v>
      </c>
      <c r="D117" s="118" t="s">
        <v>851</v>
      </c>
      <c r="E117" s="119" t="s">
        <v>628</v>
      </c>
      <c r="F117" s="120">
        <v>18</v>
      </c>
      <c r="G117" s="121">
        <v>504000</v>
      </c>
    </row>
    <row r="118" spans="1:7" hidden="1" x14ac:dyDescent="0.25">
      <c r="A118" s="197">
        <v>113</v>
      </c>
      <c r="B118" s="116">
        <v>45815</v>
      </c>
      <c r="C118" s="117">
        <v>2025</v>
      </c>
      <c r="D118" s="118" t="s">
        <v>851</v>
      </c>
      <c r="E118" s="119" t="s">
        <v>1408</v>
      </c>
      <c r="F118" s="120">
        <v>100</v>
      </c>
      <c r="G118" s="121">
        <v>4300</v>
      </c>
    </row>
    <row r="119" spans="1:7" hidden="1" x14ac:dyDescent="0.25">
      <c r="A119" s="197">
        <v>114</v>
      </c>
      <c r="B119" s="116">
        <v>45817</v>
      </c>
      <c r="C119" s="117">
        <v>2025</v>
      </c>
      <c r="D119" s="118" t="s">
        <v>851</v>
      </c>
      <c r="E119" s="119" t="s">
        <v>1431</v>
      </c>
      <c r="F119" s="120">
        <v>2</v>
      </c>
      <c r="G119" s="121">
        <v>28898</v>
      </c>
    </row>
    <row r="120" spans="1:7" hidden="1" x14ac:dyDescent="0.25">
      <c r="A120" s="197">
        <v>115</v>
      </c>
      <c r="B120" s="116">
        <v>45820</v>
      </c>
      <c r="C120" s="117">
        <v>2025</v>
      </c>
      <c r="D120" s="118" t="s">
        <v>851</v>
      </c>
      <c r="E120" s="119" t="s">
        <v>527</v>
      </c>
      <c r="F120" s="120">
        <v>2</v>
      </c>
      <c r="G120" s="121">
        <v>18900</v>
      </c>
    </row>
    <row r="121" spans="1:7" hidden="1" x14ac:dyDescent="0.25">
      <c r="A121" s="197">
        <v>116</v>
      </c>
      <c r="B121" s="116">
        <v>45825</v>
      </c>
      <c r="C121" s="117">
        <v>2025</v>
      </c>
      <c r="D121" s="118" t="s">
        <v>851</v>
      </c>
      <c r="E121" s="119" t="s">
        <v>1436</v>
      </c>
      <c r="F121" s="120">
        <v>1</v>
      </c>
      <c r="G121" s="121">
        <v>1243314</v>
      </c>
    </row>
    <row r="122" spans="1:7" hidden="1" x14ac:dyDescent="0.25">
      <c r="A122" s="197">
        <v>117</v>
      </c>
      <c r="B122" s="116">
        <v>45833</v>
      </c>
      <c r="C122" s="117">
        <v>2025</v>
      </c>
      <c r="D122" s="118" t="s">
        <v>851</v>
      </c>
      <c r="E122" s="119" t="s">
        <v>763</v>
      </c>
      <c r="F122" s="120">
        <v>1</v>
      </c>
      <c r="G122" s="121">
        <v>104340000</v>
      </c>
    </row>
    <row r="123" spans="1:7" hidden="1" x14ac:dyDescent="0.25">
      <c r="A123" s="197">
        <v>118</v>
      </c>
      <c r="B123" s="116">
        <v>45834</v>
      </c>
      <c r="C123" s="117">
        <v>2025</v>
      </c>
      <c r="D123" s="118" t="s">
        <v>851</v>
      </c>
      <c r="E123" s="119" t="s">
        <v>652</v>
      </c>
      <c r="F123" s="120">
        <v>1</v>
      </c>
      <c r="G123" s="121">
        <v>3850</v>
      </c>
    </row>
    <row r="124" spans="1:7" hidden="1" x14ac:dyDescent="0.25">
      <c r="A124" s="197">
        <v>119</v>
      </c>
      <c r="B124" s="116">
        <v>45834</v>
      </c>
      <c r="C124" s="117">
        <v>2025</v>
      </c>
      <c r="D124" s="118" t="s">
        <v>851</v>
      </c>
      <c r="E124" s="119" t="s">
        <v>600</v>
      </c>
      <c r="F124" s="120">
        <v>12</v>
      </c>
      <c r="G124" s="121">
        <v>27588</v>
      </c>
    </row>
    <row r="125" spans="1:7" hidden="1" x14ac:dyDescent="0.25">
      <c r="A125" s="197">
        <v>120</v>
      </c>
      <c r="B125" s="116">
        <v>45834</v>
      </c>
      <c r="C125" s="117">
        <v>2025</v>
      </c>
      <c r="D125" s="118" t="s">
        <v>851</v>
      </c>
      <c r="E125" s="119" t="s">
        <v>1408</v>
      </c>
      <c r="F125" s="120">
        <v>10</v>
      </c>
      <c r="G125" s="121">
        <v>12900</v>
      </c>
    </row>
    <row r="126" spans="1:7" hidden="1" x14ac:dyDescent="0.25">
      <c r="A126" s="197">
        <v>121</v>
      </c>
      <c r="B126" s="116">
        <v>45839</v>
      </c>
      <c r="C126" s="117">
        <v>2025</v>
      </c>
      <c r="D126" s="118" t="s">
        <v>851</v>
      </c>
      <c r="E126" s="119" t="s">
        <v>1417</v>
      </c>
      <c r="F126" s="120">
        <v>2</v>
      </c>
      <c r="G126" s="121">
        <v>955798</v>
      </c>
    </row>
    <row r="127" spans="1:7" hidden="1" x14ac:dyDescent="0.25">
      <c r="A127" s="197">
        <v>122</v>
      </c>
      <c r="B127" s="116">
        <v>45840</v>
      </c>
      <c r="C127" s="117">
        <v>2025</v>
      </c>
      <c r="D127" s="118" t="s">
        <v>851</v>
      </c>
      <c r="E127" s="119" t="s">
        <v>652</v>
      </c>
      <c r="F127" s="120">
        <v>2</v>
      </c>
      <c r="G127" s="121">
        <v>7000</v>
      </c>
    </row>
    <row r="128" spans="1:7" hidden="1" x14ac:dyDescent="0.25">
      <c r="A128" s="197">
        <v>123</v>
      </c>
      <c r="B128" s="116">
        <v>45840</v>
      </c>
      <c r="C128" s="117">
        <v>2025</v>
      </c>
      <c r="D128" s="118" t="s">
        <v>851</v>
      </c>
      <c r="E128" s="119" t="s">
        <v>661</v>
      </c>
      <c r="F128" s="120">
        <v>6</v>
      </c>
      <c r="G128" s="121">
        <v>48000</v>
      </c>
    </row>
    <row r="129" spans="1:7" hidden="1" x14ac:dyDescent="0.25">
      <c r="A129" s="197">
        <v>124</v>
      </c>
      <c r="B129" s="167">
        <v>45842</v>
      </c>
      <c r="C129" s="117">
        <v>2025</v>
      </c>
      <c r="D129" s="119" t="s">
        <v>851</v>
      </c>
      <c r="E129" s="119" t="s">
        <v>600</v>
      </c>
      <c r="F129" s="120">
        <v>60</v>
      </c>
      <c r="G129" s="168">
        <v>150000</v>
      </c>
    </row>
    <row r="130" spans="1:7" hidden="1" x14ac:dyDescent="0.25">
      <c r="A130" s="197">
        <v>125</v>
      </c>
      <c r="B130" s="167">
        <v>45848</v>
      </c>
      <c r="C130" s="117">
        <v>2025</v>
      </c>
      <c r="D130" s="119" t="s">
        <v>851</v>
      </c>
      <c r="E130" s="119" t="s">
        <v>652</v>
      </c>
      <c r="F130" s="120">
        <v>1</v>
      </c>
      <c r="G130" s="168">
        <v>3500</v>
      </c>
    </row>
    <row r="131" spans="1:7" hidden="1" x14ac:dyDescent="0.25">
      <c r="A131" s="197">
        <v>126</v>
      </c>
      <c r="B131" s="167">
        <v>45853</v>
      </c>
      <c r="C131" s="117">
        <v>2025</v>
      </c>
      <c r="D131" s="119" t="s">
        <v>851</v>
      </c>
      <c r="E131" s="119" t="s">
        <v>1469</v>
      </c>
      <c r="F131" s="120">
        <v>1</v>
      </c>
      <c r="G131" s="168">
        <v>244900</v>
      </c>
    </row>
    <row r="132" spans="1:7" hidden="1" x14ac:dyDescent="0.25">
      <c r="A132" s="197">
        <v>127</v>
      </c>
      <c r="B132" s="167">
        <v>45861</v>
      </c>
      <c r="C132" s="117">
        <v>2025</v>
      </c>
      <c r="D132" s="119" t="s">
        <v>851</v>
      </c>
      <c r="E132" s="119" t="s">
        <v>704</v>
      </c>
      <c r="F132" s="120">
        <v>10</v>
      </c>
      <c r="G132" s="168">
        <v>80400</v>
      </c>
    </row>
    <row r="133" spans="1:7" hidden="1" x14ac:dyDescent="0.25">
      <c r="A133" s="197">
        <v>128</v>
      </c>
      <c r="B133" s="167">
        <v>45866</v>
      </c>
      <c r="C133" s="117">
        <v>2025</v>
      </c>
      <c r="D133" s="119" t="s">
        <v>851</v>
      </c>
      <c r="E133" s="119" t="s">
        <v>425</v>
      </c>
      <c r="F133" s="120">
        <v>10</v>
      </c>
      <c r="G133" s="168">
        <v>415900</v>
      </c>
    </row>
    <row r="134" spans="1:7" hidden="1" x14ac:dyDescent="0.25">
      <c r="A134" s="197">
        <v>129</v>
      </c>
      <c r="B134" s="167">
        <v>45867</v>
      </c>
      <c r="C134" s="117">
        <v>2025</v>
      </c>
      <c r="D134" s="119" t="s">
        <v>851</v>
      </c>
      <c r="E134" s="119" t="s">
        <v>1066</v>
      </c>
      <c r="F134" s="120">
        <v>1</v>
      </c>
      <c r="G134" s="168">
        <v>8400</v>
      </c>
    </row>
    <row r="135" spans="1:7" hidden="1" x14ac:dyDescent="0.25">
      <c r="A135" s="197">
        <v>130</v>
      </c>
      <c r="B135" s="167">
        <v>45881</v>
      </c>
      <c r="C135" s="117">
        <v>2025</v>
      </c>
      <c r="D135" s="119" t="s">
        <v>851</v>
      </c>
      <c r="E135" s="119" t="s">
        <v>299</v>
      </c>
      <c r="F135" s="120">
        <v>54</v>
      </c>
      <c r="G135" s="168">
        <v>412236</v>
      </c>
    </row>
    <row r="136" spans="1:7" hidden="1" x14ac:dyDescent="0.25">
      <c r="A136" s="197">
        <v>131</v>
      </c>
      <c r="B136" s="167">
        <v>45887</v>
      </c>
      <c r="C136" s="117">
        <v>2025</v>
      </c>
      <c r="D136" s="119" t="s">
        <v>851</v>
      </c>
      <c r="E136" s="119" t="s">
        <v>1508</v>
      </c>
      <c r="F136" s="120">
        <v>50</v>
      </c>
      <c r="G136" s="168">
        <v>29550</v>
      </c>
    </row>
    <row r="137" spans="1:7" hidden="1" x14ac:dyDescent="0.25">
      <c r="A137" s="197">
        <v>132</v>
      </c>
      <c r="B137" s="167">
        <v>45888</v>
      </c>
      <c r="C137" s="117">
        <v>2025</v>
      </c>
      <c r="D137" s="119" t="s">
        <v>851</v>
      </c>
      <c r="E137" s="119" t="s">
        <v>704</v>
      </c>
      <c r="F137" s="120">
        <v>190</v>
      </c>
      <c r="G137" s="168">
        <v>1372180</v>
      </c>
    </row>
    <row r="138" spans="1:7" hidden="1" x14ac:dyDescent="0.25">
      <c r="A138" s="197">
        <v>133</v>
      </c>
      <c r="B138" s="167">
        <v>45888</v>
      </c>
      <c r="C138" s="117">
        <v>2025</v>
      </c>
      <c r="D138" s="119" t="s">
        <v>851</v>
      </c>
      <c r="E138" s="119" t="s">
        <v>1249</v>
      </c>
      <c r="F138" s="120">
        <v>1</v>
      </c>
      <c r="G138" s="168">
        <v>56900</v>
      </c>
    </row>
    <row r="139" spans="1:7" hidden="1" x14ac:dyDescent="0.25">
      <c r="A139" s="197">
        <v>134</v>
      </c>
      <c r="B139" s="167">
        <v>45894</v>
      </c>
      <c r="C139" s="117">
        <v>2025</v>
      </c>
      <c r="D139" s="119" t="s">
        <v>851</v>
      </c>
      <c r="E139" s="119" t="s">
        <v>1514</v>
      </c>
      <c r="F139" s="120">
        <v>1</v>
      </c>
      <c r="G139" s="168">
        <v>50000</v>
      </c>
    </row>
    <row r="140" spans="1:7" hidden="1" x14ac:dyDescent="0.25">
      <c r="A140" s="197">
        <v>135</v>
      </c>
      <c r="B140" s="116">
        <v>45894</v>
      </c>
      <c r="C140" s="117">
        <v>2025</v>
      </c>
      <c r="D140" s="118" t="s">
        <v>851</v>
      </c>
      <c r="E140" s="119" t="s">
        <v>927</v>
      </c>
      <c r="F140" s="120">
        <v>1</v>
      </c>
      <c r="G140" s="121">
        <v>37700</v>
      </c>
    </row>
    <row r="141" spans="1:7" hidden="1" x14ac:dyDescent="0.25">
      <c r="A141" s="197">
        <v>136</v>
      </c>
      <c r="B141" s="167">
        <v>45894</v>
      </c>
      <c r="C141" s="117">
        <v>2025</v>
      </c>
      <c r="D141" s="119" t="s">
        <v>851</v>
      </c>
      <c r="E141" s="119" t="s">
        <v>927</v>
      </c>
      <c r="F141" s="120">
        <v>1</v>
      </c>
      <c r="G141" s="168">
        <v>37700</v>
      </c>
    </row>
    <row r="142" spans="1:7" hidden="1" x14ac:dyDescent="0.25">
      <c r="A142" s="197">
        <v>137</v>
      </c>
      <c r="B142" s="167">
        <v>45897</v>
      </c>
      <c r="C142" s="117">
        <v>2025</v>
      </c>
      <c r="D142" s="119" t="s">
        <v>851</v>
      </c>
      <c r="E142" s="119" t="s">
        <v>1516</v>
      </c>
      <c r="F142" s="120">
        <v>1</v>
      </c>
      <c r="G142" s="168">
        <v>8500000</v>
      </c>
    </row>
    <row r="143" spans="1:7" hidden="1" x14ac:dyDescent="0.25">
      <c r="A143" s="197">
        <v>138</v>
      </c>
      <c r="B143" s="167">
        <v>45902</v>
      </c>
      <c r="C143" s="117">
        <v>2025</v>
      </c>
      <c r="D143" s="119" t="s">
        <v>851</v>
      </c>
      <c r="E143" s="119" t="s">
        <v>588</v>
      </c>
      <c r="F143" s="120">
        <v>3</v>
      </c>
      <c r="G143" s="168">
        <v>15702</v>
      </c>
    </row>
    <row r="144" spans="1:7" hidden="1" x14ac:dyDescent="0.25">
      <c r="A144" s="197">
        <v>139</v>
      </c>
      <c r="B144" s="167">
        <v>45904</v>
      </c>
      <c r="C144" s="117">
        <v>2025</v>
      </c>
      <c r="D144" s="119" t="s">
        <v>851</v>
      </c>
      <c r="E144" s="119" t="s">
        <v>240</v>
      </c>
      <c r="F144" s="120">
        <v>1</v>
      </c>
      <c r="G144" s="168">
        <v>82975</v>
      </c>
    </row>
    <row r="145" spans="1:7" hidden="1" x14ac:dyDescent="0.25">
      <c r="A145" s="197">
        <v>140</v>
      </c>
      <c r="B145" s="167">
        <v>45922</v>
      </c>
      <c r="C145" s="117">
        <v>2025</v>
      </c>
      <c r="D145" s="119" t="s">
        <v>851</v>
      </c>
      <c r="E145" s="119" t="s">
        <v>1530</v>
      </c>
      <c r="F145" s="120">
        <v>1</v>
      </c>
      <c r="G145" s="168">
        <v>419957</v>
      </c>
    </row>
    <row r="146" spans="1:7" hidden="1" x14ac:dyDescent="0.25">
      <c r="A146" s="197">
        <v>141</v>
      </c>
      <c r="B146" s="167">
        <v>45929</v>
      </c>
      <c r="C146" s="117">
        <v>2025</v>
      </c>
      <c r="D146" s="119" t="s">
        <v>851</v>
      </c>
      <c r="E146" s="119" t="s">
        <v>517</v>
      </c>
      <c r="F146" s="120">
        <v>10</v>
      </c>
      <c r="G146" s="168">
        <v>14000</v>
      </c>
    </row>
    <row r="147" spans="1:7" hidden="1" x14ac:dyDescent="0.25">
      <c r="A147" s="197">
        <v>142</v>
      </c>
      <c r="B147" s="167">
        <v>45929</v>
      </c>
      <c r="C147" s="117">
        <v>2025</v>
      </c>
      <c r="D147" s="119" t="s">
        <v>851</v>
      </c>
      <c r="E147" s="119" t="s">
        <v>661</v>
      </c>
      <c r="F147" s="120">
        <v>4</v>
      </c>
      <c r="G147" s="168">
        <v>19596</v>
      </c>
    </row>
    <row r="148" spans="1:7" hidden="1" x14ac:dyDescent="0.25">
      <c r="A148" s="197">
        <v>143</v>
      </c>
      <c r="B148" s="167">
        <v>45931</v>
      </c>
      <c r="C148" s="117">
        <v>2025</v>
      </c>
      <c r="D148" s="119" t="s">
        <v>851</v>
      </c>
      <c r="E148" s="119" t="s">
        <v>666</v>
      </c>
      <c r="F148" s="120">
        <v>1</v>
      </c>
      <c r="G148" s="168">
        <v>26899</v>
      </c>
    </row>
    <row r="149" spans="1:7" hidden="1" x14ac:dyDescent="0.25">
      <c r="A149" s="197">
        <v>144</v>
      </c>
      <c r="B149" s="167">
        <v>45931</v>
      </c>
      <c r="C149" s="117">
        <v>2025</v>
      </c>
      <c r="D149" s="119" t="s">
        <v>851</v>
      </c>
      <c r="E149" s="119" t="s">
        <v>1396</v>
      </c>
      <c r="F149" s="120">
        <v>1</v>
      </c>
      <c r="G149" s="168">
        <v>7400</v>
      </c>
    </row>
    <row r="150" spans="1:7" hidden="1" x14ac:dyDescent="0.25">
      <c r="A150" s="197">
        <v>145</v>
      </c>
      <c r="B150" s="167">
        <v>45933</v>
      </c>
      <c r="C150" s="117">
        <v>2025</v>
      </c>
      <c r="D150" s="119" t="s">
        <v>851</v>
      </c>
      <c r="E150" s="119" t="s">
        <v>1066</v>
      </c>
      <c r="F150" s="120">
        <v>1</v>
      </c>
      <c r="G150" s="168">
        <v>11600</v>
      </c>
    </row>
    <row r="151" spans="1:7" hidden="1" x14ac:dyDescent="0.25">
      <c r="A151" s="197">
        <v>146</v>
      </c>
      <c r="B151" s="167">
        <v>45943</v>
      </c>
      <c r="C151" s="117">
        <v>2025</v>
      </c>
      <c r="D151" s="119" t="s">
        <v>851</v>
      </c>
      <c r="E151" s="119" t="s">
        <v>1431</v>
      </c>
      <c r="F151" s="120">
        <v>1</v>
      </c>
      <c r="G151" s="168">
        <v>13250</v>
      </c>
    </row>
    <row r="152" spans="1:7" hidden="1" x14ac:dyDescent="0.25">
      <c r="A152" s="197">
        <v>147</v>
      </c>
      <c r="B152" s="116">
        <v>45951</v>
      </c>
      <c r="C152" s="117">
        <v>2025</v>
      </c>
      <c r="D152" s="118" t="s">
        <v>851</v>
      </c>
      <c r="E152" s="119" t="s">
        <v>1561</v>
      </c>
      <c r="F152" s="120">
        <v>1</v>
      </c>
      <c r="G152" s="121">
        <v>840400</v>
      </c>
    </row>
    <row r="153" spans="1:7" hidden="1" x14ac:dyDescent="0.25">
      <c r="A153" s="197">
        <v>148</v>
      </c>
      <c r="B153" s="116">
        <v>45964</v>
      </c>
      <c r="C153" s="117">
        <v>2025</v>
      </c>
      <c r="D153" s="118" t="s">
        <v>851</v>
      </c>
      <c r="E153" s="119" t="s">
        <v>240</v>
      </c>
      <c r="F153" s="120">
        <v>1</v>
      </c>
      <c r="G153" s="121">
        <v>29900</v>
      </c>
    </row>
    <row r="154" spans="1:7" hidden="1" x14ac:dyDescent="0.25">
      <c r="A154" s="197">
        <v>149</v>
      </c>
      <c r="B154" s="167">
        <v>45967</v>
      </c>
      <c r="C154" s="117">
        <v>2025</v>
      </c>
      <c r="D154" s="119" t="s">
        <v>851</v>
      </c>
      <c r="E154" s="119" t="s">
        <v>107</v>
      </c>
      <c r="F154" s="120">
        <v>2</v>
      </c>
      <c r="G154" s="168">
        <v>25900</v>
      </c>
    </row>
    <row r="155" spans="1:7" hidden="1" x14ac:dyDescent="0.25">
      <c r="A155" s="197">
        <v>150</v>
      </c>
      <c r="B155" s="167">
        <v>45971</v>
      </c>
      <c r="C155" s="117">
        <v>2025</v>
      </c>
      <c r="D155" s="119" t="s">
        <v>851</v>
      </c>
      <c r="E155" s="119" t="s">
        <v>101</v>
      </c>
      <c r="F155" s="120">
        <v>3</v>
      </c>
      <c r="G155" s="168">
        <v>7899</v>
      </c>
    </row>
    <row r="156" spans="1:7" hidden="1" x14ac:dyDescent="0.25">
      <c r="A156" s="197">
        <v>151</v>
      </c>
      <c r="B156" s="167">
        <v>45975</v>
      </c>
      <c r="C156" s="117">
        <v>2025</v>
      </c>
      <c r="D156" s="119" t="s">
        <v>851</v>
      </c>
      <c r="E156" s="119" t="s">
        <v>175</v>
      </c>
      <c r="F156" s="120">
        <v>30</v>
      </c>
      <c r="G156" s="168">
        <v>541890</v>
      </c>
    </row>
    <row r="157" spans="1:7" hidden="1" x14ac:dyDescent="0.25">
      <c r="A157" s="197">
        <v>152</v>
      </c>
      <c r="B157" s="167">
        <v>45978</v>
      </c>
      <c r="C157" s="117">
        <v>2025</v>
      </c>
      <c r="D157" s="119" t="s">
        <v>851</v>
      </c>
      <c r="E157" s="119" t="s">
        <v>1346</v>
      </c>
      <c r="F157" s="120">
        <v>1</v>
      </c>
      <c r="G157" s="168">
        <v>9275</v>
      </c>
    </row>
    <row r="158" spans="1:7" hidden="1" x14ac:dyDescent="0.25">
      <c r="A158" s="197">
        <v>153</v>
      </c>
      <c r="B158" s="167">
        <v>45978</v>
      </c>
      <c r="C158" s="117">
        <v>2025</v>
      </c>
      <c r="D158" s="119" t="s">
        <v>851</v>
      </c>
      <c r="E158" s="119" t="s">
        <v>1461</v>
      </c>
      <c r="F158" s="120">
        <v>2</v>
      </c>
      <c r="G158" s="168">
        <v>5000</v>
      </c>
    </row>
    <row r="159" spans="1:7" hidden="1" x14ac:dyDescent="0.25">
      <c r="A159" s="197">
        <v>154</v>
      </c>
      <c r="B159" s="167">
        <v>45979</v>
      </c>
      <c r="C159" s="117">
        <v>2025</v>
      </c>
      <c r="D159" s="119" t="s">
        <v>851</v>
      </c>
      <c r="E159" s="119" t="s">
        <v>1578</v>
      </c>
      <c r="F159" s="120">
        <v>1</v>
      </c>
      <c r="G159" s="168">
        <v>81000</v>
      </c>
    </row>
    <row r="160" spans="1:7" hidden="1" x14ac:dyDescent="0.25">
      <c r="A160" s="197">
        <v>155</v>
      </c>
      <c r="B160" s="167">
        <v>45979</v>
      </c>
      <c r="C160" s="117">
        <v>2025</v>
      </c>
      <c r="D160" s="119" t="s">
        <v>851</v>
      </c>
      <c r="E160" s="119" t="s">
        <v>1580</v>
      </c>
      <c r="F160" s="120">
        <v>1</v>
      </c>
      <c r="G160" s="168">
        <v>35000</v>
      </c>
    </row>
    <row r="161" spans="1:7" hidden="1" x14ac:dyDescent="0.25">
      <c r="A161" s="197">
        <v>156</v>
      </c>
      <c r="B161" s="167">
        <v>45980</v>
      </c>
      <c r="C161" s="117">
        <v>2025</v>
      </c>
      <c r="D161" s="119" t="s">
        <v>851</v>
      </c>
      <c r="E161" s="119" t="s">
        <v>652</v>
      </c>
      <c r="F161" s="120">
        <v>2</v>
      </c>
      <c r="G161" s="168">
        <v>7900</v>
      </c>
    </row>
    <row r="162" spans="1:7" hidden="1" x14ac:dyDescent="0.25">
      <c r="A162" s="197">
        <v>157</v>
      </c>
      <c r="B162" s="116">
        <v>45980</v>
      </c>
      <c r="C162" s="117">
        <v>2025</v>
      </c>
      <c r="D162" s="118" t="s">
        <v>851</v>
      </c>
      <c r="E162" s="119" t="s">
        <v>1346</v>
      </c>
      <c r="F162" s="120">
        <v>1</v>
      </c>
      <c r="G162" s="121">
        <v>21650</v>
      </c>
    </row>
    <row r="163" spans="1:7" hidden="1" x14ac:dyDescent="0.25">
      <c r="A163" s="197">
        <v>158</v>
      </c>
      <c r="B163" s="116">
        <v>45985</v>
      </c>
      <c r="C163" s="117">
        <v>2025</v>
      </c>
      <c r="D163" s="118" t="s">
        <v>851</v>
      </c>
      <c r="E163" s="119" t="s">
        <v>1580</v>
      </c>
      <c r="F163" s="120">
        <v>1</v>
      </c>
      <c r="G163" s="121">
        <v>35000</v>
      </c>
    </row>
    <row r="164" spans="1:7" hidden="1" x14ac:dyDescent="0.25">
      <c r="A164" s="197">
        <v>159</v>
      </c>
      <c r="B164" s="116">
        <v>45985</v>
      </c>
      <c r="C164" s="117">
        <v>2025</v>
      </c>
      <c r="D164" s="118" t="s">
        <v>851</v>
      </c>
      <c r="E164" s="119" t="s">
        <v>1311</v>
      </c>
      <c r="F164" s="120">
        <v>2</v>
      </c>
      <c r="G164" s="121">
        <v>30000</v>
      </c>
    </row>
    <row r="165" spans="1:7" hidden="1" x14ac:dyDescent="0.25">
      <c r="A165" s="197">
        <v>160</v>
      </c>
      <c r="B165" s="167">
        <v>45986</v>
      </c>
      <c r="C165" s="117">
        <v>2025</v>
      </c>
      <c r="D165" s="119" t="s">
        <v>851</v>
      </c>
      <c r="E165" s="119" t="s">
        <v>1461</v>
      </c>
      <c r="F165" s="120">
        <v>5</v>
      </c>
      <c r="G165" s="168">
        <v>12500</v>
      </c>
    </row>
    <row r="166" spans="1:7" hidden="1" x14ac:dyDescent="0.25">
      <c r="A166" s="197">
        <v>161</v>
      </c>
      <c r="B166" s="167">
        <v>45987</v>
      </c>
      <c r="C166" s="117">
        <v>2025</v>
      </c>
      <c r="D166" s="119" t="s">
        <v>851</v>
      </c>
      <c r="E166" s="119" t="s">
        <v>652</v>
      </c>
      <c r="F166" s="120">
        <v>10</v>
      </c>
      <c r="G166" s="168">
        <v>12040</v>
      </c>
    </row>
    <row r="167" spans="1:7" hidden="1" x14ac:dyDescent="0.25">
      <c r="A167" s="197">
        <v>162</v>
      </c>
      <c r="B167" s="116">
        <v>45987</v>
      </c>
      <c r="C167" s="117">
        <v>2025</v>
      </c>
      <c r="D167" s="118" t="s">
        <v>851</v>
      </c>
      <c r="E167" s="119" t="s">
        <v>600</v>
      </c>
      <c r="F167" s="120">
        <v>36</v>
      </c>
      <c r="G167" s="121">
        <v>83556</v>
      </c>
    </row>
    <row r="168" spans="1:7" hidden="1" x14ac:dyDescent="0.25">
      <c r="A168" s="197">
        <v>163</v>
      </c>
      <c r="B168" s="167">
        <v>45987</v>
      </c>
      <c r="C168" s="117">
        <v>2025</v>
      </c>
      <c r="D168" s="119" t="s">
        <v>851</v>
      </c>
      <c r="E168" s="119" t="s">
        <v>1066</v>
      </c>
      <c r="F168" s="120">
        <v>1</v>
      </c>
      <c r="G168" s="168">
        <v>9400</v>
      </c>
    </row>
    <row r="169" spans="1:7" hidden="1" x14ac:dyDescent="0.25">
      <c r="A169" s="197">
        <v>164</v>
      </c>
      <c r="B169" s="116">
        <v>45993</v>
      </c>
      <c r="C169" s="117">
        <v>2025</v>
      </c>
      <c r="D169" s="118" t="s">
        <v>851</v>
      </c>
      <c r="E169" s="119" t="s">
        <v>1431</v>
      </c>
      <c r="F169" s="120">
        <v>1</v>
      </c>
      <c r="G169" s="121">
        <v>13250</v>
      </c>
    </row>
    <row r="170" spans="1:7" hidden="1" x14ac:dyDescent="0.25">
      <c r="A170" s="197">
        <v>165</v>
      </c>
      <c r="B170" s="167">
        <v>45994</v>
      </c>
      <c r="C170" s="117">
        <v>2025</v>
      </c>
      <c r="D170" s="119" t="s">
        <v>851</v>
      </c>
      <c r="E170" s="119" t="s">
        <v>175</v>
      </c>
      <c r="F170" s="120">
        <v>100</v>
      </c>
      <c r="G170" s="168">
        <v>31400</v>
      </c>
    </row>
    <row r="171" spans="1:7" hidden="1" x14ac:dyDescent="0.25">
      <c r="A171" s="197">
        <v>166</v>
      </c>
      <c r="B171" s="167">
        <v>45994</v>
      </c>
      <c r="C171" s="117">
        <v>2025</v>
      </c>
      <c r="D171" s="119" t="s">
        <v>851</v>
      </c>
      <c r="E171" s="119" t="s">
        <v>107</v>
      </c>
      <c r="F171" s="120">
        <v>3</v>
      </c>
      <c r="G171" s="168">
        <v>37902</v>
      </c>
    </row>
    <row r="172" spans="1:7" hidden="1" x14ac:dyDescent="0.25">
      <c r="A172" s="197">
        <v>167</v>
      </c>
      <c r="B172" s="167">
        <v>45994</v>
      </c>
      <c r="C172" s="117">
        <v>2025</v>
      </c>
      <c r="D172" s="119" t="s">
        <v>851</v>
      </c>
      <c r="E172" s="119" t="s">
        <v>84</v>
      </c>
      <c r="F172" s="120">
        <v>2</v>
      </c>
      <c r="G172" s="168">
        <v>27900</v>
      </c>
    </row>
    <row r="173" spans="1:7" hidden="1" x14ac:dyDescent="0.25">
      <c r="A173" s="197">
        <v>168</v>
      </c>
      <c r="B173" s="116">
        <v>46006</v>
      </c>
      <c r="C173" s="117">
        <v>2025</v>
      </c>
      <c r="D173" s="118" t="s">
        <v>851</v>
      </c>
      <c r="E173" s="119" t="s">
        <v>299</v>
      </c>
      <c r="F173" s="120">
        <v>4</v>
      </c>
      <c r="G173" s="121">
        <v>41900</v>
      </c>
    </row>
    <row r="174" spans="1:7" hidden="1" x14ac:dyDescent="0.25">
      <c r="A174" s="197">
        <v>169</v>
      </c>
      <c r="B174" s="167">
        <v>46006</v>
      </c>
      <c r="C174" s="117">
        <v>2025</v>
      </c>
      <c r="D174" s="119" t="s">
        <v>851</v>
      </c>
      <c r="E174" s="119" t="s">
        <v>1057</v>
      </c>
      <c r="F174" s="120">
        <v>7</v>
      </c>
      <c r="G174" s="168">
        <v>141400</v>
      </c>
    </row>
    <row r="175" spans="1:7" hidden="1" x14ac:dyDescent="0.25">
      <c r="A175" s="197">
        <v>170</v>
      </c>
      <c r="B175" s="167">
        <v>46006</v>
      </c>
      <c r="C175" s="117">
        <v>2025</v>
      </c>
      <c r="D175" s="119" t="s">
        <v>851</v>
      </c>
      <c r="E175" s="119" t="s">
        <v>1308</v>
      </c>
      <c r="F175" s="120">
        <v>2</v>
      </c>
      <c r="G175" s="168">
        <v>21898</v>
      </c>
    </row>
    <row r="176" spans="1:7" hidden="1" x14ac:dyDescent="0.25">
      <c r="A176" s="197">
        <v>171</v>
      </c>
      <c r="B176" s="167">
        <v>46006</v>
      </c>
      <c r="C176" s="117">
        <v>2025</v>
      </c>
      <c r="D176" s="119" t="s">
        <v>851</v>
      </c>
      <c r="E176" s="119" t="s">
        <v>661</v>
      </c>
      <c r="F176" s="120">
        <v>9</v>
      </c>
      <c r="G176" s="168">
        <v>46008</v>
      </c>
    </row>
    <row r="177" spans="1:7" hidden="1" x14ac:dyDescent="0.25">
      <c r="A177" s="197">
        <v>172</v>
      </c>
      <c r="B177" s="167">
        <v>46007</v>
      </c>
      <c r="C177" s="117">
        <v>2025</v>
      </c>
      <c r="D177" s="119" t="s">
        <v>851</v>
      </c>
      <c r="E177" s="119" t="s">
        <v>1311</v>
      </c>
      <c r="F177" s="120">
        <v>2</v>
      </c>
      <c r="G177" s="168">
        <v>30000</v>
      </c>
    </row>
    <row r="178" spans="1:7" hidden="1" x14ac:dyDescent="0.25">
      <c r="A178" s="197">
        <v>173</v>
      </c>
      <c r="B178" s="167">
        <v>46011</v>
      </c>
      <c r="C178" s="117">
        <v>2025</v>
      </c>
      <c r="D178" s="119" t="s">
        <v>851</v>
      </c>
      <c r="E178" s="119" t="s">
        <v>1600</v>
      </c>
      <c r="F178" s="120">
        <v>10</v>
      </c>
      <c r="G178" s="168">
        <v>100000</v>
      </c>
    </row>
    <row r="179" spans="1:7" hidden="1" x14ac:dyDescent="0.25">
      <c r="A179" s="197">
        <v>174</v>
      </c>
      <c r="B179" s="116">
        <v>46014</v>
      </c>
      <c r="C179" s="117">
        <v>2025</v>
      </c>
      <c r="D179" s="118" t="s">
        <v>851</v>
      </c>
      <c r="E179" s="119" t="s">
        <v>107</v>
      </c>
      <c r="F179" s="120">
        <v>5</v>
      </c>
      <c r="G179" s="121">
        <v>49650</v>
      </c>
    </row>
    <row r="180" spans="1:7" hidden="1" x14ac:dyDescent="0.25">
      <c r="A180" s="197">
        <v>175</v>
      </c>
      <c r="B180" s="116">
        <v>46020</v>
      </c>
      <c r="C180" s="117">
        <v>2025</v>
      </c>
      <c r="D180" s="118" t="s">
        <v>851</v>
      </c>
      <c r="E180" s="119" t="s">
        <v>763</v>
      </c>
      <c r="F180" s="120">
        <v>1</v>
      </c>
      <c r="G180" s="121">
        <v>104340000</v>
      </c>
    </row>
    <row r="181" spans="1:7" hidden="1" x14ac:dyDescent="0.25">
      <c r="A181" s="197">
        <v>176</v>
      </c>
      <c r="B181" s="167">
        <v>46025</v>
      </c>
      <c r="C181" s="117">
        <v>2026</v>
      </c>
      <c r="D181" s="119" t="s">
        <v>851</v>
      </c>
      <c r="E181" s="119" t="s">
        <v>1506</v>
      </c>
      <c r="F181" s="120">
        <v>4</v>
      </c>
      <c r="G181" s="168">
        <v>10900</v>
      </c>
    </row>
    <row r="182" spans="1:7" hidden="1" x14ac:dyDescent="0.25">
      <c r="A182" s="197">
        <v>177</v>
      </c>
      <c r="B182" s="167">
        <v>46025</v>
      </c>
      <c r="C182" s="117">
        <v>2026</v>
      </c>
      <c r="D182" s="119" t="s">
        <v>851</v>
      </c>
      <c r="E182" s="119" t="s">
        <v>171</v>
      </c>
      <c r="F182" s="120">
        <v>3</v>
      </c>
      <c r="G182" s="168">
        <v>31902</v>
      </c>
    </row>
    <row r="183" spans="1:7" hidden="1" x14ac:dyDescent="0.25">
      <c r="A183" s="197">
        <v>178</v>
      </c>
      <c r="B183" s="167">
        <v>46025</v>
      </c>
      <c r="C183" s="117">
        <v>2026</v>
      </c>
      <c r="D183" s="119" t="s">
        <v>851</v>
      </c>
      <c r="E183" s="119" t="s">
        <v>1294</v>
      </c>
      <c r="F183" s="120">
        <v>3</v>
      </c>
      <c r="G183" s="168">
        <v>31902</v>
      </c>
    </row>
    <row r="184" spans="1:7" hidden="1" x14ac:dyDescent="0.25">
      <c r="A184" s="197">
        <v>179</v>
      </c>
      <c r="B184" s="167">
        <v>46028</v>
      </c>
      <c r="C184" s="117">
        <v>2026</v>
      </c>
      <c r="D184" s="119" t="s">
        <v>851</v>
      </c>
      <c r="E184" s="119" t="s">
        <v>1605</v>
      </c>
      <c r="F184" s="120">
        <v>1</v>
      </c>
      <c r="G184" s="121">
        <v>21000000</v>
      </c>
    </row>
    <row r="185" spans="1:7" hidden="1" x14ac:dyDescent="0.25">
      <c r="A185" s="197">
        <v>180</v>
      </c>
      <c r="B185" s="116">
        <v>46029</v>
      </c>
      <c r="C185" s="117">
        <v>2026</v>
      </c>
      <c r="D185" s="118" t="s">
        <v>851</v>
      </c>
      <c r="E185" s="119" t="s">
        <v>1608</v>
      </c>
      <c r="F185" s="120">
        <v>1</v>
      </c>
      <c r="G185" s="121">
        <v>20800</v>
      </c>
    </row>
    <row r="186" spans="1:7" hidden="1" x14ac:dyDescent="0.25">
      <c r="A186" s="197">
        <v>181</v>
      </c>
      <c r="B186" s="116">
        <v>46030</v>
      </c>
      <c r="C186" s="117">
        <v>2026</v>
      </c>
      <c r="D186" s="118" t="s">
        <v>851</v>
      </c>
      <c r="E186" s="119" t="s">
        <v>1349</v>
      </c>
      <c r="F186" s="120">
        <v>2</v>
      </c>
      <c r="G186" s="121">
        <v>195060</v>
      </c>
    </row>
    <row r="187" spans="1:7" hidden="1" x14ac:dyDescent="0.25">
      <c r="A187" s="197">
        <v>182</v>
      </c>
      <c r="B187" s="116">
        <v>46030</v>
      </c>
      <c r="C187" s="117">
        <v>2026</v>
      </c>
      <c r="D187" s="118" t="s">
        <v>851</v>
      </c>
      <c r="E187" s="119" t="s">
        <v>1140</v>
      </c>
      <c r="F187" s="120">
        <v>2</v>
      </c>
      <c r="G187" s="121">
        <v>64200</v>
      </c>
    </row>
    <row r="188" spans="1:7" hidden="1" x14ac:dyDescent="0.25">
      <c r="A188" s="197">
        <v>183</v>
      </c>
      <c r="B188" s="116">
        <v>46034</v>
      </c>
      <c r="C188" s="117">
        <v>2026</v>
      </c>
      <c r="D188" s="118" t="s">
        <v>851</v>
      </c>
      <c r="E188" s="119" t="s">
        <v>763</v>
      </c>
      <c r="F188" s="120">
        <v>1</v>
      </c>
      <c r="G188" s="121">
        <v>104340000</v>
      </c>
    </row>
    <row r="189" spans="1:7" hidden="1" x14ac:dyDescent="0.25">
      <c r="A189" s="197">
        <v>184</v>
      </c>
      <c r="B189" s="116">
        <v>46034</v>
      </c>
      <c r="C189" s="117">
        <v>2026</v>
      </c>
      <c r="D189" s="118" t="s">
        <v>851</v>
      </c>
      <c r="E189" s="119" t="s">
        <v>1613</v>
      </c>
      <c r="F189" s="120">
        <v>1</v>
      </c>
      <c r="G189" s="121">
        <v>2379010</v>
      </c>
    </row>
    <row r="190" spans="1:7" hidden="1" x14ac:dyDescent="0.25">
      <c r="A190" s="197">
        <v>185</v>
      </c>
      <c r="B190" s="167">
        <v>46036</v>
      </c>
      <c r="C190" s="117">
        <v>2026</v>
      </c>
      <c r="D190" s="119" t="s">
        <v>851</v>
      </c>
      <c r="E190" s="119" t="s">
        <v>299</v>
      </c>
      <c r="F190" s="120">
        <v>54</v>
      </c>
      <c r="G190" s="168">
        <v>402516</v>
      </c>
    </row>
    <row r="191" spans="1:7" hidden="1" x14ac:dyDescent="0.25">
      <c r="A191" s="197">
        <v>186</v>
      </c>
      <c r="B191" s="116">
        <v>46039</v>
      </c>
      <c r="C191" s="117">
        <v>2026</v>
      </c>
      <c r="D191" s="118" t="s">
        <v>851</v>
      </c>
      <c r="E191" s="119" t="s">
        <v>1027</v>
      </c>
      <c r="F191" s="120">
        <v>2</v>
      </c>
      <c r="G191" s="121">
        <v>260000</v>
      </c>
    </row>
    <row r="192" spans="1:7" hidden="1" x14ac:dyDescent="0.25">
      <c r="A192" s="197">
        <v>187</v>
      </c>
      <c r="B192" s="116">
        <v>46044</v>
      </c>
      <c r="C192" s="117">
        <v>2026</v>
      </c>
      <c r="D192" s="118" t="s">
        <v>851</v>
      </c>
      <c r="E192" s="119" t="s">
        <v>107</v>
      </c>
      <c r="F192" s="120">
        <v>5</v>
      </c>
      <c r="G192" s="121">
        <v>51900</v>
      </c>
    </row>
    <row r="193" spans="1:7" hidden="1" x14ac:dyDescent="0.25">
      <c r="A193" s="197">
        <v>188</v>
      </c>
      <c r="B193" s="116">
        <v>46048</v>
      </c>
      <c r="C193" s="117">
        <v>2026</v>
      </c>
      <c r="D193" s="118" t="s">
        <v>851</v>
      </c>
      <c r="E193" s="119" t="s">
        <v>1325</v>
      </c>
      <c r="F193" s="120">
        <v>1</v>
      </c>
      <c r="G193" s="121">
        <v>15500</v>
      </c>
    </row>
    <row r="194" spans="1:7" hidden="1" x14ac:dyDescent="0.25">
      <c r="A194" s="197">
        <v>189</v>
      </c>
      <c r="B194" s="167">
        <v>46050</v>
      </c>
      <c r="C194" s="117">
        <v>2026</v>
      </c>
      <c r="D194" s="119" t="s">
        <v>851</v>
      </c>
      <c r="E194" s="119" t="s">
        <v>211</v>
      </c>
      <c r="F194" s="120">
        <v>1</v>
      </c>
      <c r="G194" s="168">
        <v>30000</v>
      </c>
    </row>
    <row r="195" spans="1:7" hidden="1" x14ac:dyDescent="0.25">
      <c r="A195" s="197">
        <v>190</v>
      </c>
      <c r="B195" s="167">
        <v>46050</v>
      </c>
      <c r="C195" s="117">
        <v>2026</v>
      </c>
      <c r="D195" s="119" t="s">
        <v>851</v>
      </c>
      <c r="E195" s="119" t="s">
        <v>171</v>
      </c>
      <c r="F195" s="120">
        <v>6</v>
      </c>
      <c r="G195" s="168">
        <v>58362</v>
      </c>
    </row>
    <row r="196" spans="1:7" hidden="1" x14ac:dyDescent="0.25">
      <c r="A196" s="197">
        <v>191</v>
      </c>
      <c r="B196" s="167">
        <v>46053</v>
      </c>
      <c r="C196" s="117">
        <v>2026</v>
      </c>
      <c r="D196" s="119" t="s">
        <v>851</v>
      </c>
      <c r="E196" s="119" t="s">
        <v>527</v>
      </c>
      <c r="F196" s="120">
        <v>3</v>
      </c>
      <c r="G196" s="168">
        <v>25602</v>
      </c>
    </row>
    <row r="197" spans="1:7" hidden="1" x14ac:dyDescent="0.25">
      <c r="A197" s="197">
        <v>192</v>
      </c>
      <c r="B197" s="116">
        <v>46053</v>
      </c>
      <c r="C197" s="117">
        <v>2026</v>
      </c>
      <c r="D197" s="118" t="s">
        <v>851</v>
      </c>
      <c r="E197" s="119" t="s">
        <v>382</v>
      </c>
      <c r="F197" s="120">
        <v>1</v>
      </c>
      <c r="G197" s="121">
        <v>20277</v>
      </c>
    </row>
    <row r="198" spans="1:7" hidden="1" x14ac:dyDescent="0.25">
      <c r="A198" s="197">
        <v>193</v>
      </c>
      <c r="B198" s="167">
        <v>46056</v>
      </c>
      <c r="C198" s="117">
        <v>2026</v>
      </c>
      <c r="D198" s="119" t="s">
        <v>851</v>
      </c>
      <c r="E198" s="119" t="s">
        <v>1633</v>
      </c>
      <c r="F198" s="120">
        <v>12</v>
      </c>
      <c r="G198" s="168">
        <v>1000008</v>
      </c>
    </row>
    <row r="199" spans="1:7" hidden="1" x14ac:dyDescent="0.25">
      <c r="A199" s="197">
        <v>194</v>
      </c>
      <c r="B199" s="116">
        <v>46060</v>
      </c>
      <c r="C199" s="117">
        <v>2026</v>
      </c>
      <c r="D199" s="118" t="s">
        <v>851</v>
      </c>
      <c r="E199" s="119" t="s">
        <v>706</v>
      </c>
      <c r="F199" s="120">
        <v>100</v>
      </c>
      <c r="G199" s="121">
        <v>206900</v>
      </c>
    </row>
    <row r="200" spans="1:7" hidden="1" x14ac:dyDescent="0.25">
      <c r="A200" s="197">
        <v>195</v>
      </c>
      <c r="B200" s="116">
        <v>46064</v>
      </c>
      <c r="C200" s="117">
        <v>2026</v>
      </c>
      <c r="D200" s="118" t="s">
        <v>851</v>
      </c>
      <c r="E200" s="119" t="s">
        <v>1636</v>
      </c>
      <c r="F200" s="120">
        <v>1</v>
      </c>
      <c r="G200" s="121">
        <v>61400</v>
      </c>
    </row>
    <row r="201" spans="1:7" hidden="1" x14ac:dyDescent="0.25">
      <c r="A201" s="197">
        <v>196</v>
      </c>
      <c r="B201" s="116">
        <v>46069</v>
      </c>
      <c r="C201" s="117">
        <v>2026</v>
      </c>
      <c r="D201" s="118" t="s">
        <v>851</v>
      </c>
      <c r="E201" s="119" t="s">
        <v>481</v>
      </c>
      <c r="F201" s="120">
        <v>15</v>
      </c>
      <c r="G201" s="121">
        <v>180225</v>
      </c>
    </row>
    <row r="202" spans="1:7" hidden="1" x14ac:dyDescent="0.25">
      <c r="A202" s="197">
        <v>197</v>
      </c>
      <c r="B202" s="116">
        <v>46069</v>
      </c>
      <c r="C202" s="117">
        <v>2026</v>
      </c>
      <c r="D202" s="118" t="s">
        <v>851</v>
      </c>
      <c r="E202" s="119" t="s">
        <v>481</v>
      </c>
      <c r="F202" s="120">
        <v>10</v>
      </c>
      <c r="G202" s="121">
        <v>117440</v>
      </c>
    </row>
    <row r="203" spans="1:7" hidden="1" x14ac:dyDescent="0.25">
      <c r="A203" s="197">
        <v>198</v>
      </c>
      <c r="B203" s="116">
        <v>46069</v>
      </c>
      <c r="C203" s="117">
        <v>2026</v>
      </c>
      <c r="D203" s="118" t="s">
        <v>851</v>
      </c>
      <c r="E203" s="119" t="s">
        <v>481</v>
      </c>
      <c r="F203" s="120">
        <v>10</v>
      </c>
      <c r="G203" s="121">
        <v>201600</v>
      </c>
    </row>
    <row r="204" spans="1:7" hidden="1" x14ac:dyDescent="0.25">
      <c r="A204" s="197">
        <v>199</v>
      </c>
      <c r="B204" s="116">
        <v>46069</v>
      </c>
      <c r="C204" s="117">
        <v>2026</v>
      </c>
      <c r="D204" s="118" t="s">
        <v>851</v>
      </c>
      <c r="E204" s="119" t="s">
        <v>299</v>
      </c>
      <c r="F204" s="120">
        <v>54</v>
      </c>
      <c r="G204" s="121">
        <v>452142</v>
      </c>
    </row>
    <row r="205" spans="1:7" hidden="1" x14ac:dyDescent="0.25">
      <c r="A205" s="197">
        <v>200</v>
      </c>
      <c r="B205" s="116">
        <v>46073</v>
      </c>
      <c r="C205" s="117">
        <v>2026</v>
      </c>
      <c r="D205" s="118" t="s">
        <v>851</v>
      </c>
      <c r="E205" s="119" t="s">
        <v>1429</v>
      </c>
      <c r="F205" s="120">
        <v>20</v>
      </c>
      <c r="G205" s="121">
        <v>17120</v>
      </c>
    </row>
    <row r="206" spans="1:7" hidden="1" x14ac:dyDescent="0.25">
      <c r="A206" s="197">
        <v>201</v>
      </c>
      <c r="B206" s="116">
        <v>46074</v>
      </c>
      <c r="C206" s="117">
        <v>2026</v>
      </c>
      <c r="D206" s="118" t="s">
        <v>851</v>
      </c>
      <c r="E206" s="119" t="s">
        <v>1644</v>
      </c>
      <c r="F206" s="120">
        <v>1</v>
      </c>
      <c r="G206" s="121">
        <v>73890</v>
      </c>
    </row>
    <row r="207" spans="1:7" hidden="1" x14ac:dyDescent="0.25">
      <c r="A207" s="197">
        <v>202</v>
      </c>
      <c r="B207" s="167">
        <v>46079</v>
      </c>
      <c r="C207" s="117">
        <v>2026</v>
      </c>
      <c r="D207" s="119" t="s">
        <v>851</v>
      </c>
      <c r="E207" s="119" t="s">
        <v>1648</v>
      </c>
      <c r="F207" s="120">
        <v>1</v>
      </c>
      <c r="G207" s="168">
        <v>13900</v>
      </c>
    </row>
    <row r="208" spans="1:7" hidden="1" x14ac:dyDescent="0.25">
      <c r="A208" s="197">
        <v>203</v>
      </c>
      <c r="B208" s="116">
        <v>46084</v>
      </c>
      <c r="C208" s="117">
        <v>2026</v>
      </c>
      <c r="D208" s="118" t="s">
        <v>851</v>
      </c>
      <c r="E208" s="119" t="s">
        <v>84</v>
      </c>
      <c r="F208" s="120">
        <v>2</v>
      </c>
      <c r="G208" s="121">
        <v>29348</v>
      </c>
    </row>
    <row r="209" spans="1:7" hidden="1" x14ac:dyDescent="0.25">
      <c r="A209" s="197">
        <v>204</v>
      </c>
      <c r="B209" s="167">
        <v>46091</v>
      </c>
      <c r="C209" s="117">
        <v>2026</v>
      </c>
      <c r="D209" s="119" t="s">
        <v>851</v>
      </c>
      <c r="E209" s="119" t="s">
        <v>299</v>
      </c>
      <c r="F209" s="120">
        <v>54</v>
      </c>
      <c r="G209" s="121">
        <v>425304</v>
      </c>
    </row>
    <row r="210" spans="1:7" hidden="1" x14ac:dyDescent="0.25">
      <c r="A210" s="197">
        <v>205</v>
      </c>
      <c r="B210" s="116">
        <v>46091</v>
      </c>
      <c r="C210" s="117">
        <v>2026</v>
      </c>
      <c r="D210" s="118" t="s">
        <v>851</v>
      </c>
      <c r="E210" s="119" t="s">
        <v>1249</v>
      </c>
      <c r="F210" s="120">
        <v>2</v>
      </c>
      <c r="G210" s="121">
        <v>113900</v>
      </c>
    </row>
    <row r="211" spans="1:7" hidden="1" x14ac:dyDescent="0.25">
      <c r="A211" s="197">
        <v>206</v>
      </c>
      <c r="B211" s="116">
        <v>46094</v>
      </c>
      <c r="C211" s="117">
        <v>2026</v>
      </c>
      <c r="D211" s="118" t="s">
        <v>851</v>
      </c>
      <c r="E211" s="119" t="s">
        <v>107</v>
      </c>
      <c r="F211" s="120">
        <v>1</v>
      </c>
      <c r="G211" s="121">
        <v>54899</v>
      </c>
    </row>
    <row r="212" spans="1:7" hidden="1" x14ac:dyDescent="0.25">
      <c r="A212" s="197">
        <v>207</v>
      </c>
      <c r="B212" s="167">
        <v>46095</v>
      </c>
      <c r="C212" s="117">
        <v>2026</v>
      </c>
      <c r="D212" s="119" t="s">
        <v>851</v>
      </c>
      <c r="E212" s="119" t="s">
        <v>600</v>
      </c>
      <c r="F212" s="120">
        <v>24</v>
      </c>
      <c r="G212" s="168">
        <v>56640</v>
      </c>
    </row>
    <row r="213" spans="1:7" hidden="1" x14ac:dyDescent="0.25">
      <c r="A213" s="197">
        <v>208</v>
      </c>
      <c r="B213" s="116">
        <v>46095</v>
      </c>
      <c r="C213" s="117">
        <v>2026</v>
      </c>
      <c r="D213" s="118" t="s">
        <v>851</v>
      </c>
      <c r="E213" s="119" t="s">
        <v>544</v>
      </c>
      <c r="F213" s="120">
        <v>10</v>
      </c>
      <c r="G213" s="121">
        <v>182900</v>
      </c>
    </row>
    <row r="214" spans="1:7" hidden="1" x14ac:dyDescent="0.25">
      <c r="A214" s="197">
        <v>209</v>
      </c>
      <c r="B214" s="116">
        <v>46107</v>
      </c>
      <c r="C214" s="117">
        <v>2026</v>
      </c>
      <c r="D214" s="118" t="s">
        <v>851</v>
      </c>
      <c r="E214" s="119" t="s">
        <v>1365</v>
      </c>
      <c r="F214" s="120">
        <v>1</v>
      </c>
      <c r="G214" s="121">
        <v>36699</v>
      </c>
    </row>
    <row r="215" spans="1:7" hidden="1" x14ac:dyDescent="0.25">
      <c r="A215" s="197">
        <v>210</v>
      </c>
      <c r="B215" s="116">
        <v>46109</v>
      </c>
      <c r="C215" s="117">
        <v>2026</v>
      </c>
      <c r="D215" s="118" t="s">
        <v>851</v>
      </c>
      <c r="E215" s="119" t="s">
        <v>493</v>
      </c>
      <c r="F215" s="120">
        <v>15</v>
      </c>
      <c r="G215" s="121">
        <v>135000</v>
      </c>
    </row>
    <row r="216" spans="1:7" hidden="1" x14ac:dyDescent="0.25">
      <c r="A216" s="197">
        <v>211</v>
      </c>
      <c r="B216" s="116">
        <v>46130</v>
      </c>
      <c r="C216" s="117">
        <v>2026</v>
      </c>
      <c r="D216" s="118" t="s">
        <v>851</v>
      </c>
      <c r="E216" s="119" t="s">
        <v>299</v>
      </c>
      <c r="F216" s="120">
        <v>12</v>
      </c>
      <c r="G216" s="206">
        <v>204708</v>
      </c>
    </row>
    <row r="217" spans="1:7" hidden="1" x14ac:dyDescent="0.25">
      <c r="A217" s="197">
        <v>212</v>
      </c>
      <c r="B217" s="116">
        <v>46130</v>
      </c>
      <c r="C217" s="117">
        <v>2026</v>
      </c>
      <c r="D217" s="118" t="s">
        <v>851</v>
      </c>
      <c r="E217" s="119" t="s">
        <v>1675</v>
      </c>
      <c r="F217" s="120">
        <v>1</v>
      </c>
      <c r="G217" s="194">
        <v>24500</v>
      </c>
    </row>
    <row r="218" spans="1:7" hidden="1" x14ac:dyDescent="0.25">
      <c r="A218" s="197">
        <v>213</v>
      </c>
      <c r="B218" s="116">
        <v>46133</v>
      </c>
      <c r="C218" s="117">
        <v>2026</v>
      </c>
      <c r="D218" s="118" t="s">
        <v>851</v>
      </c>
      <c r="E218" s="119" t="s">
        <v>1136</v>
      </c>
      <c r="F218" s="120">
        <v>1</v>
      </c>
      <c r="G218" s="194">
        <v>6850</v>
      </c>
    </row>
    <row r="219" spans="1:7" hidden="1" x14ac:dyDescent="0.25">
      <c r="A219" s="197">
        <v>214</v>
      </c>
      <c r="B219" s="167">
        <v>46141</v>
      </c>
      <c r="C219" s="117">
        <v>2026</v>
      </c>
      <c r="D219" s="119" t="s">
        <v>851</v>
      </c>
      <c r="E219" s="119" t="s">
        <v>1685</v>
      </c>
      <c r="F219" s="120">
        <v>1</v>
      </c>
      <c r="G219" s="169">
        <v>5000</v>
      </c>
    </row>
    <row r="220" spans="1:7" x14ac:dyDescent="0.25">
      <c r="A220" s="197">
        <v>215</v>
      </c>
      <c r="B220" s="167">
        <v>45590</v>
      </c>
      <c r="C220" s="117">
        <v>2024</v>
      </c>
      <c r="D220" s="119" t="s">
        <v>851</v>
      </c>
      <c r="E220" s="119" t="s">
        <v>299</v>
      </c>
      <c r="F220" s="120">
        <v>72</v>
      </c>
      <c r="G220" s="168">
        <v>460800</v>
      </c>
    </row>
    <row r="221" spans="1:7" x14ac:dyDescent="0.25">
      <c r="A221" s="197">
        <v>216</v>
      </c>
      <c r="B221" s="167">
        <v>45591</v>
      </c>
      <c r="C221" s="117">
        <v>2024</v>
      </c>
      <c r="D221" s="119" t="s">
        <v>851</v>
      </c>
      <c r="E221" s="119" t="s">
        <v>299</v>
      </c>
      <c r="F221" s="120">
        <v>72</v>
      </c>
      <c r="G221" s="168">
        <v>460800</v>
      </c>
    </row>
    <row r="222" spans="1:7" hidden="1" x14ac:dyDescent="0.25">
      <c r="A222" s="197">
        <v>217</v>
      </c>
      <c r="B222" s="167">
        <v>45682</v>
      </c>
      <c r="C222" s="117">
        <v>2025</v>
      </c>
      <c r="D222" s="119" t="s">
        <v>851</v>
      </c>
      <c r="E222" s="119" t="s">
        <v>299</v>
      </c>
      <c r="F222" s="120">
        <v>144</v>
      </c>
      <c r="G222" s="169">
        <v>777600</v>
      </c>
    </row>
    <row r="223" spans="1:7" hidden="1" x14ac:dyDescent="0.25">
      <c r="A223" s="197">
        <v>218</v>
      </c>
      <c r="B223" s="167">
        <v>45682</v>
      </c>
      <c r="C223" s="117">
        <v>2025</v>
      </c>
      <c r="D223" s="119" t="s">
        <v>851</v>
      </c>
      <c r="E223" s="119" t="s">
        <v>299</v>
      </c>
      <c r="F223" s="120">
        <v>144</v>
      </c>
      <c r="G223" s="169">
        <v>777600</v>
      </c>
    </row>
    <row r="224" spans="1:7" hidden="1" x14ac:dyDescent="0.25">
      <c r="A224" s="197">
        <v>219</v>
      </c>
      <c r="B224" s="167">
        <v>45702</v>
      </c>
      <c r="C224" s="117">
        <v>2025</v>
      </c>
      <c r="D224" s="119" t="s">
        <v>851</v>
      </c>
      <c r="E224" s="119" t="s">
        <v>481</v>
      </c>
      <c r="F224" s="120">
        <v>5</v>
      </c>
      <c r="G224" s="169">
        <v>27000</v>
      </c>
    </row>
    <row r="225" spans="1:7" hidden="1" x14ac:dyDescent="0.25">
      <c r="A225" s="197">
        <v>220</v>
      </c>
      <c r="B225" s="167">
        <v>45735</v>
      </c>
      <c r="C225" s="117">
        <v>2025</v>
      </c>
      <c r="D225" s="119" t="s">
        <v>851</v>
      </c>
      <c r="E225" s="119" t="s">
        <v>299</v>
      </c>
      <c r="F225" s="120">
        <v>72</v>
      </c>
      <c r="G225" s="169">
        <v>388800</v>
      </c>
    </row>
    <row r="226" spans="1:7" hidden="1" x14ac:dyDescent="0.25">
      <c r="A226" s="197">
        <v>221</v>
      </c>
      <c r="B226" s="167">
        <v>45735</v>
      </c>
      <c r="C226" s="117">
        <v>2025</v>
      </c>
      <c r="D226" s="119" t="s">
        <v>851</v>
      </c>
      <c r="E226" s="119" t="s">
        <v>299</v>
      </c>
      <c r="F226" s="120">
        <v>6</v>
      </c>
      <c r="G226" s="169">
        <v>78702</v>
      </c>
    </row>
    <row r="227" spans="1:7" hidden="1" x14ac:dyDescent="0.25">
      <c r="A227" s="197">
        <v>222</v>
      </c>
      <c r="B227" s="167">
        <v>45736</v>
      </c>
      <c r="C227" s="117">
        <v>2025</v>
      </c>
      <c r="D227" s="119" t="s">
        <v>851</v>
      </c>
      <c r="E227" s="119" t="s">
        <v>481</v>
      </c>
      <c r="F227" s="120">
        <v>15</v>
      </c>
      <c r="G227" s="169">
        <v>256905</v>
      </c>
    </row>
    <row r="228" spans="1:7" hidden="1" x14ac:dyDescent="0.25">
      <c r="A228" s="197">
        <v>223</v>
      </c>
      <c r="B228" s="167">
        <v>45736</v>
      </c>
      <c r="C228" s="117">
        <v>2025</v>
      </c>
      <c r="D228" s="119" t="s">
        <v>851</v>
      </c>
      <c r="E228" s="119" t="s">
        <v>481</v>
      </c>
      <c r="F228" s="120">
        <v>15</v>
      </c>
      <c r="G228" s="169">
        <v>294405</v>
      </c>
    </row>
    <row r="229" spans="1:7" hidden="1" x14ac:dyDescent="0.25">
      <c r="A229" s="197">
        <v>224</v>
      </c>
      <c r="B229" s="167">
        <v>45736</v>
      </c>
      <c r="C229" s="117">
        <v>2025</v>
      </c>
      <c r="D229" s="119" t="s">
        <v>851</v>
      </c>
      <c r="E229" s="119" t="s">
        <v>481</v>
      </c>
      <c r="F229" s="120">
        <v>10</v>
      </c>
      <c r="G229" s="169">
        <v>139900</v>
      </c>
    </row>
    <row r="230" spans="1:7" hidden="1" x14ac:dyDescent="0.25">
      <c r="A230" s="197">
        <v>225</v>
      </c>
      <c r="B230" s="167">
        <v>45777</v>
      </c>
      <c r="C230" s="117">
        <v>2025</v>
      </c>
      <c r="D230" s="119" t="s">
        <v>851</v>
      </c>
      <c r="E230" s="119" t="s">
        <v>290</v>
      </c>
      <c r="F230" s="120">
        <v>10</v>
      </c>
      <c r="G230" s="169">
        <v>241900</v>
      </c>
    </row>
    <row r="231" spans="1:7" hidden="1" x14ac:dyDescent="0.25">
      <c r="A231" s="197">
        <v>226</v>
      </c>
      <c r="B231" s="167">
        <v>45777</v>
      </c>
      <c r="C231" s="117">
        <v>2025</v>
      </c>
      <c r="D231" s="119" t="s">
        <v>851</v>
      </c>
      <c r="E231" s="119" t="s">
        <v>299</v>
      </c>
      <c r="F231" s="120">
        <v>12</v>
      </c>
      <c r="G231" s="169">
        <v>67308</v>
      </c>
    </row>
    <row r="232" spans="1:7" hidden="1" x14ac:dyDescent="0.25">
      <c r="A232" s="197">
        <v>227</v>
      </c>
      <c r="B232" s="167">
        <v>45798</v>
      </c>
      <c r="C232" s="117">
        <v>2025</v>
      </c>
      <c r="D232" s="119" t="s">
        <v>851</v>
      </c>
      <c r="E232" s="119" t="s">
        <v>299</v>
      </c>
      <c r="F232" s="120">
        <v>72</v>
      </c>
      <c r="G232" s="169">
        <v>378864</v>
      </c>
    </row>
    <row r="233" spans="1:7" hidden="1" x14ac:dyDescent="0.25">
      <c r="A233" s="197">
        <v>228</v>
      </c>
      <c r="B233" s="167">
        <v>45827</v>
      </c>
      <c r="C233" s="117">
        <v>2025</v>
      </c>
      <c r="D233" s="119" t="s">
        <v>851</v>
      </c>
      <c r="E233" s="119" t="s">
        <v>299</v>
      </c>
      <c r="F233" s="120">
        <v>72</v>
      </c>
      <c r="G233" s="169">
        <v>341208</v>
      </c>
    </row>
    <row r="234" spans="1:7" hidden="1" x14ac:dyDescent="0.25">
      <c r="A234" s="197">
        <v>229</v>
      </c>
      <c r="B234" s="167">
        <v>45841</v>
      </c>
      <c r="C234" s="117">
        <v>2025</v>
      </c>
      <c r="D234" s="119" t="s">
        <v>851</v>
      </c>
      <c r="E234" s="119" t="s">
        <v>544</v>
      </c>
      <c r="F234" s="120">
        <v>10</v>
      </c>
      <c r="G234" s="169">
        <v>170900</v>
      </c>
    </row>
    <row r="235" spans="1:7" hidden="1" x14ac:dyDescent="0.25">
      <c r="A235" s="197">
        <v>230</v>
      </c>
      <c r="B235" s="167">
        <v>45846</v>
      </c>
      <c r="C235" s="117">
        <v>2025</v>
      </c>
      <c r="D235" s="119" t="s">
        <v>851</v>
      </c>
      <c r="E235" s="119" t="s">
        <v>706</v>
      </c>
      <c r="F235" s="120">
        <v>100</v>
      </c>
      <c r="G235" s="169">
        <v>229800</v>
      </c>
    </row>
    <row r="236" spans="1:7" hidden="1" x14ac:dyDescent="0.25">
      <c r="A236" s="197">
        <v>231</v>
      </c>
      <c r="B236" s="167">
        <v>45846</v>
      </c>
      <c r="C236" s="117">
        <v>2025</v>
      </c>
      <c r="D236" s="119" t="s">
        <v>851</v>
      </c>
      <c r="E236" s="119" t="s">
        <v>481</v>
      </c>
      <c r="F236" s="120">
        <v>15</v>
      </c>
      <c r="G236" s="169">
        <v>294405</v>
      </c>
    </row>
    <row r="237" spans="1:7" hidden="1" x14ac:dyDescent="0.25">
      <c r="A237" s="197">
        <v>232</v>
      </c>
      <c r="B237" s="167">
        <v>45846</v>
      </c>
      <c r="C237" s="117">
        <v>2025</v>
      </c>
      <c r="D237" s="119" t="s">
        <v>851</v>
      </c>
      <c r="E237" s="119" t="s">
        <v>299</v>
      </c>
      <c r="F237" s="120">
        <v>12</v>
      </c>
      <c r="G237" s="169">
        <v>76308</v>
      </c>
    </row>
    <row r="238" spans="1:7" hidden="1" x14ac:dyDescent="0.25">
      <c r="A238" s="197">
        <v>233</v>
      </c>
      <c r="B238" s="167">
        <v>45859</v>
      </c>
      <c r="C238" s="117">
        <v>2025</v>
      </c>
      <c r="D238" s="119" t="s">
        <v>851</v>
      </c>
      <c r="E238" s="119" t="s">
        <v>481</v>
      </c>
      <c r="F238" s="120">
        <v>10</v>
      </c>
      <c r="G238" s="169">
        <v>171900</v>
      </c>
    </row>
    <row r="239" spans="1:7" hidden="1" x14ac:dyDescent="0.25">
      <c r="A239" s="197">
        <v>234</v>
      </c>
      <c r="B239" s="167">
        <v>45859</v>
      </c>
      <c r="C239" s="117">
        <v>2025</v>
      </c>
      <c r="D239" s="119" t="s">
        <v>851</v>
      </c>
      <c r="E239" s="119" t="s">
        <v>481</v>
      </c>
      <c r="F239" s="120">
        <v>10</v>
      </c>
      <c r="G239" s="169">
        <v>139900</v>
      </c>
    </row>
    <row r="240" spans="1:7" hidden="1" x14ac:dyDescent="0.25">
      <c r="A240" s="197">
        <v>235</v>
      </c>
      <c r="B240" s="167">
        <v>45910</v>
      </c>
      <c r="C240" s="117">
        <v>2025</v>
      </c>
      <c r="D240" s="119" t="s">
        <v>851</v>
      </c>
      <c r="E240" s="119" t="s">
        <v>544</v>
      </c>
      <c r="F240" s="120">
        <v>10</v>
      </c>
      <c r="G240" s="169">
        <v>187900</v>
      </c>
    </row>
    <row r="241" spans="1:7" hidden="1" x14ac:dyDescent="0.25">
      <c r="A241" s="197">
        <v>236</v>
      </c>
      <c r="B241" s="167">
        <v>45910</v>
      </c>
      <c r="C241" s="117">
        <v>2025</v>
      </c>
      <c r="D241" s="119" t="s">
        <v>851</v>
      </c>
      <c r="E241" s="119" t="s">
        <v>290</v>
      </c>
      <c r="F241" s="120">
        <v>10</v>
      </c>
      <c r="G241" s="169">
        <v>260400</v>
      </c>
    </row>
    <row r="242" spans="1:7" hidden="1" x14ac:dyDescent="0.25">
      <c r="A242" s="197">
        <v>237</v>
      </c>
      <c r="B242" s="167">
        <v>45910</v>
      </c>
      <c r="C242" s="117">
        <v>2025</v>
      </c>
      <c r="D242" s="119" t="s">
        <v>851</v>
      </c>
      <c r="E242" s="119" t="s">
        <v>299</v>
      </c>
      <c r="F242" s="120">
        <v>12</v>
      </c>
      <c r="G242" s="169">
        <v>164016</v>
      </c>
    </row>
    <row r="243" spans="1:7" hidden="1" x14ac:dyDescent="0.25">
      <c r="A243" s="197">
        <v>238</v>
      </c>
      <c r="B243" s="167">
        <v>45910</v>
      </c>
      <c r="C243" s="117">
        <v>2025</v>
      </c>
      <c r="D243" s="119" t="s">
        <v>851</v>
      </c>
      <c r="E243" s="119" t="s">
        <v>299</v>
      </c>
      <c r="F243" s="120">
        <v>54</v>
      </c>
      <c r="G243" s="169">
        <v>442800</v>
      </c>
    </row>
    <row r="244" spans="1:7" hidden="1" x14ac:dyDescent="0.25">
      <c r="A244" s="197">
        <v>239</v>
      </c>
      <c r="B244" s="167">
        <v>45910</v>
      </c>
      <c r="C244" s="117">
        <v>2025</v>
      </c>
      <c r="D244" s="119" t="s">
        <v>851</v>
      </c>
      <c r="E244" s="119" t="s">
        <v>299</v>
      </c>
      <c r="F244" s="120">
        <v>54</v>
      </c>
      <c r="G244" s="169">
        <v>442800</v>
      </c>
    </row>
    <row r="245" spans="1:7" hidden="1" x14ac:dyDescent="0.25">
      <c r="A245" s="197">
        <v>240</v>
      </c>
      <c r="B245" s="167">
        <v>45940</v>
      </c>
      <c r="C245" s="117">
        <v>2025</v>
      </c>
      <c r="D245" s="119" t="s">
        <v>851</v>
      </c>
      <c r="E245" s="119" t="s">
        <v>481</v>
      </c>
      <c r="F245" s="120">
        <v>10</v>
      </c>
      <c r="G245" s="169">
        <v>171900</v>
      </c>
    </row>
    <row r="246" spans="1:7" hidden="1" x14ac:dyDescent="0.25">
      <c r="A246" s="197">
        <v>241</v>
      </c>
      <c r="B246" s="167">
        <v>45940</v>
      </c>
      <c r="C246" s="117">
        <v>2025</v>
      </c>
      <c r="D246" s="119" t="s">
        <v>851</v>
      </c>
      <c r="E246" s="119" t="s">
        <v>481</v>
      </c>
      <c r="F246" s="120">
        <v>10</v>
      </c>
      <c r="G246" s="169">
        <v>139900</v>
      </c>
    </row>
    <row r="247" spans="1:7" hidden="1" x14ac:dyDescent="0.25">
      <c r="A247" s="197">
        <v>242</v>
      </c>
      <c r="B247" s="167">
        <v>45975</v>
      </c>
      <c r="C247" s="117">
        <v>2025</v>
      </c>
      <c r="D247" s="119" t="s">
        <v>851</v>
      </c>
      <c r="E247" s="119" t="s">
        <v>481</v>
      </c>
      <c r="F247" s="120">
        <v>15</v>
      </c>
      <c r="G247" s="169">
        <v>298350</v>
      </c>
    </row>
    <row r="248" spans="1:7" hidden="1" x14ac:dyDescent="0.25">
      <c r="A248" s="197">
        <v>243</v>
      </c>
      <c r="B248" s="167">
        <v>45982</v>
      </c>
      <c r="C248" s="117">
        <v>2025</v>
      </c>
      <c r="D248" s="119" t="s">
        <v>851</v>
      </c>
      <c r="E248" s="119" t="s">
        <v>481</v>
      </c>
      <c r="F248" s="120">
        <v>15</v>
      </c>
      <c r="G248" s="169">
        <v>279405</v>
      </c>
    </row>
    <row r="249" spans="1:7" hidden="1" x14ac:dyDescent="0.25">
      <c r="A249" s="197">
        <v>244</v>
      </c>
      <c r="B249" s="167">
        <v>45982</v>
      </c>
      <c r="C249" s="117">
        <v>2025</v>
      </c>
      <c r="D249" s="119" t="s">
        <v>851</v>
      </c>
      <c r="E249" s="119" t="s">
        <v>299</v>
      </c>
      <c r="F249" s="120">
        <v>54</v>
      </c>
      <c r="G249" s="169">
        <v>402516</v>
      </c>
    </row>
    <row r="250" spans="1:7" hidden="1" x14ac:dyDescent="0.25">
      <c r="A250" s="197">
        <v>245</v>
      </c>
      <c r="B250" s="167">
        <v>45982</v>
      </c>
      <c r="C250" s="117">
        <v>2025</v>
      </c>
      <c r="D250" s="119" t="s">
        <v>851</v>
      </c>
      <c r="E250" s="119" t="s">
        <v>299</v>
      </c>
      <c r="F250" s="120">
        <v>54</v>
      </c>
      <c r="G250" s="169">
        <v>402516</v>
      </c>
    </row>
    <row r="251" spans="1:7" hidden="1" x14ac:dyDescent="0.25">
      <c r="A251" s="197">
        <v>246</v>
      </c>
      <c r="B251" s="167">
        <v>46013</v>
      </c>
      <c r="C251" s="117">
        <v>2025</v>
      </c>
      <c r="D251" s="119" t="s">
        <v>851</v>
      </c>
      <c r="E251" s="119" t="s">
        <v>544</v>
      </c>
      <c r="F251" s="120">
        <v>10</v>
      </c>
      <c r="G251" s="169">
        <v>179100</v>
      </c>
    </row>
    <row r="252" spans="1:7" hidden="1" x14ac:dyDescent="0.25">
      <c r="A252" s="197">
        <v>247</v>
      </c>
      <c r="B252" s="167">
        <v>46123</v>
      </c>
      <c r="C252" s="117">
        <v>2026</v>
      </c>
      <c r="D252" s="119" t="s">
        <v>851</v>
      </c>
      <c r="E252" s="119" t="s">
        <v>290</v>
      </c>
      <c r="F252" s="120">
        <v>10</v>
      </c>
      <c r="G252" s="169">
        <v>251900</v>
      </c>
    </row>
    <row r="253" spans="1:7" hidden="1" x14ac:dyDescent="0.25">
      <c r="A253" s="197">
        <v>248</v>
      </c>
      <c r="B253" s="167">
        <v>46123</v>
      </c>
      <c r="C253" s="117">
        <v>2026</v>
      </c>
      <c r="D253" s="119" t="s">
        <v>851</v>
      </c>
      <c r="E253" s="119" t="s">
        <v>481</v>
      </c>
      <c r="F253" s="120">
        <v>10</v>
      </c>
      <c r="G253" s="169">
        <v>141600</v>
      </c>
    </row>
    <row r="254" spans="1:7" hidden="1" x14ac:dyDescent="0.25">
      <c r="A254" s="197">
        <v>249</v>
      </c>
      <c r="B254" s="167">
        <v>46123</v>
      </c>
      <c r="C254" s="117">
        <v>2026</v>
      </c>
      <c r="D254" s="119" t="s">
        <v>851</v>
      </c>
      <c r="E254" s="119" t="s">
        <v>481</v>
      </c>
      <c r="F254" s="120">
        <v>5</v>
      </c>
      <c r="G254" s="169">
        <v>86880</v>
      </c>
    </row>
    <row r="255" spans="1:7" x14ac:dyDescent="0.25">
      <c r="A255" s="102"/>
      <c r="B255" s="200"/>
      <c r="C255" s="201"/>
      <c r="D255" s="202"/>
      <c r="E255" s="202"/>
      <c r="F255" s="203"/>
      <c r="G255" s="204"/>
    </row>
    <row r="256" spans="1:7" x14ac:dyDescent="0.25">
      <c r="A256" s="102"/>
      <c r="B256" s="200"/>
      <c r="C256" s="201"/>
      <c r="D256" s="202"/>
      <c r="E256" s="202"/>
      <c r="F256" s="203"/>
      <c r="G256" s="204"/>
    </row>
    <row r="257" spans="1:7" x14ac:dyDescent="0.25">
      <c r="A257" s="102"/>
      <c r="B257" s="200"/>
      <c r="C257" s="201"/>
      <c r="D257" s="202"/>
      <c r="E257" s="202"/>
      <c r="F257" s="203"/>
      <c r="G257" s="204"/>
    </row>
    <row r="258" spans="1:7" x14ac:dyDescent="0.25">
      <c r="A258" s="102"/>
      <c r="B258" s="200"/>
      <c r="C258" s="201"/>
      <c r="D258" s="202"/>
      <c r="E258" s="202"/>
      <c r="F258" s="203"/>
      <c r="G258" s="204"/>
    </row>
    <row r="259" spans="1:7" x14ac:dyDescent="0.25">
      <c r="A259" s="102"/>
      <c r="B259" s="200"/>
      <c r="C259" s="201"/>
      <c r="D259" s="202"/>
      <c r="E259" s="202"/>
      <c r="F259" s="203"/>
      <c r="G259" s="204"/>
    </row>
    <row r="260" spans="1:7" x14ac:dyDescent="0.25">
      <c r="A260" s="102"/>
      <c r="B260" s="200"/>
      <c r="C260" s="201"/>
      <c r="D260" s="202"/>
      <c r="E260" s="202"/>
      <c r="F260" s="203"/>
      <c r="G260" s="204"/>
    </row>
    <row r="261" spans="1:7" x14ac:dyDescent="0.25">
      <c r="A261" s="102"/>
      <c r="B261" s="200"/>
      <c r="C261" s="201"/>
      <c r="D261" s="202"/>
      <c r="E261" s="202"/>
      <c r="F261" s="203"/>
      <c r="G261" s="204"/>
    </row>
    <row r="262" spans="1:7" x14ac:dyDescent="0.25">
      <c r="A262" s="102"/>
      <c r="B262" s="200"/>
      <c r="C262" s="201"/>
      <c r="D262" s="202"/>
      <c r="E262" s="202"/>
      <c r="F262" s="203"/>
      <c r="G262" s="204"/>
    </row>
    <row r="263" spans="1:7" x14ac:dyDescent="0.25">
      <c r="A263" s="102"/>
      <c r="B263" s="200"/>
      <c r="C263" s="201"/>
      <c r="D263" s="202"/>
      <c r="E263" s="202"/>
      <c r="F263" s="203"/>
      <c r="G263" s="204"/>
    </row>
    <row r="264" spans="1:7" x14ac:dyDescent="0.25">
      <c r="A264" s="102"/>
      <c r="B264" s="200"/>
      <c r="C264" s="201"/>
      <c r="D264" s="202"/>
      <c r="E264" s="202"/>
      <c r="F264" s="203"/>
      <c r="G264" s="204"/>
    </row>
    <row r="265" spans="1:7" x14ac:dyDescent="0.25">
      <c r="A265" s="102"/>
      <c r="B265" s="200"/>
      <c r="C265" s="201"/>
      <c r="D265" s="202"/>
      <c r="E265" s="202"/>
      <c r="F265" s="203"/>
      <c r="G265" s="204"/>
    </row>
    <row r="266" spans="1:7" x14ac:dyDescent="0.25">
      <c r="A266" s="102"/>
      <c r="B266" s="200"/>
      <c r="C266" s="201"/>
      <c r="D266" s="202"/>
      <c r="E266" s="202"/>
      <c r="F266" s="203"/>
      <c r="G266" s="204"/>
    </row>
    <row r="267" spans="1:7" x14ac:dyDescent="0.25">
      <c r="A267" s="102"/>
      <c r="B267" s="200"/>
      <c r="C267" s="201"/>
      <c r="D267" s="202"/>
      <c r="E267" s="202"/>
      <c r="F267" s="203"/>
      <c r="G267" s="204"/>
    </row>
    <row r="268" spans="1:7" x14ac:dyDescent="0.25">
      <c r="A268" s="102"/>
      <c r="B268" s="200"/>
      <c r="C268" s="201"/>
      <c r="D268" s="202"/>
      <c r="E268" s="202"/>
      <c r="F268" s="203"/>
      <c r="G268" s="204"/>
    </row>
    <row r="269" spans="1:7" x14ac:dyDescent="0.25">
      <c r="A269" s="102"/>
      <c r="B269" s="200"/>
      <c r="C269" s="201"/>
      <c r="D269" s="202"/>
      <c r="E269" s="202"/>
      <c r="F269" s="203"/>
      <c r="G269" s="204"/>
    </row>
    <row r="270" spans="1:7" x14ac:dyDescent="0.25">
      <c r="A270" s="102"/>
      <c r="B270" s="200"/>
      <c r="C270" s="201"/>
      <c r="D270" s="202"/>
      <c r="E270" s="202"/>
      <c r="F270" s="203"/>
      <c r="G270" s="204"/>
    </row>
    <row r="271" spans="1:7" x14ac:dyDescent="0.25">
      <c r="A271" s="102"/>
      <c r="B271" s="200"/>
      <c r="C271" s="201"/>
      <c r="D271" s="202"/>
      <c r="E271" s="202"/>
      <c r="F271" s="203"/>
      <c r="G271" s="204"/>
    </row>
    <row r="272" spans="1:7" x14ac:dyDescent="0.25">
      <c r="A272" s="102"/>
      <c r="B272" s="200"/>
      <c r="C272" s="201"/>
      <c r="D272" s="202"/>
      <c r="E272" s="202"/>
      <c r="F272" s="203"/>
      <c r="G272" s="204"/>
    </row>
    <row r="273" spans="1:7" x14ac:dyDescent="0.25">
      <c r="A273" s="102"/>
      <c r="B273" s="200"/>
      <c r="C273" s="201"/>
      <c r="D273" s="202"/>
      <c r="E273" s="202"/>
      <c r="F273" s="203"/>
      <c r="G273" s="204"/>
    </row>
    <row r="274" spans="1:7" x14ac:dyDescent="0.25">
      <c r="A274" s="102"/>
      <c r="B274" s="200"/>
      <c r="C274" s="201"/>
      <c r="D274" s="202"/>
      <c r="E274" s="202"/>
      <c r="F274" s="203"/>
      <c r="G274" s="204"/>
    </row>
    <row r="275" spans="1:7" x14ac:dyDescent="0.25">
      <c r="A275" s="102"/>
      <c r="B275" s="200"/>
      <c r="C275" s="201"/>
      <c r="D275" s="202"/>
      <c r="E275" s="202"/>
      <c r="F275" s="203"/>
      <c r="G275" s="204"/>
    </row>
    <row r="276" spans="1:7" x14ac:dyDescent="0.25">
      <c r="A276" s="102"/>
      <c r="B276" s="200"/>
      <c r="C276" s="201"/>
      <c r="D276" s="202"/>
      <c r="E276" s="202"/>
      <c r="F276" s="203"/>
      <c r="G276" s="204"/>
    </row>
    <row r="277" spans="1:7" x14ac:dyDescent="0.25">
      <c r="A277" s="102"/>
      <c r="B277" s="200"/>
      <c r="C277" s="201"/>
      <c r="D277" s="202"/>
      <c r="E277" s="202"/>
      <c r="F277" s="203"/>
      <c r="G277" s="204"/>
    </row>
    <row r="278" spans="1:7" x14ac:dyDescent="0.25">
      <c r="A278" s="102"/>
      <c r="B278" s="200"/>
      <c r="C278" s="201"/>
      <c r="D278" s="202"/>
      <c r="E278" s="202"/>
      <c r="F278" s="203"/>
      <c r="G278" s="204"/>
    </row>
    <row r="279" spans="1:7" x14ac:dyDescent="0.25">
      <c r="A279" s="102"/>
      <c r="B279" s="200"/>
      <c r="C279" s="201"/>
      <c r="D279" s="202"/>
      <c r="E279" s="202"/>
      <c r="F279" s="203"/>
      <c r="G279" s="204"/>
    </row>
    <row r="280" spans="1:7" x14ac:dyDescent="0.25">
      <c r="A280" s="102"/>
      <c r="B280" s="200"/>
      <c r="C280" s="201"/>
      <c r="D280" s="202"/>
      <c r="E280" s="202"/>
      <c r="F280" s="203"/>
      <c r="G280" s="204"/>
    </row>
    <row r="281" spans="1:7" x14ac:dyDescent="0.25">
      <c r="A281" s="102"/>
      <c r="B281" s="200"/>
      <c r="C281" s="201"/>
      <c r="D281" s="202"/>
      <c r="E281" s="202"/>
      <c r="F281" s="203"/>
      <c r="G281" s="204"/>
    </row>
    <row r="282" spans="1:7" x14ac:dyDescent="0.25">
      <c r="A282" s="102"/>
      <c r="B282" s="200"/>
      <c r="C282" s="201"/>
      <c r="D282" s="202"/>
      <c r="E282" s="202"/>
      <c r="F282" s="203"/>
      <c r="G282" s="204"/>
    </row>
    <row r="283" spans="1:7" x14ac:dyDescent="0.25">
      <c r="A283" s="102"/>
      <c r="B283" s="200"/>
      <c r="C283" s="201"/>
      <c r="D283" s="202"/>
      <c r="E283" s="202"/>
      <c r="F283" s="203"/>
      <c r="G283" s="204"/>
    </row>
    <row r="284" spans="1:7" x14ac:dyDescent="0.25">
      <c r="A284" s="102"/>
      <c r="B284" s="200"/>
      <c r="C284" s="201"/>
      <c r="D284" s="202"/>
      <c r="E284" s="202"/>
      <c r="F284" s="203"/>
      <c r="G284" s="204"/>
    </row>
    <row r="285" spans="1:7" x14ac:dyDescent="0.25">
      <c r="A285" s="102"/>
      <c r="B285" s="200"/>
      <c r="C285" s="201"/>
      <c r="D285" s="202"/>
      <c r="E285" s="202"/>
      <c r="F285" s="203"/>
      <c r="G285" s="204"/>
    </row>
    <row r="286" spans="1:7" x14ac:dyDescent="0.25">
      <c r="A286" s="102"/>
      <c r="B286" s="200"/>
      <c r="C286" s="201"/>
      <c r="D286" s="202"/>
      <c r="E286" s="202"/>
      <c r="F286" s="203"/>
      <c r="G286" s="204"/>
    </row>
    <row r="287" spans="1:7" x14ac:dyDescent="0.25">
      <c r="A287" s="102"/>
      <c r="B287" s="200"/>
      <c r="C287" s="201"/>
      <c r="D287" s="202"/>
      <c r="E287" s="202"/>
      <c r="F287" s="203"/>
      <c r="G287" s="204"/>
    </row>
    <row r="288" spans="1:7" x14ac:dyDescent="0.25">
      <c r="A288" s="102"/>
      <c r="B288" s="200"/>
      <c r="C288" s="201"/>
      <c r="D288" s="202"/>
      <c r="E288" s="202"/>
      <c r="F288" s="203"/>
      <c r="G288" s="204"/>
    </row>
    <row r="289" spans="1:7" x14ac:dyDescent="0.25">
      <c r="A289" s="102"/>
      <c r="B289" s="200"/>
      <c r="C289" s="201"/>
      <c r="D289" s="202"/>
      <c r="E289" s="202"/>
      <c r="F289" s="203"/>
      <c r="G289" s="204"/>
    </row>
    <row r="290" spans="1:7" x14ac:dyDescent="0.25">
      <c r="A290" s="102"/>
      <c r="B290" s="200"/>
      <c r="C290" s="201"/>
      <c r="D290" s="202"/>
      <c r="E290" s="202"/>
      <c r="F290" s="203"/>
      <c r="G290" s="204"/>
    </row>
    <row r="291" spans="1:7" x14ac:dyDescent="0.25">
      <c r="A291" s="102"/>
      <c r="B291" s="200"/>
      <c r="C291" s="201"/>
      <c r="D291" s="202"/>
      <c r="E291" s="202"/>
      <c r="F291" s="203"/>
      <c r="G291" s="204"/>
    </row>
    <row r="292" spans="1:7" x14ac:dyDescent="0.25">
      <c r="A292" s="102"/>
      <c r="B292" s="200"/>
      <c r="C292" s="201"/>
      <c r="D292" s="202"/>
      <c r="E292" s="202"/>
      <c r="F292" s="203"/>
      <c r="G292" s="204"/>
    </row>
    <row r="293" spans="1:7" x14ac:dyDescent="0.25">
      <c r="A293" s="102"/>
      <c r="B293" s="200"/>
      <c r="C293" s="201"/>
      <c r="D293" s="202"/>
      <c r="E293" s="202"/>
      <c r="F293" s="203"/>
      <c r="G293" s="204"/>
    </row>
    <row r="294" spans="1:7" x14ac:dyDescent="0.25">
      <c r="A294" s="102"/>
      <c r="B294" s="200"/>
      <c r="C294" s="201"/>
      <c r="D294" s="202"/>
      <c r="E294" s="202"/>
      <c r="F294" s="203"/>
      <c r="G294" s="204"/>
    </row>
    <row r="295" spans="1:7" x14ac:dyDescent="0.25">
      <c r="A295" s="102"/>
      <c r="B295" s="200"/>
      <c r="C295" s="201"/>
      <c r="D295" s="202"/>
      <c r="E295" s="202"/>
      <c r="F295" s="203"/>
      <c r="G295" s="204"/>
    </row>
    <row r="296" spans="1:7" x14ac:dyDescent="0.25">
      <c r="A296" s="102"/>
      <c r="B296" s="200"/>
      <c r="C296" s="201"/>
      <c r="D296" s="202"/>
      <c r="E296" s="202"/>
      <c r="F296" s="203"/>
      <c r="G296" s="204"/>
    </row>
    <row r="297" spans="1:7" x14ac:dyDescent="0.25">
      <c r="A297" s="102"/>
      <c r="B297" s="200"/>
      <c r="C297" s="201"/>
      <c r="D297" s="202"/>
      <c r="E297" s="202"/>
      <c r="F297" s="203"/>
      <c r="G297" s="204"/>
    </row>
    <row r="298" spans="1:7" x14ac:dyDescent="0.25">
      <c r="A298" s="102"/>
      <c r="B298" s="200"/>
      <c r="C298" s="201"/>
      <c r="D298" s="202"/>
      <c r="E298" s="202"/>
      <c r="F298" s="203"/>
      <c r="G298" s="204"/>
    </row>
    <row r="299" spans="1:7" x14ac:dyDescent="0.25">
      <c r="A299" s="102"/>
      <c r="B299" s="200"/>
      <c r="C299" s="201"/>
      <c r="D299" s="202"/>
      <c r="E299" s="202"/>
      <c r="F299" s="203"/>
      <c r="G299" s="204"/>
    </row>
    <row r="300" spans="1:7" x14ac:dyDescent="0.25">
      <c r="A300" s="102"/>
      <c r="B300" s="200"/>
      <c r="C300" s="201"/>
      <c r="D300" s="202"/>
      <c r="E300" s="202"/>
      <c r="F300" s="203"/>
      <c r="G300" s="204"/>
    </row>
    <row r="301" spans="1:7" x14ac:dyDescent="0.25">
      <c r="A301" s="102"/>
      <c r="B301" s="200"/>
      <c r="C301" s="201"/>
      <c r="D301" s="202"/>
      <c r="E301" s="202"/>
      <c r="F301" s="203"/>
      <c r="G301" s="204"/>
    </row>
    <row r="302" spans="1:7" x14ac:dyDescent="0.25">
      <c r="A302" s="102"/>
      <c r="B302" s="200"/>
      <c r="C302" s="201"/>
      <c r="D302" s="202"/>
      <c r="E302" s="202"/>
      <c r="F302" s="203"/>
      <c r="G302" s="204"/>
    </row>
    <row r="303" spans="1:7" x14ac:dyDescent="0.25">
      <c r="A303" s="102"/>
      <c r="B303" s="200"/>
      <c r="C303" s="201"/>
      <c r="D303" s="202"/>
      <c r="E303" s="202"/>
      <c r="F303" s="203"/>
      <c r="G303" s="204"/>
    </row>
    <row r="304" spans="1:7" x14ac:dyDescent="0.25">
      <c r="A304" s="102"/>
      <c r="B304" s="200"/>
      <c r="C304" s="201"/>
      <c r="D304" s="202"/>
      <c r="E304" s="202"/>
      <c r="F304" s="203"/>
      <c r="G304" s="204"/>
    </row>
    <row r="305" spans="1:7" x14ac:dyDescent="0.25">
      <c r="A305" s="102"/>
      <c r="B305" s="200"/>
      <c r="C305" s="201"/>
      <c r="D305" s="202"/>
      <c r="E305" s="202"/>
      <c r="F305" s="203"/>
      <c r="G305" s="204"/>
    </row>
    <row r="306" spans="1:7" x14ac:dyDescent="0.25">
      <c r="A306" s="102"/>
      <c r="B306" s="200"/>
      <c r="C306" s="201"/>
      <c r="D306" s="202"/>
      <c r="E306" s="202"/>
      <c r="F306" s="203"/>
      <c r="G306" s="204"/>
    </row>
    <row r="307" spans="1:7" x14ac:dyDescent="0.25">
      <c r="A307" s="102"/>
      <c r="B307" s="200"/>
      <c r="C307" s="201"/>
      <c r="D307" s="202"/>
      <c r="E307" s="202"/>
      <c r="F307" s="203"/>
      <c r="G307" s="204"/>
    </row>
    <row r="308" spans="1:7" x14ac:dyDescent="0.25">
      <c r="A308" s="102"/>
      <c r="B308" s="200"/>
      <c r="C308" s="201"/>
      <c r="D308" s="202"/>
      <c r="E308" s="202"/>
      <c r="F308" s="203"/>
      <c r="G308" s="204"/>
    </row>
    <row r="309" spans="1:7" x14ac:dyDescent="0.25">
      <c r="A309" s="102"/>
      <c r="B309" s="200"/>
      <c r="C309" s="201"/>
      <c r="D309" s="202"/>
      <c r="E309" s="202"/>
      <c r="F309" s="203"/>
      <c r="G309" s="204"/>
    </row>
    <row r="310" spans="1:7" x14ac:dyDescent="0.25">
      <c r="A310" s="102"/>
      <c r="B310" s="200"/>
      <c r="C310" s="201"/>
      <c r="D310" s="202"/>
      <c r="E310" s="202"/>
      <c r="F310" s="203"/>
      <c r="G310" s="204"/>
    </row>
    <row r="311" spans="1:7" x14ac:dyDescent="0.25">
      <c r="A311" s="102"/>
      <c r="B311" s="200"/>
      <c r="C311" s="201"/>
      <c r="D311" s="202"/>
      <c r="E311" s="202"/>
      <c r="F311" s="203"/>
      <c r="G311" s="204"/>
    </row>
    <row r="312" spans="1:7" x14ac:dyDescent="0.25">
      <c r="A312" s="102"/>
      <c r="B312" s="200"/>
      <c r="C312" s="201"/>
      <c r="D312" s="202"/>
      <c r="E312" s="202"/>
      <c r="F312" s="203"/>
      <c r="G312" s="204"/>
    </row>
    <row r="313" spans="1:7" x14ac:dyDescent="0.25">
      <c r="A313" s="102"/>
      <c r="B313" s="200"/>
      <c r="C313" s="201"/>
      <c r="D313" s="202"/>
      <c r="E313" s="202"/>
      <c r="F313" s="203"/>
      <c r="G313" s="204"/>
    </row>
    <row r="314" spans="1:7" x14ac:dyDescent="0.25">
      <c r="A314" s="102"/>
      <c r="B314" s="200"/>
      <c r="C314" s="201"/>
      <c r="D314" s="202"/>
      <c r="E314" s="202"/>
      <c r="F314" s="203"/>
      <c r="G314" s="204"/>
    </row>
    <row r="315" spans="1:7" x14ac:dyDescent="0.25">
      <c r="A315" s="102"/>
      <c r="B315" s="200"/>
      <c r="C315" s="201"/>
      <c r="D315" s="202"/>
      <c r="E315" s="202"/>
      <c r="F315" s="203"/>
      <c r="G315" s="204"/>
    </row>
    <row r="316" spans="1:7" x14ac:dyDescent="0.25">
      <c r="A316" s="102"/>
      <c r="B316" s="200"/>
      <c r="C316" s="201"/>
      <c r="D316" s="202"/>
      <c r="E316" s="202"/>
      <c r="F316" s="203"/>
      <c r="G316" s="204"/>
    </row>
    <row r="317" spans="1:7" x14ac:dyDescent="0.25">
      <c r="A317" s="102"/>
      <c r="B317" s="200"/>
      <c r="C317" s="201"/>
      <c r="D317" s="202"/>
      <c r="E317" s="202"/>
      <c r="F317" s="203"/>
      <c r="G317" s="204"/>
    </row>
    <row r="318" spans="1:7" x14ac:dyDescent="0.25">
      <c r="A318" s="102"/>
      <c r="B318" s="200"/>
      <c r="C318" s="201"/>
      <c r="D318" s="202"/>
      <c r="E318" s="202"/>
      <c r="F318" s="203"/>
      <c r="G318" s="204"/>
    </row>
    <row r="319" spans="1:7" x14ac:dyDescent="0.25">
      <c r="A319" s="102"/>
      <c r="B319" s="200"/>
      <c r="C319" s="201"/>
      <c r="D319" s="202"/>
      <c r="E319" s="202"/>
      <c r="F319" s="203"/>
      <c r="G319" s="204"/>
    </row>
    <row r="320" spans="1:7" x14ac:dyDescent="0.25">
      <c r="A320" s="102"/>
      <c r="B320" s="200"/>
      <c r="C320" s="201"/>
      <c r="D320" s="202"/>
      <c r="E320" s="202"/>
      <c r="F320" s="203"/>
      <c r="G320" s="204"/>
    </row>
    <row r="321" spans="1:7" x14ac:dyDescent="0.25">
      <c r="A321" s="102"/>
      <c r="B321" s="200"/>
      <c r="C321" s="201"/>
      <c r="D321" s="202"/>
      <c r="E321" s="202"/>
      <c r="F321" s="203"/>
      <c r="G321" s="204"/>
    </row>
    <row r="322" spans="1:7" x14ac:dyDescent="0.25">
      <c r="A322" s="102"/>
      <c r="B322" s="200"/>
      <c r="C322" s="201"/>
      <c r="D322" s="202"/>
      <c r="E322" s="202"/>
      <c r="F322" s="203"/>
      <c r="G322" s="204"/>
    </row>
    <row r="323" spans="1:7" x14ac:dyDescent="0.25">
      <c r="A323" s="102"/>
      <c r="B323" s="200"/>
      <c r="C323" s="201"/>
      <c r="D323" s="202"/>
      <c r="E323" s="202"/>
      <c r="F323" s="203"/>
      <c r="G323" s="204"/>
    </row>
    <row r="324" spans="1:7" x14ac:dyDescent="0.25">
      <c r="A324" s="102"/>
      <c r="B324" s="200"/>
      <c r="C324" s="201"/>
      <c r="D324" s="202"/>
      <c r="E324" s="202"/>
      <c r="F324" s="203"/>
      <c r="G324" s="204"/>
    </row>
    <row r="325" spans="1:7" x14ac:dyDescent="0.25">
      <c r="A325" s="102"/>
      <c r="B325" s="200"/>
      <c r="C325" s="201"/>
      <c r="D325" s="202"/>
      <c r="E325" s="202"/>
      <c r="F325" s="203"/>
      <c r="G325" s="204"/>
    </row>
    <row r="326" spans="1:7" x14ac:dyDescent="0.25">
      <c r="A326" s="102"/>
      <c r="B326" s="200"/>
      <c r="C326" s="201"/>
      <c r="D326" s="202"/>
      <c r="E326" s="202"/>
      <c r="F326" s="203"/>
      <c r="G326" s="204"/>
    </row>
    <row r="327" spans="1:7" x14ac:dyDescent="0.25">
      <c r="A327" s="102"/>
      <c r="B327" s="200"/>
      <c r="C327" s="201"/>
      <c r="D327" s="202"/>
      <c r="E327" s="202"/>
      <c r="F327" s="203"/>
      <c r="G327" s="204"/>
    </row>
    <row r="328" spans="1:7" x14ac:dyDescent="0.25">
      <c r="A328" s="102"/>
      <c r="B328" s="200"/>
      <c r="C328" s="201"/>
      <c r="D328" s="202"/>
      <c r="E328" s="202"/>
      <c r="F328" s="203"/>
      <c r="G328" s="204"/>
    </row>
    <row r="329" spans="1:7" x14ac:dyDescent="0.25">
      <c r="A329" s="102"/>
      <c r="B329" s="200"/>
      <c r="C329" s="201"/>
      <c r="D329" s="202"/>
      <c r="E329" s="202"/>
      <c r="F329" s="203"/>
      <c r="G329" s="204"/>
    </row>
    <row r="330" spans="1:7" x14ac:dyDescent="0.25">
      <c r="A330" s="102"/>
      <c r="B330" s="200"/>
      <c r="C330" s="201"/>
      <c r="D330" s="202"/>
      <c r="E330" s="202"/>
      <c r="F330" s="203"/>
      <c r="G330" s="204"/>
    </row>
    <row r="331" spans="1:7" x14ac:dyDescent="0.25">
      <c r="A331" s="102"/>
      <c r="B331" s="200"/>
      <c r="C331" s="201"/>
      <c r="D331" s="202"/>
      <c r="E331" s="202"/>
      <c r="F331" s="203"/>
      <c r="G331" s="204"/>
    </row>
    <row r="332" spans="1:7" x14ac:dyDescent="0.25">
      <c r="A332" s="102"/>
      <c r="B332" s="200"/>
      <c r="C332" s="201"/>
      <c r="D332" s="202"/>
      <c r="E332" s="202"/>
      <c r="F332" s="203"/>
      <c r="G332" s="204"/>
    </row>
    <row r="333" spans="1:7" x14ac:dyDescent="0.25">
      <c r="A333" s="102"/>
      <c r="B333" s="200"/>
      <c r="C333" s="201"/>
      <c r="D333" s="202"/>
      <c r="E333" s="202"/>
      <c r="F333" s="203"/>
      <c r="G333" s="204"/>
    </row>
    <row r="334" spans="1:7" x14ac:dyDescent="0.25">
      <c r="A334" s="102"/>
      <c r="B334" s="200"/>
      <c r="C334" s="201"/>
      <c r="D334" s="202"/>
      <c r="E334" s="202"/>
      <c r="F334" s="203"/>
      <c r="G334" s="204"/>
    </row>
    <row r="335" spans="1:7" x14ac:dyDescent="0.25">
      <c r="A335" s="102"/>
      <c r="B335" s="200"/>
      <c r="C335" s="201"/>
      <c r="D335" s="202"/>
      <c r="E335" s="202"/>
      <c r="F335" s="203"/>
      <c r="G335" s="204"/>
    </row>
    <row r="336" spans="1:7" x14ac:dyDescent="0.25">
      <c r="A336" s="102"/>
      <c r="B336" s="200"/>
      <c r="C336" s="201"/>
      <c r="D336" s="202"/>
      <c r="E336" s="202"/>
      <c r="F336" s="203"/>
      <c r="G336" s="204"/>
    </row>
    <row r="337" spans="1:7" x14ac:dyDescent="0.25">
      <c r="A337" s="102"/>
      <c r="B337" s="200"/>
      <c r="C337" s="201"/>
      <c r="D337" s="202"/>
      <c r="E337" s="202"/>
      <c r="F337" s="203"/>
      <c r="G337" s="204"/>
    </row>
    <row r="338" spans="1:7" x14ac:dyDescent="0.25">
      <c r="A338" s="102"/>
      <c r="B338" s="200"/>
      <c r="C338" s="201"/>
      <c r="D338" s="202"/>
      <c r="E338" s="202"/>
      <c r="F338" s="203"/>
      <c r="G338" s="204"/>
    </row>
    <row r="339" spans="1:7" x14ac:dyDescent="0.25">
      <c r="A339" s="102"/>
      <c r="B339" s="200"/>
      <c r="C339" s="201"/>
      <c r="D339" s="202"/>
      <c r="E339" s="202"/>
      <c r="F339" s="203"/>
      <c r="G339" s="204"/>
    </row>
    <row r="340" spans="1:7" x14ac:dyDescent="0.25">
      <c r="A340" s="102"/>
      <c r="B340" s="200"/>
      <c r="C340" s="201"/>
      <c r="D340" s="202"/>
      <c r="E340" s="202"/>
      <c r="F340" s="203"/>
      <c r="G340" s="204"/>
    </row>
    <row r="341" spans="1:7" x14ac:dyDescent="0.25">
      <c r="A341" s="102"/>
      <c r="B341" s="200"/>
      <c r="C341" s="201"/>
      <c r="D341" s="202"/>
      <c r="E341" s="202"/>
      <c r="F341" s="203"/>
      <c r="G341" s="204"/>
    </row>
    <row r="342" spans="1:7" x14ac:dyDescent="0.25">
      <c r="A342" s="102"/>
      <c r="B342" s="200"/>
      <c r="C342" s="201"/>
      <c r="D342" s="202"/>
      <c r="E342" s="202"/>
      <c r="F342" s="203"/>
      <c r="G342" s="204"/>
    </row>
    <row r="343" spans="1:7" x14ac:dyDescent="0.25">
      <c r="A343" s="102"/>
      <c r="B343" s="200"/>
      <c r="C343" s="201"/>
      <c r="D343" s="202"/>
      <c r="E343" s="202"/>
      <c r="F343" s="203"/>
      <c r="G343" s="204"/>
    </row>
    <row r="344" spans="1:7" x14ac:dyDescent="0.25">
      <c r="A344" s="102"/>
      <c r="B344" s="200"/>
      <c r="C344" s="201"/>
      <c r="D344" s="202"/>
      <c r="E344" s="202"/>
      <c r="F344" s="203"/>
      <c r="G344" s="204"/>
    </row>
    <row r="345" spans="1:7" x14ac:dyDescent="0.25">
      <c r="A345" s="102"/>
      <c r="B345" s="200"/>
      <c r="C345" s="201"/>
      <c r="D345" s="202"/>
      <c r="E345" s="202"/>
      <c r="F345" s="203"/>
      <c r="G345" s="204"/>
    </row>
    <row r="346" spans="1:7" x14ac:dyDescent="0.25">
      <c r="A346" s="102"/>
      <c r="B346" s="200"/>
      <c r="C346" s="201"/>
      <c r="D346" s="202"/>
      <c r="E346" s="202"/>
      <c r="F346" s="203"/>
      <c r="G346" s="204"/>
    </row>
    <row r="347" spans="1:7" x14ac:dyDescent="0.25">
      <c r="A347" s="102"/>
      <c r="B347" s="200"/>
      <c r="C347" s="201"/>
      <c r="D347" s="202"/>
      <c r="E347" s="202"/>
      <c r="F347" s="203"/>
      <c r="G347" s="204"/>
    </row>
    <row r="348" spans="1:7" x14ac:dyDescent="0.25">
      <c r="A348" s="102"/>
      <c r="B348" s="200"/>
      <c r="C348" s="201"/>
      <c r="D348" s="202"/>
      <c r="E348" s="202"/>
      <c r="F348" s="203"/>
      <c r="G348" s="204"/>
    </row>
    <row r="349" spans="1:7" x14ac:dyDescent="0.25">
      <c r="A349" s="102"/>
      <c r="B349" s="200"/>
      <c r="C349" s="201"/>
      <c r="D349" s="202"/>
      <c r="E349" s="202"/>
      <c r="F349" s="203"/>
      <c r="G349" s="204"/>
    </row>
    <row r="350" spans="1:7" x14ac:dyDescent="0.25">
      <c r="A350" s="102"/>
      <c r="B350" s="200"/>
      <c r="C350" s="201"/>
      <c r="D350" s="202"/>
      <c r="E350" s="202"/>
      <c r="F350" s="203"/>
      <c r="G350" s="204"/>
    </row>
    <row r="351" spans="1:7" x14ac:dyDescent="0.25">
      <c r="A351" s="102"/>
      <c r="B351" s="200"/>
      <c r="C351" s="201"/>
      <c r="D351" s="202"/>
      <c r="E351" s="202"/>
      <c r="F351" s="203"/>
      <c r="G351" s="204"/>
    </row>
    <row r="352" spans="1:7" x14ac:dyDescent="0.25">
      <c r="A352" s="102"/>
      <c r="B352" s="200"/>
      <c r="C352" s="201"/>
      <c r="D352" s="202"/>
      <c r="E352" s="202"/>
      <c r="F352" s="203"/>
      <c r="G352" s="204"/>
    </row>
    <row r="353" spans="1:7" x14ac:dyDescent="0.25">
      <c r="A353" s="102"/>
      <c r="B353" s="200"/>
      <c r="C353" s="201"/>
      <c r="D353" s="202"/>
      <c r="E353" s="202"/>
      <c r="F353" s="203"/>
      <c r="G353" s="204"/>
    </row>
    <row r="354" spans="1:7" x14ac:dyDescent="0.25">
      <c r="A354" s="102"/>
      <c r="B354" s="200"/>
      <c r="C354" s="201"/>
      <c r="D354" s="202"/>
      <c r="E354" s="202"/>
      <c r="F354" s="203"/>
      <c r="G354" s="204"/>
    </row>
    <row r="355" spans="1:7" x14ac:dyDescent="0.25">
      <c r="A355" s="102"/>
      <c r="B355" s="200"/>
      <c r="C355" s="201"/>
      <c r="D355" s="202"/>
      <c r="E355" s="202"/>
      <c r="F355" s="203"/>
      <c r="G355" s="204"/>
    </row>
    <row r="356" spans="1:7" x14ac:dyDescent="0.25">
      <c r="A356" s="102"/>
      <c r="B356" s="200"/>
      <c r="C356" s="201"/>
      <c r="D356" s="202"/>
      <c r="E356" s="202"/>
      <c r="F356" s="203"/>
      <c r="G356" s="204"/>
    </row>
    <row r="357" spans="1:7" x14ac:dyDescent="0.25">
      <c r="A357" s="102"/>
      <c r="B357" s="200"/>
      <c r="C357" s="201"/>
      <c r="D357" s="202"/>
      <c r="E357" s="202"/>
      <c r="F357" s="203"/>
      <c r="G357" s="204"/>
    </row>
    <row r="358" spans="1:7" x14ac:dyDescent="0.25">
      <c r="A358" s="102"/>
      <c r="B358" s="200"/>
      <c r="C358" s="201"/>
      <c r="D358" s="202"/>
      <c r="E358" s="202"/>
      <c r="F358" s="203"/>
      <c r="G358" s="204"/>
    </row>
    <row r="359" spans="1:7" x14ac:dyDescent="0.25">
      <c r="A359" s="102"/>
      <c r="B359" s="200"/>
      <c r="C359" s="201"/>
      <c r="D359" s="202"/>
      <c r="E359" s="202"/>
      <c r="F359" s="203"/>
      <c r="G359" s="204"/>
    </row>
    <row r="360" spans="1:7" x14ac:dyDescent="0.25">
      <c r="A360" s="102"/>
      <c r="B360" s="200"/>
      <c r="C360" s="201"/>
      <c r="D360" s="202"/>
      <c r="E360" s="202"/>
      <c r="F360" s="203"/>
      <c r="G360" s="204"/>
    </row>
    <row r="361" spans="1:7" x14ac:dyDescent="0.25">
      <c r="A361" s="102"/>
      <c r="B361" s="200"/>
      <c r="C361" s="201"/>
      <c r="D361" s="202"/>
      <c r="E361" s="202"/>
      <c r="F361" s="203"/>
      <c r="G361" s="204"/>
    </row>
    <row r="362" spans="1:7" x14ac:dyDescent="0.25">
      <c r="A362" s="102"/>
      <c r="B362" s="200"/>
      <c r="C362" s="201"/>
      <c r="D362" s="202"/>
      <c r="E362" s="202"/>
      <c r="F362" s="203"/>
      <c r="G362" s="204"/>
    </row>
    <row r="363" spans="1:7" x14ac:dyDescent="0.25">
      <c r="A363" s="102"/>
      <c r="B363" s="200"/>
      <c r="C363" s="201"/>
      <c r="D363" s="202"/>
      <c r="E363" s="202"/>
      <c r="F363" s="203"/>
      <c r="G363" s="204"/>
    </row>
    <row r="364" spans="1:7" x14ac:dyDescent="0.25">
      <c r="A364" s="102"/>
      <c r="B364" s="200"/>
      <c r="C364" s="201"/>
      <c r="D364" s="202"/>
      <c r="E364" s="202"/>
      <c r="F364" s="203"/>
      <c r="G364" s="204"/>
    </row>
    <row r="365" spans="1:7" x14ac:dyDescent="0.25">
      <c r="A365" s="102"/>
      <c r="B365" s="200"/>
      <c r="C365" s="201"/>
      <c r="D365" s="202"/>
      <c r="E365" s="202"/>
      <c r="F365" s="203"/>
      <c r="G365" s="204"/>
    </row>
    <row r="366" spans="1:7" x14ac:dyDescent="0.25">
      <c r="A366" s="102"/>
      <c r="B366" s="200"/>
      <c r="C366" s="201"/>
      <c r="D366" s="202"/>
      <c r="E366" s="202"/>
      <c r="F366" s="203"/>
      <c r="G366" s="204"/>
    </row>
    <row r="367" spans="1:7" x14ac:dyDescent="0.25">
      <c r="A367" s="102"/>
      <c r="B367" s="200"/>
      <c r="C367" s="201"/>
      <c r="D367" s="202"/>
      <c r="E367" s="202"/>
      <c r="F367" s="203"/>
      <c r="G367" s="204"/>
    </row>
    <row r="368" spans="1:7" x14ac:dyDescent="0.25">
      <c r="A368" s="102"/>
      <c r="B368" s="200"/>
      <c r="C368" s="201"/>
      <c r="D368" s="202"/>
      <c r="E368" s="202"/>
      <c r="F368" s="203"/>
      <c r="G368" s="204"/>
    </row>
    <row r="369" spans="1:7" x14ac:dyDescent="0.25">
      <c r="A369" s="102"/>
      <c r="B369" s="200"/>
      <c r="C369" s="201"/>
      <c r="D369" s="202"/>
      <c r="E369" s="202"/>
      <c r="F369" s="203"/>
      <c r="G369" s="204"/>
    </row>
    <row r="370" spans="1:7" x14ac:dyDescent="0.25">
      <c r="A370" s="102"/>
      <c r="B370" s="200"/>
      <c r="C370" s="201"/>
      <c r="D370" s="202"/>
      <c r="E370" s="202"/>
      <c r="F370" s="203"/>
      <c r="G370" s="204"/>
    </row>
    <row r="371" spans="1:7" x14ac:dyDescent="0.25">
      <c r="A371" s="102"/>
      <c r="B371" s="200"/>
      <c r="C371" s="201"/>
      <c r="D371" s="202"/>
      <c r="E371" s="202"/>
      <c r="F371" s="203"/>
      <c r="G371" s="204"/>
    </row>
    <row r="372" spans="1:7" x14ac:dyDescent="0.25">
      <c r="A372" s="102"/>
      <c r="B372" s="200"/>
      <c r="C372" s="201"/>
      <c r="D372" s="202"/>
      <c r="E372" s="202"/>
      <c r="F372" s="203"/>
      <c r="G372" s="204"/>
    </row>
    <row r="373" spans="1:7" x14ac:dyDescent="0.25">
      <c r="A373" s="102"/>
      <c r="B373" s="200"/>
      <c r="C373" s="201"/>
      <c r="D373" s="202"/>
      <c r="E373" s="202"/>
      <c r="F373" s="203"/>
      <c r="G373" s="204"/>
    </row>
    <row r="374" spans="1:7" x14ac:dyDescent="0.25">
      <c r="A374" s="102"/>
      <c r="B374" s="200"/>
      <c r="C374" s="201"/>
      <c r="D374" s="202"/>
      <c r="E374" s="202"/>
      <c r="F374" s="203"/>
      <c r="G374" s="204"/>
    </row>
    <row r="375" spans="1:7" x14ac:dyDescent="0.25">
      <c r="A375" s="102"/>
      <c r="B375" s="200"/>
      <c r="C375" s="201"/>
      <c r="D375" s="202"/>
      <c r="E375" s="202"/>
      <c r="F375" s="203"/>
      <c r="G375" s="204"/>
    </row>
    <row r="376" spans="1:7" x14ac:dyDescent="0.25">
      <c r="A376" s="102"/>
      <c r="B376" s="200"/>
      <c r="C376" s="201"/>
      <c r="D376" s="202"/>
      <c r="E376" s="202"/>
      <c r="F376" s="203"/>
      <c r="G376" s="204"/>
    </row>
    <row r="377" spans="1:7" x14ac:dyDescent="0.25">
      <c r="A377" s="102"/>
      <c r="B377" s="200"/>
      <c r="C377" s="201"/>
      <c r="D377" s="202"/>
      <c r="E377" s="202"/>
      <c r="F377" s="203"/>
      <c r="G377" s="204"/>
    </row>
    <row r="378" spans="1:7" x14ac:dyDescent="0.25">
      <c r="A378" s="102"/>
      <c r="B378" s="200"/>
      <c r="C378" s="201"/>
      <c r="D378" s="202"/>
      <c r="E378" s="202"/>
      <c r="F378" s="203"/>
      <c r="G378" s="204"/>
    </row>
    <row r="379" spans="1:7" x14ac:dyDescent="0.25">
      <c r="A379" s="102"/>
      <c r="B379" s="200"/>
      <c r="C379" s="201"/>
      <c r="D379" s="202"/>
      <c r="E379" s="202"/>
      <c r="F379" s="203"/>
      <c r="G379" s="204"/>
    </row>
    <row r="380" spans="1:7" x14ac:dyDescent="0.25">
      <c r="A380" s="102"/>
      <c r="B380" s="200"/>
      <c r="C380" s="201"/>
      <c r="D380" s="202"/>
      <c r="E380" s="202"/>
      <c r="F380" s="203"/>
      <c r="G380" s="204"/>
    </row>
    <row r="381" spans="1:7" x14ac:dyDescent="0.25">
      <c r="A381" s="102"/>
      <c r="B381" s="200"/>
      <c r="C381" s="201"/>
      <c r="D381" s="202"/>
      <c r="E381" s="202"/>
      <c r="F381" s="203"/>
      <c r="G381" s="204"/>
    </row>
    <row r="382" spans="1:7" x14ac:dyDescent="0.25">
      <c r="A382" s="102"/>
      <c r="B382" s="200"/>
      <c r="C382" s="201"/>
      <c r="D382" s="202"/>
      <c r="E382" s="202"/>
      <c r="F382" s="203"/>
      <c r="G382" s="204"/>
    </row>
    <row r="383" spans="1:7" x14ac:dyDescent="0.25">
      <c r="A383" s="102"/>
      <c r="B383" s="200"/>
      <c r="C383" s="201"/>
      <c r="D383" s="202"/>
      <c r="E383" s="202"/>
      <c r="F383" s="203"/>
      <c r="G383" s="204"/>
    </row>
    <row r="384" spans="1:7" x14ac:dyDescent="0.25">
      <c r="A384" s="102"/>
      <c r="B384" s="200"/>
      <c r="C384" s="201"/>
      <c r="D384" s="202"/>
      <c r="E384" s="202"/>
      <c r="F384" s="203"/>
      <c r="G384" s="204"/>
    </row>
    <row r="385" spans="1:7" x14ac:dyDescent="0.25">
      <c r="A385" s="102"/>
      <c r="B385" s="200"/>
      <c r="C385" s="201"/>
      <c r="D385" s="202"/>
      <c r="E385" s="202"/>
      <c r="F385" s="203"/>
      <c r="G385" s="204"/>
    </row>
    <row r="386" spans="1:7" x14ac:dyDescent="0.25">
      <c r="A386" s="102"/>
      <c r="B386" s="200"/>
      <c r="C386" s="201"/>
      <c r="D386" s="202"/>
      <c r="E386" s="202"/>
      <c r="F386" s="203"/>
      <c r="G386" s="204"/>
    </row>
    <row r="387" spans="1:7" x14ac:dyDescent="0.25">
      <c r="A387" s="102"/>
      <c r="B387" s="200"/>
      <c r="C387" s="201"/>
      <c r="D387" s="202"/>
      <c r="E387" s="202"/>
      <c r="F387" s="203"/>
      <c r="G387" s="204"/>
    </row>
    <row r="388" spans="1:7" x14ac:dyDescent="0.25">
      <c r="A388" s="102"/>
      <c r="B388" s="200"/>
      <c r="C388" s="201"/>
      <c r="D388" s="202"/>
      <c r="E388" s="202"/>
      <c r="F388" s="203"/>
      <c r="G388" s="204"/>
    </row>
    <row r="389" spans="1:7" x14ac:dyDescent="0.25">
      <c r="A389" s="102"/>
      <c r="B389" s="200"/>
      <c r="C389" s="201"/>
      <c r="D389" s="202"/>
      <c r="E389" s="202"/>
      <c r="F389" s="203"/>
      <c r="G389" s="204"/>
    </row>
    <row r="390" spans="1:7" x14ac:dyDescent="0.25">
      <c r="A390" s="102"/>
      <c r="B390" s="200"/>
      <c r="C390" s="201"/>
      <c r="D390" s="202"/>
      <c r="E390" s="202"/>
      <c r="F390" s="203"/>
      <c r="G390" s="204"/>
    </row>
    <row r="391" spans="1:7" x14ac:dyDescent="0.25">
      <c r="A391" s="102"/>
      <c r="B391" s="200"/>
      <c r="C391" s="201"/>
      <c r="D391" s="202"/>
      <c r="E391" s="202"/>
      <c r="F391" s="203"/>
      <c r="G391" s="204"/>
    </row>
    <row r="392" spans="1:7" x14ac:dyDescent="0.25">
      <c r="A392" s="102"/>
      <c r="B392" s="200"/>
      <c r="C392" s="201"/>
      <c r="D392" s="202"/>
      <c r="E392" s="202"/>
      <c r="F392" s="203"/>
      <c r="G392" s="204"/>
    </row>
    <row r="393" spans="1:7" x14ac:dyDescent="0.25">
      <c r="A393" s="102"/>
      <c r="B393" s="200"/>
      <c r="C393" s="201"/>
      <c r="D393" s="202"/>
      <c r="E393" s="202"/>
      <c r="F393" s="203"/>
      <c r="G393" s="204"/>
    </row>
    <row r="394" spans="1:7" x14ac:dyDescent="0.25">
      <c r="A394" s="102"/>
      <c r="B394" s="200"/>
      <c r="C394" s="201"/>
      <c r="D394" s="202"/>
      <c r="E394" s="202"/>
      <c r="F394" s="203"/>
      <c r="G394" s="204"/>
    </row>
    <row r="395" spans="1:7" x14ac:dyDescent="0.25">
      <c r="A395" s="102"/>
      <c r="B395" s="200"/>
      <c r="C395" s="201"/>
      <c r="D395" s="202"/>
      <c r="E395" s="202"/>
      <c r="F395" s="203"/>
      <c r="G395" s="204"/>
    </row>
    <row r="396" spans="1:7" x14ac:dyDescent="0.25">
      <c r="A396" s="102"/>
      <c r="B396" s="200"/>
      <c r="C396" s="201"/>
      <c r="D396" s="202"/>
      <c r="E396" s="202"/>
      <c r="F396" s="203"/>
      <c r="G396" s="204"/>
    </row>
    <row r="397" spans="1:7" x14ac:dyDescent="0.25">
      <c r="A397" s="102"/>
      <c r="B397" s="200"/>
      <c r="C397" s="201"/>
      <c r="D397" s="202"/>
      <c r="E397" s="202"/>
      <c r="F397" s="203"/>
      <c r="G397" s="204"/>
    </row>
    <row r="398" spans="1:7" x14ac:dyDescent="0.25">
      <c r="A398" s="102"/>
      <c r="B398" s="200"/>
      <c r="C398" s="201"/>
      <c r="D398" s="202"/>
      <c r="E398" s="202"/>
      <c r="F398" s="203"/>
      <c r="G398" s="204"/>
    </row>
    <row r="399" spans="1:7" x14ac:dyDescent="0.25">
      <c r="A399" s="102"/>
      <c r="B399" s="200"/>
      <c r="C399" s="201"/>
      <c r="D399" s="202"/>
      <c r="E399" s="202"/>
      <c r="F399" s="203"/>
      <c r="G399" s="204"/>
    </row>
    <row r="400" spans="1:7" x14ac:dyDescent="0.25">
      <c r="A400" s="102"/>
      <c r="B400" s="200"/>
      <c r="C400" s="201"/>
      <c r="D400" s="202"/>
      <c r="E400" s="202"/>
      <c r="F400" s="203"/>
      <c r="G400" s="204"/>
    </row>
    <row r="401" spans="1:7" x14ac:dyDescent="0.25">
      <c r="A401" s="102"/>
      <c r="B401" s="200"/>
      <c r="C401" s="201"/>
      <c r="D401" s="202"/>
      <c r="E401" s="202"/>
      <c r="F401" s="203"/>
      <c r="G401" s="204"/>
    </row>
    <row r="402" spans="1:7" x14ac:dyDescent="0.25">
      <c r="A402" s="102"/>
      <c r="B402" s="200"/>
      <c r="C402" s="201"/>
      <c r="D402" s="202"/>
      <c r="E402" s="202"/>
      <c r="F402" s="203"/>
      <c r="G402" s="204"/>
    </row>
    <row r="403" spans="1:7" x14ac:dyDescent="0.25">
      <c r="A403" s="102"/>
      <c r="B403" s="200"/>
      <c r="C403" s="201"/>
      <c r="D403" s="202"/>
      <c r="E403" s="202"/>
      <c r="F403" s="203"/>
      <c r="G403" s="204"/>
    </row>
    <row r="404" spans="1:7" x14ac:dyDescent="0.25">
      <c r="A404" s="102"/>
      <c r="B404" s="200"/>
      <c r="C404" s="201"/>
      <c r="D404" s="202"/>
      <c r="E404" s="202"/>
      <c r="F404" s="203"/>
      <c r="G404" s="204"/>
    </row>
    <row r="405" spans="1:7" x14ac:dyDescent="0.25">
      <c r="A405" s="102"/>
      <c r="B405" s="200"/>
      <c r="C405" s="201"/>
      <c r="D405" s="202"/>
      <c r="E405" s="202"/>
      <c r="F405" s="203"/>
      <c r="G405" s="204"/>
    </row>
    <row r="406" spans="1:7" x14ac:dyDescent="0.25">
      <c r="A406" s="102"/>
      <c r="B406" s="200"/>
      <c r="C406" s="201"/>
      <c r="D406" s="202"/>
      <c r="E406" s="202"/>
      <c r="F406" s="203"/>
      <c r="G406" s="204"/>
    </row>
    <row r="407" spans="1:7" x14ac:dyDescent="0.25">
      <c r="A407" s="102"/>
      <c r="B407" s="200"/>
      <c r="C407" s="201"/>
      <c r="D407" s="202"/>
      <c r="E407" s="202"/>
      <c r="F407" s="203"/>
      <c r="G407" s="204"/>
    </row>
    <row r="408" spans="1:7" x14ac:dyDescent="0.25">
      <c r="A408" s="102"/>
      <c r="B408" s="200"/>
      <c r="C408" s="201"/>
      <c r="D408" s="202"/>
      <c r="E408" s="202"/>
      <c r="F408" s="203"/>
      <c r="G408" s="204"/>
    </row>
    <row r="409" spans="1:7" x14ac:dyDescent="0.25">
      <c r="A409" s="102"/>
      <c r="B409" s="200"/>
      <c r="C409" s="201"/>
      <c r="D409" s="202"/>
      <c r="E409" s="202"/>
      <c r="F409" s="203"/>
      <c r="G409" s="204"/>
    </row>
    <row r="410" spans="1:7" x14ac:dyDescent="0.25">
      <c r="A410" s="102"/>
      <c r="B410" s="200"/>
      <c r="C410" s="201"/>
      <c r="D410" s="202"/>
      <c r="E410" s="202"/>
      <c r="F410" s="203"/>
      <c r="G410" s="204"/>
    </row>
    <row r="411" spans="1:7" x14ac:dyDescent="0.25">
      <c r="A411" s="102"/>
      <c r="B411" s="200"/>
      <c r="C411" s="201"/>
      <c r="D411" s="202"/>
      <c r="E411" s="202"/>
      <c r="F411" s="203"/>
      <c r="G411" s="204"/>
    </row>
    <row r="412" spans="1:7" x14ac:dyDescent="0.25">
      <c r="A412" s="102"/>
      <c r="B412" s="200"/>
      <c r="C412" s="201"/>
      <c r="D412" s="202"/>
      <c r="E412" s="202"/>
      <c r="F412" s="203"/>
      <c r="G412" s="204"/>
    </row>
    <row r="413" spans="1:7" x14ac:dyDescent="0.25">
      <c r="A413" s="102"/>
      <c r="B413" s="200"/>
      <c r="C413" s="201"/>
      <c r="D413" s="202"/>
      <c r="E413" s="202"/>
      <c r="F413" s="203"/>
      <c r="G413" s="204"/>
    </row>
    <row r="414" spans="1:7" x14ac:dyDescent="0.25">
      <c r="A414" s="102"/>
      <c r="B414" s="200"/>
      <c r="C414" s="201"/>
      <c r="D414" s="202"/>
      <c r="E414" s="202"/>
      <c r="F414" s="203"/>
      <c r="G414" s="204"/>
    </row>
    <row r="415" spans="1:7" x14ac:dyDescent="0.25">
      <c r="A415" s="102"/>
      <c r="B415" s="200"/>
      <c r="C415" s="201"/>
      <c r="D415" s="202"/>
      <c r="E415" s="202"/>
      <c r="F415" s="203"/>
      <c r="G415" s="204"/>
    </row>
    <row r="416" spans="1:7" x14ac:dyDescent="0.25">
      <c r="A416" s="102"/>
      <c r="B416" s="200"/>
      <c r="C416" s="201"/>
      <c r="D416" s="202"/>
      <c r="E416" s="202"/>
      <c r="F416" s="203"/>
      <c r="G416" s="204"/>
    </row>
    <row r="417" spans="1:7" x14ac:dyDescent="0.25">
      <c r="A417" s="102"/>
      <c r="B417" s="200"/>
      <c r="C417" s="201"/>
      <c r="D417" s="202"/>
      <c r="E417" s="202"/>
      <c r="F417" s="203"/>
      <c r="G417" s="204"/>
    </row>
    <row r="418" spans="1:7" x14ac:dyDescent="0.25">
      <c r="A418" s="102"/>
      <c r="B418" s="200"/>
      <c r="C418" s="201"/>
      <c r="D418" s="202"/>
      <c r="E418" s="202"/>
      <c r="F418" s="203"/>
      <c r="G418" s="204"/>
    </row>
    <row r="419" spans="1:7" x14ac:dyDescent="0.25">
      <c r="A419" s="102"/>
      <c r="B419" s="200"/>
      <c r="C419" s="201"/>
      <c r="D419" s="202"/>
      <c r="E419" s="202"/>
      <c r="F419" s="203"/>
      <c r="G419" s="204"/>
    </row>
    <row r="420" spans="1:7" x14ac:dyDescent="0.25">
      <c r="A420" s="102"/>
      <c r="B420" s="200"/>
      <c r="C420" s="201"/>
      <c r="D420" s="202"/>
      <c r="E420" s="202"/>
      <c r="F420" s="203"/>
      <c r="G420" s="204"/>
    </row>
    <row r="421" spans="1:7" x14ac:dyDescent="0.25">
      <c r="A421" s="102"/>
      <c r="B421" s="200"/>
      <c r="C421" s="201"/>
      <c r="D421" s="202"/>
      <c r="E421" s="202"/>
      <c r="F421" s="203"/>
      <c r="G421" s="204"/>
    </row>
    <row r="422" spans="1:7" x14ac:dyDescent="0.25">
      <c r="A422" s="102"/>
      <c r="B422" s="200"/>
      <c r="C422" s="201"/>
      <c r="D422" s="202"/>
      <c r="E422" s="202"/>
      <c r="F422" s="203"/>
      <c r="G422" s="204"/>
    </row>
    <row r="423" spans="1:7" x14ac:dyDescent="0.25">
      <c r="A423" s="102"/>
      <c r="B423" s="200"/>
      <c r="C423" s="201"/>
      <c r="D423" s="202"/>
      <c r="E423" s="202"/>
      <c r="F423" s="203"/>
      <c r="G423" s="204"/>
    </row>
    <row r="424" spans="1:7" x14ac:dyDescent="0.25">
      <c r="A424" s="102"/>
      <c r="B424" s="200"/>
      <c r="C424" s="201"/>
      <c r="D424" s="202"/>
      <c r="E424" s="202"/>
      <c r="F424" s="203"/>
      <c r="G424" s="204"/>
    </row>
    <row r="425" spans="1:7" x14ac:dyDescent="0.25">
      <c r="A425" s="102"/>
      <c r="B425" s="200"/>
      <c r="C425" s="201"/>
      <c r="D425" s="202"/>
      <c r="E425" s="202"/>
      <c r="F425" s="203"/>
      <c r="G425" s="204"/>
    </row>
    <row r="426" spans="1:7" x14ac:dyDescent="0.25">
      <c r="A426" s="102"/>
      <c r="B426" s="200"/>
      <c r="C426" s="201"/>
      <c r="D426" s="202"/>
      <c r="E426" s="202"/>
      <c r="F426" s="203"/>
      <c r="G426" s="204"/>
    </row>
    <row r="427" spans="1:7" x14ac:dyDescent="0.25">
      <c r="A427" s="102"/>
      <c r="B427" s="200"/>
      <c r="C427" s="201"/>
      <c r="D427" s="202"/>
      <c r="E427" s="202"/>
      <c r="F427" s="203"/>
      <c r="G427" s="204"/>
    </row>
    <row r="428" spans="1:7" x14ac:dyDescent="0.25">
      <c r="A428" s="102"/>
      <c r="B428" s="200"/>
      <c r="C428" s="201"/>
      <c r="D428" s="202"/>
      <c r="E428" s="202"/>
      <c r="F428" s="203"/>
      <c r="G428" s="204"/>
    </row>
    <row r="429" spans="1:7" x14ac:dyDescent="0.25">
      <c r="A429" s="102"/>
      <c r="B429" s="200"/>
      <c r="C429" s="201"/>
      <c r="D429" s="202"/>
      <c r="E429" s="202"/>
      <c r="F429" s="203"/>
      <c r="G429" s="204"/>
    </row>
    <row r="430" spans="1:7" x14ac:dyDescent="0.25">
      <c r="A430" s="102"/>
      <c r="B430" s="200"/>
      <c r="C430" s="201"/>
      <c r="D430" s="202"/>
      <c r="E430" s="202"/>
      <c r="F430" s="203"/>
      <c r="G430" s="204"/>
    </row>
    <row r="431" spans="1:7" x14ac:dyDescent="0.25">
      <c r="A431" s="102"/>
      <c r="B431" s="200"/>
      <c r="C431" s="201"/>
      <c r="D431" s="202"/>
      <c r="E431" s="202"/>
      <c r="F431" s="203"/>
      <c r="G431" s="204"/>
    </row>
    <row r="432" spans="1:7" x14ac:dyDescent="0.25">
      <c r="A432" s="102"/>
      <c r="B432" s="200"/>
      <c r="C432" s="201"/>
      <c r="D432" s="202"/>
      <c r="E432" s="202"/>
      <c r="F432" s="203"/>
      <c r="G432" s="204"/>
    </row>
    <row r="433" spans="1:7" x14ac:dyDescent="0.25">
      <c r="A433" s="102"/>
      <c r="B433" s="200"/>
      <c r="C433" s="201"/>
      <c r="D433" s="202"/>
      <c r="E433" s="202"/>
      <c r="F433" s="203"/>
      <c r="G433" s="204"/>
    </row>
    <row r="434" spans="1:7" x14ac:dyDescent="0.25">
      <c r="A434" s="102"/>
      <c r="B434" s="200"/>
      <c r="C434" s="201"/>
      <c r="D434" s="202"/>
      <c r="E434" s="202"/>
      <c r="F434" s="203"/>
      <c r="G434" s="204"/>
    </row>
    <row r="435" spans="1:7" x14ac:dyDescent="0.25">
      <c r="A435" s="102"/>
      <c r="B435" s="200"/>
      <c r="C435" s="201"/>
      <c r="D435" s="202"/>
      <c r="E435" s="202"/>
      <c r="F435" s="203"/>
      <c r="G435" s="204"/>
    </row>
    <row r="436" spans="1:7" x14ac:dyDescent="0.25">
      <c r="A436" s="102"/>
      <c r="B436" s="200"/>
      <c r="C436" s="201"/>
      <c r="D436" s="202"/>
      <c r="E436" s="202"/>
      <c r="F436" s="203"/>
      <c r="G436" s="204"/>
    </row>
    <row r="437" spans="1:7" x14ac:dyDescent="0.25">
      <c r="A437" s="102"/>
      <c r="B437" s="200"/>
      <c r="C437" s="201"/>
      <c r="D437" s="202"/>
      <c r="E437" s="202"/>
      <c r="F437" s="203"/>
      <c r="G437" s="204"/>
    </row>
    <row r="438" spans="1:7" x14ac:dyDescent="0.25">
      <c r="A438" s="102"/>
      <c r="B438" s="200"/>
      <c r="C438" s="201"/>
      <c r="D438" s="202"/>
      <c r="E438" s="202"/>
      <c r="F438" s="203"/>
      <c r="G438" s="204"/>
    </row>
    <row r="439" spans="1:7" x14ac:dyDescent="0.25">
      <c r="A439" s="102"/>
      <c r="B439" s="200"/>
      <c r="C439" s="201"/>
      <c r="D439" s="202"/>
      <c r="E439" s="202"/>
      <c r="F439" s="203"/>
      <c r="G439" s="204"/>
    </row>
    <row r="440" spans="1:7" x14ac:dyDescent="0.25">
      <c r="A440" s="102"/>
      <c r="B440" s="200"/>
      <c r="C440" s="201"/>
      <c r="D440" s="202"/>
      <c r="E440" s="202"/>
      <c r="F440" s="203"/>
      <c r="G440" s="204"/>
    </row>
    <row r="441" spans="1:7" x14ac:dyDescent="0.25">
      <c r="A441" s="102"/>
      <c r="B441" s="200"/>
      <c r="C441" s="201"/>
      <c r="D441" s="202"/>
      <c r="E441" s="202"/>
      <c r="F441" s="203"/>
      <c r="G441" s="204"/>
    </row>
    <row r="442" spans="1:7" x14ac:dyDescent="0.25">
      <c r="A442" s="102"/>
      <c r="B442" s="200"/>
      <c r="C442" s="201"/>
      <c r="D442" s="202"/>
      <c r="E442" s="202"/>
      <c r="F442" s="203"/>
      <c r="G442" s="204"/>
    </row>
    <row r="443" spans="1:7" x14ac:dyDescent="0.25">
      <c r="A443" s="102"/>
      <c r="B443" s="200"/>
      <c r="C443" s="201"/>
      <c r="D443" s="202"/>
      <c r="E443" s="202"/>
      <c r="F443" s="203"/>
      <c r="G443" s="204"/>
    </row>
    <row r="444" spans="1:7" x14ac:dyDescent="0.25">
      <c r="A444" s="102"/>
      <c r="B444" s="200"/>
      <c r="C444" s="201"/>
      <c r="D444" s="202"/>
      <c r="E444" s="202"/>
      <c r="F444" s="203"/>
      <c r="G444" s="204"/>
    </row>
    <row r="445" spans="1:7" x14ac:dyDescent="0.25">
      <c r="A445" s="102"/>
      <c r="B445" s="200"/>
      <c r="C445" s="201"/>
      <c r="D445" s="202"/>
      <c r="E445" s="202"/>
      <c r="F445" s="203"/>
      <c r="G445" s="204"/>
    </row>
    <row r="446" spans="1:7" x14ac:dyDescent="0.25">
      <c r="A446" s="102"/>
      <c r="B446" s="200"/>
      <c r="C446" s="201"/>
      <c r="D446" s="202"/>
      <c r="E446" s="202"/>
      <c r="F446" s="203"/>
      <c r="G446" s="204"/>
    </row>
    <row r="447" spans="1:7" x14ac:dyDescent="0.25">
      <c r="A447" s="102"/>
      <c r="B447" s="200"/>
      <c r="C447" s="201"/>
      <c r="D447" s="202"/>
      <c r="E447" s="202"/>
      <c r="F447" s="203"/>
      <c r="G447" s="204"/>
    </row>
    <row r="448" spans="1:7" x14ac:dyDescent="0.25">
      <c r="A448" s="102"/>
      <c r="B448" s="200"/>
      <c r="C448" s="201"/>
      <c r="D448" s="202"/>
      <c r="E448" s="202"/>
      <c r="F448" s="203"/>
      <c r="G448" s="204"/>
    </row>
    <row r="449" spans="1:7" x14ac:dyDescent="0.25">
      <c r="A449" s="102"/>
      <c r="B449" s="200"/>
      <c r="C449" s="201"/>
      <c r="D449" s="202"/>
      <c r="E449" s="202"/>
      <c r="F449" s="203"/>
      <c r="G449" s="204"/>
    </row>
    <row r="450" spans="1:7" x14ac:dyDescent="0.25">
      <c r="A450" s="102"/>
      <c r="B450" s="200"/>
      <c r="C450" s="201"/>
      <c r="D450" s="202"/>
      <c r="E450" s="202"/>
      <c r="F450" s="203"/>
      <c r="G450" s="204"/>
    </row>
    <row r="451" spans="1:7" x14ac:dyDescent="0.25">
      <c r="A451" s="102"/>
      <c r="B451" s="200"/>
      <c r="C451" s="201"/>
      <c r="D451" s="202"/>
      <c r="E451" s="202"/>
      <c r="F451" s="203"/>
      <c r="G451" s="204"/>
    </row>
    <row r="452" spans="1:7" x14ac:dyDescent="0.25">
      <c r="A452" s="102"/>
      <c r="B452" s="200"/>
      <c r="C452" s="201"/>
      <c r="D452" s="202"/>
      <c r="E452" s="202"/>
      <c r="F452" s="203"/>
      <c r="G452" s="204"/>
    </row>
    <row r="453" spans="1:7" x14ac:dyDescent="0.25">
      <c r="A453" s="102"/>
      <c r="B453" s="200"/>
      <c r="C453" s="201"/>
      <c r="D453" s="202"/>
      <c r="E453" s="202"/>
      <c r="F453" s="203"/>
      <c r="G453" s="204"/>
    </row>
    <row r="454" spans="1:7" x14ac:dyDescent="0.25">
      <c r="A454" s="102"/>
      <c r="B454" s="200"/>
      <c r="C454" s="201"/>
      <c r="D454" s="202"/>
      <c r="E454" s="202"/>
      <c r="F454" s="203"/>
      <c r="G454" s="204"/>
    </row>
    <row r="455" spans="1:7" x14ac:dyDescent="0.25">
      <c r="A455" s="102"/>
      <c r="B455" s="200"/>
      <c r="C455" s="201"/>
      <c r="D455" s="202"/>
      <c r="E455" s="202"/>
      <c r="F455" s="203"/>
      <c r="G455" s="204"/>
    </row>
    <row r="456" spans="1:7" x14ac:dyDescent="0.25">
      <c r="A456" s="102"/>
      <c r="B456" s="200"/>
      <c r="C456" s="201"/>
      <c r="D456" s="202"/>
      <c r="E456" s="202"/>
      <c r="F456" s="203"/>
      <c r="G456" s="204"/>
    </row>
    <row r="457" spans="1:7" x14ac:dyDescent="0.25">
      <c r="A457" s="102"/>
      <c r="B457" s="200"/>
      <c r="C457" s="201"/>
      <c r="D457" s="202"/>
      <c r="E457" s="202"/>
      <c r="F457" s="203"/>
      <c r="G457" s="204"/>
    </row>
    <row r="458" spans="1:7" x14ac:dyDescent="0.25">
      <c r="A458" s="102"/>
      <c r="B458" s="200"/>
      <c r="C458" s="201"/>
      <c r="D458" s="202"/>
      <c r="E458" s="202"/>
      <c r="F458" s="203"/>
      <c r="G458" s="204"/>
    </row>
    <row r="459" spans="1:7" x14ac:dyDescent="0.25">
      <c r="A459" s="102"/>
      <c r="B459" s="200"/>
      <c r="C459" s="201"/>
      <c r="D459" s="202"/>
      <c r="E459" s="202"/>
      <c r="F459" s="203"/>
      <c r="G459" s="204"/>
    </row>
    <row r="460" spans="1:7" x14ac:dyDescent="0.25">
      <c r="A460" s="102"/>
      <c r="B460" s="200"/>
      <c r="C460" s="201"/>
      <c r="D460" s="202"/>
      <c r="E460" s="202"/>
      <c r="F460" s="203"/>
      <c r="G460" s="204"/>
    </row>
    <row r="461" spans="1:7" x14ac:dyDescent="0.25">
      <c r="A461" s="102"/>
      <c r="B461" s="200"/>
      <c r="C461" s="201"/>
      <c r="D461" s="202"/>
      <c r="E461" s="202"/>
      <c r="F461" s="203"/>
      <c r="G461" s="204"/>
    </row>
    <row r="462" spans="1:7" x14ac:dyDescent="0.25">
      <c r="A462" s="102"/>
      <c r="B462" s="200"/>
      <c r="C462" s="201"/>
      <c r="D462" s="202"/>
      <c r="E462" s="202"/>
      <c r="F462" s="203"/>
      <c r="G462" s="204"/>
    </row>
    <row r="463" spans="1:7" x14ac:dyDescent="0.25">
      <c r="A463" s="102"/>
      <c r="B463" s="200"/>
      <c r="C463" s="201"/>
      <c r="D463" s="202"/>
      <c r="E463" s="202"/>
      <c r="F463" s="203"/>
      <c r="G463" s="204"/>
    </row>
    <row r="464" spans="1:7" x14ac:dyDescent="0.25">
      <c r="A464" s="102"/>
      <c r="B464" s="200"/>
      <c r="C464" s="201"/>
      <c r="D464" s="202"/>
      <c r="E464" s="202"/>
      <c r="F464" s="203"/>
      <c r="G464" s="204"/>
    </row>
    <row r="465" spans="1:7" x14ac:dyDescent="0.25">
      <c r="A465" s="102"/>
      <c r="B465" s="200"/>
      <c r="C465" s="201"/>
      <c r="D465" s="202"/>
      <c r="E465" s="202"/>
      <c r="F465" s="203"/>
      <c r="G465" s="204"/>
    </row>
    <row r="466" spans="1:7" x14ac:dyDescent="0.25">
      <c r="A466" s="102"/>
      <c r="B466" s="200"/>
      <c r="C466" s="201"/>
      <c r="D466" s="202"/>
      <c r="E466" s="202"/>
      <c r="F466" s="203"/>
      <c r="G466" s="204"/>
    </row>
    <row r="467" spans="1:7" x14ac:dyDescent="0.25">
      <c r="A467" s="102"/>
      <c r="B467" s="200"/>
      <c r="C467" s="201"/>
      <c r="D467" s="202"/>
      <c r="E467" s="202"/>
      <c r="F467" s="203"/>
      <c r="G467" s="204"/>
    </row>
    <row r="468" spans="1:7" x14ac:dyDescent="0.25">
      <c r="A468" s="102"/>
      <c r="B468" s="200"/>
      <c r="C468" s="201"/>
      <c r="D468" s="202"/>
      <c r="E468" s="202"/>
      <c r="F468" s="203"/>
      <c r="G468" s="204"/>
    </row>
    <row r="469" spans="1:7" x14ac:dyDescent="0.25">
      <c r="A469" s="102"/>
      <c r="B469" s="200"/>
      <c r="C469" s="201"/>
      <c r="D469" s="202"/>
      <c r="E469" s="202"/>
      <c r="F469" s="203"/>
      <c r="G469" s="204"/>
    </row>
    <row r="470" spans="1:7" x14ac:dyDescent="0.25">
      <c r="A470" s="102"/>
      <c r="B470" s="200"/>
      <c r="C470" s="201"/>
      <c r="D470" s="202"/>
      <c r="E470" s="202"/>
      <c r="F470" s="203"/>
      <c r="G470" s="204"/>
    </row>
    <row r="471" spans="1:7" x14ac:dyDescent="0.25">
      <c r="A471" s="102"/>
      <c r="B471" s="200"/>
      <c r="C471" s="201"/>
      <c r="D471" s="202"/>
      <c r="E471" s="202"/>
      <c r="F471" s="203"/>
      <c r="G471" s="204"/>
    </row>
    <row r="472" spans="1:7" x14ac:dyDescent="0.25">
      <c r="A472" s="102"/>
      <c r="B472" s="200"/>
      <c r="C472" s="201"/>
      <c r="D472" s="202"/>
      <c r="E472" s="202"/>
      <c r="F472" s="203"/>
      <c r="G472" s="204"/>
    </row>
    <row r="473" spans="1:7" x14ac:dyDescent="0.25">
      <c r="A473" s="102"/>
      <c r="B473" s="200"/>
      <c r="C473" s="201"/>
      <c r="D473" s="202"/>
      <c r="E473" s="202"/>
      <c r="F473" s="203"/>
      <c r="G473" s="204"/>
    </row>
    <row r="474" spans="1:7" x14ac:dyDescent="0.25">
      <c r="A474" s="102"/>
      <c r="B474" s="200"/>
      <c r="C474" s="201"/>
      <c r="D474" s="202"/>
      <c r="E474" s="202"/>
      <c r="F474" s="203"/>
      <c r="G474" s="204"/>
    </row>
    <row r="475" spans="1:7" x14ac:dyDescent="0.25">
      <c r="A475" s="102"/>
      <c r="B475" s="200"/>
      <c r="C475" s="201"/>
      <c r="D475" s="202"/>
      <c r="E475" s="202"/>
      <c r="F475" s="203"/>
      <c r="G475" s="204"/>
    </row>
    <row r="476" spans="1:7" x14ac:dyDescent="0.25">
      <c r="A476" s="102"/>
      <c r="B476" s="200"/>
      <c r="C476" s="201"/>
      <c r="D476" s="202"/>
      <c r="E476" s="202"/>
      <c r="F476" s="203"/>
      <c r="G476" s="204"/>
    </row>
    <row r="477" spans="1:7" x14ac:dyDescent="0.25">
      <c r="A477" s="102"/>
      <c r="B477" s="200"/>
      <c r="C477" s="201"/>
      <c r="D477" s="202"/>
      <c r="E477" s="202"/>
      <c r="F477" s="203"/>
      <c r="G477" s="204"/>
    </row>
    <row r="478" spans="1:7" x14ac:dyDescent="0.25">
      <c r="A478" s="102"/>
      <c r="B478" s="200"/>
      <c r="C478" s="201"/>
      <c r="D478" s="202"/>
      <c r="E478" s="202"/>
      <c r="F478" s="203"/>
      <c r="G478" s="204"/>
    </row>
    <row r="479" spans="1:7" x14ac:dyDescent="0.25">
      <c r="A479" s="102"/>
      <c r="B479" s="200"/>
      <c r="C479" s="201"/>
      <c r="D479" s="202"/>
      <c r="E479" s="202"/>
      <c r="F479" s="203"/>
      <c r="G479" s="204"/>
    </row>
    <row r="480" spans="1:7" x14ac:dyDescent="0.25">
      <c r="A480" s="102"/>
      <c r="B480" s="200"/>
      <c r="C480" s="201"/>
      <c r="D480" s="202"/>
      <c r="E480" s="202"/>
      <c r="F480" s="203"/>
      <c r="G480" s="204"/>
    </row>
    <row r="481" spans="1:7" x14ac:dyDescent="0.25">
      <c r="A481" s="102"/>
      <c r="B481" s="200"/>
      <c r="C481" s="201"/>
      <c r="D481" s="202"/>
      <c r="E481" s="202"/>
      <c r="F481" s="203"/>
      <c r="G481" s="204"/>
    </row>
    <row r="482" spans="1:7" x14ac:dyDescent="0.25">
      <c r="A482" s="102"/>
      <c r="B482" s="200"/>
      <c r="C482" s="201"/>
      <c r="D482" s="202"/>
      <c r="E482" s="202"/>
      <c r="F482" s="203"/>
      <c r="G482" s="204"/>
    </row>
    <row r="483" spans="1:7" x14ac:dyDescent="0.25">
      <c r="A483" s="102"/>
      <c r="B483" s="200"/>
      <c r="C483" s="201"/>
      <c r="D483" s="202"/>
      <c r="E483" s="202"/>
      <c r="F483" s="203"/>
      <c r="G483" s="204"/>
    </row>
    <row r="484" spans="1:7" x14ac:dyDescent="0.25">
      <c r="A484" s="102"/>
      <c r="B484" s="200"/>
      <c r="C484" s="201"/>
      <c r="D484" s="202"/>
      <c r="E484" s="202"/>
      <c r="F484" s="203"/>
      <c r="G484" s="204"/>
    </row>
    <row r="485" spans="1:7" x14ac:dyDescent="0.25">
      <c r="A485" s="102"/>
      <c r="B485" s="200"/>
      <c r="C485" s="201"/>
      <c r="D485" s="202"/>
      <c r="E485" s="202"/>
      <c r="F485" s="203"/>
      <c r="G485" s="204"/>
    </row>
    <row r="486" spans="1:7" x14ac:dyDescent="0.25">
      <c r="A486" s="102"/>
      <c r="B486" s="200"/>
      <c r="C486" s="201"/>
      <c r="D486" s="202"/>
      <c r="E486" s="202"/>
      <c r="F486" s="203"/>
      <c r="G486" s="204"/>
    </row>
    <row r="487" spans="1:7" x14ac:dyDescent="0.25">
      <c r="A487" s="102"/>
      <c r="B487" s="200"/>
      <c r="C487" s="201"/>
      <c r="D487" s="202"/>
      <c r="E487" s="202"/>
      <c r="F487" s="203"/>
      <c r="G487" s="204"/>
    </row>
    <row r="488" spans="1:7" x14ac:dyDescent="0.25">
      <c r="A488" s="102"/>
      <c r="B488" s="200"/>
      <c r="C488" s="201"/>
      <c r="D488" s="202"/>
      <c r="E488" s="202"/>
      <c r="F488" s="203"/>
      <c r="G488" s="204"/>
    </row>
    <row r="489" spans="1:7" x14ac:dyDescent="0.25">
      <c r="A489" s="102"/>
      <c r="B489" s="200"/>
      <c r="C489" s="201"/>
      <c r="D489" s="202"/>
      <c r="E489" s="202"/>
      <c r="F489" s="203"/>
      <c r="G489" s="204"/>
    </row>
    <row r="490" spans="1:7" x14ac:dyDescent="0.25">
      <c r="A490" s="102"/>
      <c r="B490" s="200"/>
      <c r="C490" s="201"/>
      <c r="D490" s="202"/>
      <c r="E490" s="202"/>
      <c r="F490" s="203"/>
      <c r="G490" s="204"/>
    </row>
    <row r="491" spans="1:7" x14ac:dyDescent="0.25">
      <c r="A491" s="102"/>
      <c r="B491" s="200"/>
      <c r="C491" s="201"/>
      <c r="D491" s="202"/>
      <c r="E491" s="202"/>
      <c r="F491" s="203"/>
      <c r="G491" s="204"/>
    </row>
    <row r="492" spans="1:7" x14ac:dyDescent="0.25">
      <c r="A492" s="102"/>
      <c r="B492" s="200"/>
      <c r="C492" s="201"/>
      <c r="D492" s="202"/>
      <c r="E492" s="202"/>
      <c r="F492" s="203"/>
      <c r="G492" s="204"/>
    </row>
    <row r="493" spans="1:7" x14ac:dyDescent="0.25">
      <c r="A493" s="102"/>
      <c r="B493" s="200"/>
      <c r="C493" s="201"/>
      <c r="D493" s="202"/>
      <c r="E493" s="202"/>
      <c r="F493" s="203"/>
      <c r="G493" s="204"/>
    </row>
    <row r="494" spans="1:7" x14ac:dyDescent="0.25">
      <c r="A494" s="102"/>
      <c r="B494" s="200"/>
      <c r="C494" s="201"/>
      <c r="D494" s="202"/>
      <c r="E494" s="202"/>
      <c r="F494" s="203"/>
      <c r="G494" s="204"/>
    </row>
    <row r="495" spans="1:7" x14ac:dyDescent="0.25">
      <c r="A495" s="102"/>
      <c r="B495" s="200"/>
      <c r="C495" s="201"/>
      <c r="D495" s="202"/>
      <c r="E495" s="202"/>
      <c r="F495" s="203"/>
      <c r="G495" s="204"/>
    </row>
    <row r="496" spans="1:7" x14ac:dyDescent="0.25">
      <c r="A496" s="102"/>
      <c r="B496" s="200"/>
      <c r="C496" s="201"/>
      <c r="D496" s="202"/>
      <c r="E496" s="202"/>
      <c r="F496" s="203"/>
      <c r="G496" s="204"/>
    </row>
    <row r="497" spans="1:7" x14ac:dyDescent="0.25">
      <c r="A497" s="102"/>
      <c r="B497" s="200"/>
      <c r="C497" s="201"/>
      <c r="D497" s="202"/>
      <c r="E497" s="202"/>
      <c r="F497" s="203"/>
      <c r="G497" s="204"/>
    </row>
    <row r="498" spans="1:7" x14ac:dyDescent="0.25">
      <c r="A498" s="102"/>
      <c r="B498" s="200"/>
      <c r="C498" s="201"/>
      <c r="D498" s="202"/>
      <c r="E498" s="202"/>
      <c r="F498" s="203"/>
      <c r="G498" s="204"/>
    </row>
    <row r="499" spans="1:7" x14ac:dyDescent="0.25">
      <c r="A499" s="102"/>
      <c r="B499" s="200"/>
      <c r="C499" s="201"/>
      <c r="D499" s="202"/>
      <c r="E499" s="202"/>
      <c r="F499" s="203"/>
      <c r="G499" s="204"/>
    </row>
    <row r="500" spans="1:7" x14ac:dyDescent="0.25">
      <c r="A500" s="102"/>
      <c r="B500" s="200"/>
      <c r="C500" s="201"/>
      <c r="D500" s="202"/>
      <c r="E500" s="202"/>
      <c r="F500" s="203"/>
      <c r="G500" s="204"/>
    </row>
    <row r="501" spans="1:7" x14ac:dyDescent="0.25">
      <c r="A501" s="102"/>
      <c r="B501" s="200"/>
      <c r="C501" s="201"/>
      <c r="D501" s="202"/>
      <c r="E501" s="202"/>
      <c r="F501" s="203"/>
      <c r="G501" s="204"/>
    </row>
    <row r="502" spans="1:7" x14ac:dyDescent="0.25">
      <c r="A502" s="102"/>
      <c r="B502" s="200"/>
      <c r="C502" s="201"/>
      <c r="D502" s="202"/>
      <c r="E502" s="202"/>
      <c r="F502" s="203"/>
      <c r="G502" s="204"/>
    </row>
    <row r="503" spans="1:7" x14ac:dyDescent="0.25">
      <c r="A503" s="102"/>
      <c r="B503" s="200"/>
      <c r="C503" s="201"/>
      <c r="D503" s="202"/>
      <c r="E503" s="202"/>
      <c r="F503" s="203"/>
      <c r="G503" s="204"/>
    </row>
    <row r="504" spans="1:7" x14ac:dyDescent="0.25">
      <c r="A504" s="102"/>
      <c r="B504" s="200"/>
      <c r="C504" s="201"/>
      <c r="D504" s="202"/>
      <c r="E504" s="202"/>
      <c r="F504" s="203"/>
      <c r="G504" s="204"/>
    </row>
    <row r="505" spans="1:7" x14ac:dyDescent="0.25">
      <c r="A505" s="102"/>
      <c r="B505" s="200"/>
      <c r="C505" s="201"/>
      <c r="D505" s="202"/>
      <c r="E505" s="202"/>
      <c r="F505" s="203"/>
      <c r="G505" s="204"/>
    </row>
    <row r="506" spans="1:7" x14ac:dyDescent="0.25">
      <c r="A506" s="102"/>
      <c r="B506" s="200"/>
      <c r="C506" s="201"/>
      <c r="D506" s="202"/>
      <c r="E506" s="202"/>
      <c r="F506" s="203"/>
      <c r="G506" s="204"/>
    </row>
    <row r="507" spans="1:7" x14ac:dyDescent="0.25">
      <c r="A507" s="102"/>
      <c r="B507" s="200"/>
      <c r="C507" s="201"/>
      <c r="D507" s="202"/>
      <c r="E507" s="202"/>
      <c r="F507" s="203"/>
      <c r="G507" s="204"/>
    </row>
    <row r="508" spans="1:7" x14ac:dyDescent="0.25">
      <c r="A508" s="102"/>
      <c r="B508" s="200"/>
      <c r="C508" s="201"/>
      <c r="D508" s="202"/>
      <c r="E508" s="202"/>
      <c r="F508" s="203"/>
      <c r="G508" s="204"/>
    </row>
    <row r="509" spans="1:7" x14ac:dyDescent="0.25">
      <c r="A509" s="102"/>
      <c r="B509" s="200"/>
      <c r="C509" s="201"/>
      <c r="D509" s="202"/>
      <c r="E509" s="202"/>
      <c r="F509" s="203"/>
      <c r="G509" s="204"/>
    </row>
    <row r="510" spans="1:7" x14ac:dyDescent="0.25">
      <c r="A510" s="102"/>
      <c r="B510" s="200"/>
      <c r="C510" s="201"/>
      <c r="D510" s="202"/>
      <c r="E510" s="202"/>
      <c r="F510" s="203"/>
      <c r="G510" s="204"/>
    </row>
    <row r="511" spans="1:7" x14ac:dyDescent="0.25">
      <c r="A511" s="102"/>
      <c r="B511" s="200"/>
      <c r="C511" s="201"/>
      <c r="D511" s="202"/>
      <c r="E511" s="202"/>
      <c r="F511" s="203"/>
      <c r="G511" s="204"/>
    </row>
    <row r="512" spans="1:7" x14ac:dyDescent="0.25">
      <c r="A512" s="102"/>
      <c r="B512" s="200"/>
      <c r="C512" s="201"/>
      <c r="D512" s="202"/>
      <c r="E512" s="202"/>
      <c r="F512" s="203"/>
      <c r="G512" s="204"/>
    </row>
    <row r="513" spans="1:7" x14ac:dyDescent="0.25">
      <c r="A513" s="102"/>
      <c r="B513" s="200"/>
      <c r="C513" s="201"/>
      <c r="D513" s="202"/>
      <c r="E513" s="202"/>
      <c r="F513" s="203"/>
      <c r="G513" s="204"/>
    </row>
    <row r="514" spans="1:7" x14ac:dyDescent="0.25">
      <c r="A514" s="102"/>
      <c r="B514" s="200"/>
      <c r="C514" s="201"/>
      <c r="D514" s="202"/>
      <c r="E514" s="202"/>
      <c r="F514" s="203"/>
      <c r="G514" s="204"/>
    </row>
    <row r="515" spans="1:7" x14ac:dyDescent="0.25">
      <c r="A515" s="102"/>
      <c r="B515" s="200"/>
      <c r="C515" s="201"/>
      <c r="D515" s="202"/>
      <c r="E515" s="202"/>
      <c r="F515" s="203"/>
      <c r="G515" s="204"/>
    </row>
    <row r="516" spans="1:7" x14ac:dyDescent="0.25">
      <c r="A516" s="102"/>
      <c r="B516" s="200"/>
      <c r="C516" s="201"/>
      <c r="D516" s="202"/>
      <c r="E516" s="202"/>
      <c r="F516" s="203"/>
      <c r="G516" s="204"/>
    </row>
    <row r="517" spans="1:7" x14ac:dyDescent="0.25">
      <c r="A517" s="102"/>
      <c r="B517" s="200"/>
      <c r="C517" s="201"/>
      <c r="D517" s="202"/>
      <c r="E517" s="202"/>
      <c r="F517" s="203"/>
      <c r="G517" s="204"/>
    </row>
    <row r="518" spans="1:7" x14ac:dyDescent="0.25">
      <c r="A518" s="102"/>
      <c r="B518" s="200"/>
      <c r="C518" s="201"/>
      <c r="D518" s="202"/>
      <c r="E518" s="202"/>
      <c r="F518" s="203"/>
      <c r="G518" s="204"/>
    </row>
    <row r="519" spans="1:7" x14ac:dyDescent="0.25">
      <c r="A519" s="102"/>
      <c r="B519" s="200"/>
      <c r="C519" s="201"/>
      <c r="D519" s="202"/>
      <c r="E519" s="202"/>
      <c r="F519" s="203"/>
      <c r="G519" s="204"/>
    </row>
    <row r="520" spans="1:7" x14ac:dyDescent="0.25">
      <c r="A520" s="102"/>
      <c r="B520" s="200"/>
      <c r="C520" s="201"/>
      <c r="D520" s="202"/>
      <c r="E520" s="202"/>
      <c r="F520" s="203"/>
      <c r="G520" s="204"/>
    </row>
    <row r="521" spans="1:7" x14ac:dyDescent="0.25">
      <c r="A521" s="102"/>
      <c r="B521" s="200"/>
      <c r="C521" s="201"/>
      <c r="D521" s="202"/>
      <c r="E521" s="202"/>
      <c r="F521" s="203"/>
      <c r="G521" s="204"/>
    </row>
    <row r="522" spans="1:7" x14ac:dyDescent="0.25">
      <c r="A522" s="102"/>
      <c r="B522" s="200"/>
      <c r="C522" s="201"/>
      <c r="D522" s="202"/>
      <c r="E522" s="202"/>
      <c r="F522" s="203"/>
      <c r="G522" s="204"/>
    </row>
    <row r="523" spans="1:7" x14ac:dyDescent="0.25">
      <c r="A523" s="102"/>
      <c r="B523" s="200"/>
      <c r="C523" s="201"/>
      <c r="D523" s="202"/>
      <c r="E523" s="202"/>
      <c r="F523" s="203"/>
      <c r="G523" s="204"/>
    </row>
    <row r="524" spans="1:7" x14ac:dyDescent="0.25">
      <c r="A524" s="102"/>
      <c r="B524" s="200"/>
      <c r="C524" s="201"/>
      <c r="D524" s="202"/>
      <c r="E524" s="202"/>
      <c r="F524" s="203"/>
      <c r="G524" s="204"/>
    </row>
    <row r="525" spans="1:7" x14ac:dyDescent="0.25">
      <c r="A525" s="102"/>
      <c r="B525" s="200"/>
      <c r="C525" s="201"/>
      <c r="D525" s="202"/>
      <c r="E525" s="202"/>
      <c r="F525" s="203"/>
      <c r="G525" s="204"/>
    </row>
    <row r="526" spans="1:7" x14ac:dyDescent="0.25">
      <c r="A526" s="102"/>
      <c r="B526" s="200"/>
      <c r="C526" s="201"/>
      <c r="D526" s="202"/>
      <c r="E526" s="202"/>
      <c r="F526" s="203"/>
      <c r="G526" s="204"/>
    </row>
    <row r="527" spans="1:7" x14ac:dyDescent="0.25">
      <c r="A527" s="102"/>
      <c r="B527" s="200"/>
      <c r="C527" s="201"/>
      <c r="D527" s="202"/>
      <c r="E527" s="202"/>
      <c r="F527" s="203"/>
      <c r="G527" s="204"/>
    </row>
    <row r="528" spans="1:7" x14ac:dyDescent="0.25">
      <c r="A528" s="102"/>
      <c r="B528" s="200"/>
      <c r="C528" s="201"/>
      <c r="D528" s="202"/>
      <c r="E528" s="202"/>
      <c r="F528" s="203"/>
      <c r="G528" s="204"/>
    </row>
    <row r="529" spans="1:7" x14ac:dyDescent="0.25">
      <c r="A529" s="102"/>
      <c r="B529" s="200"/>
      <c r="C529" s="201"/>
      <c r="D529" s="202"/>
      <c r="E529" s="202"/>
      <c r="F529" s="203"/>
      <c r="G529" s="204"/>
    </row>
    <row r="530" spans="1:7" x14ac:dyDescent="0.25">
      <c r="A530" s="102"/>
      <c r="B530" s="200"/>
      <c r="C530" s="201"/>
      <c r="D530" s="202"/>
      <c r="E530" s="202"/>
      <c r="F530" s="203"/>
      <c r="G530" s="204"/>
    </row>
    <row r="531" spans="1:7" x14ac:dyDescent="0.25">
      <c r="A531" s="102"/>
      <c r="B531" s="200"/>
      <c r="C531" s="201"/>
      <c r="D531" s="202"/>
      <c r="E531" s="202"/>
      <c r="F531" s="203"/>
      <c r="G531" s="204"/>
    </row>
    <row r="532" spans="1:7" x14ac:dyDescent="0.25">
      <c r="A532" s="102"/>
      <c r="B532" s="200"/>
      <c r="C532" s="201"/>
      <c r="D532" s="202"/>
      <c r="E532" s="202"/>
      <c r="F532" s="203"/>
      <c r="G532" s="204"/>
    </row>
    <row r="533" spans="1:7" x14ac:dyDescent="0.25">
      <c r="A533" s="102"/>
      <c r="B533" s="200"/>
      <c r="C533" s="201"/>
      <c r="D533" s="202"/>
      <c r="E533" s="202"/>
      <c r="F533" s="203"/>
      <c r="G533" s="204"/>
    </row>
    <row r="534" spans="1:7" x14ac:dyDescent="0.25">
      <c r="A534" s="102"/>
      <c r="B534" s="200"/>
      <c r="C534" s="201"/>
      <c r="D534" s="202"/>
      <c r="E534" s="202"/>
      <c r="F534" s="203"/>
      <c r="G534" s="204"/>
    </row>
    <row r="535" spans="1:7" x14ac:dyDescent="0.25">
      <c r="A535" s="102"/>
      <c r="B535" s="200"/>
      <c r="C535" s="201"/>
      <c r="D535" s="202"/>
      <c r="E535" s="202"/>
      <c r="F535" s="203"/>
      <c r="G535" s="204"/>
    </row>
    <row r="536" spans="1:7" x14ac:dyDescent="0.25">
      <c r="A536" s="102"/>
      <c r="B536" s="200"/>
      <c r="C536" s="201"/>
      <c r="D536" s="202"/>
      <c r="E536" s="202"/>
      <c r="F536" s="203"/>
      <c r="G536" s="204"/>
    </row>
    <row r="537" spans="1:7" x14ac:dyDescent="0.25">
      <c r="A537" s="102"/>
      <c r="B537" s="200"/>
      <c r="C537" s="201"/>
      <c r="D537" s="202"/>
      <c r="E537" s="202"/>
      <c r="F537" s="203"/>
      <c r="G537" s="204"/>
    </row>
    <row r="538" spans="1:7" x14ac:dyDescent="0.25">
      <c r="A538" s="102"/>
      <c r="B538" s="200"/>
      <c r="C538" s="201"/>
      <c r="D538" s="202"/>
      <c r="E538" s="202"/>
      <c r="F538" s="203"/>
      <c r="G538" s="204"/>
    </row>
    <row r="539" spans="1:7" x14ac:dyDescent="0.25">
      <c r="A539" s="102"/>
      <c r="B539" s="200"/>
      <c r="C539" s="201"/>
      <c r="D539" s="202"/>
      <c r="E539" s="202"/>
      <c r="F539" s="203"/>
      <c r="G539" s="204"/>
    </row>
    <row r="540" spans="1:7" x14ac:dyDescent="0.25">
      <c r="A540" s="102"/>
      <c r="B540" s="200"/>
      <c r="C540" s="201"/>
      <c r="D540" s="202"/>
      <c r="E540" s="202"/>
      <c r="F540" s="203"/>
      <c r="G540" s="204"/>
    </row>
    <row r="541" spans="1:7" x14ac:dyDescent="0.25">
      <c r="A541" s="102"/>
      <c r="B541" s="200"/>
      <c r="C541" s="201"/>
      <c r="D541" s="202"/>
      <c r="E541" s="202"/>
      <c r="F541" s="203"/>
      <c r="G541" s="204"/>
    </row>
    <row r="542" spans="1:7" x14ac:dyDescent="0.25">
      <c r="A542" s="102"/>
      <c r="B542" s="200"/>
      <c r="C542" s="201"/>
      <c r="D542" s="202"/>
      <c r="E542" s="202"/>
      <c r="F542" s="203"/>
      <c r="G542" s="204"/>
    </row>
    <row r="543" spans="1:7" x14ac:dyDescent="0.25">
      <c r="A543" s="102"/>
      <c r="B543" s="200"/>
      <c r="C543" s="201"/>
      <c r="D543" s="202"/>
      <c r="E543" s="202"/>
      <c r="F543" s="203"/>
      <c r="G543" s="204"/>
    </row>
    <row r="544" spans="1:7" x14ac:dyDescent="0.25">
      <c r="A544" s="102"/>
      <c r="B544" s="200"/>
      <c r="C544" s="201"/>
      <c r="D544" s="202"/>
      <c r="E544" s="202"/>
      <c r="F544" s="203"/>
      <c r="G544" s="204"/>
    </row>
    <row r="545" spans="1:7" x14ac:dyDescent="0.25">
      <c r="A545" s="102"/>
      <c r="B545" s="200"/>
      <c r="C545" s="201"/>
      <c r="D545" s="202"/>
      <c r="E545" s="202"/>
      <c r="F545" s="203"/>
      <c r="G545" s="204"/>
    </row>
    <row r="546" spans="1:7" x14ac:dyDescent="0.25">
      <c r="A546" s="102"/>
      <c r="B546" s="200"/>
      <c r="C546" s="201"/>
      <c r="D546" s="202"/>
      <c r="E546" s="202"/>
      <c r="F546" s="203"/>
      <c r="G546" s="204"/>
    </row>
    <row r="547" spans="1:7" x14ac:dyDescent="0.25">
      <c r="A547" s="102"/>
      <c r="B547" s="200"/>
      <c r="C547" s="201"/>
      <c r="D547" s="202"/>
      <c r="E547" s="202"/>
      <c r="F547" s="203"/>
      <c r="G547" s="204"/>
    </row>
    <row r="548" spans="1:7" x14ac:dyDescent="0.25">
      <c r="A548" s="102"/>
      <c r="B548" s="200"/>
      <c r="C548" s="201"/>
      <c r="D548" s="202"/>
      <c r="E548" s="202"/>
      <c r="F548" s="203"/>
      <c r="G548" s="204"/>
    </row>
    <row r="549" spans="1:7" x14ac:dyDescent="0.25">
      <c r="A549" s="102"/>
      <c r="B549" s="200"/>
      <c r="C549" s="201"/>
      <c r="D549" s="202"/>
      <c r="E549" s="202"/>
      <c r="F549" s="203"/>
      <c r="G549" s="204"/>
    </row>
    <row r="550" spans="1:7" x14ac:dyDescent="0.25">
      <c r="A550" s="102"/>
      <c r="B550" s="200"/>
      <c r="C550" s="201"/>
      <c r="D550" s="202"/>
      <c r="E550" s="202"/>
      <c r="F550" s="203"/>
      <c r="G550" s="204"/>
    </row>
    <row r="551" spans="1:7" x14ac:dyDescent="0.25">
      <c r="A551" s="102"/>
      <c r="B551" s="200"/>
      <c r="C551" s="201"/>
      <c r="D551" s="202"/>
      <c r="E551" s="202"/>
      <c r="F551" s="203"/>
      <c r="G551" s="204"/>
    </row>
    <row r="552" spans="1:7" x14ac:dyDescent="0.25">
      <c r="A552" s="102"/>
      <c r="B552" s="200"/>
      <c r="C552" s="201"/>
      <c r="D552" s="202"/>
      <c r="E552" s="202"/>
      <c r="F552" s="203"/>
      <c r="G552" s="204"/>
    </row>
    <row r="553" spans="1:7" x14ac:dyDescent="0.25">
      <c r="A553" s="102"/>
      <c r="B553" s="200"/>
      <c r="C553" s="201"/>
      <c r="D553" s="202"/>
      <c r="E553" s="202"/>
      <c r="F553" s="203"/>
      <c r="G553" s="204"/>
    </row>
    <row r="554" spans="1:7" x14ac:dyDescent="0.25">
      <c r="A554" s="102"/>
      <c r="B554" s="200"/>
      <c r="C554" s="201"/>
      <c r="D554" s="202"/>
      <c r="E554" s="202"/>
      <c r="F554" s="203"/>
      <c r="G554" s="204"/>
    </row>
    <row r="555" spans="1:7" x14ac:dyDescent="0.25">
      <c r="A555" s="102"/>
      <c r="B555" s="200"/>
      <c r="C555" s="201"/>
      <c r="D555" s="202"/>
      <c r="E555" s="202"/>
      <c r="F555" s="203"/>
      <c r="G555" s="204"/>
    </row>
    <row r="556" spans="1:7" x14ac:dyDescent="0.25">
      <c r="A556" s="102"/>
      <c r="B556" s="200"/>
      <c r="C556" s="201"/>
      <c r="D556" s="202"/>
      <c r="E556" s="202"/>
      <c r="F556" s="203"/>
      <c r="G556" s="204"/>
    </row>
    <row r="557" spans="1:7" x14ac:dyDescent="0.25">
      <c r="A557" s="102"/>
      <c r="B557" s="200"/>
      <c r="C557" s="201"/>
      <c r="D557" s="202"/>
      <c r="E557" s="202"/>
      <c r="F557" s="203"/>
      <c r="G557" s="204"/>
    </row>
    <row r="558" spans="1:7" x14ac:dyDescent="0.25">
      <c r="A558" s="102"/>
      <c r="B558" s="200"/>
      <c r="C558" s="201"/>
      <c r="D558" s="202"/>
      <c r="E558" s="202"/>
      <c r="F558" s="203"/>
      <c r="G558" s="204"/>
    </row>
    <row r="559" spans="1:7" x14ac:dyDescent="0.25">
      <c r="A559" s="102"/>
      <c r="B559" s="200"/>
      <c r="C559" s="201"/>
      <c r="D559" s="202"/>
      <c r="E559" s="202"/>
      <c r="F559" s="203"/>
      <c r="G559" s="204"/>
    </row>
    <row r="560" spans="1:7" x14ac:dyDescent="0.25">
      <c r="A560" s="102"/>
      <c r="B560" s="200"/>
      <c r="C560" s="201"/>
      <c r="D560" s="202"/>
      <c r="E560" s="202"/>
      <c r="F560" s="203"/>
      <c r="G560" s="204"/>
    </row>
    <row r="561" spans="1:7" x14ac:dyDescent="0.25">
      <c r="A561" s="102"/>
      <c r="B561" s="200"/>
      <c r="C561" s="201"/>
      <c r="D561" s="202"/>
      <c r="E561" s="202"/>
      <c r="F561" s="203"/>
      <c r="G561" s="204"/>
    </row>
    <row r="562" spans="1:7" x14ac:dyDescent="0.25">
      <c r="A562" s="102"/>
      <c r="B562" s="200"/>
      <c r="C562" s="201"/>
      <c r="D562" s="202"/>
      <c r="E562" s="202"/>
      <c r="F562" s="203"/>
      <c r="G562" s="204"/>
    </row>
    <row r="563" spans="1:7" x14ac:dyDescent="0.25">
      <c r="A563" s="102"/>
      <c r="B563" s="200"/>
      <c r="C563" s="201"/>
      <c r="D563" s="202"/>
      <c r="E563" s="202"/>
      <c r="F563" s="203"/>
      <c r="G563" s="204"/>
    </row>
    <row r="564" spans="1:7" x14ac:dyDescent="0.25">
      <c r="A564" s="102"/>
      <c r="B564" s="200"/>
      <c r="C564" s="201"/>
      <c r="D564" s="202"/>
      <c r="E564" s="202"/>
      <c r="F564" s="203"/>
      <c r="G564" s="204"/>
    </row>
    <row r="565" spans="1:7" x14ac:dyDescent="0.25">
      <c r="A565" s="102"/>
      <c r="B565" s="200"/>
      <c r="C565" s="201"/>
      <c r="D565" s="202"/>
      <c r="E565" s="202"/>
      <c r="F565" s="203"/>
      <c r="G565" s="204"/>
    </row>
    <row r="566" spans="1:7" x14ac:dyDescent="0.25">
      <c r="A566" s="102"/>
      <c r="B566" s="200"/>
      <c r="C566" s="201"/>
      <c r="D566" s="202"/>
      <c r="E566" s="202"/>
      <c r="F566" s="203"/>
      <c r="G566" s="204"/>
    </row>
    <row r="567" spans="1:7" x14ac:dyDescent="0.25">
      <c r="A567" s="102"/>
      <c r="B567" s="200"/>
      <c r="C567" s="201"/>
      <c r="D567" s="202"/>
      <c r="E567" s="202"/>
      <c r="F567" s="203"/>
      <c r="G567" s="204"/>
    </row>
    <row r="568" spans="1:7" x14ac:dyDescent="0.25">
      <c r="A568" s="102"/>
      <c r="B568" s="200"/>
      <c r="C568" s="201"/>
      <c r="D568" s="202"/>
      <c r="E568" s="202"/>
      <c r="F568" s="203"/>
      <c r="G568" s="204"/>
    </row>
    <row r="569" spans="1:7" x14ac:dyDescent="0.25">
      <c r="A569" s="102"/>
      <c r="B569" s="200"/>
      <c r="C569" s="201"/>
      <c r="D569" s="202"/>
      <c r="E569" s="202"/>
      <c r="F569" s="203"/>
      <c r="G569" s="204"/>
    </row>
    <row r="570" spans="1:7" x14ac:dyDescent="0.25">
      <c r="A570" s="102"/>
      <c r="B570" s="200"/>
      <c r="C570" s="201"/>
      <c r="D570" s="202"/>
      <c r="E570" s="202"/>
      <c r="F570" s="203"/>
      <c r="G570" s="204"/>
    </row>
    <row r="571" spans="1:7" x14ac:dyDescent="0.25">
      <c r="A571" s="102"/>
      <c r="B571" s="200"/>
      <c r="C571" s="201"/>
      <c r="D571" s="202"/>
      <c r="E571" s="202"/>
      <c r="F571" s="203"/>
      <c r="G571" s="204"/>
    </row>
    <row r="572" spans="1:7" x14ac:dyDescent="0.25">
      <c r="A572" s="102"/>
      <c r="B572" s="200"/>
      <c r="C572" s="201"/>
      <c r="D572" s="202"/>
      <c r="E572" s="202"/>
      <c r="F572" s="203"/>
      <c r="G572" s="204"/>
    </row>
    <row r="573" spans="1:7" x14ac:dyDescent="0.25">
      <c r="A573" s="102"/>
      <c r="B573" s="200"/>
      <c r="C573" s="201"/>
      <c r="D573" s="202"/>
      <c r="E573" s="202"/>
      <c r="F573" s="203"/>
      <c r="G573" s="204"/>
    </row>
    <row r="574" spans="1:7" x14ac:dyDescent="0.25">
      <c r="A574" s="102"/>
      <c r="B574" s="200"/>
      <c r="C574" s="201"/>
      <c r="D574" s="202"/>
      <c r="E574" s="202"/>
      <c r="F574" s="203"/>
      <c r="G574" s="204"/>
    </row>
    <row r="575" spans="1:7" x14ac:dyDescent="0.25">
      <c r="A575" s="102"/>
      <c r="B575" s="200"/>
      <c r="C575" s="201"/>
      <c r="D575" s="202"/>
      <c r="E575" s="202"/>
      <c r="F575" s="203"/>
      <c r="G575" s="204"/>
    </row>
    <row r="576" spans="1:7" x14ac:dyDescent="0.25">
      <c r="A576" s="102"/>
      <c r="B576" s="200"/>
      <c r="C576" s="201"/>
      <c r="D576" s="202"/>
      <c r="E576" s="202"/>
      <c r="F576" s="203"/>
      <c r="G576" s="204"/>
    </row>
    <row r="577" spans="1:7" x14ac:dyDescent="0.25">
      <c r="A577" s="102"/>
      <c r="B577" s="200"/>
      <c r="C577" s="201"/>
      <c r="D577" s="202"/>
      <c r="E577" s="202"/>
      <c r="F577" s="203"/>
      <c r="G577" s="204"/>
    </row>
    <row r="578" spans="1:7" x14ac:dyDescent="0.25">
      <c r="A578" s="102"/>
      <c r="B578" s="200"/>
      <c r="C578" s="201"/>
      <c r="D578" s="202"/>
      <c r="E578" s="202"/>
      <c r="F578" s="203"/>
      <c r="G578" s="204"/>
    </row>
    <row r="579" spans="1:7" x14ac:dyDescent="0.25">
      <c r="A579" s="102"/>
      <c r="B579" s="200"/>
      <c r="C579" s="201"/>
      <c r="D579" s="202"/>
      <c r="E579" s="202"/>
      <c r="F579" s="203"/>
      <c r="G579" s="204"/>
    </row>
    <row r="580" spans="1:7" x14ac:dyDescent="0.25">
      <c r="A580" s="102"/>
      <c r="B580" s="200"/>
      <c r="C580" s="201"/>
      <c r="D580" s="202"/>
      <c r="E580" s="202"/>
      <c r="F580" s="203"/>
      <c r="G580" s="204"/>
    </row>
    <row r="581" spans="1:7" x14ac:dyDescent="0.25">
      <c r="A581" s="102"/>
      <c r="B581" s="200"/>
      <c r="C581" s="201"/>
      <c r="D581" s="202"/>
      <c r="E581" s="202"/>
      <c r="F581" s="203"/>
      <c r="G581" s="204"/>
    </row>
    <row r="582" spans="1:7" x14ac:dyDescent="0.25">
      <c r="A582" s="102"/>
      <c r="B582" s="200"/>
      <c r="C582" s="201"/>
      <c r="D582" s="202"/>
      <c r="E582" s="202"/>
      <c r="F582" s="203"/>
      <c r="G582" s="204"/>
    </row>
    <row r="583" spans="1:7" x14ac:dyDescent="0.25">
      <c r="A583" s="102"/>
      <c r="B583" s="200"/>
      <c r="C583" s="201"/>
      <c r="D583" s="202"/>
      <c r="E583" s="202"/>
      <c r="F583" s="203"/>
      <c r="G583" s="204"/>
    </row>
    <row r="584" spans="1:7" x14ac:dyDescent="0.25">
      <c r="A584" s="102"/>
      <c r="B584" s="200"/>
      <c r="C584" s="201"/>
      <c r="D584" s="202"/>
      <c r="E584" s="202"/>
      <c r="F584" s="203"/>
      <c r="G584" s="204"/>
    </row>
    <row r="585" spans="1:7" x14ac:dyDescent="0.25">
      <c r="A585" s="102"/>
      <c r="B585" s="200"/>
      <c r="C585" s="201"/>
      <c r="D585" s="202"/>
      <c r="E585" s="202"/>
      <c r="F585" s="203"/>
      <c r="G585" s="204"/>
    </row>
    <row r="586" spans="1:7" x14ac:dyDescent="0.25">
      <c r="A586" s="102"/>
      <c r="B586" s="200"/>
      <c r="C586" s="201"/>
      <c r="D586" s="202"/>
      <c r="E586" s="202"/>
      <c r="F586" s="203"/>
      <c r="G586" s="204"/>
    </row>
    <row r="587" spans="1:7" x14ac:dyDescent="0.25">
      <c r="A587" s="102"/>
      <c r="B587" s="200"/>
      <c r="C587" s="201"/>
      <c r="D587" s="202"/>
      <c r="E587" s="202"/>
      <c r="F587" s="203"/>
      <c r="G587" s="204"/>
    </row>
    <row r="588" spans="1:7" x14ac:dyDescent="0.25">
      <c r="A588" s="102"/>
      <c r="B588" s="200"/>
      <c r="C588" s="201"/>
      <c r="D588" s="202"/>
      <c r="E588" s="202"/>
      <c r="F588" s="203"/>
      <c r="G588" s="204"/>
    </row>
    <row r="589" spans="1:7" x14ac:dyDescent="0.25">
      <c r="A589" s="102"/>
      <c r="B589" s="200"/>
      <c r="C589" s="201"/>
      <c r="D589" s="202"/>
      <c r="E589" s="202"/>
      <c r="F589" s="203"/>
      <c r="G589" s="204"/>
    </row>
    <row r="590" spans="1:7" x14ac:dyDescent="0.25">
      <c r="A590" s="102"/>
      <c r="B590" s="200"/>
      <c r="C590" s="201"/>
      <c r="D590" s="202"/>
      <c r="E590" s="202"/>
      <c r="F590" s="203"/>
      <c r="G590" s="204"/>
    </row>
    <row r="591" spans="1:7" x14ac:dyDescent="0.25">
      <c r="A591" s="102"/>
      <c r="B591" s="200"/>
      <c r="C591" s="201"/>
      <c r="D591" s="202"/>
      <c r="E591" s="202"/>
      <c r="F591" s="203"/>
      <c r="G591" s="204"/>
    </row>
    <row r="592" spans="1:7" x14ac:dyDescent="0.25">
      <c r="A592" s="102"/>
      <c r="B592" s="200"/>
      <c r="C592" s="201"/>
      <c r="D592" s="202"/>
      <c r="E592" s="202"/>
      <c r="F592" s="203"/>
      <c r="G592" s="204"/>
    </row>
    <row r="593" spans="1:7" x14ac:dyDescent="0.25">
      <c r="A593" s="102"/>
      <c r="B593" s="200"/>
      <c r="C593" s="201"/>
      <c r="D593" s="202"/>
      <c r="E593" s="202"/>
      <c r="F593" s="203"/>
      <c r="G593" s="204"/>
    </row>
    <row r="594" spans="1:7" x14ac:dyDescent="0.25">
      <c r="A594" s="102"/>
      <c r="B594" s="200"/>
      <c r="C594" s="201"/>
      <c r="D594" s="202"/>
      <c r="E594" s="202"/>
      <c r="F594" s="203"/>
      <c r="G594" s="204"/>
    </row>
    <row r="595" spans="1:7" x14ac:dyDescent="0.25">
      <c r="A595" s="102"/>
      <c r="B595" s="200"/>
      <c r="C595" s="201"/>
      <c r="D595" s="202"/>
      <c r="E595" s="202"/>
      <c r="F595" s="203"/>
      <c r="G595" s="204"/>
    </row>
    <row r="596" spans="1:7" x14ac:dyDescent="0.25">
      <c r="A596" s="102"/>
      <c r="B596" s="200"/>
      <c r="C596" s="201"/>
      <c r="D596" s="202"/>
      <c r="E596" s="202"/>
      <c r="F596" s="203"/>
      <c r="G596" s="204"/>
    </row>
    <row r="597" spans="1:7" x14ac:dyDescent="0.25">
      <c r="A597" s="102"/>
      <c r="B597" s="200"/>
      <c r="C597" s="201"/>
      <c r="D597" s="202"/>
      <c r="E597" s="202"/>
      <c r="F597" s="203"/>
      <c r="G597" s="204"/>
    </row>
    <row r="598" spans="1:7" x14ac:dyDescent="0.25">
      <c r="A598" s="102"/>
      <c r="B598" s="200"/>
      <c r="C598" s="201"/>
      <c r="D598" s="202"/>
      <c r="E598" s="202"/>
      <c r="F598" s="203"/>
      <c r="G598" s="204"/>
    </row>
    <row r="599" spans="1:7" x14ac:dyDescent="0.25">
      <c r="A599" s="102"/>
      <c r="B599" s="200"/>
      <c r="C599" s="201"/>
      <c r="D599" s="202"/>
      <c r="E599" s="202"/>
      <c r="F599" s="203"/>
      <c r="G599" s="204"/>
    </row>
    <row r="600" spans="1:7" x14ac:dyDescent="0.25">
      <c r="A600" s="102"/>
      <c r="B600" s="200"/>
      <c r="C600" s="201"/>
      <c r="D600" s="202"/>
      <c r="E600" s="202"/>
      <c r="F600" s="203"/>
      <c r="G600" s="204"/>
    </row>
    <row r="601" spans="1:7" x14ac:dyDescent="0.25">
      <c r="A601" s="102"/>
      <c r="B601" s="200"/>
      <c r="C601" s="201"/>
      <c r="D601" s="202"/>
      <c r="E601" s="202"/>
      <c r="F601" s="203"/>
      <c r="G601" s="204"/>
    </row>
    <row r="602" spans="1:7" x14ac:dyDescent="0.25">
      <c r="A602" s="102"/>
      <c r="B602" s="200"/>
      <c r="C602" s="201"/>
      <c r="D602" s="202"/>
      <c r="E602" s="202"/>
      <c r="F602" s="203"/>
      <c r="G602" s="204"/>
    </row>
    <row r="603" spans="1:7" x14ac:dyDescent="0.25">
      <c r="A603" s="102"/>
      <c r="B603" s="200"/>
      <c r="C603" s="201"/>
      <c r="D603" s="202"/>
      <c r="E603" s="202"/>
      <c r="F603" s="203"/>
      <c r="G603" s="204"/>
    </row>
    <row r="604" spans="1:7" x14ac:dyDescent="0.25">
      <c r="A604" s="102"/>
      <c r="B604" s="200"/>
      <c r="C604" s="201"/>
      <c r="D604" s="202"/>
      <c r="E604" s="202"/>
      <c r="F604" s="203"/>
      <c r="G604" s="204"/>
    </row>
    <row r="605" spans="1:7" x14ac:dyDescent="0.25">
      <c r="A605" s="102"/>
      <c r="B605" s="200"/>
      <c r="C605" s="201"/>
      <c r="D605" s="202"/>
      <c r="E605" s="202"/>
      <c r="F605" s="203"/>
      <c r="G605" s="204"/>
    </row>
    <row r="606" spans="1:7" x14ac:dyDescent="0.25">
      <c r="A606" s="102"/>
      <c r="B606" s="200"/>
      <c r="C606" s="201"/>
      <c r="D606" s="202"/>
      <c r="E606" s="202"/>
      <c r="F606" s="203"/>
      <c r="G606" s="204"/>
    </row>
    <row r="607" spans="1:7" x14ac:dyDescent="0.25">
      <c r="A607" s="102"/>
      <c r="B607" s="200"/>
      <c r="C607" s="201"/>
      <c r="D607" s="202"/>
      <c r="E607" s="202"/>
      <c r="F607" s="203"/>
      <c r="G607" s="204"/>
    </row>
    <row r="608" spans="1:7" x14ac:dyDescent="0.25">
      <c r="A608" s="102"/>
      <c r="B608" s="200"/>
      <c r="C608" s="201"/>
      <c r="D608" s="202"/>
      <c r="E608" s="202"/>
      <c r="F608" s="203"/>
      <c r="G608" s="204"/>
    </row>
    <row r="609" spans="1:7" x14ac:dyDescent="0.25">
      <c r="A609" s="102"/>
      <c r="B609" s="200"/>
      <c r="C609" s="201"/>
      <c r="D609" s="202"/>
      <c r="E609" s="202"/>
      <c r="F609" s="203"/>
      <c r="G609" s="204"/>
    </row>
    <row r="610" spans="1:7" x14ac:dyDescent="0.25">
      <c r="A610" s="102"/>
      <c r="B610" s="200"/>
      <c r="C610" s="201"/>
      <c r="D610" s="202"/>
      <c r="E610" s="202"/>
      <c r="F610" s="203"/>
      <c r="G610" s="204"/>
    </row>
    <row r="611" spans="1:7" x14ac:dyDescent="0.25">
      <c r="A611" s="102"/>
      <c r="B611" s="200"/>
      <c r="C611" s="201"/>
      <c r="D611" s="202"/>
      <c r="E611" s="202"/>
      <c r="F611" s="203"/>
      <c r="G611" s="204"/>
    </row>
    <row r="612" spans="1:7" x14ac:dyDescent="0.25">
      <c r="A612" s="102"/>
      <c r="B612" s="200"/>
      <c r="C612" s="201"/>
      <c r="D612" s="202"/>
      <c r="E612" s="202"/>
      <c r="F612" s="203"/>
      <c r="G612" s="204"/>
    </row>
    <row r="613" spans="1:7" x14ac:dyDescent="0.25">
      <c r="A613" s="102"/>
      <c r="B613" s="200"/>
      <c r="C613" s="201"/>
      <c r="D613" s="202"/>
      <c r="E613" s="202"/>
      <c r="F613" s="203"/>
      <c r="G613" s="204"/>
    </row>
    <row r="614" spans="1:7" x14ac:dyDescent="0.25">
      <c r="A614" s="102"/>
      <c r="B614" s="200"/>
      <c r="C614" s="201"/>
      <c r="D614" s="202"/>
      <c r="E614" s="202"/>
      <c r="F614" s="203"/>
      <c r="G614" s="204"/>
    </row>
    <row r="615" spans="1:7" x14ac:dyDescent="0.25">
      <c r="A615" s="102"/>
      <c r="B615" s="200"/>
      <c r="C615" s="201"/>
      <c r="D615" s="202"/>
      <c r="E615" s="202"/>
      <c r="F615" s="203"/>
      <c r="G615" s="204"/>
    </row>
    <row r="616" spans="1:7" x14ac:dyDescent="0.25">
      <c r="A616" s="102"/>
      <c r="B616" s="200"/>
      <c r="C616" s="201"/>
      <c r="D616" s="202"/>
      <c r="E616" s="202"/>
      <c r="F616" s="203"/>
      <c r="G616" s="204"/>
    </row>
    <row r="617" spans="1:7" x14ac:dyDescent="0.25">
      <c r="A617" s="102"/>
      <c r="B617" s="200"/>
      <c r="C617" s="201"/>
      <c r="D617" s="202"/>
      <c r="E617" s="202"/>
      <c r="F617" s="203"/>
      <c r="G617" s="204"/>
    </row>
    <row r="618" spans="1:7" x14ac:dyDescent="0.25">
      <c r="A618" s="102"/>
      <c r="B618" s="200"/>
      <c r="C618" s="201"/>
      <c r="D618" s="202"/>
      <c r="E618" s="202"/>
      <c r="F618" s="203"/>
      <c r="G618" s="204"/>
    </row>
    <row r="619" spans="1:7" x14ac:dyDescent="0.25">
      <c r="A619" s="102"/>
      <c r="B619" s="200"/>
      <c r="C619" s="201"/>
      <c r="D619" s="202"/>
      <c r="E619" s="202"/>
      <c r="F619" s="203"/>
      <c r="G619" s="204"/>
    </row>
    <row r="620" spans="1:7" x14ac:dyDescent="0.25">
      <c r="A620" s="102"/>
      <c r="B620" s="200"/>
      <c r="C620" s="201"/>
      <c r="D620" s="202"/>
      <c r="E620" s="202"/>
      <c r="F620" s="203"/>
      <c r="G620" s="204"/>
    </row>
    <row r="621" spans="1:7" x14ac:dyDescent="0.25">
      <c r="A621" s="102"/>
      <c r="B621" s="200"/>
      <c r="C621" s="201"/>
      <c r="D621" s="202"/>
      <c r="E621" s="202"/>
      <c r="F621" s="203"/>
      <c r="G621" s="204"/>
    </row>
    <row r="622" spans="1:7" x14ac:dyDescent="0.25">
      <c r="A622" s="102"/>
      <c r="B622" s="200"/>
      <c r="C622" s="201"/>
      <c r="D622" s="202"/>
      <c r="E622" s="202"/>
      <c r="F622" s="203"/>
      <c r="G622" s="204"/>
    </row>
    <row r="623" spans="1:7" x14ac:dyDescent="0.25">
      <c r="A623" s="102"/>
      <c r="B623" s="200"/>
      <c r="C623" s="201"/>
      <c r="D623" s="202"/>
      <c r="E623" s="202"/>
      <c r="F623" s="203"/>
      <c r="G623" s="204"/>
    </row>
    <row r="624" spans="1:7" x14ac:dyDescent="0.25">
      <c r="A624" s="102"/>
      <c r="B624" s="200"/>
      <c r="C624" s="201"/>
      <c r="D624" s="202"/>
      <c r="E624" s="202"/>
      <c r="F624" s="203"/>
      <c r="G624" s="204"/>
    </row>
    <row r="625" spans="1:7" x14ac:dyDescent="0.25">
      <c r="A625" s="102"/>
      <c r="B625" s="200"/>
      <c r="C625" s="201"/>
      <c r="D625" s="202"/>
      <c r="E625" s="202"/>
      <c r="F625" s="203"/>
      <c r="G625" s="204"/>
    </row>
    <row r="626" spans="1:7" x14ac:dyDescent="0.25">
      <c r="A626" s="102"/>
      <c r="B626" s="200"/>
      <c r="C626" s="201"/>
      <c r="D626" s="202"/>
      <c r="E626" s="202"/>
      <c r="F626" s="203"/>
      <c r="G626" s="204"/>
    </row>
    <row r="627" spans="1:7" x14ac:dyDescent="0.25">
      <c r="A627" s="102"/>
      <c r="B627" s="200"/>
      <c r="C627" s="201"/>
      <c r="D627" s="202"/>
      <c r="E627" s="202"/>
      <c r="F627" s="203"/>
      <c r="G627" s="204"/>
    </row>
    <row r="628" spans="1:7" x14ac:dyDescent="0.25">
      <c r="A628" s="102"/>
      <c r="B628" s="200"/>
      <c r="C628" s="201"/>
      <c r="D628" s="202"/>
      <c r="E628" s="202"/>
      <c r="F628" s="203"/>
      <c r="G628" s="204"/>
    </row>
    <row r="629" spans="1:7" x14ac:dyDescent="0.25">
      <c r="A629" s="102"/>
      <c r="B629" s="200"/>
      <c r="C629" s="201"/>
      <c r="D629" s="202"/>
      <c r="E629" s="202"/>
      <c r="F629" s="203"/>
      <c r="G629" s="204"/>
    </row>
    <row r="630" spans="1:7" x14ac:dyDescent="0.25">
      <c r="A630" s="102"/>
      <c r="B630" s="200"/>
      <c r="C630" s="201"/>
      <c r="D630" s="202"/>
      <c r="E630" s="202"/>
      <c r="F630" s="203"/>
      <c r="G630" s="204"/>
    </row>
    <row r="631" spans="1:7" x14ac:dyDescent="0.25">
      <c r="A631" s="102"/>
      <c r="B631" s="200"/>
      <c r="C631" s="201"/>
      <c r="D631" s="202"/>
      <c r="E631" s="202"/>
      <c r="F631" s="203"/>
      <c r="G631" s="204"/>
    </row>
    <row r="632" spans="1:7" x14ac:dyDescent="0.25">
      <c r="A632" s="102"/>
      <c r="B632" s="200"/>
      <c r="C632" s="201"/>
      <c r="D632" s="202"/>
      <c r="E632" s="202"/>
      <c r="F632" s="203"/>
      <c r="G632" s="204"/>
    </row>
    <row r="633" spans="1:7" x14ac:dyDescent="0.25">
      <c r="A633" s="102"/>
      <c r="B633" s="200"/>
      <c r="C633" s="201"/>
      <c r="D633" s="202"/>
      <c r="E633" s="202"/>
      <c r="F633" s="203"/>
      <c r="G633" s="204"/>
    </row>
    <row r="634" spans="1:7" x14ac:dyDescent="0.25">
      <c r="A634" s="102"/>
      <c r="B634" s="200"/>
      <c r="C634" s="201"/>
      <c r="D634" s="202"/>
      <c r="E634" s="202"/>
      <c r="F634" s="203"/>
      <c r="G634" s="204"/>
    </row>
    <row r="635" spans="1:7" x14ac:dyDescent="0.25">
      <c r="A635" s="102"/>
      <c r="B635" s="200"/>
      <c r="C635" s="201"/>
      <c r="D635" s="202"/>
      <c r="E635" s="202"/>
      <c r="F635" s="203"/>
      <c r="G635" s="204"/>
    </row>
    <row r="636" spans="1:7" x14ac:dyDescent="0.25">
      <c r="A636" s="102"/>
      <c r="B636" s="200"/>
      <c r="C636" s="201"/>
      <c r="D636" s="202"/>
      <c r="E636" s="202"/>
      <c r="F636" s="203"/>
      <c r="G636" s="204"/>
    </row>
    <row r="637" spans="1:7" x14ac:dyDescent="0.25">
      <c r="A637" s="102"/>
      <c r="B637" s="200"/>
      <c r="C637" s="201"/>
      <c r="D637" s="202"/>
      <c r="E637" s="202"/>
      <c r="F637" s="203"/>
      <c r="G637" s="204"/>
    </row>
    <row r="638" spans="1:7" x14ac:dyDescent="0.25">
      <c r="A638" s="102"/>
      <c r="B638" s="200"/>
      <c r="C638" s="201"/>
      <c r="D638" s="202"/>
      <c r="E638" s="202"/>
      <c r="F638" s="203"/>
      <c r="G638" s="204"/>
    </row>
    <row r="639" spans="1:7" x14ac:dyDescent="0.25">
      <c r="A639" s="102"/>
      <c r="B639" s="200"/>
      <c r="C639" s="201"/>
      <c r="D639" s="202"/>
      <c r="E639" s="202"/>
      <c r="F639" s="203"/>
      <c r="G639" s="204"/>
    </row>
    <row r="640" spans="1:7" x14ac:dyDescent="0.25">
      <c r="A640" s="102"/>
      <c r="B640" s="200"/>
      <c r="C640" s="201"/>
      <c r="D640" s="202"/>
      <c r="E640" s="202"/>
      <c r="F640" s="203"/>
      <c r="G640" s="204"/>
    </row>
    <row r="641" spans="1:7" x14ac:dyDescent="0.25">
      <c r="A641" s="102"/>
      <c r="B641" s="200"/>
      <c r="C641" s="201"/>
      <c r="D641" s="202"/>
      <c r="E641" s="202"/>
      <c r="F641" s="203"/>
      <c r="G641" s="204"/>
    </row>
    <row r="642" spans="1:7" x14ac:dyDescent="0.25">
      <c r="A642" s="102"/>
      <c r="B642" s="200"/>
      <c r="C642" s="201"/>
      <c r="D642" s="202"/>
      <c r="E642" s="202"/>
      <c r="F642" s="203"/>
      <c r="G642" s="204"/>
    </row>
    <row r="643" spans="1:7" x14ac:dyDescent="0.25">
      <c r="A643" s="102"/>
      <c r="B643" s="200"/>
      <c r="C643" s="201"/>
      <c r="D643" s="202"/>
      <c r="E643" s="202"/>
      <c r="F643" s="203"/>
      <c r="G643" s="204"/>
    </row>
    <row r="644" spans="1:7" x14ac:dyDescent="0.25">
      <c r="A644" s="102"/>
      <c r="B644" s="200"/>
      <c r="C644" s="201"/>
      <c r="D644" s="202"/>
      <c r="E644" s="202"/>
      <c r="F644" s="203"/>
      <c r="G644" s="204"/>
    </row>
    <row r="645" spans="1:7" x14ac:dyDescent="0.25">
      <c r="A645" s="102"/>
      <c r="B645" s="200"/>
      <c r="C645" s="201"/>
      <c r="D645" s="202"/>
      <c r="E645" s="202"/>
      <c r="F645" s="203"/>
      <c r="G645" s="204"/>
    </row>
    <row r="646" spans="1:7" x14ac:dyDescent="0.25">
      <c r="A646" s="102"/>
      <c r="B646" s="200"/>
      <c r="C646" s="201"/>
      <c r="D646" s="202"/>
      <c r="E646" s="202"/>
      <c r="F646" s="203"/>
      <c r="G646" s="204"/>
    </row>
    <row r="647" spans="1:7" x14ac:dyDescent="0.25">
      <c r="A647" s="102"/>
      <c r="B647" s="200"/>
      <c r="C647" s="201"/>
      <c r="D647" s="202"/>
      <c r="E647" s="202"/>
      <c r="F647" s="203"/>
      <c r="G647" s="204"/>
    </row>
    <row r="648" spans="1:7" x14ac:dyDescent="0.25">
      <c r="A648" s="102"/>
      <c r="B648" s="200"/>
      <c r="C648" s="201"/>
      <c r="D648" s="202"/>
      <c r="E648" s="202"/>
      <c r="F648" s="203"/>
      <c r="G648" s="204"/>
    </row>
    <row r="649" spans="1:7" x14ac:dyDescent="0.25">
      <c r="A649" s="102"/>
      <c r="B649" s="200"/>
      <c r="C649" s="201"/>
      <c r="D649" s="202"/>
      <c r="E649" s="202"/>
      <c r="F649" s="203"/>
      <c r="G649" s="204"/>
    </row>
    <row r="650" spans="1:7" x14ac:dyDescent="0.25">
      <c r="A650" s="102"/>
      <c r="B650" s="200"/>
      <c r="C650" s="201"/>
      <c r="D650" s="202"/>
      <c r="E650" s="202"/>
      <c r="F650" s="203"/>
      <c r="G650" s="204"/>
    </row>
    <row r="651" spans="1:7" x14ac:dyDescent="0.25">
      <c r="A651" s="102"/>
      <c r="B651" s="200"/>
      <c r="C651" s="201"/>
      <c r="D651" s="202"/>
      <c r="E651" s="202"/>
      <c r="F651" s="203"/>
      <c r="G651" s="204"/>
    </row>
    <row r="652" spans="1:7" x14ac:dyDescent="0.25">
      <c r="A652" s="102"/>
      <c r="B652" s="200"/>
      <c r="C652" s="201"/>
      <c r="D652" s="202"/>
      <c r="E652" s="202"/>
      <c r="F652" s="203"/>
      <c r="G652" s="204"/>
    </row>
    <row r="653" spans="1:7" x14ac:dyDescent="0.25">
      <c r="A653" s="102"/>
      <c r="B653" s="200"/>
      <c r="C653" s="201"/>
      <c r="D653" s="202"/>
      <c r="E653" s="202"/>
      <c r="F653" s="203"/>
      <c r="G653" s="204"/>
    </row>
    <row r="654" spans="1:7" x14ac:dyDescent="0.25">
      <c r="A654" s="102"/>
      <c r="B654" s="200"/>
      <c r="C654" s="201"/>
      <c r="D654" s="202"/>
      <c r="E654" s="202"/>
      <c r="F654" s="203"/>
      <c r="G654" s="204"/>
    </row>
    <row r="655" spans="1:7" x14ac:dyDescent="0.25">
      <c r="A655" s="102"/>
      <c r="B655" s="200"/>
      <c r="C655" s="201"/>
      <c r="D655" s="202"/>
      <c r="E655" s="202"/>
      <c r="F655" s="203"/>
      <c r="G655" s="204"/>
    </row>
    <row r="656" spans="1:7" x14ac:dyDescent="0.25">
      <c r="A656" s="102"/>
      <c r="B656" s="200"/>
      <c r="C656" s="201"/>
      <c r="D656" s="202"/>
      <c r="E656" s="202"/>
      <c r="F656" s="203"/>
      <c r="G656" s="204"/>
    </row>
    <row r="657" spans="1:7" x14ac:dyDescent="0.25">
      <c r="A657" s="102"/>
      <c r="B657" s="200"/>
      <c r="C657" s="201"/>
      <c r="D657" s="202"/>
      <c r="E657" s="202"/>
      <c r="F657" s="203"/>
      <c r="G657" s="204"/>
    </row>
    <row r="658" spans="1:7" x14ac:dyDescent="0.25">
      <c r="A658" s="102"/>
      <c r="B658" s="200"/>
      <c r="C658" s="201"/>
      <c r="D658" s="202"/>
      <c r="E658" s="202"/>
      <c r="F658" s="203"/>
      <c r="G658" s="204"/>
    </row>
    <row r="659" spans="1:7" x14ac:dyDescent="0.25">
      <c r="A659" s="102"/>
      <c r="B659" s="200"/>
      <c r="C659" s="201"/>
      <c r="D659" s="202"/>
      <c r="E659" s="202"/>
      <c r="F659" s="203"/>
      <c r="G659" s="204"/>
    </row>
    <row r="660" spans="1:7" x14ac:dyDescent="0.25">
      <c r="A660" s="102"/>
      <c r="B660" s="200"/>
      <c r="C660" s="201"/>
      <c r="D660" s="202"/>
      <c r="E660" s="202"/>
      <c r="F660" s="203"/>
      <c r="G660" s="204"/>
    </row>
    <row r="661" spans="1:7" x14ac:dyDescent="0.25">
      <c r="A661" s="102"/>
      <c r="B661" s="200"/>
      <c r="C661" s="201"/>
      <c r="D661" s="202"/>
      <c r="E661" s="202"/>
      <c r="F661" s="203"/>
      <c r="G661" s="204"/>
    </row>
    <row r="662" spans="1:7" x14ac:dyDescent="0.25">
      <c r="A662" s="102"/>
      <c r="B662" s="200"/>
      <c r="C662" s="201"/>
      <c r="D662" s="202"/>
      <c r="E662" s="202"/>
      <c r="F662" s="203"/>
      <c r="G662" s="204"/>
    </row>
    <row r="663" spans="1:7" x14ac:dyDescent="0.25">
      <c r="A663" s="102"/>
      <c r="B663" s="200"/>
      <c r="C663" s="201"/>
      <c r="D663" s="202"/>
      <c r="E663" s="202"/>
      <c r="F663" s="203"/>
      <c r="G663" s="204"/>
    </row>
    <row r="664" spans="1:7" x14ac:dyDescent="0.25">
      <c r="A664" s="102"/>
      <c r="B664" s="200"/>
      <c r="C664" s="201"/>
      <c r="D664" s="202"/>
      <c r="E664" s="202"/>
      <c r="F664" s="203"/>
      <c r="G664" s="204"/>
    </row>
    <row r="665" spans="1:7" x14ac:dyDescent="0.25">
      <c r="A665" s="102"/>
      <c r="B665" s="200"/>
      <c r="C665" s="201"/>
      <c r="D665" s="202"/>
      <c r="E665" s="202"/>
      <c r="F665" s="203"/>
      <c r="G665" s="204"/>
    </row>
    <row r="666" spans="1:7" x14ac:dyDescent="0.25">
      <c r="A666" s="102"/>
      <c r="B666" s="200"/>
      <c r="C666" s="201"/>
      <c r="D666" s="202"/>
      <c r="E666" s="202"/>
      <c r="F666" s="203"/>
      <c r="G666" s="204"/>
    </row>
    <row r="667" spans="1:7" x14ac:dyDescent="0.25">
      <c r="A667" s="102"/>
      <c r="B667" s="200"/>
      <c r="C667" s="201"/>
      <c r="D667" s="202"/>
      <c r="E667" s="202"/>
      <c r="F667" s="203"/>
      <c r="G667" s="204"/>
    </row>
    <row r="668" spans="1:7" x14ac:dyDescent="0.25">
      <c r="A668" s="102"/>
      <c r="B668" s="200"/>
      <c r="C668" s="201"/>
      <c r="D668" s="202"/>
      <c r="E668" s="202"/>
      <c r="F668" s="203"/>
      <c r="G668" s="204"/>
    </row>
    <row r="669" spans="1:7" x14ac:dyDescent="0.25">
      <c r="A669" s="102"/>
      <c r="B669" s="200"/>
      <c r="C669" s="201"/>
      <c r="D669" s="202"/>
      <c r="E669" s="202"/>
      <c r="F669" s="203"/>
      <c r="G669" s="204"/>
    </row>
    <row r="670" spans="1:7" x14ac:dyDescent="0.25">
      <c r="A670" s="102"/>
      <c r="B670" s="200"/>
      <c r="C670" s="201"/>
      <c r="D670" s="202"/>
      <c r="E670" s="202"/>
      <c r="F670" s="203"/>
      <c r="G670" s="204"/>
    </row>
    <row r="671" spans="1:7" x14ac:dyDescent="0.25">
      <c r="A671" s="102"/>
      <c r="B671" s="200"/>
      <c r="C671" s="201"/>
      <c r="D671" s="202"/>
      <c r="E671" s="202"/>
      <c r="F671" s="203"/>
      <c r="G671" s="204"/>
    </row>
    <row r="672" spans="1:7" x14ac:dyDescent="0.25">
      <c r="A672" s="102"/>
      <c r="B672" s="200"/>
      <c r="C672" s="201"/>
      <c r="D672" s="202"/>
      <c r="E672" s="202"/>
      <c r="F672" s="203"/>
      <c r="G672" s="204"/>
    </row>
    <row r="673" spans="1:7" x14ac:dyDescent="0.25">
      <c r="A673" s="102"/>
      <c r="B673" s="200"/>
      <c r="C673" s="201"/>
      <c r="D673" s="202"/>
      <c r="E673" s="202"/>
      <c r="F673" s="203"/>
      <c r="G673" s="204"/>
    </row>
    <row r="674" spans="1:7" x14ac:dyDescent="0.25">
      <c r="A674" s="102"/>
      <c r="B674" s="200"/>
      <c r="C674" s="201"/>
      <c r="D674" s="202"/>
      <c r="E674" s="202"/>
      <c r="F674" s="203"/>
      <c r="G674" s="204"/>
    </row>
    <row r="675" spans="1:7" x14ac:dyDescent="0.25">
      <c r="A675" s="102"/>
      <c r="B675" s="200"/>
      <c r="C675" s="201"/>
      <c r="D675" s="202"/>
      <c r="E675" s="202"/>
      <c r="F675" s="203"/>
      <c r="G675" s="204"/>
    </row>
    <row r="676" spans="1:7" x14ac:dyDescent="0.25">
      <c r="A676" s="102"/>
      <c r="B676" s="200"/>
      <c r="C676" s="201"/>
      <c r="D676" s="202"/>
      <c r="E676" s="202"/>
      <c r="F676" s="203"/>
      <c r="G676" s="204"/>
    </row>
    <row r="677" spans="1:7" x14ac:dyDescent="0.25">
      <c r="A677" s="102"/>
      <c r="B677" s="200"/>
      <c r="C677" s="201"/>
      <c r="D677" s="202"/>
      <c r="E677" s="202"/>
      <c r="F677" s="203"/>
      <c r="G677" s="204"/>
    </row>
    <row r="678" spans="1:7" x14ac:dyDescent="0.25">
      <c r="A678" s="102"/>
      <c r="B678" s="200"/>
      <c r="C678" s="201"/>
      <c r="D678" s="202"/>
      <c r="E678" s="202"/>
      <c r="F678" s="203"/>
      <c r="G678" s="204"/>
    </row>
    <row r="679" spans="1:7" x14ac:dyDescent="0.25">
      <c r="A679" s="102"/>
      <c r="B679" s="200"/>
      <c r="C679" s="201"/>
      <c r="D679" s="202"/>
      <c r="E679" s="202"/>
      <c r="F679" s="203"/>
      <c r="G679" s="204"/>
    </row>
    <row r="680" spans="1:7" x14ac:dyDescent="0.25">
      <c r="A680" s="102"/>
      <c r="B680" s="200"/>
      <c r="C680" s="201"/>
      <c r="D680" s="202"/>
      <c r="E680" s="202"/>
      <c r="F680" s="203"/>
      <c r="G680" s="204"/>
    </row>
    <row r="681" spans="1:7" x14ac:dyDescent="0.25">
      <c r="A681" s="102"/>
      <c r="B681" s="200"/>
      <c r="C681" s="201"/>
      <c r="D681" s="202"/>
      <c r="E681" s="202"/>
      <c r="F681" s="203"/>
      <c r="G681" s="204"/>
    </row>
    <row r="682" spans="1:7" x14ac:dyDescent="0.25">
      <c r="A682" s="102"/>
      <c r="B682" s="200"/>
      <c r="C682" s="201"/>
      <c r="D682" s="202"/>
      <c r="E682" s="202"/>
      <c r="F682" s="203"/>
      <c r="G682" s="204"/>
    </row>
    <row r="683" spans="1:7" x14ac:dyDescent="0.25">
      <c r="A683" s="102"/>
      <c r="B683" s="200"/>
      <c r="C683" s="201"/>
      <c r="D683" s="202"/>
      <c r="E683" s="202"/>
      <c r="F683" s="203"/>
      <c r="G683" s="204"/>
    </row>
    <row r="684" spans="1:7" x14ac:dyDescent="0.25">
      <c r="A684" s="102"/>
      <c r="B684" s="200"/>
      <c r="C684" s="201"/>
      <c r="D684" s="202"/>
      <c r="E684" s="202"/>
      <c r="F684" s="203"/>
      <c r="G684" s="204"/>
    </row>
    <row r="685" spans="1:7" x14ac:dyDescent="0.25">
      <c r="A685" s="102"/>
      <c r="B685" s="200"/>
      <c r="C685" s="201"/>
      <c r="D685" s="202"/>
      <c r="E685" s="202"/>
      <c r="F685" s="203"/>
      <c r="G685" s="204"/>
    </row>
    <row r="686" spans="1:7" x14ac:dyDescent="0.25">
      <c r="A686" s="102"/>
      <c r="B686" s="200"/>
      <c r="C686" s="201"/>
      <c r="D686" s="202"/>
      <c r="E686" s="202"/>
      <c r="F686" s="203"/>
      <c r="G686" s="204"/>
    </row>
    <row r="687" spans="1:7" x14ac:dyDescent="0.25">
      <c r="A687" s="102"/>
      <c r="B687" s="200"/>
      <c r="C687" s="201"/>
      <c r="D687" s="202"/>
      <c r="E687" s="202"/>
      <c r="F687" s="203"/>
      <c r="G687" s="204"/>
    </row>
    <row r="688" spans="1:7" x14ac:dyDescent="0.25">
      <c r="A688" s="102"/>
      <c r="B688" s="200"/>
      <c r="C688" s="201"/>
      <c r="D688" s="202"/>
      <c r="E688" s="202"/>
      <c r="F688" s="203"/>
      <c r="G688" s="204"/>
    </row>
    <row r="689" spans="1:7" x14ac:dyDescent="0.25">
      <c r="A689" s="102"/>
      <c r="B689" s="200"/>
      <c r="C689" s="201"/>
      <c r="D689" s="202"/>
      <c r="E689" s="202"/>
      <c r="F689" s="203"/>
      <c r="G689" s="204"/>
    </row>
    <row r="690" spans="1:7" x14ac:dyDescent="0.25">
      <c r="A690" s="102"/>
      <c r="B690" s="200"/>
      <c r="C690" s="201"/>
      <c r="D690" s="202"/>
      <c r="E690" s="202"/>
      <c r="F690" s="203"/>
      <c r="G690" s="204"/>
    </row>
    <row r="691" spans="1:7" x14ac:dyDescent="0.25">
      <c r="A691" s="102"/>
      <c r="B691" s="200"/>
      <c r="C691" s="201"/>
      <c r="D691" s="202"/>
      <c r="E691" s="202"/>
      <c r="F691" s="203"/>
      <c r="G691" s="204"/>
    </row>
    <row r="692" spans="1:7" x14ac:dyDescent="0.25">
      <c r="A692" s="102"/>
      <c r="B692" s="200"/>
      <c r="C692" s="201"/>
      <c r="D692" s="202"/>
      <c r="E692" s="202"/>
      <c r="F692" s="203"/>
      <c r="G692" s="204"/>
    </row>
    <row r="693" spans="1:7" x14ac:dyDescent="0.25">
      <c r="A693" s="102"/>
      <c r="B693" s="200"/>
      <c r="C693" s="201"/>
      <c r="D693" s="202"/>
      <c r="E693" s="202"/>
      <c r="F693" s="203"/>
      <c r="G693" s="204"/>
    </row>
    <row r="694" spans="1:7" x14ac:dyDescent="0.25">
      <c r="A694" s="102"/>
      <c r="B694" s="200"/>
      <c r="C694" s="201"/>
      <c r="D694" s="202"/>
      <c r="E694" s="202"/>
      <c r="F694" s="203"/>
      <c r="G694" s="204"/>
    </row>
    <row r="695" spans="1:7" x14ac:dyDescent="0.25">
      <c r="A695" s="102"/>
      <c r="B695" s="200"/>
      <c r="C695" s="201"/>
      <c r="D695" s="202"/>
      <c r="E695" s="202"/>
      <c r="F695" s="203"/>
      <c r="G695" s="204"/>
    </row>
    <row r="696" spans="1:7" x14ac:dyDescent="0.25">
      <c r="A696" s="102"/>
      <c r="B696" s="200"/>
      <c r="C696" s="201"/>
      <c r="D696" s="202"/>
      <c r="E696" s="202"/>
      <c r="F696" s="203"/>
      <c r="G696" s="204"/>
    </row>
    <row r="697" spans="1:7" x14ac:dyDescent="0.25">
      <c r="A697" s="102"/>
      <c r="B697" s="200"/>
      <c r="C697" s="201"/>
      <c r="D697" s="202"/>
      <c r="E697" s="202"/>
      <c r="F697" s="203"/>
      <c r="G697" s="204"/>
    </row>
    <row r="698" spans="1:7" x14ac:dyDescent="0.25">
      <c r="A698" s="102"/>
      <c r="B698" s="200"/>
      <c r="C698" s="201"/>
      <c r="D698" s="202"/>
      <c r="E698" s="202"/>
      <c r="F698" s="203"/>
      <c r="G698" s="204"/>
    </row>
    <row r="699" spans="1:7" x14ac:dyDescent="0.25">
      <c r="A699" s="102"/>
      <c r="B699" s="200"/>
      <c r="C699" s="201"/>
      <c r="D699" s="202"/>
      <c r="E699" s="202"/>
      <c r="F699" s="203"/>
      <c r="G699" s="204"/>
    </row>
    <row r="700" spans="1:7" x14ac:dyDescent="0.25">
      <c r="A700" s="102"/>
      <c r="B700" s="200"/>
      <c r="C700" s="201"/>
      <c r="D700" s="202"/>
      <c r="E700" s="202"/>
      <c r="F700" s="203"/>
      <c r="G700" s="204"/>
    </row>
    <row r="701" spans="1:7" x14ac:dyDescent="0.25">
      <c r="A701" s="102"/>
      <c r="B701" s="200"/>
      <c r="C701" s="201"/>
      <c r="D701" s="202"/>
      <c r="E701" s="202"/>
      <c r="F701" s="203"/>
      <c r="G701" s="204"/>
    </row>
    <row r="702" spans="1:7" x14ac:dyDescent="0.25">
      <c r="A702" s="102"/>
      <c r="B702" s="200"/>
      <c r="C702" s="201"/>
      <c r="D702" s="202"/>
      <c r="E702" s="202"/>
      <c r="F702" s="203"/>
      <c r="G702" s="204"/>
    </row>
    <row r="703" spans="1:7" x14ac:dyDescent="0.25">
      <c r="A703" s="102"/>
      <c r="B703" s="200"/>
      <c r="C703" s="201"/>
      <c r="D703" s="202"/>
      <c r="E703" s="202"/>
      <c r="F703" s="203"/>
      <c r="G703" s="204"/>
    </row>
    <row r="704" spans="1:7" x14ac:dyDescent="0.25">
      <c r="A704" s="102"/>
      <c r="B704" s="200"/>
      <c r="C704" s="201"/>
      <c r="D704" s="202"/>
      <c r="E704" s="202"/>
      <c r="F704" s="203"/>
      <c r="G704" s="204"/>
    </row>
    <row r="705" spans="1:7" x14ac:dyDescent="0.25">
      <c r="A705" s="102"/>
      <c r="B705" s="200"/>
      <c r="C705" s="201"/>
      <c r="D705" s="202"/>
      <c r="E705" s="202"/>
      <c r="F705" s="203"/>
      <c r="G705" s="204"/>
    </row>
    <row r="706" spans="1:7" x14ac:dyDescent="0.25">
      <c r="A706" s="102"/>
      <c r="B706" s="200"/>
      <c r="C706" s="201"/>
      <c r="D706" s="202"/>
      <c r="E706" s="202"/>
      <c r="F706" s="203"/>
      <c r="G706" s="204"/>
    </row>
    <row r="707" spans="1:7" x14ac:dyDescent="0.25">
      <c r="A707" s="102"/>
      <c r="B707" s="200"/>
      <c r="C707" s="201"/>
      <c r="D707" s="202"/>
      <c r="E707" s="202"/>
      <c r="F707" s="203"/>
      <c r="G707" s="204"/>
    </row>
    <row r="708" spans="1:7" x14ac:dyDescent="0.25">
      <c r="A708" s="102"/>
      <c r="B708" s="200"/>
      <c r="C708" s="201"/>
      <c r="D708" s="202"/>
      <c r="E708" s="202"/>
      <c r="F708" s="203"/>
      <c r="G708" s="204"/>
    </row>
    <row r="709" spans="1:7" x14ac:dyDescent="0.25">
      <c r="A709" s="102"/>
      <c r="B709" s="200"/>
      <c r="C709" s="201"/>
      <c r="D709" s="202"/>
      <c r="E709" s="202"/>
      <c r="F709" s="203"/>
      <c r="G709" s="204"/>
    </row>
    <row r="710" spans="1:7" x14ac:dyDescent="0.25">
      <c r="A710" s="102"/>
      <c r="B710" s="200"/>
      <c r="C710" s="201"/>
      <c r="D710" s="202"/>
      <c r="E710" s="202"/>
      <c r="F710" s="203"/>
      <c r="G710" s="204"/>
    </row>
    <row r="711" spans="1:7" x14ac:dyDescent="0.25">
      <c r="A711" s="102"/>
      <c r="B711" s="200"/>
      <c r="C711" s="201"/>
      <c r="D711" s="202"/>
      <c r="E711" s="202"/>
      <c r="F711" s="203"/>
      <c r="G711" s="204"/>
    </row>
    <row r="712" spans="1:7" x14ac:dyDescent="0.25">
      <c r="A712" s="102"/>
      <c r="B712" s="200"/>
      <c r="C712" s="201"/>
      <c r="D712" s="202"/>
      <c r="E712" s="202"/>
      <c r="F712" s="203"/>
      <c r="G712" s="204"/>
    </row>
    <row r="713" spans="1:7" x14ac:dyDescent="0.25">
      <c r="A713" s="102"/>
      <c r="B713" s="200"/>
      <c r="C713" s="201"/>
      <c r="D713" s="202"/>
      <c r="E713" s="202"/>
      <c r="F713" s="203"/>
      <c r="G713" s="204"/>
    </row>
    <row r="714" spans="1:7" x14ac:dyDescent="0.25">
      <c r="A714" s="102"/>
      <c r="B714" s="200"/>
      <c r="C714" s="201"/>
      <c r="D714" s="202"/>
      <c r="E714" s="202"/>
      <c r="F714" s="203"/>
      <c r="G714" s="204"/>
    </row>
    <row r="715" spans="1:7" x14ac:dyDescent="0.25">
      <c r="A715" s="102"/>
      <c r="B715" s="200"/>
      <c r="C715" s="201"/>
      <c r="D715" s="202"/>
      <c r="E715" s="202"/>
      <c r="F715" s="203"/>
      <c r="G715" s="204"/>
    </row>
    <row r="716" spans="1:7" x14ac:dyDescent="0.25">
      <c r="A716" s="102"/>
      <c r="B716" s="200"/>
      <c r="C716" s="201"/>
      <c r="D716" s="202"/>
      <c r="E716" s="202"/>
      <c r="F716" s="203"/>
      <c r="G716" s="204"/>
    </row>
    <row r="717" spans="1:7" x14ac:dyDescent="0.25">
      <c r="A717" s="102"/>
      <c r="B717" s="200"/>
      <c r="C717" s="201"/>
      <c r="D717" s="202"/>
      <c r="E717" s="202"/>
      <c r="F717" s="203"/>
      <c r="G717" s="204"/>
    </row>
    <row r="718" spans="1:7" x14ac:dyDescent="0.25">
      <c r="A718" s="102"/>
      <c r="B718" s="200"/>
      <c r="C718" s="201"/>
      <c r="D718" s="202"/>
      <c r="E718" s="202"/>
      <c r="F718" s="203"/>
      <c r="G718" s="204"/>
    </row>
    <row r="719" spans="1:7" x14ac:dyDescent="0.25">
      <c r="A719" s="102"/>
      <c r="B719" s="200"/>
      <c r="C719" s="201"/>
      <c r="D719" s="202"/>
      <c r="E719" s="202"/>
      <c r="F719" s="203"/>
      <c r="G719" s="204"/>
    </row>
    <row r="720" spans="1:7" x14ac:dyDescent="0.25">
      <c r="A720" s="102"/>
      <c r="B720" s="200"/>
      <c r="C720" s="201"/>
      <c r="D720" s="202"/>
      <c r="E720" s="202"/>
      <c r="F720" s="203"/>
      <c r="G720" s="204"/>
    </row>
    <row r="721" spans="1:7" x14ac:dyDescent="0.25">
      <c r="A721" s="102"/>
      <c r="B721" s="200"/>
      <c r="C721" s="201"/>
      <c r="D721" s="202"/>
      <c r="E721" s="202"/>
      <c r="F721" s="203"/>
      <c r="G721" s="204"/>
    </row>
    <row r="722" spans="1:7" x14ac:dyDescent="0.25">
      <c r="A722" s="102"/>
      <c r="B722" s="200"/>
      <c r="C722" s="201"/>
      <c r="D722" s="202"/>
      <c r="E722" s="202"/>
      <c r="F722" s="203"/>
      <c r="G722" s="204"/>
    </row>
    <row r="723" spans="1:7" x14ac:dyDescent="0.25">
      <c r="A723" s="102"/>
      <c r="B723" s="200"/>
      <c r="C723" s="201"/>
      <c r="D723" s="202"/>
      <c r="E723" s="202"/>
      <c r="F723" s="203"/>
      <c r="G723" s="204"/>
    </row>
    <row r="724" spans="1:7" x14ac:dyDescent="0.25">
      <c r="A724" s="102"/>
      <c r="B724" s="200"/>
      <c r="C724" s="201"/>
      <c r="D724" s="202"/>
      <c r="E724" s="202"/>
      <c r="F724" s="203"/>
      <c r="G724" s="204"/>
    </row>
    <row r="725" spans="1:7" x14ac:dyDescent="0.25">
      <c r="A725" s="102"/>
      <c r="B725" s="200"/>
      <c r="C725" s="201"/>
      <c r="D725" s="202"/>
      <c r="E725" s="202"/>
      <c r="F725" s="203"/>
      <c r="G725" s="204"/>
    </row>
    <row r="726" spans="1:7" x14ac:dyDescent="0.25">
      <c r="A726" s="102"/>
      <c r="B726" s="200"/>
      <c r="C726" s="201"/>
      <c r="D726" s="202"/>
      <c r="E726" s="202"/>
      <c r="F726" s="203"/>
      <c r="G726" s="204"/>
    </row>
    <row r="727" spans="1:7" x14ac:dyDescent="0.25">
      <c r="A727" s="102"/>
      <c r="B727" s="200"/>
      <c r="C727" s="201"/>
      <c r="D727" s="202"/>
      <c r="E727" s="202"/>
      <c r="F727" s="203"/>
      <c r="G727" s="204"/>
    </row>
    <row r="728" spans="1:7" x14ac:dyDescent="0.25">
      <c r="A728" s="102"/>
      <c r="B728" s="200"/>
      <c r="C728" s="201"/>
      <c r="D728" s="202"/>
      <c r="E728" s="202"/>
      <c r="F728" s="203"/>
      <c r="G728" s="204"/>
    </row>
    <row r="729" spans="1:7" x14ac:dyDescent="0.25">
      <c r="A729" s="102"/>
      <c r="B729" s="200"/>
      <c r="C729" s="201"/>
      <c r="D729" s="202"/>
      <c r="E729" s="202"/>
      <c r="F729" s="203"/>
      <c r="G729" s="204"/>
    </row>
    <row r="730" spans="1:7" x14ac:dyDescent="0.25">
      <c r="A730" s="102"/>
      <c r="B730" s="200"/>
      <c r="C730" s="201"/>
      <c r="D730" s="202"/>
      <c r="E730" s="202"/>
      <c r="F730" s="203"/>
      <c r="G730" s="204"/>
    </row>
    <row r="731" spans="1:7" x14ac:dyDescent="0.25">
      <c r="A731" s="102"/>
      <c r="B731" s="200"/>
      <c r="C731" s="201"/>
      <c r="D731" s="202"/>
      <c r="E731" s="202"/>
      <c r="F731" s="203"/>
      <c r="G731" s="204"/>
    </row>
    <row r="732" spans="1:7" x14ac:dyDescent="0.25">
      <c r="A732" s="102"/>
      <c r="B732" s="200"/>
      <c r="C732" s="201"/>
      <c r="D732" s="202"/>
      <c r="E732" s="202"/>
      <c r="F732" s="203"/>
      <c r="G732" s="204"/>
    </row>
    <row r="733" spans="1:7" x14ac:dyDescent="0.25">
      <c r="A733" s="102"/>
      <c r="B733" s="200"/>
      <c r="C733" s="201"/>
      <c r="D733" s="202"/>
      <c r="E733" s="202"/>
      <c r="F733" s="203"/>
      <c r="G733" s="204"/>
    </row>
    <row r="734" spans="1:7" x14ac:dyDescent="0.25">
      <c r="A734" s="102"/>
      <c r="B734" s="200"/>
      <c r="C734" s="201"/>
      <c r="D734" s="202"/>
      <c r="E734" s="202"/>
      <c r="F734" s="203"/>
      <c r="G734" s="204"/>
    </row>
    <row r="735" spans="1:7" x14ac:dyDescent="0.25">
      <c r="A735" s="102"/>
      <c r="B735" s="200"/>
      <c r="C735" s="201"/>
      <c r="D735" s="202"/>
      <c r="E735" s="202"/>
      <c r="F735" s="203"/>
      <c r="G735" s="204"/>
    </row>
    <row r="736" spans="1:7" x14ac:dyDescent="0.25">
      <c r="A736" s="102"/>
      <c r="B736" s="200"/>
      <c r="C736" s="201"/>
      <c r="D736" s="202"/>
      <c r="E736" s="202"/>
      <c r="F736" s="203"/>
      <c r="G736" s="204"/>
    </row>
    <row r="737" spans="1:7" x14ac:dyDescent="0.25">
      <c r="A737" s="102"/>
      <c r="B737" s="200"/>
      <c r="C737" s="201"/>
      <c r="D737" s="202"/>
      <c r="E737" s="202"/>
      <c r="F737" s="203"/>
      <c r="G737" s="204"/>
    </row>
    <row r="738" spans="1:7" x14ac:dyDescent="0.25">
      <c r="A738" s="102"/>
      <c r="B738" s="200"/>
      <c r="C738" s="201"/>
      <c r="D738" s="202"/>
      <c r="E738" s="202"/>
      <c r="F738" s="203"/>
      <c r="G738" s="204"/>
    </row>
    <row r="739" spans="1:7" x14ac:dyDescent="0.25">
      <c r="A739" s="102"/>
      <c r="B739" s="200"/>
      <c r="C739" s="201"/>
      <c r="D739" s="202"/>
      <c r="E739" s="202"/>
      <c r="F739" s="203"/>
      <c r="G739" s="204"/>
    </row>
    <row r="740" spans="1:7" x14ac:dyDescent="0.25">
      <c r="A740" s="102"/>
      <c r="B740" s="200"/>
      <c r="C740" s="201"/>
      <c r="D740" s="202"/>
      <c r="E740" s="202"/>
      <c r="F740" s="203"/>
      <c r="G740" s="204"/>
    </row>
    <row r="741" spans="1:7" x14ac:dyDescent="0.25">
      <c r="A741" s="102"/>
      <c r="B741" s="200"/>
      <c r="C741" s="201"/>
      <c r="D741" s="202"/>
      <c r="E741" s="202"/>
      <c r="F741" s="203"/>
      <c r="G741" s="204"/>
    </row>
    <row r="742" spans="1:7" x14ac:dyDescent="0.25">
      <c r="A742" s="102"/>
      <c r="B742" s="200"/>
      <c r="C742" s="201"/>
      <c r="D742" s="202"/>
      <c r="E742" s="202"/>
      <c r="F742" s="203"/>
      <c r="G742" s="204"/>
    </row>
    <row r="743" spans="1:7" x14ac:dyDescent="0.25">
      <c r="A743" s="102"/>
      <c r="B743" s="200"/>
      <c r="C743" s="201"/>
      <c r="D743" s="202"/>
      <c r="E743" s="202"/>
      <c r="F743" s="203"/>
      <c r="G743" s="204"/>
    </row>
    <row r="744" spans="1:7" x14ac:dyDescent="0.25">
      <c r="A744" s="102"/>
      <c r="B744" s="200"/>
      <c r="C744" s="201"/>
      <c r="D744" s="202"/>
      <c r="E744" s="202"/>
      <c r="F744" s="203"/>
      <c r="G744" s="204"/>
    </row>
    <row r="745" spans="1:7" x14ac:dyDescent="0.25">
      <c r="A745" s="102"/>
      <c r="B745" s="200"/>
      <c r="C745" s="201"/>
      <c r="D745" s="202"/>
      <c r="E745" s="202"/>
      <c r="F745" s="203"/>
      <c r="G745" s="204"/>
    </row>
    <row r="746" spans="1:7" x14ac:dyDescent="0.25">
      <c r="A746" s="102"/>
      <c r="B746" s="200"/>
      <c r="C746" s="201"/>
      <c r="D746" s="202"/>
      <c r="E746" s="202"/>
      <c r="F746" s="203"/>
      <c r="G746" s="204"/>
    </row>
    <row r="747" spans="1:7" x14ac:dyDescent="0.25">
      <c r="A747" s="102"/>
      <c r="B747" s="200"/>
      <c r="C747" s="201"/>
      <c r="D747" s="202"/>
      <c r="E747" s="202"/>
      <c r="F747" s="203"/>
      <c r="G747" s="204"/>
    </row>
    <row r="748" spans="1:7" x14ac:dyDescent="0.25">
      <c r="A748" s="102"/>
      <c r="B748" s="200"/>
      <c r="C748" s="201"/>
      <c r="D748" s="202"/>
      <c r="E748" s="202"/>
      <c r="F748" s="203"/>
      <c r="G748" s="204"/>
    </row>
    <row r="749" spans="1:7" x14ac:dyDescent="0.25">
      <c r="A749" s="102"/>
      <c r="B749" s="200"/>
      <c r="C749" s="201"/>
      <c r="D749" s="202"/>
      <c r="E749" s="202"/>
      <c r="F749" s="203"/>
      <c r="G749" s="204"/>
    </row>
    <row r="750" spans="1:7" x14ac:dyDescent="0.25">
      <c r="A750" s="102"/>
      <c r="B750" s="200"/>
      <c r="C750" s="201"/>
      <c r="D750" s="202"/>
      <c r="E750" s="202"/>
      <c r="F750" s="203"/>
      <c r="G750" s="204"/>
    </row>
    <row r="751" spans="1:7" x14ac:dyDescent="0.25">
      <c r="A751" s="102"/>
      <c r="B751" s="200"/>
      <c r="C751" s="201"/>
      <c r="D751" s="202"/>
      <c r="E751" s="202"/>
      <c r="F751" s="203"/>
      <c r="G751" s="204"/>
    </row>
    <row r="752" spans="1:7" x14ac:dyDescent="0.25">
      <c r="A752" s="102"/>
      <c r="B752" s="200"/>
      <c r="C752" s="201"/>
      <c r="D752" s="202"/>
      <c r="E752" s="202"/>
      <c r="F752" s="203"/>
      <c r="G752" s="204"/>
    </row>
    <row r="753" spans="1:7" x14ac:dyDescent="0.25">
      <c r="A753" s="102"/>
      <c r="B753" s="200"/>
      <c r="C753" s="201"/>
      <c r="D753" s="202"/>
      <c r="E753" s="202"/>
      <c r="F753" s="203"/>
      <c r="G753" s="204"/>
    </row>
    <row r="754" spans="1:7" x14ac:dyDescent="0.25">
      <c r="A754" s="102"/>
      <c r="B754" s="200"/>
      <c r="C754" s="201"/>
      <c r="D754" s="202"/>
      <c r="E754" s="202"/>
      <c r="F754" s="203"/>
      <c r="G754" s="204"/>
    </row>
    <row r="755" spans="1:7" x14ac:dyDescent="0.25">
      <c r="A755" s="102"/>
      <c r="B755" s="200"/>
      <c r="C755" s="201"/>
      <c r="D755" s="202"/>
      <c r="E755" s="202"/>
      <c r="F755" s="203"/>
      <c r="G755" s="204"/>
    </row>
    <row r="756" spans="1:7" x14ac:dyDescent="0.25">
      <c r="A756" s="102"/>
      <c r="B756" s="200"/>
      <c r="C756" s="201"/>
      <c r="D756" s="202"/>
      <c r="E756" s="202"/>
      <c r="F756" s="203"/>
      <c r="G756" s="204"/>
    </row>
    <row r="757" spans="1:7" x14ac:dyDescent="0.25">
      <c r="A757" s="102"/>
      <c r="B757" s="200"/>
      <c r="C757" s="201"/>
      <c r="D757" s="202"/>
      <c r="E757" s="202"/>
      <c r="F757" s="203"/>
      <c r="G757" s="204"/>
    </row>
    <row r="758" spans="1:7" x14ac:dyDescent="0.25">
      <c r="A758" s="102"/>
      <c r="B758" s="200"/>
      <c r="C758" s="201"/>
      <c r="D758" s="202"/>
      <c r="E758" s="202"/>
      <c r="F758" s="203"/>
      <c r="G758" s="204"/>
    </row>
    <row r="759" spans="1:7" x14ac:dyDescent="0.25">
      <c r="A759" s="102"/>
      <c r="B759" s="200"/>
      <c r="C759" s="201"/>
      <c r="D759" s="202"/>
      <c r="E759" s="202"/>
      <c r="F759" s="203"/>
      <c r="G759" s="204"/>
    </row>
    <row r="760" spans="1:7" x14ac:dyDescent="0.25">
      <c r="A760" s="102"/>
      <c r="B760" s="200"/>
      <c r="C760" s="201"/>
      <c r="D760" s="202"/>
      <c r="E760" s="202"/>
      <c r="F760" s="203"/>
      <c r="G760" s="204"/>
    </row>
    <row r="761" spans="1:7" x14ac:dyDescent="0.25">
      <c r="A761" s="102"/>
      <c r="B761" s="200"/>
      <c r="C761" s="201"/>
      <c r="D761" s="202"/>
      <c r="E761" s="202"/>
      <c r="F761" s="203"/>
      <c r="G761" s="204"/>
    </row>
    <row r="762" spans="1:7" x14ac:dyDescent="0.25">
      <c r="A762" s="102"/>
      <c r="B762" s="200"/>
      <c r="C762" s="201"/>
      <c r="D762" s="202"/>
      <c r="E762" s="202"/>
      <c r="F762" s="203"/>
      <c r="G762" s="204"/>
    </row>
    <row r="763" spans="1:7" x14ac:dyDescent="0.25">
      <c r="A763" s="102"/>
      <c r="B763" s="200"/>
      <c r="C763" s="201"/>
      <c r="D763" s="202"/>
      <c r="E763" s="202"/>
      <c r="F763" s="203"/>
      <c r="G763" s="204"/>
    </row>
    <row r="764" spans="1:7" x14ac:dyDescent="0.25">
      <c r="A764" s="102"/>
      <c r="B764" s="200"/>
      <c r="C764" s="201"/>
      <c r="D764" s="202"/>
      <c r="E764" s="202"/>
      <c r="F764" s="203"/>
      <c r="G764" s="204"/>
    </row>
    <row r="765" spans="1:7" x14ac:dyDescent="0.25">
      <c r="A765" s="102"/>
      <c r="B765" s="200"/>
      <c r="C765" s="201"/>
      <c r="D765" s="202"/>
      <c r="E765" s="202"/>
      <c r="F765" s="203"/>
      <c r="G765" s="204"/>
    </row>
    <row r="766" spans="1:7" x14ac:dyDescent="0.25">
      <c r="A766" s="102"/>
      <c r="B766" s="200"/>
      <c r="C766" s="201"/>
      <c r="D766" s="202"/>
      <c r="E766" s="202"/>
      <c r="F766" s="203"/>
      <c r="G766" s="204"/>
    </row>
    <row r="767" spans="1:7" x14ac:dyDescent="0.25">
      <c r="A767" s="102"/>
      <c r="B767" s="200"/>
      <c r="C767" s="201"/>
      <c r="D767" s="202"/>
      <c r="E767" s="202"/>
      <c r="F767" s="203"/>
      <c r="G767" s="204"/>
    </row>
    <row r="768" spans="1:7" x14ac:dyDescent="0.25">
      <c r="A768" s="102"/>
      <c r="B768" s="200"/>
      <c r="C768" s="201"/>
      <c r="D768" s="202"/>
      <c r="E768" s="202"/>
      <c r="F768" s="203"/>
      <c r="G768" s="204"/>
    </row>
    <row r="769" spans="1:7" x14ac:dyDescent="0.25">
      <c r="A769" s="102"/>
      <c r="B769" s="200"/>
      <c r="C769" s="201"/>
      <c r="D769" s="202"/>
      <c r="E769" s="202"/>
      <c r="F769" s="203"/>
      <c r="G769" s="204"/>
    </row>
    <row r="770" spans="1:7" x14ac:dyDescent="0.25">
      <c r="A770" s="102"/>
      <c r="B770" s="200"/>
      <c r="C770" s="201"/>
      <c r="D770" s="202"/>
      <c r="E770" s="202"/>
      <c r="F770" s="203"/>
      <c r="G770" s="204"/>
    </row>
    <row r="771" spans="1:7" x14ac:dyDescent="0.25">
      <c r="A771" s="102"/>
      <c r="B771" s="200"/>
      <c r="C771" s="201"/>
      <c r="D771" s="202"/>
      <c r="E771" s="202"/>
      <c r="F771" s="203"/>
      <c r="G771" s="204"/>
    </row>
    <row r="772" spans="1:7" x14ac:dyDescent="0.25">
      <c r="A772" s="102"/>
      <c r="B772" s="200"/>
      <c r="C772" s="201"/>
      <c r="D772" s="202"/>
      <c r="E772" s="202"/>
      <c r="F772" s="203"/>
      <c r="G772" s="204"/>
    </row>
    <row r="773" spans="1:7" x14ac:dyDescent="0.25">
      <c r="A773" s="102"/>
      <c r="B773" s="200"/>
      <c r="C773" s="201"/>
      <c r="D773" s="202"/>
      <c r="E773" s="202"/>
      <c r="F773" s="203"/>
      <c r="G773" s="204"/>
    </row>
    <row r="774" spans="1:7" x14ac:dyDescent="0.25">
      <c r="A774" s="102"/>
      <c r="B774" s="200"/>
      <c r="C774" s="201"/>
      <c r="D774" s="202"/>
      <c r="E774" s="202"/>
      <c r="F774" s="203"/>
      <c r="G774" s="204"/>
    </row>
    <row r="775" spans="1:7" x14ac:dyDescent="0.25">
      <c r="A775" s="102"/>
      <c r="B775" s="200"/>
      <c r="C775" s="201"/>
      <c r="D775" s="202"/>
      <c r="E775" s="202"/>
      <c r="F775" s="203"/>
      <c r="G775" s="204"/>
    </row>
    <row r="776" spans="1:7" x14ac:dyDescent="0.25">
      <c r="A776" s="102"/>
      <c r="B776" s="200"/>
      <c r="C776" s="201"/>
      <c r="D776" s="202"/>
      <c r="E776" s="202"/>
      <c r="F776" s="203"/>
      <c r="G776" s="204"/>
    </row>
    <row r="777" spans="1:7" x14ac:dyDescent="0.25">
      <c r="A777" s="102"/>
      <c r="B777" s="200"/>
      <c r="C777" s="201"/>
      <c r="D777" s="202"/>
      <c r="E777" s="202"/>
      <c r="F777" s="203"/>
      <c r="G777" s="204"/>
    </row>
    <row r="778" spans="1:7" x14ac:dyDescent="0.25">
      <c r="A778" s="102"/>
      <c r="B778" s="200"/>
      <c r="C778" s="201"/>
      <c r="D778" s="202"/>
      <c r="E778" s="202"/>
      <c r="F778" s="203"/>
      <c r="G778" s="204"/>
    </row>
    <row r="779" spans="1:7" x14ac:dyDescent="0.25">
      <c r="A779" s="102"/>
      <c r="B779" s="200"/>
      <c r="C779" s="201"/>
      <c r="D779" s="202"/>
      <c r="E779" s="202"/>
      <c r="F779" s="203"/>
      <c r="G779" s="204"/>
    </row>
    <row r="780" spans="1:7" x14ac:dyDescent="0.25">
      <c r="A780" s="102"/>
      <c r="B780" s="200"/>
      <c r="C780" s="201"/>
      <c r="D780" s="202"/>
      <c r="E780" s="202"/>
      <c r="F780" s="203"/>
      <c r="G780" s="204"/>
    </row>
    <row r="781" spans="1:7" x14ac:dyDescent="0.25">
      <c r="A781" s="102"/>
      <c r="B781" s="200"/>
      <c r="C781" s="201"/>
      <c r="D781" s="202"/>
      <c r="E781" s="202"/>
      <c r="F781" s="203"/>
      <c r="G781" s="204"/>
    </row>
    <row r="782" spans="1:7" x14ac:dyDescent="0.25">
      <c r="A782" s="102"/>
      <c r="B782" s="200"/>
      <c r="C782" s="201"/>
      <c r="D782" s="202"/>
      <c r="E782" s="202"/>
      <c r="F782" s="203"/>
      <c r="G782" s="204"/>
    </row>
    <row r="783" spans="1:7" x14ac:dyDescent="0.25">
      <c r="A783" s="102"/>
      <c r="B783" s="200"/>
      <c r="C783" s="201"/>
      <c r="D783" s="202"/>
      <c r="E783" s="202"/>
      <c r="F783" s="203"/>
      <c r="G783" s="204"/>
    </row>
    <row r="784" spans="1:7" x14ac:dyDescent="0.25">
      <c r="A784" s="102"/>
      <c r="B784" s="200"/>
      <c r="C784" s="201"/>
      <c r="D784" s="202"/>
      <c r="E784" s="202"/>
      <c r="F784" s="203"/>
      <c r="G784" s="204"/>
    </row>
    <row r="785" spans="1:7" x14ac:dyDescent="0.25">
      <c r="A785" s="102"/>
      <c r="B785" s="200"/>
      <c r="C785" s="201"/>
      <c r="D785" s="202"/>
      <c r="E785" s="202"/>
      <c r="F785" s="203"/>
      <c r="G785" s="204"/>
    </row>
    <row r="786" spans="1:7" x14ac:dyDescent="0.25">
      <c r="A786" s="102"/>
      <c r="B786" s="200"/>
      <c r="C786" s="201"/>
      <c r="D786" s="202"/>
      <c r="E786" s="202"/>
      <c r="F786" s="203"/>
      <c r="G786" s="204"/>
    </row>
    <row r="787" spans="1:7" x14ac:dyDescent="0.25">
      <c r="A787" s="102"/>
      <c r="B787" s="200"/>
      <c r="C787" s="201"/>
      <c r="D787" s="202"/>
      <c r="E787" s="202"/>
      <c r="F787" s="203"/>
      <c r="G787" s="204"/>
    </row>
    <row r="788" spans="1:7" x14ac:dyDescent="0.25">
      <c r="A788" s="102"/>
      <c r="B788" s="200"/>
      <c r="C788" s="201"/>
      <c r="D788" s="202"/>
      <c r="E788" s="202"/>
      <c r="F788" s="203"/>
      <c r="G788" s="204"/>
    </row>
    <row r="789" spans="1:7" x14ac:dyDescent="0.25">
      <c r="A789" s="102"/>
      <c r="B789" s="200"/>
      <c r="C789" s="201"/>
      <c r="D789" s="202"/>
      <c r="E789" s="202"/>
      <c r="F789" s="203"/>
      <c r="G789" s="204"/>
    </row>
    <row r="790" spans="1:7" x14ac:dyDescent="0.25">
      <c r="A790" s="102"/>
      <c r="B790" s="200"/>
      <c r="C790" s="201"/>
      <c r="D790" s="202"/>
      <c r="E790" s="202"/>
      <c r="F790" s="203"/>
      <c r="G790" s="204"/>
    </row>
    <row r="791" spans="1:7" x14ac:dyDescent="0.25">
      <c r="A791" s="102"/>
      <c r="B791" s="200"/>
      <c r="C791" s="201"/>
      <c r="D791" s="202"/>
      <c r="E791" s="202"/>
      <c r="F791" s="203"/>
      <c r="G791" s="204"/>
    </row>
    <row r="792" spans="1:7" x14ac:dyDescent="0.25">
      <c r="A792" s="102"/>
      <c r="B792" s="200"/>
      <c r="C792" s="201"/>
      <c r="D792" s="202"/>
      <c r="E792" s="202"/>
      <c r="F792" s="203"/>
      <c r="G792" s="204"/>
    </row>
    <row r="793" spans="1:7" x14ac:dyDescent="0.25">
      <c r="A793" s="102"/>
      <c r="B793" s="200"/>
      <c r="C793" s="201"/>
      <c r="D793" s="202"/>
      <c r="E793" s="202"/>
      <c r="F793" s="203"/>
      <c r="G793" s="204"/>
    </row>
    <row r="794" spans="1:7" x14ac:dyDescent="0.25">
      <c r="A794" s="102"/>
      <c r="B794" s="200"/>
      <c r="C794" s="201"/>
      <c r="D794" s="202"/>
      <c r="E794" s="202"/>
      <c r="F794" s="203"/>
      <c r="G794" s="204"/>
    </row>
    <row r="795" spans="1:7" x14ac:dyDescent="0.25">
      <c r="A795" s="102"/>
      <c r="B795" s="200"/>
      <c r="C795" s="201"/>
      <c r="D795" s="202"/>
      <c r="E795" s="202"/>
      <c r="F795" s="203"/>
      <c r="G795" s="204"/>
    </row>
    <row r="796" spans="1:7" x14ac:dyDescent="0.25">
      <c r="A796" s="102"/>
      <c r="B796" s="200"/>
      <c r="C796" s="201"/>
      <c r="D796" s="202"/>
      <c r="E796" s="202"/>
      <c r="F796" s="203"/>
      <c r="G796" s="204"/>
    </row>
    <row r="797" spans="1:7" x14ac:dyDescent="0.25">
      <c r="A797" s="102"/>
      <c r="B797" s="200"/>
      <c r="C797" s="201"/>
      <c r="D797" s="202"/>
      <c r="E797" s="202"/>
      <c r="F797" s="203"/>
      <c r="G797" s="204"/>
    </row>
    <row r="798" spans="1:7" x14ac:dyDescent="0.25">
      <c r="A798" s="102"/>
      <c r="B798" s="200"/>
      <c r="C798" s="201"/>
      <c r="D798" s="202"/>
      <c r="E798" s="202"/>
      <c r="F798" s="203"/>
      <c r="G798" s="204"/>
    </row>
    <row r="799" spans="1:7" x14ac:dyDescent="0.25">
      <c r="A799" s="102"/>
      <c r="B799" s="200"/>
      <c r="C799" s="201"/>
      <c r="D799" s="202"/>
      <c r="E799" s="202"/>
      <c r="F799" s="203"/>
      <c r="G799" s="204"/>
    </row>
    <row r="800" spans="1:7" x14ac:dyDescent="0.25">
      <c r="A800" s="102"/>
      <c r="B800" s="200"/>
      <c r="C800" s="201"/>
      <c r="D800" s="202"/>
      <c r="E800" s="202"/>
      <c r="F800" s="203"/>
      <c r="G800" s="204"/>
    </row>
    <row r="801" spans="1:7" x14ac:dyDescent="0.25">
      <c r="A801" s="102"/>
      <c r="B801" s="200"/>
      <c r="C801" s="201"/>
      <c r="D801" s="202"/>
      <c r="E801" s="202"/>
      <c r="F801" s="203"/>
      <c r="G801" s="204"/>
    </row>
    <row r="802" spans="1:7" x14ac:dyDescent="0.25">
      <c r="A802" s="102"/>
      <c r="B802" s="200"/>
      <c r="C802" s="201"/>
      <c r="D802" s="202"/>
      <c r="E802" s="202"/>
      <c r="F802" s="203"/>
      <c r="G802" s="204"/>
    </row>
    <row r="803" spans="1:7" x14ac:dyDescent="0.25">
      <c r="A803" s="102"/>
      <c r="B803" s="200"/>
      <c r="C803" s="201"/>
      <c r="D803" s="202"/>
      <c r="E803" s="202"/>
      <c r="F803" s="203"/>
      <c r="G803" s="204"/>
    </row>
    <row r="804" spans="1:7" x14ac:dyDescent="0.25">
      <c r="A804" s="102"/>
      <c r="B804" s="200"/>
      <c r="C804" s="201"/>
      <c r="D804" s="202"/>
      <c r="E804" s="202"/>
      <c r="F804" s="203"/>
      <c r="G804" s="204"/>
    </row>
    <row r="805" spans="1:7" x14ac:dyDescent="0.25">
      <c r="A805" s="102"/>
      <c r="B805" s="200"/>
      <c r="C805" s="201"/>
      <c r="D805" s="202"/>
      <c r="E805" s="202"/>
      <c r="F805" s="203"/>
      <c r="G805" s="204"/>
    </row>
    <row r="806" spans="1:7" x14ac:dyDescent="0.25">
      <c r="A806" s="102"/>
      <c r="B806" s="200"/>
      <c r="C806" s="201"/>
      <c r="D806" s="202"/>
      <c r="E806" s="202"/>
      <c r="F806" s="203"/>
      <c r="G806" s="204"/>
    </row>
    <row r="807" spans="1:7" x14ac:dyDescent="0.25">
      <c r="A807" s="102"/>
      <c r="B807" s="200"/>
      <c r="C807" s="201"/>
      <c r="D807" s="202"/>
      <c r="E807" s="202"/>
      <c r="F807" s="203"/>
      <c r="G807" s="204"/>
    </row>
    <row r="808" spans="1:7" x14ac:dyDescent="0.25">
      <c r="A808" s="102"/>
      <c r="B808" s="200"/>
      <c r="C808" s="201"/>
      <c r="D808" s="202"/>
      <c r="E808" s="202"/>
      <c r="F808" s="203"/>
      <c r="G808" s="204"/>
    </row>
    <row r="809" spans="1:7" x14ac:dyDescent="0.25">
      <c r="A809" s="102"/>
      <c r="B809" s="200"/>
      <c r="C809" s="201"/>
      <c r="D809" s="202"/>
      <c r="E809" s="202"/>
      <c r="F809" s="203"/>
      <c r="G809" s="204"/>
    </row>
    <row r="810" spans="1:7" x14ac:dyDescent="0.25">
      <c r="A810" s="102"/>
      <c r="B810" s="200"/>
      <c r="C810" s="201"/>
      <c r="D810" s="202"/>
      <c r="E810" s="202"/>
      <c r="F810" s="203"/>
      <c r="G810" s="204"/>
    </row>
    <row r="811" spans="1:7" x14ac:dyDescent="0.25">
      <c r="A811" s="102"/>
      <c r="B811" s="200"/>
      <c r="C811" s="201"/>
      <c r="D811" s="202"/>
      <c r="E811" s="202"/>
      <c r="F811" s="203"/>
      <c r="G811" s="204"/>
    </row>
    <row r="812" spans="1:7" x14ac:dyDescent="0.25">
      <c r="A812" s="102"/>
      <c r="B812" s="200"/>
      <c r="C812" s="201"/>
      <c r="D812" s="202"/>
      <c r="E812" s="202"/>
      <c r="F812" s="203"/>
      <c r="G812" s="204"/>
    </row>
    <row r="813" spans="1:7" x14ac:dyDescent="0.25">
      <c r="A813" s="102"/>
      <c r="B813" s="200"/>
      <c r="C813" s="201"/>
      <c r="D813" s="202"/>
      <c r="E813" s="202"/>
      <c r="F813" s="203"/>
      <c r="G813" s="204"/>
    </row>
    <row r="814" spans="1:7" x14ac:dyDescent="0.25">
      <c r="A814" s="102"/>
      <c r="B814" s="200"/>
      <c r="C814" s="201"/>
      <c r="D814" s="202"/>
      <c r="E814" s="202"/>
      <c r="F814" s="203"/>
      <c r="G814" s="204"/>
    </row>
    <row r="815" spans="1:7" x14ac:dyDescent="0.25">
      <c r="A815" s="102"/>
      <c r="B815" s="200"/>
      <c r="C815" s="201"/>
      <c r="D815" s="202"/>
      <c r="E815" s="202"/>
      <c r="F815" s="203"/>
      <c r="G815" s="204"/>
    </row>
    <row r="816" spans="1:7" x14ac:dyDescent="0.25">
      <c r="A816" s="102"/>
      <c r="B816" s="200"/>
      <c r="C816" s="201"/>
      <c r="D816" s="202"/>
      <c r="E816" s="202"/>
      <c r="F816" s="203"/>
      <c r="G816" s="204"/>
    </row>
    <row r="817" spans="1:7" x14ac:dyDescent="0.25">
      <c r="A817" s="102"/>
      <c r="B817" s="200"/>
      <c r="C817" s="201"/>
      <c r="D817" s="202"/>
      <c r="E817" s="202"/>
      <c r="F817" s="203"/>
      <c r="G817" s="204"/>
    </row>
    <row r="818" spans="1:7" x14ac:dyDescent="0.25">
      <c r="A818" s="102"/>
      <c r="B818" s="200"/>
      <c r="C818" s="201"/>
      <c r="D818" s="202"/>
      <c r="E818" s="202"/>
      <c r="F818" s="203"/>
      <c r="G818" s="204"/>
    </row>
    <row r="819" spans="1:7" x14ac:dyDescent="0.25">
      <c r="A819" s="102"/>
      <c r="B819" s="200"/>
      <c r="C819" s="201"/>
      <c r="D819" s="202"/>
      <c r="E819" s="202"/>
      <c r="F819" s="203"/>
      <c r="G819" s="204"/>
    </row>
    <row r="820" spans="1:7" x14ac:dyDescent="0.25">
      <c r="A820" s="102"/>
      <c r="B820" s="200"/>
      <c r="C820" s="201"/>
      <c r="D820" s="202"/>
      <c r="E820" s="202"/>
      <c r="F820" s="203"/>
      <c r="G820" s="204"/>
    </row>
    <row r="821" spans="1:7" x14ac:dyDescent="0.25">
      <c r="A821" s="102"/>
      <c r="B821" s="200"/>
      <c r="C821" s="201"/>
      <c r="D821" s="202"/>
      <c r="E821" s="202"/>
      <c r="F821" s="203"/>
      <c r="G821" s="204"/>
    </row>
    <row r="822" spans="1:7" x14ac:dyDescent="0.25">
      <c r="A822" s="102"/>
      <c r="B822" s="200"/>
      <c r="C822" s="201"/>
      <c r="D822" s="202"/>
      <c r="E822" s="202"/>
      <c r="F822" s="203"/>
      <c r="G822" s="204"/>
    </row>
    <row r="823" spans="1:7" x14ac:dyDescent="0.25">
      <c r="A823" s="102"/>
      <c r="B823" s="200"/>
      <c r="C823" s="201"/>
      <c r="D823" s="202"/>
      <c r="E823" s="202"/>
      <c r="F823" s="203"/>
      <c r="G823" s="204"/>
    </row>
    <row r="824" spans="1:7" x14ac:dyDescent="0.25">
      <c r="A824" s="102"/>
      <c r="B824" s="200"/>
      <c r="C824" s="201"/>
      <c r="D824" s="202"/>
      <c r="E824" s="202"/>
      <c r="F824" s="203"/>
      <c r="G824" s="204"/>
    </row>
    <row r="825" spans="1:7" x14ac:dyDescent="0.25">
      <c r="A825" s="102"/>
      <c r="B825" s="200"/>
      <c r="C825" s="201"/>
      <c r="D825" s="202"/>
      <c r="E825" s="202"/>
      <c r="F825" s="203"/>
      <c r="G825" s="204"/>
    </row>
    <row r="826" spans="1:7" x14ac:dyDescent="0.25">
      <c r="A826" s="102"/>
      <c r="B826" s="200"/>
      <c r="C826" s="201"/>
      <c r="D826" s="202"/>
      <c r="E826" s="202"/>
      <c r="F826" s="203"/>
      <c r="G826" s="204"/>
    </row>
    <row r="827" spans="1:7" x14ac:dyDescent="0.25">
      <c r="A827" s="102"/>
      <c r="B827" s="200"/>
      <c r="C827" s="201"/>
      <c r="D827" s="202"/>
      <c r="E827" s="202"/>
      <c r="F827" s="203"/>
      <c r="G827" s="204"/>
    </row>
    <row r="828" spans="1:7" x14ac:dyDescent="0.25">
      <c r="A828" s="102"/>
      <c r="B828" s="200"/>
      <c r="C828" s="201"/>
      <c r="D828" s="202"/>
      <c r="E828" s="202"/>
      <c r="F828" s="203"/>
      <c r="G828" s="204"/>
    </row>
    <row r="829" spans="1:7" x14ac:dyDescent="0.25">
      <c r="A829" s="102"/>
      <c r="B829" s="200"/>
      <c r="C829" s="201"/>
      <c r="D829" s="202"/>
      <c r="E829" s="202"/>
      <c r="F829" s="203"/>
      <c r="G829" s="204"/>
    </row>
    <row r="830" spans="1:7" x14ac:dyDescent="0.25">
      <c r="A830" s="102"/>
      <c r="B830" s="200"/>
      <c r="C830" s="201"/>
      <c r="D830" s="202"/>
      <c r="E830" s="202"/>
      <c r="F830" s="203"/>
      <c r="G830" s="204"/>
    </row>
    <row r="831" spans="1:7" x14ac:dyDescent="0.25">
      <c r="A831" s="102"/>
      <c r="B831" s="200"/>
      <c r="C831" s="201"/>
      <c r="D831" s="202"/>
      <c r="E831" s="202"/>
      <c r="F831" s="203"/>
      <c r="G831" s="204"/>
    </row>
    <row r="832" spans="1:7" x14ac:dyDescent="0.25">
      <c r="A832" s="102"/>
      <c r="B832" s="200"/>
      <c r="C832" s="201"/>
      <c r="D832" s="202"/>
      <c r="E832" s="202"/>
      <c r="F832" s="203"/>
      <c r="G832" s="204"/>
    </row>
    <row r="833" spans="1:7" x14ac:dyDescent="0.25">
      <c r="A833" s="102"/>
      <c r="B833" s="200"/>
      <c r="C833" s="201"/>
      <c r="D833" s="202"/>
      <c r="E833" s="202"/>
      <c r="F833" s="203"/>
      <c r="G833" s="204"/>
    </row>
    <row r="834" spans="1:7" x14ac:dyDescent="0.25">
      <c r="A834" s="102"/>
      <c r="B834" s="200"/>
      <c r="C834" s="201"/>
      <c r="D834" s="202"/>
      <c r="E834" s="202"/>
      <c r="F834" s="203"/>
      <c r="G834" s="204"/>
    </row>
    <row r="835" spans="1:7" x14ac:dyDescent="0.25">
      <c r="A835" s="102"/>
      <c r="B835" s="200"/>
      <c r="C835" s="201"/>
      <c r="D835" s="202"/>
      <c r="E835" s="202"/>
      <c r="F835" s="203"/>
      <c r="G835" s="204"/>
    </row>
    <row r="836" spans="1:7" x14ac:dyDescent="0.25">
      <c r="A836" s="102"/>
      <c r="B836" s="200"/>
      <c r="C836" s="201"/>
      <c r="D836" s="202"/>
      <c r="E836" s="202"/>
      <c r="F836" s="203"/>
      <c r="G836" s="204"/>
    </row>
    <row r="837" spans="1:7" x14ac:dyDescent="0.25">
      <c r="A837" s="102"/>
      <c r="B837" s="200"/>
      <c r="C837" s="201"/>
      <c r="D837" s="202"/>
      <c r="E837" s="202"/>
      <c r="F837" s="203"/>
      <c r="G837" s="204"/>
    </row>
    <row r="838" spans="1:7" x14ac:dyDescent="0.25">
      <c r="A838" s="102"/>
      <c r="B838" s="200"/>
      <c r="C838" s="201"/>
      <c r="D838" s="202"/>
      <c r="E838" s="202"/>
      <c r="F838" s="203"/>
      <c r="G838" s="204"/>
    </row>
    <row r="839" spans="1:7" x14ac:dyDescent="0.25">
      <c r="A839" s="102"/>
      <c r="B839" s="200"/>
      <c r="C839" s="201"/>
      <c r="D839" s="202"/>
      <c r="E839" s="202"/>
      <c r="F839" s="203"/>
      <c r="G839" s="204"/>
    </row>
    <row r="840" spans="1:7" x14ac:dyDescent="0.25">
      <c r="A840" s="102"/>
      <c r="B840" s="200"/>
      <c r="C840" s="201"/>
      <c r="D840" s="202"/>
      <c r="E840" s="202"/>
      <c r="F840" s="203"/>
      <c r="G840" s="204"/>
    </row>
    <row r="841" spans="1:7" x14ac:dyDescent="0.25">
      <c r="A841" s="102"/>
      <c r="B841" s="200"/>
      <c r="C841" s="201"/>
      <c r="D841" s="202"/>
      <c r="E841" s="202"/>
      <c r="F841" s="203"/>
      <c r="G841" s="204"/>
    </row>
    <row r="842" spans="1:7" x14ac:dyDescent="0.25">
      <c r="A842" s="102"/>
      <c r="B842" s="200"/>
      <c r="C842" s="201"/>
      <c r="D842" s="202"/>
      <c r="E842" s="202"/>
      <c r="F842" s="203"/>
      <c r="G842" s="204"/>
    </row>
    <row r="843" spans="1:7" x14ac:dyDescent="0.25">
      <c r="A843" s="102"/>
      <c r="B843" s="200"/>
      <c r="C843" s="201"/>
      <c r="D843" s="202"/>
      <c r="E843" s="202"/>
      <c r="F843" s="203"/>
      <c r="G843" s="204"/>
    </row>
    <row r="844" spans="1:7" x14ac:dyDescent="0.25">
      <c r="A844" s="102"/>
      <c r="B844" s="200"/>
      <c r="C844" s="201"/>
      <c r="D844" s="202"/>
      <c r="E844" s="202"/>
      <c r="F844" s="203"/>
      <c r="G844" s="204"/>
    </row>
    <row r="845" spans="1:7" x14ac:dyDescent="0.25">
      <c r="A845" s="102"/>
      <c r="B845" s="200"/>
      <c r="C845" s="201"/>
      <c r="D845" s="202"/>
      <c r="E845" s="202"/>
      <c r="F845" s="203"/>
      <c r="G845" s="204"/>
    </row>
    <row r="846" spans="1:7" x14ac:dyDescent="0.25">
      <c r="A846" s="102"/>
      <c r="B846" s="200"/>
      <c r="C846" s="201"/>
      <c r="D846" s="202"/>
      <c r="E846" s="202"/>
      <c r="F846" s="203"/>
      <c r="G846" s="204"/>
    </row>
    <row r="847" spans="1:7" x14ac:dyDescent="0.25">
      <c r="A847" s="102"/>
      <c r="B847" s="200"/>
      <c r="C847" s="201"/>
      <c r="D847" s="202"/>
      <c r="E847" s="202"/>
      <c r="F847" s="203"/>
      <c r="G847" s="204"/>
    </row>
    <row r="848" spans="1:7" x14ac:dyDescent="0.25">
      <c r="A848" s="102"/>
      <c r="B848" s="200"/>
      <c r="C848" s="201"/>
      <c r="D848" s="202"/>
      <c r="E848" s="202"/>
      <c r="F848" s="203"/>
      <c r="G848" s="204"/>
    </row>
    <row r="849" spans="1:7" x14ac:dyDescent="0.25">
      <c r="A849" s="102"/>
      <c r="B849" s="200"/>
      <c r="C849" s="201"/>
      <c r="D849" s="202"/>
      <c r="E849" s="202"/>
      <c r="F849" s="203"/>
      <c r="G849" s="204"/>
    </row>
    <row r="850" spans="1:7" x14ac:dyDescent="0.25">
      <c r="A850" s="102"/>
      <c r="B850" s="200"/>
      <c r="C850" s="201"/>
      <c r="D850" s="202"/>
      <c r="E850" s="202"/>
      <c r="F850" s="203"/>
      <c r="G850" s="204"/>
    </row>
    <row r="851" spans="1:7" x14ac:dyDescent="0.25">
      <c r="A851" s="102"/>
      <c r="B851" s="200"/>
      <c r="C851" s="201"/>
      <c r="D851" s="202"/>
      <c r="E851" s="202"/>
      <c r="F851" s="203"/>
      <c r="G851" s="204"/>
    </row>
    <row r="852" spans="1:7" x14ac:dyDescent="0.25">
      <c r="A852" s="102"/>
      <c r="B852" s="200"/>
      <c r="C852" s="201"/>
      <c r="D852" s="202"/>
      <c r="E852" s="202"/>
      <c r="F852" s="203"/>
      <c r="G852" s="204"/>
    </row>
    <row r="853" spans="1:7" x14ac:dyDescent="0.25">
      <c r="A853" s="102"/>
      <c r="B853" s="200"/>
      <c r="C853" s="201"/>
      <c r="D853" s="202"/>
      <c r="E853" s="202"/>
      <c r="F853" s="203"/>
      <c r="G853" s="204"/>
    </row>
    <row r="854" spans="1:7" x14ac:dyDescent="0.25">
      <c r="A854" s="102"/>
      <c r="B854" s="200"/>
      <c r="C854" s="201"/>
      <c r="D854" s="202"/>
      <c r="E854" s="202"/>
      <c r="F854" s="203"/>
      <c r="G854" s="204"/>
    </row>
    <row r="855" spans="1:7" x14ac:dyDescent="0.25">
      <c r="A855" s="102"/>
      <c r="B855" s="200"/>
      <c r="C855" s="201"/>
      <c r="D855" s="202"/>
      <c r="E855" s="202"/>
      <c r="F855" s="203"/>
      <c r="G855" s="204"/>
    </row>
    <row r="856" spans="1:7" x14ac:dyDescent="0.25">
      <c r="A856" s="102"/>
      <c r="B856" s="200"/>
      <c r="C856" s="201"/>
      <c r="D856" s="202"/>
      <c r="E856" s="202"/>
      <c r="F856" s="203"/>
      <c r="G856" s="204"/>
    </row>
    <row r="857" spans="1:7" x14ac:dyDescent="0.25">
      <c r="A857" s="102"/>
      <c r="B857" s="200"/>
      <c r="C857" s="201"/>
      <c r="D857" s="202"/>
      <c r="E857" s="202"/>
      <c r="F857" s="203"/>
      <c r="G857" s="204"/>
    </row>
    <row r="858" spans="1:7" x14ac:dyDescent="0.25">
      <c r="A858" s="102"/>
      <c r="B858" s="200"/>
      <c r="C858" s="201"/>
      <c r="D858" s="202"/>
      <c r="E858" s="202"/>
      <c r="F858" s="203"/>
      <c r="G858" s="204"/>
    </row>
    <row r="859" spans="1:7" x14ac:dyDescent="0.25">
      <c r="A859" s="102"/>
      <c r="B859" s="200"/>
      <c r="C859" s="201"/>
      <c r="D859" s="202"/>
      <c r="E859" s="202"/>
      <c r="F859" s="203"/>
      <c r="G859" s="204"/>
    </row>
    <row r="860" spans="1:7" x14ac:dyDescent="0.25">
      <c r="A860" s="102"/>
      <c r="B860" s="200"/>
      <c r="C860" s="201"/>
      <c r="D860" s="202"/>
      <c r="E860" s="202"/>
      <c r="F860" s="203"/>
      <c r="G860" s="204"/>
    </row>
    <row r="861" spans="1:7" x14ac:dyDescent="0.25">
      <c r="A861" s="102"/>
      <c r="B861" s="200"/>
      <c r="C861" s="201"/>
      <c r="D861" s="202"/>
      <c r="E861" s="202"/>
      <c r="F861" s="203"/>
      <c r="G861" s="204"/>
    </row>
    <row r="862" spans="1:7" x14ac:dyDescent="0.25">
      <c r="A862" s="102"/>
      <c r="B862" s="200"/>
      <c r="C862" s="201"/>
      <c r="D862" s="202"/>
      <c r="E862" s="202"/>
      <c r="F862" s="203"/>
      <c r="G862" s="204"/>
    </row>
    <row r="863" spans="1:7" x14ac:dyDescent="0.25">
      <c r="A863" s="102"/>
      <c r="B863" s="200"/>
      <c r="C863" s="201"/>
      <c r="D863" s="202"/>
      <c r="E863" s="202"/>
      <c r="F863" s="203"/>
      <c r="G863" s="204"/>
    </row>
    <row r="864" spans="1:7" x14ac:dyDescent="0.25">
      <c r="A864" s="102"/>
      <c r="B864" s="200"/>
      <c r="C864" s="201"/>
      <c r="D864" s="202"/>
      <c r="E864" s="202"/>
      <c r="F864" s="203"/>
      <c r="G864" s="204"/>
    </row>
    <row r="865" spans="1:7" x14ac:dyDescent="0.25">
      <c r="A865" s="102"/>
      <c r="B865" s="200"/>
      <c r="C865" s="201"/>
      <c r="D865" s="202"/>
      <c r="E865" s="202"/>
      <c r="F865" s="203"/>
      <c r="G865" s="204"/>
    </row>
    <row r="866" spans="1:7" x14ac:dyDescent="0.25">
      <c r="A866" s="102"/>
      <c r="B866" s="200"/>
      <c r="C866" s="201"/>
      <c r="D866" s="202"/>
      <c r="E866" s="202"/>
      <c r="F866" s="203"/>
      <c r="G866" s="204"/>
    </row>
    <row r="867" spans="1:7" x14ac:dyDescent="0.25">
      <c r="A867" s="102"/>
      <c r="B867" s="200"/>
      <c r="C867" s="201"/>
      <c r="D867" s="202"/>
      <c r="E867" s="202"/>
      <c r="F867" s="203"/>
      <c r="G867" s="204"/>
    </row>
    <row r="868" spans="1:7" x14ac:dyDescent="0.25">
      <c r="A868" s="102"/>
      <c r="B868" s="200"/>
      <c r="C868" s="201"/>
      <c r="D868" s="202"/>
      <c r="E868" s="202"/>
      <c r="F868" s="203"/>
      <c r="G868" s="204"/>
    </row>
    <row r="869" spans="1:7" x14ac:dyDescent="0.25">
      <c r="A869" s="102"/>
      <c r="B869" s="200"/>
      <c r="C869" s="201"/>
      <c r="D869" s="202"/>
      <c r="E869" s="202"/>
      <c r="F869" s="203"/>
      <c r="G869" s="204"/>
    </row>
    <row r="870" spans="1:7" x14ac:dyDescent="0.25">
      <c r="A870" s="102"/>
      <c r="B870" s="200"/>
      <c r="C870" s="201"/>
      <c r="D870" s="202"/>
      <c r="E870" s="202"/>
      <c r="F870" s="203"/>
      <c r="G870" s="204"/>
    </row>
    <row r="871" spans="1:7" x14ac:dyDescent="0.25">
      <c r="A871" s="102"/>
      <c r="B871" s="200"/>
      <c r="C871" s="201"/>
      <c r="D871" s="202"/>
      <c r="E871" s="202"/>
      <c r="F871" s="203"/>
      <c r="G871" s="204"/>
    </row>
    <row r="872" spans="1:7" x14ac:dyDescent="0.25">
      <c r="A872" s="102"/>
      <c r="B872" s="200"/>
      <c r="C872" s="201"/>
      <c r="D872" s="202"/>
      <c r="E872" s="202"/>
      <c r="F872" s="203"/>
      <c r="G872" s="204"/>
    </row>
    <row r="873" spans="1:7" x14ac:dyDescent="0.25">
      <c r="A873" s="102"/>
      <c r="B873" s="200"/>
      <c r="C873" s="201"/>
      <c r="D873" s="202"/>
      <c r="E873" s="202"/>
      <c r="F873" s="203"/>
      <c r="G873" s="204"/>
    </row>
    <row r="874" spans="1:7" x14ac:dyDescent="0.25">
      <c r="A874" s="102"/>
      <c r="B874" s="200"/>
      <c r="C874" s="201"/>
      <c r="D874" s="202"/>
      <c r="E874" s="202"/>
      <c r="F874" s="203"/>
      <c r="G874" s="204"/>
    </row>
    <row r="875" spans="1:7" x14ac:dyDescent="0.25">
      <c r="A875" s="102"/>
      <c r="B875" s="200"/>
      <c r="C875" s="201"/>
      <c r="D875" s="202"/>
      <c r="E875" s="202"/>
      <c r="F875" s="203"/>
      <c r="G875" s="204"/>
    </row>
    <row r="876" spans="1:7" x14ac:dyDescent="0.25">
      <c r="A876" s="102"/>
      <c r="B876" s="200"/>
      <c r="C876" s="201"/>
      <c r="D876" s="202"/>
      <c r="E876" s="202"/>
      <c r="F876" s="203"/>
      <c r="G876" s="204"/>
    </row>
    <row r="877" spans="1:7" x14ac:dyDescent="0.25">
      <c r="A877" s="102"/>
      <c r="B877" s="200"/>
      <c r="C877" s="201"/>
      <c r="D877" s="202"/>
      <c r="E877" s="202"/>
      <c r="F877" s="203"/>
      <c r="G877" s="204"/>
    </row>
    <row r="878" spans="1:7" x14ac:dyDescent="0.25">
      <c r="A878" s="102"/>
      <c r="B878" s="200"/>
      <c r="C878" s="201"/>
      <c r="D878" s="202"/>
      <c r="E878" s="202"/>
      <c r="F878" s="203"/>
      <c r="G878" s="204"/>
    </row>
    <row r="879" spans="1:7" x14ac:dyDescent="0.25">
      <c r="A879" s="102"/>
      <c r="B879" s="200"/>
      <c r="C879" s="201"/>
      <c r="D879" s="202"/>
      <c r="E879" s="202"/>
      <c r="F879" s="203"/>
      <c r="G879" s="204"/>
    </row>
    <row r="880" spans="1:7" x14ac:dyDescent="0.25">
      <c r="A880" s="102"/>
      <c r="B880" s="200"/>
      <c r="C880" s="201"/>
      <c r="D880" s="202"/>
      <c r="E880" s="202"/>
      <c r="F880" s="203"/>
      <c r="G880" s="204"/>
    </row>
    <row r="881" spans="1:7" x14ac:dyDescent="0.25">
      <c r="A881" s="102"/>
      <c r="B881" s="200"/>
      <c r="C881" s="201"/>
      <c r="D881" s="202"/>
      <c r="E881" s="202"/>
      <c r="F881" s="203"/>
      <c r="G881" s="204"/>
    </row>
    <row r="882" spans="1:7" x14ac:dyDescent="0.25">
      <c r="A882" s="102"/>
      <c r="B882" s="200"/>
      <c r="C882" s="201"/>
      <c r="D882" s="202"/>
      <c r="E882" s="202"/>
      <c r="F882" s="203"/>
      <c r="G882" s="204"/>
    </row>
    <row r="883" spans="1:7" x14ac:dyDescent="0.25">
      <c r="A883" s="102"/>
      <c r="B883" s="200"/>
      <c r="C883" s="201"/>
      <c r="D883" s="202"/>
      <c r="E883" s="202"/>
      <c r="F883" s="203"/>
      <c r="G883" s="204"/>
    </row>
    <row r="884" spans="1:7" x14ac:dyDescent="0.25">
      <c r="A884" s="102"/>
      <c r="B884" s="200"/>
      <c r="C884" s="201"/>
      <c r="D884" s="202"/>
      <c r="E884" s="202"/>
      <c r="F884" s="203"/>
      <c r="G884" s="204"/>
    </row>
    <row r="885" spans="1:7" x14ac:dyDescent="0.25">
      <c r="A885" s="102"/>
      <c r="B885" s="200"/>
      <c r="C885" s="201"/>
      <c r="D885" s="202"/>
      <c r="E885" s="202"/>
      <c r="F885" s="203"/>
      <c r="G885" s="204"/>
    </row>
    <row r="886" spans="1:7" x14ac:dyDescent="0.25">
      <c r="A886" s="102"/>
      <c r="B886" s="200"/>
      <c r="C886" s="201"/>
      <c r="D886" s="202"/>
      <c r="E886" s="202"/>
      <c r="F886" s="203"/>
      <c r="G886" s="204"/>
    </row>
    <row r="887" spans="1:7" x14ac:dyDescent="0.25">
      <c r="A887" s="102"/>
      <c r="B887" s="200"/>
      <c r="C887" s="201"/>
      <c r="D887" s="202"/>
      <c r="E887" s="202"/>
      <c r="F887" s="203"/>
      <c r="G887" s="204"/>
    </row>
    <row r="888" spans="1:7" x14ac:dyDescent="0.25">
      <c r="A888" s="102"/>
      <c r="B888" s="200"/>
      <c r="C888" s="201"/>
      <c r="D888" s="202"/>
      <c r="E888" s="202"/>
      <c r="F888" s="203"/>
      <c r="G888" s="204"/>
    </row>
    <row r="889" spans="1:7" x14ac:dyDescent="0.25">
      <c r="A889" s="102"/>
      <c r="B889" s="200"/>
      <c r="C889" s="201"/>
      <c r="D889" s="202"/>
      <c r="E889" s="202"/>
      <c r="F889" s="203"/>
      <c r="G889" s="204"/>
    </row>
    <row r="890" spans="1:7" x14ac:dyDescent="0.25">
      <c r="A890" s="102"/>
      <c r="B890" s="200"/>
      <c r="C890" s="201"/>
      <c r="D890" s="202"/>
      <c r="E890" s="202"/>
      <c r="F890" s="203"/>
      <c r="G890" s="204"/>
    </row>
    <row r="891" spans="1:7" x14ac:dyDescent="0.25">
      <c r="A891" s="102"/>
      <c r="B891" s="200"/>
      <c r="C891" s="201"/>
      <c r="D891" s="202"/>
      <c r="E891" s="202"/>
      <c r="F891" s="203"/>
      <c r="G891" s="204"/>
    </row>
    <row r="892" spans="1:7" x14ac:dyDescent="0.25">
      <c r="A892" s="102"/>
      <c r="B892" s="200"/>
      <c r="C892" s="201"/>
      <c r="D892" s="202"/>
      <c r="E892" s="202"/>
      <c r="F892" s="203"/>
      <c r="G892" s="204"/>
    </row>
    <row r="893" spans="1:7" x14ac:dyDescent="0.25">
      <c r="A893" s="102"/>
      <c r="B893" s="200"/>
      <c r="C893" s="201"/>
      <c r="D893" s="202"/>
      <c r="E893" s="202"/>
      <c r="F893" s="203"/>
      <c r="G893" s="204"/>
    </row>
    <row r="894" spans="1:7" x14ac:dyDescent="0.25">
      <c r="A894" s="102"/>
      <c r="B894" s="200"/>
      <c r="C894" s="201"/>
      <c r="D894" s="202"/>
      <c r="E894" s="202"/>
      <c r="F894" s="203"/>
      <c r="G894" s="204"/>
    </row>
    <row r="895" spans="1:7" x14ac:dyDescent="0.25">
      <c r="A895" s="102"/>
      <c r="B895" s="200"/>
      <c r="C895" s="201"/>
      <c r="D895" s="202"/>
      <c r="E895" s="202"/>
      <c r="F895" s="203"/>
      <c r="G895" s="204"/>
    </row>
    <row r="896" spans="1:7" x14ac:dyDescent="0.25">
      <c r="A896" s="102"/>
      <c r="B896" s="200"/>
      <c r="C896" s="201"/>
      <c r="D896" s="202"/>
      <c r="E896" s="202"/>
      <c r="F896" s="203"/>
      <c r="G896" s="204"/>
    </row>
    <row r="897" spans="1:7" x14ac:dyDescent="0.25">
      <c r="A897" s="102"/>
      <c r="B897" s="200"/>
      <c r="C897" s="201"/>
      <c r="D897" s="202"/>
      <c r="E897" s="202"/>
      <c r="F897" s="203"/>
      <c r="G897" s="204"/>
    </row>
    <row r="898" spans="1:7" x14ac:dyDescent="0.25">
      <c r="A898" s="102"/>
      <c r="B898" s="200"/>
      <c r="C898" s="201"/>
      <c r="D898" s="202"/>
      <c r="E898" s="202"/>
      <c r="F898" s="203"/>
      <c r="G898" s="204"/>
    </row>
    <row r="899" spans="1:7" x14ac:dyDescent="0.25">
      <c r="A899" s="102"/>
      <c r="B899" s="200"/>
      <c r="C899" s="201"/>
      <c r="D899" s="202"/>
      <c r="E899" s="202"/>
      <c r="F899" s="203"/>
      <c r="G899" s="204"/>
    </row>
    <row r="900" spans="1:7" x14ac:dyDescent="0.25">
      <c r="A900" s="102"/>
      <c r="B900" s="200"/>
      <c r="C900" s="201"/>
      <c r="D900" s="202"/>
      <c r="E900" s="202"/>
      <c r="F900" s="203"/>
      <c r="G900" s="204"/>
    </row>
    <row r="901" spans="1:7" x14ac:dyDescent="0.25">
      <c r="A901" s="102"/>
      <c r="B901" s="200"/>
      <c r="C901" s="201"/>
      <c r="D901" s="202"/>
      <c r="E901" s="202"/>
      <c r="F901" s="203"/>
      <c r="G901" s="204"/>
    </row>
    <row r="902" spans="1:7" x14ac:dyDescent="0.25">
      <c r="A902" s="102"/>
      <c r="B902" s="200"/>
      <c r="C902" s="201"/>
      <c r="D902" s="202"/>
      <c r="E902" s="202"/>
      <c r="F902" s="203"/>
      <c r="G902" s="204"/>
    </row>
    <row r="903" spans="1:7" x14ac:dyDescent="0.25">
      <c r="A903" s="102"/>
      <c r="B903" s="200"/>
      <c r="C903" s="201"/>
      <c r="D903" s="202"/>
      <c r="E903" s="202"/>
      <c r="F903" s="203"/>
      <c r="G903" s="204"/>
    </row>
    <row r="904" spans="1:7" x14ac:dyDescent="0.25">
      <c r="A904" s="102"/>
      <c r="B904" s="200"/>
      <c r="C904" s="201"/>
      <c r="D904" s="202"/>
      <c r="E904" s="202"/>
      <c r="F904" s="203"/>
      <c r="G904" s="204"/>
    </row>
    <row r="905" spans="1:7" x14ac:dyDescent="0.25">
      <c r="A905" s="102"/>
      <c r="B905" s="200"/>
      <c r="C905" s="201"/>
      <c r="D905" s="202"/>
      <c r="E905" s="202"/>
      <c r="F905" s="203"/>
      <c r="G905" s="204"/>
    </row>
    <row r="906" spans="1:7" x14ac:dyDescent="0.25">
      <c r="A906" s="102"/>
      <c r="B906" s="200"/>
      <c r="C906" s="201"/>
      <c r="D906" s="202"/>
      <c r="E906" s="202"/>
      <c r="F906" s="203"/>
      <c r="G906" s="204"/>
    </row>
    <row r="907" spans="1:7" x14ac:dyDescent="0.25">
      <c r="A907" s="102"/>
      <c r="B907" s="200"/>
      <c r="C907" s="201"/>
      <c r="D907" s="202"/>
      <c r="E907" s="202"/>
      <c r="F907" s="203"/>
      <c r="G907" s="204"/>
    </row>
    <row r="908" spans="1:7" x14ac:dyDescent="0.25">
      <c r="A908" s="102"/>
      <c r="B908" s="200"/>
      <c r="C908" s="201"/>
      <c r="D908" s="202"/>
      <c r="E908" s="202"/>
      <c r="F908" s="203"/>
      <c r="G908" s="204"/>
    </row>
    <row r="909" spans="1:7" x14ac:dyDescent="0.25">
      <c r="A909" s="102"/>
      <c r="B909" s="200"/>
      <c r="C909" s="201"/>
      <c r="D909" s="202"/>
      <c r="E909" s="202"/>
      <c r="F909" s="203"/>
      <c r="G909" s="204"/>
    </row>
    <row r="910" spans="1:7" x14ac:dyDescent="0.25">
      <c r="A910" s="102"/>
      <c r="B910" s="200"/>
      <c r="C910" s="201"/>
      <c r="D910" s="202"/>
      <c r="E910" s="202"/>
      <c r="F910" s="203"/>
      <c r="G910" s="204"/>
    </row>
    <row r="911" spans="1:7" x14ac:dyDescent="0.25">
      <c r="A911" s="102"/>
      <c r="B911" s="200"/>
      <c r="C911" s="201"/>
      <c r="D911" s="202"/>
      <c r="E911" s="202"/>
      <c r="F911" s="203"/>
      <c r="G911" s="204"/>
    </row>
    <row r="912" spans="1:7" x14ac:dyDescent="0.25">
      <c r="A912" s="102"/>
      <c r="B912" s="200"/>
      <c r="C912" s="201"/>
      <c r="D912" s="202"/>
      <c r="E912" s="202"/>
      <c r="F912" s="203"/>
      <c r="G912" s="204"/>
    </row>
    <row r="913" spans="1:7" x14ac:dyDescent="0.25">
      <c r="A913" s="102"/>
      <c r="B913" s="200"/>
      <c r="C913" s="201"/>
      <c r="D913" s="202"/>
      <c r="E913" s="202"/>
      <c r="F913" s="203"/>
      <c r="G913" s="204"/>
    </row>
    <row r="914" spans="1:7" x14ac:dyDescent="0.25">
      <c r="A914" s="102"/>
      <c r="B914" s="200"/>
      <c r="C914" s="201"/>
      <c r="D914" s="202"/>
      <c r="E914" s="202"/>
      <c r="F914" s="203"/>
      <c r="G914" s="204"/>
    </row>
    <row r="915" spans="1:7" x14ac:dyDescent="0.25">
      <c r="A915" s="102"/>
      <c r="B915" s="200"/>
      <c r="C915" s="201"/>
      <c r="D915" s="202"/>
      <c r="E915" s="202"/>
      <c r="F915" s="203"/>
      <c r="G915" s="204"/>
    </row>
    <row r="916" spans="1:7" x14ac:dyDescent="0.25">
      <c r="A916" s="102"/>
      <c r="B916" s="200"/>
      <c r="C916" s="201"/>
      <c r="D916" s="202"/>
      <c r="E916" s="202"/>
      <c r="F916" s="203"/>
      <c r="G916" s="204"/>
    </row>
    <row r="917" spans="1:7" x14ac:dyDescent="0.25">
      <c r="A917" s="102"/>
      <c r="B917" s="200"/>
      <c r="C917" s="201"/>
      <c r="D917" s="202"/>
      <c r="E917" s="202"/>
      <c r="F917" s="203"/>
      <c r="G917" s="204"/>
    </row>
    <row r="918" spans="1:7" x14ac:dyDescent="0.25">
      <c r="A918" s="102"/>
      <c r="B918" s="200"/>
      <c r="C918" s="201"/>
      <c r="D918" s="202"/>
      <c r="E918" s="202"/>
      <c r="F918" s="203"/>
      <c r="G918" s="204"/>
    </row>
    <row r="919" spans="1:7" x14ac:dyDescent="0.25">
      <c r="A919" s="102"/>
      <c r="B919" s="200"/>
      <c r="C919" s="201"/>
      <c r="D919" s="202"/>
      <c r="E919" s="202"/>
      <c r="F919" s="203"/>
      <c r="G919" s="204"/>
    </row>
    <row r="920" spans="1:7" x14ac:dyDescent="0.25">
      <c r="A920" s="102"/>
      <c r="B920" s="200"/>
      <c r="C920" s="201"/>
      <c r="D920" s="202"/>
      <c r="E920" s="202"/>
      <c r="F920" s="203"/>
      <c r="G920" s="204"/>
    </row>
    <row r="921" spans="1:7" x14ac:dyDescent="0.25">
      <c r="A921" s="102"/>
      <c r="B921" s="200"/>
      <c r="C921" s="201"/>
      <c r="D921" s="202"/>
      <c r="E921" s="202"/>
      <c r="F921" s="203"/>
      <c r="G921" s="204"/>
    </row>
    <row r="922" spans="1:7" x14ac:dyDescent="0.25">
      <c r="A922" s="102"/>
      <c r="B922" s="200"/>
      <c r="C922" s="201"/>
      <c r="D922" s="202"/>
      <c r="E922" s="202"/>
      <c r="F922" s="203"/>
      <c r="G922" s="204"/>
    </row>
    <row r="923" spans="1:7" x14ac:dyDescent="0.25">
      <c r="A923" s="102"/>
      <c r="B923" s="200"/>
      <c r="C923" s="201"/>
      <c r="D923" s="202"/>
      <c r="E923" s="202"/>
      <c r="F923" s="203"/>
      <c r="G923" s="204"/>
    </row>
    <row r="924" spans="1:7" x14ac:dyDescent="0.25">
      <c r="A924" s="102"/>
      <c r="B924" s="200"/>
      <c r="C924" s="201"/>
      <c r="D924" s="202"/>
      <c r="E924" s="202"/>
      <c r="F924" s="203"/>
      <c r="G924" s="204"/>
    </row>
    <row r="925" spans="1:7" x14ac:dyDescent="0.25">
      <c r="A925" s="102"/>
      <c r="B925" s="200"/>
      <c r="C925" s="201"/>
      <c r="D925" s="202"/>
      <c r="E925" s="202"/>
      <c r="F925" s="203"/>
      <c r="G925" s="204"/>
    </row>
    <row r="926" spans="1:7" x14ac:dyDescent="0.25">
      <c r="A926" s="102"/>
      <c r="B926" s="200"/>
      <c r="C926" s="201"/>
      <c r="D926" s="202"/>
      <c r="E926" s="202"/>
      <c r="F926" s="203"/>
      <c r="G926" s="204"/>
    </row>
    <row r="927" spans="1:7" x14ac:dyDescent="0.25">
      <c r="A927" s="102"/>
      <c r="B927" s="200"/>
      <c r="C927" s="201"/>
      <c r="D927" s="202"/>
      <c r="E927" s="202"/>
      <c r="F927" s="203"/>
      <c r="G927" s="204"/>
    </row>
    <row r="928" spans="1:7" x14ac:dyDescent="0.25">
      <c r="A928" s="102"/>
      <c r="B928" s="200"/>
      <c r="C928" s="201"/>
      <c r="D928" s="202"/>
      <c r="E928" s="202"/>
      <c r="F928" s="203"/>
      <c r="G928" s="204"/>
    </row>
    <row r="929" spans="1:7" x14ac:dyDescent="0.25">
      <c r="A929" s="102"/>
      <c r="B929" s="200"/>
      <c r="C929" s="201"/>
      <c r="D929" s="202"/>
      <c r="E929" s="202"/>
      <c r="F929" s="203"/>
      <c r="G929" s="204"/>
    </row>
    <row r="930" spans="1:7" x14ac:dyDescent="0.25">
      <c r="A930" s="102"/>
      <c r="B930" s="200"/>
      <c r="C930" s="201"/>
      <c r="D930" s="202"/>
      <c r="E930" s="202"/>
      <c r="F930" s="203"/>
      <c r="G930" s="204"/>
    </row>
    <row r="931" spans="1:7" x14ac:dyDescent="0.25">
      <c r="A931" s="102"/>
      <c r="B931" s="200"/>
      <c r="C931" s="201"/>
      <c r="D931" s="202"/>
      <c r="E931" s="202"/>
      <c r="F931" s="203"/>
      <c r="G931" s="204"/>
    </row>
    <row r="932" spans="1:7" x14ac:dyDescent="0.25">
      <c r="A932" s="102"/>
      <c r="B932" s="200"/>
      <c r="C932" s="201"/>
      <c r="D932" s="202"/>
      <c r="E932" s="202"/>
      <c r="F932" s="203"/>
      <c r="G932" s="204"/>
    </row>
    <row r="933" spans="1:7" x14ac:dyDescent="0.25">
      <c r="A933" s="102"/>
      <c r="B933" s="200"/>
      <c r="C933" s="201"/>
      <c r="D933" s="202"/>
      <c r="E933" s="202"/>
      <c r="F933" s="203"/>
      <c r="G933" s="204"/>
    </row>
    <row r="934" spans="1:7" x14ac:dyDescent="0.25">
      <c r="A934" s="102"/>
      <c r="B934" s="200"/>
      <c r="C934" s="201"/>
      <c r="D934" s="202"/>
      <c r="E934" s="202"/>
      <c r="F934" s="203"/>
      <c r="G934" s="204"/>
    </row>
    <row r="935" spans="1:7" x14ac:dyDescent="0.25">
      <c r="A935" s="102"/>
      <c r="B935" s="200"/>
      <c r="C935" s="201"/>
      <c r="D935" s="202"/>
      <c r="E935" s="202"/>
      <c r="F935" s="203"/>
      <c r="G935" s="204"/>
    </row>
    <row r="936" spans="1:7" x14ac:dyDescent="0.25">
      <c r="A936" s="102"/>
      <c r="B936" s="200"/>
      <c r="C936" s="201"/>
      <c r="D936" s="202"/>
      <c r="E936" s="202"/>
      <c r="F936" s="203"/>
      <c r="G936" s="204"/>
    </row>
    <row r="937" spans="1:7" x14ac:dyDescent="0.25">
      <c r="A937" s="102"/>
      <c r="B937" s="200"/>
      <c r="C937" s="201"/>
      <c r="D937" s="202"/>
      <c r="E937" s="202"/>
      <c r="F937" s="203"/>
      <c r="G937" s="204"/>
    </row>
    <row r="938" spans="1:7" x14ac:dyDescent="0.25">
      <c r="A938" s="102"/>
      <c r="B938" s="200"/>
      <c r="C938" s="201"/>
      <c r="D938" s="202"/>
      <c r="E938" s="202"/>
      <c r="F938" s="203"/>
      <c r="G938" s="204"/>
    </row>
    <row r="939" spans="1:7" x14ac:dyDescent="0.25">
      <c r="A939" s="102"/>
      <c r="B939" s="200"/>
      <c r="C939" s="201"/>
      <c r="D939" s="202"/>
      <c r="E939" s="202"/>
      <c r="F939" s="203"/>
      <c r="G939" s="204"/>
    </row>
    <row r="940" spans="1:7" x14ac:dyDescent="0.25">
      <c r="A940" s="102"/>
      <c r="B940" s="200"/>
      <c r="C940" s="201"/>
      <c r="D940" s="202"/>
      <c r="E940" s="202"/>
      <c r="F940" s="203"/>
      <c r="G940" s="204"/>
    </row>
    <row r="941" spans="1:7" x14ac:dyDescent="0.25">
      <c r="A941" s="102"/>
      <c r="B941" s="200"/>
      <c r="C941" s="201"/>
      <c r="D941" s="202"/>
      <c r="E941" s="202"/>
      <c r="F941" s="203"/>
      <c r="G941" s="204"/>
    </row>
    <row r="942" spans="1:7" x14ac:dyDescent="0.25">
      <c r="A942" s="102"/>
      <c r="B942" s="200"/>
      <c r="C942" s="201"/>
      <c r="D942" s="202"/>
      <c r="E942" s="202"/>
      <c r="F942" s="203"/>
      <c r="G942" s="204"/>
    </row>
    <row r="943" spans="1:7" x14ac:dyDescent="0.25">
      <c r="A943" s="102"/>
      <c r="B943" s="200"/>
      <c r="C943" s="201"/>
      <c r="D943" s="202"/>
      <c r="E943" s="202"/>
      <c r="F943" s="203"/>
      <c r="G943" s="204"/>
    </row>
    <row r="944" spans="1:7" x14ac:dyDescent="0.25">
      <c r="A944" s="102"/>
      <c r="B944" s="200"/>
      <c r="C944" s="201"/>
      <c r="D944" s="202"/>
      <c r="E944" s="202"/>
      <c r="F944" s="203"/>
      <c r="G944" s="204"/>
    </row>
    <row r="945" spans="1:7" x14ac:dyDescent="0.25">
      <c r="A945" s="102"/>
      <c r="B945" s="200"/>
      <c r="C945" s="201"/>
      <c r="D945" s="202"/>
      <c r="E945" s="202"/>
      <c r="F945" s="203"/>
      <c r="G945" s="204"/>
    </row>
    <row r="946" spans="1:7" x14ac:dyDescent="0.25">
      <c r="A946" s="102"/>
      <c r="B946" s="200"/>
      <c r="C946" s="201"/>
      <c r="D946" s="202"/>
      <c r="E946" s="202"/>
      <c r="F946" s="203"/>
      <c r="G946" s="204"/>
    </row>
    <row r="947" spans="1:7" x14ac:dyDescent="0.25">
      <c r="A947" s="102"/>
      <c r="B947" s="200"/>
      <c r="C947" s="201"/>
      <c r="D947" s="202"/>
      <c r="E947" s="202"/>
      <c r="F947" s="203"/>
      <c r="G947" s="204"/>
    </row>
    <row r="948" spans="1:7" x14ac:dyDescent="0.25">
      <c r="A948" s="102"/>
      <c r="B948" s="200"/>
      <c r="C948" s="201"/>
      <c r="D948" s="202"/>
      <c r="E948" s="202"/>
      <c r="F948" s="203"/>
      <c r="G948" s="204"/>
    </row>
    <row r="949" spans="1:7" x14ac:dyDescent="0.25">
      <c r="A949" s="102"/>
      <c r="B949" s="200"/>
      <c r="C949" s="201"/>
      <c r="D949" s="202"/>
      <c r="E949" s="202"/>
      <c r="F949" s="203"/>
      <c r="G949" s="204"/>
    </row>
    <row r="950" spans="1:7" x14ac:dyDescent="0.25">
      <c r="A950" s="102"/>
      <c r="B950" s="200"/>
      <c r="C950" s="201"/>
      <c r="D950" s="202"/>
      <c r="E950" s="202"/>
      <c r="F950" s="203"/>
      <c r="G950" s="204"/>
    </row>
    <row r="951" spans="1:7" x14ac:dyDescent="0.25">
      <c r="A951" s="102"/>
      <c r="B951" s="200"/>
      <c r="C951" s="201"/>
      <c r="D951" s="202"/>
      <c r="E951" s="202"/>
      <c r="F951" s="203"/>
      <c r="G951" s="204"/>
    </row>
    <row r="952" spans="1:7" x14ac:dyDescent="0.25">
      <c r="A952" s="102"/>
      <c r="B952" s="200"/>
      <c r="C952" s="201"/>
      <c r="D952" s="202"/>
      <c r="E952" s="202"/>
      <c r="F952" s="203"/>
      <c r="G952" s="204"/>
    </row>
    <row r="953" spans="1:7" x14ac:dyDescent="0.25">
      <c r="A953" s="102"/>
      <c r="B953" s="200"/>
      <c r="C953" s="201"/>
      <c r="D953" s="202"/>
      <c r="E953" s="202"/>
      <c r="F953" s="203"/>
      <c r="G953" s="204"/>
    </row>
    <row r="954" spans="1:7" x14ac:dyDescent="0.25">
      <c r="A954" s="102"/>
      <c r="B954" s="200"/>
      <c r="C954" s="201"/>
      <c r="D954" s="202"/>
      <c r="E954" s="202"/>
      <c r="F954" s="203"/>
      <c r="G954" s="204"/>
    </row>
    <row r="955" spans="1:7" x14ac:dyDescent="0.25">
      <c r="A955" s="102"/>
      <c r="B955" s="200"/>
      <c r="C955" s="201"/>
      <c r="D955" s="202"/>
      <c r="E955" s="202"/>
      <c r="F955" s="203"/>
      <c r="G955" s="204"/>
    </row>
    <row r="956" spans="1:7" x14ac:dyDescent="0.25">
      <c r="A956" s="102"/>
      <c r="B956" s="200"/>
      <c r="C956" s="201"/>
      <c r="D956" s="202"/>
      <c r="E956" s="202"/>
      <c r="F956" s="203"/>
      <c r="G956" s="204"/>
    </row>
    <row r="957" spans="1:7" x14ac:dyDescent="0.25">
      <c r="A957" s="102"/>
      <c r="B957" s="200"/>
      <c r="C957" s="201"/>
      <c r="D957" s="202"/>
      <c r="E957" s="202"/>
      <c r="F957" s="203"/>
      <c r="G957" s="204"/>
    </row>
    <row r="958" spans="1:7" x14ac:dyDescent="0.25">
      <c r="A958" s="102"/>
      <c r="B958" s="200"/>
      <c r="C958" s="201"/>
      <c r="D958" s="202"/>
      <c r="E958" s="202"/>
      <c r="F958" s="203"/>
      <c r="G958" s="204"/>
    </row>
    <row r="959" spans="1:7" x14ac:dyDescent="0.25">
      <c r="A959" s="102"/>
      <c r="B959" s="200"/>
      <c r="C959" s="201"/>
      <c r="D959" s="202"/>
      <c r="E959" s="202"/>
      <c r="F959" s="203"/>
      <c r="G959" s="204"/>
    </row>
    <row r="960" spans="1:7" x14ac:dyDescent="0.25">
      <c r="A960" s="102"/>
      <c r="B960" s="200"/>
      <c r="C960" s="201"/>
      <c r="D960" s="202"/>
      <c r="E960" s="202"/>
      <c r="F960" s="203"/>
      <c r="G960" s="204"/>
    </row>
    <row r="961" spans="1:7" x14ac:dyDescent="0.25">
      <c r="A961" s="102"/>
      <c r="B961" s="200"/>
      <c r="C961" s="201"/>
      <c r="D961" s="202"/>
      <c r="E961" s="202"/>
      <c r="F961" s="203"/>
      <c r="G961" s="204"/>
    </row>
    <row r="962" spans="1:7" x14ac:dyDescent="0.25">
      <c r="A962" s="102"/>
      <c r="B962" s="200"/>
      <c r="C962" s="201"/>
      <c r="D962" s="202"/>
      <c r="E962" s="202"/>
      <c r="F962" s="203"/>
      <c r="G962" s="204"/>
    </row>
    <row r="963" spans="1:7" x14ac:dyDescent="0.25">
      <c r="A963" s="102"/>
      <c r="B963" s="200"/>
      <c r="C963" s="201"/>
      <c r="D963" s="202"/>
      <c r="E963" s="202"/>
      <c r="F963" s="203"/>
      <c r="G963" s="204"/>
    </row>
    <row r="964" spans="1:7" x14ac:dyDescent="0.25">
      <c r="A964" s="102"/>
      <c r="B964" s="200"/>
      <c r="C964" s="201"/>
      <c r="D964" s="202"/>
      <c r="E964" s="202"/>
      <c r="F964" s="203"/>
      <c r="G964" s="204"/>
    </row>
    <row r="965" spans="1:7" x14ac:dyDescent="0.25">
      <c r="A965" s="102"/>
      <c r="B965" s="200"/>
      <c r="C965" s="201"/>
      <c r="D965" s="202"/>
      <c r="E965" s="202"/>
      <c r="F965" s="203"/>
      <c r="G965" s="204"/>
    </row>
    <row r="966" spans="1:7" x14ac:dyDescent="0.25">
      <c r="A966" s="102"/>
      <c r="B966" s="200"/>
      <c r="C966" s="201"/>
      <c r="D966" s="202"/>
      <c r="E966" s="202"/>
      <c r="F966" s="203"/>
      <c r="G966" s="204"/>
    </row>
    <row r="967" spans="1:7" x14ac:dyDescent="0.25">
      <c r="A967" s="102"/>
      <c r="B967" s="200"/>
      <c r="C967" s="201"/>
      <c r="D967" s="202"/>
      <c r="E967" s="202"/>
      <c r="F967" s="203"/>
      <c r="G967" s="204"/>
    </row>
    <row r="968" spans="1:7" x14ac:dyDescent="0.25">
      <c r="A968" s="102"/>
      <c r="B968" s="200"/>
      <c r="C968" s="201"/>
      <c r="D968" s="202"/>
      <c r="E968" s="202"/>
      <c r="F968" s="203"/>
      <c r="G968" s="204"/>
    </row>
    <row r="969" spans="1:7" x14ac:dyDescent="0.25">
      <c r="A969" s="102"/>
      <c r="B969" s="200"/>
      <c r="C969" s="201"/>
      <c r="D969" s="202"/>
      <c r="E969" s="202"/>
      <c r="F969" s="203"/>
      <c r="G969" s="204"/>
    </row>
    <row r="970" spans="1:7" x14ac:dyDescent="0.25">
      <c r="A970" s="102"/>
      <c r="B970" s="200"/>
      <c r="C970" s="201"/>
      <c r="D970" s="202"/>
      <c r="E970" s="202"/>
      <c r="F970" s="203"/>
      <c r="G970" s="204"/>
    </row>
    <row r="971" spans="1:7" x14ac:dyDescent="0.25">
      <c r="A971" s="102"/>
      <c r="B971" s="200"/>
      <c r="C971" s="201"/>
      <c r="D971" s="202"/>
      <c r="E971" s="202"/>
      <c r="F971" s="203"/>
      <c r="G971" s="204"/>
    </row>
    <row r="972" spans="1:7" x14ac:dyDescent="0.25">
      <c r="A972" s="102"/>
      <c r="B972" s="200"/>
      <c r="C972" s="201"/>
      <c r="D972" s="202"/>
      <c r="E972" s="202"/>
      <c r="F972" s="203"/>
      <c r="G972" s="204"/>
    </row>
    <row r="973" spans="1:7" x14ac:dyDescent="0.25">
      <c r="A973" s="102"/>
      <c r="B973" s="200"/>
      <c r="C973" s="201"/>
      <c r="D973" s="202"/>
      <c r="E973" s="202"/>
      <c r="F973" s="203"/>
      <c r="G973" s="204"/>
    </row>
    <row r="974" spans="1:7" x14ac:dyDescent="0.25">
      <c r="A974" s="102"/>
      <c r="B974" s="200"/>
      <c r="C974" s="201"/>
      <c r="D974" s="202"/>
      <c r="E974" s="202"/>
      <c r="F974" s="203"/>
      <c r="G974" s="204"/>
    </row>
    <row r="975" spans="1:7" x14ac:dyDescent="0.25">
      <c r="A975" s="102"/>
      <c r="B975" s="200"/>
      <c r="C975" s="201"/>
      <c r="D975" s="202"/>
      <c r="E975" s="202"/>
      <c r="F975" s="203"/>
      <c r="G975" s="204"/>
    </row>
    <row r="976" spans="1:7" x14ac:dyDescent="0.25">
      <c r="A976" s="102"/>
      <c r="B976" s="200"/>
      <c r="C976" s="201"/>
      <c r="D976" s="202"/>
      <c r="E976" s="202"/>
      <c r="F976" s="203"/>
      <c r="G976" s="204"/>
    </row>
    <row r="977" spans="1:7" x14ac:dyDescent="0.25">
      <c r="A977" s="102"/>
      <c r="B977" s="200"/>
      <c r="C977" s="201"/>
      <c r="D977" s="202"/>
      <c r="E977" s="202"/>
      <c r="F977" s="203"/>
      <c r="G977" s="204"/>
    </row>
    <row r="978" spans="1:7" x14ac:dyDescent="0.25">
      <c r="A978" s="102"/>
      <c r="B978" s="200"/>
      <c r="C978" s="201"/>
      <c r="D978" s="202"/>
      <c r="E978" s="202"/>
      <c r="F978" s="203"/>
      <c r="G978" s="204"/>
    </row>
    <row r="979" spans="1:7" x14ac:dyDescent="0.25">
      <c r="A979" s="102"/>
      <c r="B979" s="200"/>
      <c r="C979" s="201"/>
      <c r="D979" s="202"/>
      <c r="E979" s="202"/>
      <c r="F979" s="203"/>
      <c r="G979" s="204"/>
    </row>
    <row r="980" spans="1:7" x14ac:dyDescent="0.25">
      <c r="A980" s="102"/>
      <c r="B980" s="200"/>
      <c r="C980" s="201"/>
      <c r="D980" s="202"/>
      <c r="E980" s="202"/>
      <c r="F980" s="203"/>
      <c r="G980" s="204"/>
    </row>
    <row r="981" spans="1:7" x14ac:dyDescent="0.25">
      <c r="A981" s="102"/>
      <c r="B981" s="200"/>
      <c r="C981" s="201"/>
      <c r="D981" s="202"/>
      <c r="E981" s="202"/>
      <c r="F981" s="203"/>
      <c r="G981" s="204"/>
    </row>
    <row r="982" spans="1:7" x14ac:dyDescent="0.25">
      <c r="A982" s="102"/>
      <c r="B982" s="200"/>
      <c r="C982" s="201"/>
      <c r="D982" s="202"/>
      <c r="E982" s="202"/>
      <c r="F982" s="203"/>
      <c r="G982" s="204"/>
    </row>
    <row r="983" spans="1:7" x14ac:dyDescent="0.25">
      <c r="A983" s="102"/>
      <c r="B983" s="200"/>
      <c r="C983" s="201"/>
      <c r="D983" s="202"/>
      <c r="E983" s="202"/>
      <c r="F983" s="203"/>
      <c r="G983" s="204"/>
    </row>
  </sheetData>
  <autoFilter ref="A5:G254">
    <filterColumn colId="2">
      <filters>
        <filter val="2024"/>
      </filters>
    </filterColumn>
    <sortState ref="A6:G218">
      <sortCondition ref="B5"/>
    </sortState>
  </autoFilter>
  <mergeCells count="8">
    <mergeCell ref="N9:N10"/>
    <mergeCell ref="O9:Q9"/>
    <mergeCell ref="A1:F1"/>
    <mergeCell ref="A2:F2"/>
    <mergeCell ref="I5:I7"/>
    <mergeCell ref="J5:L5"/>
    <mergeCell ref="N5:N6"/>
    <mergeCell ref="O5:Q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1"/>
  <sheetViews>
    <sheetView topLeftCell="E5" zoomScale="110" zoomScaleNormal="110" workbookViewId="0">
      <selection activeCell="N17" sqref="N17"/>
    </sheetView>
  </sheetViews>
  <sheetFormatPr defaultRowHeight="15" x14ac:dyDescent="0.25"/>
  <cols>
    <col min="1" max="1" width="7" customWidth="1"/>
    <col min="2" max="2" width="11.28515625" customWidth="1"/>
    <col min="3" max="3" width="8.42578125" customWidth="1"/>
    <col min="4" max="4" width="13.28515625" customWidth="1"/>
    <col min="5" max="5" width="29.140625" customWidth="1"/>
    <col min="6" max="6" width="7.5703125" customWidth="1"/>
    <col min="7" max="7" width="11.7109375" customWidth="1"/>
    <col min="9" max="9" width="15.5703125" customWidth="1"/>
    <col min="10" max="10" width="17.7109375" customWidth="1"/>
    <col min="11" max="11" width="18.5703125" customWidth="1"/>
    <col min="12" max="12" width="18.85546875" customWidth="1"/>
    <col min="13" max="13" width="7.5703125" customWidth="1"/>
    <col min="14" max="14" width="21" customWidth="1"/>
    <col min="15" max="15" width="16.28515625" customWidth="1"/>
    <col min="16" max="16" width="14.5703125" customWidth="1"/>
    <col min="17" max="17" width="14.85546875" customWidth="1"/>
    <col min="18" max="18" width="11.42578125" customWidth="1"/>
    <col min="19" max="19" width="21" bestFit="1" customWidth="1"/>
    <col min="20" max="20" width="16.28515625" bestFit="1" customWidth="1"/>
    <col min="21" max="22" width="5.140625" bestFit="1" customWidth="1"/>
    <col min="23" max="23" width="11.42578125" bestFit="1" customWidth="1"/>
  </cols>
  <sheetData>
    <row r="1" spans="1:18" ht="15.75" x14ac:dyDescent="0.25">
      <c r="A1" s="94" t="s">
        <v>1712</v>
      </c>
      <c r="B1" s="94"/>
      <c r="C1" s="94"/>
      <c r="D1" s="94"/>
      <c r="E1" s="94"/>
      <c r="F1" s="94"/>
    </row>
    <row r="2" spans="1:18" x14ac:dyDescent="0.25">
      <c r="A2" s="98" t="s">
        <v>1688</v>
      </c>
      <c r="B2" s="98"/>
      <c r="C2" s="98"/>
      <c r="D2" s="98"/>
      <c r="E2" s="98"/>
      <c r="F2" s="98"/>
    </row>
    <row r="4" spans="1:18" x14ac:dyDescent="0.25">
      <c r="A4" s="46"/>
    </row>
    <row r="5" spans="1:18" ht="30" x14ac:dyDescent="0.25">
      <c r="A5" s="106" t="s">
        <v>0</v>
      </c>
      <c r="B5" s="107" t="s">
        <v>2</v>
      </c>
      <c r="C5" s="107" t="s">
        <v>751</v>
      </c>
      <c r="D5" s="106" t="s">
        <v>4</v>
      </c>
      <c r="E5" s="106" t="s">
        <v>5</v>
      </c>
      <c r="F5" s="106" t="s">
        <v>752</v>
      </c>
      <c r="G5" s="109" t="s">
        <v>754</v>
      </c>
      <c r="I5" s="176" t="s">
        <v>1689</v>
      </c>
      <c r="J5" s="205" t="s">
        <v>757</v>
      </c>
      <c r="K5" s="205"/>
      <c r="L5" s="205"/>
      <c r="N5" s="176" t="s">
        <v>1690</v>
      </c>
      <c r="O5" s="205" t="s">
        <v>757</v>
      </c>
      <c r="P5" s="205"/>
      <c r="Q5" s="205"/>
    </row>
    <row r="6" spans="1:18" x14ac:dyDescent="0.25">
      <c r="A6" s="197">
        <v>1</v>
      </c>
      <c r="B6" s="116">
        <v>45471</v>
      </c>
      <c r="C6" s="117">
        <v>2024</v>
      </c>
      <c r="D6" s="118" t="s">
        <v>1118</v>
      </c>
      <c r="E6" s="119" t="s">
        <v>692</v>
      </c>
      <c r="F6" s="120">
        <v>80</v>
      </c>
      <c r="G6" s="121">
        <v>30991000</v>
      </c>
      <c r="I6" s="182"/>
      <c r="J6" s="183">
        <v>2024</v>
      </c>
      <c r="K6" s="183">
        <v>2025</v>
      </c>
      <c r="L6" s="183">
        <v>2026</v>
      </c>
      <c r="N6" s="184"/>
      <c r="O6" s="183">
        <v>2024</v>
      </c>
      <c r="P6" s="183">
        <v>2025</v>
      </c>
      <c r="Q6" s="183">
        <v>2026</v>
      </c>
    </row>
    <row r="7" spans="1:18" x14ac:dyDescent="0.25">
      <c r="A7" s="197">
        <v>2</v>
      </c>
      <c r="B7" s="116">
        <v>45513</v>
      </c>
      <c r="C7" s="117">
        <v>2024</v>
      </c>
      <c r="D7" s="118" t="s">
        <v>1118</v>
      </c>
      <c r="E7" s="119" t="s">
        <v>855</v>
      </c>
      <c r="F7" s="120">
        <v>1</v>
      </c>
      <c r="G7" s="121">
        <v>114090</v>
      </c>
      <c r="I7" s="184"/>
      <c r="J7" s="134">
        <v>35130632</v>
      </c>
      <c r="K7" s="128">
        <v>3602810</v>
      </c>
      <c r="L7" s="128">
        <v>7670000</v>
      </c>
      <c r="N7" s="18" t="s">
        <v>692</v>
      </c>
      <c r="O7" s="208">
        <v>30991000</v>
      </c>
      <c r="P7" s="209"/>
      <c r="Q7" s="209">
        <v>4600000</v>
      </c>
    </row>
    <row r="8" spans="1:18" x14ac:dyDescent="0.25">
      <c r="A8" s="197">
        <v>3</v>
      </c>
      <c r="B8" s="116">
        <v>45513</v>
      </c>
      <c r="C8" s="117">
        <v>2024</v>
      </c>
      <c r="D8" s="118" t="s">
        <v>1118</v>
      </c>
      <c r="E8" s="119" t="s">
        <v>855</v>
      </c>
      <c r="F8" s="120">
        <v>1</v>
      </c>
      <c r="G8" s="121">
        <v>68400</v>
      </c>
      <c r="I8" s="163"/>
      <c r="J8" s="198"/>
      <c r="K8" s="198"/>
      <c r="L8" s="198"/>
      <c r="N8" s="18" t="s">
        <v>767</v>
      </c>
      <c r="O8" s="134"/>
      <c r="P8" s="134">
        <v>762144</v>
      </c>
      <c r="Q8" s="134"/>
      <c r="R8" s="210"/>
    </row>
    <row r="9" spans="1:18" x14ac:dyDescent="0.25">
      <c r="A9" s="197">
        <v>4</v>
      </c>
      <c r="B9" s="116">
        <v>45530</v>
      </c>
      <c r="C9" s="117">
        <v>2024</v>
      </c>
      <c r="D9" s="118" t="s">
        <v>1118</v>
      </c>
      <c r="E9" s="119" t="s">
        <v>855</v>
      </c>
      <c r="F9" s="120">
        <v>1</v>
      </c>
      <c r="G9" s="121">
        <v>117992</v>
      </c>
      <c r="J9" s="163"/>
    </row>
    <row r="10" spans="1:18" x14ac:dyDescent="0.25">
      <c r="A10" s="197">
        <v>5</v>
      </c>
      <c r="B10" s="116">
        <v>45530</v>
      </c>
      <c r="C10" s="117">
        <v>2024</v>
      </c>
      <c r="D10" s="118" t="s">
        <v>1118</v>
      </c>
      <c r="E10" s="119" t="s">
        <v>855</v>
      </c>
      <c r="F10" s="120">
        <v>1</v>
      </c>
      <c r="G10" s="121">
        <v>71700</v>
      </c>
      <c r="N10" s="176" t="s">
        <v>1690</v>
      </c>
      <c r="O10" s="205" t="s">
        <v>1691</v>
      </c>
      <c r="P10" s="205"/>
      <c r="Q10" s="205"/>
    </row>
    <row r="11" spans="1:18" x14ac:dyDescent="0.25">
      <c r="A11" s="197">
        <v>6</v>
      </c>
      <c r="B11" s="116">
        <v>45589</v>
      </c>
      <c r="C11" s="117">
        <v>2024</v>
      </c>
      <c r="D11" s="118" t="s">
        <v>1118</v>
      </c>
      <c r="E11" s="119" t="s">
        <v>1200</v>
      </c>
      <c r="F11" s="120">
        <v>104</v>
      </c>
      <c r="G11" s="121">
        <v>1664000</v>
      </c>
      <c r="N11" s="184"/>
      <c r="O11" s="183">
        <v>2024</v>
      </c>
      <c r="P11" s="183">
        <v>2025</v>
      </c>
      <c r="Q11" s="183">
        <v>2026</v>
      </c>
      <c r="R11" s="210"/>
    </row>
    <row r="12" spans="1:18" x14ac:dyDescent="0.25">
      <c r="A12" s="197">
        <v>7</v>
      </c>
      <c r="B12" s="116">
        <v>45589</v>
      </c>
      <c r="C12" s="117">
        <v>2024</v>
      </c>
      <c r="D12" s="118" t="s">
        <v>1118</v>
      </c>
      <c r="E12" s="119" t="s">
        <v>1200</v>
      </c>
      <c r="F12" s="120">
        <v>104</v>
      </c>
      <c r="G12" s="121">
        <v>1664000</v>
      </c>
      <c r="N12" s="18" t="s">
        <v>1200</v>
      </c>
      <c r="O12" s="208" t="s">
        <v>1713</v>
      </c>
      <c r="P12" s="209"/>
      <c r="Q12" s="209"/>
    </row>
    <row r="13" spans="1:18" x14ac:dyDescent="0.25">
      <c r="A13" s="197">
        <v>8</v>
      </c>
      <c r="B13" s="116">
        <v>45590</v>
      </c>
      <c r="C13" s="117">
        <v>2024</v>
      </c>
      <c r="D13" s="118" t="s">
        <v>1118</v>
      </c>
      <c r="E13" s="119" t="s">
        <v>576</v>
      </c>
      <c r="F13" s="120">
        <v>1</v>
      </c>
      <c r="G13" s="121">
        <v>49862.5</v>
      </c>
      <c r="N13" s="18" t="s">
        <v>1714</v>
      </c>
      <c r="O13" s="134"/>
      <c r="P13" s="134" t="s">
        <v>1715</v>
      </c>
      <c r="Q13" s="134"/>
    </row>
    <row r="14" spans="1:18" x14ac:dyDescent="0.25">
      <c r="A14" s="197">
        <v>9</v>
      </c>
      <c r="B14" s="116">
        <v>45590</v>
      </c>
      <c r="C14" s="117">
        <v>2024</v>
      </c>
      <c r="D14" s="118" t="s">
        <v>1118</v>
      </c>
      <c r="E14" s="119" t="s">
        <v>576</v>
      </c>
      <c r="F14" s="120">
        <v>1</v>
      </c>
      <c r="G14" s="121">
        <v>49862.5</v>
      </c>
      <c r="N14" s="18" t="s">
        <v>692</v>
      </c>
      <c r="O14" s="5"/>
      <c r="P14" s="5"/>
      <c r="Q14" s="5" t="s">
        <v>1716</v>
      </c>
    </row>
    <row r="15" spans="1:18" x14ac:dyDescent="0.25">
      <c r="A15" s="197">
        <v>10</v>
      </c>
      <c r="B15" s="116">
        <v>45590</v>
      </c>
      <c r="C15" s="117">
        <v>2024</v>
      </c>
      <c r="D15" s="118" t="s">
        <v>1118</v>
      </c>
      <c r="E15" s="119" t="s">
        <v>576</v>
      </c>
      <c r="F15" s="120">
        <v>1</v>
      </c>
      <c r="G15" s="121">
        <v>49862.5</v>
      </c>
      <c r="N15" s="163"/>
    </row>
    <row r="16" spans="1:18" x14ac:dyDescent="0.25">
      <c r="A16" s="197">
        <v>11</v>
      </c>
      <c r="B16" s="116">
        <v>45590</v>
      </c>
      <c r="C16" s="117">
        <v>2024</v>
      </c>
      <c r="D16" s="118" t="s">
        <v>1118</v>
      </c>
      <c r="E16" s="119" t="s">
        <v>576</v>
      </c>
      <c r="F16" s="120">
        <v>1</v>
      </c>
      <c r="G16" s="121">
        <v>49862.5</v>
      </c>
      <c r="N16" s="163"/>
    </row>
    <row r="17" spans="1:14" x14ac:dyDescent="0.25">
      <c r="A17" s="197">
        <v>12</v>
      </c>
      <c r="B17" s="116">
        <v>45668</v>
      </c>
      <c r="C17" s="117">
        <v>2025</v>
      </c>
      <c r="D17" s="118" t="s">
        <v>1118</v>
      </c>
      <c r="E17" s="119" t="s">
        <v>1321</v>
      </c>
      <c r="F17" s="120">
        <v>3</v>
      </c>
      <c r="G17" s="121">
        <v>149718</v>
      </c>
      <c r="N17" s="163"/>
    </row>
    <row r="18" spans="1:14" x14ac:dyDescent="0.25">
      <c r="A18" s="197">
        <v>13</v>
      </c>
      <c r="B18" s="116">
        <v>45687</v>
      </c>
      <c r="C18" s="117">
        <v>2025</v>
      </c>
      <c r="D18" s="118" t="s">
        <v>1118</v>
      </c>
      <c r="E18" s="119" t="s">
        <v>1344</v>
      </c>
      <c r="F18" s="120">
        <v>1</v>
      </c>
      <c r="G18" s="121">
        <v>27000</v>
      </c>
      <c r="N18" s="163"/>
    </row>
    <row r="19" spans="1:14" x14ac:dyDescent="0.25">
      <c r="A19" s="197">
        <v>14</v>
      </c>
      <c r="B19" s="116">
        <v>45702</v>
      </c>
      <c r="C19" s="117">
        <v>2025</v>
      </c>
      <c r="D19" s="118" t="s">
        <v>1118</v>
      </c>
      <c r="E19" s="119" t="s">
        <v>767</v>
      </c>
      <c r="F19" s="120">
        <v>12</v>
      </c>
      <c r="G19" s="121">
        <v>762144</v>
      </c>
      <c r="N19" s="163"/>
    </row>
    <row r="20" spans="1:14" x14ac:dyDescent="0.25">
      <c r="A20" s="197">
        <v>15</v>
      </c>
      <c r="B20" s="116">
        <v>45784</v>
      </c>
      <c r="C20" s="117">
        <v>2025</v>
      </c>
      <c r="D20" s="118" t="s">
        <v>1118</v>
      </c>
      <c r="E20" s="119" t="s">
        <v>1406</v>
      </c>
      <c r="F20" s="120">
        <v>2</v>
      </c>
      <c r="G20" s="121">
        <v>20900</v>
      </c>
      <c r="N20" s="163"/>
    </row>
    <row r="21" spans="1:14" x14ac:dyDescent="0.25">
      <c r="A21" s="197">
        <v>16</v>
      </c>
      <c r="B21" s="116">
        <v>45839</v>
      </c>
      <c r="C21" s="117">
        <v>2025</v>
      </c>
      <c r="D21" s="118" t="s">
        <v>1118</v>
      </c>
      <c r="E21" s="119" t="s">
        <v>1456</v>
      </c>
      <c r="F21" s="120">
        <v>6</v>
      </c>
      <c r="G21" s="121">
        <v>127002</v>
      </c>
      <c r="N21" s="163"/>
    </row>
    <row r="22" spans="1:14" x14ac:dyDescent="0.25">
      <c r="A22" s="197">
        <v>17</v>
      </c>
      <c r="B22" s="116">
        <v>45868</v>
      </c>
      <c r="C22" s="117">
        <v>2025</v>
      </c>
      <c r="D22" s="118" t="s">
        <v>1118</v>
      </c>
      <c r="E22" s="119" t="s">
        <v>1499</v>
      </c>
      <c r="F22" s="120">
        <v>1</v>
      </c>
      <c r="G22" s="121">
        <v>30400</v>
      </c>
      <c r="N22" s="163"/>
    </row>
    <row r="23" spans="1:14" x14ac:dyDescent="0.25">
      <c r="A23" s="197">
        <v>18</v>
      </c>
      <c r="B23" s="116">
        <v>45868</v>
      </c>
      <c r="C23" s="117">
        <v>2025</v>
      </c>
      <c r="D23" s="118" t="s">
        <v>1118</v>
      </c>
      <c r="E23" s="119" t="s">
        <v>1344</v>
      </c>
      <c r="F23" s="120">
        <v>2</v>
      </c>
      <c r="G23" s="121">
        <v>51500</v>
      </c>
      <c r="N23" s="163"/>
    </row>
    <row r="24" spans="1:14" x14ac:dyDescent="0.25">
      <c r="A24" s="197">
        <v>19</v>
      </c>
      <c r="B24" s="116">
        <v>45875</v>
      </c>
      <c r="C24" s="117">
        <v>2025</v>
      </c>
      <c r="D24" s="118" t="s">
        <v>1118</v>
      </c>
      <c r="E24" s="119" t="s">
        <v>1505</v>
      </c>
      <c r="F24" s="120">
        <v>4</v>
      </c>
      <c r="G24" s="121">
        <v>180000</v>
      </c>
      <c r="N24" s="163"/>
    </row>
    <row r="25" spans="1:14" x14ac:dyDescent="0.25">
      <c r="A25" s="197">
        <v>20</v>
      </c>
      <c r="B25" s="116">
        <v>45876</v>
      </c>
      <c r="C25" s="117">
        <v>2025</v>
      </c>
      <c r="D25" s="118" t="s">
        <v>1118</v>
      </c>
      <c r="E25" s="119" t="s">
        <v>1356</v>
      </c>
      <c r="F25" s="120">
        <v>3</v>
      </c>
      <c r="G25" s="121">
        <v>10902</v>
      </c>
      <c r="J25" s="210"/>
      <c r="K25" s="210"/>
      <c r="L25" s="210"/>
      <c r="M25" s="210"/>
      <c r="N25" s="163"/>
    </row>
    <row r="26" spans="1:14" x14ac:dyDescent="0.25">
      <c r="A26" s="197">
        <v>21</v>
      </c>
      <c r="B26" s="116">
        <v>45876</v>
      </c>
      <c r="C26" s="117">
        <v>2025</v>
      </c>
      <c r="D26" s="118" t="s">
        <v>1118</v>
      </c>
      <c r="E26" s="119" t="s">
        <v>1356</v>
      </c>
      <c r="F26" s="120">
        <v>3</v>
      </c>
      <c r="G26" s="121">
        <v>4902</v>
      </c>
      <c r="I26" s="163"/>
      <c r="J26" s="198"/>
      <c r="K26" s="198"/>
      <c r="L26" s="198"/>
      <c r="M26" s="198"/>
      <c r="N26" s="163"/>
    </row>
    <row r="27" spans="1:14" x14ac:dyDescent="0.25">
      <c r="A27" s="197">
        <v>22</v>
      </c>
      <c r="B27" s="116">
        <v>45882</v>
      </c>
      <c r="C27" s="117">
        <v>2025</v>
      </c>
      <c r="D27" s="118" t="s">
        <v>1118</v>
      </c>
      <c r="E27" s="119" t="s">
        <v>576</v>
      </c>
      <c r="F27" s="120">
        <v>1</v>
      </c>
      <c r="G27" s="121">
        <v>52179</v>
      </c>
      <c r="I27" s="163"/>
      <c r="J27" s="198"/>
      <c r="K27" s="198"/>
      <c r="L27" s="198"/>
      <c r="M27" s="198"/>
      <c r="N27" s="163"/>
    </row>
    <row r="28" spans="1:14" x14ac:dyDescent="0.25">
      <c r="A28" s="197">
        <v>23</v>
      </c>
      <c r="B28" s="116">
        <v>45887</v>
      </c>
      <c r="C28" s="117">
        <v>2025</v>
      </c>
      <c r="D28" s="118" t="s">
        <v>1118</v>
      </c>
      <c r="E28" s="119" t="s">
        <v>589</v>
      </c>
      <c r="F28" s="120">
        <v>25</v>
      </c>
      <c r="G28" s="121">
        <v>40000</v>
      </c>
      <c r="I28" s="163"/>
      <c r="J28" s="198"/>
      <c r="K28" s="198"/>
      <c r="L28" s="198"/>
      <c r="M28" s="198"/>
      <c r="N28" s="163"/>
    </row>
    <row r="29" spans="1:14" x14ac:dyDescent="0.25">
      <c r="A29" s="197">
        <v>24</v>
      </c>
      <c r="B29" s="116">
        <v>45895</v>
      </c>
      <c r="C29" s="117">
        <v>2025</v>
      </c>
      <c r="D29" s="118" t="s">
        <v>1118</v>
      </c>
      <c r="E29" s="119" t="s">
        <v>576</v>
      </c>
      <c r="F29" s="120">
        <v>1</v>
      </c>
      <c r="G29" s="121">
        <v>49276</v>
      </c>
      <c r="I29" s="163"/>
      <c r="J29" s="198"/>
      <c r="K29" s="198"/>
      <c r="L29" s="198"/>
      <c r="M29" s="198"/>
      <c r="N29" s="163"/>
    </row>
    <row r="30" spans="1:14" x14ac:dyDescent="0.25">
      <c r="A30" s="197">
        <v>25</v>
      </c>
      <c r="B30" s="116">
        <v>45901</v>
      </c>
      <c r="C30" s="117">
        <v>2025</v>
      </c>
      <c r="D30" s="118" t="s">
        <v>1118</v>
      </c>
      <c r="E30" s="119" t="s">
        <v>1518</v>
      </c>
      <c r="F30" s="120">
        <v>6</v>
      </c>
      <c r="G30" s="121">
        <v>695004</v>
      </c>
      <c r="I30" s="163"/>
      <c r="J30" s="198"/>
      <c r="K30" s="198"/>
      <c r="L30" s="198"/>
      <c r="M30" s="198"/>
      <c r="N30" s="163"/>
    </row>
    <row r="31" spans="1:14" x14ac:dyDescent="0.25">
      <c r="A31" s="197">
        <v>26</v>
      </c>
      <c r="B31" s="116">
        <v>45912</v>
      </c>
      <c r="C31" s="117">
        <v>2025</v>
      </c>
      <c r="D31" s="118" t="s">
        <v>1118</v>
      </c>
      <c r="E31" s="119" t="s">
        <v>576</v>
      </c>
      <c r="F31" s="120">
        <v>1</v>
      </c>
      <c r="G31" s="121">
        <v>52179</v>
      </c>
      <c r="I31" s="163"/>
      <c r="J31" s="198"/>
      <c r="K31" s="198"/>
      <c r="L31" s="198"/>
      <c r="M31" s="198"/>
      <c r="N31" s="163"/>
    </row>
    <row r="32" spans="1:14" x14ac:dyDescent="0.25">
      <c r="A32" s="197">
        <v>27</v>
      </c>
      <c r="B32" s="116">
        <v>45948</v>
      </c>
      <c r="C32" s="117">
        <v>2025</v>
      </c>
      <c r="D32" s="118" t="s">
        <v>1118</v>
      </c>
      <c r="E32" s="119" t="s">
        <v>535</v>
      </c>
      <c r="F32" s="120">
        <v>60</v>
      </c>
      <c r="G32" s="121">
        <v>68700</v>
      </c>
      <c r="I32" s="163"/>
      <c r="J32" s="198"/>
      <c r="K32" s="198"/>
      <c r="L32" s="198"/>
      <c r="M32" s="198"/>
    </row>
    <row r="33" spans="1:13" x14ac:dyDescent="0.25">
      <c r="A33" s="197">
        <v>28</v>
      </c>
      <c r="B33" s="116">
        <v>45999</v>
      </c>
      <c r="C33" s="117">
        <v>2025</v>
      </c>
      <c r="D33" s="118" t="s">
        <v>1118</v>
      </c>
      <c r="E33" s="119" t="s">
        <v>28</v>
      </c>
      <c r="F33" s="120">
        <v>1</v>
      </c>
      <c r="G33" s="121">
        <v>700000</v>
      </c>
      <c r="I33" s="163"/>
      <c r="J33" s="198"/>
      <c r="K33" s="198"/>
      <c r="L33" s="198"/>
      <c r="M33" s="198"/>
    </row>
    <row r="34" spans="1:13" x14ac:dyDescent="0.25">
      <c r="A34" s="197">
        <v>29</v>
      </c>
      <c r="B34" s="116">
        <v>46004</v>
      </c>
      <c r="C34" s="117">
        <v>2025</v>
      </c>
      <c r="D34" s="118" t="s">
        <v>1118</v>
      </c>
      <c r="E34" s="119" t="s">
        <v>614</v>
      </c>
      <c r="F34" s="120">
        <v>6</v>
      </c>
      <c r="G34" s="121">
        <v>581004</v>
      </c>
      <c r="I34" s="163"/>
      <c r="J34" s="198"/>
      <c r="K34" s="198"/>
      <c r="L34" s="198"/>
      <c r="M34" s="198"/>
    </row>
    <row r="35" spans="1:13" x14ac:dyDescent="0.25">
      <c r="A35" s="197">
        <v>30</v>
      </c>
      <c r="B35" s="116">
        <v>46042</v>
      </c>
      <c r="C35" s="117">
        <v>2026</v>
      </c>
      <c r="D35" s="118" t="s">
        <v>1118</v>
      </c>
      <c r="E35" s="119" t="s">
        <v>28</v>
      </c>
      <c r="F35" s="120">
        <v>1</v>
      </c>
      <c r="G35" s="121">
        <v>750000</v>
      </c>
      <c r="I35" s="163"/>
      <c r="J35" s="198"/>
      <c r="K35" s="198"/>
      <c r="L35" s="198"/>
      <c r="M35" s="198"/>
    </row>
    <row r="36" spans="1:13" x14ac:dyDescent="0.25">
      <c r="A36" s="197">
        <v>31</v>
      </c>
      <c r="B36" s="116">
        <v>46046</v>
      </c>
      <c r="C36" s="117">
        <v>2026</v>
      </c>
      <c r="D36" s="118" t="s">
        <v>1118</v>
      </c>
      <c r="E36" s="119" t="s">
        <v>28</v>
      </c>
      <c r="F36" s="120">
        <v>1</v>
      </c>
      <c r="G36" s="121">
        <v>1500000</v>
      </c>
      <c r="I36" s="163"/>
      <c r="J36" s="198"/>
      <c r="K36" s="198"/>
      <c r="L36" s="198"/>
      <c r="M36" s="198"/>
    </row>
    <row r="37" spans="1:13" x14ac:dyDescent="0.25">
      <c r="A37" s="197">
        <v>32</v>
      </c>
      <c r="B37" s="116">
        <v>46107</v>
      </c>
      <c r="C37" s="117">
        <v>2026</v>
      </c>
      <c r="D37" s="118" t="s">
        <v>1118</v>
      </c>
      <c r="E37" s="119" t="s">
        <v>692</v>
      </c>
      <c r="F37" s="120">
        <v>2</v>
      </c>
      <c r="G37" s="121">
        <v>920000</v>
      </c>
      <c r="I37" s="163"/>
      <c r="J37" s="198"/>
      <c r="K37" s="198"/>
      <c r="L37" s="198"/>
      <c r="M37" s="198"/>
    </row>
    <row r="38" spans="1:13" x14ac:dyDescent="0.25">
      <c r="A38" s="197">
        <v>33</v>
      </c>
      <c r="B38" s="116">
        <v>46119</v>
      </c>
      <c r="C38" s="117">
        <v>2026</v>
      </c>
      <c r="D38" s="118" t="s">
        <v>1118</v>
      </c>
      <c r="E38" s="119" t="s">
        <v>1665</v>
      </c>
      <c r="F38" s="120">
        <v>1</v>
      </c>
      <c r="G38" s="121">
        <v>160000</v>
      </c>
      <c r="I38" s="163"/>
      <c r="J38" s="198"/>
      <c r="K38" s="198"/>
      <c r="L38" s="198"/>
      <c r="M38" s="198"/>
    </row>
    <row r="39" spans="1:13" x14ac:dyDescent="0.25">
      <c r="A39" s="197">
        <v>34</v>
      </c>
      <c r="B39" s="116">
        <v>46121</v>
      </c>
      <c r="C39" s="117">
        <v>2026</v>
      </c>
      <c r="D39" s="118" t="s">
        <v>1118</v>
      </c>
      <c r="E39" s="119" t="s">
        <v>692</v>
      </c>
      <c r="F39" s="120">
        <v>2</v>
      </c>
      <c r="G39" s="121">
        <v>920000</v>
      </c>
      <c r="I39" s="163"/>
      <c r="J39" s="198"/>
      <c r="K39" s="198"/>
      <c r="L39" s="198"/>
      <c r="M39" s="198"/>
    </row>
    <row r="40" spans="1:13" x14ac:dyDescent="0.25">
      <c r="A40" s="197">
        <v>35</v>
      </c>
      <c r="B40" s="116">
        <v>46133</v>
      </c>
      <c r="C40" s="117">
        <v>2026</v>
      </c>
      <c r="D40" s="118" t="s">
        <v>1118</v>
      </c>
      <c r="E40" s="119" t="s">
        <v>692</v>
      </c>
      <c r="F40" s="120">
        <v>2</v>
      </c>
      <c r="G40" s="121">
        <v>920000</v>
      </c>
      <c r="I40" s="163"/>
      <c r="J40" s="198"/>
      <c r="K40" s="198"/>
      <c r="L40" s="198"/>
      <c r="M40" s="198"/>
    </row>
    <row r="41" spans="1:13" x14ac:dyDescent="0.25">
      <c r="A41" s="197">
        <v>36</v>
      </c>
      <c r="B41" s="116">
        <v>46148</v>
      </c>
      <c r="C41" s="117">
        <v>2026</v>
      </c>
      <c r="D41" s="118" t="s">
        <v>1118</v>
      </c>
      <c r="E41" s="119" t="s">
        <v>692</v>
      </c>
      <c r="F41" s="120">
        <v>2</v>
      </c>
      <c r="G41" s="121">
        <v>920000</v>
      </c>
      <c r="I41" s="163"/>
      <c r="J41" s="198"/>
      <c r="K41" s="198"/>
      <c r="L41" s="198"/>
      <c r="M41" s="198"/>
    </row>
    <row r="42" spans="1:13" x14ac:dyDescent="0.25">
      <c r="A42" s="197">
        <v>37</v>
      </c>
      <c r="B42" s="116">
        <v>46163</v>
      </c>
      <c r="C42" s="117">
        <v>2026</v>
      </c>
      <c r="D42" s="118" t="s">
        <v>1118</v>
      </c>
      <c r="E42" s="119" t="s">
        <v>692</v>
      </c>
      <c r="F42" s="120">
        <v>2</v>
      </c>
      <c r="G42" s="121">
        <v>920000</v>
      </c>
      <c r="I42" s="163"/>
      <c r="J42" s="198"/>
      <c r="K42" s="198"/>
      <c r="L42" s="198"/>
      <c r="M42" s="198"/>
    </row>
    <row r="43" spans="1:13" x14ac:dyDescent="0.25">
      <c r="A43" s="102"/>
      <c r="B43" s="211"/>
      <c r="C43" s="201"/>
      <c r="D43" s="212"/>
      <c r="E43" s="202"/>
      <c r="F43" s="203"/>
      <c r="G43" s="213"/>
      <c r="I43" s="163"/>
      <c r="J43" s="198"/>
      <c r="K43" s="198"/>
      <c r="L43" s="198"/>
      <c r="M43" s="198"/>
    </row>
    <row r="44" spans="1:13" x14ac:dyDescent="0.25">
      <c r="A44" s="102"/>
      <c r="B44" s="211"/>
      <c r="C44" s="201"/>
      <c r="D44" s="212"/>
      <c r="E44" s="202"/>
      <c r="F44" s="203"/>
      <c r="G44" s="213"/>
      <c r="I44" s="163"/>
      <c r="J44" s="198"/>
      <c r="K44" s="198"/>
      <c r="L44" s="198"/>
      <c r="M44" s="198"/>
    </row>
    <row r="45" spans="1:13" x14ac:dyDescent="0.25">
      <c r="A45" s="102"/>
      <c r="B45" s="211"/>
      <c r="C45" s="201"/>
      <c r="D45" s="212"/>
      <c r="E45" s="202"/>
      <c r="F45" s="203"/>
      <c r="G45" s="213"/>
      <c r="I45" s="163"/>
      <c r="J45" s="198"/>
      <c r="K45" s="198"/>
      <c r="L45" s="198"/>
      <c r="M45" s="198"/>
    </row>
    <row r="46" spans="1:13" x14ac:dyDescent="0.25">
      <c r="A46" s="102"/>
      <c r="B46" s="211"/>
      <c r="C46" s="201"/>
      <c r="D46" s="212"/>
      <c r="E46" s="202"/>
      <c r="F46" s="203"/>
      <c r="G46" s="213"/>
      <c r="I46" s="163"/>
      <c r="J46" s="198"/>
      <c r="K46" s="198"/>
      <c r="L46" s="198"/>
      <c r="M46" s="198"/>
    </row>
    <row r="47" spans="1:13" x14ac:dyDescent="0.25">
      <c r="A47" s="102"/>
      <c r="B47" s="211"/>
      <c r="C47" s="201"/>
      <c r="D47" s="212"/>
      <c r="E47" s="202"/>
      <c r="F47" s="203"/>
      <c r="G47" s="213"/>
      <c r="I47" s="163"/>
      <c r="J47" s="198"/>
      <c r="K47" s="198"/>
      <c r="L47" s="198"/>
      <c r="M47" s="198"/>
    </row>
    <row r="48" spans="1:13" x14ac:dyDescent="0.25">
      <c r="A48" s="102"/>
      <c r="B48" s="211"/>
      <c r="C48" s="201"/>
      <c r="D48" s="212"/>
      <c r="E48" s="202"/>
      <c r="F48" s="203"/>
      <c r="G48" s="213"/>
    </row>
    <row r="49" spans="1:7" x14ac:dyDescent="0.25">
      <c r="A49" s="102"/>
      <c r="B49" s="211"/>
      <c r="C49" s="201"/>
      <c r="D49" s="212"/>
      <c r="E49" s="202"/>
      <c r="F49" s="203"/>
      <c r="G49" s="213"/>
    </row>
    <row r="50" spans="1:7" x14ac:dyDescent="0.25">
      <c r="A50" s="102"/>
      <c r="B50" s="211"/>
      <c r="C50" s="201"/>
      <c r="D50" s="212"/>
      <c r="E50" s="202"/>
      <c r="F50" s="203"/>
      <c r="G50" s="213"/>
    </row>
    <row r="51" spans="1:7" x14ac:dyDescent="0.25">
      <c r="A51" s="102"/>
      <c r="B51" s="211"/>
      <c r="C51" s="201"/>
      <c r="D51" s="212"/>
      <c r="E51" s="202"/>
      <c r="F51" s="203"/>
      <c r="G51" s="213"/>
    </row>
    <row r="52" spans="1:7" x14ac:dyDescent="0.25">
      <c r="A52" s="102"/>
      <c r="B52" s="211"/>
      <c r="C52" s="201"/>
      <c r="D52" s="212"/>
      <c r="E52" s="202"/>
      <c r="F52" s="203"/>
      <c r="G52" s="213"/>
    </row>
    <row r="53" spans="1:7" x14ac:dyDescent="0.25">
      <c r="A53" s="102"/>
      <c r="B53" s="211"/>
      <c r="C53" s="201"/>
      <c r="D53" s="212"/>
      <c r="E53" s="202"/>
      <c r="F53" s="203"/>
      <c r="G53" s="213"/>
    </row>
    <row r="54" spans="1:7" x14ac:dyDescent="0.25">
      <c r="A54" s="102"/>
      <c r="B54" s="211"/>
      <c r="C54" s="201"/>
      <c r="D54" s="212"/>
      <c r="E54" s="202"/>
      <c r="F54" s="203"/>
      <c r="G54" s="213"/>
    </row>
    <row r="55" spans="1:7" x14ac:dyDescent="0.25">
      <c r="A55" s="102"/>
      <c r="B55" s="211"/>
      <c r="C55" s="201"/>
      <c r="D55" s="212"/>
      <c r="E55" s="202"/>
      <c r="F55" s="203"/>
      <c r="G55" s="213"/>
    </row>
    <row r="56" spans="1:7" x14ac:dyDescent="0.25">
      <c r="A56" s="102"/>
      <c r="B56" s="211"/>
      <c r="C56" s="201"/>
      <c r="D56" s="212"/>
      <c r="E56" s="202"/>
      <c r="F56" s="203"/>
      <c r="G56" s="213"/>
    </row>
    <row r="57" spans="1:7" x14ac:dyDescent="0.25">
      <c r="A57" s="102"/>
      <c r="B57" s="211"/>
      <c r="C57" s="201"/>
      <c r="D57" s="212"/>
      <c r="E57" s="202"/>
      <c r="F57" s="203"/>
      <c r="G57" s="213"/>
    </row>
    <row r="58" spans="1:7" x14ac:dyDescent="0.25">
      <c r="A58" s="102"/>
      <c r="B58" s="211"/>
      <c r="C58" s="201"/>
      <c r="D58" s="212"/>
      <c r="E58" s="202"/>
      <c r="F58" s="203"/>
      <c r="G58" s="213"/>
    </row>
    <row r="59" spans="1:7" x14ac:dyDescent="0.25">
      <c r="A59" s="102"/>
      <c r="B59" s="211"/>
      <c r="C59" s="201"/>
      <c r="D59" s="212"/>
      <c r="E59" s="202"/>
      <c r="F59" s="203"/>
      <c r="G59" s="213"/>
    </row>
    <row r="60" spans="1:7" x14ac:dyDescent="0.25">
      <c r="A60" s="102"/>
      <c r="B60" s="211"/>
      <c r="C60" s="201"/>
      <c r="D60" s="212"/>
      <c r="E60" s="202"/>
      <c r="F60" s="203"/>
      <c r="G60" s="213"/>
    </row>
    <row r="61" spans="1:7" x14ac:dyDescent="0.25">
      <c r="A61" s="102"/>
      <c r="B61" s="211"/>
      <c r="C61" s="201"/>
      <c r="D61" s="212"/>
      <c r="E61" s="202"/>
      <c r="F61" s="203"/>
      <c r="G61" s="213"/>
    </row>
    <row r="62" spans="1:7" x14ac:dyDescent="0.25">
      <c r="A62" s="102"/>
      <c r="B62" s="211"/>
      <c r="C62" s="201"/>
      <c r="D62" s="212"/>
      <c r="E62" s="202"/>
      <c r="F62" s="203"/>
      <c r="G62" s="213"/>
    </row>
    <row r="63" spans="1:7" x14ac:dyDescent="0.25">
      <c r="A63" s="102"/>
      <c r="B63" s="211"/>
      <c r="C63" s="201"/>
      <c r="D63" s="212"/>
      <c r="E63" s="202"/>
      <c r="F63" s="203"/>
      <c r="G63" s="213"/>
    </row>
    <row r="64" spans="1:7" x14ac:dyDescent="0.25">
      <c r="A64" s="102"/>
      <c r="B64" s="211"/>
      <c r="C64" s="201"/>
      <c r="D64" s="212"/>
      <c r="E64" s="202"/>
      <c r="F64" s="203"/>
      <c r="G64" s="213"/>
    </row>
    <row r="65" spans="1:7" x14ac:dyDescent="0.25">
      <c r="A65" s="102"/>
      <c r="B65" s="211"/>
      <c r="C65" s="201"/>
      <c r="D65" s="212"/>
      <c r="E65" s="202"/>
      <c r="F65" s="203"/>
      <c r="G65" s="213"/>
    </row>
    <row r="66" spans="1:7" x14ac:dyDescent="0.25">
      <c r="A66" s="102"/>
      <c r="B66" s="200"/>
      <c r="C66" s="201"/>
      <c r="D66" s="202"/>
      <c r="E66" s="202"/>
      <c r="F66" s="203"/>
      <c r="G66" s="214"/>
    </row>
    <row r="67" spans="1:7" x14ac:dyDescent="0.25">
      <c r="A67" s="102"/>
      <c r="B67" s="200"/>
      <c r="C67" s="201"/>
      <c r="D67" s="202"/>
      <c r="E67" s="202"/>
      <c r="F67" s="203"/>
      <c r="G67" s="214"/>
    </row>
    <row r="68" spans="1:7" x14ac:dyDescent="0.25">
      <c r="A68" s="102"/>
      <c r="B68" s="200"/>
      <c r="C68" s="201"/>
      <c r="D68" s="202"/>
      <c r="E68" s="202"/>
      <c r="F68" s="203"/>
      <c r="G68" s="214"/>
    </row>
    <row r="69" spans="1:7" x14ac:dyDescent="0.25">
      <c r="A69" s="102"/>
      <c r="B69" s="200"/>
      <c r="C69" s="201"/>
      <c r="D69" s="202"/>
      <c r="E69" s="202"/>
      <c r="F69" s="203"/>
      <c r="G69" s="214"/>
    </row>
    <row r="70" spans="1:7" x14ac:dyDescent="0.25">
      <c r="A70" s="102"/>
      <c r="B70" s="200"/>
      <c r="C70" s="201"/>
      <c r="D70" s="202"/>
      <c r="E70" s="202"/>
      <c r="F70" s="203"/>
      <c r="G70" s="214"/>
    </row>
    <row r="71" spans="1:7" x14ac:dyDescent="0.25">
      <c r="A71" s="102"/>
      <c r="B71" s="200"/>
      <c r="C71" s="201"/>
      <c r="D71" s="202"/>
      <c r="E71" s="202"/>
      <c r="F71" s="203"/>
      <c r="G71" s="214"/>
    </row>
    <row r="72" spans="1:7" x14ac:dyDescent="0.25">
      <c r="A72" s="102"/>
      <c r="B72" s="200"/>
      <c r="C72" s="201"/>
      <c r="D72" s="202"/>
      <c r="E72" s="202"/>
      <c r="F72" s="203"/>
      <c r="G72" s="214"/>
    </row>
    <row r="73" spans="1:7" x14ac:dyDescent="0.25">
      <c r="A73" s="102"/>
      <c r="B73" s="200"/>
      <c r="C73" s="201"/>
      <c r="D73" s="202"/>
      <c r="E73" s="202"/>
      <c r="F73" s="203"/>
      <c r="G73" s="214"/>
    </row>
    <row r="74" spans="1:7" x14ac:dyDescent="0.25">
      <c r="A74" s="102"/>
      <c r="B74" s="200"/>
      <c r="C74" s="201"/>
      <c r="D74" s="202"/>
      <c r="E74" s="202"/>
      <c r="F74" s="203"/>
      <c r="G74" s="214"/>
    </row>
    <row r="75" spans="1:7" x14ac:dyDescent="0.25">
      <c r="A75" s="102"/>
      <c r="B75" s="200"/>
      <c r="C75" s="201"/>
      <c r="D75" s="202"/>
      <c r="E75" s="202"/>
      <c r="F75" s="203"/>
      <c r="G75" s="214"/>
    </row>
    <row r="76" spans="1:7" x14ac:dyDescent="0.25">
      <c r="A76" s="102"/>
      <c r="B76" s="200"/>
      <c r="C76" s="201"/>
      <c r="D76" s="202"/>
      <c r="E76" s="202"/>
      <c r="F76" s="203"/>
      <c r="G76" s="214"/>
    </row>
    <row r="77" spans="1:7" x14ac:dyDescent="0.25">
      <c r="A77" s="102"/>
      <c r="B77" s="211"/>
      <c r="C77" s="201"/>
      <c r="D77" s="212"/>
      <c r="E77" s="202"/>
      <c r="F77" s="203"/>
      <c r="G77" s="213"/>
    </row>
    <row r="78" spans="1:7" x14ac:dyDescent="0.25">
      <c r="A78" s="102"/>
      <c r="B78" s="200"/>
      <c r="C78" s="201"/>
      <c r="D78" s="202"/>
      <c r="E78" s="202"/>
      <c r="F78" s="203"/>
      <c r="G78" s="214"/>
    </row>
    <row r="79" spans="1:7" x14ac:dyDescent="0.25">
      <c r="A79" s="102"/>
      <c r="B79" s="200"/>
      <c r="C79" s="201"/>
      <c r="D79" s="202"/>
      <c r="E79" s="202"/>
      <c r="F79" s="203"/>
      <c r="G79" s="214"/>
    </row>
    <row r="80" spans="1:7" x14ac:dyDescent="0.25">
      <c r="A80" s="102"/>
      <c r="B80" s="200"/>
      <c r="C80" s="201"/>
      <c r="D80" s="202"/>
      <c r="E80" s="202"/>
      <c r="F80" s="203"/>
      <c r="G80" s="214"/>
    </row>
    <row r="81" spans="1:7" x14ac:dyDescent="0.25">
      <c r="A81" s="102"/>
      <c r="B81" s="200"/>
      <c r="C81" s="201"/>
      <c r="D81" s="202"/>
      <c r="E81" s="202"/>
      <c r="F81" s="203"/>
      <c r="G81" s="214"/>
    </row>
    <row r="82" spans="1:7" x14ac:dyDescent="0.25">
      <c r="A82" s="102"/>
      <c r="B82" s="200"/>
      <c r="C82" s="201"/>
      <c r="D82" s="202"/>
      <c r="E82" s="202"/>
      <c r="F82" s="203"/>
      <c r="G82" s="214"/>
    </row>
    <row r="83" spans="1:7" x14ac:dyDescent="0.25">
      <c r="A83" s="102"/>
      <c r="B83" s="200"/>
      <c r="C83" s="201"/>
      <c r="D83" s="202"/>
      <c r="E83" s="202"/>
      <c r="F83" s="203"/>
      <c r="G83" s="214"/>
    </row>
    <row r="84" spans="1:7" x14ac:dyDescent="0.25">
      <c r="A84" s="102"/>
      <c r="B84" s="200"/>
      <c r="C84" s="201"/>
      <c r="D84" s="202"/>
      <c r="E84" s="202"/>
      <c r="F84" s="203"/>
      <c r="G84" s="214"/>
    </row>
    <row r="85" spans="1:7" x14ac:dyDescent="0.25">
      <c r="A85" s="102"/>
      <c r="B85" s="200"/>
      <c r="C85" s="201"/>
      <c r="D85" s="202"/>
      <c r="E85" s="202"/>
      <c r="F85" s="203"/>
      <c r="G85" s="214"/>
    </row>
    <row r="86" spans="1:7" x14ac:dyDescent="0.25">
      <c r="A86" s="102"/>
      <c r="B86" s="200"/>
      <c r="C86" s="201"/>
      <c r="D86" s="202"/>
      <c r="E86" s="202"/>
      <c r="F86" s="203"/>
      <c r="G86" s="214"/>
    </row>
    <row r="87" spans="1:7" x14ac:dyDescent="0.25">
      <c r="A87" s="102"/>
      <c r="B87" s="200"/>
      <c r="C87" s="201"/>
      <c r="D87" s="202"/>
      <c r="E87" s="202"/>
      <c r="F87" s="203"/>
      <c r="G87" s="214"/>
    </row>
    <row r="88" spans="1:7" x14ac:dyDescent="0.25">
      <c r="A88" s="102"/>
      <c r="B88" s="200"/>
      <c r="C88" s="201"/>
      <c r="D88" s="202"/>
      <c r="E88" s="202"/>
      <c r="F88" s="203"/>
      <c r="G88" s="214"/>
    </row>
    <row r="89" spans="1:7" x14ac:dyDescent="0.25">
      <c r="A89" s="102"/>
      <c r="B89" s="211"/>
      <c r="C89" s="201"/>
      <c r="D89" s="212"/>
      <c r="E89" s="202"/>
      <c r="F89" s="203"/>
      <c r="G89" s="213"/>
    </row>
    <row r="90" spans="1:7" x14ac:dyDescent="0.25">
      <c r="A90" s="102"/>
      <c r="B90" s="211"/>
      <c r="C90" s="201"/>
      <c r="D90" s="212"/>
      <c r="E90" s="202"/>
      <c r="F90" s="203"/>
      <c r="G90" s="213"/>
    </row>
    <row r="91" spans="1:7" x14ac:dyDescent="0.25">
      <c r="A91" s="102"/>
      <c r="B91" s="200"/>
      <c r="C91" s="201"/>
      <c r="D91" s="202"/>
      <c r="E91" s="202"/>
      <c r="F91" s="203"/>
      <c r="G91" s="214"/>
    </row>
    <row r="92" spans="1:7" x14ac:dyDescent="0.25">
      <c r="A92" s="102"/>
      <c r="B92" s="200"/>
      <c r="C92" s="201"/>
      <c r="D92" s="202"/>
      <c r="E92" s="202"/>
      <c r="F92" s="203"/>
      <c r="G92" s="214"/>
    </row>
    <row r="93" spans="1:7" x14ac:dyDescent="0.25">
      <c r="A93" s="102"/>
      <c r="B93" s="200"/>
      <c r="C93" s="201"/>
      <c r="D93" s="202"/>
      <c r="E93" s="202"/>
      <c r="F93" s="203"/>
      <c r="G93" s="214"/>
    </row>
    <row r="94" spans="1:7" x14ac:dyDescent="0.25">
      <c r="A94" s="102"/>
      <c r="B94" s="200"/>
      <c r="C94" s="201"/>
      <c r="D94" s="202"/>
      <c r="E94" s="202"/>
      <c r="F94" s="203"/>
      <c r="G94" s="214"/>
    </row>
    <row r="95" spans="1:7" x14ac:dyDescent="0.25">
      <c r="A95" s="102"/>
      <c r="B95" s="200"/>
      <c r="C95" s="201"/>
      <c r="D95" s="202"/>
      <c r="E95" s="202"/>
      <c r="F95" s="203"/>
      <c r="G95" s="214"/>
    </row>
    <row r="96" spans="1:7" x14ac:dyDescent="0.25">
      <c r="A96" s="102"/>
      <c r="B96" s="200"/>
      <c r="C96" s="201"/>
      <c r="D96" s="202"/>
      <c r="E96" s="202"/>
      <c r="F96" s="203"/>
      <c r="G96" s="214"/>
    </row>
    <row r="97" spans="1:7" x14ac:dyDescent="0.25">
      <c r="A97" s="102"/>
      <c r="B97" s="200"/>
      <c r="C97" s="201"/>
      <c r="D97" s="202"/>
      <c r="E97" s="202"/>
      <c r="F97" s="203"/>
      <c r="G97" s="214"/>
    </row>
    <row r="98" spans="1:7" x14ac:dyDescent="0.25">
      <c r="A98" s="102"/>
      <c r="B98" s="200"/>
      <c r="C98" s="201"/>
      <c r="D98" s="202"/>
      <c r="E98" s="202"/>
      <c r="F98" s="203"/>
      <c r="G98" s="214"/>
    </row>
    <row r="99" spans="1:7" x14ac:dyDescent="0.25">
      <c r="A99" s="102"/>
      <c r="B99" s="211"/>
      <c r="C99" s="201"/>
      <c r="D99" s="212"/>
      <c r="E99" s="202"/>
      <c r="F99" s="203"/>
      <c r="G99" s="213"/>
    </row>
    <row r="100" spans="1:7" x14ac:dyDescent="0.25">
      <c r="A100" s="102"/>
      <c r="B100" s="211"/>
      <c r="C100" s="201"/>
      <c r="D100" s="212"/>
      <c r="E100" s="202"/>
      <c r="F100" s="203"/>
      <c r="G100" s="213"/>
    </row>
    <row r="101" spans="1:7" x14ac:dyDescent="0.25">
      <c r="A101" s="102"/>
      <c r="B101" s="211"/>
      <c r="C101" s="201"/>
      <c r="D101" s="212"/>
      <c r="E101" s="202"/>
      <c r="F101" s="203"/>
      <c r="G101" s="213"/>
    </row>
    <row r="102" spans="1:7" x14ac:dyDescent="0.25">
      <c r="A102" s="102"/>
      <c r="B102" s="200"/>
      <c r="C102" s="201"/>
      <c r="D102" s="202"/>
      <c r="E102" s="202"/>
      <c r="F102" s="203"/>
      <c r="G102" s="214"/>
    </row>
    <row r="103" spans="1:7" x14ac:dyDescent="0.25">
      <c r="A103" s="102"/>
      <c r="B103" s="200"/>
      <c r="C103" s="201"/>
      <c r="D103" s="202"/>
      <c r="E103" s="202"/>
      <c r="F103" s="203"/>
      <c r="G103" s="214"/>
    </row>
    <row r="104" spans="1:7" x14ac:dyDescent="0.25">
      <c r="A104" s="102"/>
      <c r="B104" s="211"/>
      <c r="C104" s="201"/>
      <c r="D104" s="212"/>
      <c r="E104" s="202"/>
      <c r="F104" s="203"/>
      <c r="G104" s="213"/>
    </row>
    <row r="105" spans="1:7" x14ac:dyDescent="0.25">
      <c r="A105" s="102"/>
      <c r="B105" s="200"/>
      <c r="C105" s="201"/>
      <c r="D105" s="202"/>
      <c r="E105" s="202"/>
      <c r="F105" s="203"/>
      <c r="G105" s="214"/>
    </row>
    <row r="106" spans="1:7" x14ac:dyDescent="0.25">
      <c r="A106" s="102"/>
      <c r="B106" s="211"/>
      <c r="C106" s="201"/>
      <c r="D106" s="212"/>
      <c r="E106" s="202"/>
      <c r="F106" s="203"/>
      <c r="G106" s="213"/>
    </row>
    <row r="107" spans="1:7" x14ac:dyDescent="0.25">
      <c r="A107" s="102"/>
      <c r="B107" s="200"/>
      <c r="C107" s="201"/>
      <c r="D107" s="202"/>
      <c r="E107" s="202"/>
      <c r="F107" s="203"/>
      <c r="G107" s="214"/>
    </row>
    <row r="108" spans="1:7" x14ac:dyDescent="0.25">
      <c r="A108" s="102"/>
      <c r="B108" s="200"/>
      <c r="C108" s="201"/>
      <c r="D108" s="202"/>
      <c r="E108" s="202"/>
      <c r="F108" s="203"/>
      <c r="G108" s="214"/>
    </row>
    <row r="109" spans="1:7" x14ac:dyDescent="0.25">
      <c r="A109" s="102"/>
      <c r="B109" s="200"/>
      <c r="C109" s="201"/>
      <c r="D109" s="202"/>
      <c r="E109" s="202"/>
      <c r="F109" s="203"/>
      <c r="G109" s="214"/>
    </row>
    <row r="110" spans="1:7" x14ac:dyDescent="0.25">
      <c r="A110" s="102"/>
      <c r="B110" s="211"/>
      <c r="C110" s="201"/>
      <c r="D110" s="212"/>
      <c r="E110" s="202"/>
      <c r="F110" s="203"/>
      <c r="G110" s="213"/>
    </row>
    <row r="111" spans="1:7" x14ac:dyDescent="0.25">
      <c r="A111" s="102"/>
      <c r="B111" s="200"/>
      <c r="C111" s="201"/>
      <c r="D111" s="202"/>
      <c r="E111" s="202"/>
      <c r="F111" s="203"/>
      <c r="G111" s="214"/>
    </row>
    <row r="112" spans="1:7" x14ac:dyDescent="0.25">
      <c r="A112" s="102"/>
      <c r="B112" s="200"/>
      <c r="C112" s="201"/>
      <c r="D112" s="202"/>
      <c r="E112" s="202"/>
      <c r="F112" s="203"/>
      <c r="G112" s="214"/>
    </row>
    <row r="113" spans="1:7" x14ac:dyDescent="0.25">
      <c r="A113" s="102"/>
      <c r="B113" s="200"/>
      <c r="C113" s="201"/>
      <c r="D113" s="202"/>
      <c r="E113" s="202"/>
      <c r="F113" s="203"/>
      <c r="G113" s="214"/>
    </row>
    <row r="114" spans="1:7" x14ac:dyDescent="0.25">
      <c r="A114" s="102"/>
      <c r="B114" s="200"/>
      <c r="C114" s="201"/>
      <c r="D114" s="202"/>
      <c r="E114" s="202"/>
      <c r="F114" s="203"/>
      <c r="G114" s="214"/>
    </row>
    <row r="115" spans="1:7" x14ac:dyDescent="0.25">
      <c r="A115" s="102"/>
      <c r="B115" s="200"/>
      <c r="C115" s="201"/>
      <c r="D115" s="202"/>
      <c r="E115" s="202"/>
      <c r="F115" s="203"/>
      <c r="G115" s="214"/>
    </row>
    <row r="116" spans="1:7" x14ac:dyDescent="0.25">
      <c r="A116" s="102"/>
      <c r="B116" s="211"/>
      <c r="C116" s="201"/>
      <c r="D116" s="212"/>
      <c r="E116" s="202"/>
      <c r="F116" s="203"/>
      <c r="G116" s="213"/>
    </row>
    <row r="117" spans="1:7" x14ac:dyDescent="0.25">
      <c r="A117" s="102"/>
      <c r="B117" s="211"/>
      <c r="C117" s="201"/>
      <c r="D117" s="212"/>
      <c r="E117" s="202"/>
      <c r="F117" s="203"/>
      <c r="G117" s="213"/>
    </row>
    <row r="118" spans="1:7" x14ac:dyDescent="0.25">
      <c r="A118" s="102"/>
      <c r="B118" s="200"/>
      <c r="C118" s="201"/>
      <c r="D118" s="202"/>
      <c r="E118" s="202"/>
      <c r="F118" s="203"/>
      <c r="G118" s="214"/>
    </row>
    <row r="119" spans="1:7" x14ac:dyDescent="0.25">
      <c r="A119" s="102"/>
      <c r="B119" s="200"/>
      <c r="C119" s="201"/>
      <c r="D119" s="202"/>
      <c r="E119" s="202"/>
      <c r="F119" s="203"/>
      <c r="G119" s="214"/>
    </row>
    <row r="120" spans="1:7" x14ac:dyDescent="0.25">
      <c r="A120" s="102"/>
      <c r="B120" s="200"/>
      <c r="C120" s="201"/>
      <c r="D120" s="202"/>
      <c r="E120" s="202"/>
      <c r="F120" s="203"/>
      <c r="G120" s="214"/>
    </row>
    <row r="121" spans="1:7" x14ac:dyDescent="0.25">
      <c r="A121" s="102"/>
      <c r="B121" s="200"/>
      <c r="C121" s="201"/>
      <c r="D121" s="202"/>
      <c r="E121" s="202"/>
      <c r="F121" s="203"/>
      <c r="G121" s="213"/>
    </row>
    <row r="122" spans="1:7" x14ac:dyDescent="0.25">
      <c r="A122" s="102"/>
      <c r="B122" s="211"/>
      <c r="C122" s="201"/>
      <c r="D122" s="212"/>
      <c r="E122" s="202"/>
      <c r="F122" s="203"/>
      <c r="G122" s="213"/>
    </row>
    <row r="123" spans="1:7" x14ac:dyDescent="0.25">
      <c r="A123" s="102"/>
      <c r="B123" s="211"/>
      <c r="C123" s="201"/>
      <c r="D123" s="212"/>
      <c r="E123" s="202"/>
      <c r="F123" s="203"/>
      <c r="G123" s="213"/>
    </row>
    <row r="124" spans="1:7" x14ac:dyDescent="0.25">
      <c r="A124" s="102"/>
      <c r="B124" s="211"/>
      <c r="C124" s="201"/>
      <c r="D124" s="212"/>
      <c r="E124" s="202"/>
      <c r="F124" s="203"/>
      <c r="G124" s="213"/>
    </row>
    <row r="125" spans="1:7" x14ac:dyDescent="0.25">
      <c r="A125" s="102"/>
      <c r="B125" s="211"/>
      <c r="C125" s="201"/>
      <c r="D125" s="212"/>
      <c r="E125" s="202"/>
      <c r="F125" s="203"/>
      <c r="G125" s="213"/>
    </row>
    <row r="126" spans="1:7" x14ac:dyDescent="0.25">
      <c r="A126" s="102"/>
      <c r="B126" s="211"/>
      <c r="C126" s="201"/>
      <c r="D126" s="212"/>
      <c r="E126" s="202"/>
      <c r="F126" s="203"/>
      <c r="G126" s="213"/>
    </row>
    <row r="127" spans="1:7" x14ac:dyDescent="0.25">
      <c r="A127" s="102"/>
      <c r="B127" s="200"/>
      <c r="C127" s="201"/>
      <c r="D127" s="202"/>
      <c r="E127" s="202"/>
      <c r="F127" s="203"/>
      <c r="G127" s="214"/>
    </row>
    <row r="128" spans="1:7" x14ac:dyDescent="0.25">
      <c r="A128" s="102"/>
      <c r="B128" s="211"/>
      <c r="C128" s="201"/>
      <c r="D128" s="212"/>
      <c r="E128" s="202"/>
      <c r="F128" s="203"/>
      <c r="G128" s="213"/>
    </row>
    <row r="129" spans="1:7" x14ac:dyDescent="0.25">
      <c r="A129" s="102"/>
      <c r="B129" s="211"/>
      <c r="C129" s="201"/>
      <c r="D129" s="212"/>
      <c r="E129" s="202"/>
      <c r="F129" s="203"/>
      <c r="G129" s="213"/>
    </row>
    <row r="130" spans="1:7" x14ac:dyDescent="0.25">
      <c r="A130" s="102"/>
      <c r="B130" s="211"/>
      <c r="C130" s="201"/>
      <c r="D130" s="212"/>
      <c r="E130" s="202"/>
      <c r="F130" s="203"/>
      <c r="G130" s="213"/>
    </row>
    <row r="131" spans="1:7" x14ac:dyDescent="0.25">
      <c r="A131" s="102"/>
      <c r="B131" s="200"/>
      <c r="C131" s="201"/>
      <c r="D131" s="202"/>
      <c r="E131" s="202"/>
      <c r="F131" s="203"/>
      <c r="G131" s="214"/>
    </row>
    <row r="132" spans="1:7" x14ac:dyDescent="0.25">
      <c r="A132" s="102"/>
      <c r="B132" s="200"/>
      <c r="C132" s="201"/>
      <c r="D132" s="202"/>
      <c r="E132" s="202"/>
      <c r="F132" s="203"/>
      <c r="G132" s="214"/>
    </row>
    <row r="133" spans="1:7" x14ac:dyDescent="0.25">
      <c r="A133" s="102"/>
      <c r="B133" s="200"/>
      <c r="C133" s="201"/>
      <c r="D133" s="202"/>
      <c r="E133" s="202"/>
      <c r="F133" s="203"/>
      <c r="G133" s="214"/>
    </row>
    <row r="134" spans="1:7" x14ac:dyDescent="0.25">
      <c r="A134" s="102"/>
      <c r="B134" s="211"/>
      <c r="C134" s="201"/>
      <c r="D134" s="212"/>
      <c r="E134" s="202"/>
      <c r="F134" s="203"/>
      <c r="G134" s="213"/>
    </row>
    <row r="135" spans="1:7" x14ac:dyDescent="0.25">
      <c r="A135" s="102"/>
      <c r="B135" s="200"/>
      <c r="C135" s="201"/>
      <c r="D135" s="202"/>
      <c r="E135" s="202"/>
      <c r="F135" s="203"/>
      <c r="G135" s="214"/>
    </row>
    <row r="136" spans="1:7" x14ac:dyDescent="0.25">
      <c r="A136" s="102"/>
      <c r="B136" s="211"/>
      <c r="C136" s="201"/>
      <c r="D136" s="212"/>
      <c r="E136" s="202"/>
      <c r="F136" s="203"/>
      <c r="G136" s="213"/>
    </row>
    <row r="137" spans="1:7" x14ac:dyDescent="0.25">
      <c r="A137" s="102"/>
      <c r="B137" s="211"/>
      <c r="C137" s="201"/>
      <c r="D137" s="212"/>
      <c r="E137" s="202"/>
      <c r="F137" s="203"/>
      <c r="G137" s="213"/>
    </row>
    <row r="138" spans="1:7" x14ac:dyDescent="0.25">
      <c r="A138" s="102"/>
      <c r="B138" s="211"/>
      <c r="C138" s="201"/>
      <c r="D138" s="212"/>
      <c r="E138" s="202"/>
      <c r="F138" s="203"/>
      <c r="G138" s="213"/>
    </row>
    <row r="139" spans="1:7" x14ac:dyDescent="0.25">
      <c r="A139" s="102"/>
      <c r="B139" s="211"/>
      <c r="C139" s="201"/>
      <c r="D139" s="212"/>
      <c r="E139" s="202"/>
      <c r="F139" s="203"/>
      <c r="G139" s="213"/>
    </row>
    <row r="140" spans="1:7" x14ac:dyDescent="0.25">
      <c r="A140" s="102"/>
      <c r="B140" s="211"/>
      <c r="C140" s="201"/>
      <c r="D140" s="212"/>
      <c r="E140" s="202"/>
      <c r="F140" s="203"/>
      <c r="G140" s="213"/>
    </row>
    <row r="141" spans="1:7" x14ac:dyDescent="0.25">
      <c r="A141" s="102"/>
      <c r="B141" s="211"/>
      <c r="C141" s="201"/>
      <c r="D141" s="212"/>
      <c r="E141" s="202"/>
      <c r="F141" s="203"/>
      <c r="G141" s="213"/>
    </row>
    <row r="142" spans="1:7" x14ac:dyDescent="0.25">
      <c r="A142" s="102"/>
      <c r="B142" s="211"/>
      <c r="C142" s="201"/>
      <c r="D142" s="212"/>
      <c r="E142" s="202"/>
      <c r="F142" s="203"/>
      <c r="G142" s="213"/>
    </row>
    <row r="143" spans="1:7" x14ac:dyDescent="0.25">
      <c r="A143" s="102"/>
      <c r="B143" s="211"/>
      <c r="C143" s="201"/>
      <c r="D143" s="212"/>
      <c r="E143" s="202"/>
      <c r="F143" s="203"/>
      <c r="G143" s="213"/>
    </row>
    <row r="144" spans="1:7" x14ac:dyDescent="0.25">
      <c r="A144" s="102"/>
      <c r="B144" s="200"/>
      <c r="C144" s="201"/>
      <c r="D144" s="202"/>
      <c r="E144" s="202"/>
      <c r="F144" s="203"/>
      <c r="G144" s="214"/>
    </row>
    <row r="145" spans="1:7" x14ac:dyDescent="0.25">
      <c r="A145" s="102"/>
      <c r="B145" s="211"/>
      <c r="C145" s="201"/>
      <c r="D145" s="212"/>
      <c r="E145" s="202"/>
      <c r="F145" s="203"/>
      <c r="G145" s="213"/>
    </row>
    <row r="146" spans="1:7" x14ac:dyDescent="0.25">
      <c r="A146" s="102"/>
      <c r="B146" s="200"/>
      <c r="C146" s="201"/>
      <c r="D146" s="202"/>
      <c r="E146" s="202"/>
      <c r="F146" s="203"/>
      <c r="G146" s="213"/>
    </row>
    <row r="147" spans="1:7" x14ac:dyDescent="0.25">
      <c r="A147" s="102"/>
      <c r="B147" s="211"/>
      <c r="C147" s="201"/>
      <c r="D147" s="212"/>
      <c r="E147" s="202"/>
      <c r="F147" s="203"/>
      <c r="G147" s="213"/>
    </row>
    <row r="148" spans="1:7" x14ac:dyDescent="0.25">
      <c r="A148" s="102"/>
      <c r="B148" s="211"/>
      <c r="C148" s="201"/>
      <c r="D148" s="212"/>
      <c r="E148" s="202"/>
      <c r="F148" s="203"/>
      <c r="G148" s="213"/>
    </row>
    <row r="149" spans="1:7" x14ac:dyDescent="0.25">
      <c r="A149" s="102"/>
      <c r="B149" s="200"/>
      <c r="C149" s="201"/>
      <c r="D149" s="202"/>
      <c r="E149" s="202"/>
      <c r="F149" s="203"/>
      <c r="G149" s="214"/>
    </row>
    <row r="150" spans="1:7" x14ac:dyDescent="0.25">
      <c r="A150" s="102"/>
      <c r="B150" s="211"/>
      <c r="C150" s="201"/>
      <c r="D150" s="212"/>
      <c r="E150" s="202"/>
      <c r="F150" s="203"/>
      <c r="G150" s="213"/>
    </row>
    <row r="151" spans="1:7" x14ac:dyDescent="0.25">
      <c r="A151" s="102"/>
      <c r="B151" s="211"/>
      <c r="C151" s="201"/>
      <c r="D151" s="212"/>
      <c r="E151" s="202"/>
      <c r="F151" s="203"/>
      <c r="G151" s="213"/>
    </row>
    <row r="152" spans="1:7" x14ac:dyDescent="0.25">
      <c r="A152" s="102"/>
      <c r="B152" s="211"/>
      <c r="C152" s="201"/>
      <c r="D152" s="212"/>
      <c r="E152" s="202"/>
      <c r="F152" s="203"/>
      <c r="G152" s="213"/>
    </row>
    <row r="153" spans="1:7" x14ac:dyDescent="0.25">
      <c r="A153" s="102"/>
      <c r="B153" s="211"/>
      <c r="C153" s="201"/>
      <c r="D153" s="212"/>
      <c r="E153" s="202"/>
      <c r="F153" s="203"/>
      <c r="G153" s="215"/>
    </row>
    <row r="154" spans="1:7" x14ac:dyDescent="0.25">
      <c r="A154" s="102"/>
      <c r="B154" s="211"/>
      <c r="C154" s="201"/>
      <c r="D154" s="212"/>
      <c r="E154" s="202"/>
      <c r="F154" s="203"/>
      <c r="G154" s="216"/>
    </row>
    <row r="155" spans="1:7" x14ac:dyDescent="0.25">
      <c r="A155" s="102"/>
      <c r="B155" s="211"/>
      <c r="C155" s="201"/>
      <c r="D155" s="212"/>
      <c r="E155" s="202"/>
      <c r="F155" s="203"/>
      <c r="G155" s="216"/>
    </row>
    <row r="156" spans="1:7" x14ac:dyDescent="0.25">
      <c r="A156" s="102"/>
      <c r="B156" s="200"/>
      <c r="C156" s="201"/>
      <c r="D156" s="202"/>
      <c r="E156" s="202"/>
      <c r="F156" s="203"/>
      <c r="G156" s="204"/>
    </row>
    <row r="157" spans="1:7" x14ac:dyDescent="0.25">
      <c r="A157" s="102"/>
      <c r="B157" s="200"/>
      <c r="C157" s="201"/>
      <c r="D157" s="202"/>
      <c r="E157" s="202"/>
      <c r="F157" s="203"/>
      <c r="G157" s="204"/>
    </row>
    <row r="158" spans="1:7" x14ac:dyDescent="0.25">
      <c r="A158" s="102"/>
      <c r="B158" s="200"/>
      <c r="C158" s="201"/>
      <c r="D158" s="202"/>
      <c r="E158" s="202"/>
      <c r="F158" s="203"/>
      <c r="G158" s="204"/>
    </row>
    <row r="159" spans="1:7" x14ac:dyDescent="0.25">
      <c r="A159" s="102"/>
      <c r="B159" s="200"/>
      <c r="C159" s="201"/>
      <c r="D159" s="202"/>
      <c r="E159" s="202"/>
      <c r="F159" s="203"/>
      <c r="G159" s="204"/>
    </row>
    <row r="160" spans="1:7" x14ac:dyDescent="0.25">
      <c r="A160" s="102"/>
      <c r="B160" s="200"/>
      <c r="C160" s="201"/>
      <c r="D160" s="202"/>
      <c r="E160" s="202"/>
      <c r="F160" s="203"/>
      <c r="G160" s="204"/>
    </row>
    <row r="161" spans="1:7" x14ac:dyDescent="0.25">
      <c r="A161" s="102"/>
      <c r="B161" s="200"/>
      <c r="C161" s="201"/>
      <c r="D161" s="202"/>
      <c r="E161" s="202"/>
      <c r="F161" s="203"/>
      <c r="G161" s="204"/>
    </row>
    <row r="162" spans="1:7" x14ac:dyDescent="0.25">
      <c r="A162" s="102"/>
      <c r="B162" s="200"/>
      <c r="C162" s="201"/>
      <c r="D162" s="202"/>
      <c r="E162" s="202"/>
      <c r="F162" s="203"/>
      <c r="G162" s="204"/>
    </row>
    <row r="163" spans="1:7" x14ac:dyDescent="0.25">
      <c r="A163" s="102"/>
      <c r="B163" s="200"/>
      <c r="C163" s="201"/>
      <c r="D163" s="202"/>
      <c r="E163" s="202"/>
      <c r="F163" s="203"/>
      <c r="G163" s="204"/>
    </row>
    <row r="164" spans="1:7" x14ac:dyDescent="0.25">
      <c r="A164" s="102"/>
      <c r="B164" s="200"/>
      <c r="C164" s="201"/>
      <c r="D164" s="202"/>
      <c r="E164" s="202"/>
      <c r="F164" s="203"/>
      <c r="G164" s="204"/>
    </row>
    <row r="165" spans="1:7" x14ac:dyDescent="0.25">
      <c r="A165" s="102"/>
      <c r="B165" s="200"/>
      <c r="C165" s="201"/>
      <c r="D165" s="202"/>
      <c r="E165" s="202"/>
      <c r="F165" s="203"/>
      <c r="G165" s="204"/>
    </row>
    <row r="166" spans="1:7" x14ac:dyDescent="0.25">
      <c r="A166" s="102"/>
      <c r="B166" s="200"/>
      <c r="C166" s="201"/>
      <c r="D166" s="202"/>
      <c r="E166" s="202"/>
      <c r="F166" s="203"/>
      <c r="G166" s="204"/>
    </row>
    <row r="167" spans="1:7" x14ac:dyDescent="0.25">
      <c r="A167" s="102"/>
      <c r="B167" s="200"/>
      <c r="C167" s="201"/>
      <c r="D167" s="202"/>
      <c r="E167" s="202"/>
      <c r="F167" s="203"/>
      <c r="G167" s="204"/>
    </row>
    <row r="168" spans="1:7" x14ac:dyDescent="0.25">
      <c r="A168" s="102"/>
      <c r="B168" s="200"/>
      <c r="C168" s="201"/>
      <c r="D168" s="202"/>
      <c r="E168" s="202"/>
      <c r="F168" s="203"/>
      <c r="G168" s="204"/>
    </row>
    <row r="169" spans="1:7" x14ac:dyDescent="0.25">
      <c r="A169" s="102"/>
      <c r="B169" s="200"/>
      <c r="C169" s="201"/>
      <c r="D169" s="202"/>
      <c r="E169" s="202"/>
      <c r="F169" s="203"/>
      <c r="G169" s="204"/>
    </row>
    <row r="170" spans="1:7" x14ac:dyDescent="0.25">
      <c r="A170" s="102"/>
      <c r="B170" s="200"/>
      <c r="C170" s="201"/>
      <c r="D170" s="202"/>
      <c r="E170" s="202"/>
      <c r="F170" s="203"/>
      <c r="G170" s="204"/>
    </row>
    <row r="171" spans="1:7" x14ac:dyDescent="0.25">
      <c r="A171" s="102"/>
      <c r="B171" s="200"/>
      <c r="C171" s="201"/>
      <c r="D171" s="202"/>
      <c r="E171" s="202"/>
      <c r="F171" s="203"/>
      <c r="G171" s="204"/>
    </row>
    <row r="172" spans="1:7" x14ac:dyDescent="0.25">
      <c r="A172" s="102"/>
      <c r="B172" s="200"/>
      <c r="C172" s="201"/>
      <c r="D172" s="202"/>
      <c r="E172" s="202"/>
      <c r="F172" s="203"/>
      <c r="G172" s="204"/>
    </row>
    <row r="173" spans="1:7" x14ac:dyDescent="0.25">
      <c r="A173" s="102"/>
      <c r="B173" s="200"/>
      <c r="C173" s="201"/>
      <c r="D173" s="202"/>
      <c r="E173" s="202"/>
      <c r="F173" s="203"/>
      <c r="G173" s="204"/>
    </row>
    <row r="174" spans="1:7" x14ac:dyDescent="0.25">
      <c r="A174" s="102"/>
      <c r="B174" s="200"/>
      <c r="C174" s="201"/>
      <c r="D174" s="202"/>
      <c r="E174" s="202"/>
      <c r="F174" s="203"/>
      <c r="G174" s="204"/>
    </row>
    <row r="175" spans="1:7" x14ac:dyDescent="0.25">
      <c r="A175" s="102"/>
      <c r="B175" s="200"/>
      <c r="C175" s="201"/>
      <c r="D175" s="202"/>
      <c r="E175" s="202"/>
      <c r="F175" s="203"/>
      <c r="G175" s="204"/>
    </row>
    <row r="176" spans="1:7" x14ac:dyDescent="0.25">
      <c r="A176" s="102"/>
      <c r="B176" s="200"/>
      <c r="C176" s="201"/>
      <c r="D176" s="202"/>
      <c r="E176" s="202"/>
      <c r="F176" s="203"/>
      <c r="G176" s="204"/>
    </row>
    <row r="177" spans="1:7" x14ac:dyDescent="0.25">
      <c r="A177" s="102"/>
      <c r="B177" s="200"/>
      <c r="C177" s="201"/>
      <c r="D177" s="202"/>
      <c r="E177" s="202"/>
      <c r="F177" s="203"/>
      <c r="G177" s="204"/>
    </row>
    <row r="178" spans="1:7" x14ac:dyDescent="0.25">
      <c r="A178" s="102"/>
      <c r="B178" s="200"/>
      <c r="C178" s="201"/>
      <c r="D178" s="202"/>
      <c r="E178" s="202"/>
      <c r="F178" s="203"/>
      <c r="G178" s="204"/>
    </row>
    <row r="179" spans="1:7" x14ac:dyDescent="0.25">
      <c r="A179" s="102"/>
      <c r="B179" s="200"/>
      <c r="C179" s="201"/>
      <c r="D179" s="202"/>
      <c r="E179" s="202"/>
      <c r="F179" s="203"/>
      <c r="G179" s="204"/>
    </row>
    <row r="180" spans="1:7" x14ac:dyDescent="0.25">
      <c r="A180" s="102"/>
      <c r="B180" s="200"/>
      <c r="C180" s="201"/>
      <c r="D180" s="202"/>
      <c r="E180" s="202"/>
      <c r="F180" s="203"/>
      <c r="G180" s="204"/>
    </row>
    <row r="181" spans="1:7" x14ac:dyDescent="0.25">
      <c r="A181" s="102"/>
      <c r="B181" s="200"/>
      <c r="C181" s="201"/>
      <c r="D181" s="202"/>
      <c r="E181" s="202"/>
      <c r="F181" s="203"/>
      <c r="G181" s="204"/>
    </row>
    <row r="182" spans="1:7" x14ac:dyDescent="0.25">
      <c r="A182" s="102"/>
      <c r="B182" s="200"/>
      <c r="C182" s="201"/>
      <c r="D182" s="202"/>
      <c r="E182" s="202"/>
      <c r="F182" s="203"/>
      <c r="G182" s="204"/>
    </row>
    <row r="183" spans="1:7" x14ac:dyDescent="0.25">
      <c r="A183" s="102"/>
      <c r="B183" s="200"/>
      <c r="C183" s="201"/>
      <c r="D183" s="202"/>
      <c r="E183" s="202"/>
      <c r="F183" s="203"/>
      <c r="G183" s="204"/>
    </row>
    <row r="184" spans="1:7" x14ac:dyDescent="0.25">
      <c r="A184" s="102"/>
      <c r="B184" s="200"/>
      <c r="C184" s="201"/>
      <c r="D184" s="202"/>
      <c r="E184" s="202"/>
      <c r="F184" s="203"/>
      <c r="G184" s="204"/>
    </row>
    <row r="185" spans="1:7" x14ac:dyDescent="0.25">
      <c r="A185" s="102"/>
      <c r="B185" s="200"/>
      <c r="C185" s="201"/>
      <c r="D185" s="202"/>
      <c r="E185" s="202"/>
      <c r="F185" s="203"/>
      <c r="G185" s="204"/>
    </row>
    <row r="186" spans="1:7" x14ac:dyDescent="0.25">
      <c r="A186" s="102"/>
      <c r="B186" s="200"/>
      <c r="C186" s="201"/>
      <c r="D186" s="202"/>
      <c r="E186" s="202"/>
      <c r="F186" s="203"/>
      <c r="G186" s="204"/>
    </row>
    <row r="187" spans="1:7" x14ac:dyDescent="0.25">
      <c r="A187" s="102"/>
      <c r="B187" s="200"/>
      <c r="C187" s="201"/>
      <c r="D187" s="202"/>
      <c r="E187" s="202"/>
      <c r="F187" s="203"/>
      <c r="G187" s="204"/>
    </row>
    <row r="188" spans="1:7" x14ac:dyDescent="0.25">
      <c r="A188" s="102"/>
      <c r="B188" s="200"/>
      <c r="C188" s="201"/>
      <c r="D188" s="202"/>
      <c r="E188" s="202"/>
      <c r="F188" s="203"/>
      <c r="G188" s="204"/>
    </row>
    <row r="189" spans="1:7" x14ac:dyDescent="0.25">
      <c r="A189" s="102"/>
      <c r="B189" s="200"/>
      <c r="C189" s="201"/>
      <c r="D189" s="202"/>
      <c r="E189" s="202"/>
      <c r="F189" s="203"/>
      <c r="G189" s="204"/>
    </row>
    <row r="190" spans="1:7" x14ac:dyDescent="0.25">
      <c r="A190" s="102"/>
      <c r="B190" s="200"/>
      <c r="C190" s="201"/>
      <c r="D190" s="202"/>
      <c r="E190" s="202"/>
      <c r="F190" s="203"/>
      <c r="G190" s="204"/>
    </row>
    <row r="191" spans="1:7" x14ac:dyDescent="0.25">
      <c r="A191" s="102"/>
      <c r="B191" s="200"/>
      <c r="C191" s="201"/>
      <c r="D191" s="202"/>
      <c r="E191" s="202"/>
      <c r="F191" s="203"/>
      <c r="G191" s="204"/>
    </row>
    <row r="192" spans="1:7" x14ac:dyDescent="0.25">
      <c r="A192" s="102"/>
      <c r="B192" s="200"/>
      <c r="C192" s="201"/>
      <c r="D192" s="202"/>
      <c r="E192" s="202"/>
      <c r="F192" s="203"/>
      <c r="G192" s="204"/>
    </row>
    <row r="193" spans="1:7" x14ac:dyDescent="0.25">
      <c r="A193" s="102"/>
      <c r="B193" s="200"/>
      <c r="C193" s="201"/>
      <c r="D193" s="202"/>
      <c r="E193" s="202"/>
      <c r="F193" s="203"/>
      <c r="G193" s="204"/>
    </row>
    <row r="194" spans="1:7" x14ac:dyDescent="0.25">
      <c r="A194" s="102"/>
      <c r="B194" s="200"/>
      <c r="C194" s="201"/>
      <c r="D194" s="202"/>
      <c r="E194" s="202"/>
      <c r="F194" s="203"/>
      <c r="G194" s="204"/>
    </row>
    <row r="195" spans="1:7" x14ac:dyDescent="0.25">
      <c r="A195" s="102"/>
      <c r="B195" s="200"/>
      <c r="C195" s="201"/>
      <c r="D195" s="202"/>
      <c r="E195" s="202"/>
      <c r="F195" s="203"/>
      <c r="G195" s="204"/>
    </row>
    <row r="196" spans="1:7" x14ac:dyDescent="0.25">
      <c r="A196" s="102"/>
      <c r="B196" s="200"/>
      <c r="C196" s="201"/>
      <c r="D196" s="202"/>
      <c r="E196" s="202"/>
      <c r="F196" s="203"/>
      <c r="G196" s="204"/>
    </row>
    <row r="197" spans="1:7" x14ac:dyDescent="0.25">
      <c r="A197" s="102"/>
      <c r="B197" s="200"/>
      <c r="C197" s="201"/>
      <c r="D197" s="202"/>
      <c r="E197" s="202"/>
      <c r="F197" s="203"/>
      <c r="G197" s="204"/>
    </row>
    <row r="198" spans="1:7" x14ac:dyDescent="0.25">
      <c r="A198" s="102"/>
      <c r="B198" s="200"/>
      <c r="C198" s="201"/>
      <c r="D198" s="202"/>
      <c r="E198" s="202"/>
      <c r="F198" s="203"/>
      <c r="G198" s="204"/>
    </row>
    <row r="199" spans="1:7" x14ac:dyDescent="0.25">
      <c r="A199" s="102"/>
      <c r="B199" s="200"/>
      <c r="C199" s="201"/>
      <c r="D199" s="202"/>
      <c r="E199" s="202"/>
      <c r="F199" s="203"/>
      <c r="G199" s="204"/>
    </row>
    <row r="200" spans="1:7" x14ac:dyDescent="0.25">
      <c r="A200" s="102"/>
      <c r="B200" s="200"/>
      <c r="C200" s="201"/>
      <c r="D200" s="202"/>
      <c r="E200" s="202"/>
      <c r="F200" s="203"/>
      <c r="G200" s="204"/>
    </row>
    <row r="201" spans="1:7" x14ac:dyDescent="0.25">
      <c r="A201" s="102"/>
      <c r="B201" s="200"/>
      <c r="C201" s="201"/>
      <c r="D201" s="202"/>
      <c r="E201" s="202"/>
      <c r="F201" s="203"/>
      <c r="G201" s="204"/>
    </row>
    <row r="202" spans="1:7" x14ac:dyDescent="0.25">
      <c r="A202" s="102"/>
      <c r="B202" s="200"/>
      <c r="C202" s="201"/>
      <c r="D202" s="202"/>
      <c r="E202" s="202"/>
      <c r="F202" s="203"/>
      <c r="G202" s="204"/>
    </row>
    <row r="203" spans="1:7" x14ac:dyDescent="0.25">
      <c r="A203" s="102"/>
      <c r="B203" s="200"/>
      <c r="C203" s="201"/>
      <c r="D203" s="202"/>
      <c r="E203" s="202"/>
      <c r="F203" s="203"/>
      <c r="G203" s="204"/>
    </row>
    <row r="204" spans="1:7" x14ac:dyDescent="0.25">
      <c r="A204" s="102"/>
      <c r="B204" s="200"/>
      <c r="C204" s="201"/>
      <c r="D204" s="202"/>
      <c r="E204" s="202"/>
      <c r="F204" s="203"/>
      <c r="G204" s="204"/>
    </row>
    <row r="205" spans="1:7" x14ac:dyDescent="0.25">
      <c r="A205" s="102"/>
      <c r="B205" s="200"/>
      <c r="C205" s="201"/>
      <c r="D205" s="202"/>
      <c r="E205" s="202"/>
      <c r="F205" s="203"/>
      <c r="G205" s="204"/>
    </row>
    <row r="206" spans="1:7" x14ac:dyDescent="0.25">
      <c r="A206" s="102"/>
      <c r="B206" s="200"/>
      <c r="C206" s="201"/>
      <c r="D206" s="202"/>
      <c r="E206" s="202"/>
      <c r="F206" s="203"/>
      <c r="G206" s="204"/>
    </row>
    <row r="207" spans="1:7" x14ac:dyDescent="0.25">
      <c r="A207" s="102"/>
      <c r="B207" s="200"/>
      <c r="C207" s="201"/>
      <c r="D207" s="202"/>
      <c r="E207" s="202"/>
      <c r="F207" s="203"/>
      <c r="G207" s="204"/>
    </row>
    <row r="208" spans="1:7" x14ac:dyDescent="0.25">
      <c r="A208" s="102"/>
      <c r="B208" s="200"/>
      <c r="C208" s="201"/>
      <c r="D208" s="202"/>
      <c r="E208" s="202"/>
      <c r="F208" s="203"/>
      <c r="G208" s="204"/>
    </row>
    <row r="209" spans="1:7" x14ac:dyDescent="0.25">
      <c r="A209" s="102"/>
      <c r="B209" s="200"/>
      <c r="C209" s="201"/>
      <c r="D209" s="202"/>
      <c r="E209" s="202"/>
      <c r="F209" s="203"/>
      <c r="G209" s="204"/>
    </row>
    <row r="210" spans="1:7" x14ac:dyDescent="0.25">
      <c r="A210" s="102"/>
      <c r="B210" s="200"/>
      <c r="C210" s="201"/>
      <c r="D210" s="202"/>
      <c r="E210" s="202"/>
      <c r="F210" s="203"/>
      <c r="G210" s="204"/>
    </row>
    <row r="211" spans="1:7" x14ac:dyDescent="0.25">
      <c r="A211" s="102"/>
      <c r="B211" s="200"/>
      <c r="C211" s="201"/>
      <c r="D211" s="202"/>
      <c r="E211" s="202"/>
      <c r="F211" s="203"/>
      <c r="G211" s="204"/>
    </row>
    <row r="212" spans="1:7" x14ac:dyDescent="0.25">
      <c r="A212" s="102"/>
      <c r="B212" s="200"/>
      <c r="C212" s="201"/>
      <c r="D212" s="202"/>
      <c r="E212" s="202"/>
      <c r="F212" s="203"/>
      <c r="G212" s="204"/>
    </row>
    <row r="213" spans="1:7" x14ac:dyDescent="0.25">
      <c r="A213" s="102"/>
      <c r="B213" s="200"/>
      <c r="C213" s="201"/>
      <c r="D213" s="202"/>
      <c r="E213" s="202"/>
      <c r="F213" s="203"/>
      <c r="G213" s="204"/>
    </row>
    <row r="214" spans="1:7" x14ac:dyDescent="0.25">
      <c r="A214" s="102"/>
      <c r="B214" s="200"/>
      <c r="C214" s="201"/>
      <c r="D214" s="202"/>
      <c r="E214" s="202"/>
      <c r="F214" s="203"/>
      <c r="G214" s="204"/>
    </row>
    <row r="215" spans="1:7" x14ac:dyDescent="0.25">
      <c r="A215" s="102"/>
      <c r="B215" s="200"/>
      <c r="C215" s="201"/>
      <c r="D215" s="202"/>
      <c r="E215" s="202"/>
      <c r="F215" s="203"/>
      <c r="G215" s="204"/>
    </row>
    <row r="216" spans="1:7" x14ac:dyDescent="0.25">
      <c r="A216" s="102"/>
      <c r="B216" s="200"/>
      <c r="C216" s="201"/>
      <c r="D216" s="202"/>
      <c r="E216" s="202"/>
      <c r="F216" s="203"/>
      <c r="G216" s="204"/>
    </row>
    <row r="217" spans="1:7" x14ac:dyDescent="0.25">
      <c r="A217" s="102"/>
      <c r="B217" s="200"/>
      <c r="C217" s="201"/>
      <c r="D217" s="202"/>
      <c r="E217" s="202"/>
      <c r="F217" s="203"/>
      <c r="G217" s="204"/>
    </row>
    <row r="218" spans="1:7" x14ac:dyDescent="0.25">
      <c r="A218" s="102"/>
      <c r="B218" s="200"/>
      <c r="C218" s="201"/>
      <c r="D218" s="202"/>
      <c r="E218" s="202"/>
      <c r="F218" s="203"/>
      <c r="G218" s="204"/>
    </row>
    <row r="219" spans="1:7" x14ac:dyDescent="0.25">
      <c r="A219" s="102"/>
      <c r="B219" s="200"/>
      <c r="C219" s="201"/>
      <c r="D219" s="202"/>
      <c r="E219" s="202"/>
      <c r="F219" s="203"/>
      <c r="G219" s="204"/>
    </row>
    <row r="220" spans="1:7" x14ac:dyDescent="0.25">
      <c r="A220" s="102"/>
      <c r="B220" s="200"/>
      <c r="C220" s="201"/>
      <c r="D220" s="202"/>
      <c r="E220" s="202"/>
      <c r="F220" s="203"/>
      <c r="G220" s="204"/>
    </row>
    <row r="221" spans="1:7" x14ac:dyDescent="0.25">
      <c r="A221" s="102"/>
      <c r="B221" s="200"/>
      <c r="C221" s="201"/>
      <c r="D221" s="202"/>
      <c r="E221" s="202"/>
      <c r="F221" s="203"/>
      <c r="G221" s="204"/>
    </row>
    <row r="222" spans="1:7" x14ac:dyDescent="0.25">
      <c r="A222" s="102"/>
      <c r="B222" s="200"/>
      <c r="C222" s="201"/>
      <c r="D222" s="202"/>
      <c r="E222" s="202"/>
      <c r="F222" s="203"/>
      <c r="G222" s="204"/>
    </row>
    <row r="223" spans="1:7" x14ac:dyDescent="0.25">
      <c r="A223" s="102"/>
      <c r="B223" s="200"/>
      <c r="C223" s="201"/>
      <c r="D223" s="202"/>
      <c r="E223" s="202"/>
      <c r="F223" s="203"/>
      <c r="G223" s="204"/>
    </row>
    <row r="224" spans="1:7" x14ac:dyDescent="0.25">
      <c r="A224" s="102"/>
      <c r="B224" s="200"/>
      <c r="C224" s="201"/>
      <c r="D224" s="202"/>
      <c r="E224" s="202"/>
      <c r="F224" s="203"/>
      <c r="G224" s="204"/>
    </row>
    <row r="225" spans="1:7" x14ac:dyDescent="0.25">
      <c r="A225" s="102"/>
      <c r="B225" s="200"/>
      <c r="C225" s="201"/>
      <c r="D225" s="202"/>
      <c r="E225" s="202"/>
      <c r="F225" s="203"/>
      <c r="G225" s="204"/>
    </row>
    <row r="226" spans="1:7" x14ac:dyDescent="0.25">
      <c r="A226" s="102"/>
      <c r="B226" s="200"/>
      <c r="C226" s="201"/>
      <c r="D226" s="202"/>
      <c r="E226" s="202"/>
      <c r="F226" s="203"/>
      <c r="G226" s="204"/>
    </row>
    <row r="227" spans="1:7" x14ac:dyDescent="0.25">
      <c r="A227" s="102"/>
      <c r="B227" s="200"/>
      <c r="C227" s="201"/>
      <c r="D227" s="202"/>
      <c r="E227" s="202"/>
      <c r="F227" s="203"/>
      <c r="G227" s="204"/>
    </row>
    <row r="228" spans="1:7" x14ac:dyDescent="0.25">
      <c r="A228" s="102"/>
      <c r="B228" s="200"/>
      <c r="C228" s="201"/>
      <c r="D228" s="202"/>
      <c r="E228" s="202"/>
      <c r="F228" s="203"/>
      <c r="G228" s="204"/>
    </row>
    <row r="229" spans="1:7" x14ac:dyDescent="0.25">
      <c r="A229" s="102"/>
      <c r="B229" s="200"/>
      <c r="C229" s="201"/>
      <c r="D229" s="202"/>
      <c r="E229" s="202"/>
      <c r="F229" s="203"/>
      <c r="G229" s="204"/>
    </row>
    <row r="230" spans="1:7" x14ac:dyDescent="0.25">
      <c r="A230" s="102"/>
      <c r="B230" s="200"/>
      <c r="C230" s="201"/>
      <c r="D230" s="202"/>
      <c r="E230" s="202"/>
      <c r="F230" s="203"/>
      <c r="G230" s="204"/>
    </row>
    <row r="231" spans="1:7" x14ac:dyDescent="0.25">
      <c r="A231" s="102"/>
      <c r="B231" s="200"/>
      <c r="C231" s="201"/>
      <c r="D231" s="202"/>
      <c r="E231" s="202"/>
      <c r="F231" s="203"/>
      <c r="G231" s="204"/>
    </row>
    <row r="232" spans="1:7" x14ac:dyDescent="0.25">
      <c r="A232" s="102"/>
      <c r="B232" s="200"/>
      <c r="C232" s="201"/>
      <c r="D232" s="202"/>
      <c r="E232" s="202"/>
      <c r="F232" s="203"/>
      <c r="G232" s="204"/>
    </row>
    <row r="233" spans="1:7" x14ac:dyDescent="0.25">
      <c r="A233" s="102"/>
      <c r="B233" s="200"/>
      <c r="C233" s="201"/>
      <c r="D233" s="202"/>
      <c r="E233" s="202"/>
      <c r="F233" s="203"/>
      <c r="G233" s="204"/>
    </row>
    <row r="234" spans="1:7" x14ac:dyDescent="0.25">
      <c r="A234" s="102"/>
      <c r="B234" s="200"/>
      <c r="C234" s="201"/>
      <c r="D234" s="202"/>
      <c r="E234" s="202"/>
      <c r="F234" s="203"/>
      <c r="G234" s="204"/>
    </row>
    <row r="235" spans="1:7" x14ac:dyDescent="0.25">
      <c r="A235" s="102"/>
      <c r="B235" s="200"/>
      <c r="C235" s="201"/>
      <c r="D235" s="202"/>
      <c r="E235" s="202"/>
      <c r="F235" s="203"/>
      <c r="G235" s="204"/>
    </row>
    <row r="236" spans="1:7" x14ac:dyDescent="0.25">
      <c r="A236" s="102"/>
      <c r="B236" s="200"/>
      <c r="C236" s="201"/>
      <c r="D236" s="202"/>
      <c r="E236" s="202"/>
      <c r="F236" s="203"/>
      <c r="G236" s="204"/>
    </row>
    <row r="237" spans="1:7" x14ac:dyDescent="0.25">
      <c r="A237" s="102"/>
      <c r="B237" s="200"/>
      <c r="C237" s="201"/>
      <c r="D237" s="202"/>
      <c r="E237" s="202"/>
      <c r="F237" s="203"/>
      <c r="G237" s="204"/>
    </row>
    <row r="238" spans="1:7" x14ac:dyDescent="0.25">
      <c r="A238" s="102"/>
      <c r="B238" s="200"/>
      <c r="C238" s="201"/>
      <c r="D238" s="202"/>
      <c r="E238" s="202"/>
      <c r="F238" s="203"/>
      <c r="G238" s="204"/>
    </row>
    <row r="239" spans="1:7" x14ac:dyDescent="0.25">
      <c r="A239" s="102"/>
      <c r="B239" s="200"/>
      <c r="C239" s="201"/>
      <c r="D239" s="202"/>
      <c r="E239" s="202"/>
      <c r="F239" s="203"/>
      <c r="G239" s="204"/>
    </row>
    <row r="240" spans="1:7" x14ac:dyDescent="0.25">
      <c r="A240" s="102"/>
      <c r="B240" s="200"/>
      <c r="C240" s="201"/>
      <c r="D240" s="202"/>
      <c r="E240" s="202"/>
      <c r="F240" s="203"/>
      <c r="G240" s="204"/>
    </row>
    <row r="241" spans="1:7" x14ac:dyDescent="0.25">
      <c r="A241" s="102"/>
      <c r="B241" s="200"/>
      <c r="C241" s="201"/>
      <c r="D241" s="202"/>
      <c r="E241" s="202"/>
      <c r="F241" s="203"/>
      <c r="G241" s="204"/>
    </row>
    <row r="242" spans="1:7" x14ac:dyDescent="0.25">
      <c r="A242" s="102"/>
      <c r="B242" s="200"/>
      <c r="C242" s="201"/>
      <c r="D242" s="202"/>
      <c r="E242" s="202"/>
      <c r="F242" s="203"/>
      <c r="G242" s="204"/>
    </row>
    <row r="243" spans="1:7" x14ac:dyDescent="0.25">
      <c r="A243" s="102"/>
      <c r="B243" s="200"/>
      <c r="C243" s="201"/>
      <c r="D243" s="202"/>
      <c r="E243" s="202"/>
      <c r="F243" s="203"/>
      <c r="G243" s="204"/>
    </row>
    <row r="244" spans="1:7" x14ac:dyDescent="0.25">
      <c r="A244" s="102"/>
      <c r="B244" s="200"/>
      <c r="C244" s="201"/>
      <c r="D244" s="202"/>
      <c r="E244" s="202"/>
      <c r="F244" s="203"/>
      <c r="G244" s="204"/>
    </row>
    <row r="245" spans="1:7" x14ac:dyDescent="0.25">
      <c r="A245" s="102"/>
      <c r="B245" s="200"/>
      <c r="C245" s="201"/>
      <c r="D245" s="202"/>
      <c r="E245" s="202"/>
      <c r="F245" s="203"/>
      <c r="G245" s="204"/>
    </row>
    <row r="246" spans="1:7" x14ac:dyDescent="0.25">
      <c r="A246" s="102"/>
      <c r="B246" s="200"/>
      <c r="C246" s="201"/>
      <c r="D246" s="202"/>
      <c r="E246" s="202"/>
      <c r="F246" s="203"/>
      <c r="G246" s="204"/>
    </row>
    <row r="247" spans="1:7" x14ac:dyDescent="0.25">
      <c r="A247" s="102"/>
      <c r="B247" s="200"/>
      <c r="C247" s="201"/>
      <c r="D247" s="202"/>
      <c r="E247" s="202"/>
      <c r="F247" s="203"/>
      <c r="G247" s="204"/>
    </row>
    <row r="248" spans="1:7" x14ac:dyDescent="0.25">
      <c r="A248" s="102"/>
      <c r="B248" s="200"/>
      <c r="C248" s="201"/>
      <c r="D248" s="202"/>
      <c r="E248" s="202"/>
      <c r="F248" s="203"/>
      <c r="G248" s="204"/>
    </row>
    <row r="249" spans="1:7" x14ac:dyDescent="0.25">
      <c r="A249" s="102"/>
      <c r="B249" s="200"/>
      <c r="C249" s="201"/>
      <c r="D249" s="202"/>
      <c r="E249" s="202"/>
      <c r="F249" s="203"/>
      <c r="G249" s="204"/>
    </row>
    <row r="250" spans="1:7" x14ac:dyDescent="0.25">
      <c r="A250" s="102"/>
      <c r="B250" s="200"/>
      <c r="C250" s="201"/>
      <c r="D250" s="202"/>
      <c r="E250" s="202"/>
      <c r="F250" s="203"/>
      <c r="G250" s="204"/>
    </row>
    <row r="251" spans="1:7" x14ac:dyDescent="0.25">
      <c r="A251" s="102"/>
      <c r="B251" s="200"/>
      <c r="C251" s="201"/>
      <c r="D251" s="202"/>
      <c r="E251" s="202"/>
      <c r="F251" s="203"/>
      <c r="G251" s="204"/>
    </row>
    <row r="252" spans="1:7" x14ac:dyDescent="0.25">
      <c r="A252" s="102"/>
      <c r="B252" s="200"/>
      <c r="C252" s="201"/>
      <c r="D252" s="202"/>
      <c r="E252" s="202"/>
      <c r="F252" s="203"/>
      <c r="G252" s="204"/>
    </row>
    <row r="253" spans="1:7" x14ac:dyDescent="0.25">
      <c r="A253" s="102"/>
      <c r="B253" s="200"/>
      <c r="C253" s="201"/>
      <c r="D253" s="202"/>
      <c r="E253" s="202"/>
      <c r="F253" s="203"/>
      <c r="G253" s="204"/>
    </row>
    <row r="254" spans="1:7" x14ac:dyDescent="0.25">
      <c r="A254" s="102"/>
      <c r="B254" s="200"/>
      <c r="C254" s="201"/>
      <c r="D254" s="202"/>
      <c r="E254" s="202"/>
      <c r="F254" s="203"/>
      <c r="G254" s="204"/>
    </row>
    <row r="255" spans="1:7" x14ac:dyDescent="0.25">
      <c r="A255" s="102"/>
      <c r="B255" s="200"/>
      <c r="C255" s="201"/>
      <c r="D255" s="202"/>
      <c r="E255" s="202"/>
      <c r="F255" s="203"/>
      <c r="G255" s="204"/>
    </row>
    <row r="256" spans="1:7" x14ac:dyDescent="0.25">
      <c r="A256" s="102"/>
      <c r="B256" s="200"/>
      <c r="C256" s="201"/>
      <c r="D256" s="202"/>
      <c r="E256" s="202"/>
      <c r="F256" s="203"/>
      <c r="G256" s="204"/>
    </row>
    <row r="257" spans="1:7" x14ac:dyDescent="0.25">
      <c r="A257" s="102"/>
      <c r="B257" s="200"/>
      <c r="C257" s="201"/>
      <c r="D257" s="202"/>
      <c r="E257" s="202"/>
      <c r="F257" s="203"/>
      <c r="G257" s="204"/>
    </row>
    <row r="258" spans="1:7" x14ac:dyDescent="0.25">
      <c r="A258" s="102"/>
      <c r="B258" s="200"/>
      <c r="C258" s="201"/>
      <c r="D258" s="202"/>
      <c r="E258" s="202"/>
      <c r="F258" s="203"/>
      <c r="G258" s="204"/>
    </row>
    <row r="259" spans="1:7" x14ac:dyDescent="0.25">
      <c r="A259" s="102"/>
      <c r="B259" s="200"/>
      <c r="C259" s="201"/>
      <c r="D259" s="202"/>
      <c r="E259" s="202"/>
      <c r="F259" s="203"/>
      <c r="G259" s="204"/>
    </row>
    <row r="260" spans="1:7" x14ac:dyDescent="0.25">
      <c r="A260" s="102"/>
      <c r="B260" s="200"/>
      <c r="C260" s="201"/>
      <c r="D260" s="202"/>
      <c r="E260" s="202"/>
      <c r="F260" s="203"/>
      <c r="G260" s="204"/>
    </row>
    <row r="261" spans="1:7" x14ac:dyDescent="0.25">
      <c r="A261" s="102"/>
      <c r="B261" s="200"/>
      <c r="C261" s="201"/>
      <c r="D261" s="202"/>
      <c r="E261" s="202"/>
      <c r="F261" s="203"/>
      <c r="G261" s="204"/>
    </row>
    <row r="262" spans="1:7" x14ac:dyDescent="0.25">
      <c r="A262" s="102"/>
      <c r="B262" s="200"/>
      <c r="C262" s="201"/>
      <c r="D262" s="202"/>
      <c r="E262" s="202"/>
      <c r="F262" s="203"/>
      <c r="G262" s="204"/>
    </row>
    <row r="263" spans="1:7" x14ac:dyDescent="0.25">
      <c r="A263" s="102"/>
      <c r="B263" s="200"/>
      <c r="C263" s="201"/>
      <c r="D263" s="202"/>
      <c r="E263" s="202"/>
      <c r="F263" s="203"/>
      <c r="G263" s="204"/>
    </row>
    <row r="264" spans="1:7" x14ac:dyDescent="0.25">
      <c r="A264" s="102"/>
      <c r="B264" s="200"/>
      <c r="C264" s="201"/>
      <c r="D264" s="202"/>
      <c r="E264" s="202"/>
      <c r="F264" s="203"/>
      <c r="G264" s="204"/>
    </row>
    <row r="265" spans="1:7" x14ac:dyDescent="0.25">
      <c r="A265" s="102"/>
      <c r="B265" s="200"/>
      <c r="C265" s="201"/>
      <c r="D265" s="202"/>
      <c r="E265" s="202"/>
      <c r="F265" s="203"/>
      <c r="G265" s="204"/>
    </row>
    <row r="266" spans="1:7" x14ac:dyDescent="0.25">
      <c r="A266" s="102"/>
      <c r="B266" s="200"/>
      <c r="C266" s="201"/>
      <c r="D266" s="202"/>
      <c r="E266" s="202"/>
      <c r="F266" s="203"/>
      <c r="G266" s="204"/>
    </row>
    <row r="267" spans="1:7" x14ac:dyDescent="0.25">
      <c r="A267" s="102"/>
      <c r="B267" s="200"/>
      <c r="C267" s="201"/>
      <c r="D267" s="202"/>
      <c r="E267" s="202"/>
      <c r="F267" s="203"/>
      <c r="G267" s="204"/>
    </row>
    <row r="268" spans="1:7" x14ac:dyDescent="0.25">
      <c r="A268" s="102"/>
      <c r="B268" s="200"/>
      <c r="C268" s="201"/>
      <c r="D268" s="202"/>
      <c r="E268" s="202"/>
      <c r="F268" s="203"/>
      <c r="G268" s="204"/>
    </row>
    <row r="269" spans="1:7" x14ac:dyDescent="0.25">
      <c r="A269" s="102"/>
      <c r="B269" s="200"/>
      <c r="C269" s="201"/>
      <c r="D269" s="202"/>
      <c r="E269" s="202"/>
      <c r="F269" s="203"/>
      <c r="G269" s="204"/>
    </row>
    <row r="270" spans="1:7" x14ac:dyDescent="0.25">
      <c r="A270" s="102"/>
      <c r="B270" s="200"/>
      <c r="C270" s="201"/>
      <c r="D270" s="202"/>
      <c r="E270" s="202"/>
      <c r="F270" s="203"/>
      <c r="G270" s="204"/>
    </row>
    <row r="271" spans="1:7" x14ac:dyDescent="0.25">
      <c r="A271" s="102"/>
      <c r="B271" s="200"/>
      <c r="C271" s="201"/>
      <c r="D271" s="202"/>
      <c r="E271" s="202"/>
      <c r="F271" s="203"/>
      <c r="G271" s="204"/>
    </row>
    <row r="272" spans="1:7" x14ac:dyDescent="0.25">
      <c r="A272" s="102"/>
      <c r="B272" s="200"/>
      <c r="C272" s="201"/>
      <c r="D272" s="202"/>
      <c r="E272" s="202"/>
      <c r="F272" s="203"/>
      <c r="G272" s="204"/>
    </row>
    <row r="273" spans="1:7" x14ac:dyDescent="0.25">
      <c r="A273" s="102"/>
      <c r="B273" s="200"/>
      <c r="C273" s="201"/>
      <c r="D273" s="202"/>
      <c r="E273" s="202"/>
      <c r="F273" s="203"/>
      <c r="G273" s="204"/>
    </row>
    <row r="274" spans="1:7" x14ac:dyDescent="0.25">
      <c r="A274" s="102"/>
      <c r="B274" s="200"/>
      <c r="C274" s="201"/>
      <c r="D274" s="202"/>
      <c r="E274" s="202"/>
      <c r="F274" s="203"/>
      <c r="G274" s="204"/>
    </row>
    <row r="275" spans="1:7" x14ac:dyDescent="0.25">
      <c r="A275" s="102"/>
      <c r="B275" s="200"/>
      <c r="C275" s="201"/>
      <c r="D275" s="202"/>
      <c r="E275" s="202"/>
      <c r="F275" s="203"/>
      <c r="G275" s="204"/>
    </row>
    <row r="276" spans="1:7" x14ac:dyDescent="0.25">
      <c r="A276" s="102"/>
      <c r="B276" s="200"/>
      <c r="C276" s="201"/>
      <c r="D276" s="202"/>
      <c r="E276" s="202"/>
      <c r="F276" s="203"/>
      <c r="G276" s="204"/>
    </row>
    <row r="277" spans="1:7" x14ac:dyDescent="0.25">
      <c r="A277" s="102"/>
      <c r="B277" s="200"/>
      <c r="C277" s="201"/>
      <c r="D277" s="202"/>
      <c r="E277" s="202"/>
      <c r="F277" s="203"/>
      <c r="G277" s="204"/>
    </row>
    <row r="278" spans="1:7" x14ac:dyDescent="0.25">
      <c r="A278" s="102"/>
      <c r="B278" s="200"/>
      <c r="C278" s="201"/>
      <c r="D278" s="202"/>
      <c r="E278" s="202"/>
      <c r="F278" s="203"/>
      <c r="G278" s="204"/>
    </row>
    <row r="279" spans="1:7" x14ac:dyDescent="0.25">
      <c r="A279" s="102"/>
      <c r="B279" s="200"/>
      <c r="C279" s="201"/>
      <c r="D279" s="202"/>
      <c r="E279" s="202"/>
      <c r="F279" s="203"/>
      <c r="G279" s="204"/>
    </row>
    <row r="280" spans="1:7" x14ac:dyDescent="0.25">
      <c r="A280" s="102"/>
      <c r="B280" s="200"/>
      <c r="C280" s="201"/>
      <c r="D280" s="202"/>
      <c r="E280" s="202"/>
      <c r="F280" s="203"/>
      <c r="G280" s="204"/>
    </row>
    <row r="281" spans="1:7" x14ac:dyDescent="0.25">
      <c r="A281" s="102"/>
      <c r="B281" s="200"/>
      <c r="C281" s="201"/>
      <c r="D281" s="202"/>
      <c r="E281" s="202"/>
      <c r="F281" s="203"/>
      <c r="G281" s="204"/>
    </row>
    <row r="282" spans="1:7" x14ac:dyDescent="0.25">
      <c r="A282" s="102"/>
      <c r="B282" s="200"/>
      <c r="C282" s="201"/>
      <c r="D282" s="202"/>
      <c r="E282" s="202"/>
      <c r="F282" s="203"/>
      <c r="G282" s="204"/>
    </row>
    <row r="283" spans="1:7" x14ac:dyDescent="0.25">
      <c r="A283" s="102"/>
      <c r="B283" s="200"/>
      <c r="C283" s="201"/>
      <c r="D283" s="202"/>
      <c r="E283" s="202"/>
      <c r="F283" s="203"/>
      <c r="G283" s="204"/>
    </row>
    <row r="284" spans="1:7" x14ac:dyDescent="0.25">
      <c r="A284" s="102"/>
      <c r="B284" s="200"/>
      <c r="C284" s="201"/>
      <c r="D284" s="202"/>
      <c r="E284" s="202"/>
      <c r="F284" s="203"/>
      <c r="G284" s="204"/>
    </row>
    <row r="285" spans="1:7" x14ac:dyDescent="0.25">
      <c r="A285" s="102"/>
      <c r="B285" s="200"/>
      <c r="C285" s="201"/>
      <c r="D285" s="202"/>
      <c r="E285" s="202"/>
      <c r="F285" s="203"/>
      <c r="G285" s="204"/>
    </row>
    <row r="286" spans="1:7" x14ac:dyDescent="0.25">
      <c r="A286" s="102"/>
      <c r="B286" s="200"/>
      <c r="C286" s="201"/>
      <c r="D286" s="202"/>
      <c r="E286" s="202"/>
      <c r="F286" s="203"/>
      <c r="G286" s="204"/>
    </row>
    <row r="287" spans="1:7" x14ac:dyDescent="0.25">
      <c r="A287" s="102"/>
      <c r="B287" s="200"/>
      <c r="C287" s="201"/>
      <c r="D287" s="202"/>
      <c r="E287" s="202"/>
      <c r="F287" s="203"/>
      <c r="G287" s="204"/>
    </row>
    <row r="288" spans="1:7" x14ac:dyDescent="0.25">
      <c r="A288" s="102"/>
      <c r="B288" s="200"/>
      <c r="C288" s="201"/>
      <c r="D288" s="202"/>
      <c r="E288" s="202"/>
      <c r="F288" s="203"/>
      <c r="G288" s="204"/>
    </row>
    <row r="289" spans="1:7" x14ac:dyDescent="0.25">
      <c r="A289" s="102"/>
      <c r="B289" s="200"/>
      <c r="C289" s="201"/>
      <c r="D289" s="202"/>
      <c r="E289" s="202"/>
      <c r="F289" s="203"/>
      <c r="G289" s="204"/>
    </row>
    <row r="290" spans="1:7" x14ac:dyDescent="0.25">
      <c r="A290" s="102"/>
      <c r="B290" s="200"/>
      <c r="C290" s="201"/>
      <c r="D290" s="202"/>
      <c r="E290" s="202"/>
      <c r="F290" s="203"/>
      <c r="G290" s="204"/>
    </row>
    <row r="291" spans="1:7" x14ac:dyDescent="0.25">
      <c r="A291" s="102"/>
      <c r="B291" s="200"/>
      <c r="C291" s="201"/>
      <c r="D291" s="202"/>
      <c r="E291" s="202"/>
      <c r="F291" s="203"/>
      <c r="G291" s="204"/>
    </row>
    <row r="292" spans="1:7" x14ac:dyDescent="0.25">
      <c r="A292" s="102"/>
      <c r="B292" s="200"/>
      <c r="C292" s="201"/>
      <c r="D292" s="202"/>
      <c r="E292" s="202"/>
      <c r="F292" s="203"/>
      <c r="G292" s="204"/>
    </row>
    <row r="293" spans="1:7" x14ac:dyDescent="0.25">
      <c r="A293" s="102"/>
      <c r="B293" s="200"/>
      <c r="C293" s="201"/>
      <c r="D293" s="202"/>
      <c r="E293" s="202"/>
      <c r="F293" s="203"/>
      <c r="G293" s="204"/>
    </row>
    <row r="294" spans="1:7" x14ac:dyDescent="0.25">
      <c r="A294" s="102"/>
      <c r="B294" s="200"/>
      <c r="C294" s="201"/>
      <c r="D294" s="202"/>
      <c r="E294" s="202"/>
      <c r="F294" s="203"/>
      <c r="G294" s="204"/>
    </row>
    <row r="295" spans="1:7" x14ac:dyDescent="0.25">
      <c r="A295" s="102"/>
      <c r="B295" s="200"/>
      <c r="C295" s="201"/>
      <c r="D295" s="202"/>
      <c r="E295" s="202"/>
      <c r="F295" s="203"/>
      <c r="G295" s="204"/>
    </row>
    <row r="296" spans="1:7" x14ac:dyDescent="0.25">
      <c r="A296" s="102"/>
      <c r="B296" s="200"/>
      <c r="C296" s="201"/>
      <c r="D296" s="202"/>
      <c r="E296" s="202"/>
      <c r="F296" s="203"/>
      <c r="G296" s="204"/>
    </row>
    <row r="297" spans="1:7" x14ac:dyDescent="0.25">
      <c r="A297" s="102"/>
      <c r="B297" s="200"/>
      <c r="C297" s="201"/>
      <c r="D297" s="202"/>
      <c r="E297" s="202"/>
      <c r="F297" s="203"/>
      <c r="G297" s="204"/>
    </row>
    <row r="298" spans="1:7" x14ac:dyDescent="0.25">
      <c r="A298" s="102"/>
      <c r="B298" s="200"/>
      <c r="C298" s="201"/>
      <c r="D298" s="202"/>
      <c r="E298" s="202"/>
      <c r="F298" s="203"/>
      <c r="G298" s="204"/>
    </row>
    <row r="299" spans="1:7" x14ac:dyDescent="0.25">
      <c r="A299" s="102"/>
      <c r="B299" s="200"/>
      <c r="C299" s="201"/>
      <c r="D299" s="202"/>
      <c r="E299" s="202"/>
      <c r="F299" s="203"/>
      <c r="G299" s="204"/>
    </row>
    <row r="300" spans="1:7" x14ac:dyDescent="0.25">
      <c r="A300" s="102"/>
      <c r="B300" s="200"/>
      <c r="C300" s="201"/>
      <c r="D300" s="202"/>
      <c r="E300" s="202"/>
      <c r="F300" s="203"/>
      <c r="G300" s="204"/>
    </row>
    <row r="301" spans="1:7" x14ac:dyDescent="0.25">
      <c r="A301" s="102"/>
      <c r="B301" s="200"/>
      <c r="C301" s="201"/>
      <c r="D301" s="202"/>
      <c r="E301" s="202"/>
      <c r="F301" s="203"/>
      <c r="G301" s="204"/>
    </row>
    <row r="302" spans="1:7" x14ac:dyDescent="0.25">
      <c r="A302" s="102"/>
      <c r="B302" s="200"/>
      <c r="C302" s="201"/>
      <c r="D302" s="202"/>
      <c r="E302" s="202"/>
      <c r="F302" s="203"/>
      <c r="G302" s="204"/>
    </row>
    <row r="303" spans="1:7" x14ac:dyDescent="0.25">
      <c r="A303" s="102"/>
      <c r="B303" s="200"/>
      <c r="C303" s="201"/>
      <c r="D303" s="202"/>
      <c r="E303" s="202"/>
      <c r="F303" s="203"/>
      <c r="G303" s="204"/>
    </row>
    <row r="304" spans="1:7" x14ac:dyDescent="0.25">
      <c r="A304" s="102"/>
      <c r="B304" s="200"/>
      <c r="C304" s="201"/>
      <c r="D304" s="202"/>
      <c r="E304" s="202"/>
      <c r="F304" s="203"/>
      <c r="G304" s="204"/>
    </row>
    <row r="305" spans="1:7" x14ac:dyDescent="0.25">
      <c r="A305" s="102"/>
      <c r="B305" s="200"/>
      <c r="C305" s="201"/>
      <c r="D305" s="202"/>
      <c r="E305" s="202"/>
      <c r="F305" s="203"/>
      <c r="G305" s="204"/>
    </row>
    <row r="306" spans="1:7" x14ac:dyDescent="0.25">
      <c r="A306" s="102"/>
      <c r="B306" s="200"/>
      <c r="C306" s="201"/>
      <c r="D306" s="202"/>
      <c r="E306" s="202"/>
      <c r="F306" s="203"/>
      <c r="G306" s="204"/>
    </row>
    <row r="307" spans="1:7" x14ac:dyDescent="0.25">
      <c r="A307" s="102"/>
      <c r="B307" s="200"/>
      <c r="C307" s="201"/>
      <c r="D307" s="202"/>
      <c r="E307" s="202"/>
      <c r="F307" s="203"/>
      <c r="G307" s="204"/>
    </row>
    <row r="308" spans="1:7" x14ac:dyDescent="0.25">
      <c r="A308" s="102"/>
      <c r="B308" s="200"/>
      <c r="C308" s="201"/>
      <c r="D308" s="202"/>
      <c r="E308" s="202"/>
      <c r="F308" s="203"/>
      <c r="G308" s="204"/>
    </row>
    <row r="309" spans="1:7" x14ac:dyDescent="0.25">
      <c r="A309" s="102"/>
      <c r="B309" s="200"/>
      <c r="C309" s="201"/>
      <c r="D309" s="202"/>
      <c r="E309" s="202"/>
      <c r="F309" s="203"/>
      <c r="G309" s="204"/>
    </row>
    <row r="310" spans="1:7" x14ac:dyDescent="0.25">
      <c r="A310" s="102"/>
      <c r="B310" s="200"/>
      <c r="C310" s="201"/>
      <c r="D310" s="202"/>
      <c r="E310" s="202"/>
      <c r="F310" s="203"/>
      <c r="G310" s="204"/>
    </row>
    <row r="311" spans="1:7" x14ac:dyDescent="0.25">
      <c r="A311" s="102"/>
      <c r="B311" s="200"/>
      <c r="C311" s="201"/>
      <c r="D311" s="202"/>
      <c r="E311" s="202"/>
      <c r="F311" s="203"/>
      <c r="G311" s="204"/>
    </row>
    <row r="312" spans="1:7" x14ac:dyDescent="0.25">
      <c r="A312" s="102"/>
      <c r="B312" s="200"/>
      <c r="C312" s="201"/>
      <c r="D312" s="202"/>
      <c r="E312" s="202"/>
      <c r="F312" s="203"/>
      <c r="G312" s="204"/>
    </row>
    <row r="313" spans="1:7" x14ac:dyDescent="0.25">
      <c r="A313" s="102"/>
      <c r="B313" s="200"/>
      <c r="C313" s="201"/>
      <c r="D313" s="202"/>
      <c r="E313" s="202"/>
      <c r="F313" s="203"/>
      <c r="G313" s="204"/>
    </row>
    <row r="314" spans="1:7" x14ac:dyDescent="0.25">
      <c r="A314" s="102"/>
      <c r="B314" s="200"/>
      <c r="C314" s="201"/>
      <c r="D314" s="202"/>
      <c r="E314" s="202"/>
      <c r="F314" s="203"/>
      <c r="G314" s="204"/>
    </row>
    <row r="315" spans="1:7" x14ac:dyDescent="0.25">
      <c r="A315" s="102"/>
      <c r="B315" s="200"/>
      <c r="C315" s="201"/>
      <c r="D315" s="202"/>
      <c r="E315" s="202"/>
      <c r="F315" s="203"/>
      <c r="G315" s="204"/>
    </row>
    <row r="316" spans="1:7" x14ac:dyDescent="0.25">
      <c r="A316" s="102"/>
      <c r="B316" s="200"/>
      <c r="C316" s="201"/>
      <c r="D316" s="202"/>
      <c r="E316" s="202"/>
      <c r="F316" s="203"/>
      <c r="G316" s="204"/>
    </row>
    <row r="317" spans="1:7" x14ac:dyDescent="0.25">
      <c r="A317" s="102"/>
      <c r="B317" s="200"/>
      <c r="C317" s="201"/>
      <c r="D317" s="202"/>
      <c r="E317" s="202"/>
      <c r="F317" s="203"/>
      <c r="G317" s="204"/>
    </row>
    <row r="318" spans="1:7" x14ac:dyDescent="0.25">
      <c r="A318" s="102"/>
      <c r="B318" s="200"/>
      <c r="C318" s="201"/>
      <c r="D318" s="202"/>
      <c r="E318" s="202"/>
      <c r="F318" s="203"/>
      <c r="G318" s="204"/>
    </row>
    <row r="319" spans="1:7" x14ac:dyDescent="0.25">
      <c r="A319" s="102"/>
      <c r="B319" s="200"/>
      <c r="C319" s="201"/>
      <c r="D319" s="202"/>
      <c r="E319" s="202"/>
      <c r="F319" s="203"/>
      <c r="G319" s="204"/>
    </row>
    <row r="320" spans="1:7" x14ac:dyDescent="0.25">
      <c r="A320" s="102"/>
      <c r="B320" s="200"/>
      <c r="C320" s="201"/>
      <c r="D320" s="202"/>
      <c r="E320" s="202"/>
      <c r="F320" s="203"/>
      <c r="G320" s="204"/>
    </row>
    <row r="321" spans="1:7" x14ac:dyDescent="0.25">
      <c r="A321" s="102"/>
      <c r="B321" s="200"/>
      <c r="C321" s="201"/>
      <c r="D321" s="202"/>
      <c r="E321" s="202"/>
      <c r="F321" s="203"/>
      <c r="G321" s="204"/>
    </row>
    <row r="322" spans="1:7" x14ac:dyDescent="0.25">
      <c r="A322" s="102"/>
      <c r="B322" s="200"/>
      <c r="C322" s="201"/>
      <c r="D322" s="202"/>
      <c r="E322" s="202"/>
      <c r="F322" s="203"/>
      <c r="G322" s="204"/>
    </row>
    <row r="323" spans="1:7" x14ac:dyDescent="0.25">
      <c r="A323" s="102"/>
      <c r="B323" s="200"/>
      <c r="C323" s="201"/>
      <c r="D323" s="202"/>
      <c r="E323" s="202"/>
      <c r="F323" s="203"/>
      <c r="G323" s="204"/>
    </row>
    <row r="324" spans="1:7" x14ac:dyDescent="0.25">
      <c r="A324" s="102"/>
      <c r="B324" s="200"/>
      <c r="C324" s="201"/>
      <c r="D324" s="202"/>
      <c r="E324" s="202"/>
      <c r="F324" s="203"/>
      <c r="G324" s="204"/>
    </row>
    <row r="325" spans="1:7" x14ac:dyDescent="0.25">
      <c r="A325" s="102"/>
      <c r="B325" s="200"/>
      <c r="C325" s="201"/>
      <c r="D325" s="202"/>
      <c r="E325" s="202"/>
      <c r="F325" s="203"/>
      <c r="G325" s="204"/>
    </row>
    <row r="326" spans="1:7" x14ac:dyDescent="0.25">
      <c r="A326" s="102"/>
      <c r="B326" s="200"/>
      <c r="C326" s="201"/>
      <c r="D326" s="202"/>
      <c r="E326" s="202"/>
      <c r="F326" s="203"/>
      <c r="G326" s="204"/>
    </row>
    <row r="327" spans="1:7" x14ac:dyDescent="0.25">
      <c r="A327" s="102"/>
      <c r="B327" s="200"/>
      <c r="C327" s="201"/>
      <c r="D327" s="202"/>
      <c r="E327" s="202"/>
      <c r="F327" s="203"/>
      <c r="G327" s="204"/>
    </row>
    <row r="328" spans="1:7" x14ac:dyDescent="0.25">
      <c r="A328" s="102"/>
      <c r="B328" s="200"/>
      <c r="C328" s="201"/>
      <c r="D328" s="202"/>
      <c r="E328" s="202"/>
      <c r="F328" s="203"/>
      <c r="G328" s="204"/>
    </row>
    <row r="329" spans="1:7" x14ac:dyDescent="0.25">
      <c r="A329" s="102"/>
      <c r="B329" s="200"/>
      <c r="C329" s="201"/>
      <c r="D329" s="202"/>
      <c r="E329" s="202"/>
      <c r="F329" s="203"/>
      <c r="G329" s="204"/>
    </row>
    <row r="330" spans="1:7" x14ac:dyDescent="0.25">
      <c r="A330" s="102"/>
      <c r="B330" s="200"/>
      <c r="C330" s="201"/>
      <c r="D330" s="202"/>
      <c r="E330" s="202"/>
      <c r="F330" s="203"/>
      <c r="G330" s="204"/>
    </row>
    <row r="331" spans="1:7" x14ac:dyDescent="0.25">
      <c r="A331" s="102"/>
      <c r="B331" s="200"/>
      <c r="C331" s="201"/>
      <c r="D331" s="202"/>
      <c r="E331" s="202"/>
      <c r="F331" s="203"/>
      <c r="G331" s="204"/>
    </row>
    <row r="332" spans="1:7" x14ac:dyDescent="0.25">
      <c r="A332" s="102"/>
      <c r="B332" s="200"/>
      <c r="C332" s="201"/>
      <c r="D332" s="202"/>
      <c r="E332" s="202"/>
      <c r="F332" s="203"/>
      <c r="G332" s="204"/>
    </row>
    <row r="333" spans="1:7" x14ac:dyDescent="0.25">
      <c r="A333" s="102"/>
      <c r="B333" s="200"/>
      <c r="C333" s="201"/>
      <c r="D333" s="202"/>
      <c r="E333" s="202"/>
      <c r="F333" s="203"/>
      <c r="G333" s="204"/>
    </row>
    <row r="334" spans="1:7" x14ac:dyDescent="0.25">
      <c r="A334" s="102"/>
      <c r="B334" s="200"/>
      <c r="C334" s="201"/>
      <c r="D334" s="202"/>
      <c r="E334" s="202"/>
      <c r="F334" s="203"/>
      <c r="G334" s="204"/>
    </row>
    <row r="335" spans="1:7" x14ac:dyDescent="0.25">
      <c r="A335" s="102"/>
      <c r="B335" s="200"/>
      <c r="C335" s="201"/>
      <c r="D335" s="202"/>
      <c r="E335" s="202"/>
      <c r="F335" s="203"/>
      <c r="G335" s="204"/>
    </row>
    <row r="336" spans="1:7" x14ac:dyDescent="0.25">
      <c r="A336" s="102"/>
      <c r="B336" s="200"/>
      <c r="C336" s="201"/>
      <c r="D336" s="202"/>
      <c r="E336" s="202"/>
      <c r="F336" s="203"/>
      <c r="G336" s="204"/>
    </row>
    <row r="337" spans="1:7" x14ac:dyDescent="0.25">
      <c r="A337" s="102"/>
      <c r="B337" s="200"/>
      <c r="C337" s="201"/>
      <c r="D337" s="202"/>
      <c r="E337" s="202"/>
      <c r="F337" s="203"/>
      <c r="G337" s="204"/>
    </row>
    <row r="338" spans="1:7" x14ac:dyDescent="0.25">
      <c r="A338" s="102"/>
      <c r="B338" s="200"/>
      <c r="C338" s="201"/>
      <c r="D338" s="202"/>
      <c r="E338" s="202"/>
      <c r="F338" s="203"/>
      <c r="G338" s="204"/>
    </row>
    <row r="339" spans="1:7" x14ac:dyDescent="0.25">
      <c r="A339" s="102"/>
      <c r="B339" s="200"/>
      <c r="C339" s="201"/>
      <c r="D339" s="202"/>
      <c r="E339" s="202"/>
      <c r="F339" s="203"/>
      <c r="G339" s="204"/>
    </row>
    <row r="340" spans="1:7" x14ac:dyDescent="0.25">
      <c r="A340" s="102"/>
      <c r="B340" s="200"/>
      <c r="C340" s="201"/>
      <c r="D340" s="202"/>
      <c r="E340" s="202"/>
      <c r="F340" s="203"/>
      <c r="G340" s="204"/>
    </row>
    <row r="341" spans="1:7" x14ac:dyDescent="0.25">
      <c r="A341" s="102"/>
      <c r="B341" s="200"/>
      <c r="C341" s="201"/>
      <c r="D341" s="202"/>
      <c r="E341" s="202"/>
      <c r="F341" s="203"/>
      <c r="G341" s="204"/>
    </row>
    <row r="342" spans="1:7" x14ac:dyDescent="0.25">
      <c r="A342" s="102"/>
      <c r="B342" s="200"/>
      <c r="C342" s="201"/>
      <c r="D342" s="202"/>
      <c r="E342" s="202"/>
      <c r="F342" s="203"/>
      <c r="G342" s="204"/>
    </row>
    <row r="343" spans="1:7" x14ac:dyDescent="0.25">
      <c r="A343" s="102"/>
      <c r="B343" s="200"/>
      <c r="C343" s="201"/>
      <c r="D343" s="202"/>
      <c r="E343" s="202"/>
      <c r="F343" s="203"/>
      <c r="G343" s="204"/>
    </row>
    <row r="344" spans="1:7" x14ac:dyDescent="0.25">
      <c r="A344" s="102"/>
      <c r="B344" s="200"/>
      <c r="C344" s="201"/>
      <c r="D344" s="202"/>
      <c r="E344" s="202"/>
      <c r="F344" s="203"/>
      <c r="G344" s="204"/>
    </row>
    <row r="345" spans="1:7" x14ac:dyDescent="0.25">
      <c r="A345" s="102"/>
      <c r="B345" s="200"/>
      <c r="C345" s="201"/>
      <c r="D345" s="202"/>
      <c r="E345" s="202"/>
      <c r="F345" s="203"/>
      <c r="G345" s="204"/>
    </row>
    <row r="346" spans="1:7" x14ac:dyDescent="0.25">
      <c r="A346" s="102"/>
      <c r="B346" s="200"/>
      <c r="C346" s="201"/>
      <c r="D346" s="202"/>
      <c r="E346" s="202"/>
      <c r="F346" s="203"/>
      <c r="G346" s="204"/>
    </row>
    <row r="347" spans="1:7" x14ac:dyDescent="0.25">
      <c r="A347" s="102"/>
      <c r="B347" s="200"/>
      <c r="C347" s="201"/>
      <c r="D347" s="202"/>
      <c r="E347" s="202"/>
      <c r="F347" s="203"/>
      <c r="G347" s="204"/>
    </row>
    <row r="348" spans="1:7" x14ac:dyDescent="0.25">
      <c r="A348" s="102"/>
      <c r="B348" s="200"/>
      <c r="C348" s="201"/>
      <c r="D348" s="202"/>
      <c r="E348" s="202"/>
      <c r="F348" s="203"/>
      <c r="G348" s="204"/>
    </row>
    <row r="349" spans="1:7" x14ac:dyDescent="0.25">
      <c r="A349" s="102"/>
      <c r="B349" s="200"/>
      <c r="C349" s="201"/>
      <c r="D349" s="202"/>
      <c r="E349" s="202"/>
      <c r="F349" s="203"/>
      <c r="G349" s="204"/>
    </row>
    <row r="350" spans="1:7" x14ac:dyDescent="0.25">
      <c r="A350" s="102"/>
      <c r="B350" s="200"/>
      <c r="C350" s="201"/>
      <c r="D350" s="202"/>
      <c r="E350" s="202"/>
      <c r="F350" s="203"/>
      <c r="G350" s="204"/>
    </row>
    <row r="351" spans="1:7" x14ac:dyDescent="0.25">
      <c r="A351" s="102"/>
      <c r="B351" s="200"/>
      <c r="C351" s="201"/>
      <c r="D351" s="202"/>
      <c r="E351" s="202"/>
      <c r="F351" s="203"/>
      <c r="G351" s="204"/>
    </row>
    <row r="352" spans="1:7" x14ac:dyDescent="0.25">
      <c r="A352" s="102"/>
      <c r="B352" s="200"/>
      <c r="C352" s="201"/>
      <c r="D352" s="202"/>
      <c r="E352" s="202"/>
      <c r="F352" s="203"/>
      <c r="G352" s="204"/>
    </row>
    <row r="353" spans="1:7" x14ac:dyDescent="0.25">
      <c r="A353" s="102"/>
      <c r="B353" s="200"/>
      <c r="C353" s="201"/>
      <c r="D353" s="202"/>
      <c r="E353" s="202"/>
      <c r="F353" s="203"/>
      <c r="G353" s="204"/>
    </row>
    <row r="354" spans="1:7" x14ac:dyDescent="0.25">
      <c r="A354" s="102"/>
      <c r="B354" s="200"/>
      <c r="C354" s="201"/>
      <c r="D354" s="202"/>
      <c r="E354" s="202"/>
      <c r="F354" s="203"/>
      <c r="G354" s="204"/>
    </row>
    <row r="355" spans="1:7" x14ac:dyDescent="0.25">
      <c r="A355" s="102"/>
      <c r="B355" s="200"/>
      <c r="C355" s="201"/>
      <c r="D355" s="202"/>
      <c r="E355" s="202"/>
      <c r="F355" s="203"/>
      <c r="G355" s="204"/>
    </row>
    <row r="356" spans="1:7" x14ac:dyDescent="0.25">
      <c r="A356" s="102"/>
      <c r="B356" s="200"/>
      <c r="C356" s="201"/>
      <c r="D356" s="202"/>
      <c r="E356" s="202"/>
      <c r="F356" s="203"/>
      <c r="G356" s="204"/>
    </row>
    <row r="357" spans="1:7" x14ac:dyDescent="0.25">
      <c r="A357" s="102"/>
      <c r="B357" s="200"/>
      <c r="C357" s="201"/>
      <c r="D357" s="202"/>
      <c r="E357" s="202"/>
      <c r="F357" s="203"/>
      <c r="G357" s="204"/>
    </row>
    <row r="358" spans="1:7" x14ac:dyDescent="0.25">
      <c r="A358" s="102"/>
      <c r="B358" s="200"/>
      <c r="C358" s="201"/>
      <c r="D358" s="202"/>
      <c r="E358" s="202"/>
      <c r="F358" s="203"/>
      <c r="G358" s="204"/>
    </row>
    <row r="359" spans="1:7" x14ac:dyDescent="0.25">
      <c r="A359" s="102"/>
      <c r="B359" s="200"/>
      <c r="C359" s="201"/>
      <c r="D359" s="202"/>
      <c r="E359" s="202"/>
      <c r="F359" s="203"/>
      <c r="G359" s="204"/>
    </row>
    <row r="360" spans="1:7" x14ac:dyDescent="0.25">
      <c r="A360" s="102"/>
      <c r="B360" s="200"/>
      <c r="C360" s="201"/>
      <c r="D360" s="202"/>
      <c r="E360" s="202"/>
      <c r="F360" s="203"/>
      <c r="G360" s="204"/>
    </row>
    <row r="361" spans="1:7" x14ac:dyDescent="0.25">
      <c r="A361" s="102"/>
      <c r="B361" s="200"/>
      <c r="C361" s="201"/>
      <c r="D361" s="202"/>
      <c r="E361" s="202"/>
      <c r="F361" s="203"/>
      <c r="G361" s="204"/>
    </row>
    <row r="362" spans="1:7" x14ac:dyDescent="0.25">
      <c r="A362" s="102"/>
      <c r="B362" s="200"/>
      <c r="C362" s="201"/>
      <c r="D362" s="202"/>
      <c r="E362" s="202"/>
      <c r="F362" s="203"/>
      <c r="G362" s="204"/>
    </row>
    <row r="363" spans="1:7" x14ac:dyDescent="0.25">
      <c r="A363" s="102"/>
      <c r="B363" s="200"/>
      <c r="C363" s="201"/>
      <c r="D363" s="202"/>
      <c r="E363" s="202"/>
      <c r="F363" s="203"/>
      <c r="G363" s="204"/>
    </row>
    <row r="364" spans="1:7" x14ac:dyDescent="0.25">
      <c r="A364" s="102"/>
      <c r="B364" s="200"/>
      <c r="C364" s="201"/>
      <c r="D364" s="202"/>
      <c r="E364" s="202"/>
      <c r="F364" s="203"/>
      <c r="G364" s="204"/>
    </row>
    <row r="365" spans="1:7" x14ac:dyDescent="0.25">
      <c r="A365" s="102"/>
      <c r="B365" s="200"/>
      <c r="C365" s="201"/>
      <c r="D365" s="202"/>
      <c r="E365" s="202"/>
      <c r="F365" s="203"/>
      <c r="G365" s="204"/>
    </row>
    <row r="366" spans="1:7" x14ac:dyDescent="0.25">
      <c r="A366" s="102"/>
      <c r="B366" s="200"/>
      <c r="C366" s="201"/>
      <c r="D366" s="202"/>
      <c r="E366" s="202"/>
      <c r="F366" s="203"/>
      <c r="G366" s="204"/>
    </row>
    <row r="367" spans="1:7" x14ac:dyDescent="0.25">
      <c r="A367" s="102"/>
      <c r="B367" s="200"/>
      <c r="C367" s="201"/>
      <c r="D367" s="202"/>
      <c r="E367" s="202"/>
      <c r="F367" s="203"/>
      <c r="G367" s="204"/>
    </row>
    <row r="368" spans="1:7" x14ac:dyDescent="0.25">
      <c r="A368" s="102"/>
      <c r="B368" s="200"/>
      <c r="C368" s="201"/>
      <c r="D368" s="202"/>
      <c r="E368" s="202"/>
      <c r="F368" s="203"/>
      <c r="G368" s="204"/>
    </row>
    <row r="369" spans="1:7" x14ac:dyDescent="0.25">
      <c r="A369" s="102"/>
      <c r="B369" s="200"/>
      <c r="C369" s="201"/>
      <c r="D369" s="202"/>
      <c r="E369" s="202"/>
      <c r="F369" s="203"/>
      <c r="G369" s="204"/>
    </row>
    <row r="370" spans="1:7" x14ac:dyDescent="0.25">
      <c r="A370" s="102"/>
      <c r="B370" s="200"/>
      <c r="C370" s="201"/>
      <c r="D370" s="202"/>
      <c r="E370" s="202"/>
      <c r="F370" s="203"/>
      <c r="G370" s="204"/>
    </row>
    <row r="371" spans="1:7" x14ac:dyDescent="0.25">
      <c r="A371" s="102"/>
      <c r="B371" s="200"/>
      <c r="C371" s="201"/>
      <c r="D371" s="202"/>
      <c r="E371" s="202"/>
      <c r="F371" s="203"/>
      <c r="G371" s="204"/>
    </row>
    <row r="372" spans="1:7" x14ac:dyDescent="0.25">
      <c r="A372" s="102"/>
      <c r="B372" s="200"/>
      <c r="C372" s="201"/>
      <c r="D372" s="202"/>
      <c r="E372" s="202"/>
      <c r="F372" s="203"/>
      <c r="G372" s="204"/>
    </row>
    <row r="373" spans="1:7" x14ac:dyDescent="0.25">
      <c r="A373" s="102"/>
      <c r="B373" s="200"/>
      <c r="C373" s="201"/>
      <c r="D373" s="202"/>
      <c r="E373" s="202"/>
      <c r="F373" s="203"/>
      <c r="G373" s="204"/>
    </row>
    <row r="374" spans="1:7" x14ac:dyDescent="0.25">
      <c r="A374" s="102"/>
      <c r="B374" s="200"/>
      <c r="C374" s="201"/>
      <c r="D374" s="202"/>
      <c r="E374" s="202"/>
      <c r="F374" s="203"/>
      <c r="G374" s="204"/>
    </row>
    <row r="375" spans="1:7" x14ac:dyDescent="0.25">
      <c r="A375" s="102"/>
      <c r="B375" s="200"/>
      <c r="C375" s="201"/>
      <c r="D375" s="202"/>
      <c r="E375" s="202"/>
      <c r="F375" s="203"/>
      <c r="G375" s="204"/>
    </row>
    <row r="376" spans="1:7" x14ac:dyDescent="0.25">
      <c r="A376" s="102"/>
      <c r="B376" s="200"/>
      <c r="C376" s="201"/>
      <c r="D376" s="202"/>
      <c r="E376" s="202"/>
      <c r="F376" s="203"/>
      <c r="G376" s="204"/>
    </row>
    <row r="377" spans="1:7" x14ac:dyDescent="0.25">
      <c r="A377" s="102"/>
      <c r="B377" s="200"/>
      <c r="C377" s="201"/>
      <c r="D377" s="202"/>
      <c r="E377" s="202"/>
      <c r="F377" s="203"/>
      <c r="G377" s="204"/>
    </row>
    <row r="378" spans="1:7" x14ac:dyDescent="0.25">
      <c r="A378" s="102"/>
      <c r="B378" s="200"/>
      <c r="C378" s="201"/>
      <c r="D378" s="202"/>
      <c r="E378" s="202"/>
      <c r="F378" s="203"/>
      <c r="G378" s="204"/>
    </row>
    <row r="379" spans="1:7" x14ac:dyDescent="0.25">
      <c r="A379" s="102"/>
      <c r="B379" s="200"/>
      <c r="C379" s="201"/>
      <c r="D379" s="202"/>
      <c r="E379" s="202"/>
      <c r="F379" s="203"/>
      <c r="G379" s="204"/>
    </row>
    <row r="380" spans="1:7" x14ac:dyDescent="0.25">
      <c r="A380" s="102"/>
      <c r="B380" s="200"/>
      <c r="C380" s="201"/>
      <c r="D380" s="202"/>
      <c r="E380" s="202"/>
      <c r="F380" s="203"/>
      <c r="G380" s="204"/>
    </row>
    <row r="381" spans="1:7" x14ac:dyDescent="0.25">
      <c r="A381" s="102"/>
      <c r="B381" s="200"/>
      <c r="C381" s="201"/>
      <c r="D381" s="202"/>
      <c r="E381" s="202"/>
      <c r="F381" s="203"/>
      <c r="G381" s="204"/>
    </row>
    <row r="382" spans="1:7" x14ac:dyDescent="0.25">
      <c r="A382" s="102"/>
      <c r="B382" s="200"/>
      <c r="C382" s="201"/>
      <c r="D382" s="202"/>
      <c r="E382" s="202"/>
      <c r="F382" s="203"/>
      <c r="G382" s="204"/>
    </row>
    <row r="383" spans="1:7" x14ac:dyDescent="0.25">
      <c r="A383" s="102"/>
      <c r="B383" s="200"/>
      <c r="C383" s="201"/>
      <c r="D383" s="202"/>
      <c r="E383" s="202"/>
      <c r="F383" s="203"/>
      <c r="G383" s="204"/>
    </row>
    <row r="384" spans="1:7" x14ac:dyDescent="0.25">
      <c r="A384" s="102"/>
      <c r="B384" s="200"/>
      <c r="C384" s="201"/>
      <c r="D384" s="202"/>
      <c r="E384" s="202"/>
      <c r="F384" s="203"/>
      <c r="G384" s="204"/>
    </row>
    <row r="385" spans="1:7" x14ac:dyDescent="0.25">
      <c r="A385" s="102"/>
      <c r="B385" s="200"/>
      <c r="C385" s="201"/>
      <c r="D385" s="202"/>
      <c r="E385" s="202"/>
      <c r="F385" s="203"/>
      <c r="G385" s="204"/>
    </row>
    <row r="386" spans="1:7" x14ac:dyDescent="0.25">
      <c r="A386" s="102"/>
      <c r="B386" s="200"/>
      <c r="C386" s="201"/>
      <c r="D386" s="202"/>
      <c r="E386" s="202"/>
      <c r="F386" s="203"/>
      <c r="G386" s="204"/>
    </row>
    <row r="387" spans="1:7" x14ac:dyDescent="0.25">
      <c r="A387" s="102"/>
      <c r="B387" s="200"/>
      <c r="C387" s="201"/>
      <c r="D387" s="202"/>
      <c r="E387" s="202"/>
      <c r="F387" s="203"/>
      <c r="G387" s="204"/>
    </row>
    <row r="388" spans="1:7" x14ac:dyDescent="0.25">
      <c r="A388" s="102"/>
      <c r="B388" s="200"/>
      <c r="C388" s="201"/>
      <c r="D388" s="202"/>
      <c r="E388" s="202"/>
      <c r="F388" s="203"/>
      <c r="G388" s="204"/>
    </row>
    <row r="389" spans="1:7" x14ac:dyDescent="0.25">
      <c r="A389" s="102"/>
      <c r="B389" s="200"/>
      <c r="C389" s="201"/>
      <c r="D389" s="202"/>
      <c r="E389" s="202"/>
      <c r="F389" s="203"/>
      <c r="G389" s="204"/>
    </row>
    <row r="390" spans="1:7" x14ac:dyDescent="0.25">
      <c r="A390" s="102"/>
      <c r="B390" s="200"/>
      <c r="C390" s="201"/>
      <c r="D390" s="202"/>
      <c r="E390" s="202"/>
      <c r="F390" s="203"/>
      <c r="G390" s="204"/>
    </row>
    <row r="391" spans="1:7" x14ac:dyDescent="0.25">
      <c r="A391" s="102"/>
      <c r="B391" s="200"/>
      <c r="C391" s="201"/>
      <c r="D391" s="202"/>
      <c r="E391" s="202"/>
      <c r="F391" s="203"/>
      <c r="G391" s="204"/>
    </row>
    <row r="392" spans="1:7" x14ac:dyDescent="0.25">
      <c r="A392" s="102"/>
      <c r="B392" s="200"/>
      <c r="C392" s="201"/>
      <c r="D392" s="202"/>
      <c r="E392" s="202"/>
      <c r="F392" s="203"/>
      <c r="G392" s="204"/>
    </row>
    <row r="393" spans="1:7" x14ac:dyDescent="0.25">
      <c r="A393" s="102"/>
      <c r="B393" s="200"/>
      <c r="C393" s="201"/>
      <c r="D393" s="202"/>
      <c r="E393" s="202"/>
      <c r="F393" s="203"/>
      <c r="G393" s="204"/>
    </row>
    <row r="394" spans="1:7" x14ac:dyDescent="0.25">
      <c r="A394" s="102"/>
      <c r="B394" s="200"/>
      <c r="C394" s="201"/>
      <c r="D394" s="202"/>
      <c r="E394" s="202"/>
      <c r="F394" s="203"/>
      <c r="G394" s="204"/>
    </row>
    <row r="395" spans="1:7" x14ac:dyDescent="0.25">
      <c r="A395" s="102"/>
      <c r="B395" s="200"/>
      <c r="C395" s="201"/>
      <c r="D395" s="202"/>
      <c r="E395" s="202"/>
      <c r="F395" s="203"/>
      <c r="G395" s="204"/>
    </row>
    <row r="396" spans="1:7" x14ac:dyDescent="0.25">
      <c r="A396" s="102"/>
      <c r="B396" s="200"/>
      <c r="C396" s="201"/>
      <c r="D396" s="202"/>
      <c r="E396" s="202"/>
      <c r="F396" s="203"/>
      <c r="G396" s="204"/>
    </row>
    <row r="397" spans="1:7" x14ac:dyDescent="0.25">
      <c r="A397" s="102"/>
      <c r="B397" s="200"/>
      <c r="C397" s="201"/>
      <c r="D397" s="202"/>
      <c r="E397" s="202"/>
      <c r="F397" s="203"/>
      <c r="G397" s="204"/>
    </row>
    <row r="398" spans="1:7" x14ac:dyDescent="0.25">
      <c r="A398" s="102"/>
      <c r="B398" s="200"/>
      <c r="C398" s="201"/>
      <c r="D398" s="202"/>
      <c r="E398" s="202"/>
      <c r="F398" s="203"/>
      <c r="G398" s="204"/>
    </row>
    <row r="399" spans="1:7" x14ac:dyDescent="0.25">
      <c r="A399" s="102"/>
      <c r="B399" s="200"/>
      <c r="C399" s="201"/>
      <c r="D399" s="202"/>
      <c r="E399" s="202"/>
      <c r="F399" s="203"/>
      <c r="G399" s="204"/>
    </row>
    <row r="400" spans="1:7" x14ac:dyDescent="0.25">
      <c r="A400" s="102"/>
      <c r="B400" s="200"/>
      <c r="C400" s="201"/>
      <c r="D400" s="202"/>
      <c r="E400" s="202"/>
      <c r="F400" s="203"/>
      <c r="G400" s="204"/>
    </row>
    <row r="401" spans="1:7" x14ac:dyDescent="0.25">
      <c r="A401" s="102"/>
      <c r="B401" s="200"/>
      <c r="C401" s="201"/>
      <c r="D401" s="202"/>
      <c r="E401" s="202"/>
      <c r="F401" s="203"/>
      <c r="G401" s="204"/>
    </row>
    <row r="402" spans="1:7" x14ac:dyDescent="0.25">
      <c r="A402" s="102"/>
      <c r="B402" s="200"/>
      <c r="C402" s="201"/>
      <c r="D402" s="202"/>
      <c r="E402" s="202"/>
      <c r="F402" s="203"/>
      <c r="G402" s="204"/>
    </row>
    <row r="403" spans="1:7" x14ac:dyDescent="0.25">
      <c r="A403" s="102"/>
      <c r="B403" s="200"/>
      <c r="C403" s="201"/>
      <c r="D403" s="202"/>
      <c r="E403" s="202"/>
      <c r="F403" s="203"/>
      <c r="G403" s="204"/>
    </row>
    <row r="404" spans="1:7" x14ac:dyDescent="0.25">
      <c r="A404" s="102"/>
      <c r="B404" s="200"/>
      <c r="C404" s="201"/>
      <c r="D404" s="202"/>
      <c r="E404" s="202"/>
      <c r="F404" s="203"/>
      <c r="G404" s="204"/>
    </row>
    <row r="405" spans="1:7" x14ac:dyDescent="0.25">
      <c r="A405" s="102"/>
      <c r="B405" s="200"/>
      <c r="C405" s="201"/>
      <c r="D405" s="202"/>
      <c r="E405" s="202"/>
      <c r="F405" s="203"/>
      <c r="G405" s="204"/>
    </row>
    <row r="406" spans="1:7" x14ac:dyDescent="0.25">
      <c r="A406" s="102"/>
      <c r="B406" s="200"/>
      <c r="C406" s="201"/>
      <c r="D406" s="202"/>
      <c r="E406" s="202"/>
      <c r="F406" s="203"/>
      <c r="G406" s="204"/>
    </row>
    <row r="407" spans="1:7" x14ac:dyDescent="0.25">
      <c r="A407" s="102"/>
      <c r="B407" s="200"/>
      <c r="C407" s="201"/>
      <c r="D407" s="202"/>
      <c r="E407" s="202"/>
      <c r="F407" s="203"/>
      <c r="G407" s="204"/>
    </row>
    <row r="408" spans="1:7" x14ac:dyDescent="0.25">
      <c r="A408" s="102"/>
      <c r="B408" s="200"/>
      <c r="C408" s="201"/>
      <c r="D408" s="202"/>
      <c r="E408" s="202"/>
      <c r="F408" s="203"/>
      <c r="G408" s="204"/>
    </row>
    <row r="409" spans="1:7" x14ac:dyDescent="0.25">
      <c r="A409" s="102"/>
      <c r="B409" s="200"/>
      <c r="C409" s="201"/>
      <c r="D409" s="202"/>
      <c r="E409" s="202"/>
      <c r="F409" s="203"/>
      <c r="G409" s="204"/>
    </row>
    <row r="410" spans="1:7" x14ac:dyDescent="0.25">
      <c r="A410" s="102"/>
      <c r="B410" s="200"/>
      <c r="C410" s="201"/>
      <c r="D410" s="202"/>
      <c r="E410" s="202"/>
      <c r="F410" s="203"/>
      <c r="G410" s="204"/>
    </row>
    <row r="411" spans="1:7" x14ac:dyDescent="0.25">
      <c r="A411" s="102"/>
      <c r="B411" s="200"/>
      <c r="C411" s="201"/>
      <c r="D411" s="202"/>
      <c r="E411" s="202"/>
      <c r="F411" s="203"/>
      <c r="G411" s="204"/>
    </row>
    <row r="412" spans="1:7" x14ac:dyDescent="0.25">
      <c r="A412" s="102"/>
      <c r="B412" s="200"/>
      <c r="C412" s="201"/>
      <c r="D412" s="202"/>
      <c r="E412" s="202"/>
      <c r="F412" s="203"/>
      <c r="G412" s="204"/>
    </row>
    <row r="413" spans="1:7" x14ac:dyDescent="0.25">
      <c r="A413" s="102"/>
      <c r="B413" s="200"/>
      <c r="C413" s="201"/>
      <c r="D413" s="202"/>
      <c r="E413" s="202"/>
      <c r="F413" s="203"/>
      <c r="G413" s="204"/>
    </row>
    <row r="414" spans="1:7" x14ac:dyDescent="0.25">
      <c r="A414" s="102"/>
      <c r="B414" s="200"/>
      <c r="C414" s="201"/>
      <c r="D414" s="202"/>
      <c r="E414" s="202"/>
      <c r="F414" s="203"/>
      <c r="G414" s="204"/>
    </row>
    <row r="415" spans="1:7" x14ac:dyDescent="0.25">
      <c r="A415" s="102"/>
      <c r="B415" s="200"/>
      <c r="C415" s="201"/>
      <c r="D415" s="202"/>
      <c r="E415" s="202"/>
      <c r="F415" s="203"/>
      <c r="G415" s="204"/>
    </row>
    <row r="416" spans="1:7" x14ac:dyDescent="0.25">
      <c r="A416" s="102"/>
      <c r="B416" s="200"/>
      <c r="C416" s="201"/>
      <c r="D416" s="202"/>
      <c r="E416" s="202"/>
      <c r="F416" s="203"/>
      <c r="G416" s="204"/>
    </row>
    <row r="417" spans="1:7" x14ac:dyDescent="0.25">
      <c r="A417" s="102"/>
      <c r="B417" s="200"/>
      <c r="C417" s="201"/>
      <c r="D417" s="202"/>
      <c r="E417" s="202"/>
      <c r="F417" s="203"/>
      <c r="G417" s="204"/>
    </row>
    <row r="418" spans="1:7" x14ac:dyDescent="0.25">
      <c r="A418" s="102"/>
      <c r="B418" s="200"/>
      <c r="C418" s="201"/>
      <c r="D418" s="202"/>
      <c r="E418" s="202"/>
      <c r="F418" s="203"/>
      <c r="G418" s="204"/>
    </row>
    <row r="419" spans="1:7" x14ac:dyDescent="0.25">
      <c r="A419" s="102"/>
      <c r="B419" s="200"/>
      <c r="C419" s="201"/>
      <c r="D419" s="202"/>
      <c r="E419" s="202"/>
      <c r="F419" s="203"/>
      <c r="G419" s="204"/>
    </row>
    <row r="420" spans="1:7" x14ac:dyDescent="0.25">
      <c r="A420" s="102"/>
      <c r="B420" s="200"/>
      <c r="C420" s="201"/>
      <c r="D420" s="202"/>
      <c r="E420" s="202"/>
      <c r="F420" s="203"/>
      <c r="G420" s="204"/>
    </row>
    <row r="421" spans="1:7" x14ac:dyDescent="0.25">
      <c r="A421" s="102"/>
      <c r="B421" s="200"/>
      <c r="C421" s="201"/>
      <c r="D421" s="202"/>
      <c r="E421" s="202"/>
      <c r="F421" s="203"/>
      <c r="G421" s="204"/>
    </row>
    <row r="422" spans="1:7" x14ac:dyDescent="0.25">
      <c r="A422" s="102"/>
      <c r="B422" s="200"/>
      <c r="C422" s="201"/>
      <c r="D422" s="202"/>
      <c r="E422" s="202"/>
      <c r="F422" s="203"/>
      <c r="G422" s="204"/>
    </row>
    <row r="423" spans="1:7" x14ac:dyDescent="0.25">
      <c r="A423" s="102"/>
      <c r="B423" s="200"/>
      <c r="C423" s="201"/>
      <c r="D423" s="202"/>
      <c r="E423" s="202"/>
      <c r="F423" s="203"/>
      <c r="G423" s="204"/>
    </row>
    <row r="424" spans="1:7" x14ac:dyDescent="0.25">
      <c r="A424" s="102"/>
      <c r="B424" s="200"/>
      <c r="C424" s="201"/>
      <c r="D424" s="202"/>
      <c r="E424" s="202"/>
      <c r="F424" s="203"/>
      <c r="G424" s="204"/>
    </row>
    <row r="425" spans="1:7" x14ac:dyDescent="0.25">
      <c r="A425" s="102"/>
      <c r="B425" s="200"/>
      <c r="C425" s="201"/>
      <c r="D425" s="202"/>
      <c r="E425" s="202"/>
      <c r="F425" s="203"/>
      <c r="G425" s="204"/>
    </row>
    <row r="426" spans="1:7" x14ac:dyDescent="0.25">
      <c r="A426" s="102"/>
      <c r="B426" s="200"/>
      <c r="C426" s="201"/>
      <c r="D426" s="202"/>
      <c r="E426" s="202"/>
      <c r="F426" s="203"/>
      <c r="G426" s="204"/>
    </row>
    <row r="427" spans="1:7" x14ac:dyDescent="0.25">
      <c r="A427" s="102"/>
      <c r="B427" s="200"/>
      <c r="C427" s="201"/>
      <c r="D427" s="202"/>
      <c r="E427" s="202"/>
      <c r="F427" s="203"/>
      <c r="G427" s="204"/>
    </row>
    <row r="428" spans="1:7" x14ac:dyDescent="0.25">
      <c r="A428" s="102"/>
      <c r="B428" s="200"/>
      <c r="C428" s="201"/>
      <c r="D428" s="202"/>
      <c r="E428" s="202"/>
      <c r="F428" s="203"/>
      <c r="G428" s="204"/>
    </row>
    <row r="429" spans="1:7" x14ac:dyDescent="0.25">
      <c r="A429" s="102"/>
      <c r="B429" s="200"/>
      <c r="C429" s="201"/>
      <c r="D429" s="202"/>
      <c r="E429" s="202"/>
      <c r="F429" s="203"/>
      <c r="G429" s="204"/>
    </row>
    <row r="430" spans="1:7" x14ac:dyDescent="0.25">
      <c r="A430" s="102"/>
      <c r="B430" s="200"/>
      <c r="C430" s="201"/>
      <c r="D430" s="202"/>
      <c r="E430" s="202"/>
      <c r="F430" s="203"/>
      <c r="G430" s="204"/>
    </row>
    <row r="431" spans="1:7" x14ac:dyDescent="0.25">
      <c r="A431" s="102"/>
      <c r="B431" s="200"/>
      <c r="C431" s="201"/>
      <c r="D431" s="202"/>
      <c r="E431" s="202"/>
      <c r="F431" s="203"/>
      <c r="G431" s="204"/>
    </row>
    <row r="432" spans="1:7" x14ac:dyDescent="0.25">
      <c r="A432" s="102"/>
      <c r="B432" s="200"/>
      <c r="C432" s="201"/>
      <c r="D432" s="202"/>
      <c r="E432" s="202"/>
      <c r="F432" s="203"/>
      <c r="G432" s="204"/>
    </row>
    <row r="433" spans="1:7" x14ac:dyDescent="0.25">
      <c r="A433" s="102"/>
      <c r="B433" s="200"/>
      <c r="C433" s="201"/>
      <c r="D433" s="202"/>
      <c r="E433" s="202"/>
      <c r="F433" s="203"/>
      <c r="G433" s="204"/>
    </row>
    <row r="434" spans="1:7" x14ac:dyDescent="0.25">
      <c r="A434" s="102"/>
      <c r="B434" s="200"/>
      <c r="C434" s="201"/>
      <c r="D434" s="202"/>
      <c r="E434" s="202"/>
      <c r="F434" s="203"/>
      <c r="G434" s="204"/>
    </row>
    <row r="435" spans="1:7" x14ac:dyDescent="0.25">
      <c r="A435" s="102"/>
      <c r="B435" s="200"/>
      <c r="C435" s="201"/>
      <c r="D435" s="202"/>
      <c r="E435" s="202"/>
      <c r="F435" s="203"/>
      <c r="G435" s="204"/>
    </row>
    <row r="436" spans="1:7" x14ac:dyDescent="0.25">
      <c r="A436" s="102"/>
      <c r="B436" s="200"/>
      <c r="C436" s="201"/>
      <c r="D436" s="202"/>
      <c r="E436" s="202"/>
      <c r="F436" s="203"/>
      <c r="G436" s="204"/>
    </row>
    <row r="437" spans="1:7" x14ac:dyDescent="0.25">
      <c r="A437" s="102"/>
      <c r="B437" s="200"/>
      <c r="C437" s="201"/>
      <c r="D437" s="202"/>
      <c r="E437" s="202"/>
      <c r="F437" s="203"/>
      <c r="G437" s="204"/>
    </row>
    <row r="438" spans="1:7" x14ac:dyDescent="0.25">
      <c r="A438" s="102"/>
      <c r="B438" s="200"/>
      <c r="C438" s="201"/>
      <c r="D438" s="202"/>
      <c r="E438" s="202"/>
      <c r="F438" s="203"/>
      <c r="G438" s="204"/>
    </row>
    <row r="439" spans="1:7" x14ac:dyDescent="0.25">
      <c r="A439" s="102"/>
      <c r="B439" s="200"/>
      <c r="C439" s="201"/>
      <c r="D439" s="202"/>
      <c r="E439" s="202"/>
      <c r="F439" s="203"/>
      <c r="G439" s="204"/>
    </row>
    <row r="440" spans="1:7" x14ac:dyDescent="0.25">
      <c r="A440" s="102"/>
      <c r="B440" s="200"/>
      <c r="C440" s="201"/>
      <c r="D440" s="202"/>
      <c r="E440" s="202"/>
      <c r="F440" s="203"/>
      <c r="G440" s="204"/>
    </row>
    <row r="441" spans="1:7" x14ac:dyDescent="0.25">
      <c r="A441" s="102"/>
      <c r="B441" s="200"/>
      <c r="C441" s="201"/>
      <c r="D441" s="202"/>
      <c r="E441" s="202"/>
      <c r="F441" s="203"/>
      <c r="G441" s="204"/>
    </row>
    <row r="442" spans="1:7" x14ac:dyDescent="0.25">
      <c r="A442" s="102"/>
      <c r="B442" s="200"/>
      <c r="C442" s="201"/>
      <c r="D442" s="202"/>
      <c r="E442" s="202"/>
      <c r="F442" s="203"/>
      <c r="G442" s="204"/>
    </row>
    <row r="443" spans="1:7" x14ac:dyDescent="0.25">
      <c r="A443" s="102"/>
      <c r="B443" s="200"/>
      <c r="C443" s="201"/>
      <c r="D443" s="202"/>
      <c r="E443" s="202"/>
      <c r="F443" s="203"/>
      <c r="G443" s="204"/>
    </row>
    <row r="444" spans="1:7" x14ac:dyDescent="0.25">
      <c r="A444" s="102"/>
      <c r="B444" s="200"/>
      <c r="C444" s="201"/>
      <c r="D444" s="202"/>
      <c r="E444" s="202"/>
      <c r="F444" s="203"/>
      <c r="G444" s="204"/>
    </row>
    <row r="445" spans="1:7" x14ac:dyDescent="0.25">
      <c r="A445" s="102"/>
      <c r="B445" s="200"/>
      <c r="C445" s="201"/>
      <c r="D445" s="202"/>
      <c r="E445" s="202"/>
      <c r="F445" s="203"/>
      <c r="G445" s="204"/>
    </row>
    <row r="446" spans="1:7" x14ac:dyDescent="0.25">
      <c r="A446" s="102"/>
      <c r="B446" s="200"/>
      <c r="C446" s="201"/>
      <c r="D446" s="202"/>
      <c r="E446" s="202"/>
      <c r="F446" s="203"/>
      <c r="G446" s="204"/>
    </row>
    <row r="447" spans="1:7" x14ac:dyDescent="0.25">
      <c r="A447" s="102"/>
      <c r="B447" s="200"/>
      <c r="C447" s="201"/>
      <c r="D447" s="202"/>
      <c r="E447" s="202"/>
      <c r="F447" s="203"/>
      <c r="G447" s="204"/>
    </row>
    <row r="448" spans="1:7" x14ac:dyDescent="0.25">
      <c r="A448" s="102"/>
      <c r="B448" s="200"/>
      <c r="C448" s="201"/>
      <c r="D448" s="202"/>
      <c r="E448" s="202"/>
      <c r="F448" s="203"/>
      <c r="G448" s="204"/>
    </row>
    <row r="449" spans="1:7" x14ac:dyDescent="0.25">
      <c r="A449" s="102"/>
      <c r="B449" s="200"/>
      <c r="C449" s="201"/>
      <c r="D449" s="202"/>
      <c r="E449" s="202"/>
      <c r="F449" s="203"/>
      <c r="G449" s="204"/>
    </row>
    <row r="450" spans="1:7" x14ac:dyDescent="0.25">
      <c r="A450" s="102"/>
      <c r="B450" s="200"/>
      <c r="C450" s="201"/>
      <c r="D450" s="202"/>
      <c r="E450" s="202"/>
      <c r="F450" s="203"/>
      <c r="G450" s="204"/>
    </row>
    <row r="451" spans="1:7" x14ac:dyDescent="0.25">
      <c r="A451" s="102"/>
      <c r="B451" s="200"/>
      <c r="C451" s="201"/>
      <c r="D451" s="202"/>
      <c r="E451" s="202"/>
      <c r="F451" s="203"/>
      <c r="G451" s="204"/>
    </row>
    <row r="452" spans="1:7" x14ac:dyDescent="0.25">
      <c r="A452" s="102"/>
      <c r="B452" s="200"/>
      <c r="C452" s="201"/>
      <c r="D452" s="202"/>
      <c r="E452" s="202"/>
      <c r="F452" s="203"/>
      <c r="G452" s="204"/>
    </row>
    <row r="453" spans="1:7" x14ac:dyDescent="0.25">
      <c r="A453" s="102"/>
      <c r="B453" s="200"/>
      <c r="C453" s="201"/>
      <c r="D453" s="202"/>
      <c r="E453" s="202"/>
      <c r="F453" s="203"/>
      <c r="G453" s="204"/>
    </row>
    <row r="454" spans="1:7" x14ac:dyDescent="0.25">
      <c r="A454" s="102"/>
      <c r="B454" s="200"/>
      <c r="C454" s="201"/>
      <c r="D454" s="202"/>
      <c r="E454" s="202"/>
      <c r="F454" s="203"/>
      <c r="G454" s="204"/>
    </row>
    <row r="455" spans="1:7" x14ac:dyDescent="0.25">
      <c r="A455" s="102"/>
      <c r="B455" s="200"/>
      <c r="C455" s="201"/>
      <c r="D455" s="202"/>
      <c r="E455" s="202"/>
      <c r="F455" s="203"/>
      <c r="G455" s="204"/>
    </row>
    <row r="456" spans="1:7" x14ac:dyDescent="0.25">
      <c r="A456" s="102"/>
      <c r="B456" s="200"/>
      <c r="C456" s="201"/>
      <c r="D456" s="202"/>
      <c r="E456" s="202"/>
      <c r="F456" s="203"/>
      <c r="G456" s="204"/>
    </row>
    <row r="457" spans="1:7" x14ac:dyDescent="0.25">
      <c r="A457" s="102"/>
      <c r="B457" s="200"/>
      <c r="C457" s="201"/>
      <c r="D457" s="202"/>
      <c r="E457" s="202"/>
      <c r="F457" s="203"/>
      <c r="G457" s="204"/>
    </row>
    <row r="458" spans="1:7" x14ac:dyDescent="0.25">
      <c r="A458" s="102"/>
      <c r="B458" s="200"/>
      <c r="C458" s="201"/>
      <c r="D458" s="202"/>
      <c r="E458" s="202"/>
      <c r="F458" s="203"/>
      <c r="G458" s="204"/>
    </row>
    <row r="459" spans="1:7" x14ac:dyDescent="0.25">
      <c r="A459" s="102"/>
      <c r="B459" s="200"/>
      <c r="C459" s="201"/>
      <c r="D459" s="202"/>
      <c r="E459" s="202"/>
      <c r="F459" s="203"/>
      <c r="G459" s="204"/>
    </row>
    <row r="460" spans="1:7" x14ac:dyDescent="0.25">
      <c r="A460" s="102"/>
      <c r="B460" s="200"/>
      <c r="C460" s="201"/>
      <c r="D460" s="202"/>
      <c r="E460" s="202"/>
      <c r="F460" s="203"/>
      <c r="G460" s="204"/>
    </row>
    <row r="461" spans="1:7" x14ac:dyDescent="0.25">
      <c r="A461" s="102"/>
      <c r="B461" s="200"/>
      <c r="C461" s="201"/>
      <c r="D461" s="202"/>
      <c r="E461" s="202"/>
      <c r="F461" s="203"/>
      <c r="G461" s="204"/>
    </row>
    <row r="462" spans="1:7" x14ac:dyDescent="0.25">
      <c r="A462" s="102"/>
      <c r="B462" s="200"/>
      <c r="C462" s="201"/>
      <c r="D462" s="202"/>
      <c r="E462" s="202"/>
      <c r="F462" s="203"/>
      <c r="G462" s="204"/>
    </row>
    <row r="463" spans="1:7" x14ac:dyDescent="0.25">
      <c r="A463" s="102"/>
      <c r="B463" s="200"/>
      <c r="C463" s="201"/>
      <c r="D463" s="202"/>
      <c r="E463" s="202"/>
      <c r="F463" s="203"/>
      <c r="G463" s="204"/>
    </row>
    <row r="464" spans="1:7" x14ac:dyDescent="0.25">
      <c r="A464" s="102"/>
      <c r="B464" s="200"/>
      <c r="C464" s="201"/>
      <c r="D464" s="202"/>
      <c r="E464" s="202"/>
      <c r="F464" s="203"/>
      <c r="G464" s="204"/>
    </row>
    <row r="465" spans="1:7" x14ac:dyDescent="0.25">
      <c r="A465" s="102"/>
      <c r="B465" s="200"/>
      <c r="C465" s="201"/>
      <c r="D465" s="202"/>
      <c r="E465" s="202"/>
      <c r="F465" s="203"/>
      <c r="G465" s="204"/>
    </row>
    <row r="466" spans="1:7" x14ac:dyDescent="0.25">
      <c r="A466" s="102"/>
      <c r="B466" s="200"/>
      <c r="C466" s="201"/>
      <c r="D466" s="202"/>
      <c r="E466" s="202"/>
      <c r="F466" s="203"/>
      <c r="G466" s="204"/>
    </row>
    <row r="467" spans="1:7" x14ac:dyDescent="0.25">
      <c r="A467" s="102"/>
      <c r="B467" s="200"/>
      <c r="C467" s="201"/>
      <c r="D467" s="202"/>
      <c r="E467" s="202"/>
      <c r="F467" s="203"/>
      <c r="G467" s="204"/>
    </row>
    <row r="468" spans="1:7" x14ac:dyDescent="0.25">
      <c r="A468" s="102"/>
      <c r="B468" s="200"/>
      <c r="C468" s="201"/>
      <c r="D468" s="202"/>
      <c r="E468" s="202"/>
      <c r="F468" s="203"/>
      <c r="G468" s="204"/>
    </row>
    <row r="469" spans="1:7" x14ac:dyDescent="0.25">
      <c r="A469" s="102"/>
      <c r="B469" s="200"/>
      <c r="C469" s="201"/>
      <c r="D469" s="202"/>
      <c r="E469" s="202"/>
      <c r="F469" s="203"/>
      <c r="G469" s="204"/>
    </row>
    <row r="470" spans="1:7" x14ac:dyDescent="0.25">
      <c r="A470" s="102"/>
      <c r="B470" s="200"/>
      <c r="C470" s="201"/>
      <c r="D470" s="202"/>
      <c r="E470" s="202"/>
      <c r="F470" s="203"/>
      <c r="G470" s="204"/>
    </row>
    <row r="471" spans="1:7" x14ac:dyDescent="0.25">
      <c r="A471" s="102"/>
      <c r="B471" s="200"/>
      <c r="C471" s="201"/>
      <c r="D471" s="202"/>
      <c r="E471" s="202"/>
      <c r="F471" s="203"/>
      <c r="G471" s="204"/>
    </row>
    <row r="472" spans="1:7" x14ac:dyDescent="0.25">
      <c r="A472" s="102"/>
      <c r="B472" s="200"/>
      <c r="C472" s="201"/>
      <c r="D472" s="202"/>
      <c r="E472" s="202"/>
      <c r="F472" s="203"/>
      <c r="G472" s="204"/>
    </row>
    <row r="473" spans="1:7" x14ac:dyDescent="0.25">
      <c r="A473" s="102"/>
      <c r="B473" s="200"/>
      <c r="C473" s="201"/>
      <c r="D473" s="202"/>
      <c r="E473" s="202"/>
      <c r="F473" s="203"/>
      <c r="G473" s="204"/>
    </row>
    <row r="474" spans="1:7" x14ac:dyDescent="0.25">
      <c r="A474" s="102"/>
      <c r="B474" s="200"/>
      <c r="C474" s="201"/>
      <c r="D474" s="202"/>
      <c r="E474" s="202"/>
      <c r="F474" s="203"/>
      <c r="G474" s="204"/>
    </row>
    <row r="475" spans="1:7" x14ac:dyDescent="0.25">
      <c r="A475" s="102"/>
      <c r="B475" s="200"/>
      <c r="C475" s="201"/>
      <c r="D475" s="202"/>
      <c r="E475" s="202"/>
      <c r="F475" s="203"/>
      <c r="G475" s="204"/>
    </row>
    <row r="476" spans="1:7" x14ac:dyDescent="0.25">
      <c r="A476" s="102"/>
      <c r="B476" s="200"/>
      <c r="C476" s="201"/>
      <c r="D476" s="202"/>
      <c r="E476" s="202"/>
      <c r="F476" s="203"/>
      <c r="G476" s="204"/>
    </row>
    <row r="477" spans="1:7" x14ac:dyDescent="0.25">
      <c r="A477" s="102"/>
      <c r="B477" s="200"/>
      <c r="C477" s="201"/>
      <c r="D477" s="202"/>
      <c r="E477" s="202"/>
      <c r="F477" s="203"/>
      <c r="G477" s="204"/>
    </row>
    <row r="478" spans="1:7" x14ac:dyDescent="0.25">
      <c r="A478" s="102"/>
      <c r="B478" s="200"/>
      <c r="C478" s="201"/>
      <c r="D478" s="202"/>
      <c r="E478" s="202"/>
      <c r="F478" s="203"/>
      <c r="G478" s="204"/>
    </row>
    <row r="479" spans="1:7" x14ac:dyDescent="0.25">
      <c r="A479" s="102"/>
      <c r="B479" s="200"/>
      <c r="C479" s="201"/>
      <c r="D479" s="202"/>
      <c r="E479" s="202"/>
      <c r="F479" s="203"/>
      <c r="G479" s="204"/>
    </row>
    <row r="480" spans="1:7" x14ac:dyDescent="0.25">
      <c r="A480" s="102"/>
      <c r="B480" s="200"/>
      <c r="C480" s="201"/>
      <c r="D480" s="202"/>
      <c r="E480" s="202"/>
      <c r="F480" s="203"/>
      <c r="G480" s="204"/>
    </row>
    <row r="481" spans="1:7" x14ac:dyDescent="0.25">
      <c r="A481" s="102"/>
      <c r="B481" s="200"/>
      <c r="C481" s="201"/>
      <c r="D481" s="202"/>
      <c r="E481" s="202"/>
      <c r="F481" s="203"/>
      <c r="G481" s="204"/>
    </row>
    <row r="482" spans="1:7" x14ac:dyDescent="0.25">
      <c r="A482" s="102"/>
      <c r="B482" s="200"/>
      <c r="C482" s="201"/>
      <c r="D482" s="202"/>
      <c r="E482" s="202"/>
      <c r="F482" s="203"/>
      <c r="G482" s="204"/>
    </row>
    <row r="483" spans="1:7" x14ac:dyDescent="0.25">
      <c r="A483" s="102"/>
      <c r="B483" s="200"/>
      <c r="C483" s="201"/>
      <c r="D483" s="202"/>
      <c r="E483" s="202"/>
      <c r="F483" s="203"/>
      <c r="G483" s="204"/>
    </row>
    <row r="484" spans="1:7" x14ac:dyDescent="0.25">
      <c r="A484" s="102"/>
      <c r="B484" s="200"/>
      <c r="C484" s="201"/>
      <c r="D484" s="202"/>
      <c r="E484" s="202"/>
      <c r="F484" s="203"/>
      <c r="G484" s="204"/>
    </row>
    <row r="485" spans="1:7" x14ac:dyDescent="0.25">
      <c r="A485" s="102"/>
      <c r="B485" s="200"/>
      <c r="C485" s="201"/>
      <c r="D485" s="202"/>
      <c r="E485" s="202"/>
      <c r="F485" s="203"/>
      <c r="G485" s="204"/>
    </row>
    <row r="486" spans="1:7" x14ac:dyDescent="0.25">
      <c r="A486" s="102"/>
      <c r="B486" s="200"/>
      <c r="C486" s="201"/>
      <c r="D486" s="202"/>
      <c r="E486" s="202"/>
      <c r="F486" s="203"/>
      <c r="G486" s="204"/>
    </row>
    <row r="487" spans="1:7" x14ac:dyDescent="0.25">
      <c r="A487" s="102"/>
      <c r="B487" s="200"/>
      <c r="C487" s="201"/>
      <c r="D487" s="202"/>
      <c r="E487" s="202"/>
      <c r="F487" s="203"/>
      <c r="G487" s="204"/>
    </row>
    <row r="488" spans="1:7" x14ac:dyDescent="0.25">
      <c r="A488" s="102"/>
      <c r="B488" s="200"/>
      <c r="C488" s="201"/>
      <c r="D488" s="202"/>
      <c r="E488" s="202"/>
      <c r="F488" s="203"/>
      <c r="G488" s="204"/>
    </row>
    <row r="489" spans="1:7" x14ac:dyDescent="0.25">
      <c r="A489" s="102"/>
      <c r="B489" s="200"/>
      <c r="C489" s="201"/>
      <c r="D489" s="202"/>
      <c r="E489" s="202"/>
      <c r="F489" s="203"/>
      <c r="G489" s="204"/>
    </row>
    <row r="490" spans="1:7" x14ac:dyDescent="0.25">
      <c r="A490" s="102"/>
      <c r="B490" s="200"/>
      <c r="C490" s="201"/>
      <c r="D490" s="202"/>
      <c r="E490" s="202"/>
      <c r="F490" s="203"/>
      <c r="G490" s="204"/>
    </row>
    <row r="491" spans="1:7" x14ac:dyDescent="0.25">
      <c r="A491" s="102"/>
      <c r="B491" s="200"/>
      <c r="C491" s="201"/>
      <c r="D491" s="202"/>
      <c r="E491" s="202"/>
      <c r="F491" s="203"/>
      <c r="G491" s="204"/>
    </row>
    <row r="492" spans="1:7" x14ac:dyDescent="0.25">
      <c r="A492" s="102"/>
      <c r="B492" s="200"/>
      <c r="C492" s="201"/>
      <c r="D492" s="202"/>
      <c r="E492" s="202"/>
      <c r="F492" s="203"/>
      <c r="G492" s="204"/>
    </row>
    <row r="493" spans="1:7" x14ac:dyDescent="0.25">
      <c r="A493" s="102"/>
      <c r="B493" s="200"/>
      <c r="C493" s="201"/>
      <c r="D493" s="202"/>
      <c r="E493" s="202"/>
      <c r="F493" s="203"/>
      <c r="G493" s="204"/>
    </row>
    <row r="494" spans="1:7" x14ac:dyDescent="0.25">
      <c r="A494" s="102"/>
      <c r="B494" s="200"/>
      <c r="C494" s="201"/>
      <c r="D494" s="202"/>
      <c r="E494" s="202"/>
      <c r="F494" s="203"/>
      <c r="G494" s="204"/>
    </row>
    <row r="495" spans="1:7" x14ac:dyDescent="0.25">
      <c r="A495" s="102"/>
      <c r="B495" s="200"/>
      <c r="C495" s="201"/>
      <c r="D495" s="202"/>
      <c r="E495" s="202"/>
      <c r="F495" s="203"/>
      <c r="G495" s="204"/>
    </row>
    <row r="496" spans="1:7" x14ac:dyDescent="0.25">
      <c r="A496" s="102"/>
      <c r="B496" s="200"/>
      <c r="C496" s="201"/>
      <c r="D496" s="202"/>
      <c r="E496" s="202"/>
      <c r="F496" s="203"/>
      <c r="G496" s="204"/>
    </row>
    <row r="497" spans="1:7" x14ac:dyDescent="0.25">
      <c r="A497" s="102"/>
      <c r="B497" s="200"/>
      <c r="C497" s="201"/>
      <c r="D497" s="202"/>
      <c r="E497" s="202"/>
      <c r="F497" s="203"/>
      <c r="G497" s="204"/>
    </row>
    <row r="498" spans="1:7" x14ac:dyDescent="0.25">
      <c r="A498" s="102"/>
      <c r="B498" s="200"/>
      <c r="C498" s="201"/>
      <c r="D498" s="202"/>
      <c r="E498" s="202"/>
      <c r="F498" s="203"/>
      <c r="G498" s="204"/>
    </row>
    <row r="499" spans="1:7" x14ac:dyDescent="0.25">
      <c r="A499" s="102"/>
      <c r="B499" s="200"/>
      <c r="C499" s="201"/>
      <c r="D499" s="202"/>
      <c r="E499" s="202"/>
      <c r="F499" s="203"/>
      <c r="G499" s="204"/>
    </row>
    <row r="500" spans="1:7" x14ac:dyDescent="0.25">
      <c r="A500" s="102"/>
      <c r="B500" s="200"/>
      <c r="C500" s="201"/>
      <c r="D500" s="202"/>
      <c r="E500" s="202"/>
      <c r="F500" s="203"/>
      <c r="G500" s="204"/>
    </row>
    <row r="501" spans="1:7" x14ac:dyDescent="0.25">
      <c r="A501" s="102"/>
      <c r="B501" s="200"/>
      <c r="C501" s="201"/>
      <c r="D501" s="202"/>
      <c r="E501" s="202"/>
      <c r="F501" s="203"/>
      <c r="G501" s="204"/>
    </row>
    <row r="502" spans="1:7" x14ac:dyDescent="0.25">
      <c r="A502" s="102"/>
      <c r="B502" s="200"/>
      <c r="C502" s="201"/>
      <c r="D502" s="202"/>
      <c r="E502" s="202"/>
      <c r="F502" s="203"/>
      <c r="G502" s="204"/>
    </row>
    <row r="503" spans="1:7" x14ac:dyDescent="0.25">
      <c r="A503" s="102"/>
      <c r="B503" s="200"/>
      <c r="C503" s="201"/>
      <c r="D503" s="202"/>
      <c r="E503" s="202"/>
      <c r="F503" s="203"/>
      <c r="G503" s="204"/>
    </row>
    <row r="504" spans="1:7" x14ac:dyDescent="0.25">
      <c r="A504" s="102"/>
      <c r="B504" s="200"/>
      <c r="C504" s="201"/>
      <c r="D504" s="202"/>
      <c r="E504" s="202"/>
      <c r="F504" s="203"/>
      <c r="G504" s="204"/>
    </row>
    <row r="505" spans="1:7" x14ac:dyDescent="0.25">
      <c r="A505" s="102"/>
      <c r="B505" s="200"/>
      <c r="C505" s="201"/>
      <c r="D505" s="202"/>
      <c r="E505" s="202"/>
      <c r="F505" s="203"/>
      <c r="G505" s="204"/>
    </row>
    <row r="506" spans="1:7" x14ac:dyDescent="0.25">
      <c r="A506" s="102"/>
      <c r="B506" s="200"/>
      <c r="C506" s="201"/>
      <c r="D506" s="202"/>
      <c r="E506" s="202"/>
      <c r="F506" s="203"/>
      <c r="G506" s="204"/>
    </row>
    <row r="507" spans="1:7" x14ac:dyDescent="0.25">
      <c r="A507" s="102"/>
      <c r="B507" s="200"/>
      <c r="C507" s="201"/>
      <c r="D507" s="202"/>
      <c r="E507" s="202"/>
      <c r="F507" s="203"/>
      <c r="G507" s="204"/>
    </row>
    <row r="508" spans="1:7" x14ac:dyDescent="0.25">
      <c r="A508" s="102"/>
      <c r="B508" s="200"/>
      <c r="C508" s="201"/>
      <c r="D508" s="202"/>
      <c r="E508" s="202"/>
      <c r="F508" s="203"/>
      <c r="G508" s="204"/>
    </row>
    <row r="509" spans="1:7" x14ac:dyDescent="0.25">
      <c r="A509" s="102"/>
      <c r="B509" s="200"/>
      <c r="C509" s="201"/>
      <c r="D509" s="202"/>
      <c r="E509" s="202"/>
      <c r="F509" s="203"/>
      <c r="G509" s="204"/>
    </row>
    <row r="510" spans="1:7" x14ac:dyDescent="0.25">
      <c r="A510" s="102"/>
      <c r="B510" s="200"/>
      <c r="C510" s="201"/>
      <c r="D510" s="202"/>
      <c r="E510" s="202"/>
      <c r="F510" s="203"/>
      <c r="G510" s="204"/>
    </row>
    <row r="511" spans="1:7" x14ac:dyDescent="0.25">
      <c r="A511" s="102"/>
      <c r="B511" s="200"/>
      <c r="C511" s="201"/>
      <c r="D511" s="202"/>
      <c r="E511" s="202"/>
      <c r="F511" s="203"/>
      <c r="G511" s="204"/>
    </row>
    <row r="512" spans="1:7" x14ac:dyDescent="0.25">
      <c r="A512" s="102"/>
      <c r="B512" s="200"/>
      <c r="C512" s="201"/>
      <c r="D512" s="202"/>
      <c r="E512" s="202"/>
      <c r="F512" s="203"/>
      <c r="G512" s="204"/>
    </row>
    <row r="513" spans="1:7" x14ac:dyDescent="0.25">
      <c r="A513" s="102"/>
      <c r="B513" s="200"/>
      <c r="C513" s="201"/>
      <c r="D513" s="202"/>
      <c r="E513" s="202"/>
      <c r="F513" s="203"/>
      <c r="G513" s="204"/>
    </row>
    <row r="514" spans="1:7" x14ac:dyDescent="0.25">
      <c r="A514" s="102"/>
      <c r="B514" s="200"/>
      <c r="C514" s="201"/>
      <c r="D514" s="202"/>
      <c r="E514" s="202"/>
      <c r="F514" s="203"/>
      <c r="G514" s="204"/>
    </row>
    <row r="515" spans="1:7" x14ac:dyDescent="0.25">
      <c r="A515" s="102"/>
      <c r="B515" s="200"/>
      <c r="C515" s="201"/>
      <c r="D515" s="202"/>
      <c r="E515" s="202"/>
      <c r="F515" s="203"/>
      <c r="G515" s="204"/>
    </row>
    <row r="516" spans="1:7" x14ac:dyDescent="0.25">
      <c r="A516" s="102"/>
      <c r="B516" s="200"/>
      <c r="C516" s="201"/>
      <c r="D516" s="202"/>
      <c r="E516" s="202"/>
      <c r="F516" s="203"/>
      <c r="G516" s="204"/>
    </row>
    <row r="517" spans="1:7" x14ac:dyDescent="0.25">
      <c r="A517" s="102"/>
      <c r="B517" s="200"/>
      <c r="C517" s="201"/>
      <c r="D517" s="202"/>
      <c r="E517" s="202"/>
      <c r="F517" s="203"/>
      <c r="G517" s="204"/>
    </row>
    <row r="518" spans="1:7" x14ac:dyDescent="0.25">
      <c r="A518" s="102"/>
      <c r="B518" s="200"/>
      <c r="C518" s="201"/>
      <c r="D518" s="202"/>
      <c r="E518" s="202"/>
      <c r="F518" s="203"/>
      <c r="G518" s="204"/>
    </row>
    <row r="519" spans="1:7" x14ac:dyDescent="0.25">
      <c r="A519" s="102"/>
      <c r="B519" s="200"/>
      <c r="C519" s="201"/>
      <c r="D519" s="202"/>
      <c r="E519" s="202"/>
      <c r="F519" s="203"/>
      <c r="G519" s="204"/>
    </row>
    <row r="520" spans="1:7" x14ac:dyDescent="0.25">
      <c r="A520" s="102"/>
      <c r="B520" s="200"/>
      <c r="C520" s="201"/>
      <c r="D520" s="202"/>
      <c r="E520" s="202"/>
      <c r="F520" s="203"/>
      <c r="G520" s="204"/>
    </row>
    <row r="521" spans="1:7" x14ac:dyDescent="0.25">
      <c r="A521" s="102"/>
      <c r="B521" s="200"/>
      <c r="C521" s="201"/>
      <c r="D521" s="202"/>
      <c r="E521" s="202"/>
      <c r="F521" s="203"/>
      <c r="G521" s="204"/>
    </row>
    <row r="522" spans="1:7" x14ac:dyDescent="0.25">
      <c r="A522" s="102"/>
      <c r="B522" s="200"/>
      <c r="C522" s="201"/>
      <c r="D522" s="202"/>
      <c r="E522" s="202"/>
      <c r="F522" s="203"/>
      <c r="G522" s="204"/>
    </row>
    <row r="523" spans="1:7" x14ac:dyDescent="0.25">
      <c r="A523" s="102"/>
      <c r="B523" s="200"/>
      <c r="C523" s="201"/>
      <c r="D523" s="202"/>
      <c r="E523" s="202"/>
      <c r="F523" s="203"/>
      <c r="G523" s="204"/>
    </row>
    <row r="524" spans="1:7" x14ac:dyDescent="0.25">
      <c r="A524" s="102"/>
      <c r="B524" s="200"/>
      <c r="C524" s="201"/>
      <c r="D524" s="202"/>
      <c r="E524" s="202"/>
      <c r="F524" s="203"/>
      <c r="G524" s="204"/>
    </row>
    <row r="525" spans="1:7" x14ac:dyDescent="0.25">
      <c r="A525" s="102"/>
      <c r="B525" s="200"/>
      <c r="C525" s="201"/>
      <c r="D525" s="202"/>
      <c r="E525" s="202"/>
      <c r="F525" s="203"/>
      <c r="G525" s="204"/>
    </row>
    <row r="526" spans="1:7" x14ac:dyDescent="0.25">
      <c r="A526" s="102"/>
      <c r="B526" s="200"/>
      <c r="C526" s="201"/>
      <c r="D526" s="202"/>
      <c r="E526" s="202"/>
      <c r="F526" s="203"/>
      <c r="G526" s="204"/>
    </row>
    <row r="527" spans="1:7" x14ac:dyDescent="0.25">
      <c r="A527" s="102"/>
      <c r="B527" s="200"/>
      <c r="C527" s="201"/>
      <c r="D527" s="202"/>
      <c r="E527" s="202"/>
      <c r="F527" s="203"/>
      <c r="G527" s="204"/>
    </row>
    <row r="528" spans="1:7" x14ac:dyDescent="0.25">
      <c r="A528" s="102"/>
      <c r="B528" s="200"/>
      <c r="C528" s="201"/>
      <c r="D528" s="202"/>
      <c r="E528" s="202"/>
      <c r="F528" s="203"/>
      <c r="G528" s="204"/>
    </row>
    <row r="529" spans="1:7" x14ac:dyDescent="0.25">
      <c r="A529" s="102"/>
      <c r="B529" s="200"/>
      <c r="C529" s="201"/>
      <c r="D529" s="202"/>
      <c r="E529" s="202"/>
      <c r="F529" s="203"/>
      <c r="G529" s="204"/>
    </row>
    <row r="530" spans="1:7" x14ac:dyDescent="0.25">
      <c r="A530" s="102"/>
      <c r="B530" s="200"/>
      <c r="C530" s="201"/>
      <c r="D530" s="202"/>
      <c r="E530" s="202"/>
      <c r="F530" s="203"/>
      <c r="G530" s="204"/>
    </row>
    <row r="531" spans="1:7" x14ac:dyDescent="0.25">
      <c r="A531" s="102"/>
      <c r="B531" s="200"/>
      <c r="C531" s="201"/>
      <c r="D531" s="202"/>
      <c r="E531" s="202"/>
      <c r="F531" s="203"/>
      <c r="G531" s="204"/>
    </row>
    <row r="532" spans="1:7" x14ac:dyDescent="0.25">
      <c r="A532" s="102"/>
      <c r="B532" s="200"/>
      <c r="C532" s="201"/>
      <c r="D532" s="202"/>
      <c r="E532" s="202"/>
      <c r="F532" s="203"/>
      <c r="G532" s="204"/>
    </row>
    <row r="533" spans="1:7" x14ac:dyDescent="0.25">
      <c r="A533" s="102"/>
      <c r="B533" s="200"/>
      <c r="C533" s="201"/>
      <c r="D533" s="202"/>
      <c r="E533" s="202"/>
      <c r="F533" s="203"/>
      <c r="G533" s="204"/>
    </row>
    <row r="534" spans="1:7" x14ac:dyDescent="0.25">
      <c r="A534" s="102"/>
      <c r="B534" s="200"/>
      <c r="C534" s="201"/>
      <c r="D534" s="202"/>
      <c r="E534" s="202"/>
      <c r="F534" s="203"/>
      <c r="G534" s="204"/>
    </row>
    <row r="535" spans="1:7" x14ac:dyDescent="0.25">
      <c r="A535" s="102"/>
      <c r="B535" s="200"/>
      <c r="C535" s="201"/>
      <c r="D535" s="202"/>
      <c r="E535" s="202"/>
      <c r="F535" s="203"/>
      <c r="G535" s="204"/>
    </row>
    <row r="536" spans="1:7" x14ac:dyDescent="0.25">
      <c r="A536" s="102"/>
      <c r="B536" s="200"/>
      <c r="C536" s="201"/>
      <c r="D536" s="202"/>
      <c r="E536" s="202"/>
      <c r="F536" s="203"/>
      <c r="G536" s="204"/>
    </row>
    <row r="537" spans="1:7" x14ac:dyDescent="0.25">
      <c r="A537" s="102"/>
      <c r="B537" s="200"/>
      <c r="C537" s="201"/>
      <c r="D537" s="202"/>
      <c r="E537" s="202"/>
      <c r="F537" s="203"/>
      <c r="G537" s="204"/>
    </row>
    <row r="538" spans="1:7" x14ac:dyDescent="0.25">
      <c r="A538" s="102"/>
      <c r="B538" s="200"/>
      <c r="C538" s="201"/>
      <c r="D538" s="202"/>
      <c r="E538" s="202"/>
      <c r="F538" s="203"/>
      <c r="G538" s="204"/>
    </row>
    <row r="539" spans="1:7" x14ac:dyDescent="0.25">
      <c r="A539" s="102"/>
      <c r="B539" s="200"/>
      <c r="C539" s="201"/>
      <c r="D539" s="202"/>
      <c r="E539" s="202"/>
      <c r="F539" s="203"/>
      <c r="G539" s="204"/>
    </row>
    <row r="540" spans="1:7" x14ac:dyDescent="0.25">
      <c r="A540" s="102"/>
      <c r="B540" s="200"/>
      <c r="C540" s="201"/>
      <c r="D540" s="202"/>
      <c r="E540" s="202"/>
      <c r="F540" s="203"/>
      <c r="G540" s="204"/>
    </row>
    <row r="541" spans="1:7" x14ac:dyDescent="0.25">
      <c r="A541" s="102"/>
      <c r="B541" s="200"/>
      <c r="C541" s="201"/>
      <c r="D541" s="202"/>
      <c r="E541" s="202"/>
      <c r="F541" s="203"/>
      <c r="G541" s="204"/>
    </row>
    <row r="542" spans="1:7" x14ac:dyDescent="0.25">
      <c r="A542" s="102"/>
      <c r="B542" s="200"/>
      <c r="C542" s="201"/>
      <c r="D542" s="202"/>
      <c r="E542" s="202"/>
      <c r="F542" s="203"/>
      <c r="G542" s="204"/>
    </row>
    <row r="543" spans="1:7" x14ac:dyDescent="0.25">
      <c r="A543" s="102"/>
      <c r="B543" s="200"/>
      <c r="C543" s="201"/>
      <c r="D543" s="202"/>
      <c r="E543" s="202"/>
      <c r="F543" s="203"/>
      <c r="G543" s="204"/>
    </row>
    <row r="544" spans="1:7" x14ac:dyDescent="0.25">
      <c r="A544" s="102"/>
      <c r="B544" s="200"/>
      <c r="C544" s="201"/>
      <c r="D544" s="202"/>
      <c r="E544" s="202"/>
      <c r="F544" s="203"/>
      <c r="G544" s="204"/>
    </row>
    <row r="545" spans="1:7" x14ac:dyDescent="0.25">
      <c r="A545" s="102"/>
      <c r="B545" s="200"/>
      <c r="C545" s="201"/>
      <c r="D545" s="202"/>
      <c r="E545" s="202"/>
      <c r="F545" s="203"/>
      <c r="G545" s="204"/>
    </row>
    <row r="546" spans="1:7" x14ac:dyDescent="0.25">
      <c r="A546" s="102"/>
      <c r="B546" s="200"/>
      <c r="C546" s="201"/>
      <c r="D546" s="202"/>
      <c r="E546" s="202"/>
      <c r="F546" s="203"/>
      <c r="G546" s="204"/>
    </row>
    <row r="547" spans="1:7" x14ac:dyDescent="0.25">
      <c r="A547" s="102"/>
      <c r="B547" s="200"/>
      <c r="C547" s="201"/>
      <c r="D547" s="202"/>
      <c r="E547" s="202"/>
      <c r="F547" s="203"/>
      <c r="G547" s="204"/>
    </row>
    <row r="548" spans="1:7" x14ac:dyDescent="0.25">
      <c r="A548" s="102"/>
      <c r="B548" s="200"/>
      <c r="C548" s="201"/>
      <c r="D548" s="202"/>
      <c r="E548" s="202"/>
      <c r="F548" s="203"/>
      <c r="G548" s="204"/>
    </row>
    <row r="549" spans="1:7" x14ac:dyDescent="0.25">
      <c r="A549" s="102"/>
      <c r="B549" s="200"/>
      <c r="C549" s="201"/>
      <c r="D549" s="202"/>
      <c r="E549" s="202"/>
      <c r="F549" s="203"/>
      <c r="G549" s="204"/>
    </row>
    <row r="550" spans="1:7" x14ac:dyDescent="0.25">
      <c r="A550" s="102"/>
      <c r="B550" s="200"/>
      <c r="C550" s="201"/>
      <c r="D550" s="202"/>
      <c r="E550" s="202"/>
      <c r="F550" s="203"/>
      <c r="G550" s="204"/>
    </row>
    <row r="551" spans="1:7" x14ac:dyDescent="0.25">
      <c r="A551" s="102"/>
      <c r="B551" s="200"/>
      <c r="C551" s="201"/>
      <c r="D551" s="202"/>
      <c r="E551" s="202"/>
      <c r="F551" s="203"/>
      <c r="G551" s="204"/>
    </row>
    <row r="552" spans="1:7" x14ac:dyDescent="0.25">
      <c r="A552" s="102"/>
      <c r="B552" s="200"/>
      <c r="C552" s="201"/>
      <c r="D552" s="202"/>
      <c r="E552" s="202"/>
      <c r="F552" s="203"/>
      <c r="G552" s="204"/>
    </row>
    <row r="553" spans="1:7" x14ac:dyDescent="0.25">
      <c r="A553" s="102"/>
      <c r="B553" s="200"/>
      <c r="C553" s="201"/>
      <c r="D553" s="202"/>
      <c r="E553" s="202"/>
      <c r="F553" s="203"/>
      <c r="G553" s="204"/>
    </row>
    <row r="554" spans="1:7" x14ac:dyDescent="0.25">
      <c r="A554" s="102"/>
      <c r="B554" s="200"/>
      <c r="C554" s="201"/>
      <c r="D554" s="202"/>
      <c r="E554" s="202"/>
      <c r="F554" s="203"/>
      <c r="G554" s="204"/>
    </row>
    <row r="555" spans="1:7" x14ac:dyDescent="0.25">
      <c r="A555" s="102"/>
      <c r="B555" s="200"/>
      <c r="C555" s="201"/>
      <c r="D555" s="202"/>
      <c r="E555" s="202"/>
      <c r="F555" s="203"/>
      <c r="G555" s="204"/>
    </row>
    <row r="556" spans="1:7" x14ac:dyDescent="0.25">
      <c r="A556" s="102"/>
      <c r="B556" s="200"/>
      <c r="C556" s="201"/>
      <c r="D556" s="202"/>
      <c r="E556" s="202"/>
      <c r="F556" s="203"/>
      <c r="G556" s="204"/>
    </row>
    <row r="557" spans="1:7" x14ac:dyDescent="0.25">
      <c r="A557" s="102"/>
      <c r="B557" s="200"/>
      <c r="C557" s="201"/>
      <c r="D557" s="202"/>
      <c r="E557" s="202"/>
      <c r="F557" s="203"/>
      <c r="G557" s="204"/>
    </row>
    <row r="558" spans="1:7" x14ac:dyDescent="0.25">
      <c r="A558" s="102"/>
      <c r="B558" s="200"/>
      <c r="C558" s="201"/>
      <c r="D558" s="202"/>
      <c r="E558" s="202"/>
      <c r="F558" s="203"/>
      <c r="G558" s="204"/>
    </row>
    <row r="559" spans="1:7" x14ac:dyDescent="0.25">
      <c r="A559" s="102"/>
      <c r="B559" s="200"/>
      <c r="C559" s="201"/>
      <c r="D559" s="202"/>
      <c r="E559" s="202"/>
      <c r="F559" s="203"/>
      <c r="G559" s="204"/>
    </row>
    <row r="560" spans="1:7" x14ac:dyDescent="0.25">
      <c r="A560" s="102"/>
      <c r="B560" s="200"/>
      <c r="C560" s="201"/>
      <c r="D560" s="202"/>
      <c r="E560" s="202"/>
      <c r="F560" s="203"/>
      <c r="G560" s="204"/>
    </row>
    <row r="561" spans="1:7" x14ac:dyDescent="0.25">
      <c r="A561" s="102"/>
      <c r="B561" s="200"/>
      <c r="C561" s="201"/>
      <c r="D561" s="202"/>
      <c r="E561" s="202"/>
      <c r="F561" s="203"/>
      <c r="G561" s="204"/>
    </row>
    <row r="562" spans="1:7" x14ac:dyDescent="0.25">
      <c r="A562" s="102"/>
      <c r="B562" s="200"/>
      <c r="C562" s="201"/>
      <c r="D562" s="202"/>
      <c r="E562" s="202"/>
      <c r="F562" s="203"/>
      <c r="G562" s="204"/>
    </row>
    <row r="563" spans="1:7" x14ac:dyDescent="0.25">
      <c r="A563" s="102"/>
      <c r="B563" s="200"/>
      <c r="C563" s="201"/>
      <c r="D563" s="202"/>
      <c r="E563" s="202"/>
      <c r="F563" s="203"/>
      <c r="G563" s="204"/>
    </row>
    <row r="564" spans="1:7" x14ac:dyDescent="0.25">
      <c r="A564" s="102"/>
      <c r="B564" s="200"/>
      <c r="C564" s="201"/>
      <c r="D564" s="202"/>
      <c r="E564" s="202"/>
      <c r="F564" s="203"/>
      <c r="G564" s="204"/>
    </row>
    <row r="565" spans="1:7" x14ac:dyDescent="0.25">
      <c r="A565" s="102"/>
      <c r="B565" s="200"/>
      <c r="C565" s="201"/>
      <c r="D565" s="202"/>
      <c r="E565" s="202"/>
      <c r="F565" s="203"/>
      <c r="G565" s="204"/>
    </row>
    <row r="566" spans="1:7" x14ac:dyDescent="0.25">
      <c r="A566" s="102"/>
      <c r="B566" s="200"/>
      <c r="C566" s="201"/>
      <c r="D566" s="202"/>
      <c r="E566" s="202"/>
      <c r="F566" s="203"/>
      <c r="G566" s="204"/>
    </row>
    <row r="567" spans="1:7" x14ac:dyDescent="0.25">
      <c r="A567" s="102"/>
      <c r="B567" s="200"/>
      <c r="C567" s="201"/>
      <c r="D567" s="202"/>
      <c r="E567" s="202"/>
      <c r="F567" s="203"/>
      <c r="G567" s="204"/>
    </row>
    <row r="568" spans="1:7" x14ac:dyDescent="0.25">
      <c r="A568" s="102"/>
      <c r="B568" s="200"/>
      <c r="C568" s="201"/>
      <c r="D568" s="202"/>
      <c r="E568" s="202"/>
      <c r="F568" s="203"/>
      <c r="G568" s="204"/>
    </row>
    <row r="569" spans="1:7" x14ac:dyDescent="0.25">
      <c r="A569" s="102"/>
      <c r="B569" s="200"/>
      <c r="C569" s="201"/>
      <c r="D569" s="202"/>
      <c r="E569" s="202"/>
      <c r="F569" s="203"/>
      <c r="G569" s="204"/>
    </row>
    <row r="570" spans="1:7" x14ac:dyDescent="0.25">
      <c r="A570" s="102"/>
      <c r="B570" s="200"/>
      <c r="C570" s="201"/>
      <c r="D570" s="202"/>
      <c r="E570" s="202"/>
      <c r="F570" s="203"/>
      <c r="G570" s="204"/>
    </row>
    <row r="571" spans="1:7" x14ac:dyDescent="0.25">
      <c r="A571" s="102"/>
      <c r="B571" s="200"/>
      <c r="C571" s="201"/>
      <c r="D571" s="202"/>
      <c r="E571" s="202"/>
      <c r="F571" s="203"/>
      <c r="G571" s="204"/>
    </row>
    <row r="572" spans="1:7" x14ac:dyDescent="0.25">
      <c r="A572" s="102"/>
      <c r="B572" s="200"/>
      <c r="C572" s="201"/>
      <c r="D572" s="202"/>
      <c r="E572" s="202"/>
      <c r="F572" s="203"/>
      <c r="G572" s="204"/>
    </row>
    <row r="573" spans="1:7" x14ac:dyDescent="0.25">
      <c r="A573" s="102"/>
      <c r="B573" s="200"/>
      <c r="C573" s="201"/>
      <c r="D573" s="202"/>
      <c r="E573" s="202"/>
      <c r="F573" s="203"/>
      <c r="G573" s="204"/>
    </row>
    <row r="574" spans="1:7" x14ac:dyDescent="0.25">
      <c r="A574" s="102"/>
      <c r="B574" s="200"/>
      <c r="C574" s="201"/>
      <c r="D574" s="202"/>
      <c r="E574" s="202"/>
      <c r="F574" s="203"/>
      <c r="G574" s="204"/>
    </row>
    <row r="575" spans="1:7" x14ac:dyDescent="0.25">
      <c r="A575" s="102"/>
      <c r="B575" s="200"/>
      <c r="C575" s="201"/>
      <c r="D575" s="202"/>
      <c r="E575" s="202"/>
      <c r="F575" s="203"/>
      <c r="G575" s="204"/>
    </row>
    <row r="576" spans="1:7" x14ac:dyDescent="0.25">
      <c r="A576" s="102"/>
      <c r="B576" s="200"/>
      <c r="C576" s="201"/>
      <c r="D576" s="202"/>
      <c r="E576" s="202"/>
      <c r="F576" s="203"/>
      <c r="G576" s="204"/>
    </row>
    <row r="577" spans="1:7" x14ac:dyDescent="0.25">
      <c r="A577" s="102"/>
      <c r="B577" s="200"/>
      <c r="C577" s="201"/>
      <c r="D577" s="202"/>
      <c r="E577" s="202"/>
      <c r="F577" s="203"/>
      <c r="G577" s="204"/>
    </row>
    <row r="578" spans="1:7" x14ac:dyDescent="0.25">
      <c r="A578" s="102"/>
      <c r="B578" s="200"/>
      <c r="C578" s="201"/>
      <c r="D578" s="202"/>
      <c r="E578" s="202"/>
      <c r="F578" s="203"/>
      <c r="G578" s="204"/>
    </row>
    <row r="579" spans="1:7" x14ac:dyDescent="0.25">
      <c r="A579" s="102"/>
      <c r="B579" s="200"/>
      <c r="C579" s="201"/>
      <c r="D579" s="202"/>
      <c r="E579" s="202"/>
      <c r="F579" s="203"/>
      <c r="G579" s="204"/>
    </row>
    <row r="580" spans="1:7" x14ac:dyDescent="0.25">
      <c r="A580" s="102"/>
      <c r="B580" s="200"/>
      <c r="C580" s="201"/>
      <c r="D580" s="202"/>
      <c r="E580" s="202"/>
      <c r="F580" s="203"/>
      <c r="G580" s="204"/>
    </row>
    <row r="581" spans="1:7" x14ac:dyDescent="0.25">
      <c r="A581" s="102"/>
      <c r="B581" s="200"/>
      <c r="C581" s="201"/>
      <c r="D581" s="202"/>
      <c r="E581" s="202"/>
      <c r="F581" s="203"/>
      <c r="G581" s="204"/>
    </row>
    <row r="582" spans="1:7" x14ac:dyDescent="0.25">
      <c r="A582" s="102"/>
      <c r="B582" s="200"/>
      <c r="C582" s="201"/>
      <c r="D582" s="202"/>
      <c r="E582" s="202"/>
      <c r="F582" s="203"/>
      <c r="G582" s="204"/>
    </row>
    <row r="583" spans="1:7" x14ac:dyDescent="0.25">
      <c r="A583" s="102"/>
      <c r="B583" s="200"/>
      <c r="C583" s="201"/>
      <c r="D583" s="202"/>
      <c r="E583" s="202"/>
      <c r="F583" s="203"/>
      <c r="G583" s="204"/>
    </row>
    <row r="584" spans="1:7" x14ac:dyDescent="0.25">
      <c r="A584" s="102"/>
      <c r="B584" s="200"/>
      <c r="C584" s="201"/>
      <c r="D584" s="202"/>
      <c r="E584" s="202"/>
      <c r="F584" s="203"/>
      <c r="G584" s="204"/>
    </row>
    <row r="585" spans="1:7" x14ac:dyDescent="0.25">
      <c r="A585" s="102"/>
      <c r="B585" s="200"/>
      <c r="C585" s="201"/>
      <c r="D585" s="202"/>
      <c r="E585" s="202"/>
      <c r="F585" s="203"/>
      <c r="G585" s="204"/>
    </row>
    <row r="586" spans="1:7" x14ac:dyDescent="0.25">
      <c r="A586" s="102"/>
      <c r="B586" s="200"/>
      <c r="C586" s="201"/>
      <c r="D586" s="202"/>
      <c r="E586" s="202"/>
      <c r="F586" s="203"/>
      <c r="G586" s="204"/>
    </row>
    <row r="587" spans="1:7" x14ac:dyDescent="0.25">
      <c r="A587" s="102"/>
      <c r="B587" s="200"/>
      <c r="C587" s="201"/>
      <c r="D587" s="202"/>
      <c r="E587" s="202"/>
      <c r="F587" s="203"/>
      <c r="G587" s="204"/>
    </row>
    <row r="588" spans="1:7" x14ac:dyDescent="0.25">
      <c r="A588" s="102"/>
      <c r="B588" s="200"/>
      <c r="C588" s="201"/>
      <c r="D588" s="202"/>
      <c r="E588" s="202"/>
      <c r="F588" s="203"/>
      <c r="G588" s="204"/>
    </row>
    <row r="589" spans="1:7" x14ac:dyDescent="0.25">
      <c r="A589" s="102"/>
      <c r="B589" s="200"/>
      <c r="C589" s="201"/>
      <c r="D589" s="202"/>
      <c r="E589" s="202"/>
      <c r="F589" s="203"/>
      <c r="G589" s="204"/>
    </row>
    <row r="590" spans="1:7" x14ac:dyDescent="0.25">
      <c r="A590" s="102"/>
      <c r="B590" s="200"/>
      <c r="C590" s="201"/>
      <c r="D590" s="202"/>
      <c r="E590" s="202"/>
      <c r="F590" s="203"/>
      <c r="G590" s="204"/>
    </row>
    <row r="591" spans="1:7" x14ac:dyDescent="0.25">
      <c r="A591" s="102"/>
      <c r="B591" s="200"/>
      <c r="C591" s="201"/>
      <c r="D591" s="202"/>
      <c r="E591" s="202"/>
      <c r="F591" s="203"/>
      <c r="G591" s="204"/>
    </row>
    <row r="592" spans="1:7" x14ac:dyDescent="0.25">
      <c r="A592" s="102"/>
      <c r="B592" s="200"/>
      <c r="C592" s="201"/>
      <c r="D592" s="202"/>
      <c r="E592" s="202"/>
      <c r="F592" s="203"/>
      <c r="G592" s="204"/>
    </row>
    <row r="593" spans="1:7" x14ac:dyDescent="0.25">
      <c r="A593" s="102"/>
      <c r="B593" s="200"/>
      <c r="C593" s="201"/>
      <c r="D593" s="202"/>
      <c r="E593" s="202"/>
      <c r="F593" s="203"/>
      <c r="G593" s="204"/>
    </row>
    <row r="594" spans="1:7" x14ac:dyDescent="0.25">
      <c r="A594" s="102"/>
      <c r="B594" s="200"/>
      <c r="C594" s="201"/>
      <c r="D594" s="202"/>
      <c r="E594" s="202"/>
      <c r="F594" s="203"/>
      <c r="G594" s="204"/>
    </row>
    <row r="595" spans="1:7" x14ac:dyDescent="0.25">
      <c r="A595" s="102"/>
      <c r="B595" s="200"/>
      <c r="C595" s="201"/>
      <c r="D595" s="202"/>
      <c r="E595" s="202"/>
      <c r="F595" s="203"/>
      <c r="G595" s="204"/>
    </row>
    <row r="596" spans="1:7" x14ac:dyDescent="0.25">
      <c r="A596" s="102"/>
      <c r="B596" s="200"/>
      <c r="C596" s="201"/>
      <c r="D596" s="202"/>
      <c r="E596" s="202"/>
      <c r="F596" s="203"/>
      <c r="G596" s="204"/>
    </row>
    <row r="597" spans="1:7" x14ac:dyDescent="0.25">
      <c r="A597" s="102"/>
      <c r="B597" s="200"/>
      <c r="C597" s="201"/>
      <c r="D597" s="202"/>
      <c r="E597" s="202"/>
      <c r="F597" s="203"/>
      <c r="G597" s="204"/>
    </row>
    <row r="598" spans="1:7" x14ac:dyDescent="0.25">
      <c r="A598" s="102"/>
      <c r="B598" s="200"/>
      <c r="C598" s="201"/>
      <c r="D598" s="202"/>
      <c r="E598" s="202"/>
      <c r="F598" s="203"/>
      <c r="G598" s="204"/>
    </row>
    <row r="599" spans="1:7" x14ac:dyDescent="0.25">
      <c r="A599" s="102"/>
      <c r="B599" s="200"/>
      <c r="C599" s="201"/>
      <c r="D599" s="202"/>
      <c r="E599" s="202"/>
      <c r="F599" s="203"/>
      <c r="G599" s="204"/>
    </row>
    <row r="600" spans="1:7" x14ac:dyDescent="0.25">
      <c r="A600" s="102"/>
      <c r="B600" s="200"/>
      <c r="C600" s="201"/>
      <c r="D600" s="202"/>
      <c r="E600" s="202"/>
      <c r="F600" s="203"/>
      <c r="G600" s="204"/>
    </row>
    <row r="601" spans="1:7" x14ac:dyDescent="0.25">
      <c r="A601" s="102"/>
      <c r="B601" s="200"/>
      <c r="C601" s="201"/>
      <c r="D601" s="202"/>
      <c r="E601" s="202"/>
      <c r="F601" s="203"/>
      <c r="G601" s="204"/>
    </row>
    <row r="602" spans="1:7" x14ac:dyDescent="0.25">
      <c r="A602" s="102"/>
      <c r="B602" s="200"/>
      <c r="C602" s="201"/>
      <c r="D602" s="202"/>
      <c r="E602" s="202"/>
      <c r="F602" s="203"/>
      <c r="G602" s="204"/>
    </row>
    <row r="603" spans="1:7" x14ac:dyDescent="0.25">
      <c r="A603" s="102"/>
      <c r="B603" s="200"/>
      <c r="C603" s="201"/>
      <c r="D603" s="202"/>
      <c r="E603" s="202"/>
      <c r="F603" s="203"/>
      <c r="G603" s="204"/>
    </row>
    <row r="604" spans="1:7" x14ac:dyDescent="0.25">
      <c r="A604" s="102"/>
      <c r="B604" s="200"/>
      <c r="C604" s="201"/>
      <c r="D604" s="202"/>
      <c r="E604" s="202"/>
      <c r="F604" s="203"/>
      <c r="G604" s="204"/>
    </row>
    <row r="605" spans="1:7" x14ac:dyDescent="0.25">
      <c r="A605" s="102"/>
      <c r="B605" s="200"/>
      <c r="C605" s="201"/>
      <c r="D605" s="202"/>
      <c r="E605" s="202"/>
      <c r="F605" s="203"/>
      <c r="G605" s="204"/>
    </row>
    <row r="606" spans="1:7" x14ac:dyDescent="0.25">
      <c r="A606" s="102"/>
      <c r="B606" s="200"/>
      <c r="C606" s="201"/>
      <c r="D606" s="202"/>
      <c r="E606" s="202"/>
      <c r="F606" s="203"/>
      <c r="G606" s="204"/>
    </row>
    <row r="607" spans="1:7" x14ac:dyDescent="0.25">
      <c r="A607" s="102"/>
      <c r="B607" s="200"/>
      <c r="C607" s="201"/>
      <c r="D607" s="202"/>
      <c r="E607" s="202"/>
      <c r="F607" s="203"/>
      <c r="G607" s="204"/>
    </row>
    <row r="608" spans="1:7" x14ac:dyDescent="0.25">
      <c r="A608" s="102"/>
      <c r="B608" s="200"/>
      <c r="C608" s="201"/>
      <c r="D608" s="202"/>
      <c r="E608" s="202"/>
      <c r="F608" s="203"/>
      <c r="G608" s="204"/>
    </row>
    <row r="609" spans="1:7" x14ac:dyDescent="0.25">
      <c r="A609" s="102"/>
      <c r="B609" s="200"/>
      <c r="C609" s="201"/>
      <c r="D609" s="202"/>
      <c r="E609" s="202"/>
      <c r="F609" s="203"/>
      <c r="G609" s="204"/>
    </row>
    <row r="610" spans="1:7" x14ac:dyDescent="0.25">
      <c r="A610" s="102"/>
      <c r="B610" s="200"/>
      <c r="C610" s="201"/>
      <c r="D610" s="202"/>
      <c r="E610" s="202"/>
      <c r="F610" s="203"/>
      <c r="G610" s="204"/>
    </row>
    <row r="611" spans="1:7" x14ac:dyDescent="0.25">
      <c r="A611" s="102"/>
      <c r="B611" s="200"/>
      <c r="C611" s="201"/>
      <c r="D611" s="202"/>
      <c r="E611" s="202"/>
      <c r="F611" s="203"/>
      <c r="G611" s="204"/>
    </row>
    <row r="612" spans="1:7" x14ac:dyDescent="0.25">
      <c r="A612" s="102"/>
      <c r="B612" s="200"/>
      <c r="C612" s="201"/>
      <c r="D612" s="202"/>
      <c r="E612" s="202"/>
      <c r="F612" s="203"/>
      <c r="G612" s="204"/>
    </row>
    <row r="613" spans="1:7" x14ac:dyDescent="0.25">
      <c r="A613" s="102"/>
      <c r="B613" s="200"/>
      <c r="C613" s="201"/>
      <c r="D613" s="202"/>
      <c r="E613" s="202"/>
      <c r="F613" s="203"/>
      <c r="G613" s="204"/>
    </row>
    <row r="614" spans="1:7" x14ac:dyDescent="0.25">
      <c r="A614" s="102"/>
      <c r="B614" s="200"/>
      <c r="C614" s="201"/>
      <c r="D614" s="202"/>
      <c r="E614" s="202"/>
      <c r="F614" s="203"/>
      <c r="G614" s="204"/>
    </row>
    <row r="615" spans="1:7" x14ac:dyDescent="0.25">
      <c r="A615" s="102"/>
      <c r="B615" s="200"/>
      <c r="C615" s="201"/>
      <c r="D615" s="202"/>
      <c r="E615" s="202"/>
      <c r="F615" s="203"/>
      <c r="G615" s="204"/>
    </row>
    <row r="616" spans="1:7" x14ac:dyDescent="0.25">
      <c r="A616" s="102"/>
      <c r="B616" s="200"/>
      <c r="C616" s="201"/>
      <c r="D616" s="202"/>
      <c r="E616" s="202"/>
      <c r="F616" s="203"/>
      <c r="G616" s="204"/>
    </row>
    <row r="617" spans="1:7" x14ac:dyDescent="0.25">
      <c r="A617" s="102"/>
      <c r="B617" s="200"/>
      <c r="C617" s="201"/>
      <c r="D617" s="202"/>
      <c r="E617" s="202"/>
      <c r="F617" s="203"/>
      <c r="G617" s="204"/>
    </row>
    <row r="618" spans="1:7" x14ac:dyDescent="0.25">
      <c r="A618" s="102"/>
      <c r="B618" s="200"/>
      <c r="C618" s="201"/>
      <c r="D618" s="202"/>
      <c r="E618" s="202"/>
      <c r="F618" s="203"/>
      <c r="G618" s="204"/>
    </row>
    <row r="619" spans="1:7" x14ac:dyDescent="0.25">
      <c r="A619" s="102"/>
      <c r="B619" s="200"/>
      <c r="C619" s="201"/>
      <c r="D619" s="202"/>
      <c r="E619" s="202"/>
      <c r="F619" s="203"/>
      <c r="G619" s="204"/>
    </row>
    <row r="620" spans="1:7" x14ac:dyDescent="0.25">
      <c r="A620" s="102"/>
      <c r="B620" s="200"/>
      <c r="C620" s="201"/>
      <c r="D620" s="202"/>
      <c r="E620" s="202"/>
      <c r="F620" s="203"/>
      <c r="G620" s="204"/>
    </row>
    <row r="621" spans="1:7" x14ac:dyDescent="0.25">
      <c r="A621" s="102"/>
      <c r="B621" s="200"/>
      <c r="C621" s="201"/>
      <c r="D621" s="202"/>
      <c r="E621" s="202"/>
      <c r="F621" s="203"/>
      <c r="G621" s="204"/>
    </row>
    <row r="622" spans="1:7" x14ac:dyDescent="0.25">
      <c r="A622" s="102"/>
      <c r="B622" s="200"/>
      <c r="C622" s="201"/>
      <c r="D622" s="202"/>
      <c r="E622" s="202"/>
      <c r="F622" s="203"/>
      <c r="G622" s="204"/>
    </row>
    <row r="623" spans="1:7" x14ac:dyDescent="0.25">
      <c r="A623" s="102"/>
      <c r="B623" s="200"/>
      <c r="C623" s="201"/>
      <c r="D623" s="202"/>
      <c r="E623" s="202"/>
      <c r="F623" s="203"/>
      <c r="G623" s="204"/>
    </row>
    <row r="624" spans="1:7" x14ac:dyDescent="0.25">
      <c r="A624" s="102"/>
      <c r="B624" s="200"/>
      <c r="C624" s="201"/>
      <c r="D624" s="202"/>
      <c r="E624" s="202"/>
      <c r="F624" s="203"/>
      <c r="G624" s="204"/>
    </row>
    <row r="625" spans="1:7" x14ac:dyDescent="0.25">
      <c r="A625" s="102"/>
      <c r="B625" s="200"/>
      <c r="C625" s="201"/>
      <c r="D625" s="202"/>
      <c r="E625" s="202"/>
      <c r="F625" s="203"/>
      <c r="G625" s="204"/>
    </row>
    <row r="626" spans="1:7" x14ac:dyDescent="0.25">
      <c r="A626" s="102"/>
      <c r="B626" s="200"/>
      <c r="C626" s="201"/>
      <c r="D626" s="202"/>
      <c r="E626" s="202"/>
      <c r="F626" s="203"/>
      <c r="G626" s="204"/>
    </row>
    <row r="627" spans="1:7" x14ac:dyDescent="0.25">
      <c r="A627" s="102"/>
      <c r="B627" s="200"/>
      <c r="C627" s="201"/>
      <c r="D627" s="202"/>
      <c r="E627" s="202"/>
      <c r="F627" s="203"/>
      <c r="G627" s="204"/>
    </row>
    <row r="628" spans="1:7" x14ac:dyDescent="0.25">
      <c r="A628" s="102"/>
      <c r="B628" s="200"/>
      <c r="C628" s="201"/>
      <c r="D628" s="202"/>
      <c r="E628" s="202"/>
      <c r="F628" s="203"/>
      <c r="G628" s="204"/>
    </row>
    <row r="629" spans="1:7" x14ac:dyDescent="0.25">
      <c r="A629" s="102"/>
      <c r="B629" s="200"/>
      <c r="C629" s="201"/>
      <c r="D629" s="202"/>
      <c r="E629" s="202"/>
      <c r="F629" s="203"/>
      <c r="G629" s="204"/>
    </row>
    <row r="630" spans="1:7" x14ac:dyDescent="0.25">
      <c r="A630" s="102"/>
      <c r="B630" s="200"/>
      <c r="C630" s="201"/>
      <c r="D630" s="202"/>
      <c r="E630" s="202"/>
      <c r="F630" s="203"/>
      <c r="G630" s="204"/>
    </row>
    <row r="631" spans="1:7" x14ac:dyDescent="0.25">
      <c r="A631" s="102"/>
      <c r="B631" s="200"/>
      <c r="C631" s="201"/>
      <c r="D631" s="202"/>
      <c r="E631" s="202"/>
      <c r="F631" s="203"/>
      <c r="G631" s="204"/>
    </row>
    <row r="632" spans="1:7" x14ac:dyDescent="0.25">
      <c r="A632" s="102"/>
      <c r="B632" s="200"/>
      <c r="C632" s="201"/>
      <c r="D632" s="202"/>
      <c r="E632" s="202"/>
      <c r="F632" s="203"/>
      <c r="G632" s="204"/>
    </row>
    <row r="633" spans="1:7" x14ac:dyDescent="0.25">
      <c r="A633" s="102"/>
      <c r="B633" s="200"/>
      <c r="C633" s="201"/>
      <c r="D633" s="202"/>
      <c r="E633" s="202"/>
      <c r="F633" s="203"/>
      <c r="G633" s="204"/>
    </row>
    <row r="634" spans="1:7" x14ac:dyDescent="0.25">
      <c r="A634" s="102"/>
      <c r="B634" s="200"/>
      <c r="C634" s="201"/>
      <c r="D634" s="202"/>
      <c r="E634" s="202"/>
      <c r="F634" s="203"/>
      <c r="G634" s="204"/>
    </row>
    <row r="635" spans="1:7" x14ac:dyDescent="0.25">
      <c r="A635" s="102"/>
      <c r="B635" s="200"/>
      <c r="C635" s="201"/>
      <c r="D635" s="202"/>
      <c r="E635" s="202"/>
      <c r="F635" s="203"/>
      <c r="G635" s="204"/>
    </row>
    <row r="636" spans="1:7" x14ac:dyDescent="0.25">
      <c r="A636" s="102"/>
      <c r="B636" s="200"/>
      <c r="C636" s="201"/>
      <c r="D636" s="202"/>
      <c r="E636" s="202"/>
      <c r="F636" s="203"/>
      <c r="G636" s="204"/>
    </row>
    <row r="637" spans="1:7" x14ac:dyDescent="0.25">
      <c r="A637" s="102"/>
      <c r="B637" s="200"/>
      <c r="C637" s="201"/>
      <c r="D637" s="202"/>
      <c r="E637" s="202"/>
      <c r="F637" s="203"/>
      <c r="G637" s="204"/>
    </row>
    <row r="638" spans="1:7" x14ac:dyDescent="0.25">
      <c r="A638" s="102"/>
      <c r="B638" s="200"/>
      <c r="C638" s="201"/>
      <c r="D638" s="202"/>
      <c r="E638" s="202"/>
      <c r="F638" s="203"/>
      <c r="G638" s="204"/>
    </row>
    <row r="639" spans="1:7" x14ac:dyDescent="0.25">
      <c r="A639" s="102"/>
      <c r="B639" s="200"/>
      <c r="C639" s="201"/>
      <c r="D639" s="202"/>
      <c r="E639" s="202"/>
      <c r="F639" s="203"/>
      <c r="G639" s="204"/>
    </row>
    <row r="640" spans="1:7" x14ac:dyDescent="0.25">
      <c r="A640" s="102"/>
      <c r="B640" s="200"/>
      <c r="C640" s="201"/>
      <c r="D640" s="202"/>
      <c r="E640" s="202"/>
      <c r="F640" s="203"/>
      <c r="G640" s="204"/>
    </row>
    <row r="641" spans="1:7" x14ac:dyDescent="0.25">
      <c r="A641" s="102"/>
      <c r="B641" s="200"/>
      <c r="C641" s="201"/>
      <c r="D641" s="202"/>
      <c r="E641" s="202"/>
      <c r="F641" s="203"/>
      <c r="G641" s="204"/>
    </row>
    <row r="642" spans="1:7" x14ac:dyDescent="0.25">
      <c r="A642" s="102"/>
      <c r="B642" s="200"/>
      <c r="C642" s="201"/>
      <c r="D642" s="202"/>
      <c r="E642" s="202"/>
      <c r="F642" s="203"/>
      <c r="G642" s="204"/>
    </row>
    <row r="643" spans="1:7" x14ac:dyDescent="0.25">
      <c r="A643" s="102"/>
      <c r="B643" s="200"/>
      <c r="C643" s="201"/>
      <c r="D643" s="202"/>
      <c r="E643" s="202"/>
      <c r="F643" s="203"/>
      <c r="G643" s="204"/>
    </row>
    <row r="644" spans="1:7" x14ac:dyDescent="0.25">
      <c r="A644" s="102"/>
      <c r="B644" s="200"/>
      <c r="C644" s="201"/>
      <c r="D644" s="202"/>
      <c r="E644" s="202"/>
      <c r="F644" s="203"/>
      <c r="G644" s="204"/>
    </row>
    <row r="645" spans="1:7" x14ac:dyDescent="0.25">
      <c r="A645" s="102"/>
      <c r="B645" s="200"/>
      <c r="C645" s="201"/>
      <c r="D645" s="202"/>
      <c r="E645" s="202"/>
      <c r="F645" s="203"/>
      <c r="G645" s="204"/>
    </row>
    <row r="646" spans="1:7" x14ac:dyDescent="0.25">
      <c r="A646" s="102"/>
      <c r="B646" s="200"/>
      <c r="C646" s="201"/>
      <c r="D646" s="202"/>
      <c r="E646" s="202"/>
      <c r="F646" s="203"/>
      <c r="G646" s="204"/>
    </row>
    <row r="647" spans="1:7" x14ac:dyDescent="0.25">
      <c r="A647" s="102"/>
      <c r="B647" s="200"/>
      <c r="C647" s="201"/>
      <c r="D647" s="202"/>
      <c r="E647" s="202"/>
      <c r="F647" s="203"/>
      <c r="G647" s="204"/>
    </row>
    <row r="648" spans="1:7" x14ac:dyDescent="0.25">
      <c r="A648" s="102"/>
      <c r="B648" s="200"/>
      <c r="C648" s="201"/>
      <c r="D648" s="202"/>
      <c r="E648" s="202"/>
      <c r="F648" s="203"/>
      <c r="G648" s="204"/>
    </row>
    <row r="649" spans="1:7" x14ac:dyDescent="0.25">
      <c r="A649" s="102"/>
      <c r="B649" s="200"/>
      <c r="C649" s="201"/>
      <c r="D649" s="202"/>
      <c r="E649" s="202"/>
      <c r="F649" s="203"/>
      <c r="G649" s="204"/>
    </row>
    <row r="650" spans="1:7" x14ac:dyDescent="0.25">
      <c r="A650" s="102"/>
      <c r="B650" s="200"/>
      <c r="C650" s="201"/>
      <c r="D650" s="202"/>
      <c r="E650" s="202"/>
      <c r="F650" s="203"/>
      <c r="G650" s="204"/>
    </row>
    <row r="651" spans="1:7" x14ac:dyDescent="0.25">
      <c r="A651" s="102"/>
      <c r="B651" s="200"/>
      <c r="C651" s="201"/>
      <c r="D651" s="202"/>
      <c r="E651" s="202"/>
      <c r="F651" s="203"/>
      <c r="G651" s="204"/>
    </row>
    <row r="652" spans="1:7" x14ac:dyDescent="0.25">
      <c r="A652" s="102"/>
      <c r="B652" s="200"/>
      <c r="C652" s="201"/>
      <c r="D652" s="202"/>
      <c r="E652" s="202"/>
      <c r="F652" s="203"/>
      <c r="G652" s="204"/>
    </row>
    <row r="653" spans="1:7" x14ac:dyDescent="0.25">
      <c r="A653" s="102"/>
      <c r="B653" s="200"/>
      <c r="C653" s="201"/>
      <c r="D653" s="202"/>
      <c r="E653" s="202"/>
      <c r="F653" s="203"/>
      <c r="G653" s="204"/>
    </row>
    <row r="654" spans="1:7" x14ac:dyDescent="0.25">
      <c r="A654" s="102"/>
      <c r="B654" s="200"/>
      <c r="C654" s="201"/>
      <c r="D654" s="202"/>
      <c r="E654" s="202"/>
      <c r="F654" s="203"/>
      <c r="G654" s="204"/>
    </row>
    <row r="655" spans="1:7" x14ac:dyDescent="0.25">
      <c r="A655" s="102"/>
      <c r="B655" s="200"/>
      <c r="C655" s="201"/>
      <c r="D655" s="202"/>
      <c r="E655" s="202"/>
      <c r="F655" s="203"/>
      <c r="G655" s="204"/>
    </row>
    <row r="656" spans="1:7" x14ac:dyDescent="0.25">
      <c r="A656" s="102"/>
      <c r="B656" s="200"/>
      <c r="C656" s="201"/>
      <c r="D656" s="202"/>
      <c r="E656" s="202"/>
      <c r="F656" s="203"/>
      <c r="G656" s="204"/>
    </row>
    <row r="657" spans="1:7" x14ac:dyDescent="0.25">
      <c r="A657" s="102"/>
      <c r="B657" s="200"/>
      <c r="C657" s="201"/>
      <c r="D657" s="202"/>
      <c r="E657" s="202"/>
      <c r="F657" s="203"/>
      <c r="G657" s="204"/>
    </row>
    <row r="658" spans="1:7" x14ac:dyDescent="0.25">
      <c r="A658" s="102"/>
      <c r="B658" s="200"/>
      <c r="C658" s="201"/>
      <c r="D658" s="202"/>
      <c r="E658" s="202"/>
      <c r="F658" s="203"/>
      <c r="G658" s="204"/>
    </row>
    <row r="659" spans="1:7" x14ac:dyDescent="0.25">
      <c r="A659" s="102"/>
      <c r="B659" s="200"/>
      <c r="C659" s="201"/>
      <c r="D659" s="202"/>
      <c r="E659" s="202"/>
      <c r="F659" s="203"/>
      <c r="G659" s="204"/>
    </row>
    <row r="660" spans="1:7" x14ac:dyDescent="0.25">
      <c r="A660" s="102"/>
      <c r="B660" s="200"/>
      <c r="C660" s="201"/>
      <c r="D660" s="202"/>
      <c r="E660" s="202"/>
      <c r="F660" s="203"/>
      <c r="G660" s="204"/>
    </row>
    <row r="661" spans="1:7" x14ac:dyDescent="0.25">
      <c r="A661" s="102"/>
      <c r="B661" s="200"/>
      <c r="C661" s="201"/>
      <c r="D661" s="202"/>
      <c r="E661" s="202"/>
      <c r="F661" s="203"/>
      <c r="G661" s="204"/>
    </row>
    <row r="662" spans="1:7" x14ac:dyDescent="0.25">
      <c r="A662" s="102"/>
      <c r="B662" s="200"/>
      <c r="C662" s="201"/>
      <c r="D662" s="202"/>
      <c r="E662" s="202"/>
      <c r="F662" s="203"/>
      <c r="G662" s="204"/>
    </row>
    <row r="663" spans="1:7" x14ac:dyDescent="0.25">
      <c r="A663" s="102"/>
      <c r="B663" s="200"/>
      <c r="C663" s="201"/>
      <c r="D663" s="202"/>
      <c r="E663" s="202"/>
      <c r="F663" s="203"/>
      <c r="G663" s="204"/>
    </row>
    <row r="664" spans="1:7" x14ac:dyDescent="0.25">
      <c r="A664" s="102"/>
      <c r="B664" s="200"/>
      <c r="C664" s="201"/>
      <c r="D664" s="202"/>
      <c r="E664" s="202"/>
      <c r="F664" s="203"/>
      <c r="G664" s="204"/>
    </row>
    <row r="665" spans="1:7" x14ac:dyDescent="0.25">
      <c r="A665" s="102"/>
      <c r="B665" s="200"/>
      <c r="C665" s="201"/>
      <c r="D665" s="202"/>
      <c r="E665" s="202"/>
      <c r="F665" s="203"/>
      <c r="G665" s="204"/>
    </row>
    <row r="666" spans="1:7" x14ac:dyDescent="0.25">
      <c r="A666" s="102"/>
      <c r="B666" s="200"/>
      <c r="C666" s="201"/>
      <c r="D666" s="202"/>
      <c r="E666" s="202"/>
      <c r="F666" s="203"/>
      <c r="G666" s="204"/>
    </row>
    <row r="667" spans="1:7" x14ac:dyDescent="0.25">
      <c r="A667" s="102"/>
      <c r="B667" s="200"/>
      <c r="C667" s="201"/>
      <c r="D667" s="202"/>
      <c r="E667" s="202"/>
      <c r="F667" s="203"/>
      <c r="G667" s="204"/>
    </row>
    <row r="668" spans="1:7" x14ac:dyDescent="0.25">
      <c r="A668" s="102"/>
      <c r="B668" s="200"/>
      <c r="C668" s="201"/>
      <c r="D668" s="202"/>
      <c r="E668" s="202"/>
      <c r="F668" s="203"/>
      <c r="G668" s="204"/>
    </row>
    <row r="669" spans="1:7" x14ac:dyDescent="0.25">
      <c r="A669" s="102"/>
      <c r="B669" s="200"/>
      <c r="C669" s="201"/>
      <c r="D669" s="202"/>
      <c r="E669" s="202"/>
      <c r="F669" s="203"/>
      <c r="G669" s="204"/>
    </row>
    <row r="670" spans="1:7" x14ac:dyDescent="0.25">
      <c r="A670" s="102"/>
      <c r="B670" s="200"/>
      <c r="C670" s="201"/>
      <c r="D670" s="202"/>
      <c r="E670" s="202"/>
      <c r="F670" s="203"/>
      <c r="G670" s="204"/>
    </row>
    <row r="671" spans="1:7" x14ac:dyDescent="0.25">
      <c r="A671" s="102"/>
      <c r="B671" s="200"/>
      <c r="C671" s="201"/>
      <c r="D671" s="202"/>
      <c r="E671" s="202"/>
      <c r="F671" s="203"/>
      <c r="G671" s="204"/>
    </row>
    <row r="672" spans="1:7" x14ac:dyDescent="0.25">
      <c r="A672" s="102"/>
      <c r="B672" s="200"/>
      <c r="C672" s="201"/>
      <c r="D672" s="202"/>
      <c r="E672" s="202"/>
      <c r="F672" s="203"/>
      <c r="G672" s="204"/>
    </row>
    <row r="673" spans="1:7" x14ac:dyDescent="0.25">
      <c r="A673" s="102"/>
      <c r="B673" s="200"/>
      <c r="C673" s="201"/>
      <c r="D673" s="202"/>
      <c r="E673" s="202"/>
      <c r="F673" s="203"/>
      <c r="G673" s="204"/>
    </row>
    <row r="674" spans="1:7" x14ac:dyDescent="0.25">
      <c r="A674" s="102"/>
      <c r="B674" s="200"/>
      <c r="C674" s="201"/>
      <c r="D674" s="202"/>
      <c r="E674" s="202"/>
      <c r="F674" s="203"/>
      <c r="G674" s="204"/>
    </row>
    <row r="675" spans="1:7" x14ac:dyDescent="0.25">
      <c r="A675" s="102"/>
      <c r="B675" s="200"/>
      <c r="C675" s="201"/>
      <c r="D675" s="202"/>
      <c r="E675" s="202"/>
      <c r="F675" s="203"/>
      <c r="G675" s="204"/>
    </row>
    <row r="676" spans="1:7" x14ac:dyDescent="0.25">
      <c r="A676" s="102"/>
      <c r="B676" s="200"/>
      <c r="C676" s="201"/>
      <c r="D676" s="202"/>
      <c r="E676" s="202"/>
      <c r="F676" s="203"/>
      <c r="G676" s="204"/>
    </row>
    <row r="677" spans="1:7" x14ac:dyDescent="0.25">
      <c r="A677" s="102"/>
      <c r="B677" s="200"/>
      <c r="C677" s="201"/>
      <c r="D677" s="202"/>
      <c r="E677" s="202"/>
      <c r="F677" s="203"/>
      <c r="G677" s="204"/>
    </row>
    <row r="678" spans="1:7" x14ac:dyDescent="0.25">
      <c r="A678" s="102"/>
      <c r="B678" s="200"/>
      <c r="C678" s="201"/>
      <c r="D678" s="202"/>
      <c r="E678" s="202"/>
      <c r="F678" s="203"/>
      <c r="G678" s="204"/>
    </row>
    <row r="679" spans="1:7" x14ac:dyDescent="0.25">
      <c r="A679" s="102"/>
      <c r="B679" s="200"/>
      <c r="C679" s="201"/>
      <c r="D679" s="202"/>
      <c r="E679" s="202"/>
      <c r="F679" s="203"/>
      <c r="G679" s="204"/>
    </row>
    <row r="680" spans="1:7" x14ac:dyDescent="0.25">
      <c r="A680" s="102"/>
      <c r="B680" s="200"/>
      <c r="C680" s="201"/>
      <c r="D680" s="202"/>
      <c r="E680" s="202"/>
      <c r="F680" s="203"/>
      <c r="G680" s="204"/>
    </row>
    <row r="681" spans="1:7" x14ac:dyDescent="0.25">
      <c r="A681" s="102"/>
      <c r="B681" s="200"/>
      <c r="C681" s="201"/>
      <c r="D681" s="202"/>
      <c r="E681" s="202"/>
      <c r="F681" s="203"/>
      <c r="G681" s="204"/>
    </row>
    <row r="682" spans="1:7" x14ac:dyDescent="0.25">
      <c r="A682" s="102"/>
      <c r="B682" s="200"/>
      <c r="C682" s="201"/>
      <c r="D682" s="202"/>
      <c r="E682" s="202"/>
      <c r="F682" s="203"/>
      <c r="G682" s="204"/>
    </row>
    <row r="683" spans="1:7" x14ac:dyDescent="0.25">
      <c r="A683" s="102"/>
      <c r="B683" s="200"/>
      <c r="C683" s="201"/>
      <c r="D683" s="202"/>
      <c r="E683" s="202"/>
      <c r="F683" s="203"/>
      <c r="G683" s="204"/>
    </row>
    <row r="684" spans="1:7" x14ac:dyDescent="0.25">
      <c r="A684" s="102"/>
      <c r="B684" s="200"/>
      <c r="C684" s="201"/>
      <c r="D684" s="202"/>
      <c r="E684" s="202"/>
      <c r="F684" s="203"/>
      <c r="G684" s="204"/>
    </row>
    <row r="685" spans="1:7" x14ac:dyDescent="0.25">
      <c r="A685" s="102"/>
      <c r="B685" s="200"/>
      <c r="C685" s="201"/>
      <c r="D685" s="202"/>
      <c r="E685" s="202"/>
      <c r="F685" s="203"/>
      <c r="G685" s="204"/>
    </row>
    <row r="686" spans="1:7" x14ac:dyDescent="0.25">
      <c r="A686" s="102"/>
      <c r="B686" s="200"/>
      <c r="C686" s="201"/>
      <c r="D686" s="202"/>
      <c r="E686" s="202"/>
      <c r="F686" s="203"/>
      <c r="G686" s="204"/>
    </row>
    <row r="687" spans="1:7" x14ac:dyDescent="0.25">
      <c r="A687" s="102"/>
      <c r="B687" s="200"/>
      <c r="C687" s="201"/>
      <c r="D687" s="202"/>
      <c r="E687" s="202"/>
      <c r="F687" s="203"/>
      <c r="G687" s="204"/>
    </row>
    <row r="688" spans="1:7" x14ac:dyDescent="0.25">
      <c r="A688" s="102"/>
      <c r="B688" s="200"/>
      <c r="C688" s="201"/>
      <c r="D688" s="202"/>
      <c r="E688" s="202"/>
      <c r="F688" s="203"/>
      <c r="G688" s="204"/>
    </row>
    <row r="689" spans="1:7" x14ac:dyDescent="0.25">
      <c r="A689" s="102"/>
      <c r="B689" s="200"/>
      <c r="C689" s="201"/>
      <c r="D689" s="202"/>
      <c r="E689" s="202"/>
      <c r="F689" s="203"/>
      <c r="G689" s="204"/>
    </row>
    <row r="690" spans="1:7" x14ac:dyDescent="0.25">
      <c r="A690" s="102"/>
      <c r="B690" s="200"/>
      <c r="C690" s="201"/>
      <c r="D690" s="202"/>
      <c r="E690" s="202"/>
      <c r="F690" s="203"/>
      <c r="G690" s="204"/>
    </row>
    <row r="691" spans="1:7" x14ac:dyDescent="0.25">
      <c r="A691" s="102"/>
      <c r="B691" s="200"/>
      <c r="C691" s="201"/>
      <c r="D691" s="202"/>
      <c r="E691" s="202"/>
      <c r="F691" s="203"/>
      <c r="G691" s="204"/>
    </row>
    <row r="692" spans="1:7" x14ac:dyDescent="0.25">
      <c r="A692" s="102"/>
      <c r="B692" s="200"/>
      <c r="C692" s="201"/>
      <c r="D692" s="202"/>
      <c r="E692" s="202"/>
      <c r="F692" s="203"/>
      <c r="G692" s="204"/>
    </row>
    <row r="693" spans="1:7" x14ac:dyDescent="0.25">
      <c r="A693" s="102"/>
      <c r="B693" s="200"/>
      <c r="C693" s="201"/>
      <c r="D693" s="202"/>
      <c r="E693" s="202"/>
      <c r="F693" s="203"/>
      <c r="G693" s="204"/>
    </row>
    <row r="694" spans="1:7" x14ac:dyDescent="0.25">
      <c r="A694" s="102"/>
      <c r="B694" s="200"/>
      <c r="C694" s="201"/>
      <c r="D694" s="202"/>
      <c r="E694" s="202"/>
      <c r="F694" s="203"/>
      <c r="G694" s="204"/>
    </row>
    <row r="695" spans="1:7" x14ac:dyDescent="0.25">
      <c r="A695" s="102"/>
      <c r="B695" s="200"/>
      <c r="C695" s="201"/>
      <c r="D695" s="202"/>
      <c r="E695" s="202"/>
      <c r="F695" s="203"/>
      <c r="G695" s="204"/>
    </row>
    <row r="696" spans="1:7" x14ac:dyDescent="0.25">
      <c r="A696" s="102"/>
      <c r="B696" s="200"/>
      <c r="C696" s="201"/>
      <c r="D696" s="202"/>
      <c r="E696" s="202"/>
      <c r="F696" s="203"/>
      <c r="G696" s="204"/>
    </row>
    <row r="697" spans="1:7" x14ac:dyDescent="0.25">
      <c r="A697" s="102"/>
      <c r="B697" s="200"/>
      <c r="C697" s="201"/>
      <c r="D697" s="202"/>
      <c r="E697" s="202"/>
      <c r="F697" s="203"/>
      <c r="G697" s="204"/>
    </row>
    <row r="698" spans="1:7" x14ac:dyDescent="0.25">
      <c r="A698" s="102"/>
      <c r="B698" s="200"/>
      <c r="C698" s="201"/>
      <c r="D698" s="202"/>
      <c r="E698" s="202"/>
      <c r="F698" s="203"/>
      <c r="G698" s="204"/>
    </row>
    <row r="699" spans="1:7" x14ac:dyDescent="0.25">
      <c r="A699" s="102"/>
      <c r="B699" s="200"/>
      <c r="C699" s="201"/>
      <c r="D699" s="202"/>
      <c r="E699" s="202"/>
      <c r="F699" s="203"/>
      <c r="G699" s="204"/>
    </row>
    <row r="700" spans="1:7" x14ac:dyDescent="0.25">
      <c r="A700" s="102"/>
      <c r="B700" s="200"/>
      <c r="C700" s="201"/>
      <c r="D700" s="202"/>
      <c r="E700" s="202"/>
      <c r="F700" s="203"/>
      <c r="G700" s="204"/>
    </row>
    <row r="701" spans="1:7" x14ac:dyDescent="0.25">
      <c r="A701" s="102"/>
      <c r="B701" s="200"/>
      <c r="C701" s="201"/>
      <c r="D701" s="202"/>
      <c r="E701" s="202"/>
      <c r="F701" s="203"/>
      <c r="G701" s="204"/>
    </row>
    <row r="702" spans="1:7" x14ac:dyDescent="0.25">
      <c r="A702" s="102"/>
      <c r="B702" s="200"/>
      <c r="C702" s="201"/>
      <c r="D702" s="202"/>
      <c r="E702" s="202"/>
      <c r="F702" s="203"/>
      <c r="G702" s="204"/>
    </row>
    <row r="703" spans="1:7" x14ac:dyDescent="0.25">
      <c r="A703" s="102"/>
      <c r="B703" s="200"/>
      <c r="C703" s="201"/>
      <c r="D703" s="202"/>
      <c r="E703" s="202"/>
      <c r="F703" s="203"/>
      <c r="G703" s="204"/>
    </row>
    <row r="704" spans="1:7" x14ac:dyDescent="0.25">
      <c r="A704" s="102"/>
      <c r="B704" s="200"/>
      <c r="C704" s="201"/>
      <c r="D704" s="202"/>
      <c r="E704" s="202"/>
      <c r="F704" s="203"/>
      <c r="G704" s="204"/>
    </row>
    <row r="705" spans="1:7" x14ac:dyDescent="0.25">
      <c r="A705" s="102"/>
      <c r="B705" s="200"/>
      <c r="C705" s="201"/>
      <c r="D705" s="202"/>
      <c r="E705" s="202"/>
      <c r="F705" s="203"/>
      <c r="G705" s="204"/>
    </row>
    <row r="706" spans="1:7" x14ac:dyDescent="0.25">
      <c r="A706" s="102"/>
      <c r="B706" s="200"/>
      <c r="C706" s="201"/>
      <c r="D706" s="202"/>
      <c r="E706" s="202"/>
      <c r="F706" s="203"/>
      <c r="G706" s="204"/>
    </row>
    <row r="707" spans="1:7" x14ac:dyDescent="0.25">
      <c r="A707" s="102"/>
      <c r="B707" s="200"/>
      <c r="C707" s="201"/>
      <c r="D707" s="202"/>
      <c r="E707" s="202"/>
      <c r="F707" s="203"/>
      <c r="G707" s="204"/>
    </row>
    <row r="708" spans="1:7" x14ac:dyDescent="0.25">
      <c r="A708" s="102"/>
      <c r="B708" s="200"/>
      <c r="C708" s="201"/>
      <c r="D708" s="202"/>
      <c r="E708" s="202"/>
      <c r="F708" s="203"/>
      <c r="G708" s="204"/>
    </row>
    <row r="709" spans="1:7" x14ac:dyDescent="0.25">
      <c r="A709" s="102"/>
      <c r="B709" s="200"/>
      <c r="C709" s="201"/>
      <c r="D709" s="202"/>
      <c r="E709" s="202"/>
      <c r="F709" s="203"/>
      <c r="G709" s="204"/>
    </row>
    <row r="710" spans="1:7" x14ac:dyDescent="0.25">
      <c r="A710" s="102"/>
      <c r="B710" s="200"/>
      <c r="C710" s="201"/>
      <c r="D710" s="202"/>
      <c r="E710" s="202"/>
      <c r="F710" s="203"/>
      <c r="G710" s="204"/>
    </row>
    <row r="711" spans="1:7" x14ac:dyDescent="0.25">
      <c r="A711" s="102"/>
      <c r="B711" s="200"/>
      <c r="C711" s="201"/>
      <c r="D711" s="202"/>
      <c r="E711" s="202"/>
      <c r="F711" s="203"/>
      <c r="G711" s="204"/>
    </row>
    <row r="712" spans="1:7" x14ac:dyDescent="0.25">
      <c r="A712" s="102"/>
      <c r="B712" s="200"/>
      <c r="C712" s="201"/>
      <c r="D712" s="202"/>
      <c r="E712" s="202"/>
      <c r="F712" s="203"/>
      <c r="G712" s="204"/>
    </row>
    <row r="713" spans="1:7" x14ac:dyDescent="0.25">
      <c r="A713" s="102"/>
      <c r="B713" s="200"/>
      <c r="C713" s="201"/>
      <c r="D713" s="202"/>
      <c r="E713" s="202"/>
      <c r="F713" s="203"/>
      <c r="G713" s="204"/>
    </row>
    <row r="714" spans="1:7" x14ac:dyDescent="0.25">
      <c r="A714" s="102"/>
      <c r="B714" s="200"/>
      <c r="C714" s="201"/>
      <c r="D714" s="202"/>
      <c r="E714" s="202"/>
      <c r="F714" s="203"/>
      <c r="G714" s="204"/>
    </row>
    <row r="715" spans="1:7" x14ac:dyDescent="0.25">
      <c r="A715" s="102"/>
      <c r="B715" s="200"/>
      <c r="C715" s="201"/>
      <c r="D715" s="202"/>
      <c r="E715" s="202"/>
      <c r="F715" s="203"/>
      <c r="G715" s="204"/>
    </row>
    <row r="716" spans="1:7" x14ac:dyDescent="0.25">
      <c r="A716" s="102"/>
      <c r="B716" s="200"/>
      <c r="C716" s="201"/>
      <c r="D716" s="202"/>
      <c r="E716" s="202"/>
      <c r="F716" s="203"/>
      <c r="G716" s="204"/>
    </row>
    <row r="717" spans="1:7" x14ac:dyDescent="0.25">
      <c r="A717" s="102"/>
      <c r="B717" s="200"/>
      <c r="C717" s="201"/>
      <c r="D717" s="202"/>
      <c r="E717" s="202"/>
      <c r="F717" s="203"/>
      <c r="G717" s="204"/>
    </row>
    <row r="718" spans="1:7" x14ac:dyDescent="0.25">
      <c r="A718" s="102"/>
      <c r="B718" s="200"/>
      <c r="C718" s="201"/>
      <c r="D718" s="202"/>
      <c r="E718" s="202"/>
      <c r="F718" s="203"/>
      <c r="G718" s="204"/>
    </row>
    <row r="719" spans="1:7" x14ac:dyDescent="0.25">
      <c r="A719" s="102"/>
      <c r="B719" s="200"/>
      <c r="C719" s="201"/>
      <c r="D719" s="202"/>
      <c r="E719" s="202"/>
      <c r="F719" s="203"/>
      <c r="G719" s="204"/>
    </row>
    <row r="720" spans="1:7" x14ac:dyDescent="0.25">
      <c r="A720" s="102"/>
      <c r="B720" s="200"/>
      <c r="C720" s="201"/>
      <c r="D720" s="202"/>
      <c r="E720" s="202"/>
      <c r="F720" s="203"/>
      <c r="G720" s="204"/>
    </row>
    <row r="721" spans="1:7" x14ac:dyDescent="0.25">
      <c r="A721" s="102"/>
      <c r="B721" s="200"/>
      <c r="C721" s="201"/>
      <c r="D721" s="202"/>
      <c r="E721" s="202"/>
      <c r="F721" s="203"/>
      <c r="G721" s="204"/>
    </row>
    <row r="722" spans="1:7" x14ac:dyDescent="0.25">
      <c r="A722" s="102"/>
      <c r="B722" s="200"/>
      <c r="C722" s="201"/>
      <c r="D722" s="202"/>
      <c r="E722" s="202"/>
      <c r="F722" s="203"/>
      <c r="G722" s="204"/>
    </row>
    <row r="723" spans="1:7" x14ac:dyDescent="0.25">
      <c r="A723" s="102"/>
      <c r="B723" s="200"/>
      <c r="C723" s="201"/>
      <c r="D723" s="202"/>
      <c r="E723" s="202"/>
      <c r="F723" s="203"/>
      <c r="G723" s="204"/>
    </row>
    <row r="724" spans="1:7" x14ac:dyDescent="0.25">
      <c r="A724" s="102"/>
      <c r="B724" s="200"/>
      <c r="C724" s="201"/>
      <c r="D724" s="202"/>
      <c r="E724" s="202"/>
      <c r="F724" s="203"/>
      <c r="G724" s="204"/>
    </row>
    <row r="725" spans="1:7" x14ac:dyDescent="0.25">
      <c r="A725" s="102"/>
      <c r="B725" s="200"/>
      <c r="C725" s="201"/>
      <c r="D725" s="202"/>
      <c r="E725" s="202"/>
      <c r="F725" s="203"/>
      <c r="G725" s="204"/>
    </row>
    <row r="726" spans="1:7" x14ac:dyDescent="0.25">
      <c r="A726" s="102"/>
      <c r="B726" s="200"/>
      <c r="C726" s="201"/>
      <c r="D726" s="202"/>
      <c r="E726" s="202"/>
      <c r="F726" s="203"/>
      <c r="G726" s="204"/>
    </row>
    <row r="727" spans="1:7" x14ac:dyDescent="0.25">
      <c r="A727" s="102"/>
      <c r="B727" s="200"/>
      <c r="C727" s="201"/>
      <c r="D727" s="202"/>
      <c r="E727" s="202"/>
      <c r="F727" s="203"/>
      <c r="G727" s="204"/>
    </row>
    <row r="728" spans="1:7" x14ac:dyDescent="0.25">
      <c r="A728" s="102"/>
      <c r="B728" s="200"/>
      <c r="C728" s="201"/>
      <c r="D728" s="202"/>
      <c r="E728" s="202"/>
      <c r="F728" s="203"/>
      <c r="G728" s="204"/>
    </row>
    <row r="729" spans="1:7" x14ac:dyDescent="0.25">
      <c r="A729" s="102"/>
      <c r="B729" s="200"/>
      <c r="C729" s="201"/>
      <c r="D729" s="202"/>
      <c r="E729" s="202"/>
      <c r="F729" s="203"/>
      <c r="G729" s="204"/>
    </row>
    <row r="730" spans="1:7" x14ac:dyDescent="0.25">
      <c r="A730" s="102"/>
      <c r="B730" s="200"/>
      <c r="C730" s="201"/>
      <c r="D730" s="202"/>
      <c r="E730" s="202"/>
      <c r="F730" s="203"/>
      <c r="G730" s="204"/>
    </row>
    <row r="731" spans="1:7" x14ac:dyDescent="0.25">
      <c r="A731" s="102"/>
      <c r="B731" s="200"/>
      <c r="C731" s="201"/>
      <c r="D731" s="202"/>
      <c r="E731" s="202"/>
      <c r="F731" s="203"/>
      <c r="G731" s="204"/>
    </row>
    <row r="732" spans="1:7" x14ac:dyDescent="0.25">
      <c r="A732" s="102"/>
      <c r="B732" s="200"/>
      <c r="C732" s="201"/>
      <c r="D732" s="202"/>
      <c r="E732" s="202"/>
      <c r="F732" s="203"/>
      <c r="G732" s="204"/>
    </row>
    <row r="733" spans="1:7" x14ac:dyDescent="0.25">
      <c r="A733" s="102"/>
      <c r="B733" s="200"/>
      <c r="C733" s="201"/>
      <c r="D733" s="202"/>
      <c r="E733" s="202"/>
      <c r="F733" s="203"/>
      <c r="G733" s="204"/>
    </row>
    <row r="734" spans="1:7" x14ac:dyDescent="0.25">
      <c r="A734" s="102"/>
      <c r="B734" s="200"/>
      <c r="C734" s="201"/>
      <c r="D734" s="202"/>
      <c r="E734" s="202"/>
      <c r="F734" s="203"/>
      <c r="G734" s="204"/>
    </row>
    <row r="735" spans="1:7" x14ac:dyDescent="0.25">
      <c r="A735" s="102"/>
      <c r="B735" s="200"/>
      <c r="C735" s="201"/>
      <c r="D735" s="202"/>
      <c r="E735" s="202"/>
      <c r="F735" s="203"/>
      <c r="G735" s="204"/>
    </row>
    <row r="736" spans="1:7" x14ac:dyDescent="0.25">
      <c r="A736" s="102"/>
      <c r="B736" s="200"/>
      <c r="C736" s="201"/>
      <c r="D736" s="202"/>
      <c r="E736" s="202"/>
      <c r="F736" s="203"/>
      <c r="G736" s="204"/>
    </row>
    <row r="737" spans="1:7" x14ac:dyDescent="0.25">
      <c r="A737" s="102"/>
      <c r="B737" s="200"/>
      <c r="C737" s="201"/>
      <c r="D737" s="202"/>
      <c r="E737" s="202"/>
      <c r="F737" s="203"/>
      <c r="G737" s="204"/>
    </row>
    <row r="738" spans="1:7" x14ac:dyDescent="0.25">
      <c r="A738" s="102"/>
      <c r="B738" s="200"/>
      <c r="C738" s="201"/>
      <c r="D738" s="202"/>
      <c r="E738" s="202"/>
      <c r="F738" s="203"/>
      <c r="G738" s="204"/>
    </row>
    <row r="739" spans="1:7" x14ac:dyDescent="0.25">
      <c r="A739" s="102"/>
      <c r="B739" s="200"/>
      <c r="C739" s="201"/>
      <c r="D739" s="202"/>
      <c r="E739" s="202"/>
      <c r="F739" s="203"/>
      <c r="G739" s="204"/>
    </row>
    <row r="740" spans="1:7" x14ac:dyDescent="0.25">
      <c r="A740" s="102"/>
      <c r="B740" s="200"/>
      <c r="C740" s="201"/>
      <c r="D740" s="202"/>
      <c r="E740" s="202"/>
      <c r="F740" s="203"/>
      <c r="G740" s="204"/>
    </row>
    <row r="741" spans="1:7" x14ac:dyDescent="0.25">
      <c r="A741" s="102"/>
      <c r="B741" s="200"/>
      <c r="C741" s="201"/>
      <c r="D741" s="202"/>
      <c r="E741" s="202"/>
      <c r="F741" s="203"/>
      <c r="G741" s="204"/>
    </row>
    <row r="742" spans="1:7" x14ac:dyDescent="0.25">
      <c r="A742" s="102"/>
      <c r="B742" s="200"/>
      <c r="C742" s="201"/>
      <c r="D742" s="202"/>
      <c r="E742" s="202"/>
      <c r="F742" s="203"/>
      <c r="G742" s="204"/>
    </row>
    <row r="743" spans="1:7" x14ac:dyDescent="0.25">
      <c r="A743" s="102"/>
      <c r="B743" s="200"/>
      <c r="C743" s="201"/>
      <c r="D743" s="202"/>
      <c r="E743" s="202"/>
      <c r="F743" s="203"/>
      <c r="G743" s="204"/>
    </row>
    <row r="744" spans="1:7" x14ac:dyDescent="0.25">
      <c r="A744" s="102"/>
      <c r="B744" s="200"/>
      <c r="C744" s="201"/>
      <c r="D744" s="202"/>
      <c r="E744" s="202"/>
      <c r="F744" s="203"/>
      <c r="G744" s="204"/>
    </row>
    <row r="745" spans="1:7" x14ac:dyDescent="0.25">
      <c r="A745" s="102"/>
      <c r="B745" s="200"/>
      <c r="C745" s="201"/>
      <c r="D745" s="202"/>
      <c r="E745" s="202"/>
      <c r="F745" s="203"/>
      <c r="G745" s="204"/>
    </row>
    <row r="746" spans="1:7" x14ac:dyDescent="0.25">
      <c r="A746" s="102"/>
      <c r="B746" s="200"/>
      <c r="C746" s="201"/>
      <c r="D746" s="202"/>
      <c r="E746" s="202"/>
      <c r="F746" s="203"/>
      <c r="G746" s="204"/>
    </row>
    <row r="747" spans="1:7" x14ac:dyDescent="0.25">
      <c r="A747" s="102"/>
      <c r="B747" s="200"/>
      <c r="C747" s="201"/>
      <c r="D747" s="202"/>
      <c r="E747" s="202"/>
      <c r="F747" s="203"/>
      <c r="G747" s="204"/>
    </row>
    <row r="748" spans="1:7" x14ac:dyDescent="0.25">
      <c r="A748" s="102"/>
      <c r="B748" s="200"/>
      <c r="C748" s="201"/>
      <c r="D748" s="202"/>
      <c r="E748" s="202"/>
      <c r="F748" s="203"/>
      <c r="G748" s="204"/>
    </row>
    <row r="749" spans="1:7" x14ac:dyDescent="0.25">
      <c r="A749" s="102"/>
      <c r="B749" s="200"/>
      <c r="C749" s="201"/>
      <c r="D749" s="202"/>
      <c r="E749" s="202"/>
      <c r="F749" s="203"/>
      <c r="G749" s="204"/>
    </row>
    <row r="750" spans="1:7" x14ac:dyDescent="0.25">
      <c r="A750" s="102"/>
      <c r="B750" s="200"/>
      <c r="C750" s="201"/>
      <c r="D750" s="202"/>
      <c r="E750" s="202"/>
      <c r="F750" s="203"/>
      <c r="G750" s="204"/>
    </row>
    <row r="751" spans="1:7" x14ac:dyDescent="0.25">
      <c r="A751" s="102"/>
      <c r="B751" s="200"/>
      <c r="C751" s="201"/>
      <c r="D751" s="202"/>
      <c r="E751" s="202"/>
      <c r="F751" s="203"/>
      <c r="G751" s="204"/>
    </row>
    <row r="752" spans="1:7" x14ac:dyDescent="0.25">
      <c r="A752" s="102"/>
      <c r="B752" s="200"/>
      <c r="C752" s="201"/>
      <c r="D752" s="202"/>
      <c r="E752" s="202"/>
      <c r="F752" s="203"/>
      <c r="G752" s="204"/>
    </row>
    <row r="753" spans="1:7" x14ac:dyDescent="0.25">
      <c r="A753" s="102"/>
      <c r="B753" s="200"/>
      <c r="C753" s="201"/>
      <c r="D753" s="202"/>
      <c r="E753" s="202"/>
      <c r="F753" s="203"/>
      <c r="G753" s="204"/>
    </row>
    <row r="754" spans="1:7" x14ac:dyDescent="0.25">
      <c r="A754" s="102"/>
      <c r="B754" s="200"/>
      <c r="C754" s="201"/>
      <c r="D754" s="202"/>
      <c r="E754" s="202"/>
      <c r="F754" s="203"/>
      <c r="G754" s="204"/>
    </row>
    <row r="755" spans="1:7" x14ac:dyDescent="0.25">
      <c r="A755" s="102"/>
      <c r="B755" s="200"/>
      <c r="C755" s="201"/>
      <c r="D755" s="202"/>
      <c r="E755" s="202"/>
      <c r="F755" s="203"/>
      <c r="G755" s="204"/>
    </row>
    <row r="756" spans="1:7" x14ac:dyDescent="0.25">
      <c r="A756" s="102"/>
      <c r="B756" s="200"/>
      <c r="C756" s="201"/>
      <c r="D756" s="202"/>
      <c r="E756" s="202"/>
      <c r="F756" s="203"/>
      <c r="G756" s="204"/>
    </row>
    <row r="757" spans="1:7" x14ac:dyDescent="0.25">
      <c r="A757" s="102"/>
      <c r="B757" s="200"/>
      <c r="C757" s="201"/>
      <c r="D757" s="202"/>
      <c r="E757" s="202"/>
      <c r="F757" s="203"/>
      <c r="G757" s="204"/>
    </row>
    <row r="758" spans="1:7" x14ac:dyDescent="0.25">
      <c r="A758" s="102"/>
      <c r="B758" s="200"/>
      <c r="C758" s="201"/>
      <c r="D758" s="202"/>
      <c r="E758" s="202"/>
      <c r="F758" s="203"/>
      <c r="G758" s="204"/>
    </row>
    <row r="759" spans="1:7" x14ac:dyDescent="0.25">
      <c r="A759" s="102"/>
      <c r="B759" s="200"/>
      <c r="C759" s="201"/>
      <c r="D759" s="202"/>
      <c r="E759" s="202"/>
      <c r="F759" s="203"/>
      <c r="G759" s="204"/>
    </row>
    <row r="760" spans="1:7" x14ac:dyDescent="0.25">
      <c r="A760" s="102"/>
      <c r="B760" s="200"/>
      <c r="C760" s="201"/>
      <c r="D760" s="202"/>
      <c r="E760" s="202"/>
      <c r="F760" s="203"/>
      <c r="G760" s="204"/>
    </row>
    <row r="761" spans="1:7" x14ac:dyDescent="0.25">
      <c r="A761" s="102"/>
      <c r="B761" s="200"/>
      <c r="C761" s="201"/>
      <c r="D761" s="202"/>
      <c r="E761" s="202"/>
      <c r="F761" s="203"/>
      <c r="G761" s="204"/>
    </row>
    <row r="762" spans="1:7" x14ac:dyDescent="0.25">
      <c r="A762" s="102"/>
      <c r="B762" s="200"/>
      <c r="C762" s="201"/>
      <c r="D762" s="202"/>
      <c r="E762" s="202"/>
      <c r="F762" s="203"/>
      <c r="G762" s="204"/>
    </row>
    <row r="763" spans="1:7" x14ac:dyDescent="0.25">
      <c r="A763" s="102"/>
      <c r="B763" s="200"/>
      <c r="C763" s="201"/>
      <c r="D763" s="202"/>
      <c r="E763" s="202"/>
      <c r="F763" s="203"/>
      <c r="G763" s="204"/>
    </row>
    <row r="764" spans="1:7" x14ac:dyDescent="0.25">
      <c r="A764" s="102"/>
      <c r="B764" s="200"/>
      <c r="C764" s="201"/>
      <c r="D764" s="202"/>
      <c r="E764" s="202"/>
      <c r="F764" s="203"/>
      <c r="G764" s="204"/>
    </row>
    <row r="765" spans="1:7" x14ac:dyDescent="0.25">
      <c r="A765" s="102"/>
      <c r="B765" s="200"/>
      <c r="C765" s="201"/>
      <c r="D765" s="202"/>
      <c r="E765" s="202"/>
      <c r="F765" s="203"/>
      <c r="G765" s="204"/>
    </row>
    <row r="766" spans="1:7" x14ac:dyDescent="0.25">
      <c r="A766" s="102"/>
      <c r="B766" s="200"/>
      <c r="C766" s="201"/>
      <c r="D766" s="202"/>
      <c r="E766" s="202"/>
      <c r="F766" s="203"/>
      <c r="G766" s="204"/>
    </row>
    <row r="767" spans="1:7" x14ac:dyDescent="0.25">
      <c r="A767" s="102"/>
      <c r="B767" s="200"/>
      <c r="C767" s="201"/>
      <c r="D767" s="202"/>
      <c r="E767" s="202"/>
      <c r="F767" s="203"/>
      <c r="G767" s="204"/>
    </row>
    <row r="768" spans="1:7" x14ac:dyDescent="0.25">
      <c r="A768" s="102"/>
      <c r="B768" s="200"/>
      <c r="C768" s="201"/>
      <c r="D768" s="202"/>
      <c r="E768" s="202"/>
      <c r="F768" s="203"/>
      <c r="G768" s="204"/>
    </row>
    <row r="769" spans="1:7" x14ac:dyDescent="0.25">
      <c r="A769" s="102"/>
      <c r="B769" s="200"/>
      <c r="C769" s="201"/>
      <c r="D769" s="202"/>
      <c r="E769" s="202"/>
      <c r="F769" s="203"/>
      <c r="G769" s="204"/>
    </row>
    <row r="770" spans="1:7" x14ac:dyDescent="0.25">
      <c r="A770" s="102"/>
      <c r="B770" s="200"/>
      <c r="C770" s="201"/>
      <c r="D770" s="202"/>
      <c r="E770" s="202"/>
      <c r="F770" s="203"/>
      <c r="G770" s="204"/>
    </row>
    <row r="771" spans="1:7" x14ac:dyDescent="0.25">
      <c r="A771" s="102"/>
      <c r="B771" s="200"/>
      <c r="C771" s="201"/>
      <c r="D771" s="202"/>
      <c r="E771" s="202"/>
      <c r="F771" s="203"/>
      <c r="G771" s="204"/>
    </row>
    <row r="772" spans="1:7" x14ac:dyDescent="0.25">
      <c r="A772" s="102"/>
      <c r="B772" s="200"/>
      <c r="C772" s="201"/>
      <c r="D772" s="202"/>
      <c r="E772" s="202"/>
      <c r="F772" s="203"/>
      <c r="G772" s="204"/>
    </row>
    <row r="773" spans="1:7" x14ac:dyDescent="0.25">
      <c r="A773" s="102"/>
      <c r="B773" s="200"/>
      <c r="C773" s="201"/>
      <c r="D773" s="202"/>
      <c r="E773" s="202"/>
      <c r="F773" s="203"/>
      <c r="G773" s="204"/>
    </row>
    <row r="774" spans="1:7" x14ac:dyDescent="0.25">
      <c r="A774" s="102"/>
      <c r="B774" s="200"/>
      <c r="C774" s="201"/>
      <c r="D774" s="202"/>
      <c r="E774" s="202"/>
      <c r="F774" s="203"/>
      <c r="G774" s="204"/>
    </row>
    <row r="775" spans="1:7" x14ac:dyDescent="0.25">
      <c r="A775" s="102"/>
      <c r="B775" s="200"/>
      <c r="C775" s="201"/>
      <c r="D775" s="202"/>
      <c r="E775" s="202"/>
      <c r="F775" s="203"/>
      <c r="G775" s="204"/>
    </row>
    <row r="776" spans="1:7" x14ac:dyDescent="0.25">
      <c r="A776" s="102"/>
      <c r="B776" s="200"/>
      <c r="C776" s="201"/>
      <c r="D776" s="202"/>
      <c r="E776" s="202"/>
      <c r="F776" s="203"/>
      <c r="G776" s="204"/>
    </row>
    <row r="777" spans="1:7" x14ac:dyDescent="0.25">
      <c r="A777" s="102"/>
      <c r="B777" s="200"/>
      <c r="C777" s="201"/>
      <c r="D777" s="202"/>
      <c r="E777" s="202"/>
      <c r="F777" s="203"/>
      <c r="G777" s="204"/>
    </row>
    <row r="778" spans="1:7" x14ac:dyDescent="0.25">
      <c r="A778" s="102"/>
      <c r="B778" s="200"/>
      <c r="C778" s="201"/>
      <c r="D778" s="202"/>
      <c r="E778" s="202"/>
      <c r="F778" s="203"/>
      <c r="G778" s="204"/>
    </row>
    <row r="779" spans="1:7" x14ac:dyDescent="0.25">
      <c r="A779" s="102"/>
      <c r="B779" s="200"/>
      <c r="C779" s="201"/>
      <c r="D779" s="202"/>
      <c r="E779" s="202"/>
      <c r="F779" s="203"/>
      <c r="G779" s="204"/>
    </row>
    <row r="780" spans="1:7" x14ac:dyDescent="0.25">
      <c r="A780" s="102"/>
      <c r="B780" s="200"/>
      <c r="C780" s="201"/>
      <c r="D780" s="202"/>
      <c r="E780" s="202"/>
      <c r="F780" s="203"/>
      <c r="G780" s="204"/>
    </row>
    <row r="781" spans="1:7" x14ac:dyDescent="0.25">
      <c r="A781" s="102"/>
      <c r="B781" s="200"/>
      <c r="C781" s="201"/>
      <c r="D781" s="202"/>
      <c r="E781" s="202"/>
      <c r="F781" s="203"/>
      <c r="G781" s="204"/>
    </row>
    <row r="782" spans="1:7" x14ac:dyDescent="0.25">
      <c r="A782" s="102"/>
      <c r="B782" s="200"/>
      <c r="C782" s="201"/>
      <c r="D782" s="202"/>
      <c r="E782" s="202"/>
      <c r="F782" s="203"/>
      <c r="G782" s="204"/>
    </row>
    <row r="783" spans="1:7" x14ac:dyDescent="0.25">
      <c r="A783" s="102"/>
      <c r="B783" s="200"/>
      <c r="C783" s="201"/>
      <c r="D783" s="202"/>
      <c r="E783" s="202"/>
      <c r="F783" s="203"/>
      <c r="G783" s="204"/>
    </row>
    <row r="784" spans="1:7" x14ac:dyDescent="0.25">
      <c r="A784" s="102"/>
      <c r="B784" s="200"/>
      <c r="C784" s="201"/>
      <c r="D784" s="202"/>
      <c r="E784" s="202"/>
      <c r="F784" s="203"/>
      <c r="G784" s="204"/>
    </row>
    <row r="785" spans="1:7" x14ac:dyDescent="0.25">
      <c r="A785" s="102"/>
      <c r="B785" s="200"/>
      <c r="C785" s="201"/>
      <c r="D785" s="202"/>
      <c r="E785" s="202"/>
      <c r="F785" s="203"/>
      <c r="G785" s="204"/>
    </row>
    <row r="786" spans="1:7" x14ac:dyDescent="0.25">
      <c r="A786" s="102"/>
      <c r="B786" s="200"/>
      <c r="C786" s="201"/>
      <c r="D786" s="202"/>
      <c r="E786" s="202"/>
      <c r="F786" s="203"/>
      <c r="G786" s="204"/>
    </row>
    <row r="787" spans="1:7" x14ac:dyDescent="0.25">
      <c r="A787" s="102"/>
      <c r="B787" s="200"/>
      <c r="C787" s="201"/>
      <c r="D787" s="202"/>
      <c r="E787" s="202"/>
      <c r="F787" s="203"/>
      <c r="G787" s="204"/>
    </row>
    <row r="788" spans="1:7" x14ac:dyDescent="0.25">
      <c r="A788" s="102"/>
      <c r="B788" s="200"/>
      <c r="C788" s="201"/>
      <c r="D788" s="202"/>
      <c r="E788" s="202"/>
      <c r="F788" s="203"/>
      <c r="G788" s="204"/>
    </row>
    <row r="789" spans="1:7" x14ac:dyDescent="0.25">
      <c r="A789" s="102"/>
      <c r="B789" s="200"/>
      <c r="C789" s="201"/>
      <c r="D789" s="202"/>
      <c r="E789" s="202"/>
      <c r="F789" s="203"/>
      <c r="G789" s="204"/>
    </row>
    <row r="790" spans="1:7" x14ac:dyDescent="0.25">
      <c r="A790" s="102"/>
      <c r="B790" s="200"/>
      <c r="C790" s="201"/>
      <c r="D790" s="202"/>
      <c r="E790" s="202"/>
      <c r="F790" s="203"/>
      <c r="G790" s="204"/>
    </row>
    <row r="791" spans="1:7" x14ac:dyDescent="0.25">
      <c r="A791" s="102"/>
      <c r="B791" s="200"/>
      <c r="C791" s="201"/>
      <c r="D791" s="202"/>
      <c r="E791" s="202"/>
      <c r="F791" s="203"/>
      <c r="G791" s="204"/>
    </row>
    <row r="792" spans="1:7" x14ac:dyDescent="0.25">
      <c r="A792" s="102"/>
      <c r="B792" s="200"/>
      <c r="C792" s="201"/>
      <c r="D792" s="202"/>
      <c r="E792" s="202"/>
      <c r="F792" s="203"/>
      <c r="G792" s="204"/>
    </row>
    <row r="793" spans="1:7" x14ac:dyDescent="0.25">
      <c r="A793" s="102"/>
      <c r="B793" s="200"/>
      <c r="C793" s="201"/>
      <c r="D793" s="202"/>
      <c r="E793" s="202"/>
      <c r="F793" s="203"/>
      <c r="G793" s="204"/>
    </row>
    <row r="794" spans="1:7" x14ac:dyDescent="0.25">
      <c r="A794" s="102"/>
      <c r="B794" s="200"/>
      <c r="C794" s="201"/>
      <c r="D794" s="202"/>
      <c r="E794" s="202"/>
      <c r="F794" s="203"/>
      <c r="G794" s="204"/>
    </row>
    <row r="795" spans="1:7" x14ac:dyDescent="0.25">
      <c r="A795" s="102"/>
      <c r="B795" s="200"/>
      <c r="C795" s="201"/>
      <c r="D795" s="202"/>
      <c r="E795" s="202"/>
      <c r="F795" s="203"/>
      <c r="G795" s="204"/>
    </row>
    <row r="796" spans="1:7" x14ac:dyDescent="0.25">
      <c r="A796" s="102"/>
      <c r="B796" s="200"/>
      <c r="C796" s="201"/>
      <c r="D796" s="202"/>
      <c r="E796" s="202"/>
      <c r="F796" s="203"/>
      <c r="G796" s="204"/>
    </row>
    <row r="797" spans="1:7" x14ac:dyDescent="0.25">
      <c r="A797" s="102"/>
      <c r="B797" s="200"/>
      <c r="C797" s="201"/>
      <c r="D797" s="202"/>
      <c r="E797" s="202"/>
      <c r="F797" s="203"/>
      <c r="G797" s="204"/>
    </row>
    <row r="798" spans="1:7" x14ac:dyDescent="0.25">
      <c r="A798" s="102"/>
      <c r="B798" s="200"/>
      <c r="C798" s="201"/>
      <c r="D798" s="202"/>
      <c r="E798" s="202"/>
      <c r="F798" s="203"/>
      <c r="G798" s="204"/>
    </row>
    <row r="799" spans="1:7" x14ac:dyDescent="0.25">
      <c r="A799" s="102"/>
      <c r="B799" s="200"/>
      <c r="C799" s="201"/>
      <c r="D799" s="202"/>
      <c r="E799" s="202"/>
      <c r="F799" s="203"/>
      <c r="G799" s="204"/>
    </row>
    <row r="800" spans="1:7" x14ac:dyDescent="0.25">
      <c r="A800" s="102"/>
      <c r="B800" s="200"/>
      <c r="C800" s="201"/>
      <c r="D800" s="202"/>
      <c r="E800" s="202"/>
      <c r="F800" s="203"/>
      <c r="G800" s="204"/>
    </row>
    <row r="801" spans="1:7" x14ac:dyDescent="0.25">
      <c r="A801" s="102"/>
      <c r="B801" s="200"/>
      <c r="C801" s="201"/>
      <c r="D801" s="202"/>
      <c r="E801" s="202"/>
      <c r="F801" s="203"/>
      <c r="G801" s="204"/>
    </row>
    <row r="802" spans="1:7" x14ac:dyDescent="0.25">
      <c r="A802" s="102"/>
      <c r="B802" s="200"/>
      <c r="C802" s="201"/>
      <c r="D802" s="202"/>
      <c r="E802" s="202"/>
      <c r="F802" s="203"/>
      <c r="G802" s="204"/>
    </row>
    <row r="803" spans="1:7" x14ac:dyDescent="0.25">
      <c r="A803" s="102"/>
      <c r="B803" s="200"/>
      <c r="C803" s="201"/>
      <c r="D803" s="202"/>
      <c r="E803" s="202"/>
      <c r="F803" s="203"/>
      <c r="G803" s="204"/>
    </row>
    <row r="804" spans="1:7" x14ac:dyDescent="0.25">
      <c r="A804" s="102"/>
      <c r="B804" s="200"/>
      <c r="C804" s="201"/>
      <c r="D804" s="202"/>
      <c r="E804" s="202"/>
      <c r="F804" s="203"/>
      <c r="G804" s="204"/>
    </row>
    <row r="805" spans="1:7" x14ac:dyDescent="0.25">
      <c r="A805" s="102"/>
      <c r="B805" s="200"/>
      <c r="C805" s="201"/>
      <c r="D805" s="202"/>
      <c r="E805" s="202"/>
      <c r="F805" s="203"/>
      <c r="G805" s="204"/>
    </row>
    <row r="806" spans="1:7" x14ac:dyDescent="0.25">
      <c r="A806" s="102"/>
      <c r="B806" s="200"/>
      <c r="C806" s="201"/>
      <c r="D806" s="202"/>
      <c r="E806" s="202"/>
      <c r="F806" s="203"/>
      <c r="G806" s="204"/>
    </row>
    <row r="807" spans="1:7" x14ac:dyDescent="0.25">
      <c r="A807" s="102"/>
      <c r="B807" s="200"/>
      <c r="C807" s="201"/>
      <c r="D807" s="202"/>
      <c r="E807" s="202"/>
      <c r="F807" s="203"/>
      <c r="G807" s="204"/>
    </row>
    <row r="808" spans="1:7" x14ac:dyDescent="0.25">
      <c r="A808" s="102"/>
      <c r="B808" s="200"/>
      <c r="C808" s="201"/>
      <c r="D808" s="202"/>
      <c r="E808" s="202"/>
      <c r="F808" s="203"/>
      <c r="G808" s="204"/>
    </row>
    <row r="809" spans="1:7" x14ac:dyDescent="0.25">
      <c r="A809" s="102"/>
      <c r="B809" s="200"/>
      <c r="C809" s="201"/>
      <c r="D809" s="202"/>
      <c r="E809" s="202"/>
      <c r="F809" s="203"/>
      <c r="G809" s="204"/>
    </row>
    <row r="810" spans="1:7" x14ac:dyDescent="0.25">
      <c r="A810" s="102"/>
      <c r="B810" s="200"/>
      <c r="C810" s="201"/>
      <c r="D810" s="202"/>
      <c r="E810" s="202"/>
      <c r="F810" s="203"/>
      <c r="G810" s="204"/>
    </row>
    <row r="811" spans="1:7" x14ac:dyDescent="0.25">
      <c r="A811" s="102"/>
      <c r="B811" s="200"/>
      <c r="C811" s="201"/>
      <c r="D811" s="202"/>
      <c r="E811" s="202"/>
      <c r="F811" s="203"/>
      <c r="G811" s="204"/>
    </row>
    <row r="812" spans="1:7" x14ac:dyDescent="0.25">
      <c r="A812" s="102"/>
      <c r="B812" s="200"/>
      <c r="C812" s="201"/>
      <c r="D812" s="202"/>
      <c r="E812" s="202"/>
      <c r="F812" s="203"/>
      <c r="G812" s="204"/>
    </row>
    <row r="813" spans="1:7" x14ac:dyDescent="0.25">
      <c r="A813" s="102"/>
      <c r="B813" s="200"/>
      <c r="C813" s="201"/>
      <c r="D813" s="202"/>
      <c r="E813" s="202"/>
      <c r="F813" s="203"/>
      <c r="G813" s="204"/>
    </row>
    <row r="814" spans="1:7" x14ac:dyDescent="0.25">
      <c r="A814" s="102"/>
      <c r="B814" s="200"/>
      <c r="C814" s="201"/>
      <c r="D814" s="202"/>
      <c r="E814" s="202"/>
      <c r="F814" s="203"/>
      <c r="G814" s="204"/>
    </row>
    <row r="815" spans="1:7" x14ac:dyDescent="0.25">
      <c r="A815" s="102"/>
      <c r="B815" s="200"/>
      <c r="C815" s="201"/>
      <c r="D815" s="202"/>
      <c r="E815" s="202"/>
      <c r="F815" s="203"/>
      <c r="G815" s="204"/>
    </row>
    <row r="816" spans="1:7" x14ac:dyDescent="0.25">
      <c r="A816" s="102"/>
      <c r="B816" s="200"/>
      <c r="C816" s="201"/>
      <c r="D816" s="202"/>
      <c r="E816" s="202"/>
      <c r="F816" s="203"/>
      <c r="G816" s="204"/>
    </row>
    <row r="817" spans="1:7" x14ac:dyDescent="0.25">
      <c r="A817" s="102"/>
      <c r="B817" s="200"/>
      <c r="C817" s="201"/>
      <c r="D817" s="202"/>
      <c r="E817" s="202"/>
      <c r="F817" s="203"/>
      <c r="G817" s="204"/>
    </row>
    <row r="818" spans="1:7" x14ac:dyDescent="0.25">
      <c r="A818" s="102"/>
      <c r="B818" s="200"/>
      <c r="C818" s="201"/>
      <c r="D818" s="202"/>
      <c r="E818" s="202"/>
      <c r="F818" s="203"/>
      <c r="G818" s="204"/>
    </row>
    <row r="819" spans="1:7" x14ac:dyDescent="0.25">
      <c r="A819" s="102"/>
      <c r="B819" s="200"/>
      <c r="C819" s="201"/>
      <c r="D819" s="202"/>
      <c r="E819" s="202"/>
      <c r="F819" s="203"/>
      <c r="G819" s="204"/>
    </row>
    <row r="820" spans="1:7" x14ac:dyDescent="0.25">
      <c r="A820" s="102"/>
      <c r="B820" s="200"/>
      <c r="C820" s="201"/>
      <c r="D820" s="202"/>
      <c r="E820" s="202"/>
      <c r="F820" s="203"/>
      <c r="G820" s="204"/>
    </row>
    <row r="821" spans="1:7" x14ac:dyDescent="0.25">
      <c r="A821" s="102"/>
      <c r="B821" s="200"/>
      <c r="C821" s="201"/>
      <c r="D821" s="202"/>
      <c r="E821" s="202"/>
      <c r="F821" s="203"/>
      <c r="G821" s="204"/>
    </row>
    <row r="822" spans="1:7" x14ac:dyDescent="0.25">
      <c r="A822" s="102"/>
      <c r="B822" s="200"/>
      <c r="C822" s="201"/>
      <c r="D822" s="202"/>
      <c r="E822" s="202"/>
      <c r="F822" s="203"/>
      <c r="G822" s="204"/>
    </row>
    <row r="823" spans="1:7" x14ac:dyDescent="0.25">
      <c r="A823" s="102"/>
      <c r="B823" s="200"/>
      <c r="C823" s="201"/>
      <c r="D823" s="202"/>
      <c r="E823" s="202"/>
      <c r="F823" s="203"/>
      <c r="G823" s="204"/>
    </row>
    <row r="824" spans="1:7" x14ac:dyDescent="0.25">
      <c r="A824" s="102"/>
      <c r="B824" s="200"/>
      <c r="C824" s="201"/>
      <c r="D824" s="202"/>
      <c r="E824" s="202"/>
      <c r="F824" s="203"/>
      <c r="G824" s="204"/>
    </row>
    <row r="825" spans="1:7" x14ac:dyDescent="0.25">
      <c r="A825" s="102"/>
      <c r="B825" s="200"/>
      <c r="C825" s="201"/>
      <c r="D825" s="202"/>
      <c r="E825" s="202"/>
      <c r="F825" s="203"/>
      <c r="G825" s="204"/>
    </row>
    <row r="826" spans="1:7" x14ac:dyDescent="0.25">
      <c r="A826" s="102"/>
      <c r="B826" s="200"/>
      <c r="C826" s="201"/>
      <c r="D826" s="202"/>
      <c r="E826" s="202"/>
      <c r="F826" s="203"/>
      <c r="G826" s="204"/>
    </row>
    <row r="827" spans="1:7" x14ac:dyDescent="0.25">
      <c r="A827" s="102"/>
      <c r="B827" s="200"/>
      <c r="C827" s="201"/>
      <c r="D827" s="202"/>
      <c r="E827" s="202"/>
      <c r="F827" s="203"/>
      <c r="G827" s="204"/>
    </row>
    <row r="828" spans="1:7" x14ac:dyDescent="0.25">
      <c r="A828" s="102"/>
      <c r="B828" s="200"/>
      <c r="C828" s="201"/>
      <c r="D828" s="202"/>
      <c r="E828" s="202"/>
      <c r="F828" s="203"/>
      <c r="G828" s="204"/>
    </row>
    <row r="829" spans="1:7" x14ac:dyDescent="0.25">
      <c r="A829" s="102"/>
      <c r="B829" s="200"/>
      <c r="C829" s="201"/>
      <c r="D829" s="202"/>
      <c r="E829" s="202"/>
      <c r="F829" s="203"/>
      <c r="G829" s="204"/>
    </row>
    <row r="830" spans="1:7" x14ac:dyDescent="0.25">
      <c r="A830" s="102"/>
      <c r="B830" s="200"/>
      <c r="C830" s="201"/>
      <c r="D830" s="202"/>
      <c r="E830" s="202"/>
      <c r="F830" s="203"/>
      <c r="G830" s="204"/>
    </row>
    <row r="831" spans="1:7" x14ac:dyDescent="0.25">
      <c r="A831" s="102"/>
      <c r="B831" s="200"/>
      <c r="C831" s="201"/>
      <c r="D831" s="202"/>
      <c r="E831" s="202"/>
      <c r="F831" s="203"/>
      <c r="G831" s="204"/>
    </row>
    <row r="832" spans="1:7" x14ac:dyDescent="0.25">
      <c r="A832" s="102"/>
      <c r="B832" s="200"/>
      <c r="C832" s="201"/>
      <c r="D832" s="202"/>
      <c r="E832" s="202"/>
      <c r="F832" s="203"/>
      <c r="G832" s="204"/>
    </row>
    <row r="833" spans="1:7" x14ac:dyDescent="0.25">
      <c r="A833" s="102"/>
      <c r="B833" s="200"/>
      <c r="C833" s="201"/>
      <c r="D833" s="202"/>
      <c r="E833" s="202"/>
      <c r="F833" s="203"/>
      <c r="G833" s="204"/>
    </row>
    <row r="834" spans="1:7" x14ac:dyDescent="0.25">
      <c r="A834" s="102"/>
      <c r="B834" s="200"/>
      <c r="C834" s="201"/>
      <c r="D834" s="202"/>
      <c r="E834" s="202"/>
      <c r="F834" s="203"/>
      <c r="G834" s="204"/>
    </row>
    <row r="835" spans="1:7" x14ac:dyDescent="0.25">
      <c r="A835" s="102"/>
      <c r="B835" s="200"/>
      <c r="C835" s="201"/>
      <c r="D835" s="202"/>
      <c r="E835" s="202"/>
      <c r="F835" s="203"/>
      <c r="G835" s="204"/>
    </row>
    <row r="836" spans="1:7" x14ac:dyDescent="0.25">
      <c r="A836" s="102"/>
      <c r="B836" s="200"/>
      <c r="C836" s="201"/>
      <c r="D836" s="202"/>
      <c r="E836" s="202"/>
      <c r="F836" s="203"/>
      <c r="G836" s="204"/>
    </row>
    <row r="837" spans="1:7" x14ac:dyDescent="0.25">
      <c r="A837" s="102"/>
      <c r="B837" s="200"/>
      <c r="C837" s="201"/>
      <c r="D837" s="202"/>
      <c r="E837" s="202"/>
      <c r="F837" s="203"/>
      <c r="G837" s="204"/>
    </row>
    <row r="838" spans="1:7" x14ac:dyDescent="0.25">
      <c r="A838" s="102"/>
      <c r="B838" s="200"/>
      <c r="C838" s="201"/>
      <c r="D838" s="202"/>
      <c r="E838" s="202"/>
      <c r="F838" s="203"/>
      <c r="G838" s="204"/>
    </row>
    <row r="839" spans="1:7" x14ac:dyDescent="0.25">
      <c r="A839" s="102"/>
      <c r="B839" s="200"/>
      <c r="C839" s="201"/>
      <c r="D839" s="202"/>
      <c r="E839" s="202"/>
      <c r="F839" s="203"/>
      <c r="G839" s="204"/>
    </row>
    <row r="840" spans="1:7" x14ac:dyDescent="0.25">
      <c r="A840" s="102"/>
      <c r="B840" s="200"/>
      <c r="C840" s="201"/>
      <c r="D840" s="202"/>
      <c r="E840" s="202"/>
      <c r="F840" s="203"/>
      <c r="G840" s="204"/>
    </row>
    <row r="841" spans="1:7" x14ac:dyDescent="0.25">
      <c r="A841" s="102"/>
      <c r="B841" s="200"/>
      <c r="C841" s="201"/>
      <c r="D841" s="202"/>
      <c r="E841" s="202"/>
      <c r="F841" s="203"/>
      <c r="G841" s="204"/>
    </row>
    <row r="842" spans="1:7" x14ac:dyDescent="0.25">
      <c r="A842" s="102"/>
      <c r="B842" s="200"/>
      <c r="C842" s="201"/>
      <c r="D842" s="202"/>
      <c r="E842" s="202"/>
      <c r="F842" s="203"/>
      <c r="G842" s="204"/>
    </row>
    <row r="843" spans="1:7" x14ac:dyDescent="0.25">
      <c r="A843" s="102"/>
      <c r="B843" s="200"/>
      <c r="C843" s="201"/>
      <c r="D843" s="202"/>
      <c r="E843" s="202"/>
      <c r="F843" s="203"/>
      <c r="G843" s="204"/>
    </row>
    <row r="844" spans="1:7" x14ac:dyDescent="0.25">
      <c r="A844" s="102"/>
      <c r="B844" s="200"/>
      <c r="C844" s="201"/>
      <c r="D844" s="202"/>
      <c r="E844" s="202"/>
      <c r="F844" s="203"/>
      <c r="G844" s="204"/>
    </row>
    <row r="845" spans="1:7" x14ac:dyDescent="0.25">
      <c r="A845" s="102"/>
      <c r="B845" s="200"/>
      <c r="C845" s="201"/>
      <c r="D845" s="202"/>
      <c r="E845" s="202"/>
      <c r="F845" s="203"/>
      <c r="G845" s="204"/>
    </row>
    <row r="846" spans="1:7" x14ac:dyDescent="0.25">
      <c r="A846" s="102"/>
      <c r="B846" s="200"/>
      <c r="C846" s="201"/>
      <c r="D846" s="202"/>
      <c r="E846" s="202"/>
      <c r="F846" s="203"/>
      <c r="G846" s="204"/>
    </row>
    <row r="847" spans="1:7" x14ac:dyDescent="0.25">
      <c r="A847" s="102"/>
      <c r="B847" s="200"/>
      <c r="C847" s="201"/>
      <c r="D847" s="202"/>
      <c r="E847" s="202"/>
      <c r="F847" s="203"/>
      <c r="G847" s="204"/>
    </row>
    <row r="848" spans="1:7" x14ac:dyDescent="0.25">
      <c r="A848" s="102"/>
      <c r="B848" s="200"/>
      <c r="C848" s="201"/>
      <c r="D848" s="202"/>
      <c r="E848" s="202"/>
      <c r="F848" s="203"/>
      <c r="G848" s="204"/>
    </row>
    <row r="849" spans="1:7" x14ac:dyDescent="0.25">
      <c r="A849" s="102"/>
      <c r="B849" s="200"/>
      <c r="C849" s="201"/>
      <c r="D849" s="202"/>
      <c r="E849" s="202"/>
      <c r="F849" s="203"/>
      <c r="G849" s="204"/>
    </row>
    <row r="850" spans="1:7" x14ac:dyDescent="0.25">
      <c r="A850" s="102"/>
      <c r="B850" s="200"/>
      <c r="C850" s="201"/>
      <c r="D850" s="202"/>
      <c r="E850" s="202"/>
      <c r="F850" s="203"/>
      <c r="G850" s="204"/>
    </row>
    <row r="851" spans="1:7" x14ac:dyDescent="0.25">
      <c r="A851" s="102"/>
      <c r="B851" s="200"/>
      <c r="C851" s="201"/>
      <c r="D851" s="202"/>
      <c r="E851" s="202"/>
      <c r="F851" s="203"/>
      <c r="G851" s="204"/>
    </row>
    <row r="852" spans="1:7" x14ac:dyDescent="0.25">
      <c r="A852" s="102"/>
      <c r="B852" s="200"/>
      <c r="C852" s="201"/>
      <c r="D852" s="202"/>
      <c r="E852" s="202"/>
      <c r="F852" s="203"/>
      <c r="G852" s="204"/>
    </row>
    <row r="853" spans="1:7" x14ac:dyDescent="0.25">
      <c r="A853" s="102"/>
      <c r="B853" s="200"/>
      <c r="C853" s="201"/>
      <c r="D853" s="202"/>
      <c r="E853" s="202"/>
      <c r="F853" s="203"/>
      <c r="G853" s="204"/>
    </row>
    <row r="854" spans="1:7" x14ac:dyDescent="0.25">
      <c r="A854" s="102"/>
      <c r="B854" s="200"/>
      <c r="C854" s="201"/>
      <c r="D854" s="202"/>
      <c r="E854" s="202"/>
      <c r="F854" s="203"/>
      <c r="G854" s="204"/>
    </row>
    <row r="855" spans="1:7" x14ac:dyDescent="0.25">
      <c r="A855" s="102"/>
      <c r="B855" s="200"/>
      <c r="C855" s="201"/>
      <c r="D855" s="202"/>
      <c r="E855" s="202"/>
      <c r="F855" s="203"/>
      <c r="G855" s="204"/>
    </row>
    <row r="856" spans="1:7" x14ac:dyDescent="0.25">
      <c r="A856" s="102"/>
      <c r="B856" s="200"/>
      <c r="C856" s="201"/>
      <c r="D856" s="202"/>
      <c r="E856" s="202"/>
      <c r="F856" s="203"/>
      <c r="G856" s="204"/>
    </row>
    <row r="857" spans="1:7" x14ac:dyDescent="0.25">
      <c r="A857" s="102"/>
      <c r="B857" s="200"/>
      <c r="C857" s="201"/>
      <c r="D857" s="202"/>
      <c r="E857" s="202"/>
      <c r="F857" s="203"/>
      <c r="G857" s="204"/>
    </row>
    <row r="858" spans="1:7" x14ac:dyDescent="0.25">
      <c r="A858" s="102"/>
      <c r="B858" s="200"/>
      <c r="C858" s="201"/>
      <c r="D858" s="202"/>
      <c r="E858" s="202"/>
      <c r="F858" s="203"/>
      <c r="G858" s="204"/>
    </row>
    <row r="859" spans="1:7" x14ac:dyDescent="0.25">
      <c r="A859" s="102"/>
      <c r="B859" s="200"/>
      <c r="C859" s="201"/>
      <c r="D859" s="202"/>
      <c r="E859" s="202"/>
      <c r="F859" s="203"/>
      <c r="G859" s="204"/>
    </row>
    <row r="860" spans="1:7" x14ac:dyDescent="0.25">
      <c r="A860" s="102"/>
      <c r="B860" s="200"/>
      <c r="C860" s="201"/>
      <c r="D860" s="202"/>
      <c r="E860" s="202"/>
      <c r="F860" s="203"/>
      <c r="G860" s="204"/>
    </row>
    <row r="861" spans="1:7" x14ac:dyDescent="0.25">
      <c r="A861" s="102"/>
      <c r="B861" s="200"/>
      <c r="C861" s="201"/>
      <c r="D861" s="202"/>
      <c r="E861" s="202"/>
      <c r="F861" s="203"/>
      <c r="G861" s="204"/>
    </row>
    <row r="862" spans="1:7" x14ac:dyDescent="0.25">
      <c r="A862" s="102"/>
      <c r="B862" s="200"/>
      <c r="C862" s="201"/>
      <c r="D862" s="202"/>
      <c r="E862" s="202"/>
      <c r="F862" s="203"/>
      <c r="G862" s="204"/>
    </row>
    <row r="863" spans="1:7" x14ac:dyDescent="0.25">
      <c r="A863" s="102"/>
      <c r="B863" s="200"/>
      <c r="C863" s="201"/>
      <c r="D863" s="202"/>
      <c r="E863" s="202"/>
      <c r="F863" s="203"/>
      <c r="G863" s="204"/>
    </row>
    <row r="864" spans="1:7" x14ac:dyDescent="0.25">
      <c r="A864" s="102"/>
      <c r="B864" s="200"/>
      <c r="C864" s="201"/>
      <c r="D864" s="202"/>
      <c r="E864" s="202"/>
      <c r="F864" s="203"/>
      <c r="G864" s="204"/>
    </row>
    <row r="865" spans="1:7" x14ac:dyDescent="0.25">
      <c r="A865" s="102"/>
      <c r="B865" s="200"/>
      <c r="C865" s="201"/>
      <c r="D865" s="202"/>
      <c r="E865" s="202"/>
      <c r="F865" s="203"/>
      <c r="G865" s="204"/>
    </row>
    <row r="866" spans="1:7" x14ac:dyDescent="0.25">
      <c r="A866" s="102"/>
      <c r="B866" s="200"/>
      <c r="C866" s="201"/>
      <c r="D866" s="202"/>
      <c r="E866" s="202"/>
      <c r="F866" s="203"/>
      <c r="G866" s="204"/>
    </row>
    <row r="867" spans="1:7" x14ac:dyDescent="0.25">
      <c r="A867" s="102"/>
      <c r="B867" s="200"/>
      <c r="C867" s="201"/>
      <c r="D867" s="202"/>
      <c r="E867" s="202"/>
      <c r="F867" s="203"/>
      <c r="G867" s="204"/>
    </row>
    <row r="868" spans="1:7" x14ac:dyDescent="0.25">
      <c r="A868" s="102"/>
      <c r="B868" s="200"/>
      <c r="C868" s="201"/>
      <c r="D868" s="202"/>
      <c r="E868" s="202"/>
      <c r="F868" s="203"/>
      <c r="G868" s="204"/>
    </row>
    <row r="869" spans="1:7" x14ac:dyDescent="0.25">
      <c r="A869" s="102"/>
      <c r="B869" s="200"/>
      <c r="C869" s="201"/>
      <c r="D869" s="202"/>
      <c r="E869" s="202"/>
      <c r="F869" s="203"/>
      <c r="G869" s="204"/>
    </row>
    <row r="870" spans="1:7" x14ac:dyDescent="0.25">
      <c r="A870" s="102"/>
      <c r="B870" s="200"/>
      <c r="C870" s="201"/>
      <c r="D870" s="202"/>
      <c r="E870" s="202"/>
      <c r="F870" s="203"/>
      <c r="G870" s="204"/>
    </row>
    <row r="871" spans="1:7" x14ac:dyDescent="0.25">
      <c r="A871" s="102"/>
      <c r="B871" s="200"/>
      <c r="C871" s="201"/>
      <c r="D871" s="202"/>
      <c r="E871" s="202"/>
      <c r="F871" s="203"/>
      <c r="G871" s="204"/>
    </row>
    <row r="872" spans="1:7" x14ac:dyDescent="0.25">
      <c r="A872" s="102"/>
      <c r="B872" s="200"/>
      <c r="C872" s="201"/>
      <c r="D872" s="202"/>
      <c r="E872" s="202"/>
      <c r="F872" s="203"/>
      <c r="G872" s="204"/>
    </row>
    <row r="873" spans="1:7" x14ac:dyDescent="0.25">
      <c r="A873" s="102"/>
      <c r="B873" s="200"/>
      <c r="C873" s="201"/>
      <c r="D873" s="202"/>
      <c r="E873" s="202"/>
      <c r="F873" s="203"/>
      <c r="G873" s="204"/>
    </row>
    <row r="874" spans="1:7" x14ac:dyDescent="0.25">
      <c r="A874" s="102"/>
      <c r="B874" s="200"/>
      <c r="C874" s="201"/>
      <c r="D874" s="202"/>
      <c r="E874" s="202"/>
      <c r="F874" s="203"/>
      <c r="G874" s="204"/>
    </row>
    <row r="875" spans="1:7" x14ac:dyDescent="0.25">
      <c r="A875" s="102"/>
      <c r="B875" s="200"/>
      <c r="C875" s="201"/>
      <c r="D875" s="202"/>
      <c r="E875" s="202"/>
      <c r="F875" s="203"/>
      <c r="G875" s="204"/>
    </row>
    <row r="876" spans="1:7" x14ac:dyDescent="0.25">
      <c r="A876" s="102"/>
      <c r="B876" s="200"/>
      <c r="C876" s="201"/>
      <c r="D876" s="202"/>
      <c r="E876" s="202"/>
      <c r="F876" s="203"/>
      <c r="G876" s="204"/>
    </row>
    <row r="877" spans="1:7" x14ac:dyDescent="0.25">
      <c r="A877" s="102"/>
      <c r="B877" s="200"/>
      <c r="C877" s="201"/>
      <c r="D877" s="202"/>
      <c r="E877" s="202"/>
      <c r="F877" s="203"/>
      <c r="G877" s="204"/>
    </row>
    <row r="878" spans="1:7" x14ac:dyDescent="0.25">
      <c r="A878" s="102"/>
      <c r="B878" s="200"/>
      <c r="C878" s="201"/>
      <c r="D878" s="202"/>
      <c r="E878" s="202"/>
      <c r="F878" s="203"/>
      <c r="G878" s="204"/>
    </row>
    <row r="879" spans="1:7" x14ac:dyDescent="0.25">
      <c r="A879" s="102"/>
      <c r="B879" s="200"/>
      <c r="C879" s="201"/>
      <c r="D879" s="202"/>
      <c r="E879" s="202"/>
      <c r="F879" s="203"/>
      <c r="G879" s="204"/>
    </row>
    <row r="880" spans="1:7" x14ac:dyDescent="0.25">
      <c r="A880" s="102"/>
      <c r="B880" s="200"/>
      <c r="C880" s="201"/>
      <c r="D880" s="202"/>
      <c r="E880" s="202"/>
      <c r="F880" s="203"/>
      <c r="G880" s="204"/>
    </row>
    <row r="881" spans="1:7" x14ac:dyDescent="0.25">
      <c r="A881" s="102"/>
      <c r="B881" s="200"/>
      <c r="C881" s="201"/>
      <c r="D881" s="202"/>
      <c r="E881" s="202"/>
      <c r="F881" s="203"/>
      <c r="G881" s="204"/>
    </row>
    <row r="882" spans="1:7" x14ac:dyDescent="0.25">
      <c r="A882" s="102"/>
      <c r="B882" s="200"/>
      <c r="C882" s="201"/>
      <c r="D882" s="202"/>
      <c r="E882" s="202"/>
      <c r="F882" s="203"/>
      <c r="G882" s="204"/>
    </row>
    <row r="883" spans="1:7" x14ac:dyDescent="0.25">
      <c r="A883" s="102"/>
      <c r="B883" s="200"/>
      <c r="C883" s="201"/>
      <c r="D883" s="202"/>
      <c r="E883" s="202"/>
      <c r="F883" s="203"/>
      <c r="G883" s="204"/>
    </row>
    <row r="884" spans="1:7" x14ac:dyDescent="0.25">
      <c r="A884" s="102"/>
      <c r="B884" s="200"/>
      <c r="C884" s="201"/>
      <c r="D884" s="202"/>
      <c r="E884" s="202"/>
      <c r="F884" s="203"/>
      <c r="G884" s="204"/>
    </row>
    <row r="885" spans="1:7" x14ac:dyDescent="0.25">
      <c r="A885" s="102"/>
      <c r="B885" s="200"/>
      <c r="C885" s="201"/>
      <c r="D885" s="202"/>
      <c r="E885" s="202"/>
      <c r="F885" s="203"/>
      <c r="G885" s="204"/>
    </row>
    <row r="886" spans="1:7" x14ac:dyDescent="0.25">
      <c r="A886" s="102"/>
      <c r="B886" s="200"/>
      <c r="C886" s="201"/>
      <c r="D886" s="202"/>
      <c r="E886" s="202"/>
      <c r="F886" s="203"/>
      <c r="G886" s="204"/>
    </row>
    <row r="887" spans="1:7" x14ac:dyDescent="0.25">
      <c r="A887" s="102"/>
      <c r="B887" s="200"/>
      <c r="C887" s="201"/>
      <c r="D887" s="202"/>
      <c r="E887" s="202"/>
      <c r="F887" s="203"/>
      <c r="G887" s="204"/>
    </row>
    <row r="888" spans="1:7" x14ac:dyDescent="0.25">
      <c r="A888" s="102"/>
      <c r="B888" s="200"/>
      <c r="C888" s="201"/>
      <c r="D888" s="202"/>
      <c r="E888" s="202"/>
      <c r="F888" s="203"/>
      <c r="G888" s="204"/>
    </row>
    <row r="889" spans="1:7" x14ac:dyDescent="0.25">
      <c r="A889" s="102"/>
      <c r="B889" s="200"/>
      <c r="C889" s="201"/>
      <c r="D889" s="202"/>
      <c r="E889" s="202"/>
      <c r="F889" s="203"/>
      <c r="G889" s="204"/>
    </row>
    <row r="890" spans="1:7" x14ac:dyDescent="0.25">
      <c r="A890" s="102"/>
      <c r="B890" s="200"/>
      <c r="C890" s="201"/>
      <c r="D890" s="202"/>
      <c r="E890" s="202"/>
      <c r="F890" s="203"/>
      <c r="G890" s="204"/>
    </row>
    <row r="891" spans="1:7" x14ac:dyDescent="0.25">
      <c r="A891" s="102"/>
      <c r="B891" s="200"/>
      <c r="C891" s="201"/>
      <c r="D891" s="202"/>
      <c r="E891" s="202"/>
      <c r="F891" s="203"/>
      <c r="G891" s="204"/>
    </row>
    <row r="892" spans="1:7" x14ac:dyDescent="0.25">
      <c r="A892" s="102"/>
      <c r="B892" s="200"/>
      <c r="C892" s="201"/>
      <c r="D892" s="202"/>
      <c r="E892" s="202"/>
      <c r="F892" s="203"/>
      <c r="G892" s="204"/>
    </row>
    <row r="893" spans="1:7" x14ac:dyDescent="0.25">
      <c r="A893" s="102"/>
      <c r="B893" s="200"/>
      <c r="C893" s="201"/>
      <c r="D893" s="202"/>
      <c r="E893" s="202"/>
      <c r="F893" s="203"/>
      <c r="G893" s="204"/>
    </row>
    <row r="894" spans="1:7" x14ac:dyDescent="0.25">
      <c r="A894" s="102"/>
      <c r="B894" s="200"/>
      <c r="C894" s="201"/>
      <c r="D894" s="202"/>
      <c r="E894" s="202"/>
      <c r="F894" s="203"/>
      <c r="G894" s="204"/>
    </row>
    <row r="895" spans="1:7" x14ac:dyDescent="0.25">
      <c r="A895" s="102"/>
      <c r="B895" s="200"/>
      <c r="C895" s="201"/>
      <c r="D895" s="202"/>
      <c r="E895" s="202"/>
      <c r="F895" s="203"/>
      <c r="G895" s="204"/>
    </row>
    <row r="896" spans="1:7" x14ac:dyDescent="0.25">
      <c r="A896" s="102"/>
      <c r="B896" s="200"/>
      <c r="C896" s="201"/>
      <c r="D896" s="202"/>
      <c r="E896" s="202"/>
      <c r="F896" s="203"/>
      <c r="G896" s="204"/>
    </row>
    <row r="897" spans="1:7" x14ac:dyDescent="0.25">
      <c r="A897" s="102"/>
      <c r="B897" s="200"/>
      <c r="C897" s="201"/>
      <c r="D897" s="202"/>
      <c r="E897" s="202"/>
      <c r="F897" s="203"/>
      <c r="G897" s="204"/>
    </row>
    <row r="898" spans="1:7" x14ac:dyDescent="0.25">
      <c r="A898" s="102"/>
      <c r="B898" s="200"/>
      <c r="C898" s="201"/>
      <c r="D898" s="202"/>
      <c r="E898" s="202"/>
      <c r="F898" s="203"/>
      <c r="G898" s="204"/>
    </row>
    <row r="899" spans="1:7" x14ac:dyDescent="0.25">
      <c r="A899" s="102"/>
      <c r="B899" s="200"/>
      <c r="C899" s="201"/>
      <c r="D899" s="202"/>
      <c r="E899" s="202"/>
      <c r="F899" s="203"/>
      <c r="G899" s="204"/>
    </row>
    <row r="900" spans="1:7" x14ac:dyDescent="0.25">
      <c r="A900" s="102"/>
      <c r="B900" s="200"/>
      <c r="C900" s="201"/>
      <c r="D900" s="202"/>
      <c r="E900" s="202"/>
      <c r="F900" s="203"/>
      <c r="G900" s="204"/>
    </row>
    <row r="901" spans="1:7" x14ac:dyDescent="0.25">
      <c r="A901" s="102"/>
      <c r="B901" s="200"/>
      <c r="C901" s="201"/>
      <c r="D901" s="202"/>
      <c r="E901" s="202"/>
      <c r="F901" s="203"/>
      <c r="G901" s="204"/>
    </row>
    <row r="902" spans="1:7" x14ac:dyDescent="0.25">
      <c r="A902" s="102"/>
      <c r="B902" s="200"/>
      <c r="C902" s="201"/>
      <c r="D902" s="202"/>
      <c r="E902" s="202"/>
      <c r="F902" s="203"/>
      <c r="G902" s="204"/>
    </row>
    <row r="903" spans="1:7" x14ac:dyDescent="0.25">
      <c r="A903" s="102"/>
      <c r="B903" s="200"/>
      <c r="C903" s="201"/>
      <c r="D903" s="202"/>
      <c r="E903" s="202"/>
      <c r="F903" s="203"/>
      <c r="G903" s="204"/>
    </row>
    <row r="904" spans="1:7" x14ac:dyDescent="0.25">
      <c r="A904" s="102"/>
      <c r="B904" s="200"/>
      <c r="C904" s="201"/>
      <c r="D904" s="202"/>
      <c r="E904" s="202"/>
      <c r="F904" s="203"/>
      <c r="G904" s="204"/>
    </row>
    <row r="905" spans="1:7" x14ac:dyDescent="0.25">
      <c r="A905" s="102"/>
      <c r="B905" s="200"/>
      <c r="C905" s="201"/>
      <c r="D905" s="202"/>
      <c r="E905" s="202"/>
      <c r="F905" s="203"/>
      <c r="G905" s="204"/>
    </row>
    <row r="906" spans="1:7" x14ac:dyDescent="0.25">
      <c r="A906" s="102"/>
      <c r="B906" s="200"/>
      <c r="C906" s="201"/>
      <c r="D906" s="202"/>
      <c r="E906" s="202"/>
      <c r="F906" s="203"/>
      <c r="G906" s="204"/>
    </row>
    <row r="907" spans="1:7" x14ac:dyDescent="0.25">
      <c r="A907" s="102"/>
      <c r="B907" s="200"/>
      <c r="C907" s="201"/>
      <c r="D907" s="202"/>
      <c r="E907" s="202"/>
      <c r="F907" s="203"/>
      <c r="G907" s="204"/>
    </row>
    <row r="908" spans="1:7" x14ac:dyDescent="0.25">
      <c r="A908" s="102"/>
      <c r="B908" s="200"/>
      <c r="C908" s="201"/>
      <c r="D908" s="202"/>
      <c r="E908" s="202"/>
      <c r="F908" s="203"/>
      <c r="G908" s="204"/>
    </row>
    <row r="909" spans="1:7" x14ac:dyDescent="0.25">
      <c r="A909" s="102"/>
      <c r="B909" s="200"/>
      <c r="C909" s="201"/>
      <c r="D909" s="202"/>
      <c r="E909" s="202"/>
      <c r="F909" s="203"/>
      <c r="G909" s="204"/>
    </row>
    <row r="910" spans="1:7" x14ac:dyDescent="0.25">
      <c r="A910" s="102"/>
      <c r="B910" s="200"/>
      <c r="C910" s="201"/>
      <c r="D910" s="202"/>
      <c r="E910" s="202"/>
      <c r="F910" s="203"/>
      <c r="G910" s="204"/>
    </row>
    <row r="911" spans="1:7" x14ac:dyDescent="0.25">
      <c r="A911" s="102"/>
      <c r="B911" s="200"/>
      <c r="C911" s="201"/>
      <c r="D911" s="202"/>
      <c r="E911" s="202"/>
      <c r="F911" s="203"/>
      <c r="G911" s="204"/>
    </row>
    <row r="912" spans="1:7" x14ac:dyDescent="0.25">
      <c r="A912" s="102"/>
      <c r="B912" s="200"/>
      <c r="C912" s="201"/>
      <c r="D912" s="202"/>
      <c r="E912" s="202"/>
      <c r="F912" s="203"/>
      <c r="G912" s="204"/>
    </row>
    <row r="913" spans="1:7" x14ac:dyDescent="0.25">
      <c r="A913" s="102"/>
      <c r="B913" s="200"/>
      <c r="C913" s="201"/>
      <c r="D913" s="202"/>
      <c r="E913" s="202"/>
      <c r="F913" s="203"/>
      <c r="G913" s="204"/>
    </row>
    <row r="914" spans="1:7" x14ac:dyDescent="0.25">
      <c r="A914" s="102"/>
      <c r="B914" s="200"/>
      <c r="C914" s="201"/>
      <c r="D914" s="202"/>
      <c r="E914" s="202"/>
      <c r="F914" s="203"/>
      <c r="G914" s="204"/>
    </row>
    <row r="915" spans="1:7" x14ac:dyDescent="0.25">
      <c r="A915" s="102"/>
      <c r="B915" s="200"/>
      <c r="C915" s="201"/>
      <c r="D915" s="202"/>
      <c r="E915" s="202"/>
      <c r="F915" s="203"/>
      <c r="G915" s="204"/>
    </row>
    <row r="916" spans="1:7" x14ac:dyDescent="0.25">
      <c r="A916" s="102"/>
      <c r="B916" s="200"/>
      <c r="C916" s="201"/>
      <c r="D916" s="202"/>
      <c r="E916" s="202"/>
      <c r="F916" s="203"/>
      <c r="G916" s="204"/>
    </row>
    <row r="917" spans="1:7" x14ac:dyDescent="0.25">
      <c r="A917" s="102"/>
      <c r="B917" s="200"/>
      <c r="C917" s="201"/>
      <c r="D917" s="202"/>
      <c r="E917" s="202"/>
      <c r="F917" s="203"/>
      <c r="G917" s="204"/>
    </row>
    <row r="918" spans="1:7" x14ac:dyDescent="0.25">
      <c r="A918" s="102"/>
      <c r="B918" s="200"/>
      <c r="C918" s="201"/>
      <c r="D918" s="202"/>
      <c r="E918" s="202"/>
      <c r="F918" s="203"/>
      <c r="G918" s="204"/>
    </row>
    <row r="919" spans="1:7" x14ac:dyDescent="0.25">
      <c r="A919" s="102"/>
      <c r="B919" s="200"/>
      <c r="C919" s="201"/>
      <c r="D919" s="202"/>
      <c r="E919" s="202"/>
      <c r="F919" s="203"/>
      <c r="G919" s="204"/>
    </row>
    <row r="920" spans="1:7" x14ac:dyDescent="0.25">
      <c r="A920" s="102"/>
      <c r="B920" s="200"/>
      <c r="C920" s="201"/>
      <c r="D920" s="202"/>
      <c r="E920" s="202"/>
      <c r="F920" s="203"/>
      <c r="G920" s="204"/>
    </row>
    <row r="921" spans="1:7" x14ac:dyDescent="0.25">
      <c r="A921" s="102"/>
      <c r="B921" s="200"/>
      <c r="C921" s="201"/>
      <c r="D921" s="202"/>
      <c r="E921" s="202"/>
      <c r="F921" s="203"/>
      <c r="G921" s="204"/>
    </row>
  </sheetData>
  <autoFilter ref="A5:G42">
    <sortState ref="A6:G48">
      <sortCondition ref="B5:B48"/>
    </sortState>
  </autoFilter>
  <mergeCells count="8">
    <mergeCell ref="N10:N11"/>
    <mergeCell ref="O10:Q10"/>
    <mergeCell ref="A1:F1"/>
    <mergeCell ref="A2:F2"/>
    <mergeCell ref="I5:I7"/>
    <mergeCell ref="J5:L5"/>
    <mergeCell ref="N5:N6"/>
    <mergeCell ref="O5:Q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opLeftCell="A3" workbookViewId="0">
      <selection activeCell="H24" sqref="H24"/>
    </sheetView>
  </sheetViews>
  <sheetFormatPr defaultRowHeight="15" x14ac:dyDescent="0.25"/>
  <cols>
    <col min="1" max="1" width="6.28515625" customWidth="1"/>
    <col min="2" max="2" width="12.7109375" customWidth="1"/>
    <col min="3" max="3" width="10" customWidth="1"/>
    <col min="4" max="4" width="11" bestFit="1" customWidth="1"/>
    <col min="5" max="5" width="33.5703125" customWidth="1"/>
    <col min="6" max="6" width="8.85546875" style="231" customWidth="1"/>
    <col min="7" max="7" width="15.28515625" bestFit="1" customWidth="1"/>
    <col min="9" max="9" width="17.7109375" customWidth="1"/>
    <col min="10" max="10" width="18.5703125" customWidth="1"/>
    <col min="11" max="11" width="18.42578125" customWidth="1"/>
    <col min="12" max="12" width="18.7109375" customWidth="1"/>
    <col min="13" max="13" width="6.85546875" customWidth="1"/>
    <col min="14" max="14" width="22.28515625" customWidth="1"/>
    <col min="15" max="15" width="16.42578125" customWidth="1"/>
    <col min="16" max="16" width="16.7109375" customWidth="1"/>
    <col min="17" max="17" width="15.5703125" customWidth="1"/>
    <col min="18" max="18" width="38" bestFit="1" customWidth="1"/>
    <col min="19" max="19" width="16.28515625" bestFit="1" customWidth="1"/>
    <col min="20" max="21" width="6" bestFit="1" customWidth="1"/>
    <col min="22" max="22" width="11.28515625" bestFit="1" customWidth="1"/>
  </cols>
  <sheetData>
    <row r="1" spans="1:17" ht="15.75" x14ac:dyDescent="0.25">
      <c r="B1" s="94" t="s">
        <v>1717</v>
      </c>
      <c r="C1" s="94"/>
      <c r="D1" s="94"/>
      <c r="E1" s="94"/>
      <c r="F1" s="94"/>
      <c r="G1" s="94"/>
    </row>
    <row r="2" spans="1:17" ht="15.75" x14ac:dyDescent="0.25">
      <c r="B2" s="98" t="s">
        <v>1688</v>
      </c>
      <c r="C2" s="98"/>
      <c r="D2" s="98"/>
      <c r="E2" s="98"/>
      <c r="F2" s="98"/>
      <c r="G2" s="98"/>
      <c r="H2" s="94"/>
      <c r="I2" s="94"/>
      <c r="J2" s="94"/>
      <c r="K2" s="94"/>
      <c r="L2" s="94"/>
      <c r="M2" s="94"/>
    </row>
    <row r="3" spans="1:17" ht="24" x14ac:dyDescent="0.25">
      <c r="A3" s="217" t="s">
        <v>716</v>
      </c>
      <c r="B3" s="218" t="s">
        <v>2</v>
      </c>
      <c r="C3" s="219" t="s">
        <v>751</v>
      </c>
      <c r="D3" s="173" t="s">
        <v>4</v>
      </c>
      <c r="E3" s="173" t="s">
        <v>5</v>
      </c>
      <c r="F3" s="173" t="s">
        <v>752</v>
      </c>
      <c r="G3" s="175" t="s">
        <v>754</v>
      </c>
      <c r="H3" s="220"/>
      <c r="I3" s="176" t="s">
        <v>1689</v>
      </c>
      <c r="J3" s="205" t="s">
        <v>751</v>
      </c>
      <c r="K3" s="205"/>
      <c r="L3" s="205"/>
      <c r="M3" s="100"/>
      <c r="N3" s="176" t="s">
        <v>1690</v>
      </c>
      <c r="O3" s="205" t="s">
        <v>757</v>
      </c>
      <c r="P3" s="205"/>
      <c r="Q3" s="205"/>
    </row>
    <row r="4" spans="1:17" x14ac:dyDescent="0.25">
      <c r="A4" s="76">
        <v>1</v>
      </c>
      <c r="B4" s="145">
        <v>45322</v>
      </c>
      <c r="C4" s="221">
        <v>2024</v>
      </c>
      <c r="D4" s="192" t="s">
        <v>1718</v>
      </c>
      <c r="E4" s="192" t="s">
        <v>1719</v>
      </c>
      <c r="F4" s="222">
        <v>11</v>
      </c>
      <c r="G4" s="148">
        <v>6875000</v>
      </c>
      <c r="I4" s="182"/>
      <c r="J4" s="223">
        <v>2024</v>
      </c>
      <c r="K4" s="223">
        <v>2025</v>
      </c>
      <c r="L4" s="223">
        <v>2026</v>
      </c>
      <c r="N4" s="184"/>
      <c r="O4" s="183">
        <v>2024</v>
      </c>
      <c r="P4" s="183">
        <v>2025</v>
      </c>
      <c r="Q4" s="183">
        <v>2026</v>
      </c>
    </row>
    <row r="5" spans="1:17" x14ac:dyDescent="0.25">
      <c r="A5" s="76">
        <v>2</v>
      </c>
      <c r="B5" s="145">
        <v>45322</v>
      </c>
      <c r="C5" s="221">
        <v>2024</v>
      </c>
      <c r="D5" s="192" t="s">
        <v>1718</v>
      </c>
      <c r="E5" s="192" t="s">
        <v>1720</v>
      </c>
      <c r="F5" s="222">
        <v>6</v>
      </c>
      <c r="G5" s="148">
        <v>3000000</v>
      </c>
      <c r="I5" s="184"/>
      <c r="J5" s="32">
        <v>1165953250</v>
      </c>
      <c r="K5" s="32">
        <v>696720631</v>
      </c>
      <c r="L5" s="32">
        <v>392487847</v>
      </c>
      <c r="N5" s="224" t="s">
        <v>769</v>
      </c>
      <c r="O5" s="225">
        <v>341520000</v>
      </c>
      <c r="P5" s="32">
        <v>306795024</v>
      </c>
      <c r="Q5" s="32">
        <v>281267071</v>
      </c>
    </row>
    <row r="6" spans="1:17" x14ac:dyDescent="0.25">
      <c r="A6" s="76">
        <v>3</v>
      </c>
      <c r="B6" s="145">
        <v>45322</v>
      </c>
      <c r="C6" s="221">
        <v>2024</v>
      </c>
      <c r="D6" s="192" t="s">
        <v>1718</v>
      </c>
      <c r="E6" s="192" t="s">
        <v>1721</v>
      </c>
      <c r="F6" s="222">
        <v>11</v>
      </c>
      <c r="G6" s="148">
        <v>4950000</v>
      </c>
      <c r="I6" s="226"/>
      <c r="J6" s="199"/>
      <c r="K6" s="199"/>
      <c r="L6" s="199"/>
      <c r="N6" s="226"/>
      <c r="O6" s="199"/>
      <c r="P6" s="199"/>
      <c r="Q6" s="199"/>
    </row>
    <row r="7" spans="1:17" x14ac:dyDescent="0.25">
      <c r="A7" s="76">
        <v>4</v>
      </c>
      <c r="B7" s="145">
        <v>45322</v>
      </c>
      <c r="C7" s="221">
        <v>2024</v>
      </c>
      <c r="D7" s="192" t="s">
        <v>1718</v>
      </c>
      <c r="E7" s="192" t="s">
        <v>1722</v>
      </c>
      <c r="F7" s="222">
        <v>18</v>
      </c>
      <c r="G7" s="148">
        <v>5850000</v>
      </c>
      <c r="J7" s="199"/>
      <c r="L7" s="199"/>
      <c r="N7" s="176" t="s">
        <v>1690</v>
      </c>
      <c r="O7" s="205" t="s">
        <v>757</v>
      </c>
      <c r="P7" s="205"/>
      <c r="Q7" s="205"/>
    </row>
    <row r="8" spans="1:17" x14ac:dyDescent="0.25">
      <c r="A8" s="76">
        <v>5</v>
      </c>
      <c r="B8" s="145">
        <v>45322</v>
      </c>
      <c r="C8" s="221">
        <v>2024</v>
      </c>
      <c r="D8" s="192" t="s">
        <v>1718</v>
      </c>
      <c r="E8" s="192" t="s">
        <v>1723</v>
      </c>
      <c r="F8" s="222">
        <v>9</v>
      </c>
      <c r="G8" s="148">
        <v>2385000</v>
      </c>
      <c r="N8" s="184"/>
      <c r="O8" s="183">
        <v>2024</v>
      </c>
      <c r="P8" s="183">
        <v>2025</v>
      </c>
      <c r="Q8" s="183">
        <v>2026</v>
      </c>
    </row>
    <row r="9" spans="1:17" x14ac:dyDescent="0.25">
      <c r="A9" s="76">
        <v>6</v>
      </c>
      <c r="B9" s="145">
        <v>45342</v>
      </c>
      <c r="C9" s="221">
        <v>2024</v>
      </c>
      <c r="D9" s="192" t="s">
        <v>1718</v>
      </c>
      <c r="E9" s="192" t="s">
        <v>1719</v>
      </c>
      <c r="F9" s="222">
        <v>95</v>
      </c>
      <c r="G9" s="148">
        <v>64125000</v>
      </c>
      <c r="N9" s="227" t="s">
        <v>1724</v>
      </c>
      <c r="O9" s="225" t="s">
        <v>1725</v>
      </c>
      <c r="P9" s="225"/>
      <c r="Q9" s="225"/>
    </row>
    <row r="10" spans="1:17" x14ac:dyDescent="0.25">
      <c r="A10" s="76">
        <v>7</v>
      </c>
      <c r="B10" s="145">
        <v>45342</v>
      </c>
      <c r="C10" s="221">
        <v>2024</v>
      </c>
      <c r="D10" s="192" t="s">
        <v>1718</v>
      </c>
      <c r="E10" s="192" t="s">
        <v>1720</v>
      </c>
      <c r="F10" s="222">
        <v>40</v>
      </c>
      <c r="G10" s="148">
        <v>21800000</v>
      </c>
      <c r="N10" s="228" t="s">
        <v>1471</v>
      </c>
      <c r="O10" s="5"/>
      <c r="P10" s="5" t="s">
        <v>1726</v>
      </c>
      <c r="Q10" s="5"/>
    </row>
    <row r="11" spans="1:17" x14ac:dyDescent="0.25">
      <c r="A11" s="76">
        <v>8</v>
      </c>
      <c r="B11" s="145">
        <v>45342</v>
      </c>
      <c r="C11" s="221">
        <v>2024</v>
      </c>
      <c r="D11" s="192" t="s">
        <v>1718</v>
      </c>
      <c r="E11" s="192" t="s">
        <v>1721</v>
      </c>
      <c r="F11" s="222">
        <v>63</v>
      </c>
      <c r="G11" s="148">
        <v>29925000</v>
      </c>
      <c r="N11" s="228" t="s">
        <v>1490</v>
      </c>
      <c r="O11" s="5"/>
      <c r="P11" s="5"/>
      <c r="Q11" s="5" t="s">
        <v>1727</v>
      </c>
    </row>
    <row r="12" spans="1:17" x14ac:dyDescent="0.25">
      <c r="A12" s="76">
        <v>9</v>
      </c>
      <c r="B12" s="145">
        <v>45342</v>
      </c>
      <c r="C12" s="221">
        <v>2024</v>
      </c>
      <c r="D12" s="192" t="s">
        <v>1718</v>
      </c>
      <c r="E12" s="192" t="s">
        <v>1722</v>
      </c>
      <c r="F12" s="222">
        <v>281</v>
      </c>
      <c r="G12" s="148">
        <v>98350000</v>
      </c>
      <c r="I12" s="163"/>
    </row>
    <row r="13" spans="1:17" x14ac:dyDescent="0.25">
      <c r="A13" s="76">
        <v>10</v>
      </c>
      <c r="B13" s="145">
        <v>45342</v>
      </c>
      <c r="C13" s="221">
        <v>2024</v>
      </c>
      <c r="D13" s="192" t="s">
        <v>1718</v>
      </c>
      <c r="E13" s="192" t="s">
        <v>1723</v>
      </c>
      <c r="F13" s="222">
        <v>171</v>
      </c>
      <c r="G13" s="148">
        <v>47025000</v>
      </c>
      <c r="I13" s="163"/>
    </row>
    <row r="14" spans="1:17" x14ac:dyDescent="0.25">
      <c r="A14" s="76">
        <v>11</v>
      </c>
      <c r="B14" s="116">
        <v>45344</v>
      </c>
      <c r="C14" s="221">
        <v>2024</v>
      </c>
      <c r="D14" s="118" t="s">
        <v>1718</v>
      </c>
      <c r="E14" s="119" t="s">
        <v>914</v>
      </c>
      <c r="F14" s="229">
        <v>202</v>
      </c>
      <c r="G14" s="121">
        <v>1065750</v>
      </c>
      <c r="I14" s="163"/>
    </row>
    <row r="15" spans="1:17" x14ac:dyDescent="0.25">
      <c r="A15" s="76">
        <v>12</v>
      </c>
      <c r="B15" s="116">
        <v>45344</v>
      </c>
      <c r="C15" s="221">
        <v>2024</v>
      </c>
      <c r="D15" s="118" t="s">
        <v>1718</v>
      </c>
      <c r="E15" s="119" t="s">
        <v>915</v>
      </c>
      <c r="F15" s="229">
        <v>414</v>
      </c>
      <c r="G15" s="121">
        <v>1759500</v>
      </c>
      <c r="I15" s="163"/>
    </row>
    <row r="16" spans="1:17" x14ac:dyDescent="0.25">
      <c r="A16" s="76">
        <v>13</v>
      </c>
      <c r="B16" s="145">
        <v>45346</v>
      </c>
      <c r="C16" s="221">
        <v>2024</v>
      </c>
      <c r="D16" s="192" t="s">
        <v>1718</v>
      </c>
      <c r="E16" s="192" t="s">
        <v>1471</v>
      </c>
      <c r="F16" s="222">
        <v>5000</v>
      </c>
      <c r="G16" s="148">
        <v>75000000</v>
      </c>
      <c r="I16" s="163"/>
    </row>
    <row r="17" spans="1:9" x14ac:dyDescent="0.25">
      <c r="A17" s="76">
        <v>14</v>
      </c>
      <c r="B17" s="145">
        <v>45367</v>
      </c>
      <c r="C17" s="221">
        <v>2024</v>
      </c>
      <c r="D17" s="192" t="s">
        <v>1718</v>
      </c>
      <c r="E17" s="192" t="s">
        <v>1728</v>
      </c>
      <c r="F17" s="222">
        <v>80</v>
      </c>
      <c r="G17" s="148">
        <v>7200000</v>
      </c>
      <c r="I17" s="163"/>
    </row>
    <row r="18" spans="1:9" x14ac:dyDescent="0.25">
      <c r="A18" s="76">
        <v>15</v>
      </c>
      <c r="B18" s="145">
        <v>45367</v>
      </c>
      <c r="C18" s="221">
        <v>2024</v>
      </c>
      <c r="D18" s="192" t="s">
        <v>1718</v>
      </c>
      <c r="E18" s="192" t="s">
        <v>1723</v>
      </c>
      <c r="F18" s="222">
        <v>17</v>
      </c>
      <c r="G18" s="148">
        <v>4675000</v>
      </c>
      <c r="I18" s="163"/>
    </row>
    <row r="19" spans="1:9" x14ac:dyDescent="0.25">
      <c r="A19" s="76">
        <v>16</v>
      </c>
      <c r="B19" s="145">
        <v>45374</v>
      </c>
      <c r="C19" s="221">
        <v>2024</v>
      </c>
      <c r="D19" s="192" t="s">
        <v>1718</v>
      </c>
      <c r="E19" s="192" t="s">
        <v>1471</v>
      </c>
      <c r="F19" s="222">
        <v>5000</v>
      </c>
      <c r="G19" s="148">
        <v>60000000</v>
      </c>
      <c r="I19" s="163"/>
    </row>
    <row r="20" spans="1:9" x14ac:dyDescent="0.25">
      <c r="A20" s="76">
        <v>17</v>
      </c>
      <c r="B20" s="145">
        <v>45374</v>
      </c>
      <c r="C20" s="221">
        <v>2024</v>
      </c>
      <c r="D20" s="192" t="s">
        <v>1718</v>
      </c>
      <c r="E20" s="192" t="s">
        <v>1471</v>
      </c>
      <c r="F20" s="222">
        <v>1660</v>
      </c>
      <c r="G20" s="148">
        <v>19920000</v>
      </c>
      <c r="I20" s="163"/>
    </row>
    <row r="21" spans="1:9" x14ac:dyDescent="0.25">
      <c r="A21" s="76">
        <v>18</v>
      </c>
      <c r="B21" s="145">
        <v>45381</v>
      </c>
      <c r="C21" s="221">
        <v>2024</v>
      </c>
      <c r="D21" s="192" t="s">
        <v>1718</v>
      </c>
      <c r="E21" s="192" t="s">
        <v>1471</v>
      </c>
      <c r="F21" s="222">
        <v>3900</v>
      </c>
      <c r="G21" s="148">
        <v>52650000</v>
      </c>
      <c r="I21" s="163"/>
    </row>
    <row r="22" spans="1:9" x14ac:dyDescent="0.25">
      <c r="A22" s="76">
        <v>19</v>
      </c>
      <c r="B22" s="145">
        <v>45383</v>
      </c>
      <c r="C22" s="221">
        <v>2024</v>
      </c>
      <c r="D22" s="192" t="s">
        <v>1718</v>
      </c>
      <c r="E22" s="192" t="s">
        <v>1723</v>
      </c>
      <c r="F22" s="222">
        <v>17</v>
      </c>
      <c r="G22" s="148">
        <v>4675000</v>
      </c>
      <c r="I22" s="163"/>
    </row>
    <row r="23" spans="1:9" x14ac:dyDescent="0.25">
      <c r="A23" s="76">
        <v>20</v>
      </c>
      <c r="B23" s="145">
        <v>45386</v>
      </c>
      <c r="C23" s="221">
        <v>2024</v>
      </c>
      <c r="D23" s="192" t="s">
        <v>1718</v>
      </c>
      <c r="E23" s="192" t="s">
        <v>1471</v>
      </c>
      <c r="F23" s="222">
        <v>40</v>
      </c>
      <c r="G23" s="148">
        <v>480000</v>
      </c>
      <c r="I23" s="163"/>
    </row>
    <row r="24" spans="1:9" x14ac:dyDescent="0.25">
      <c r="A24" s="76">
        <v>21</v>
      </c>
      <c r="B24" s="145">
        <v>45386</v>
      </c>
      <c r="C24" s="221">
        <v>2024</v>
      </c>
      <c r="D24" s="192" t="s">
        <v>1718</v>
      </c>
      <c r="E24" s="192" t="s">
        <v>1471</v>
      </c>
      <c r="F24" s="222">
        <v>100</v>
      </c>
      <c r="G24" s="148">
        <v>1350000</v>
      </c>
      <c r="I24" s="163"/>
    </row>
    <row r="25" spans="1:9" x14ac:dyDescent="0.25">
      <c r="A25" s="76">
        <v>22</v>
      </c>
      <c r="B25" s="145">
        <v>45455</v>
      </c>
      <c r="C25" s="221">
        <v>2024</v>
      </c>
      <c r="D25" s="192" t="s">
        <v>1718</v>
      </c>
      <c r="E25" s="192" t="s">
        <v>1729</v>
      </c>
      <c r="F25" s="222">
        <v>1</v>
      </c>
      <c r="G25" s="148">
        <v>1600000</v>
      </c>
      <c r="I25" s="163"/>
    </row>
    <row r="26" spans="1:9" x14ac:dyDescent="0.25">
      <c r="A26" s="76">
        <v>23</v>
      </c>
      <c r="B26" s="145">
        <v>45456</v>
      </c>
      <c r="C26" s="221">
        <v>2024</v>
      </c>
      <c r="D26" s="192" t="s">
        <v>1718</v>
      </c>
      <c r="E26" s="192" t="s">
        <v>1730</v>
      </c>
      <c r="F26" s="222">
        <v>1</v>
      </c>
      <c r="G26" s="148">
        <v>2500000</v>
      </c>
      <c r="I26" s="163"/>
    </row>
    <row r="27" spans="1:9" x14ac:dyDescent="0.25">
      <c r="A27" s="76">
        <v>24</v>
      </c>
      <c r="B27" s="145">
        <v>45458</v>
      </c>
      <c r="C27" s="221">
        <v>2024</v>
      </c>
      <c r="D27" s="192" t="s">
        <v>1718</v>
      </c>
      <c r="E27" s="192" t="s">
        <v>1731</v>
      </c>
      <c r="F27" s="222">
        <v>1</v>
      </c>
      <c r="G27" s="148">
        <v>5125000</v>
      </c>
      <c r="I27" s="163"/>
    </row>
    <row r="28" spans="1:9" x14ac:dyDescent="0.25">
      <c r="A28" s="76">
        <v>25</v>
      </c>
      <c r="B28" s="145">
        <v>45488</v>
      </c>
      <c r="C28" s="221">
        <v>2024</v>
      </c>
      <c r="D28" s="192" t="s">
        <v>1718</v>
      </c>
      <c r="E28" s="192" t="s">
        <v>1732</v>
      </c>
      <c r="F28" s="222">
        <v>1000</v>
      </c>
      <c r="G28" s="148">
        <v>4300000</v>
      </c>
      <c r="I28" s="163"/>
    </row>
    <row r="29" spans="1:9" x14ac:dyDescent="0.25">
      <c r="A29" s="76">
        <v>26</v>
      </c>
      <c r="B29" s="145">
        <v>45495</v>
      </c>
      <c r="C29" s="221">
        <v>2024</v>
      </c>
      <c r="D29" s="192" t="s">
        <v>1718</v>
      </c>
      <c r="E29" s="192" t="s">
        <v>1471</v>
      </c>
      <c r="F29" s="222">
        <v>2200</v>
      </c>
      <c r="G29" s="148">
        <v>25300000</v>
      </c>
      <c r="I29" s="163"/>
    </row>
    <row r="30" spans="1:9" x14ac:dyDescent="0.25">
      <c r="A30" s="76">
        <v>27</v>
      </c>
      <c r="B30" s="145">
        <v>45495</v>
      </c>
      <c r="C30" s="221">
        <v>2024</v>
      </c>
      <c r="D30" s="192" t="s">
        <v>1718</v>
      </c>
      <c r="E30" s="192" t="s">
        <v>1471</v>
      </c>
      <c r="F30" s="222">
        <v>2000</v>
      </c>
      <c r="G30" s="148">
        <v>25000000</v>
      </c>
      <c r="I30" s="163"/>
    </row>
    <row r="31" spans="1:9" x14ac:dyDescent="0.25">
      <c r="A31" s="76">
        <v>28</v>
      </c>
      <c r="B31" s="145">
        <v>45497</v>
      </c>
      <c r="C31" s="221">
        <v>2024</v>
      </c>
      <c r="D31" s="192" t="s">
        <v>1718</v>
      </c>
      <c r="E31" s="192" t="s">
        <v>1733</v>
      </c>
      <c r="F31" s="222">
        <v>6000</v>
      </c>
      <c r="G31" s="148">
        <v>44000000</v>
      </c>
      <c r="I31" s="163"/>
    </row>
    <row r="32" spans="1:9" x14ac:dyDescent="0.25">
      <c r="A32" s="76">
        <v>29</v>
      </c>
      <c r="B32" s="145">
        <v>45500</v>
      </c>
      <c r="C32" s="221">
        <v>2024</v>
      </c>
      <c r="D32" s="192" t="s">
        <v>1718</v>
      </c>
      <c r="E32" s="192" t="s">
        <v>1733</v>
      </c>
      <c r="F32" s="222">
        <v>7764</v>
      </c>
      <c r="G32" s="148">
        <v>56936000</v>
      </c>
      <c r="I32" s="163"/>
    </row>
    <row r="33" spans="1:9" x14ac:dyDescent="0.25">
      <c r="A33" s="76">
        <v>30</v>
      </c>
      <c r="B33" s="145">
        <v>45502</v>
      </c>
      <c r="C33" s="221">
        <v>2024</v>
      </c>
      <c r="D33" s="192" t="s">
        <v>1718</v>
      </c>
      <c r="E33" s="192" t="s">
        <v>1733</v>
      </c>
      <c r="F33" s="222">
        <v>1836</v>
      </c>
      <c r="G33" s="148">
        <v>13464000</v>
      </c>
      <c r="I33" s="163"/>
    </row>
    <row r="34" spans="1:9" x14ac:dyDescent="0.25">
      <c r="A34" s="76">
        <v>31</v>
      </c>
      <c r="B34" s="145">
        <v>45503</v>
      </c>
      <c r="C34" s="221">
        <v>2024</v>
      </c>
      <c r="D34" s="192" t="s">
        <v>1718</v>
      </c>
      <c r="E34" s="192" t="s">
        <v>1733</v>
      </c>
      <c r="F34" s="222">
        <v>2400</v>
      </c>
      <c r="G34" s="148">
        <v>17600000</v>
      </c>
      <c r="I34" s="163"/>
    </row>
    <row r="35" spans="1:9" x14ac:dyDescent="0.25">
      <c r="A35" s="76">
        <v>32</v>
      </c>
      <c r="B35" s="145">
        <v>45506</v>
      </c>
      <c r="C35" s="221">
        <v>2024</v>
      </c>
      <c r="D35" s="192" t="s">
        <v>1718</v>
      </c>
      <c r="E35" s="192" t="s">
        <v>1734</v>
      </c>
      <c r="F35" s="222">
        <v>53</v>
      </c>
      <c r="G35" s="148">
        <v>4160500</v>
      </c>
      <c r="I35" s="163"/>
    </row>
    <row r="36" spans="1:9" x14ac:dyDescent="0.25">
      <c r="A36" s="76">
        <v>33</v>
      </c>
      <c r="B36" s="145">
        <v>45506</v>
      </c>
      <c r="C36" s="221">
        <v>2024</v>
      </c>
      <c r="D36" s="192" t="s">
        <v>1718</v>
      </c>
      <c r="E36" s="192" t="s">
        <v>1735</v>
      </c>
      <c r="F36" s="222">
        <v>37</v>
      </c>
      <c r="G36" s="148">
        <v>2331000</v>
      </c>
      <c r="I36" s="163"/>
    </row>
    <row r="37" spans="1:9" x14ac:dyDescent="0.25">
      <c r="A37" s="76">
        <v>34</v>
      </c>
      <c r="B37" s="145">
        <v>45506</v>
      </c>
      <c r="C37" s="221">
        <v>2024</v>
      </c>
      <c r="D37" s="192" t="s">
        <v>1718</v>
      </c>
      <c r="E37" s="192" t="s">
        <v>1736</v>
      </c>
      <c r="F37" s="222">
        <v>4</v>
      </c>
      <c r="G37" s="148">
        <v>4800000</v>
      </c>
      <c r="I37" s="163"/>
    </row>
    <row r="38" spans="1:9" x14ac:dyDescent="0.25">
      <c r="A38" s="76">
        <v>35</v>
      </c>
      <c r="B38" s="145">
        <v>45506</v>
      </c>
      <c r="C38" s="221">
        <v>2024</v>
      </c>
      <c r="D38" s="192" t="s">
        <v>1718</v>
      </c>
      <c r="E38" s="192" t="s">
        <v>1737</v>
      </c>
      <c r="F38" s="222">
        <v>60</v>
      </c>
      <c r="G38" s="148">
        <v>5100000</v>
      </c>
      <c r="I38" s="163"/>
    </row>
    <row r="39" spans="1:9" x14ac:dyDescent="0.25">
      <c r="A39" s="76">
        <v>36</v>
      </c>
      <c r="B39" s="145">
        <v>45506</v>
      </c>
      <c r="C39" s="221">
        <v>2024</v>
      </c>
      <c r="D39" s="192" t="s">
        <v>1718</v>
      </c>
      <c r="E39" s="192" t="s">
        <v>1738</v>
      </c>
      <c r="F39" s="222">
        <v>6</v>
      </c>
      <c r="G39" s="148">
        <v>6900000</v>
      </c>
      <c r="I39" s="163"/>
    </row>
    <row r="40" spans="1:9" x14ac:dyDescent="0.25">
      <c r="A40" s="76">
        <v>37</v>
      </c>
      <c r="B40" s="145">
        <v>45506</v>
      </c>
      <c r="C40" s="221">
        <v>2024</v>
      </c>
      <c r="D40" s="192" t="s">
        <v>1718</v>
      </c>
      <c r="E40" s="192" t="s">
        <v>1739</v>
      </c>
      <c r="F40" s="222">
        <v>50</v>
      </c>
      <c r="G40" s="148">
        <v>4600000</v>
      </c>
      <c r="I40" s="163"/>
    </row>
    <row r="41" spans="1:9" x14ac:dyDescent="0.25">
      <c r="A41" s="76">
        <v>38</v>
      </c>
      <c r="B41" s="145">
        <v>45510</v>
      </c>
      <c r="C41" s="221">
        <v>2024</v>
      </c>
      <c r="D41" s="192" t="s">
        <v>1718</v>
      </c>
      <c r="E41" s="192" t="s">
        <v>1740</v>
      </c>
      <c r="F41" s="222">
        <v>1</v>
      </c>
      <c r="G41" s="148">
        <v>169150000</v>
      </c>
      <c r="I41" s="163"/>
    </row>
    <row r="42" spans="1:9" x14ac:dyDescent="0.25">
      <c r="A42" s="76">
        <v>39</v>
      </c>
      <c r="B42" s="145">
        <v>45532</v>
      </c>
      <c r="C42" s="221">
        <v>2024</v>
      </c>
      <c r="D42" s="192" t="s">
        <v>1718</v>
      </c>
      <c r="E42" s="192" t="s">
        <v>1741</v>
      </c>
      <c r="F42" s="222">
        <v>1800</v>
      </c>
      <c r="G42" s="148">
        <v>4549999.9999859994</v>
      </c>
      <c r="I42" s="163"/>
    </row>
    <row r="43" spans="1:9" x14ac:dyDescent="0.25">
      <c r="A43" s="76">
        <v>40</v>
      </c>
      <c r="B43" s="145">
        <v>45532</v>
      </c>
      <c r="C43" s="221">
        <v>2024</v>
      </c>
      <c r="D43" s="192" t="s">
        <v>1718</v>
      </c>
      <c r="E43" s="192" t="s">
        <v>1742</v>
      </c>
      <c r="F43" s="222">
        <v>1200</v>
      </c>
      <c r="G43" s="148">
        <v>8400000</v>
      </c>
      <c r="I43" s="163"/>
    </row>
    <row r="44" spans="1:9" x14ac:dyDescent="0.25">
      <c r="A44" s="76">
        <v>41</v>
      </c>
      <c r="B44" s="145">
        <v>45532</v>
      </c>
      <c r="C44" s="221">
        <v>2024</v>
      </c>
      <c r="D44" s="192" t="s">
        <v>1718</v>
      </c>
      <c r="E44" s="192" t="s">
        <v>1729</v>
      </c>
      <c r="F44" s="222">
        <v>2</v>
      </c>
      <c r="G44" s="148">
        <v>3150000</v>
      </c>
      <c r="I44" s="163"/>
    </row>
    <row r="45" spans="1:9" x14ac:dyDescent="0.25">
      <c r="A45" s="76">
        <v>42</v>
      </c>
      <c r="B45" s="145">
        <v>45532</v>
      </c>
      <c r="C45" s="221">
        <v>2024</v>
      </c>
      <c r="D45" s="192" t="s">
        <v>1718</v>
      </c>
      <c r="E45" s="192" t="s">
        <v>1743</v>
      </c>
      <c r="F45" s="222">
        <v>1</v>
      </c>
      <c r="G45" s="148">
        <v>975000</v>
      </c>
      <c r="I45" s="163"/>
    </row>
    <row r="46" spans="1:9" x14ac:dyDescent="0.25">
      <c r="A46" s="76">
        <v>43</v>
      </c>
      <c r="B46" s="145">
        <v>45534</v>
      </c>
      <c r="C46" s="221">
        <v>2024</v>
      </c>
      <c r="D46" s="192" t="s">
        <v>1718</v>
      </c>
      <c r="E46" s="192" t="s">
        <v>1744</v>
      </c>
      <c r="F46" s="222">
        <v>1</v>
      </c>
      <c r="G46" s="148">
        <v>3099000</v>
      </c>
      <c r="I46" s="163"/>
    </row>
    <row r="47" spans="1:9" x14ac:dyDescent="0.25">
      <c r="A47" s="76">
        <v>44</v>
      </c>
      <c r="B47" s="145">
        <v>45534</v>
      </c>
      <c r="C47" s="221">
        <v>2024</v>
      </c>
      <c r="D47" s="192" t="s">
        <v>1718</v>
      </c>
      <c r="E47" s="192" t="s">
        <v>1745</v>
      </c>
      <c r="F47" s="222">
        <v>45</v>
      </c>
      <c r="G47" s="148">
        <v>3364999.999965</v>
      </c>
      <c r="I47" s="163"/>
    </row>
    <row r="48" spans="1:9" x14ac:dyDescent="0.25">
      <c r="A48" s="76">
        <v>45</v>
      </c>
      <c r="B48" s="145">
        <v>45547</v>
      </c>
      <c r="C48" s="221">
        <v>2024</v>
      </c>
      <c r="D48" s="192" t="s">
        <v>1718</v>
      </c>
      <c r="E48" s="192" t="s">
        <v>1746</v>
      </c>
      <c r="F48" s="222">
        <v>24000</v>
      </c>
      <c r="G48" s="148">
        <v>165000000</v>
      </c>
      <c r="I48" s="163"/>
    </row>
    <row r="49" spans="1:9" x14ac:dyDescent="0.25">
      <c r="A49" s="76">
        <v>46</v>
      </c>
      <c r="B49" s="145">
        <v>45547</v>
      </c>
      <c r="C49" s="117">
        <v>2024</v>
      </c>
      <c r="D49" s="192" t="s">
        <v>1718</v>
      </c>
      <c r="E49" s="192" t="s">
        <v>1747</v>
      </c>
      <c r="F49" s="222">
        <v>432</v>
      </c>
      <c r="G49" s="148">
        <v>2970000</v>
      </c>
      <c r="I49" s="163"/>
    </row>
    <row r="50" spans="1:9" x14ac:dyDescent="0.25">
      <c r="A50" s="76">
        <v>47</v>
      </c>
      <c r="B50" s="145">
        <v>45560</v>
      </c>
      <c r="C50" s="117">
        <v>2024</v>
      </c>
      <c r="D50" s="192" t="s">
        <v>1718</v>
      </c>
      <c r="E50" s="192" t="s">
        <v>1743</v>
      </c>
      <c r="F50" s="222">
        <v>1</v>
      </c>
      <c r="G50" s="148">
        <v>975000</v>
      </c>
      <c r="I50" s="163"/>
    </row>
    <row r="51" spans="1:9" x14ac:dyDescent="0.25">
      <c r="A51" s="76">
        <v>48</v>
      </c>
      <c r="B51" s="145">
        <v>45572</v>
      </c>
      <c r="C51" s="117">
        <v>2024</v>
      </c>
      <c r="D51" s="192" t="s">
        <v>1718</v>
      </c>
      <c r="E51" s="192" t="s">
        <v>1748</v>
      </c>
      <c r="F51" s="222">
        <v>200</v>
      </c>
      <c r="G51" s="148">
        <v>700000</v>
      </c>
      <c r="I51" s="163"/>
    </row>
    <row r="52" spans="1:9" x14ac:dyDescent="0.25">
      <c r="A52" s="76">
        <v>49</v>
      </c>
      <c r="B52" s="145">
        <v>45580</v>
      </c>
      <c r="C52" s="117">
        <v>2024</v>
      </c>
      <c r="D52" s="192" t="s">
        <v>1718</v>
      </c>
      <c r="E52" s="192" t="s">
        <v>1749</v>
      </c>
      <c r="F52" s="222">
        <v>2200</v>
      </c>
      <c r="G52" s="148">
        <v>6019499.9999859994</v>
      </c>
      <c r="I52" s="163"/>
    </row>
    <row r="53" spans="1:9" x14ac:dyDescent="0.25">
      <c r="A53" s="76">
        <v>50</v>
      </c>
      <c r="B53" s="145">
        <v>45583</v>
      </c>
      <c r="C53" s="117">
        <v>2024</v>
      </c>
      <c r="D53" s="192" t="s">
        <v>1718</v>
      </c>
      <c r="E53" s="192" t="s">
        <v>1750</v>
      </c>
      <c r="F53" s="222">
        <v>816</v>
      </c>
      <c r="G53" s="148">
        <v>5677999.9999972796</v>
      </c>
      <c r="I53" s="163"/>
    </row>
    <row r="54" spans="1:9" x14ac:dyDescent="0.25">
      <c r="A54" s="76">
        <v>51</v>
      </c>
      <c r="B54" s="116">
        <v>45591</v>
      </c>
      <c r="C54" s="117">
        <v>2024</v>
      </c>
      <c r="D54" s="118" t="s">
        <v>1718</v>
      </c>
      <c r="E54" s="119" t="s">
        <v>1207</v>
      </c>
      <c r="F54" s="229">
        <v>2</v>
      </c>
      <c r="G54" s="121">
        <v>170000</v>
      </c>
      <c r="I54" s="163"/>
    </row>
    <row r="55" spans="1:9" x14ac:dyDescent="0.25">
      <c r="A55" s="76">
        <v>52</v>
      </c>
      <c r="B55" s="116">
        <v>45596</v>
      </c>
      <c r="C55" s="117">
        <v>2024</v>
      </c>
      <c r="D55" s="192" t="s">
        <v>1718</v>
      </c>
      <c r="E55" s="119" t="s">
        <v>1219</v>
      </c>
      <c r="F55" s="229">
        <v>1</v>
      </c>
      <c r="G55" s="121">
        <v>1385000</v>
      </c>
      <c r="I55" s="163"/>
    </row>
    <row r="56" spans="1:9" x14ac:dyDescent="0.25">
      <c r="A56" s="76">
        <v>53</v>
      </c>
      <c r="B56" s="145">
        <v>45598</v>
      </c>
      <c r="C56" s="117">
        <v>2024</v>
      </c>
      <c r="D56" s="192" t="s">
        <v>1718</v>
      </c>
      <c r="E56" s="192" t="s">
        <v>1751</v>
      </c>
      <c r="F56" s="222">
        <v>1</v>
      </c>
      <c r="G56" s="148">
        <v>1385000</v>
      </c>
      <c r="I56" s="163"/>
    </row>
    <row r="57" spans="1:9" x14ac:dyDescent="0.25">
      <c r="A57" s="76">
        <v>54</v>
      </c>
      <c r="B57" s="116">
        <v>45615</v>
      </c>
      <c r="C57" s="117">
        <v>2024</v>
      </c>
      <c r="D57" s="192" t="s">
        <v>1718</v>
      </c>
      <c r="E57" s="119" t="s">
        <v>1263</v>
      </c>
      <c r="F57" s="229">
        <v>1</v>
      </c>
      <c r="G57" s="121">
        <v>2615000</v>
      </c>
      <c r="I57" s="163"/>
    </row>
    <row r="58" spans="1:9" x14ac:dyDescent="0.25">
      <c r="A58" s="76">
        <v>55</v>
      </c>
      <c r="B58" s="145">
        <v>45616</v>
      </c>
      <c r="C58" s="191">
        <v>2024</v>
      </c>
      <c r="D58" s="192" t="s">
        <v>1718</v>
      </c>
      <c r="E58" s="192" t="s">
        <v>1265</v>
      </c>
      <c r="F58" s="230">
        <v>25</v>
      </c>
      <c r="G58" s="148">
        <v>16875000</v>
      </c>
      <c r="I58" s="163"/>
    </row>
    <row r="59" spans="1:9" x14ac:dyDescent="0.25">
      <c r="A59" s="76">
        <v>56</v>
      </c>
      <c r="B59" s="145">
        <v>45616</v>
      </c>
      <c r="C59" s="191">
        <v>2024</v>
      </c>
      <c r="D59" s="192" t="s">
        <v>1718</v>
      </c>
      <c r="E59" s="192" t="s">
        <v>1266</v>
      </c>
      <c r="F59" s="230">
        <v>13</v>
      </c>
      <c r="G59" s="148">
        <v>7085000</v>
      </c>
      <c r="I59" s="163"/>
    </row>
    <row r="60" spans="1:9" x14ac:dyDescent="0.25">
      <c r="A60" s="76">
        <v>57</v>
      </c>
      <c r="B60" s="145">
        <v>45616</v>
      </c>
      <c r="C60" s="191">
        <v>2024</v>
      </c>
      <c r="D60" s="192" t="s">
        <v>1718</v>
      </c>
      <c r="E60" s="192" t="s">
        <v>1267</v>
      </c>
      <c r="F60" s="230">
        <v>13</v>
      </c>
      <c r="G60" s="148">
        <v>6175000</v>
      </c>
      <c r="I60" s="163"/>
    </row>
    <row r="61" spans="1:9" x14ac:dyDescent="0.25">
      <c r="A61" s="76">
        <v>58</v>
      </c>
      <c r="B61" s="145">
        <v>45616</v>
      </c>
      <c r="C61" s="191">
        <v>2024</v>
      </c>
      <c r="D61" s="192" t="s">
        <v>1718</v>
      </c>
      <c r="E61" s="192" t="s">
        <v>1268</v>
      </c>
      <c r="F61" s="230">
        <v>16</v>
      </c>
      <c r="G61" s="148">
        <v>5600000</v>
      </c>
      <c r="I61" s="163"/>
    </row>
    <row r="62" spans="1:9" x14ac:dyDescent="0.25">
      <c r="A62" s="76">
        <v>59</v>
      </c>
      <c r="B62" s="145">
        <v>45616</v>
      </c>
      <c r="C62" s="191">
        <v>2024</v>
      </c>
      <c r="D62" s="192" t="s">
        <v>1718</v>
      </c>
      <c r="E62" s="192" t="s">
        <v>1269</v>
      </c>
      <c r="F62" s="230">
        <v>18</v>
      </c>
      <c r="G62" s="148">
        <v>4950000</v>
      </c>
      <c r="I62" s="163"/>
    </row>
    <row r="63" spans="1:9" x14ac:dyDescent="0.25">
      <c r="A63" s="76">
        <v>60</v>
      </c>
      <c r="B63" s="116">
        <v>45617</v>
      </c>
      <c r="C63" s="117">
        <v>2024</v>
      </c>
      <c r="D63" s="118" t="s">
        <v>1718</v>
      </c>
      <c r="E63" s="119" t="s">
        <v>1270</v>
      </c>
      <c r="F63" s="119">
        <v>8</v>
      </c>
      <c r="G63" s="121">
        <v>240000</v>
      </c>
      <c r="I63" s="163"/>
    </row>
    <row r="64" spans="1:9" x14ac:dyDescent="0.25">
      <c r="A64" s="76">
        <v>61</v>
      </c>
      <c r="B64" s="145">
        <v>45621</v>
      </c>
      <c r="C64" s="117">
        <v>2024</v>
      </c>
      <c r="D64" s="192" t="s">
        <v>1718</v>
      </c>
      <c r="E64" s="192" t="s">
        <v>1752</v>
      </c>
      <c r="F64" s="222">
        <v>1</v>
      </c>
      <c r="G64" s="148">
        <v>2615000</v>
      </c>
      <c r="I64" s="163"/>
    </row>
    <row r="65" spans="1:9" x14ac:dyDescent="0.25">
      <c r="A65" s="76">
        <v>62</v>
      </c>
      <c r="B65" s="145">
        <v>45624</v>
      </c>
      <c r="C65" s="117">
        <v>2024</v>
      </c>
      <c r="D65" s="192" t="s">
        <v>1718</v>
      </c>
      <c r="E65" s="192" t="s">
        <v>1753</v>
      </c>
      <c r="F65" s="222">
        <v>100</v>
      </c>
      <c r="G65" s="148">
        <v>1200000</v>
      </c>
      <c r="I65" s="163"/>
    </row>
    <row r="66" spans="1:9" x14ac:dyDescent="0.25">
      <c r="A66" s="76">
        <v>63</v>
      </c>
      <c r="B66" s="145">
        <v>45624</v>
      </c>
      <c r="C66" s="117">
        <v>2024</v>
      </c>
      <c r="D66" s="192" t="s">
        <v>1718</v>
      </c>
      <c r="E66" s="192" t="s">
        <v>1754</v>
      </c>
      <c r="F66" s="222">
        <v>100</v>
      </c>
      <c r="G66" s="148">
        <v>4850000</v>
      </c>
      <c r="I66" s="163"/>
    </row>
    <row r="67" spans="1:9" x14ac:dyDescent="0.25">
      <c r="A67" s="76">
        <v>64</v>
      </c>
      <c r="B67" s="116">
        <v>45734</v>
      </c>
      <c r="C67" s="117">
        <v>2025</v>
      </c>
      <c r="D67" s="192" t="s">
        <v>1718</v>
      </c>
      <c r="E67" s="119" t="s">
        <v>1370</v>
      </c>
      <c r="F67" s="229">
        <v>2000</v>
      </c>
      <c r="G67" s="121">
        <v>6400000</v>
      </c>
      <c r="I67" s="163"/>
    </row>
    <row r="68" spans="1:9" x14ac:dyDescent="0.25">
      <c r="A68" s="76">
        <v>65</v>
      </c>
      <c r="B68" s="116">
        <v>45734</v>
      </c>
      <c r="C68" s="117">
        <v>2025</v>
      </c>
      <c r="D68" s="192" t="s">
        <v>1718</v>
      </c>
      <c r="E68" s="119" t="s">
        <v>1371</v>
      </c>
      <c r="F68" s="229">
        <v>4</v>
      </c>
      <c r="G68" s="121">
        <v>3420000</v>
      </c>
      <c r="I68" s="163"/>
    </row>
    <row r="69" spans="1:9" x14ac:dyDescent="0.25">
      <c r="A69" s="76">
        <v>66</v>
      </c>
      <c r="B69" s="116">
        <v>45734</v>
      </c>
      <c r="C69" s="117">
        <v>2025</v>
      </c>
      <c r="D69" s="192" t="s">
        <v>1718</v>
      </c>
      <c r="E69" s="119" t="s">
        <v>1372</v>
      </c>
      <c r="F69" s="229">
        <v>3</v>
      </c>
      <c r="G69" s="121">
        <v>8400000</v>
      </c>
      <c r="I69" s="163"/>
    </row>
    <row r="70" spans="1:9" x14ac:dyDescent="0.25">
      <c r="A70" s="76">
        <v>67</v>
      </c>
      <c r="B70" s="116">
        <v>45734</v>
      </c>
      <c r="C70" s="117">
        <v>2025</v>
      </c>
      <c r="D70" s="192" t="s">
        <v>1718</v>
      </c>
      <c r="E70" s="119" t="s">
        <v>1373</v>
      </c>
      <c r="F70" s="229">
        <v>60</v>
      </c>
      <c r="G70" s="121">
        <v>3900000</v>
      </c>
      <c r="I70" s="163"/>
    </row>
    <row r="71" spans="1:9" x14ac:dyDescent="0.25">
      <c r="A71" s="76">
        <v>68</v>
      </c>
      <c r="B71" s="116">
        <v>45734</v>
      </c>
      <c r="C71" s="117">
        <v>2025</v>
      </c>
      <c r="D71" s="192" t="s">
        <v>1718</v>
      </c>
      <c r="E71" s="119" t="s">
        <v>1368</v>
      </c>
      <c r="F71" s="229">
        <v>150</v>
      </c>
      <c r="G71" s="121">
        <v>5643000</v>
      </c>
      <c r="I71" s="163"/>
    </row>
    <row r="72" spans="1:9" x14ac:dyDescent="0.25">
      <c r="A72" s="76">
        <v>69</v>
      </c>
      <c r="B72" s="116">
        <v>45734</v>
      </c>
      <c r="C72" s="117">
        <v>2025</v>
      </c>
      <c r="D72" s="192" t="s">
        <v>1718</v>
      </c>
      <c r="E72" s="119" t="s">
        <v>356</v>
      </c>
      <c r="F72" s="229">
        <v>80</v>
      </c>
      <c r="G72" s="121">
        <v>5400000</v>
      </c>
      <c r="I72" s="163"/>
    </row>
    <row r="73" spans="1:9" x14ac:dyDescent="0.25">
      <c r="A73" s="76">
        <v>70</v>
      </c>
      <c r="B73" s="116">
        <v>45734</v>
      </c>
      <c r="C73" s="117">
        <v>2025</v>
      </c>
      <c r="D73" s="192" t="s">
        <v>1718</v>
      </c>
      <c r="E73" s="119" t="s">
        <v>1369</v>
      </c>
      <c r="F73" s="229">
        <v>3000</v>
      </c>
      <c r="G73" s="121">
        <v>1248000</v>
      </c>
      <c r="I73" s="163"/>
    </row>
    <row r="74" spans="1:9" x14ac:dyDescent="0.25">
      <c r="A74" s="76">
        <v>71</v>
      </c>
      <c r="B74" s="116">
        <v>45791</v>
      </c>
      <c r="C74" s="117">
        <v>2025</v>
      </c>
      <c r="D74" s="192" t="s">
        <v>1718</v>
      </c>
      <c r="E74" s="119" t="s">
        <v>1409</v>
      </c>
      <c r="F74" s="229">
        <v>1</v>
      </c>
      <c r="G74" s="121">
        <v>2800000</v>
      </c>
      <c r="I74" s="163"/>
    </row>
    <row r="75" spans="1:9" x14ac:dyDescent="0.25">
      <c r="A75" s="76">
        <v>72</v>
      </c>
      <c r="B75" s="116">
        <v>45796</v>
      </c>
      <c r="C75" s="117">
        <v>2025</v>
      </c>
      <c r="D75" s="192" t="s">
        <v>1718</v>
      </c>
      <c r="E75" s="119" t="s">
        <v>1409</v>
      </c>
      <c r="F75" s="229">
        <v>3</v>
      </c>
      <c r="G75" s="121">
        <v>8400000</v>
      </c>
      <c r="I75" s="163"/>
    </row>
    <row r="76" spans="1:9" x14ac:dyDescent="0.25">
      <c r="A76" s="76">
        <v>73</v>
      </c>
      <c r="B76" s="116">
        <v>45803</v>
      </c>
      <c r="C76" s="117">
        <v>2025</v>
      </c>
      <c r="D76" s="192" t="s">
        <v>1718</v>
      </c>
      <c r="E76" s="119" t="s">
        <v>1219</v>
      </c>
      <c r="F76" s="229">
        <v>1</v>
      </c>
      <c r="G76" s="121">
        <v>1498000</v>
      </c>
      <c r="I76" s="163"/>
    </row>
    <row r="77" spans="1:9" x14ac:dyDescent="0.25">
      <c r="A77" s="76">
        <v>74</v>
      </c>
      <c r="B77" s="116">
        <v>45819</v>
      </c>
      <c r="C77" s="117">
        <v>2025</v>
      </c>
      <c r="D77" s="192" t="s">
        <v>1718</v>
      </c>
      <c r="E77" s="119" t="s">
        <v>1432</v>
      </c>
      <c r="F77" s="229">
        <v>1</v>
      </c>
      <c r="G77" s="121">
        <v>1250000</v>
      </c>
      <c r="I77" s="163"/>
    </row>
    <row r="78" spans="1:9" x14ac:dyDescent="0.25">
      <c r="A78" s="76">
        <v>75</v>
      </c>
      <c r="B78" s="116">
        <v>45822</v>
      </c>
      <c r="C78" s="117">
        <v>2025</v>
      </c>
      <c r="D78" s="192" t="s">
        <v>1718</v>
      </c>
      <c r="E78" s="119" t="s">
        <v>1434</v>
      </c>
      <c r="F78" s="229">
        <v>40</v>
      </c>
      <c r="G78" s="121">
        <v>2092000</v>
      </c>
      <c r="I78" s="163"/>
    </row>
    <row r="79" spans="1:9" x14ac:dyDescent="0.25">
      <c r="A79" s="76">
        <v>76</v>
      </c>
      <c r="B79" s="116">
        <v>45822</v>
      </c>
      <c r="C79" s="117">
        <v>2025</v>
      </c>
      <c r="D79" s="192" t="s">
        <v>1718</v>
      </c>
      <c r="E79" s="119" t="s">
        <v>1219</v>
      </c>
      <c r="F79" s="229">
        <v>1</v>
      </c>
      <c r="G79" s="121">
        <v>1413000</v>
      </c>
      <c r="I79" s="163"/>
    </row>
    <row r="80" spans="1:9" x14ac:dyDescent="0.25">
      <c r="A80" s="76">
        <v>77</v>
      </c>
      <c r="B80" s="116">
        <v>45825</v>
      </c>
      <c r="C80" s="117">
        <v>2025</v>
      </c>
      <c r="D80" s="192" t="s">
        <v>1718</v>
      </c>
      <c r="E80" s="119" t="s">
        <v>1434</v>
      </c>
      <c r="F80" s="229">
        <v>100</v>
      </c>
      <c r="G80" s="121">
        <v>2800000</v>
      </c>
      <c r="I80" s="163"/>
    </row>
    <row r="81" spans="1:9" x14ac:dyDescent="0.25">
      <c r="A81" s="76">
        <v>78</v>
      </c>
      <c r="B81" s="145">
        <v>45829</v>
      </c>
      <c r="C81" s="191">
        <v>2025</v>
      </c>
      <c r="D81" s="192" t="s">
        <v>1718</v>
      </c>
      <c r="E81" s="192" t="s">
        <v>1440</v>
      </c>
      <c r="F81" s="230">
        <v>59</v>
      </c>
      <c r="G81" s="148">
        <v>39825000</v>
      </c>
      <c r="I81" s="163"/>
    </row>
    <row r="82" spans="1:9" x14ac:dyDescent="0.25">
      <c r="A82" s="76">
        <v>79</v>
      </c>
      <c r="B82" s="145">
        <v>45829</v>
      </c>
      <c r="C82" s="191">
        <v>2025</v>
      </c>
      <c r="D82" s="192" t="s">
        <v>1718</v>
      </c>
      <c r="E82" s="192" t="s">
        <v>1441</v>
      </c>
      <c r="F82" s="230">
        <v>58</v>
      </c>
      <c r="G82" s="148">
        <v>31610000</v>
      </c>
      <c r="I82" s="163"/>
    </row>
    <row r="83" spans="1:9" x14ac:dyDescent="0.25">
      <c r="A83" s="76">
        <v>80</v>
      </c>
      <c r="B83" s="145">
        <v>45829</v>
      </c>
      <c r="C83" s="191">
        <v>2025</v>
      </c>
      <c r="D83" s="192" t="s">
        <v>1718</v>
      </c>
      <c r="E83" s="192" t="s">
        <v>1442</v>
      </c>
      <c r="F83" s="230">
        <v>135</v>
      </c>
      <c r="G83" s="148">
        <v>64125000</v>
      </c>
      <c r="I83" s="163"/>
    </row>
    <row r="84" spans="1:9" x14ac:dyDescent="0.25">
      <c r="A84" s="76">
        <v>81</v>
      </c>
      <c r="B84" s="145">
        <v>45829</v>
      </c>
      <c r="C84" s="191">
        <v>2025</v>
      </c>
      <c r="D84" s="192" t="s">
        <v>1718</v>
      </c>
      <c r="E84" s="192" t="s">
        <v>1443</v>
      </c>
      <c r="F84" s="230">
        <v>186</v>
      </c>
      <c r="G84" s="148">
        <v>65100000</v>
      </c>
      <c r="I84" s="163"/>
    </row>
    <row r="85" spans="1:9" x14ac:dyDescent="0.25">
      <c r="A85" s="76">
        <v>82</v>
      </c>
      <c r="B85" s="145">
        <v>45829</v>
      </c>
      <c r="C85" s="191">
        <v>2025</v>
      </c>
      <c r="D85" s="192" t="s">
        <v>1718</v>
      </c>
      <c r="E85" s="192" t="s">
        <v>1444</v>
      </c>
      <c r="F85" s="230">
        <v>152</v>
      </c>
      <c r="G85" s="148">
        <v>40525024</v>
      </c>
      <c r="I85" s="163"/>
    </row>
    <row r="86" spans="1:9" x14ac:dyDescent="0.25">
      <c r="A86" s="76">
        <v>83</v>
      </c>
      <c r="B86" s="145">
        <v>45829</v>
      </c>
      <c r="C86" s="191">
        <v>2025</v>
      </c>
      <c r="D86" s="192" t="s">
        <v>1718</v>
      </c>
      <c r="E86" s="192" t="s">
        <v>1445</v>
      </c>
      <c r="F86" s="230">
        <v>10</v>
      </c>
      <c r="G86" s="148">
        <v>6750000</v>
      </c>
      <c r="I86" s="163"/>
    </row>
    <row r="87" spans="1:9" x14ac:dyDescent="0.25">
      <c r="A87" s="76">
        <v>84</v>
      </c>
      <c r="B87" s="145">
        <v>45829</v>
      </c>
      <c r="C87" s="191">
        <v>2025</v>
      </c>
      <c r="D87" s="192" t="s">
        <v>1718</v>
      </c>
      <c r="E87" s="192" t="s">
        <v>1446</v>
      </c>
      <c r="F87" s="230">
        <v>12</v>
      </c>
      <c r="G87" s="148">
        <v>6540000</v>
      </c>
      <c r="I87" s="163"/>
    </row>
    <row r="88" spans="1:9" x14ac:dyDescent="0.25">
      <c r="A88" s="76">
        <v>85</v>
      </c>
      <c r="B88" s="145">
        <v>45829</v>
      </c>
      <c r="C88" s="191">
        <v>2025</v>
      </c>
      <c r="D88" s="192" t="s">
        <v>1718</v>
      </c>
      <c r="E88" s="192" t="s">
        <v>1447</v>
      </c>
      <c r="F88" s="230">
        <v>7</v>
      </c>
      <c r="G88" s="148">
        <v>3325000</v>
      </c>
    </row>
    <row r="89" spans="1:9" x14ac:dyDescent="0.25">
      <c r="A89" s="76">
        <v>86</v>
      </c>
      <c r="B89" s="145">
        <v>45829</v>
      </c>
      <c r="C89" s="191">
        <v>2025</v>
      </c>
      <c r="D89" s="192" t="s">
        <v>1718</v>
      </c>
      <c r="E89" s="192" t="s">
        <v>1448</v>
      </c>
      <c r="F89" s="230">
        <v>13</v>
      </c>
      <c r="G89" s="148">
        <v>4550000</v>
      </c>
    </row>
    <row r="90" spans="1:9" x14ac:dyDescent="0.25">
      <c r="A90" s="76">
        <v>87</v>
      </c>
      <c r="B90" s="145">
        <v>45829</v>
      </c>
      <c r="C90" s="191">
        <v>2025</v>
      </c>
      <c r="D90" s="192" t="s">
        <v>1718</v>
      </c>
      <c r="E90" s="192" t="s">
        <v>1449</v>
      </c>
      <c r="F90" s="230">
        <v>9</v>
      </c>
      <c r="G90" s="148">
        <v>2475000</v>
      </c>
    </row>
    <row r="91" spans="1:9" x14ac:dyDescent="0.25">
      <c r="A91" s="76">
        <v>88</v>
      </c>
      <c r="B91" s="116">
        <v>45842</v>
      </c>
      <c r="C91" s="117">
        <v>2025</v>
      </c>
      <c r="D91" s="192" t="s">
        <v>1718</v>
      </c>
      <c r="E91" s="119" t="s">
        <v>1409</v>
      </c>
      <c r="F91" s="229">
        <v>1</v>
      </c>
      <c r="G91" s="121">
        <v>2799000</v>
      </c>
    </row>
    <row r="92" spans="1:9" x14ac:dyDescent="0.25">
      <c r="A92" s="76">
        <v>89</v>
      </c>
      <c r="B92" s="116">
        <v>45842</v>
      </c>
      <c r="C92" s="117">
        <v>2025</v>
      </c>
      <c r="D92" s="192" t="s">
        <v>1718</v>
      </c>
      <c r="E92" s="119" t="s">
        <v>1409</v>
      </c>
      <c r="F92" s="229">
        <v>1</v>
      </c>
      <c r="G92" s="121">
        <v>3199000</v>
      </c>
    </row>
    <row r="93" spans="1:9" x14ac:dyDescent="0.25">
      <c r="A93" s="76">
        <v>90</v>
      </c>
      <c r="B93" s="116">
        <v>45843</v>
      </c>
      <c r="C93" s="117">
        <v>2025</v>
      </c>
      <c r="D93" s="192" t="s">
        <v>1718</v>
      </c>
      <c r="E93" s="119" t="s">
        <v>1409</v>
      </c>
      <c r="F93" s="229">
        <v>1</v>
      </c>
      <c r="G93" s="121">
        <v>2799000</v>
      </c>
    </row>
    <row r="94" spans="1:9" x14ac:dyDescent="0.25">
      <c r="A94" s="76">
        <v>91</v>
      </c>
      <c r="B94" s="116">
        <v>45855</v>
      </c>
      <c r="C94" s="117">
        <v>2025</v>
      </c>
      <c r="D94" s="192" t="s">
        <v>1718</v>
      </c>
      <c r="E94" s="119" t="s">
        <v>1471</v>
      </c>
      <c r="F94" s="229">
        <v>1000</v>
      </c>
      <c r="G94" s="121">
        <v>15000000</v>
      </c>
    </row>
    <row r="95" spans="1:9" x14ac:dyDescent="0.25">
      <c r="A95" s="76">
        <v>92</v>
      </c>
      <c r="B95" s="116">
        <v>45855</v>
      </c>
      <c r="C95" s="117">
        <v>2025</v>
      </c>
      <c r="D95" s="192" t="s">
        <v>1718</v>
      </c>
      <c r="E95" s="119" t="s">
        <v>1472</v>
      </c>
      <c r="F95" s="229">
        <v>2000</v>
      </c>
      <c r="G95" s="121">
        <v>25000000</v>
      </c>
    </row>
    <row r="96" spans="1:9" x14ac:dyDescent="0.25">
      <c r="A96" s="76">
        <v>93</v>
      </c>
      <c r="B96" s="116">
        <v>45856</v>
      </c>
      <c r="C96" s="117">
        <v>2025</v>
      </c>
      <c r="D96" s="192" t="s">
        <v>1718</v>
      </c>
      <c r="E96" s="119" t="s">
        <v>1475</v>
      </c>
      <c r="F96" s="229">
        <v>50</v>
      </c>
      <c r="G96" s="121">
        <v>227850</v>
      </c>
    </row>
    <row r="97" spans="1:7" x14ac:dyDescent="0.25">
      <c r="A97" s="76">
        <v>94</v>
      </c>
      <c r="B97" s="116">
        <v>45856</v>
      </c>
      <c r="C97" s="117">
        <v>2025</v>
      </c>
      <c r="D97" s="192" t="s">
        <v>1718</v>
      </c>
      <c r="E97" s="119" t="s">
        <v>1476</v>
      </c>
      <c r="F97" s="229">
        <v>50</v>
      </c>
      <c r="G97" s="121">
        <v>352450</v>
      </c>
    </row>
    <row r="98" spans="1:7" x14ac:dyDescent="0.25">
      <c r="A98" s="76">
        <v>95</v>
      </c>
      <c r="B98" s="116">
        <v>45861</v>
      </c>
      <c r="C98" s="117">
        <v>2025</v>
      </c>
      <c r="D98" s="118" t="s">
        <v>1718</v>
      </c>
      <c r="E98" s="119" t="s">
        <v>1270</v>
      </c>
      <c r="F98" s="119">
        <v>9</v>
      </c>
      <c r="G98" s="121">
        <v>270000</v>
      </c>
    </row>
    <row r="99" spans="1:7" x14ac:dyDescent="0.25">
      <c r="A99" s="76">
        <v>96</v>
      </c>
      <c r="B99" s="116">
        <v>45863</v>
      </c>
      <c r="C99" s="117">
        <v>2025</v>
      </c>
      <c r="D99" s="192" t="s">
        <v>1718</v>
      </c>
      <c r="E99" s="119" t="s">
        <v>1490</v>
      </c>
      <c r="F99" s="229">
        <v>6</v>
      </c>
      <c r="G99" s="121">
        <v>113304</v>
      </c>
    </row>
    <row r="100" spans="1:7" x14ac:dyDescent="0.25">
      <c r="A100" s="76">
        <v>97</v>
      </c>
      <c r="B100" s="116">
        <v>45864</v>
      </c>
      <c r="C100" s="117">
        <v>2025</v>
      </c>
      <c r="D100" s="192" t="s">
        <v>1718</v>
      </c>
      <c r="E100" s="119" t="s">
        <v>1471</v>
      </c>
      <c r="F100" s="229">
        <v>2000</v>
      </c>
      <c r="G100" s="121">
        <v>29000000</v>
      </c>
    </row>
    <row r="101" spans="1:7" x14ac:dyDescent="0.25">
      <c r="A101" s="76">
        <v>98</v>
      </c>
      <c r="B101" s="116">
        <v>45864</v>
      </c>
      <c r="C101" s="117">
        <v>2025</v>
      </c>
      <c r="D101" s="192" t="s">
        <v>1718</v>
      </c>
      <c r="E101" s="119" t="s">
        <v>1491</v>
      </c>
      <c r="F101" s="229">
        <v>6</v>
      </c>
      <c r="G101" s="121">
        <v>75000</v>
      </c>
    </row>
    <row r="102" spans="1:7" x14ac:dyDescent="0.25">
      <c r="A102" s="76">
        <v>99</v>
      </c>
      <c r="B102" s="116">
        <v>45898</v>
      </c>
      <c r="C102" s="117">
        <v>2025</v>
      </c>
      <c r="D102" s="192" t="s">
        <v>1718</v>
      </c>
      <c r="E102" s="119" t="s">
        <v>1471</v>
      </c>
      <c r="F102" s="229">
        <v>3500</v>
      </c>
      <c r="G102" s="121">
        <v>47250000</v>
      </c>
    </row>
    <row r="103" spans="1:7" x14ac:dyDescent="0.25">
      <c r="A103" s="76">
        <v>100</v>
      </c>
      <c r="B103" s="116">
        <v>45901</v>
      </c>
      <c r="C103" s="117">
        <v>2025</v>
      </c>
      <c r="D103" s="192" t="s">
        <v>1718</v>
      </c>
      <c r="E103" s="119" t="s">
        <v>1490</v>
      </c>
      <c r="F103" s="229">
        <v>9</v>
      </c>
      <c r="G103" s="121">
        <v>132003</v>
      </c>
    </row>
    <row r="104" spans="1:7" x14ac:dyDescent="0.25">
      <c r="A104" s="76">
        <v>101</v>
      </c>
      <c r="B104" s="116">
        <v>45909</v>
      </c>
      <c r="C104" s="117">
        <v>2025</v>
      </c>
      <c r="D104" s="192" t="s">
        <v>1718</v>
      </c>
      <c r="E104" s="119" t="s">
        <v>1471</v>
      </c>
      <c r="F104" s="229">
        <v>2000</v>
      </c>
      <c r="G104" s="121">
        <v>30000000</v>
      </c>
    </row>
    <row r="105" spans="1:7" x14ac:dyDescent="0.25">
      <c r="A105" s="76">
        <v>102</v>
      </c>
      <c r="B105" s="116">
        <v>45910</v>
      </c>
      <c r="C105" s="117">
        <v>2025</v>
      </c>
      <c r="D105" s="192" t="s">
        <v>1718</v>
      </c>
      <c r="E105" s="119" t="s">
        <v>1409</v>
      </c>
      <c r="F105" s="229">
        <v>1</v>
      </c>
      <c r="G105" s="121">
        <v>3200000</v>
      </c>
    </row>
    <row r="106" spans="1:7" x14ac:dyDescent="0.25">
      <c r="A106" s="76">
        <v>103</v>
      </c>
      <c r="B106" s="116">
        <v>45910</v>
      </c>
      <c r="C106" s="117">
        <v>2025</v>
      </c>
      <c r="D106" s="118" t="s">
        <v>1718</v>
      </c>
      <c r="E106" s="119" t="s">
        <v>1270</v>
      </c>
      <c r="F106" s="119">
        <v>5</v>
      </c>
      <c r="G106" s="121">
        <v>150000</v>
      </c>
    </row>
    <row r="107" spans="1:7" x14ac:dyDescent="0.25">
      <c r="A107" s="76">
        <v>104</v>
      </c>
      <c r="B107" s="116">
        <v>45910</v>
      </c>
      <c r="C107" s="117">
        <v>2025</v>
      </c>
      <c r="D107" s="118" t="s">
        <v>1718</v>
      </c>
      <c r="E107" s="119" t="s">
        <v>1270</v>
      </c>
      <c r="F107" s="119">
        <v>12</v>
      </c>
      <c r="G107" s="121">
        <v>387000</v>
      </c>
    </row>
    <row r="108" spans="1:7" x14ac:dyDescent="0.25">
      <c r="A108" s="76">
        <v>105</v>
      </c>
      <c r="B108" s="116">
        <v>45911</v>
      </c>
      <c r="C108" s="117">
        <v>2025</v>
      </c>
      <c r="D108" s="192" t="s">
        <v>1718</v>
      </c>
      <c r="E108" s="119" t="s">
        <v>1471</v>
      </c>
      <c r="F108" s="229">
        <v>2000</v>
      </c>
      <c r="G108" s="121">
        <v>31000000</v>
      </c>
    </row>
    <row r="109" spans="1:7" x14ac:dyDescent="0.25">
      <c r="A109" s="76">
        <v>106</v>
      </c>
      <c r="B109" s="116">
        <v>45916</v>
      </c>
      <c r="C109" s="117">
        <v>2025</v>
      </c>
      <c r="D109" s="192" t="s">
        <v>1718</v>
      </c>
      <c r="E109" s="119" t="s">
        <v>1490</v>
      </c>
      <c r="F109" s="229">
        <v>6</v>
      </c>
      <c r="G109" s="121">
        <v>132000</v>
      </c>
    </row>
    <row r="110" spans="1:7" x14ac:dyDescent="0.25">
      <c r="A110" s="76">
        <v>107</v>
      </c>
      <c r="B110" s="116">
        <v>45948</v>
      </c>
      <c r="C110" s="117">
        <v>2025</v>
      </c>
      <c r="D110" s="192" t="s">
        <v>1718</v>
      </c>
      <c r="E110" s="119" t="s">
        <v>1471</v>
      </c>
      <c r="F110" s="229">
        <v>2000</v>
      </c>
      <c r="G110" s="121">
        <v>31000000</v>
      </c>
    </row>
    <row r="111" spans="1:7" x14ac:dyDescent="0.25">
      <c r="A111" s="76">
        <v>108</v>
      </c>
      <c r="B111" s="116">
        <v>45960</v>
      </c>
      <c r="C111" s="117">
        <v>2025</v>
      </c>
      <c r="D111" s="192" t="s">
        <v>1718</v>
      </c>
      <c r="E111" s="119" t="s">
        <v>1471</v>
      </c>
      <c r="F111" s="229">
        <v>2000</v>
      </c>
      <c r="G111" s="121">
        <v>34000000</v>
      </c>
    </row>
    <row r="112" spans="1:7" x14ac:dyDescent="0.25">
      <c r="A112" s="76">
        <v>109</v>
      </c>
      <c r="B112" s="116">
        <v>45961</v>
      </c>
      <c r="C112" s="117">
        <v>2025</v>
      </c>
      <c r="D112" s="192" t="s">
        <v>1718</v>
      </c>
      <c r="E112" s="119" t="s">
        <v>1570</v>
      </c>
      <c r="F112" s="229">
        <v>5000</v>
      </c>
      <c r="G112" s="121">
        <v>26250000</v>
      </c>
    </row>
    <row r="113" spans="1:7" x14ac:dyDescent="0.25">
      <c r="A113" s="76">
        <v>110</v>
      </c>
      <c r="B113" s="116">
        <v>45961</v>
      </c>
      <c r="C113" s="117">
        <v>2025</v>
      </c>
      <c r="D113" s="192" t="s">
        <v>1718</v>
      </c>
      <c r="E113" s="119" t="s">
        <v>1571</v>
      </c>
      <c r="F113" s="229">
        <v>250</v>
      </c>
      <c r="G113" s="121">
        <v>3625000</v>
      </c>
    </row>
    <row r="114" spans="1:7" x14ac:dyDescent="0.25">
      <c r="A114" s="76">
        <v>111</v>
      </c>
      <c r="B114" s="116">
        <v>45978</v>
      </c>
      <c r="C114" s="117">
        <v>2025</v>
      </c>
      <c r="D114" s="192" t="s">
        <v>1718</v>
      </c>
      <c r="E114" s="119" t="s">
        <v>1490</v>
      </c>
      <c r="F114" s="229">
        <v>5000</v>
      </c>
      <c r="G114" s="121">
        <v>900000</v>
      </c>
    </row>
    <row r="115" spans="1:7" x14ac:dyDescent="0.25">
      <c r="A115" s="76">
        <v>112</v>
      </c>
      <c r="B115" s="116">
        <v>45980</v>
      </c>
      <c r="C115" s="117">
        <v>2025</v>
      </c>
      <c r="D115" s="192" t="s">
        <v>1718</v>
      </c>
      <c r="E115" s="119" t="s">
        <v>1471</v>
      </c>
      <c r="F115" s="229">
        <v>2500</v>
      </c>
      <c r="G115" s="121">
        <v>37500000</v>
      </c>
    </row>
    <row r="116" spans="1:7" x14ac:dyDescent="0.25">
      <c r="A116" s="76">
        <v>113</v>
      </c>
      <c r="B116" s="116">
        <v>46007</v>
      </c>
      <c r="C116" s="117">
        <v>2025</v>
      </c>
      <c r="D116" s="192" t="s">
        <v>1718</v>
      </c>
      <c r="E116" s="119" t="s">
        <v>1409</v>
      </c>
      <c r="F116" s="229">
        <v>1</v>
      </c>
      <c r="G116" s="121">
        <v>2800000</v>
      </c>
    </row>
    <row r="117" spans="1:7" x14ac:dyDescent="0.25">
      <c r="A117" s="76">
        <v>114</v>
      </c>
      <c r="B117" s="145">
        <v>46009</v>
      </c>
      <c r="C117" s="191">
        <v>2025</v>
      </c>
      <c r="D117" s="192" t="s">
        <v>1718</v>
      </c>
      <c r="E117" s="192" t="s">
        <v>1265</v>
      </c>
      <c r="F117" s="230">
        <v>26</v>
      </c>
      <c r="G117" s="148">
        <v>17550000</v>
      </c>
    </row>
    <row r="118" spans="1:7" x14ac:dyDescent="0.25">
      <c r="A118" s="76">
        <v>115</v>
      </c>
      <c r="B118" s="145">
        <v>46009</v>
      </c>
      <c r="C118" s="191">
        <v>2025</v>
      </c>
      <c r="D118" s="192" t="s">
        <v>1718</v>
      </c>
      <c r="E118" s="192" t="s">
        <v>1266</v>
      </c>
      <c r="F118" s="230">
        <v>16</v>
      </c>
      <c r="G118" s="148">
        <v>8720000</v>
      </c>
    </row>
    <row r="119" spans="1:7" x14ac:dyDescent="0.25">
      <c r="A119" s="76">
        <v>116</v>
      </c>
      <c r="B119" s="145">
        <v>46009</v>
      </c>
      <c r="C119" s="191">
        <v>2025</v>
      </c>
      <c r="D119" s="192" t="s">
        <v>1718</v>
      </c>
      <c r="E119" s="192" t="s">
        <v>1267</v>
      </c>
      <c r="F119" s="230">
        <v>11</v>
      </c>
      <c r="G119" s="148">
        <v>5225000</v>
      </c>
    </row>
    <row r="120" spans="1:7" x14ac:dyDescent="0.25">
      <c r="A120" s="76">
        <v>117</v>
      </c>
      <c r="B120" s="145">
        <v>46009</v>
      </c>
      <c r="C120" s="191">
        <v>2025</v>
      </c>
      <c r="D120" s="192" t="s">
        <v>1718</v>
      </c>
      <c r="E120" s="192" t="s">
        <v>1268</v>
      </c>
      <c r="F120" s="230">
        <v>15</v>
      </c>
      <c r="G120" s="148">
        <v>5250000</v>
      </c>
    </row>
    <row r="121" spans="1:7" x14ac:dyDescent="0.25">
      <c r="A121" s="76">
        <v>118</v>
      </c>
      <c r="B121" s="145">
        <v>46009</v>
      </c>
      <c r="C121" s="191">
        <v>2025</v>
      </c>
      <c r="D121" s="192" t="s">
        <v>1718</v>
      </c>
      <c r="E121" s="192" t="s">
        <v>1269</v>
      </c>
      <c r="F121" s="230">
        <v>19</v>
      </c>
      <c r="G121" s="148">
        <v>5225000</v>
      </c>
    </row>
    <row r="122" spans="1:7" x14ac:dyDescent="0.25">
      <c r="A122" s="76">
        <v>119</v>
      </c>
      <c r="B122" s="116">
        <v>46010</v>
      </c>
      <c r="C122" s="117">
        <v>2025</v>
      </c>
      <c r="D122" s="192" t="s">
        <v>1718</v>
      </c>
      <c r="E122" s="119" t="s">
        <v>1219</v>
      </c>
      <c r="F122" s="229">
        <v>2</v>
      </c>
      <c r="G122" s="121">
        <v>3150000</v>
      </c>
    </row>
    <row r="123" spans="1:7" x14ac:dyDescent="0.25">
      <c r="A123" s="76">
        <v>120</v>
      </c>
      <c r="B123" s="116">
        <v>46013</v>
      </c>
      <c r="C123" s="117">
        <v>2025</v>
      </c>
      <c r="D123" s="192" t="s">
        <v>1718</v>
      </c>
      <c r="E123" s="119" t="s">
        <v>762</v>
      </c>
      <c r="F123" s="229">
        <v>1</v>
      </c>
      <c r="G123" s="121">
        <v>4950000</v>
      </c>
    </row>
    <row r="124" spans="1:7" x14ac:dyDescent="0.25">
      <c r="A124" s="76">
        <v>121</v>
      </c>
      <c r="B124" s="116">
        <v>46034</v>
      </c>
      <c r="C124" s="117">
        <v>2026</v>
      </c>
      <c r="D124" s="192" t="s">
        <v>1718</v>
      </c>
      <c r="E124" s="119" t="s">
        <v>1614</v>
      </c>
      <c r="F124" s="229">
        <v>2000</v>
      </c>
      <c r="G124" s="121">
        <v>7600000</v>
      </c>
    </row>
    <row r="125" spans="1:7" x14ac:dyDescent="0.25">
      <c r="A125" s="76">
        <v>122</v>
      </c>
      <c r="B125" s="116">
        <v>46034</v>
      </c>
      <c r="C125" s="117">
        <v>2026</v>
      </c>
      <c r="D125" s="192" t="s">
        <v>1718</v>
      </c>
      <c r="E125" s="119" t="s">
        <v>1615</v>
      </c>
      <c r="F125" s="229">
        <v>100</v>
      </c>
      <c r="G125" s="121">
        <v>1425000</v>
      </c>
    </row>
    <row r="126" spans="1:7" x14ac:dyDescent="0.25">
      <c r="A126" s="76">
        <v>123</v>
      </c>
      <c r="B126" s="116">
        <v>46037</v>
      </c>
      <c r="C126" s="117">
        <v>2026</v>
      </c>
      <c r="D126" s="192" t="s">
        <v>1718</v>
      </c>
      <c r="E126" s="119" t="s">
        <v>1471</v>
      </c>
      <c r="F126" s="229">
        <v>2000</v>
      </c>
      <c r="G126" s="121">
        <v>31000000</v>
      </c>
    </row>
    <row r="127" spans="1:7" x14ac:dyDescent="0.25">
      <c r="A127" s="76">
        <v>124</v>
      </c>
      <c r="B127" s="145">
        <v>46041</v>
      </c>
      <c r="C127" s="191">
        <v>2026</v>
      </c>
      <c r="D127" s="192" t="s">
        <v>1718</v>
      </c>
      <c r="E127" s="192" t="s">
        <v>914</v>
      </c>
      <c r="F127" s="230">
        <v>325</v>
      </c>
      <c r="G127" s="148">
        <v>2015000</v>
      </c>
    </row>
    <row r="128" spans="1:7" x14ac:dyDescent="0.25">
      <c r="A128" s="76">
        <v>125</v>
      </c>
      <c r="B128" s="145">
        <v>46041</v>
      </c>
      <c r="C128" s="191">
        <v>2026</v>
      </c>
      <c r="D128" s="192" t="s">
        <v>1718</v>
      </c>
      <c r="E128" s="192" t="s">
        <v>915</v>
      </c>
      <c r="F128" s="230">
        <v>375</v>
      </c>
      <c r="G128" s="148">
        <v>1959375</v>
      </c>
    </row>
    <row r="129" spans="1:7" x14ac:dyDescent="0.25">
      <c r="A129" s="76">
        <v>126</v>
      </c>
      <c r="B129" s="145">
        <v>46053</v>
      </c>
      <c r="C129" s="191">
        <v>2026</v>
      </c>
      <c r="D129" s="192" t="s">
        <v>1718</v>
      </c>
      <c r="E129" s="192" t="s">
        <v>1445</v>
      </c>
      <c r="F129" s="230">
        <v>12</v>
      </c>
      <c r="G129" s="148">
        <v>8400000</v>
      </c>
    </row>
    <row r="130" spans="1:7" x14ac:dyDescent="0.25">
      <c r="A130" s="76">
        <v>127</v>
      </c>
      <c r="B130" s="145">
        <v>46053</v>
      </c>
      <c r="C130" s="191">
        <v>2026</v>
      </c>
      <c r="D130" s="192" t="s">
        <v>1718</v>
      </c>
      <c r="E130" s="192" t="s">
        <v>1446</v>
      </c>
      <c r="F130" s="230">
        <v>4</v>
      </c>
      <c r="G130" s="148">
        <v>2280000</v>
      </c>
    </row>
    <row r="131" spans="1:7" x14ac:dyDescent="0.25">
      <c r="A131" s="76">
        <v>128</v>
      </c>
      <c r="B131" s="145">
        <v>46053</v>
      </c>
      <c r="C131" s="191">
        <v>2026</v>
      </c>
      <c r="D131" s="192" t="s">
        <v>1718</v>
      </c>
      <c r="E131" s="192" t="s">
        <v>1447</v>
      </c>
      <c r="F131" s="230">
        <v>9</v>
      </c>
      <c r="G131" s="148">
        <v>4500000</v>
      </c>
    </row>
    <row r="132" spans="1:7" x14ac:dyDescent="0.25">
      <c r="A132" s="76">
        <v>129</v>
      </c>
      <c r="B132" s="145">
        <v>46053</v>
      </c>
      <c r="C132" s="191">
        <v>2026</v>
      </c>
      <c r="D132" s="192" t="s">
        <v>1718</v>
      </c>
      <c r="E132" s="192" t="s">
        <v>1448</v>
      </c>
      <c r="F132" s="230">
        <v>26</v>
      </c>
      <c r="G132" s="148">
        <v>9750000</v>
      </c>
    </row>
    <row r="133" spans="1:7" x14ac:dyDescent="0.25">
      <c r="A133" s="76">
        <v>130</v>
      </c>
      <c r="B133" s="145">
        <v>46053</v>
      </c>
      <c r="C133" s="191">
        <v>2026</v>
      </c>
      <c r="D133" s="192" t="s">
        <v>1718</v>
      </c>
      <c r="E133" s="192" t="s">
        <v>1449</v>
      </c>
      <c r="F133" s="230">
        <v>12</v>
      </c>
      <c r="G133" s="148">
        <v>3600000</v>
      </c>
    </row>
    <row r="134" spans="1:7" x14ac:dyDescent="0.25">
      <c r="A134" s="76">
        <v>131</v>
      </c>
      <c r="B134" s="116">
        <v>46057</v>
      </c>
      <c r="C134" s="117">
        <v>2026</v>
      </c>
      <c r="D134" s="192" t="s">
        <v>1718</v>
      </c>
      <c r="E134" s="119" t="s">
        <v>1434</v>
      </c>
      <c r="F134" s="229">
        <v>50</v>
      </c>
      <c r="G134" s="121">
        <v>575000</v>
      </c>
    </row>
    <row r="135" spans="1:7" x14ac:dyDescent="0.25">
      <c r="A135" s="76">
        <v>132</v>
      </c>
      <c r="B135" s="116">
        <v>46065</v>
      </c>
      <c r="C135" s="117">
        <v>2026</v>
      </c>
      <c r="D135" s="118" t="s">
        <v>1718</v>
      </c>
      <c r="E135" s="119" t="s">
        <v>1270</v>
      </c>
      <c r="F135" s="119">
        <v>22</v>
      </c>
      <c r="G135" s="121">
        <v>660000</v>
      </c>
    </row>
    <row r="136" spans="1:7" x14ac:dyDescent="0.25">
      <c r="A136" s="76">
        <v>133</v>
      </c>
      <c r="B136" s="116">
        <v>46067</v>
      </c>
      <c r="C136" s="117">
        <v>2026</v>
      </c>
      <c r="D136" s="192" t="s">
        <v>1718</v>
      </c>
      <c r="E136" s="119" t="s">
        <v>1471</v>
      </c>
      <c r="F136" s="229">
        <v>20</v>
      </c>
      <c r="G136" s="121">
        <v>2050000</v>
      </c>
    </row>
    <row r="137" spans="1:7" x14ac:dyDescent="0.25">
      <c r="A137" s="76">
        <v>134</v>
      </c>
      <c r="B137" s="116">
        <v>46067</v>
      </c>
      <c r="C137" s="117">
        <v>2026</v>
      </c>
      <c r="D137" s="192" t="s">
        <v>1718</v>
      </c>
      <c r="E137" s="119" t="s">
        <v>356</v>
      </c>
      <c r="F137" s="229">
        <v>10</v>
      </c>
      <c r="G137" s="121">
        <v>435000</v>
      </c>
    </row>
    <row r="138" spans="1:7" x14ac:dyDescent="0.25">
      <c r="A138" s="76">
        <v>135</v>
      </c>
      <c r="B138" s="116">
        <v>46067</v>
      </c>
      <c r="C138" s="117">
        <v>2026</v>
      </c>
      <c r="D138" s="192" t="s">
        <v>1718</v>
      </c>
      <c r="E138" s="119" t="s">
        <v>1640</v>
      </c>
      <c r="F138" s="229">
        <v>4</v>
      </c>
      <c r="G138" s="121">
        <v>961400</v>
      </c>
    </row>
    <row r="139" spans="1:7" x14ac:dyDescent="0.25">
      <c r="A139" s="76">
        <v>136</v>
      </c>
      <c r="B139" s="116">
        <v>46071</v>
      </c>
      <c r="C139" s="117">
        <v>2026</v>
      </c>
      <c r="D139" s="192" t="s">
        <v>1718</v>
      </c>
      <c r="E139" s="119" t="s">
        <v>1641</v>
      </c>
      <c r="F139" s="229">
        <v>1</v>
      </c>
      <c r="G139" s="121">
        <v>515000</v>
      </c>
    </row>
    <row r="140" spans="1:7" x14ac:dyDescent="0.25">
      <c r="A140" s="76">
        <v>137</v>
      </c>
      <c r="B140" s="116">
        <v>46073</v>
      </c>
      <c r="C140" s="117">
        <v>2026</v>
      </c>
      <c r="D140" s="192" t="s">
        <v>1718</v>
      </c>
      <c r="E140" s="119" t="s">
        <v>1471</v>
      </c>
      <c r="F140" s="229">
        <v>3000</v>
      </c>
      <c r="G140" s="121">
        <v>46500000</v>
      </c>
    </row>
    <row r="141" spans="1:7" x14ac:dyDescent="0.25">
      <c r="A141" s="76">
        <v>138</v>
      </c>
      <c r="B141" s="116">
        <v>46073</v>
      </c>
      <c r="C141" s="117">
        <v>2026</v>
      </c>
      <c r="D141" s="192" t="s">
        <v>1718</v>
      </c>
      <c r="E141" s="119" t="s">
        <v>356</v>
      </c>
      <c r="F141" s="229">
        <v>50</v>
      </c>
      <c r="G141" s="121">
        <v>575000</v>
      </c>
    </row>
    <row r="142" spans="1:7" x14ac:dyDescent="0.25">
      <c r="A142" s="76">
        <v>139</v>
      </c>
      <c r="B142" s="116">
        <v>46073</v>
      </c>
      <c r="C142" s="117">
        <v>2026</v>
      </c>
      <c r="D142" s="192" t="s">
        <v>1718</v>
      </c>
      <c r="E142" s="119" t="s">
        <v>356</v>
      </c>
      <c r="F142" s="229">
        <v>25</v>
      </c>
      <c r="G142" s="121">
        <v>875000</v>
      </c>
    </row>
    <row r="143" spans="1:7" x14ac:dyDescent="0.25">
      <c r="A143" s="76">
        <v>140</v>
      </c>
      <c r="B143" s="116">
        <v>46074</v>
      </c>
      <c r="C143" s="117">
        <v>2026</v>
      </c>
      <c r="D143" s="192" t="s">
        <v>1718</v>
      </c>
      <c r="E143" s="119" t="s">
        <v>1643</v>
      </c>
      <c r="F143" s="229">
        <v>3</v>
      </c>
      <c r="G143" s="121">
        <v>9500001</v>
      </c>
    </row>
    <row r="144" spans="1:7" x14ac:dyDescent="0.25">
      <c r="A144" s="76">
        <v>141</v>
      </c>
      <c r="B144" s="145">
        <v>46107</v>
      </c>
      <c r="C144" s="191">
        <v>2026</v>
      </c>
      <c r="D144" s="192" t="s">
        <v>1718</v>
      </c>
      <c r="E144" s="192" t="s">
        <v>1440</v>
      </c>
      <c r="F144" s="230">
        <v>84</v>
      </c>
      <c r="G144" s="148">
        <v>55444284</v>
      </c>
    </row>
    <row r="145" spans="1:7" x14ac:dyDescent="0.25">
      <c r="A145" s="76">
        <v>142</v>
      </c>
      <c r="B145" s="145">
        <v>46107</v>
      </c>
      <c r="C145" s="191">
        <v>2026</v>
      </c>
      <c r="D145" s="192" t="s">
        <v>1718</v>
      </c>
      <c r="E145" s="192" t="s">
        <v>1441</v>
      </c>
      <c r="F145" s="230">
        <v>63</v>
      </c>
      <c r="G145" s="148">
        <v>30230235</v>
      </c>
    </row>
    <row r="146" spans="1:7" x14ac:dyDescent="0.25">
      <c r="A146" s="76">
        <v>143</v>
      </c>
      <c r="B146" s="145">
        <v>46107</v>
      </c>
      <c r="C146" s="191">
        <v>2026</v>
      </c>
      <c r="D146" s="192" t="s">
        <v>1718</v>
      </c>
      <c r="E146" s="192" t="s">
        <v>1442</v>
      </c>
      <c r="F146" s="230">
        <v>59</v>
      </c>
      <c r="G146" s="148">
        <v>24787552</v>
      </c>
    </row>
    <row r="147" spans="1:7" x14ac:dyDescent="0.25">
      <c r="A147" s="76">
        <v>144</v>
      </c>
      <c r="B147" s="145">
        <v>46107</v>
      </c>
      <c r="C147" s="191">
        <v>2026</v>
      </c>
      <c r="D147" s="192" t="s">
        <v>1718</v>
      </c>
      <c r="E147" s="192" t="s">
        <v>1443</v>
      </c>
      <c r="F147" s="230">
        <v>269</v>
      </c>
      <c r="G147" s="148">
        <v>100875000</v>
      </c>
    </row>
    <row r="148" spans="1:7" x14ac:dyDescent="0.25">
      <c r="A148" s="76">
        <v>145</v>
      </c>
      <c r="B148" s="145">
        <v>46107</v>
      </c>
      <c r="C148" s="191">
        <v>2026</v>
      </c>
      <c r="D148" s="192" t="s">
        <v>1718</v>
      </c>
      <c r="E148" s="192" t="s">
        <v>1444</v>
      </c>
      <c r="F148" s="230">
        <v>126</v>
      </c>
      <c r="G148" s="148">
        <v>37800000</v>
      </c>
    </row>
    <row r="149" spans="1:7" x14ac:dyDescent="0.25">
      <c r="A149" s="76">
        <v>146</v>
      </c>
      <c r="B149" s="145">
        <v>46107</v>
      </c>
      <c r="C149" s="191">
        <v>2026</v>
      </c>
      <c r="D149" s="192" t="s">
        <v>1718</v>
      </c>
      <c r="E149" s="192" t="s">
        <v>1444</v>
      </c>
      <c r="F149" s="230">
        <v>12</v>
      </c>
      <c r="G149" s="148">
        <v>3600000</v>
      </c>
    </row>
    <row r="150" spans="1:7" x14ac:dyDescent="0.25">
      <c r="A150" s="76">
        <v>147</v>
      </c>
      <c r="B150" s="116">
        <v>46139</v>
      </c>
      <c r="C150" s="117">
        <v>2026</v>
      </c>
      <c r="D150" s="192" t="s">
        <v>1718</v>
      </c>
      <c r="E150" s="119" t="s">
        <v>1490</v>
      </c>
      <c r="F150" s="229">
        <v>5375</v>
      </c>
      <c r="G150" s="121">
        <v>1075000</v>
      </c>
    </row>
    <row r="151" spans="1:7" x14ac:dyDescent="0.25">
      <c r="A151" s="76">
        <v>148</v>
      </c>
      <c r="B151" s="167">
        <v>46141</v>
      </c>
      <c r="C151" s="117">
        <v>2026</v>
      </c>
      <c r="D151" s="118" t="s">
        <v>1718</v>
      </c>
      <c r="E151" s="119" t="s">
        <v>1643</v>
      </c>
      <c r="F151" s="229">
        <v>1</v>
      </c>
      <c r="G151" s="169">
        <v>3500000</v>
      </c>
    </row>
  </sheetData>
  <autoFilter ref="A3:G151">
    <sortState ref="A4:G151">
      <sortCondition ref="B3:B146"/>
    </sortState>
  </autoFilter>
  <mergeCells count="9">
    <mergeCell ref="O3:Q3"/>
    <mergeCell ref="N7:N8"/>
    <mergeCell ref="O7:Q7"/>
    <mergeCell ref="B1:G1"/>
    <mergeCell ref="B2:G2"/>
    <mergeCell ref="H2:M2"/>
    <mergeCell ref="I3:I5"/>
    <mergeCell ref="J3:L3"/>
    <mergeCell ref="N3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 non komersil</vt:lpstr>
      <vt:lpstr>Barang tidak sesuai</vt:lpstr>
      <vt:lpstr>Stok opname</vt:lpstr>
      <vt:lpstr>Inisiatif</vt:lpstr>
      <vt:lpstr>SOP</vt:lpstr>
      <vt:lpstr>All Dept</vt:lpstr>
      <vt:lpstr>GA</vt:lpstr>
      <vt:lpstr>IT</vt:lpstr>
      <vt:lpstr>KEU</vt:lpstr>
      <vt:lpstr>LOG</vt:lpstr>
      <vt:lpstr>SALES</vt:lpstr>
      <vt:lpstr>Promosi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Kurniati</dc:creator>
  <cp:lastModifiedBy>Nanda Kurniati</cp:lastModifiedBy>
  <dcterms:created xsi:type="dcterms:W3CDTF">2026-06-08T03:08:40Z</dcterms:created>
  <dcterms:modified xsi:type="dcterms:W3CDTF">2026-06-10T02:46:09Z</dcterms:modified>
</cp:coreProperties>
</file>