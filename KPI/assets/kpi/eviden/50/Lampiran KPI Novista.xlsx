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6735" activeTab="2"/>
  </bookViews>
  <sheets>
    <sheet name="OD &amp; BG TF" sheetId="1" r:id="rId1"/>
    <sheet name="kalender " sheetId="4" r:id="rId2"/>
    <sheet name="Simulasi" sheetId="5" r:id="rId3"/>
  </sheets>
  <externalReferences>
    <externalReference r:id="rId4"/>
  </externalReferences>
  <definedNames>
    <definedName name="_xlnm._FilterDatabase" localSheetId="1" hidden="1">'kalender '!$63:$97</definedName>
    <definedName name="_xlnm._FilterDatabase" localSheetId="2" hidden="1">Simulasi!$A$3:$M$204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E213" i="5" l="1"/>
  <c r="E211" i="5"/>
  <c r="E210" i="5"/>
  <c r="D205" i="5"/>
  <c r="C205" i="5"/>
  <c r="C207" i="5" s="1"/>
  <c r="E204" i="5"/>
  <c r="E215" i="5" s="1"/>
  <c r="I203" i="5"/>
  <c r="H203" i="5"/>
  <c r="E203" i="5"/>
  <c r="I202" i="5"/>
  <c r="H202" i="5"/>
  <c r="E202" i="5"/>
  <c r="I201" i="5"/>
  <c r="H201" i="5"/>
  <c r="E201" i="5"/>
  <c r="I200" i="5"/>
  <c r="H200" i="5"/>
  <c r="E200" i="5"/>
  <c r="I199" i="5"/>
  <c r="H199" i="5"/>
  <c r="E199" i="5"/>
  <c r="I198" i="5"/>
  <c r="H198" i="5"/>
  <c r="E198" i="5"/>
  <c r="I197" i="5"/>
  <c r="H197" i="5"/>
  <c r="E197" i="5"/>
  <c r="I196" i="5"/>
  <c r="H196" i="5"/>
  <c r="E196" i="5"/>
  <c r="I195" i="5"/>
  <c r="H195" i="5"/>
  <c r="E195" i="5"/>
  <c r="I194" i="5"/>
  <c r="H194" i="5"/>
  <c r="E194" i="5"/>
  <c r="I193" i="5"/>
  <c r="H193" i="5"/>
  <c r="E193" i="5"/>
  <c r="I192" i="5"/>
  <c r="H192" i="5"/>
  <c r="E192" i="5"/>
  <c r="I191" i="5"/>
  <c r="H191" i="5"/>
  <c r="E191" i="5"/>
  <c r="I190" i="5"/>
  <c r="H190" i="5"/>
  <c r="E190" i="5"/>
  <c r="I189" i="5"/>
  <c r="H189" i="5"/>
  <c r="E189" i="5"/>
  <c r="I188" i="5"/>
  <c r="H188" i="5"/>
  <c r="E188" i="5"/>
  <c r="I187" i="5"/>
  <c r="H187" i="5"/>
  <c r="E187" i="5"/>
  <c r="I186" i="5"/>
  <c r="H186" i="5"/>
  <c r="E186" i="5"/>
  <c r="I185" i="5"/>
  <c r="H185" i="5"/>
  <c r="E185" i="5"/>
  <c r="I184" i="5"/>
  <c r="H184" i="5"/>
  <c r="E184" i="5"/>
  <c r="I183" i="5"/>
  <c r="H183" i="5"/>
  <c r="E183" i="5"/>
  <c r="I182" i="5"/>
  <c r="H182" i="5"/>
  <c r="E182" i="5"/>
  <c r="I181" i="5"/>
  <c r="H181" i="5"/>
  <c r="E181" i="5"/>
  <c r="I180" i="5"/>
  <c r="H180" i="5"/>
  <c r="E180" i="5"/>
  <c r="I179" i="5"/>
  <c r="H179" i="5"/>
  <c r="E179" i="5"/>
  <c r="I178" i="5"/>
  <c r="H178" i="5"/>
  <c r="E178" i="5"/>
  <c r="I177" i="5"/>
  <c r="H177" i="5"/>
  <c r="E177" i="5"/>
  <c r="I176" i="5"/>
  <c r="H176" i="5"/>
  <c r="E176" i="5"/>
  <c r="I175" i="5"/>
  <c r="H175" i="5"/>
  <c r="E175" i="5"/>
  <c r="I174" i="5"/>
  <c r="H174" i="5"/>
  <c r="E174" i="5"/>
  <c r="I173" i="5"/>
  <c r="H173" i="5"/>
  <c r="E173" i="5"/>
  <c r="I172" i="5"/>
  <c r="H172" i="5"/>
  <c r="E172" i="5"/>
  <c r="I171" i="5"/>
  <c r="H171" i="5"/>
  <c r="E171" i="5"/>
  <c r="I170" i="5"/>
  <c r="H170" i="5"/>
  <c r="E170" i="5"/>
  <c r="I169" i="5"/>
  <c r="H169" i="5"/>
  <c r="E169" i="5"/>
  <c r="I168" i="5"/>
  <c r="H168" i="5"/>
  <c r="E168" i="5"/>
  <c r="I167" i="5"/>
  <c r="H167" i="5"/>
  <c r="E167" i="5"/>
  <c r="I166" i="5"/>
  <c r="H166" i="5"/>
  <c r="E166" i="5"/>
  <c r="I165" i="5"/>
  <c r="H165" i="5"/>
  <c r="E165" i="5"/>
  <c r="I164" i="5"/>
  <c r="H164" i="5"/>
  <c r="E164" i="5"/>
  <c r="I163" i="5"/>
  <c r="H163" i="5"/>
  <c r="E163" i="5"/>
  <c r="I162" i="5"/>
  <c r="H162" i="5"/>
  <c r="E162" i="5"/>
  <c r="I161" i="5"/>
  <c r="H161" i="5"/>
  <c r="E161" i="5"/>
  <c r="I160" i="5"/>
  <c r="H160" i="5"/>
  <c r="E160" i="5"/>
  <c r="I159" i="5"/>
  <c r="H159" i="5"/>
  <c r="E159" i="5"/>
  <c r="I158" i="5"/>
  <c r="H158" i="5"/>
  <c r="E158" i="5"/>
  <c r="I157" i="5"/>
  <c r="H157" i="5"/>
  <c r="E157" i="5"/>
  <c r="I156" i="5"/>
  <c r="H156" i="5"/>
  <c r="E156" i="5"/>
  <c r="I155" i="5"/>
  <c r="H155" i="5"/>
  <c r="E155" i="5"/>
  <c r="G154" i="5"/>
  <c r="H154" i="5" s="1"/>
  <c r="E154" i="5"/>
  <c r="G153" i="5"/>
  <c r="H153" i="5" s="1"/>
  <c r="E153" i="5"/>
  <c r="G152" i="5"/>
  <c r="H152" i="5" s="1"/>
  <c r="E152" i="5"/>
  <c r="G151" i="5"/>
  <c r="H151" i="5" s="1"/>
  <c r="E151" i="5"/>
  <c r="G150" i="5"/>
  <c r="H150" i="5" s="1"/>
  <c r="E150" i="5"/>
  <c r="G149" i="5"/>
  <c r="H149" i="5" s="1"/>
  <c r="E149" i="5"/>
  <c r="G148" i="5"/>
  <c r="H148" i="5" s="1"/>
  <c r="E148" i="5"/>
  <c r="G147" i="5"/>
  <c r="H147" i="5" s="1"/>
  <c r="E147" i="5"/>
  <c r="G146" i="5"/>
  <c r="H146" i="5" s="1"/>
  <c r="E146" i="5"/>
  <c r="G145" i="5"/>
  <c r="H145" i="5" s="1"/>
  <c r="E145" i="5"/>
  <c r="G144" i="5"/>
  <c r="H144" i="5" s="1"/>
  <c r="E144" i="5"/>
  <c r="G143" i="5"/>
  <c r="H143" i="5" s="1"/>
  <c r="E143" i="5"/>
  <c r="G142" i="5"/>
  <c r="H142" i="5" s="1"/>
  <c r="E142" i="5"/>
  <c r="G141" i="5"/>
  <c r="H141" i="5" s="1"/>
  <c r="E141" i="5"/>
  <c r="H140" i="5"/>
  <c r="G140" i="5"/>
  <c r="G205" i="5" s="1"/>
  <c r="E140" i="5"/>
  <c r="I139" i="5"/>
  <c r="H139" i="5"/>
  <c r="E139" i="5"/>
  <c r="I138" i="5"/>
  <c r="H138" i="5"/>
  <c r="E138" i="5"/>
  <c r="I137" i="5"/>
  <c r="H137" i="5"/>
  <c r="E137" i="5"/>
  <c r="I136" i="5"/>
  <c r="H136" i="5"/>
  <c r="E136" i="5"/>
  <c r="I135" i="5"/>
  <c r="H135" i="5"/>
  <c r="E135" i="5"/>
  <c r="I134" i="5"/>
  <c r="H134" i="5"/>
  <c r="E134" i="5"/>
  <c r="I133" i="5"/>
  <c r="H133" i="5"/>
  <c r="E133" i="5"/>
  <c r="I132" i="5"/>
  <c r="H132" i="5"/>
  <c r="E132" i="5"/>
  <c r="I131" i="5"/>
  <c r="H131" i="5"/>
  <c r="E131" i="5"/>
  <c r="I130" i="5"/>
  <c r="H130" i="5"/>
  <c r="E130" i="5"/>
  <c r="I129" i="5"/>
  <c r="H129" i="5"/>
  <c r="E129" i="5"/>
  <c r="I128" i="5"/>
  <c r="H128" i="5"/>
  <c r="E128" i="5"/>
  <c r="I127" i="5"/>
  <c r="H127" i="5"/>
  <c r="E127" i="5"/>
  <c r="I126" i="5"/>
  <c r="H126" i="5"/>
  <c r="E126" i="5"/>
  <c r="I125" i="5"/>
  <c r="H125" i="5"/>
  <c r="E125" i="5"/>
  <c r="I124" i="5"/>
  <c r="H124" i="5"/>
  <c r="E124" i="5"/>
  <c r="I123" i="5"/>
  <c r="H123" i="5"/>
  <c r="E123" i="5"/>
  <c r="I122" i="5"/>
  <c r="H122" i="5"/>
  <c r="E122" i="5"/>
  <c r="I121" i="5"/>
  <c r="H121" i="5"/>
  <c r="E121" i="5"/>
  <c r="I120" i="5"/>
  <c r="H120" i="5"/>
  <c r="E120" i="5"/>
  <c r="I119" i="5"/>
  <c r="H119" i="5"/>
  <c r="E119" i="5"/>
  <c r="I118" i="5"/>
  <c r="H118" i="5"/>
  <c r="E118" i="5"/>
  <c r="I117" i="5"/>
  <c r="H117" i="5"/>
  <c r="E117" i="5"/>
  <c r="I116" i="5"/>
  <c r="H116" i="5"/>
  <c r="E116" i="5"/>
  <c r="I115" i="5"/>
  <c r="H115" i="5"/>
  <c r="E115" i="5"/>
  <c r="I114" i="5"/>
  <c r="H114" i="5"/>
  <c r="E114" i="5"/>
  <c r="I113" i="5"/>
  <c r="H113" i="5"/>
  <c r="E113" i="5"/>
  <c r="I112" i="5"/>
  <c r="H112" i="5"/>
  <c r="E112" i="5"/>
  <c r="I111" i="5"/>
  <c r="H111" i="5"/>
  <c r="E111" i="5"/>
  <c r="I110" i="5"/>
  <c r="H110" i="5"/>
  <c r="E110" i="5"/>
  <c r="I109" i="5"/>
  <c r="H109" i="5"/>
  <c r="E109" i="5"/>
  <c r="I108" i="5"/>
  <c r="H108" i="5"/>
  <c r="E108" i="5"/>
  <c r="I107" i="5"/>
  <c r="H107" i="5"/>
  <c r="E107" i="5"/>
  <c r="I106" i="5"/>
  <c r="H106" i="5"/>
  <c r="E106" i="5"/>
  <c r="I105" i="5"/>
  <c r="H105" i="5"/>
  <c r="E105" i="5"/>
  <c r="I104" i="5"/>
  <c r="H104" i="5"/>
  <c r="E104" i="5"/>
  <c r="I103" i="5"/>
  <c r="H103" i="5"/>
  <c r="E103" i="5"/>
  <c r="I102" i="5"/>
  <c r="H102" i="5"/>
  <c r="E102" i="5"/>
  <c r="I101" i="5"/>
  <c r="H101" i="5"/>
  <c r="E101" i="5"/>
  <c r="I100" i="5"/>
  <c r="H100" i="5"/>
  <c r="E100" i="5"/>
  <c r="I99" i="5"/>
  <c r="H99" i="5"/>
  <c r="E99" i="5"/>
  <c r="I98" i="5"/>
  <c r="H98" i="5"/>
  <c r="E98" i="5"/>
  <c r="I97" i="5"/>
  <c r="H97" i="5"/>
  <c r="E97" i="5"/>
  <c r="I96" i="5"/>
  <c r="H96" i="5"/>
  <c r="E96" i="5"/>
  <c r="I95" i="5"/>
  <c r="H95" i="5"/>
  <c r="E95" i="5"/>
  <c r="I94" i="5"/>
  <c r="H94" i="5"/>
  <c r="E94" i="5"/>
  <c r="I93" i="5"/>
  <c r="H93" i="5"/>
  <c r="E93" i="5"/>
  <c r="I92" i="5"/>
  <c r="H92" i="5"/>
  <c r="E92" i="5"/>
  <c r="I91" i="5"/>
  <c r="H91" i="5"/>
  <c r="E91" i="5"/>
  <c r="I90" i="5"/>
  <c r="H90" i="5"/>
  <c r="E90" i="5"/>
  <c r="I89" i="5"/>
  <c r="H89" i="5"/>
  <c r="E89" i="5"/>
  <c r="I88" i="5"/>
  <c r="H88" i="5"/>
  <c r="E88" i="5"/>
  <c r="I87" i="5"/>
  <c r="H87" i="5"/>
  <c r="E87" i="5"/>
  <c r="I86" i="5"/>
  <c r="H86" i="5"/>
  <c r="E86" i="5"/>
  <c r="I85" i="5"/>
  <c r="H85" i="5"/>
  <c r="E85" i="5"/>
  <c r="I84" i="5"/>
  <c r="H84" i="5"/>
  <c r="E84" i="5"/>
  <c r="I83" i="5"/>
  <c r="H83" i="5"/>
  <c r="E83" i="5"/>
  <c r="I82" i="5"/>
  <c r="H82" i="5"/>
  <c r="E82" i="5"/>
  <c r="I81" i="5"/>
  <c r="H81" i="5"/>
  <c r="E81" i="5"/>
  <c r="I80" i="5"/>
  <c r="H80" i="5"/>
  <c r="E80" i="5"/>
  <c r="I79" i="5"/>
  <c r="H79" i="5"/>
  <c r="E79" i="5"/>
  <c r="I78" i="5"/>
  <c r="H78" i="5"/>
  <c r="E78" i="5"/>
  <c r="I77" i="5"/>
  <c r="H77" i="5"/>
  <c r="E77" i="5"/>
  <c r="I76" i="5"/>
  <c r="H76" i="5"/>
  <c r="E76" i="5"/>
  <c r="I75" i="5"/>
  <c r="H75" i="5"/>
  <c r="E75" i="5"/>
  <c r="I74" i="5"/>
  <c r="H74" i="5"/>
  <c r="E74" i="5"/>
  <c r="I73" i="5"/>
  <c r="H73" i="5"/>
  <c r="E73" i="5"/>
  <c r="I72" i="5"/>
  <c r="H72" i="5"/>
  <c r="E72" i="5"/>
  <c r="I71" i="5"/>
  <c r="H71" i="5"/>
  <c r="E71" i="5"/>
  <c r="I70" i="5"/>
  <c r="H70" i="5"/>
  <c r="E70" i="5"/>
  <c r="I69" i="5"/>
  <c r="H69" i="5"/>
  <c r="E69" i="5"/>
  <c r="I68" i="5"/>
  <c r="H68" i="5"/>
  <c r="E68" i="5"/>
  <c r="I67" i="5"/>
  <c r="H67" i="5"/>
  <c r="E67" i="5"/>
  <c r="I66" i="5"/>
  <c r="H66" i="5"/>
  <c r="E66" i="5"/>
  <c r="I65" i="5"/>
  <c r="H65" i="5"/>
  <c r="E65" i="5"/>
  <c r="I64" i="5"/>
  <c r="H64" i="5"/>
  <c r="E64" i="5"/>
  <c r="I63" i="5"/>
  <c r="H63" i="5"/>
  <c r="E63" i="5"/>
  <c r="I62" i="5"/>
  <c r="H62" i="5"/>
  <c r="E62" i="5"/>
  <c r="I61" i="5"/>
  <c r="H61" i="5"/>
  <c r="E61" i="5"/>
  <c r="I60" i="5"/>
  <c r="H60" i="5"/>
  <c r="E60" i="5"/>
  <c r="I59" i="5"/>
  <c r="H59" i="5"/>
  <c r="E59" i="5"/>
  <c r="I58" i="5"/>
  <c r="H58" i="5"/>
  <c r="E58" i="5"/>
  <c r="I57" i="5"/>
  <c r="H57" i="5"/>
  <c r="E57" i="5"/>
  <c r="I56" i="5"/>
  <c r="H56" i="5"/>
  <c r="E56" i="5"/>
  <c r="I55" i="5"/>
  <c r="H55" i="5"/>
  <c r="E55" i="5"/>
  <c r="I54" i="5"/>
  <c r="H54" i="5"/>
  <c r="E54" i="5"/>
  <c r="I53" i="5"/>
  <c r="H53" i="5"/>
  <c r="E53" i="5"/>
  <c r="I52" i="5"/>
  <c r="H52" i="5"/>
  <c r="E52" i="5"/>
  <c r="I51" i="5"/>
  <c r="H51" i="5"/>
  <c r="E51" i="5"/>
  <c r="I50" i="5"/>
  <c r="H50" i="5"/>
  <c r="E50" i="5"/>
  <c r="I49" i="5"/>
  <c r="H49" i="5"/>
  <c r="E49" i="5"/>
  <c r="I48" i="5"/>
  <c r="H48" i="5"/>
  <c r="E48" i="5"/>
  <c r="I47" i="5"/>
  <c r="H47" i="5"/>
  <c r="E47" i="5"/>
  <c r="I46" i="5"/>
  <c r="H46" i="5"/>
  <c r="E46" i="5"/>
  <c r="I45" i="5"/>
  <c r="H45" i="5"/>
  <c r="E45" i="5"/>
  <c r="I44" i="5"/>
  <c r="H44" i="5"/>
  <c r="E44" i="5"/>
  <c r="I43" i="5"/>
  <c r="H43" i="5"/>
  <c r="E43" i="5"/>
  <c r="I42" i="5"/>
  <c r="H42" i="5"/>
  <c r="E42" i="5"/>
  <c r="I41" i="5"/>
  <c r="H41" i="5"/>
  <c r="E41" i="5"/>
  <c r="I40" i="5"/>
  <c r="H40" i="5"/>
  <c r="H205" i="5" s="1"/>
  <c r="E40" i="5"/>
  <c r="E39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205" i="5" s="1"/>
  <c r="D207" i="5" s="1"/>
  <c r="G4" i="5"/>
  <c r="H4" i="5" s="1"/>
  <c r="E4" i="5"/>
  <c r="D4" i="5"/>
  <c r="C4" i="5"/>
  <c r="E207" i="5" l="1"/>
  <c r="E208" i="5" s="1"/>
  <c r="E216" i="5"/>
  <c r="D215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AH92" i="4" l="1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K90" i="4" s="1"/>
  <c r="AJ90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O9" i="4"/>
  <c r="AN9" i="4"/>
  <c r="AM9" i="4"/>
  <c r="AK9" i="4"/>
  <c r="AJ9" i="4"/>
  <c r="AJ12" i="4" s="1"/>
  <c r="AI9" i="4"/>
  <c r="AI12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8" i="4"/>
  <c r="H17" i="1"/>
  <c r="G17" i="1"/>
  <c r="F17" i="1"/>
  <c r="E17" i="1"/>
  <c r="D17" i="1"/>
  <c r="C17" i="1"/>
  <c r="G16" i="1"/>
  <c r="F16" i="1"/>
  <c r="E16" i="1"/>
  <c r="D16" i="1"/>
  <c r="F10" i="1"/>
  <c r="F9" i="1"/>
  <c r="E9" i="1"/>
  <c r="E10" i="1" s="1"/>
  <c r="D9" i="1"/>
  <c r="C9" i="1" s="1"/>
  <c r="B3" i="1"/>
  <c r="K3" i="1" s="1"/>
  <c r="AL11" i="4" l="1"/>
  <c r="AI90" i="4"/>
  <c r="D10" i="1"/>
  <c r="C10" i="1" s="1"/>
  <c r="I3" i="1"/>
  <c r="F3" i="1"/>
  <c r="D3" i="1" s="1"/>
</calcChain>
</file>

<file path=xl/sharedStrings.xml><?xml version="1.0" encoding="utf-8"?>
<sst xmlns="http://schemas.openxmlformats.org/spreadsheetml/2006/main" count="1079" uniqueCount="164">
  <si>
    <t>TC : NOVISTA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</si>
  <si>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</si>
  <si>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</si>
  <si>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</si>
  <si>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</si>
  <si>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</si>
  <si>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</si>
  <si>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</si>
  <si>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</si>
  <si>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</si>
  <si>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</si>
  <si>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</si>
  <si>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</si>
  <si>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</si>
  <si>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</si>
  <si>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</si>
  <si>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</si>
  <si>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</si>
  <si>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</si>
  <si>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</si>
  <si>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</si>
  <si>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</si>
  <si>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</si>
  <si>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</si>
  <si>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Novista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</si>
  <si>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</si>
  <si>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</si>
  <si>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</si>
  <si>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</si>
  <si>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</si>
  <si>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</si>
  <si>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</si>
  <si>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</si>
  <si>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</si>
  <si>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</si>
  <si>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</si>
  <si>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10 M</t>
  </si>
  <si>
    <t>200 Jt</t>
  </si>
  <si>
    <t>FEB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</si>
  <si>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</si>
  <si>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</si>
  <si>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</si>
  <si>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</si>
  <si>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</si>
  <si>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</si>
  <si>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</si>
  <si>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</si>
  <si>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</si>
  <si>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</si>
  <si>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</si>
  <si>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BULAN JANUARI 2026</t>
  </si>
  <si>
    <t>Nama TC</t>
  </si>
  <si>
    <t>:</t>
  </si>
  <si>
    <t>Wilayah</t>
  </si>
  <si>
    <t>Lumajang, Utara, Prob, Kota-Kota</t>
  </si>
  <si>
    <t>Posisi Over Due</t>
  </si>
  <si>
    <t>30 &lt;</t>
  </si>
  <si>
    <t>No</t>
  </si>
  <si>
    <t>Nama Kios</t>
  </si>
  <si>
    <t>Ket</t>
  </si>
  <si>
    <t>Abdi Tani/Zuhri</t>
  </si>
  <si>
    <t>T</t>
  </si>
  <si>
    <t>B</t>
  </si>
  <si>
    <t>TB</t>
  </si>
  <si>
    <t>OD &gt; 30</t>
  </si>
  <si>
    <t>Abi Tani/Soleudin</t>
  </si>
  <si>
    <t>Aboe Tani</t>
  </si>
  <si>
    <t>Adam Jaya/Indah</t>
  </si>
  <si>
    <t xml:space="preserve">T </t>
  </si>
  <si>
    <t>Agro Sukses Surabaya, PT</t>
  </si>
  <si>
    <t>Agro Tani Mandiri</t>
  </si>
  <si>
    <t>Bumi Asih, UD/Hasan</t>
  </si>
  <si>
    <t>Damai Tani/Samsuri, H</t>
  </si>
  <si>
    <t>Delima, Toko/Nurhasan</t>
  </si>
  <si>
    <t>Febri Catur Nugroho</t>
  </si>
  <si>
    <t>Ibu Tani</t>
  </si>
  <si>
    <t>Java Tani/Anis</t>
  </si>
  <si>
    <t>Jaya Utama, CV</t>
  </si>
  <si>
    <t>Joyo Tani Makmur, UD</t>
  </si>
  <si>
    <t>Kawan Tani/Bahrul, H</t>
  </si>
  <si>
    <t>Konco Tani/Hamdani</t>
  </si>
  <si>
    <t>Mantab Jaya/Andiya</t>
  </si>
  <si>
    <t>Pertanian Bu Linda, Toko</t>
  </si>
  <si>
    <t>Podo Tani/Supri</t>
  </si>
  <si>
    <t>Putra Tani/Bayu</t>
  </si>
  <si>
    <t>Putri Rejeki/Saman</t>
  </si>
  <si>
    <t>Rudi Tani/Rudi</t>
  </si>
  <si>
    <t>Semes Tani/Tomi</t>
  </si>
  <si>
    <t>Shijaya Tani/Hendrik</t>
  </si>
  <si>
    <t>Sido Muncul/Hosen</t>
  </si>
  <si>
    <t>Sinar Tani/Nuruddin</t>
  </si>
  <si>
    <t>Sobat Tani/Indra</t>
  </si>
  <si>
    <t>Soponyono/Hasan</t>
  </si>
  <si>
    <t>Subur/Yusuf</t>
  </si>
  <si>
    <t>Sukses Sejahtera</t>
  </si>
  <si>
    <t>Sumber Agung/Ferdi</t>
  </si>
  <si>
    <t>Sumber Barokah, UD</t>
  </si>
  <si>
    <t>Sumber Makmur/Mahrus</t>
  </si>
  <si>
    <t>Sumber Pangan/Jainuri</t>
  </si>
  <si>
    <t>Tani Barokah/Rofiudin</t>
  </si>
  <si>
    <t>Tani Barokah/Salim</t>
  </si>
  <si>
    <t>Tani Hasil, UD/Bagong, H</t>
  </si>
  <si>
    <t>Tani Jaya Abadi/Mundir</t>
  </si>
  <si>
    <t>Tani Jaya, UD/Choiri</t>
  </si>
  <si>
    <t>Tani Maju/Aris</t>
  </si>
  <si>
    <t>Tani Makmur/Kusnan</t>
  </si>
  <si>
    <t>Tani Moderen/Septiani</t>
  </si>
  <si>
    <t>Tani Sejahtera/Mat Syawal</t>
  </si>
  <si>
    <t>Tunggal Sumber Rejeki</t>
  </si>
  <si>
    <t>Wukir Sari</t>
  </si>
  <si>
    <t>TOTAL</t>
  </si>
  <si>
    <t>.</t>
  </si>
  <si>
    <t>Tagih Langsung Bayar</t>
  </si>
  <si>
    <t xml:space="preserve"> </t>
  </si>
  <si>
    <t>Tagih</t>
  </si>
  <si>
    <t>Bayar</t>
  </si>
  <si>
    <t>BULAN NOMBER 2025</t>
  </si>
  <si>
    <t>&lt; 30</t>
  </si>
  <si>
    <t>Aura Bumi/Agus</t>
  </si>
  <si>
    <t>Barokah Tani, UD/Sutrisno</t>
  </si>
  <si>
    <t>Dianta Tani</t>
  </si>
  <si>
    <t>Fida, Toko</t>
  </si>
  <si>
    <t>Gudang Barokah/Ishak</t>
  </si>
  <si>
    <t>Hasil Tani/Supriyadi</t>
  </si>
  <si>
    <t>Indra, toko</t>
  </si>
  <si>
    <t>Jaya Makmur/Suyono</t>
  </si>
  <si>
    <t>Karya Guna/Agus</t>
  </si>
  <si>
    <t>Koko Tani</t>
  </si>
  <si>
    <t>Madani, UD</t>
  </si>
  <si>
    <t>Mahhur</t>
  </si>
  <si>
    <t>Nurkholil, UD</t>
  </si>
  <si>
    <t>Putra Podomoro, CV</t>
  </si>
  <si>
    <t>Rawa Indah</t>
  </si>
  <si>
    <t>Rita 29, Toko</t>
  </si>
  <si>
    <t>Sari Agung/Wasudi, H</t>
  </si>
  <si>
    <t>Sedulur Tani/Eko Galih</t>
  </si>
  <si>
    <t>Sejahtera Tani/Suyono</t>
  </si>
  <si>
    <t>Sumber Rejeki/Ali</t>
  </si>
  <si>
    <t>Sumber Rejeki/Moh Soleh</t>
  </si>
  <si>
    <t>Sumber Tani, UD/Agin</t>
  </si>
  <si>
    <t>Sumber Tani/Supriyanto</t>
  </si>
  <si>
    <t>Surya Tani/Ari</t>
  </si>
  <si>
    <t>Surya Tani/Harwoko</t>
  </si>
  <si>
    <t>Tani Sejati/Meggie</t>
  </si>
  <si>
    <t>Tani Subur/Suwandi</t>
  </si>
  <si>
    <t>Yuwana Tani/Firdaus</t>
  </si>
  <si>
    <t>SIMULASI % OD</t>
  </si>
  <si>
    <t xml:space="preserve"> YANG HARUS DITAGIH</t>
  </si>
  <si>
    <t>Target OD Akhir Bulan</t>
  </si>
  <si>
    <t>Prediksi bayar</t>
  </si>
  <si>
    <t>sisa piutang</t>
  </si>
  <si>
    <t xml:space="preserve">Note </t>
  </si>
  <si>
    <t>Sisa OD (diff)</t>
  </si>
  <si>
    <t>Actual Pembayaran</t>
  </si>
  <si>
    <t>SC</t>
  </si>
  <si>
    <t>Grand Total</t>
  </si>
  <si>
    <t>prediksi</t>
  </si>
  <si>
    <t>Simulasi penyelesaian OD &gt; 30</t>
  </si>
  <si>
    <t>akhir Jan OD&lt;30</t>
  </si>
  <si>
    <t>Tot. piutang jan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</si>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</sst>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b/>
      <sz val="10"/>
      <color theme="1"/>
      <name val="Lao U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9"/>
      <color theme="0"/>
      <name val="Calibri"/>
      <family val="2"/>
      <scheme val="minor"/>
    </font>
    <font>
      <sz val="8.5"/>
      <color rgb="FFFF0000"/>
      <name val="Arial"/>
      <family val="2"/>
    </font>
    <font>
      <sz val="8.5"/>
      <color theme="1"/>
      <name val="Arial"/>
      <family val="2"/>
    </font>
    <font>
      <sz val="8.5"/>
      <color theme="0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/>
    <xf numFmtId="43" fontId="26" fillId="0" borderId="0" applyFont="0" applyFill="0" applyBorder="0" applyAlignment="0" applyProtection="0"/>
    <xf numFmtId="0" fontId="27" fillId="0" borderId="0">
      <alignment horizontal="left" vertical="top"/>
    </xf>
    <xf numFmtId="41" fontId="26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31" borderId="0"/>
    <xf numFmtId="0" fontId="25" fillId="0" borderId="0"/>
    <xf numFmtId="0" fontId="25" fillId="0" borderId="0"/>
    <xf numFmtId="0" fontId="1" fillId="0" borderId="0"/>
    <xf numFmtId="0" fontId="40" fillId="31" borderId="0"/>
    <xf numFmtId="0" fontId="25" fillId="0" borderId="0"/>
    <xf numFmtId="166" fontId="1" fillId="0" borderId="0"/>
    <xf numFmtId="166" fontId="1" fillId="0" borderId="0"/>
    <xf numFmtId="166" fontId="1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center" vertical="top"/>
    </xf>
    <xf numFmtId="0" fontId="36" fillId="0" borderId="0">
      <alignment horizontal="center" vertical="top"/>
    </xf>
    <xf numFmtId="0" fontId="36" fillId="0" borderId="0">
      <alignment horizontal="left" vertical="top"/>
    </xf>
    <xf numFmtId="0" fontId="41" fillId="0" borderId="0">
      <alignment horizontal="left" vertical="top"/>
    </xf>
    <xf numFmtId="0" fontId="42" fillId="0" borderId="0">
      <alignment horizontal="left" vertical="top"/>
    </xf>
    <xf numFmtId="0" fontId="36" fillId="32" borderId="0">
      <alignment horizontal="center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43" fillId="0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44" fillId="0" borderId="0">
      <alignment horizontal="left" vertical="top"/>
    </xf>
    <xf numFmtId="0" fontId="27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center" vertical="top"/>
    </xf>
    <xf numFmtId="0" fontId="36" fillId="0" borderId="0">
      <alignment horizontal="center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36" fillId="32" borderId="0">
      <alignment horizontal="center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43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45" fillId="0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36" fillId="32" borderId="0">
      <alignment horizontal="left" vertical="top"/>
    </xf>
    <xf numFmtId="0" fontId="51" fillId="0" borderId="0">
      <alignment horizontal="left" vertical="top"/>
    </xf>
    <xf numFmtId="0" fontId="52" fillId="0" borderId="0">
      <alignment horizontal="right" vertical="top"/>
    </xf>
    <xf numFmtId="0" fontId="53" fillId="0" borderId="0">
      <alignment horizontal="right" vertical="center"/>
    </xf>
    <xf numFmtId="0" fontId="27" fillId="0" borderId="0">
      <alignment horizontal="right" vertical="top"/>
    </xf>
    <xf numFmtId="0" fontId="27" fillId="0" borderId="0">
      <alignment horizontal="left" vertical="top"/>
    </xf>
    <xf numFmtId="166" fontId="50" fillId="0" borderId="0">
      <alignment horizontal="left" vertical="top"/>
    </xf>
    <xf numFmtId="0" fontId="49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50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righ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45" fillId="0" borderId="0">
      <alignment horizontal="right" vertical="top"/>
    </xf>
    <xf numFmtId="0" fontId="54" fillId="0" borderId="0">
      <alignment horizontal="left" vertical="top"/>
    </xf>
    <xf numFmtId="0" fontId="48" fillId="0" borderId="0">
      <alignment horizontal="left" vertical="top"/>
    </xf>
    <xf numFmtId="0" fontId="36" fillId="32" borderId="0">
      <alignment horizontal="left" vertical="top"/>
    </xf>
    <xf numFmtId="0" fontId="51" fillId="0" borderId="0">
      <alignment horizontal="left" vertical="top"/>
    </xf>
    <xf numFmtId="0" fontId="52" fillId="0" borderId="0">
      <alignment horizontal="left" vertical="top"/>
    </xf>
    <xf numFmtId="0" fontId="51" fillId="0" borderId="0">
      <alignment horizontal="right" vertical="top"/>
    </xf>
    <xf numFmtId="0" fontId="27" fillId="0" borderId="0">
      <alignment horizontal="left" vertical="top"/>
    </xf>
    <xf numFmtId="0" fontId="48" fillId="0" borderId="0">
      <alignment horizontal="left" vertical="top"/>
    </xf>
    <xf numFmtId="0" fontId="27" fillId="0" borderId="0">
      <alignment horizontal="right" vertical="top"/>
    </xf>
    <xf numFmtId="0" fontId="48" fillId="0" borderId="0">
      <alignment horizontal="right" vertical="top"/>
    </xf>
    <xf numFmtId="166" fontId="27" fillId="0" borderId="0">
      <alignment horizontal="right" vertical="top"/>
    </xf>
    <xf numFmtId="0" fontId="36" fillId="32" borderId="0">
      <alignment horizontal="left" vertical="top"/>
    </xf>
    <xf numFmtId="0" fontId="36" fillId="0" borderId="0">
      <alignment horizontal="left" vertical="top"/>
    </xf>
    <xf numFmtId="0" fontId="50" fillId="0" borderId="0">
      <alignment horizontal="left" vertical="top"/>
    </xf>
    <xf numFmtId="0" fontId="36" fillId="0" borderId="0">
      <alignment horizontal="righ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45" fillId="0" borderId="0">
      <alignment horizontal="right" vertical="top"/>
    </xf>
    <xf numFmtId="0" fontId="52" fillId="0" borderId="0">
      <alignment horizontal="right" vertical="top"/>
    </xf>
    <xf numFmtId="0" fontId="49" fillId="0" borderId="0">
      <alignment horizontal="left" vertical="top"/>
    </xf>
    <xf numFmtId="0" fontId="55" fillId="0" borderId="0">
      <alignment horizontal="right" vertical="top"/>
    </xf>
    <xf numFmtId="0" fontId="48" fillId="0" borderId="0">
      <alignment horizontal="right" vertical="top"/>
    </xf>
    <xf numFmtId="0" fontId="50" fillId="0" borderId="0">
      <alignment horizontal="left" vertical="top"/>
    </xf>
    <xf numFmtId="166" fontId="27" fillId="0" borderId="0">
      <alignment horizontal="righ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52" fillId="0" borderId="0">
      <alignment horizontal="left" vertical="top"/>
    </xf>
    <xf numFmtId="0" fontId="52" fillId="0" borderId="0">
      <alignment horizontal="right" vertical="top"/>
    </xf>
    <xf numFmtId="0" fontId="36" fillId="0" borderId="0">
      <alignment horizontal="right" vertical="top"/>
    </xf>
    <xf numFmtId="0" fontId="51" fillId="0" borderId="0">
      <alignment horizontal="right" vertical="top"/>
    </xf>
    <xf numFmtId="0" fontId="27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55" fillId="0" borderId="0">
      <alignment horizontal="right" vertical="top"/>
    </xf>
    <xf numFmtId="0" fontId="56" fillId="0" borderId="0">
      <alignment horizontal="left" vertical="center"/>
    </xf>
    <xf numFmtId="0" fontId="53" fillId="0" borderId="0">
      <alignment horizontal="left" vertical="center"/>
    </xf>
    <xf numFmtId="0" fontId="27" fillId="0" borderId="0">
      <alignment horizontal="left" vertical="top"/>
    </xf>
    <xf numFmtId="166" fontId="27" fillId="0" borderId="0">
      <alignment horizontal="left" vertical="top"/>
    </xf>
    <xf numFmtId="0" fontId="36" fillId="0" borderId="0">
      <alignment horizontal="left" vertical="top"/>
    </xf>
    <xf numFmtId="0" fontId="52" fillId="0" borderId="0">
      <alignment horizontal="left" vertical="top"/>
    </xf>
    <xf numFmtId="0" fontId="36" fillId="0" borderId="0">
      <alignment horizontal="left" vertical="top"/>
    </xf>
    <xf numFmtId="0" fontId="51" fillId="0" borderId="0">
      <alignment horizontal="right" vertical="top"/>
    </xf>
    <xf numFmtId="0" fontId="57" fillId="0" borderId="0">
      <alignment horizontal="left" vertical="top"/>
    </xf>
    <xf numFmtId="0" fontId="27" fillId="0" borderId="0">
      <alignment horizontal="right" vertical="top"/>
    </xf>
    <xf numFmtId="0" fontId="56" fillId="0" borderId="0">
      <alignment horizontal="left" vertical="center"/>
    </xf>
    <xf numFmtId="0" fontId="50" fillId="0" borderId="0">
      <alignment horizontal="left" vertical="top"/>
    </xf>
    <xf numFmtId="0" fontId="48" fillId="0" borderId="0">
      <alignment horizontal="right" vertical="top"/>
    </xf>
    <xf numFmtId="0" fontId="52" fillId="0" borderId="0">
      <alignment horizontal="right" vertical="top"/>
    </xf>
    <xf numFmtId="0" fontId="55" fillId="0" borderId="0">
      <alignment horizontal="left" vertical="top"/>
    </xf>
    <xf numFmtId="0" fontId="27" fillId="0" borderId="0">
      <alignment horizontal="left" vertical="top"/>
    </xf>
    <xf numFmtId="166" fontId="50" fillId="0" borderId="0">
      <alignment horizontal="left" vertical="top"/>
    </xf>
    <xf numFmtId="0" fontId="58" fillId="0" borderId="0">
      <alignment horizontal="left" vertical="top"/>
    </xf>
    <xf numFmtId="0" fontId="36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center" vertical="center"/>
    </xf>
    <xf numFmtId="0" fontId="50" fillId="0" borderId="0">
      <alignment horizontal="left" vertical="top"/>
    </xf>
    <xf numFmtId="0" fontId="52" fillId="0" borderId="0">
      <alignment horizontal="right" vertical="top"/>
    </xf>
    <xf numFmtId="0" fontId="53" fillId="0" borderId="0">
      <alignment horizontal="left" vertical="center"/>
    </xf>
    <xf numFmtId="0" fontId="54" fillId="0" borderId="0">
      <alignment horizontal="left" vertical="top"/>
    </xf>
    <xf numFmtId="0" fontId="59" fillId="0" borderId="0">
      <alignment horizontal="right" vertical="top"/>
    </xf>
    <xf numFmtId="0" fontId="27" fillId="0" borderId="0">
      <alignment horizontal="right" vertical="top"/>
    </xf>
    <xf numFmtId="0" fontId="59" fillId="0" borderId="0">
      <alignment horizontal="right" vertical="top"/>
    </xf>
    <xf numFmtId="0" fontId="50" fillId="0" borderId="0">
      <alignment horizontal="left" vertical="top"/>
    </xf>
    <xf numFmtId="0" fontId="59" fillId="0" borderId="0">
      <alignment horizontal="left" vertical="top"/>
    </xf>
    <xf numFmtId="0" fontId="27" fillId="0" borderId="0">
      <alignment horizontal="left" vertical="top"/>
    </xf>
    <xf numFmtId="0" fontId="52" fillId="0" borderId="0">
      <alignment horizontal="left" vertical="top"/>
    </xf>
    <xf numFmtId="0" fontId="53" fillId="0" borderId="0">
      <alignment horizontal="center" vertical="center"/>
    </xf>
    <xf numFmtId="166" fontId="27" fillId="0" borderId="0">
      <alignment horizontal="left" vertical="top"/>
    </xf>
    <xf numFmtId="0" fontId="55" fillId="0" borderId="0">
      <alignment horizontal="left" vertical="top"/>
    </xf>
    <xf numFmtId="0" fontId="59" fillId="0" borderId="0">
      <alignment horizontal="left" vertical="top"/>
    </xf>
    <xf numFmtId="0" fontId="27" fillId="0" borderId="0">
      <alignment horizontal="left" vertical="top"/>
    </xf>
    <xf numFmtId="0" fontId="59" fillId="0" borderId="0">
      <alignment horizontal="left" vertical="top"/>
    </xf>
    <xf numFmtId="0" fontId="59" fillId="0" borderId="0">
      <alignment horizontal="right" vertical="top"/>
    </xf>
    <xf numFmtId="0" fontId="50" fillId="0" borderId="0">
      <alignment horizontal="left" vertical="top"/>
    </xf>
    <xf numFmtId="166" fontId="50" fillId="0" borderId="0">
      <alignment horizontal="left" vertical="top"/>
    </xf>
    <xf numFmtId="0" fontId="54" fillId="0" borderId="0">
      <alignment horizontal="left" vertical="top"/>
    </xf>
    <xf numFmtId="0" fontId="52" fillId="0" borderId="0">
      <alignment horizontal="left" vertical="top"/>
    </xf>
    <xf numFmtId="0" fontId="49" fillId="0" borderId="0">
      <alignment horizontal="left" vertical="top"/>
    </xf>
    <xf numFmtId="0" fontId="52" fillId="0" borderId="0">
      <alignment horizontal="right" vertical="top"/>
    </xf>
    <xf numFmtId="166" fontId="52" fillId="0" borderId="0">
      <alignment horizontal="right" vertical="top"/>
    </xf>
    <xf numFmtId="0" fontId="60" fillId="0" borderId="0">
      <alignment horizontal="right" vertical="top"/>
    </xf>
    <xf numFmtId="0" fontId="58" fillId="0" borderId="0">
      <alignment horizontal="left" vertical="top"/>
    </xf>
    <xf numFmtId="0" fontId="52" fillId="0" borderId="0">
      <alignment horizontal="left" vertical="top"/>
    </xf>
    <xf numFmtId="0" fontId="27" fillId="0" borderId="0">
      <alignment horizontal="left" vertical="top"/>
    </xf>
    <xf numFmtId="166" fontId="52" fillId="0" borderId="0">
      <alignment horizontal="left" vertical="top"/>
    </xf>
    <xf numFmtId="0" fontId="60" fillId="0" borderId="0">
      <alignment horizontal="left" vertical="top"/>
    </xf>
    <xf numFmtId="0" fontId="27" fillId="0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center" vertical="top"/>
    </xf>
    <xf numFmtId="0" fontId="36" fillId="0" borderId="0">
      <alignment horizontal="center" vertical="top"/>
    </xf>
    <xf numFmtId="0" fontId="36" fillId="0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left" vertical="top"/>
    </xf>
    <xf numFmtId="0" fontId="36" fillId="32" borderId="0">
      <alignment horizontal="center" vertical="top"/>
    </xf>
    <xf numFmtId="0" fontId="27" fillId="0" borderId="0">
      <alignment horizontal="right" vertical="top"/>
    </xf>
    <xf numFmtId="0" fontId="27" fillId="0" borderId="0">
      <alignment horizontal="right" vertical="top"/>
    </xf>
    <xf numFmtId="0" fontId="43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63" fillId="0" borderId="0">
      <alignment horizontal="left" vertical="top"/>
    </xf>
    <xf numFmtId="0" fontId="64" fillId="0" borderId="0">
      <alignment horizontal="center" vertical="top"/>
    </xf>
    <xf numFmtId="0" fontId="65" fillId="0" borderId="0">
      <alignment horizontal="left" vertical="top"/>
    </xf>
    <xf numFmtId="166" fontId="66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66" fillId="0" borderId="0">
      <alignment horizontal="left" vertical="top"/>
    </xf>
    <xf numFmtId="0" fontId="36" fillId="32" borderId="0">
      <alignment horizontal="left" vertical="top"/>
    </xf>
    <xf numFmtId="0" fontId="65" fillId="0" borderId="0">
      <alignment horizontal="center" vertical="top"/>
    </xf>
    <xf numFmtId="0" fontId="67" fillId="0" borderId="0">
      <alignment horizontal="left" vertical="top"/>
    </xf>
    <xf numFmtId="0" fontId="68" fillId="0" borderId="0">
      <alignment horizontal="center" vertical="top"/>
    </xf>
    <xf numFmtId="0" fontId="36" fillId="32" borderId="0">
      <alignment horizontal="left" vertical="top"/>
    </xf>
    <xf numFmtId="0" fontId="58" fillId="0" borderId="0">
      <alignment horizontal="left" vertical="top"/>
    </xf>
    <xf numFmtId="0" fontId="36" fillId="32" borderId="0">
      <alignment horizontal="left" vertical="top"/>
    </xf>
    <xf numFmtId="0" fontId="46" fillId="0" borderId="0">
      <alignment horizontal="center" vertical="top"/>
    </xf>
    <xf numFmtId="0" fontId="68" fillId="0" borderId="0">
      <alignment horizontal="center" vertical="top"/>
    </xf>
    <xf numFmtId="0" fontId="50" fillId="0" borderId="0">
      <alignment horizontal="right" vertical="top"/>
    </xf>
    <xf numFmtId="0" fontId="36" fillId="32" borderId="0">
      <alignment horizontal="left" vertical="top"/>
    </xf>
    <xf numFmtId="0" fontId="46" fillId="0" borderId="0">
      <alignment horizontal="left" vertical="top"/>
    </xf>
    <xf numFmtId="166" fontId="50" fillId="0" borderId="0">
      <alignment horizontal="right" vertical="top"/>
    </xf>
    <xf numFmtId="0" fontId="50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0" borderId="0">
      <alignment horizontal="lef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left" vertical="top"/>
    </xf>
    <xf numFmtId="0" fontId="54" fillId="0" borderId="0">
      <alignment horizontal="right" vertical="top"/>
    </xf>
    <xf numFmtId="0" fontId="50" fillId="32" borderId="0">
      <alignment horizontal="left" vertical="top"/>
    </xf>
    <xf numFmtId="0" fontId="36" fillId="32" borderId="0">
      <alignment horizontal="left" vertical="top"/>
    </xf>
    <xf numFmtId="0" fontId="62" fillId="0" borderId="0">
      <alignment horizontal="center" vertical="top"/>
    </xf>
    <xf numFmtId="0" fontId="50" fillId="32" borderId="0">
      <alignment horizontal="left" vertical="top"/>
    </xf>
    <xf numFmtId="0" fontId="27" fillId="0" borderId="0">
      <alignment horizontal="right" vertical="top"/>
    </xf>
    <xf numFmtId="166" fontId="50" fillId="0" borderId="0">
      <alignment horizontal="left" vertical="top"/>
    </xf>
    <xf numFmtId="0" fontId="50" fillId="0" borderId="0">
      <alignment horizontal="left" vertical="top"/>
    </xf>
    <xf numFmtId="0" fontId="69" fillId="0" borderId="0">
      <alignment horizontal="center" vertical="top"/>
    </xf>
    <xf numFmtId="0" fontId="36" fillId="32" borderId="0">
      <alignment horizontal="left" vertical="top"/>
    </xf>
    <xf numFmtId="0" fontId="36" fillId="32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1" fillId="0" borderId="0">
      <alignment horizontal="left" vertical="top"/>
    </xf>
    <xf numFmtId="0" fontId="50" fillId="0" borderId="0">
      <alignment horizontal="left" vertical="top"/>
    </xf>
    <xf numFmtId="0" fontId="54" fillId="0" borderId="0">
      <alignment horizontal="left" vertical="top"/>
    </xf>
    <xf numFmtId="0" fontId="59" fillId="0" borderId="0">
      <alignment horizontal="left" vertical="center"/>
    </xf>
    <xf numFmtId="0" fontId="45" fillId="0" borderId="0">
      <alignment horizontal="right" vertical="top"/>
    </xf>
    <xf numFmtId="0" fontId="1" fillId="0" borderId="0">
      <alignment horizontal="right" vertical="top"/>
    </xf>
    <xf numFmtId="0" fontId="50" fillId="0" borderId="0">
      <alignment horizontal="right" vertical="top"/>
    </xf>
    <xf numFmtId="0" fontId="50" fillId="0" borderId="0">
      <alignment horizontal="left" vertical="top"/>
    </xf>
    <xf numFmtId="0" fontId="36" fillId="32" borderId="0">
      <alignment horizontal="right" vertical="top"/>
    </xf>
    <xf numFmtId="0" fontId="52" fillId="0" borderId="0">
      <alignment horizontal="left" vertical="top"/>
    </xf>
    <xf numFmtId="0" fontId="52" fillId="0" borderId="0">
      <alignment horizontal="center" vertical="center"/>
    </xf>
    <xf numFmtId="0" fontId="59" fillId="0" borderId="0">
      <alignment horizontal="left" vertical="center"/>
    </xf>
    <xf numFmtId="0" fontId="70" fillId="0" borderId="0">
      <alignment horizontal="center" vertical="top"/>
    </xf>
    <xf numFmtId="166" fontId="50" fillId="0" borderId="0">
      <alignment horizontal="left" vertical="top"/>
    </xf>
    <xf numFmtId="0" fontId="50" fillId="0" borderId="0">
      <alignment horizontal="right" vertical="top"/>
    </xf>
    <xf numFmtId="0" fontId="36" fillId="32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right" vertical="top"/>
    </xf>
    <xf numFmtId="0" fontId="36" fillId="32" borderId="0">
      <alignment horizontal="right" vertical="top"/>
    </xf>
    <xf numFmtId="0" fontId="36" fillId="32" borderId="0">
      <alignment horizontal="righ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54" fillId="0" borderId="0">
      <alignment horizontal="left" vertical="top"/>
    </xf>
    <xf numFmtId="0" fontId="59" fillId="0" borderId="0">
      <alignment horizontal="left" vertical="center"/>
    </xf>
    <xf numFmtId="0" fontId="50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6" fillId="32" borderId="0">
      <alignment horizontal="left" vertical="top"/>
    </xf>
    <xf numFmtId="0" fontId="52" fillId="0" borderId="0">
      <alignment horizontal="left" vertical="top"/>
    </xf>
    <xf numFmtId="0" fontId="53" fillId="0" borderId="0">
      <alignment horizontal="left" vertical="center"/>
    </xf>
    <xf numFmtId="0" fontId="59" fillId="0" borderId="0">
      <alignment horizontal="left" vertical="center"/>
    </xf>
    <xf numFmtId="0" fontId="71" fillId="0" borderId="0">
      <alignment horizontal="left" vertical="top"/>
    </xf>
    <xf numFmtId="166" fontId="50" fillId="0" borderId="0">
      <alignment horizontal="right" vertical="top"/>
    </xf>
    <xf numFmtId="0" fontId="72" fillId="0" borderId="0">
      <alignment horizontal="left" vertical="top"/>
    </xf>
    <xf numFmtId="0" fontId="50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0" borderId="0">
      <alignment horizontal="righ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54" fillId="0" borderId="0">
      <alignment horizontal="right" vertical="top"/>
    </xf>
    <xf numFmtId="0" fontId="59" fillId="0" borderId="0">
      <alignment horizontal="right" vertical="center"/>
    </xf>
    <xf numFmtId="0" fontId="53" fillId="0" borderId="0">
      <alignment horizontal="left" vertical="center"/>
    </xf>
    <xf numFmtId="0" fontId="59" fillId="0" borderId="0">
      <alignment horizontal="right" vertical="center"/>
    </xf>
    <xf numFmtId="0" fontId="59" fillId="0" borderId="0">
      <alignment horizontal="left" vertical="top"/>
    </xf>
    <xf numFmtId="0" fontId="53" fillId="0" borderId="0">
      <alignment horizontal="right" vertical="center"/>
    </xf>
    <xf numFmtId="166" fontId="50" fillId="0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36" fillId="32" borderId="0">
      <alignment horizontal="left" vertical="top"/>
    </xf>
    <xf numFmtId="0" fontId="50" fillId="0" borderId="0">
      <alignment horizontal="righ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50" fillId="0" borderId="0">
      <alignment horizontal="left" vertical="top"/>
    </xf>
    <xf numFmtId="0" fontId="36" fillId="32" borderId="0">
      <alignment horizontal="left" vertical="top"/>
    </xf>
    <xf numFmtId="0" fontId="52" fillId="0" borderId="0">
      <alignment horizontal="right" vertical="top"/>
    </xf>
    <xf numFmtId="0" fontId="54" fillId="0" borderId="0">
      <alignment horizontal="left" vertical="top"/>
    </xf>
    <xf numFmtId="0" fontId="48" fillId="0" borderId="0">
      <alignment horizontal="left" vertical="top"/>
    </xf>
    <xf numFmtId="0" fontId="50" fillId="0" borderId="0">
      <alignment horizontal="left" vertical="top"/>
    </xf>
    <xf numFmtId="0" fontId="36" fillId="32" borderId="0">
      <alignment horizontal="right" vertical="top"/>
    </xf>
    <xf numFmtId="0" fontId="51" fillId="0" borderId="0">
      <alignment horizontal="left" vertical="top"/>
    </xf>
    <xf numFmtId="0" fontId="27" fillId="0" borderId="0">
      <alignment horizontal="left" vertical="top"/>
    </xf>
    <xf numFmtId="0" fontId="53" fillId="0" borderId="0">
      <alignment horizontal="center" vertical="center"/>
    </xf>
    <xf numFmtId="0" fontId="48" fillId="0" borderId="0">
      <alignment horizontal="left" vertical="top"/>
    </xf>
    <xf numFmtId="0" fontId="59" fillId="0" borderId="0">
      <alignment horizontal="right" vertical="top"/>
    </xf>
    <xf numFmtId="0" fontId="50" fillId="0" borderId="0">
      <alignment horizontal="right" vertical="top"/>
    </xf>
    <xf numFmtId="166" fontId="27" fillId="0" borderId="0">
      <alignment horizontal="left" vertical="top"/>
    </xf>
    <xf numFmtId="0" fontId="36" fillId="32" borderId="0">
      <alignment horizontal="right" vertical="top"/>
    </xf>
    <xf numFmtId="0" fontId="36" fillId="32" borderId="0">
      <alignment horizontal="left" vertical="top"/>
    </xf>
    <xf numFmtId="0" fontId="36" fillId="32" borderId="0">
      <alignment horizontal="right" vertical="top"/>
    </xf>
    <xf numFmtId="0" fontId="36" fillId="32" borderId="0">
      <alignment horizontal="right" vertical="top"/>
    </xf>
    <xf numFmtId="0" fontId="36" fillId="32" borderId="0">
      <alignment horizontal="right" vertical="top"/>
    </xf>
    <xf numFmtId="0" fontId="36" fillId="32" borderId="0">
      <alignment horizontal="left" vertical="top"/>
    </xf>
    <xf numFmtId="0" fontId="36" fillId="0" borderId="0">
      <alignment horizontal="left" vertical="top"/>
    </xf>
    <xf numFmtId="0" fontId="45" fillId="0" borderId="0">
      <alignment horizontal="left" vertical="top"/>
    </xf>
    <xf numFmtId="0" fontId="55" fillId="0" borderId="0">
      <alignment horizontal="left" vertical="top"/>
    </xf>
  </cellStyleXfs>
  <cellXfs count="152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9" fontId="12" fillId="18" borderId="1" xfId="2" applyFont="1" applyFill="1" applyBorder="1" applyAlignment="1">
      <alignment horizontal="center" vertical="center"/>
    </xf>
    <xf numFmtId="10" fontId="12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41" fontId="15" fillId="20" borderId="4" xfId="0" applyNumberFormat="1" applyFont="1" applyFill="1" applyBorder="1" applyAlignment="1">
      <alignment horizontal="center" vertical="center"/>
    </xf>
    <xf numFmtId="41" fontId="15" fillId="20" borderId="5" xfId="0" applyNumberFormat="1" applyFont="1" applyFill="1" applyBorder="1" applyAlignment="1">
      <alignment horizontal="center" vertical="center"/>
    </xf>
    <xf numFmtId="41" fontId="15" fillId="20" borderId="6" xfId="0" applyNumberFormat="1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41" fontId="14" fillId="20" borderId="1" xfId="0" applyNumberFormat="1" applyFont="1" applyFill="1" applyBorder="1" applyAlignment="1">
      <alignment horizontal="center" vertical="center"/>
    </xf>
    <xf numFmtId="41" fontId="15" fillId="21" borderId="4" xfId="0" applyNumberFormat="1" applyFont="1" applyFill="1" applyBorder="1" applyAlignment="1">
      <alignment horizontal="center" vertical="center"/>
    </xf>
    <xf numFmtId="41" fontId="15" fillId="21" borderId="5" xfId="0" applyNumberFormat="1" applyFont="1" applyFill="1" applyBorder="1" applyAlignment="1">
      <alignment horizontal="center" vertical="center"/>
    </xf>
    <xf numFmtId="41" fontId="15" fillId="21" borderId="6" xfId="0" applyNumberFormat="1" applyFont="1" applyFill="1" applyBorder="1" applyAlignment="1">
      <alignment horizontal="center" vertical="center"/>
    </xf>
    <xf numFmtId="41" fontId="15" fillId="4" borderId="4" xfId="0" applyNumberFormat="1" applyFont="1" applyFill="1" applyBorder="1" applyAlignment="1">
      <alignment horizontal="center" vertical="center"/>
    </xf>
    <xf numFmtId="41" fontId="15" fillId="4" borderId="5" xfId="0" applyNumberFormat="1" applyFont="1" applyFill="1" applyBorder="1" applyAlignment="1">
      <alignment horizontal="center" vertical="center"/>
    </xf>
    <xf numFmtId="41" fontId="15" fillId="4" borderId="6" xfId="0" applyNumberFormat="1" applyFont="1" applyFill="1" applyBorder="1" applyAlignment="1">
      <alignment horizontal="center" vertical="center"/>
    </xf>
    <xf numFmtId="41" fontId="15" fillId="22" borderId="4" xfId="0" applyNumberFormat="1" applyFont="1" applyFill="1" applyBorder="1" applyAlignment="1">
      <alignment horizontal="center" vertical="center"/>
    </xf>
    <xf numFmtId="41" fontId="15" fillId="22" borderId="6" xfId="0" applyNumberFormat="1" applyFont="1" applyFill="1" applyBorder="1" applyAlignment="1">
      <alignment horizontal="center" vertical="center"/>
    </xf>
    <xf numFmtId="41" fontId="15" fillId="23" borderId="1" xfId="0" applyNumberFormat="1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41" fontId="15" fillId="11" borderId="1" xfId="0" applyNumberFormat="1" applyFont="1" applyFill="1" applyBorder="1" applyAlignment="1">
      <alignment horizontal="center" vertical="center"/>
    </xf>
    <xf numFmtId="41" fontId="15" fillId="10" borderId="1" xfId="0" applyNumberFormat="1" applyFont="1" applyFill="1" applyBorder="1" applyAlignment="1">
      <alignment horizontal="center" vertical="center"/>
    </xf>
    <xf numFmtId="41" fontId="15" fillId="25" borderId="1" xfId="0" applyNumberFormat="1" applyFont="1" applyFill="1" applyBorder="1" applyAlignment="1">
      <alignment horizontal="center" vertical="center" wrapText="1"/>
    </xf>
    <xf numFmtId="41" fontId="15" fillId="25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indent="1"/>
    </xf>
    <xf numFmtId="10" fontId="15" fillId="0" borderId="1" xfId="2" applyNumberFormat="1" applyFont="1" applyFill="1" applyBorder="1" applyAlignment="1">
      <alignment horizontal="center" vertical="center"/>
    </xf>
    <xf numFmtId="43" fontId="15" fillId="0" borderId="1" xfId="3" applyFont="1" applyFill="1" applyBorder="1" applyAlignment="1">
      <alignment vertical="center"/>
    </xf>
    <xf numFmtId="10" fontId="15" fillId="0" borderId="7" xfId="4" applyNumberFormat="1" applyFont="1" applyFill="1" applyBorder="1" applyAlignment="1">
      <alignment horizontal="center" vertical="center"/>
    </xf>
    <xf numFmtId="43" fontId="15" fillId="0" borderId="7" xfId="3" applyFont="1" applyFill="1" applyBorder="1" applyAlignment="1">
      <alignment vertical="center"/>
    </xf>
    <xf numFmtId="43" fontId="15" fillId="0" borderId="1" xfId="3" applyFont="1" applyFill="1" applyBorder="1" applyAlignment="1">
      <alignment horizontal="center" vertical="center"/>
    </xf>
    <xf numFmtId="0" fontId="15" fillId="0" borderId="7" xfId="3" applyNumberFormat="1" applyFont="1" applyFill="1" applyBorder="1" applyAlignment="1">
      <alignment horizontal="center" vertical="center"/>
    </xf>
    <xf numFmtId="9" fontId="15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0" fillId="27" borderId="0" xfId="0" applyFill="1"/>
    <xf numFmtId="0" fontId="17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18" fillId="27" borderId="0" xfId="0" applyFont="1" applyFill="1"/>
    <xf numFmtId="0" fontId="19" fillId="27" borderId="0" xfId="0" applyFont="1" applyFill="1" applyAlignment="1">
      <alignment vertical="center"/>
    </xf>
    <xf numFmtId="0" fontId="19" fillId="27" borderId="0" xfId="0" applyFont="1" applyFill="1"/>
    <xf numFmtId="0" fontId="20" fillId="0" borderId="8" xfId="0" applyFont="1" applyFill="1" applyBorder="1" applyAlignment="1">
      <alignment horizontal="center" vertical="center" wrapText="1"/>
    </xf>
    <xf numFmtId="0" fontId="19" fillId="27" borderId="8" xfId="0" applyFont="1" applyFill="1" applyBorder="1" applyAlignment="1">
      <alignment horizontal="center" vertical="center"/>
    </xf>
    <xf numFmtId="0" fontId="18" fillId="0" borderId="0" xfId="0" applyFont="1"/>
    <xf numFmtId="0" fontId="21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8" fillId="0" borderId="8" xfId="0" applyFont="1" applyFill="1" applyBorder="1" applyAlignment="1">
      <alignment horizontal="center" vertical="center"/>
    </xf>
    <xf numFmtId="0" fontId="18" fillId="27" borderId="8" xfId="0" applyFont="1" applyFill="1" applyBorder="1" applyAlignment="1">
      <alignment horizontal="center" vertical="center"/>
    </xf>
    <xf numFmtId="0" fontId="19" fillId="27" borderId="9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18" fillId="0" borderId="0" xfId="0" applyFont="1" applyFill="1"/>
    <xf numFmtId="0" fontId="18" fillId="0" borderId="8" xfId="0" applyFont="1" applyBorder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9" fontId="24" fillId="27" borderId="0" xfId="2" applyFont="1" applyFill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21" fillId="27" borderId="0" xfId="0" applyFont="1" applyFill="1" applyBorder="1" applyAlignment="1">
      <alignment vertical="center"/>
    </xf>
    <xf numFmtId="0" fontId="18" fillId="0" borderId="8" xfId="0" applyFont="1" applyFill="1" applyBorder="1" applyAlignment="1">
      <alignment vertical="center"/>
    </xf>
    <xf numFmtId="0" fontId="0" fillId="27" borderId="8" xfId="0" applyFill="1" applyBorder="1"/>
    <xf numFmtId="0" fontId="0" fillId="27" borderId="0" xfId="0" applyFill="1" applyBorder="1"/>
    <xf numFmtId="0" fontId="18" fillId="0" borderId="8" xfId="5" applyFont="1" applyFill="1" applyBorder="1" applyAlignment="1">
      <alignment vertical="center"/>
    </xf>
    <xf numFmtId="0" fontId="18" fillId="22" borderId="0" xfId="0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8" fillId="0" borderId="8" xfId="0" applyFont="1" applyFill="1" applyBorder="1"/>
    <xf numFmtId="0" fontId="18" fillId="27" borderId="0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vertical="center"/>
    </xf>
    <xf numFmtId="0" fontId="0" fillId="0" borderId="0" xfId="0" applyBorder="1"/>
    <xf numFmtId="0" fontId="28" fillId="29" borderId="11" xfId="0" applyFont="1" applyFill="1" applyBorder="1" applyAlignment="1">
      <alignment horizontal="center"/>
    </xf>
    <xf numFmtId="0" fontId="0" fillId="29" borderId="0" xfId="0" applyFill="1"/>
    <xf numFmtId="0" fontId="29" fillId="30" borderId="11" xfId="0" applyFont="1" applyFill="1" applyBorder="1" applyAlignment="1">
      <alignment horizontal="center"/>
    </xf>
    <xf numFmtId="0" fontId="4" fillId="29" borderId="8" xfId="0" applyFont="1" applyFill="1" applyBorder="1"/>
    <xf numFmtId="0" fontId="30" fillId="29" borderId="8" xfId="0" applyFont="1" applyFill="1" applyBorder="1" applyAlignment="1">
      <alignment vertical="center"/>
    </xf>
    <xf numFmtId="164" fontId="30" fillId="29" borderId="8" xfId="1" applyNumberFormat="1" applyFont="1" applyFill="1" applyBorder="1" applyAlignment="1">
      <alignment horizontal="center" vertical="center"/>
    </xf>
    <xf numFmtId="164" fontId="30" fillId="29" borderId="12" xfId="1" applyNumberFormat="1" applyFont="1" applyFill="1" applyBorder="1" applyAlignment="1">
      <alignment horizontal="center" vertical="center"/>
    </xf>
    <xf numFmtId="0" fontId="31" fillId="29" borderId="8" xfId="0" applyFont="1" applyFill="1" applyBorder="1"/>
    <xf numFmtId="164" fontId="22" fillId="27" borderId="8" xfId="1" applyNumberFormat="1" applyFont="1" applyFill="1" applyBorder="1" applyAlignment="1">
      <alignment horizontal="center" vertical="center"/>
    </xf>
    <xf numFmtId="164" fontId="22" fillId="0" borderId="8" xfId="1" applyNumberFormat="1" applyFont="1" applyFill="1" applyBorder="1" applyAlignment="1">
      <alignment horizontal="center" vertical="center"/>
    </xf>
    <xf numFmtId="164" fontId="22" fillId="0" borderId="12" xfId="1" applyNumberFormat="1" applyFont="1" applyFill="1" applyBorder="1" applyAlignment="1">
      <alignment horizontal="center" vertical="center"/>
    </xf>
    <xf numFmtId="164" fontId="32" fillId="0" borderId="12" xfId="1" applyNumberFormat="1" applyFont="1" applyFill="1" applyBorder="1" applyAlignment="1">
      <alignment horizontal="center" vertical="center"/>
    </xf>
    <xf numFmtId="164" fontId="22" fillId="0" borderId="8" xfId="0" applyNumberFormat="1" applyFont="1" applyFill="1" applyBorder="1" applyAlignment="1">
      <alignment horizontal="center" vertical="center"/>
    </xf>
    <xf numFmtId="0" fontId="33" fillId="0" borderId="8" xfId="0" applyFont="1" applyFill="1" applyBorder="1" applyAlignment="1">
      <alignment vertical="center"/>
    </xf>
    <xf numFmtId="164" fontId="22" fillId="0" borderId="8" xfId="1" applyNumberFormat="1" applyFont="1" applyFill="1" applyBorder="1" applyAlignment="1">
      <alignment horizontal="center" vertical="center" wrapText="1"/>
    </xf>
    <xf numFmtId="164" fontId="34" fillId="0" borderId="8" xfId="1" applyNumberFormat="1" applyFont="1" applyFill="1" applyBorder="1" applyAlignment="1">
      <alignment horizontal="center" vertical="center"/>
    </xf>
    <xf numFmtId="164" fontId="33" fillId="27" borderId="8" xfId="1" applyNumberFormat="1" applyFont="1" applyFill="1" applyBorder="1" applyAlignment="1">
      <alignment horizontal="center" vertical="center"/>
    </xf>
    <xf numFmtId="0" fontId="0" fillId="0" borderId="8" xfId="0" applyFont="1" applyBorder="1"/>
    <xf numFmtId="164" fontId="32" fillId="27" borderId="8" xfId="1" applyNumberFormat="1" applyFont="1" applyFill="1" applyBorder="1" applyAlignment="1">
      <alignment horizontal="center" vertical="center"/>
    </xf>
    <xf numFmtId="0" fontId="4" fillId="29" borderId="0" xfId="0" applyFont="1" applyFill="1" applyBorder="1"/>
    <xf numFmtId="0" fontId="30" fillId="29" borderId="0" xfId="0" applyFont="1" applyFill="1" applyBorder="1" applyAlignment="1">
      <alignment vertical="center"/>
    </xf>
    <xf numFmtId="164" fontId="30" fillId="29" borderId="0" xfId="1" applyNumberFormat="1" applyFont="1" applyFill="1" applyBorder="1" applyAlignment="1">
      <alignment horizontal="center" vertical="center"/>
    </xf>
    <xf numFmtId="164" fontId="35" fillId="0" borderId="13" xfId="1" applyNumberFormat="1" applyFont="1" applyFill="1" applyBorder="1" applyAlignment="1">
      <alignment horizontal="center" vertical="center"/>
    </xf>
    <xf numFmtId="164" fontId="35" fillId="0" borderId="14" xfId="1" applyNumberFormat="1" applyFont="1" applyFill="1" applyBorder="1" applyAlignment="1">
      <alignment horizontal="center" vertical="center"/>
    </xf>
    <xf numFmtId="0" fontId="0" fillId="11" borderId="15" xfId="0" applyFont="1" applyFill="1" applyBorder="1"/>
    <xf numFmtId="9" fontId="0" fillId="0" borderId="0" xfId="2" applyFont="1"/>
    <xf numFmtId="0" fontId="0" fillId="0" borderId="0" xfId="0" applyFont="1"/>
    <xf numFmtId="0" fontId="14" fillId="0" borderId="16" xfId="0" applyFont="1" applyBorder="1"/>
    <xf numFmtId="0" fontId="14" fillId="0" borderId="17" xfId="0" applyFont="1" applyBorder="1"/>
    <xf numFmtId="10" fontId="3" fillId="9" borderId="17" xfId="2" applyNumberFormat="1" applyFont="1" applyFill="1" applyBorder="1"/>
    <xf numFmtId="0" fontId="0" fillId="0" borderId="18" xfId="0" applyFont="1" applyBorder="1"/>
    <xf numFmtId="0" fontId="14" fillId="0" borderId="0" xfId="0" applyFo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11" borderId="0" xfId="0" applyFont="1" applyFill="1"/>
    <xf numFmtId="164" fontId="0" fillId="0" borderId="8" xfId="1" applyNumberFormat="1" applyFont="1" applyBorder="1"/>
    <xf numFmtId="164" fontId="0" fillId="0" borderId="8" xfId="0" applyNumberFormat="1" applyBorder="1"/>
    <xf numFmtId="164" fontId="1" fillId="0" borderId="8" xfId="1" applyNumberFormat="1" applyFon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11" borderId="0" xfId="2" applyNumberFormat="1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ont="1" applyFill="1" applyAlignment="1">
      <alignment horizontal="center"/>
    </xf>
  </cellXfs>
  <cellStyles count="1115">
    <cellStyle name="Comma" xfId="1" builtinId="3"/>
    <cellStyle name="Comma [0] 2" xfId="8"/>
    <cellStyle name="Comma [0] 2 2 2" xfId="9"/>
    <cellStyle name="Comma [0] 3" xfId="10"/>
    <cellStyle name="Comma 10" xfId="11"/>
    <cellStyle name="Comma 10 2" xfId="3"/>
    <cellStyle name="Comma 104" xfId="6"/>
    <cellStyle name="Comma 11" xfId="12"/>
    <cellStyle name="Comma 11 2" xfId="13"/>
    <cellStyle name="Comma 12" xfId="14"/>
    <cellStyle name="Comma 13" xfId="15"/>
    <cellStyle name="Comma 14" xfId="16"/>
    <cellStyle name="Comma 15" xfId="17"/>
    <cellStyle name="Comma 16" xfId="18"/>
    <cellStyle name="Comma 17" xfId="19"/>
    <cellStyle name="Comma 18" xfId="20"/>
    <cellStyle name="Comma 2" xfId="21"/>
    <cellStyle name="Comma 2 10" xfId="22"/>
    <cellStyle name="Comma 2 2" xfId="23"/>
    <cellStyle name="Comma 2 3" xfId="24"/>
    <cellStyle name="Comma 24 2" xfId="25"/>
    <cellStyle name="Comma 24 4" xfId="26"/>
    <cellStyle name="Comma 24 6" xfId="27"/>
    <cellStyle name="Comma 29" xfId="28"/>
    <cellStyle name="Comma 294" xfId="29"/>
    <cellStyle name="Comma 3" xfId="30"/>
    <cellStyle name="Comma 3 2" xfId="31"/>
    <cellStyle name="Comma 4" xfId="32"/>
    <cellStyle name="Comma 5" xfId="33"/>
    <cellStyle name="Comma 6" xfId="34"/>
    <cellStyle name="Comma 7" xfId="35"/>
    <cellStyle name="Comma 78 6" xfId="36"/>
    <cellStyle name="Comma 8" xfId="37"/>
    <cellStyle name="Comma 9" xfId="38"/>
    <cellStyle name="Hyperlink 2" xfId="39"/>
    <cellStyle name="Hyperlink 3" xfId="40"/>
    <cellStyle name="Hyperlink 4" xfId="41"/>
    <cellStyle name="Normal" xfId="0" builtinId="0"/>
    <cellStyle name="Normal 10" xfId="42"/>
    <cellStyle name="Normal 11" xfId="43"/>
    <cellStyle name="Normal 12" xfId="44"/>
    <cellStyle name="Normal 13" xfId="45"/>
    <cellStyle name="Normal 14" xfId="46"/>
    <cellStyle name="Normal 15" xfId="47"/>
    <cellStyle name="Normal 16" xfId="48"/>
    <cellStyle name="Normal 18" xfId="49"/>
    <cellStyle name="Normal 19" xfId="50"/>
    <cellStyle name="Normal 2" xfId="51"/>
    <cellStyle name="Normal 2 2" xfId="52"/>
    <cellStyle name="Normal 2 2 2" xfId="5"/>
    <cellStyle name="Normal 20" xfId="53"/>
    <cellStyle name="Normal 21" xfId="54"/>
    <cellStyle name="Normal 22" xfId="55"/>
    <cellStyle name="Normal 23" xfId="56"/>
    <cellStyle name="Normal 3" xfId="57"/>
    <cellStyle name="Normal 4" xfId="58"/>
    <cellStyle name="Normal 4 2" xfId="59"/>
    <cellStyle name="Normal 4 3" xfId="60"/>
    <cellStyle name="Normal 5" xfId="61"/>
    <cellStyle name="Normal 6" xfId="62"/>
    <cellStyle name="Normal 7" xfId="63"/>
    <cellStyle name="Normal 8" xfId="64"/>
    <cellStyle name="Normal 9" xfId="65"/>
    <cellStyle name="Percent" xfId="2" builtinId="5"/>
    <cellStyle name="Percent 2" xfId="66"/>
    <cellStyle name="Percent 3" xfId="67"/>
    <cellStyle name="Percent 4" xfId="4"/>
    <cellStyle name="S0" xfId="7"/>
    <cellStyle name="S0 10" xfId="68"/>
    <cellStyle name="S0 100" xfId="69"/>
    <cellStyle name="S0 101" xfId="70"/>
    <cellStyle name="S0 102" xfId="71"/>
    <cellStyle name="S0 103" xfId="72"/>
    <cellStyle name="S0 104" xfId="73"/>
    <cellStyle name="S0 105" xfId="74"/>
    <cellStyle name="S0 106" xfId="75"/>
    <cellStyle name="S0 107" xfId="76"/>
    <cellStyle name="S0 108" xfId="77"/>
    <cellStyle name="S0 109" xfId="78"/>
    <cellStyle name="S0 11" xfId="79"/>
    <cellStyle name="S0 110" xfId="80"/>
    <cellStyle name="S0 111" xfId="81"/>
    <cellStyle name="S0 112" xfId="82"/>
    <cellStyle name="S0 113" xfId="83"/>
    <cellStyle name="S0 114" xfId="84"/>
    <cellStyle name="S0 115" xfId="85"/>
    <cellStyle name="S0 116" xfId="86"/>
    <cellStyle name="S0 117" xfId="87"/>
    <cellStyle name="S0 118" xfId="88"/>
    <cellStyle name="S0 119" xfId="89"/>
    <cellStyle name="S0 12" xfId="90"/>
    <cellStyle name="S0 120" xfId="91"/>
    <cellStyle name="S0 121" xfId="92"/>
    <cellStyle name="S0 122" xfId="93"/>
    <cellStyle name="S0 123" xfId="94"/>
    <cellStyle name="S0 124" xfId="95"/>
    <cellStyle name="S0 125" xfId="96"/>
    <cellStyle name="S0 126" xfId="97"/>
    <cellStyle name="S0 127" xfId="98"/>
    <cellStyle name="S0 128" xfId="99"/>
    <cellStyle name="S0 129" xfId="100"/>
    <cellStyle name="S0 13" xfId="101"/>
    <cellStyle name="S0 130" xfId="102"/>
    <cellStyle name="S0 131" xfId="103"/>
    <cellStyle name="S0 132" xfId="104"/>
    <cellStyle name="S0 133" xfId="105"/>
    <cellStyle name="S0 134" xfId="106"/>
    <cellStyle name="S0 135" xfId="107"/>
    <cellStyle name="S0 136" xfId="108"/>
    <cellStyle name="S0 137" xfId="109"/>
    <cellStyle name="S0 138" xfId="110"/>
    <cellStyle name="S0 139" xfId="111"/>
    <cellStyle name="S0 14" xfId="112"/>
    <cellStyle name="S0 140" xfId="113"/>
    <cellStyle name="S0 141" xfId="114"/>
    <cellStyle name="S0 142" xfId="115"/>
    <cellStyle name="S0 143" xfId="116"/>
    <cellStyle name="S0 144" xfId="117"/>
    <cellStyle name="S0 145" xfId="118"/>
    <cellStyle name="S0 146" xfId="119"/>
    <cellStyle name="S0 147" xfId="120"/>
    <cellStyle name="S0 148" xfId="121"/>
    <cellStyle name="S0 149" xfId="122"/>
    <cellStyle name="S0 15" xfId="123"/>
    <cellStyle name="S0 150" xfId="124"/>
    <cellStyle name="S0 151" xfId="125"/>
    <cellStyle name="S0 152" xfId="126"/>
    <cellStyle name="S0 153" xfId="127"/>
    <cellStyle name="S0 154" xfId="128"/>
    <cellStyle name="S0 155" xfId="129"/>
    <cellStyle name="S0 156" xfId="130"/>
    <cellStyle name="S0 157" xfId="131"/>
    <cellStyle name="S0 158" xfId="132"/>
    <cellStyle name="S0 159" xfId="133"/>
    <cellStyle name="S0 16" xfId="134"/>
    <cellStyle name="S0 160" xfId="135"/>
    <cellStyle name="S0 161" xfId="136"/>
    <cellStyle name="S0 162" xfId="137"/>
    <cellStyle name="S0 163" xfId="138"/>
    <cellStyle name="S0 164" xfId="139"/>
    <cellStyle name="S0 165" xfId="140"/>
    <cellStyle name="S0 166" xfId="141"/>
    <cellStyle name="S0 167" xfId="142"/>
    <cellStyle name="S0 168" xfId="143"/>
    <cellStyle name="S0 169" xfId="144"/>
    <cellStyle name="S0 17" xfId="145"/>
    <cellStyle name="S0 170" xfId="146"/>
    <cellStyle name="S0 171" xfId="147"/>
    <cellStyle name="S0 172" xfId="148"/>
    <cellStyle name="S0 173" xfId="149"/>
    <cellStyle name="S0 174" xfId="150"/>
    <cellStyle name="S0 175" xfId="151"/>
    <cellStyle name="S0 176" xfId="152"/>
    <cellStyle name="S0 177" xfId="153"/>
    <cellStyle name="S0 178" xfId="154"/>
    <cellStyle name="S0 179" xfId="155"/>
    <cellStyle name="S0 18" xfId="156"/>
    <cellStyle name="S0 180" xfId="157"/>
    <cellStyle name="S0 181" xfId="158"/>
    <cellStyle name="S0 182" xfId="159"/>
    <cellStyle name="S0 183" xfId="160"/>
    <cellStyle name="S0 184" xfId="161"/>
    <cellStyle name="S0 185" xfId="162"/>
    <cellStyle name="S0 186" xfId="163"/>
    <cellStyle name="S0 187" xfId="164"/>
    <cellStyle name="S0 188" xfId="165"/>
    <cellStyle name="S0 189" xfId="166"/>
    <cellStyle name="S0 19" xfId="167"/>
    <cellStyle name="S0 190" xfId="168"/>
    <cellStyle name="S0 191" xfId="169"/>
    <cellStyle name="S0 192" xfId="170"/>
    <cellStyle name="S0 193" xfId="171"/>
    <cellStyle name="S0 194" xfId="172"/>
    <cellStyle name="S0 195" xfId="173"/>
    <cellStyle name="S0 196" xfId="174"/>
    <cellStyle name="S0 197" xfId="175"/>
    <cellStyle name="S0 198" xfId="176"/>
    <cellStyle name="S0 199" xfId="177"/>
    <cellStyle name="S0 2" xfId="178"/>
    <cellStyle name="S0 20" xfId="179"/>
    <cellStyle name="S0 200" xfId="180"/>
    <cellStyle name="S0 201" xfId="181"/>
    <cellStyle name="S0 202" xfId="182"/>
    <cellStyle name="S0 203" xfId="183"/>
    <cellStyle name="S0 204" xfId="184"/>
    <cellStyle name="S0 205" xfId="185"/>
    <cellStyle name="S0 206" xfId="186"/>
    <cellStyle name="S0 207" xfId="187"/>
    <cellStyle name="S0 208" xfId="188"/>
    <cellStyle name="S0 209" xfId="189"/>
    <cellStyle name="S0 21" xfId="190"/>
    <cellStyle name="S0 210" xfId="191"/>
    <cellStyle name="S0 211" xfId="192"/>
    <cellStyle name="S0 212" xfId="193"/>
    <cellStyle name="S0 213" xfId="194"/>
    <cellStyle name="S0 214" xfId="195"/>
    <cellStyle name="S0 215" xfId="196"/>
    <cellStyle name="S0 216" xfId="197"/>
    <cellStyle name="S0 217" xfId="198"/>
    <cellStyle name="S0 218" xfId="199"/>
    <cellStyle name="S0 219" xfId="200"/>
    <cellStyle name="S0 22" xfId="201"/>
    <cellStyle name="S0 220" xfId="202"/>
    <cellStyle name="S0 221" xfId="203"/>
    <cellStyle name="S0 222" xfId="204"/>
    <cellStyle name="S0 223" xfId="205"/>
    <cellStyle name="S0 224" xfId="206"/>
    <cellStyle name="S0 225" xfId="207"/>
    <cellStyle name="S0 226" xfId="208"/>
    <cellStyle name="S0 227" xfId="209"/>
    <cellStyle name="S0 228" xfId="210"/>
    <cellStyle name="S0 229" xfId="211"/>
    <cellStyle name="S0 23" xfId="212"/>
    <cellStyle name="S0 230" xfId="213"/>
    <cellStyle name="S0 231" xfId="214"/>
    <cellStyle name="S0 232" xfId="215"/>
    <cellStyle name="S0 233" xfId="216"/>
    <cellStyle name="S0 234" xfId="217"/>
    <cellStyle name="S0 235" xfId="218"/>
    <cellStyle name="S0 236" xfId="219"/>
    <cellStyle name="S0 237" xfId="220"/>
    <cellStyle name="S0 238" xfId="221"/>
    <cellStyle name="S0 239" xfId="222"/>
    <cellStyle name="S0 24" xfId="223"/>
    <cellStyle name="S0 240" xfId="224"/>
    <cellStyle name="S0 241" xfId="225"/>
    <cellStyle name="S0 242" xfId="226"/>
    <cellStyle name="S0 243" xfId="227"/>
    <cellStyle name="S0 244" xfId="228"/>
    <cellStyle name="S0 245" xfId="229"/>
    <cellStyle name="S0 246" xfId="230"/>
    <cellStyle name="S0 247" xfId="231"/>
    <cellStyle name="S0 248" xfId="232"/>
    <cellStyle name="S0 249" xfId="233"/>
    <cellStyle name="S0 25" xfId="234"/>
    <cellStyle name="S0 250" xfId="235"/>
    <cellStyle name="S0 251" xfId="236"/>
    <cellStyle name="S0 252" xfId="237"/>
    <cellStyle name="S0 253" xfId="238"/>
    <cellStyle name="S0 254" xfId="239"/>
    <cellStyle name="S0 255" xfId="240"/>
    <cellStyle name="S0 256" xfId="241"/>
    <cellStyle name="S0 257" xfId="242"/>
    <cellStyle name="S0 258" xfId="243"/>
    <cellStyle name="S0 259" xfId="244"/>
    <cellStyle name="S0 26" xfId="245"/>
    <cellStyle name="S0 260" xfId="246"/>
    <cellStyle name="S0 261" xfId="247"/>
    <cellStyle name="S0 262" xfId="248"/>
    <cellStyle name="S0 263" xfId="249"/>
    <cellStyle name="S0 264" xfId="250"/>
    <cellStyle name="S0 265" xfId="251"/>
    <cellStyle name="S0 266" xfId="252"/>
    <cellStyle name="S0 266 2" xfId="253"/>
    <cellStyle name="S0 267" xfId="254"/>
    <cellStyle name="S0 268" xfId="255"/>
    <cellStyle name="S0 27" xfId="256"/>
    <cellStyle name="S0 28" xfId="257"/>
    <cellStyle name="S0 29" xfId="258"/>
    <cellStyle name="S0 3" xfId="259"/>
    <cellStyle name="S0 30" xfId="260"/>
    <cellStyle name="S0 31" xfId="261"/>
    <cellStyle name="S0 32" xfId="262"/>
    <cellStyle name="S0 33" xfId="263"/>
    <cellStyle name="S0 34" xfId="264"/>
    <cellStyle name="S0 35" xfId="265"/>
    <cellStyle name="S0 36" xfId="266"/>
    <cellStyle name="S0 37" xfId="267"/>
    <cellStyle name="S0 38" xfId="268"/>
    <cellStyle name="S0 39" xfId="269"/>
    <cellStyle name="S0 4" xfId="270"/>
    <cellStyle name="S0 40" xfId="271"/>
    <cellStyle name="S0 41" xfId="272"/>
    <cellStyle name="S0 42" xfId="273"/>
    <cellStyle name="S0 43" xfId="274"/>
    <cellStyle name="S0 44" xfId="275"/>
    <cellStyle name="S0 45" xfId="276"/>
    <cellStyle name="S0 46" xfId="277"/>
    <cellStyle name="S0 47" xfId="278"/>
    <cellStyle name="S0 48" xfId="279"/>
    <cellStyle name="S0 49" xfId="280"/>
    <cellStyle name="S0 5" xfId="281"/>
    <cellStyle name="S0 50" xfId="282"/>
    <cellStyle name="S0 51" xfId="283"/>
    <cellStyle name="S0 52" xfId="284"/>
    <cellStyle name="S0 53" xfId="285"/>
    <cellStyle name="S0 54" xfId="286"/>
    <cellStyle name="S0 55" xfId="287"/>
    <cellStyle name="S0 56" xfId="288"/>
    <cellStyle name="S0 57" xfId="289"/>
    <cellStyle name="S0 58" xfId="290"/>
    <cellStyle name="S0 59" xfId="291"/>
    <cellStyle name="S0 6" xfId="292"/>
    <cellStyle name="S0 60" xfId="293"/>
    <cellStyle name="S0 61" xfId="294"/>
    <cellStyle name="S0 62" xfId="295"/>
    <cellStyle name="S0 63" xfId="296"/>
    <cellStyle name="S0 64" xfId="297"/>
    <cellStyle name="S0 65" xfId="298"/>
    <cellStyle name="S0 66" xfId="299"/>
    <cellStyle name="S0 67" xfId="300"/>
    <cellStyle name="S0 68" xfId="301"/>
    <cellStyle name="S0 69" xfId="302"/>
    <cellStyle name="S0 7" xfId="303"/>
    <cellStyle name="S0 70" xfId="304"/>
    <cellStyle name="S0 71" xfId="305"/>
    <cellStyle name="S0 72" xfId="306"/>
    <cellStyle name="S0 73" xfId="307"/>
    <cellStyle name="S0 74" xfId="308"/>
    <cellStyle name="S0 75" xfId="309"/>
    <cellStyle name="S0 76" xfId="310"/>
    <cellStyle name="S0 77" xfId="311"/>
    <cellStyle name="S0 78" xfId="312"/>
    <cellStyle name="S0 79" xfId="313"/>
    <cellStyle name="S0 8" xfId="314"/>
    <cellStyle name="S0 80" xfId="315"/>
    <cellStyle name="S0 81" xfId="316"/>
    <cellStyle name="S0 82" xfId="317"/>
    <cellStyle name="S0 83" xfId="318"/>
    <cellStyle name="S0 84" xfId="319"/>
    <cellStyle name="S0 85" xfId="320"/>
    <cellStyle name="S0 86" xfId="321"/>
    <cellStyle name="S0 87" xfId="322"/>
    <cellStyle name="S0 88" xfId="323"/>
    <cellStyle name="S0 89" xfId="324"/>
    <cellStyle name="S0 9" xfId="325"/>
    <cellStyle name="S0 90" xfId="326"/>
    <cellStyle name="S0 91" xfId="327"/>
    <cellStyle name="S0 92" xfId="328"/>
    <cellStyle name="S0 93" xfId="329"/>
    <cellStyle name="S0 94" xfId="330"/>
    <cellStyle name="S0 95" xfId="331"/>
    <cellStyle name="S0 96" xfId="332"/>
    <cellStyle name="S0 97" xfId="333"/>
    <cellStyle name="S0 98" xfId="334"/>
    <cellStyle name="S0 99" xfId="335"/>
    <cellStyle name="S0_Pembelian" xfId="336"/>
    <cellStyle name="S1" xfId="337"/>
    <cellStyle name="S1 10" xfId="338"/>
    <cellStyle name="S1 100" xfId="339"/>
    <cellStyle name="S1 101" xfId="340"/>
    <cellStyle name="S1 102" xfId="341"/>
    <cellStyle name="S1 103" xfId="342"/>
    <cellStyle name="S1 104" xfId="343"/>
    <cellStyle name="S1 105" xfId="344"/>
    <cellStyle name="S1 106" xfId="345"/>
    <cellStyle name="S1 107" xfId="346"/>
    <cellStyle name="S1 108" xfId="347"/>
    <cellStyle name="S1 109" xfId="348"/>
    <cellStyle name="S1 11" xfId="349"/>
    <cellStyle name="S1 110" xfId="350"/>
    <cellStyle name="S1 111" xfId="351"/>
    <cellStyle name="S1 112" xfId="352"/>
    <cellStyle name="S1 113" xfId="353"/>
    <cellStyle name="S1 114" xfId="354"/>
    <cellStyle name="S1 115" xfId="355"/>
    <cellStyle name="S1 116" xfId="356"/>
    <cellStyle name="S1 117" xfId="357"/>
    <cellStyle name="S1 118" xfId="358"/>
    <cellStyle name="S1 119" xfId="359"/>
    <cellStyle name="S1 12" xfId="360"/>
    <cellStyle name="S1 120" xfId="361"/>
    <cellStyle name="S1 121" xfId="362"/>
    <cellStyle name="S1 122" xfId="363"/>
    <cellStyle name="S1 123" xfId="364"/>
    <cellStyle name="S1 124" xfId="365"/>
    <cellStyle name="S1 125" xfId="366"/>
    <cellStyle name="S1 126" xfId="367"/>
    <cellStyle name="S1 127" xfId="368"/>
    <cellStyle name="S1 128" xfId="369"/>
    <cellStyle name="S1 129" xfId="370"/>
    <cellStyle name="S1 13" xfId="371"/>
    <cellStyle name="S1 130" xfId="372"/>
    <cellStyle name="S1 131" xfId="373"/>
    <cellStyle name="S1 132" xfId="374"/>
    <cellStyle name="S1 133" xfId="375"/>
    <cellStyle name="S1 134" xfId="376"/>
    <cellStyle name="S1 135" xfId="377"/>
    <cellStyle name="S1 136" xfId="378"/>
    <cellStyle name="S1 137" xfId="379"/>
    <cellStyle name="S1 138" xfId="380"/>
    <cellStyle name="S1 139" xfId="381"/>
    <cellStyle name="S1 14" xfId="382"/>
    <cellStyle name="S1 140" xfId="383"/>
    <cellStyle name="S1 141" xfId="384"/>
    <cellStyle name="S1 142" xfId="385"/>
    <cellStyle name="S1 143" xfId="386"/>
    <cellStyle name="S1 144" xfId="387"/>
    <cellStyle name="S1 145" xfId="388"/>
    <cellStyle name="S1 146" xfId="389"/>
    <cellStyle name="S1 147" xfId="390"/>
    <cellStyle name="S1 148" xfId="391"/>
    <cellStyle name="S1 149" xfId="392"/>
    <cellStyle name="S1 15" xfId="393"/>
    <cellStyle name="S1 150" xfId="394"/>
    <cellStyle name="S1 151" xfId="395"/>
    <cellStyle name="S1 152" xfId="396"/>
    <cellStyle name="S1 153" xfId="397"/>
    <cellStyle name="S1 154" xfId="398"/>
    <cellStyle name="S1 155" xfId="399"/>
    <cellStyle name="S1 156" xfId="400"/>
    <cellStyle name="S1 157" xfId="401"/>
    <cellStyle name="S1 158" xfId="402"/>
    <cellStyle name="S1 159" xfId="403"/>
    <cellStyle name="S1 16" xfId="404"/>
    <cellStyle name="S1 160" xfId="405"/>
    <cellStyle name="S1 161" xfId="406"/>
    <cellStyle name="S1 162" xfId="407"/>
    <cellStyle name="S1 163" xfId="408"/>
    <cellStyle name="S1 164" xfId="409"/>
    <cellStyle name="S1 165" xfId="410"/>
    <cellStyle name="S1 166" xfId="411"/>
    <cellStyle name="S1 167" xfId="412"/>
    <cellStyle name="S1 168" xfId="413"/>
    <cellStyle name="S1 169" xfId="414"/>
    <cellStyle name="S1 17" xfId="415"/>
    <cellStyle name="S1 170" xfId="416"/>
    <cellStyle name="S1 171" xfId="417"/>
    <cellStyle name="S1 172" xfId="418"/>
    <cellStyle name="S1 173" xfId="419"/>
    <cellStyle name="S1 174" xfId="420"/>
    <cellStyle name="S1 175" xfId="421"/>
    <cellStyle name="S1 176" xfId="422"/>
    <cellStyle name="S1 177" xfId="423"/>
    <cellStyle name="S1 178" xfId="424"/>
    <cellStyle name="S1 179" xfId="425"/>
    <cellStyle name="S1 18" xfId="426"/>
    <cellStyle name="S1 180" xfId="427"/>
    <cellStyle name="S1 181" xfId="428"/>
    <cellStyle name="S1 182" xfId="429"/>
    <cellStyle name="S1 183" xfId="430"/>
    <cellStyle name="S1 184" xfId="431"/>
    <cellStyle name="S1 185" xfId="432"/>
    <cellStyle name="S1 186" xfId="433"/>
    <cellStyle name="S1 187" xfId="434"/>
    <cellStyle name="S1 188" xfId="435"/>
    <cellStyle name="S1 189" xfId="436"/>
    <cellStyle name="S1 19" xfId="437"/>
    <cellStyle name="S1 190" xfId="438"/>
    <cellStyle name="S1 191" xfId="439"/>
    <cellStyle name="S1 192" xfId="440"/>
    <cellStyle name="S1 193" xfId="441"/>
    <cellStyle name="S1 194" xfId="442"/>
    <cellStyle name="S1 195" xfId="443"/>
    <cellStyle name="S1 196" xfId="444"/>
    <cellStyle name="S1 197" xfId="445"/>
    <cellStyle name="S1 198" xfId="446"/>
    <cellStyle name="S1 199" xfId="447"/>
    <cellStyle name="S1 2" xfId="448"/>
    <cellStyle name="S1 20" xfId="449"/>
    <cellStyle name="S1 200" xfId="450"/>
    <cellStyle name="S1 201" xfId="451"/>
    <cellStyle name="S1 202" xfId="452"/>
    <cellStyle name="S1 203" xfId="453"/>
    <cellStyle name="S1 204" xfId="454"/>
    <cellStyle name="S1 205" xfId="455"/>
    <cellStyle name="S1 206" xfId="456"/>
    <cellStyle name="S1 207" xfId="457"/>
    <cellStyle name="S1 208" xfId="458"/>
    <cellStyle name="S1 209" xfId="459"/>
    <cellStyle name="S1 21" xfId="460"/>
    <cellStyle name="S1 210" xfId="461"/>
    <cellStyle name="S1 211" xfId="462"/>
    <cellStyle name="S1 212" xfId="463"/>
    <cellStyle name="S1 213" xfId="464"/>
    <cellStyle name="S1 214" xfId="465"/>
    <cellStyle name="S1 215" xfId="466"/>
    <cellStyle name="S1 216" xfId="467"/>
    <cellStyle name="S1 217" xfId="468"/>
    <cellStyle name="S1 218" xfId="469"/>
    <cellStyle name="S1 219" xfId="470"/>
    <cellStyle name="S1 22" xfId="471"/>
    <cellStyle name="S1 220" xfId="472"/>
    <cellStyle name="S1 221" xfId="473"/>
    <cellStyle name="S1 222" xfId="474"/>
    <cellStyle name="S1 223" xfId="475"/>
    <cellStyle name="S1 224" xfId="476"/>
    <cellStyle name="S1 225" xfId="477"/>
    <cellStyle name="S1 226" xfId="478"/>
    <cellStyle name="S1 227" xfId="479"/>
    <cellStyle name="S1 228" xfId="480"/>
    <cellStyle name="S1 229" xfId="481"/>
    <cellStyle name="S1 23" xfId="482"/>
    <cellStyle name="S1 230" xfId="483"/>
    <cellStyle name="S1 231" xfId="484"/>
    <cellStyle name="S1 232" xfId="485"/>
    <cellStyle name="S1 233" xfId="486"/>
    <cellStyle name="S1 234" xfId="487"/>
    <cellStyle name="S1 235" xfId="488"/>
    <cellStyle name="S1 236" xfId="489"/>
    <cellStyle name="S1 237" xfId="490"/>
    <cellStyle name="S1 238" xfId="491"/>
    <cellStyle name="S1 239" xfId="492"/>
    <cellStyle name="S1 24" xfId="493"/>
    <cellStyle name="S1 240" xfId="494"/>
    <cellStyle name="S1 241" xfId="495"/>
    <cellStyle name="S1 242" xfId="496"/>
    <cellStyle name="S1 243" xfId="497"/>
    <cellStyle name="S1 244" xfId="498"/>
    <cellStyle name="S1 245" xfId="499"/>
    <cellStyle name="S1 246" xfId="500"/>
    <cellStyle name="S1 247" xfId="501"/>
    <cellStyle name="S1 248" xfId="502"/>
    <cellStyle name="S1 249" xfId="503"/>
    <cellStyle name="S1 25" xfId="504"/>
    <cellStyle name="S1 250" xfId="505"/>
    <cellStyle name="S1 251" xfId="506"/>
    <cellStyle name="S1 252" xfId="507"/>
    <cellStyle name="S1 253" xfId="508"/>
    <cellStyle name="S1 254" xfId="509"/>
    <cellStyle name="S1 255" xfId="510"/>
    <cellStyle name="S1 256" xfId="511"/>
    <cellStyle name="S1 257" xfId="512"/>
    <cellStyle name="S1 258" xfId="513"/>
    <cellStyle name="S1 259" xfId="514"/>
    <cellStyle name="S1 26" xfId="515"/>
    <cellStyle name="S1 260" xfId="516"/>
    <cellStyle name="S1 261" xfId="517"/>
    <cellStyle name="S1 262" xfId="518"/>
    <cellStyle name="S1 263" xfId="519"/>
    <cellStyle name="S1 264" xfId="520"/>
    <cellStyle name="S1 265" xfId="521"/>
    <cellStyle name="S1 265 2" xfId="522"/>
    <cellStyle name="S1 266" xfId="523"/>
    <cellStyle name="S1 267" xfId="524"/>
    <cellStyle name="S1 27" xfId="525"/>
    <cellStyle name="S1 28" xfId="526"/>
    <cellStyle name="S1 29" xfId="527"/>
    <cellStyle name="S1 3" xfId="528"/>
    <cellStyle name="S1 30" xfId="529"/>
    <cellStyle name="S1 31" xfId="530"/>
    <cellStyle name="S1 32" xfId="531"/>
    <cellStyle name="S1 33" xfId="532"/>
    <cellStyle name="S1 34" xfId="533"/>
    <cellStyle name="S1 35" xfId="534"/>
    <cellStyle name="S1 36" xfId="535"/>
    <cellStyle name="S1 37" xfId="536"/>
    <cellStyle name="S1 38" xfId="537"/>
    <cellStyle name="S1 39" xfId="538"/>
    <cellStyle name="S1 4" xfId="539"/>
    <cellStyle name="S1 40" xfId="540"/>
    <cellStyle name="S1 41" xfId="541"/>
    <cellStyle name="S1 42" xfId="542"/>
    <cellStyle name="S1 43" xfId="543"/>
    <cellStyle name="S1 44" xfId="544"/>
    <cellStyle name="S1 45" xfId="545"/>
    <cellStyle name="S1 46" xfId="546"/>
    <cellStyle name="S1 47" xfId="547"/>
    <cellStyle name="S1 48" xfId="548"/>
    <cellStyle name="S1 49" xfId="549"/>
    <cellStyle name="S1 5" xfId="550"/>
    <cellStyle name="S1 50" xfId="551"/>
    <cellStyle name="S1 51" xfId="552"/>
    <cellStyle name="S1 52" xfId="553"/>
    <cellStyle name="S1 53" xfId="554"/>
    <cellStyle name="S1 54" xfId="555"/>
    <cellStyle name="S1 55" xfId="556"/>
    <cellStyle name="S1 56" xfId="557"/>
    <cellStyle name="S1 57" xfId="558"/>
    <cellStyle name="S1 58" xfId="559"/>
    <cellStyle name="S1 59" xfId="560"/>
    <cellStyle name="S1 6" xfId="561"/>
    <cellStyle name="S1 60" xfId="562"/>
    <cellStyle name="S1 61" xfId="563"/>
    <cellStyle name="S1 62" xfId="564"/>
    <cellStyle name="S1 63" xfId="565"/>
    <cellStyle name="S1 64" xfId="566"/>
    <cellStyle name="S1 65" xfId="567"/>
    <cellStyle name="S1 66" xfId="568"/>
    <cellStyle name="S1 67" xfId="569"/>
    <cellStyle name="S1 68" xfId="570"/>
    <cellStyle name="S1 69" xfId="571"/>
    <cellStyle name="S1 7" xfId="572"/>
    <cellStyle name="S1 70" xfId="573"/>
    <cellStyle name="S1 71" xfId="574"/>
    <cellStyle name="S1 72" xfId="575"/>
    <cellStyle name="S1 73" xfId="576"/>
    <cellStyle name="S1 74" xfId="577"/>
    <cellStyle name="S1 75" xfId="578"/>
    <cellStyle name="S1 76" xfId="579"/>
    <cellStyle name="S1 77" xfId="580"/>
    <cellStyle name="S1 78" xfId="581"/>
    <cellStyle name="S1 79" xfId="582"/>
    <cellStyle name="S1 8" xfId="583"/>
    <cellStyle name="S1 80" xfId="584"/>
    <cellStyle name="S1 81" xfId="585"/>
    <cellStyle name="S1 82" xfId="586"/>
    <cellStyle name="S1 83" xfId="587"/>
    <cellStyle name="S1 84" xfId="588"/>
    <cellStyle name="S1 85" xfId="589"/>
    <cellStyle name="S1 86" xfId="590"/>
    <cellStyle name="S1 87" xfId="591"/>
    <cellStyle name="S1 88" xfId="592"/>
    <cellStyle name="S1 89" xfId="593"/>
    <cellStyle name="S1 9" xfId="594"/>
    <cellStyle name="S1 90" xfId="595"/>
    <cellStyle name="S1 91" xfId="596"/>
    <cellStyle name="S1 92" xfId="597"/>
    <cellStyle name="S1 93" xfId="598"/>
    <cellStyle name="S1 94" xfId="599"/>
    <cellStyle name="S1 95" xfId="600"/>
    <cellStyle name="S1 96" xfId="601"/>
    <cellStyle name="S1 97" xfId="602"/>
    <cellStyle name="S1 98" xfId="603"/>
    <cellStyle name="S1 99" xfId="604"/>
    <cellStyle name="S1_Pembelian" xfId="605"/>
    <cellStyle name="S10" xfId="606"/>
    <cellStyle name="S10 10" xfId="607"/>
    <cellStyle name="S10 11" xfId="608"/>
    <cellStyle name="S10 12" xfId="609"/>
    <cellStyle name="S10 13" xfId="610"/>
    <cellStyle name="S10 13 2" xfId="611"/>
    <cellStyle name="S10 14" xfId="612"/>
    <cellStyle name="S10 15" xfId="613"/>
    <cellStyle name="S10 16" xfId="614"/>
    <cellStyle name="S10 17" xfId="615"/>
    <cellStyle name="S10 18" xfId="616"/>
    <cellStyle name="S10 19" xfId="617"/>
    <cellStyle name="S10 2" xfId="618"/>
    <cellStyle name="S10 3" xfId="619"/>
    <cellStyle name="S10 3 2" xfId="620"/>
    <cellStyle name="S10 4" xfId="621"/>
    <cellStyle name="S10 5" xfId="622"/>
    <cellStyle name="S10 6" xfId="623"/>
    <cellStyle name="S10 7" xfId="624"/>
    <cellStyle name="S10 8" xfId="625"/>
    <cellStyle name="S10 9" xfId="626"/>
    <cellStyle name="S10_Pembelian" xfId="627"/>
    <cellStyle name="S11" xfId="628"/>
    <cellStyle name="S11 10" xfId="629"/>
    <cellStyle name="S11 10 2" xfId="630"/>
    <cellStyle name="S11 11" xfId="631"/>
    <cellStyle name="S11 12" xfId="632"/>
    <cellStyle name="S11 13" xfId="633"/>
    <cellStyle name="S11 14" xfId="634"/>
    <cellStyle name="S11 14 2" xfId="635"/>
    <cellStyle name="S11 15" xfId="636"/>
    <cellStyle name="S11 16" xfId="637"/>
    <cellStyle name="S11 2" xfId="638"/>
    <cellStyle name="S11 3" xfId="639"/>
    <cellStyle name="S11 3 2" xfId="640"/>
    <cellStyle name="S11 4" xfId="641"/>
    <cellStyle name="S11 5" xfId="642"/>
    <cellStyle name="S11 6" xfId="643"/>
    <cellStyle name="S11 7" xfId="644"/>
    <cellStyle name="S11 8" xfId="645"/>
    <cellStyle name="S11 9" xfId="646"/>
    <cellStyle name="S11_Pembelian" xfId="647"/>
    <cellStyle name="S12" xfId="648"/>
    <cellStyle name="S12 10" xfId="649"/>
    <cellStyle name="S12 11" xfId="650"/>
    <cellStyle name="S12 2" xfId="651"/>
    <cellStyle name="S12 3" xfId="652"/>
    <cellStyle name="S12 4" xfId="653"/>
    <cellStyle name="S12 5" xfId="654"/>
    <cellStyle name="S12 6" xfId="655"/>
    <cellStyle name="S12 6 2" xfId="656"/>
    <cellStyle name="S12 7" xfId="657"/>
    <cellStyle name="S12 8" xfId="658"/>
    <cellStyle name="S12 9" xfId="659"/>
    <cellStyle name="S12_Pembelian" xfId="660"/>
    <cellStyle name="S13" xfId="661"/>
    <cellStyle name="S13 10" xfId="662"/>
    <cellStyle name="S13 11" xfId="663"/>
    <cellStyle name="S13 12" xfId="664"/>
    <cellStyle name="S13 2" xfId="665"/>
    <cellStyle name="S13 3" xfId="666"/>
    <cellStyle name="S13 4" xfId="667"/>
    <cellStyle name="S13 4 2" xfId="668"/>
    <cellStyle name="S13 5" xfId="669"/>
    <cellStyle name="S13 6" xfId="670"/>
    <cellStyle name="S13 7" xfId="671"/>
    <cellStyle name="S13 7 2" xfId="672"/>
    <cellStyle name="S13 8" xfId="673"/>
    <cellStyle name="S13 9" xfId="674"/>
    <cellStyle name="S13_Pembelian" xfId="675"/>
    <cellStyle name="S14" xfId="676"/>
    <cellStyle name="S14 10" xfId="677"/>
    <cellStyle name="S14 2" xfId="678"/>
    <cellStyle name="S14 3" xfId="679"/>
    <cellStyle name="S14 3 2" xfId="680"/>
    <cellStyle name="S14 4" xfId="681"/>
    <cellStyle name="S14 5" xfId="682"/>
    <cellStyle name="S14 6" xfId="683"/>
    <cellStyle name="S14 7" xfId="684"/>
    <cellStyle name="S14 8" xfId="685"/>
    <cellStyle name="S14 9" xfId="686"/>
    <cellStyle name="S14_Pembelian" xfId="687"/>
    <cellStyle name="S15" xfId="688"/>
    <cellStyle name="S15 2" xfId="689"/>
    <cellStyle name="S15 3" xfId="690"/>
    <cellStyle name="S15 3 2" xfId="691"/>
    <cellStyle name="S15 4" xfId="692"/>
    <cellStyle name="S15 4 2" xfId="693"/>
    <cellStyle name="S15 5" xfId="694"/>
    <cellStyle name="S15 6" xfId="695"/>
    <cellStyle name="S15 7" xfId="696"/>
    <cellStyle name="S15_Pembelian" xfId="697"/>
    <cellStyle name="S16" xfId="698"/>
    <cellStyle name="S16 2" xfId="699"/>
    <cellStyle name="S16 3" xfId="700"/>
    <cellStyle name="S16 4" xfId="701"/>
    <cellStyle name="S16 5" xfId="702"/>
    <cellStyle name="S16 6" xfId="703"/>
    <cellStyle name="S16_Pembelian" xfId="704"/>
    <cellStyle name="S17" xfId="705"/>
    <cellStyle name="S17 2" xfId="706"/>
    <cellStyle name="S17 3" xfId="707"/>
    <cellStyle name="S17 4" xfId="708"/>
    <cellStyle name="S17_Pembelian" xfId="709"/>
    <cellStyle name="S18" xfId="710"/>
    <cellStyle name="S18 2" xfId="711"/>
    <cellStyle name="S18 3" xfId="712"/>
    <cellStyle name="S18 4" xfId="713"/>
    <cellStyle name="S18_Pembelian" xfId="714"/>
    <cellStyle name="S2" xfId="715"/>
    <cellStyle name="S2 10" xfId="716"/>
    <cellStyle name="S2 100" xfId="717"/>
    <cellStyle name="S2 101" xfId="718"/>
    <cellStyle name="S2 102" xfId="719"/>
    <cellStyle name="S2 103" xfId="720"/>
    <cellStyle name="S2 104" xfId="721"/>
    <cellStyle name="S2 105" xfId="722"/>
    <cellStyle name="S2 106" xfId="723"/>
    <cellStyle name="S2 107" xfId="724"/>
    <cellStyle name="S2 108" xfId="725"/>
    <cellStyle name="S2 109" xfId="726"/>
    <cellStyle name="S2 11" xfId="727"/>
    <cellStyle name="S2 110" xfId="728"/>
    <cellStyle name="S2 111" xfId="729"/>
    <cellStyle name="S2 112" xfId="730"/>
    <cellStyle name="S2 113" xfId="731"/>
    <cellStyle name="S2 114" xfId="732"/>
    <cellStyle name="S2 115" xfId="733"/>
    <cellStyle name="S2 116" xfId="734"/>
    <cellStyle name="S2 117" xfId="735"/>
    <cellStyle name="S2 118" xfId="736"/>
    <cellStyle name="S2 119" xfId="737"/>
    <cellStyle name="S2 12" xfId="738"/>
    <cellStyle name="S2 120" xfId="739"/>
    <cellStyle name="S2 121" xfId="740"/>
    <cellStyle name="S2 122" xfId="741"/>
    <cellStyle name="S2 123" xfId="742"/>
    <cellStyle name="S2 124" xfId="743"/>
    <cellStyle name="S2 125" xfId="744"/>
    <cellStyle name="S2 126" xfId="745"/>
    <cellStyle name="S2 127" xfId="746"/>
    <cellStyle name="S2 128" xfId="747"/>
    <cellStyle name="S2 129" xfId="748"/>
    <cellStyle name="S2 13" xfId="749"/>
    <cellStyle name="S2 130" xfId="750"/>
    <cellStyle name="S2 131" xfId="751"/>
    <cellStyle name="S2 132" xfId="752"/>
    <cellStyle name="S2 133" xfId="753"/>
    <cellStyle name="S2 134" xfId="754"/>
    <cellStyle name="S2 135" xfId="755"/>
    <cellStyle name="S2 136" xfId="756"/>
    <cellStyle name="S2 137" xfId="757"/>
    <cellStyle name="S2 138" xfId="758"/>
    <cellStyle name="S2 139" xfId="759"/>
    <cellStyle name="S2 14" xfId="760"/>
    <cellStyle name="S2 140" xfId="761"/>
    <cellStyle name="S2 141" xfId="762"/>
    <cellStyle name="S2 142" xfId="763"/>
    <cellStyle name="S2 143" xfId="764"/>
    <cellStyle name="S2 144" xfId="765"/>
    <cellStyle name="S2 145" xfId="766"/>
    <cellStyle name="S2 146" xfId="767"/>
    <cellStyle name="S2 147" xfId="768"/>
    <cellStyle name="S2 148" xfId="769"/>
    <cellStyle name="S2 149" xfId="770"/>
    <cellStyle name="S2 15" xfId="771"/>
    <cellStyle name="S2 150" xfId="772"/>
    <cellStyle name="S2 151" xfId="773"/>
    <cellStyle name="S2 152" xfId="774"/>
    <cellStyle name="S2 153" xfId="775"/>
    <cellStyle name="S2 154" xfId="776"/>
    <cellStyle name="S2 155" xfId="777"/>
    <cellStyle name="S2 156" xfId="778"/>
    <cellStyle name="S2 157" xfId="779"/>
    <cellStyle name="S2 158" xfId="780"/>
    <cellStyle name="S2 159" xfId="781"/>
    <cellStyle name="S2 16" xfId="782"/>
    <cellStyle name="S2 160" xfId="783"/>
    <cellStyle name="S2 161" xfId="784"/>
    <cellStyle name="S2 162" xfId="785"/>
    <cellStyle name="S2 163" xfId="786"/>
    <cellStyle name="S2 164" xfId="787"/>
    <cellStyle name="S2 165" xfId="788"/>
    <cellStyle name="S2 166" xfId="789"/>
    <cellStyle name="S2 167" xfId="790"/>
    <cellStyle name="S2 168" xfId="791"/>
    <cellStyle name="S2 169" xfId="792"/>
    <cellStyle name="S2 17" xfId="793"/>
    <cellStyle name="S2 170" xfId="794"/>
    <cellStyle name="S2 171" xfId="795"/>
    <cellStyle name="S2 172" xfId="796"/>
    <cellStyle name="S2 173" xfId="797"/>
    <cellStyle name="S2 174" xfId="798"/>
    <cellStyle name="S2 175" xfId="799"/>
    <cellStyle name="S2 176" xfId="800"/>
    <cellStyle name="S2 177" xfId="801"/>
    <cellStyle name="S2 178" xfId="802"/>
    <cellStyle name="S2 179" xfId="803"/>
    <cellStyle name="S2 18" xfId="804"/>
    <cellStyle name="S2 180" xfId="805"/>
    <cellStyle name="S2 181" xfId="806"/>
    <cellStyle name="S2 182" xfId="807"/>
    <cellStyle name="S2 183" xfId="808"/>
    <cellStyle name="S2 184" xfId="809"/>
    <cellStyle name="S2 185" xfId="810"/>
    <cellStyle name="S2 186" xfId="811"/>
    <cellStyle name="S2 187" xfId="812"/>
    <cellStyle name="S2 188" xfId="813"/>
    <cellStyle name="S2 189" xfId="814"/>
    <cellStyle name="S2 19" xfId="815"/>
    <cellStyle name="S2 190" xfId="816"/>
    <cellStyle name="S2 191" xfId="817"/>
    <cellStyle name="S2 192" xfId="818"/>
    <cellStyle name="S2 193" xfId="819"/>
    <cellStyle name="S2 194" xfId="820"/>
    <cellStyle name="S2 195" xfId="821"/>
    <cellStyle name="S2 196" xfId="822"/>
    <cellStyle name="S2 197" xfId="823"/>
    <cellStyle name="S2 198" xfId="824"/>
    <cellStyle name="S2 199" xfId="825"/>
    <cellStyle name="S2 2" xfId="826"/>
    <cellStyle name="S2 20" xfId="827"/>
    <cellStyle name="S2 200" xfId="828"/>
    <cellStyle name="S2 201" xfId="829"/>
    <cellStyle name="S2 202" xfId="830"/>
    <cellStyle name="S2 203" xfId="831"/>
    <cellStyle name="S2 204" xfId="832"/>
    <cellStyle name="S2 205" xfId="833"/>
    <cellStyle name="S2 206" xfId="834"/>
    <cellStyle name="S2 207" xfId="835"/>
    <cellStyle name="S2 208" xfId="836"/>
    <cellStyle name="S2 209" xfId="837"/>
    <cellStyle name="S2 21" xfId="838"/>
    <cellStyle name="S2 210" xfId="839"/>
    <cellStyle name="S2 211" xfId="840"/>
    <cellStyle name="S2 212" xfId="841"/>
    <cellStyle name="S2 213" xfId="842"/>
    <cellStyle name="S2 214" xfId="843"/>
    <cellStyle name="S2 215" xfId="844"/>
    <cellStyle name="S2 216" xfId="845"/>
    <cellStyle name="S2 217" xfId="846"/>
    <cellStyle name="S2 218" xfId="847"/>
    <cellStyle name="S2 219" xfId="848"/>
    <cellStyle name="S2 22" xfId="849"/>
    <cellStyle name="S2 220" xfId="850"/>
    <cellStyle name="S2 221" xfId="851"/>
    <cellStyle name="S2 222" xfId="852"/>
    <cellStyle name="S2 223" xfId="853"/>
    <cellStyle name="S2 224" xfId="854"/>
    <cellStyle name="S2 225" xfId="855"/>
    <cellStyle name="S2 226" xfId="856"/>
    <cellStyle name="S2 227" xfId="857"/>
    <cellStyle name="S2 228" xfId="858"/>
    <cellStyle name="S2 229" xfId="859"/>
    <cellStyle name="S2 23" xfId="860"/>
    <cellStyle name="S2 230" xfId="861"/>
    <cellStyle name="S2 231" xfId="862"/>
    <cellStyle name="S2 232" xfId="863"/>
    <cellStyle name="S2 233" xfId="864"/>
    <cellStyle name="S2 234" xfId="865"/>
    <cellStyle name="S2 235" xfId="866"/>
    <cellStyle name="S2 236" xfId="867"/>
    <cellStyle name="S2 237" xfId="868"/>
    <cellStyle name="S2 238" xfId="869"/>
    <cellStyle name="S2 239" xfId="870"/>
    <cellStyle name="S2 24" xfId="871"/>
    <cellStyle name="S2 240" xfId="872"/>
    <cellStyle name="S2 241" xfId="873"/>
    <cellStyle name="S2 242" xfId="874"/>
    <cellStyle name="S2 243" xfId="875"/>
    <cellStyle name="S2 244" xfId="876"/>
    <cellStyle name="S2 245" xfId="877"/>
    <cellStyle name="S2 246" xfId="878"/>
    <cellStyle name="S2 247" xfId="879"/>
    <cellStyle name="S2 248" xfId="880"/>
    <cellStyle name="S2 249" xfId="881"/>
    <cellStyle name="S2 25" xfId="882"/>
    <cellStyle name="S2 250" xfId="883"/>
    <cellStyle name="S2 251" xfId="884"/>
    <cellStyle name="S2 252" xfId="885"/>
    <cellStyle name="S2 253" xfId="886"/>
    <cellStyle name="S2 254" xfId="887"/>
    <cellStyle name="S2 255" xfId="888"/>
    <cellStyle name="S2 256" xfId="889"/>
    <cellStyle name="S2 257" xfId="890"/>
    <cellStyle name="S2 258" xfId="891"/>
    <cellStyle name="S2 259" xfId="892"/>
    <cellStyle name="S2 26" xfId="893"/>
    <cellStyle name="S2 260" xfId="894"/>
    <cellStyle name="S2 261" xfId="895"/>
    <cellStyle name="S2 262" xfId="896"/>
    <cellStyle name="S2 263" xfId="897"/>
    <cellStyle name="S2 264" xfId="898"/>
    <cellStyle name="S2 265" xfId="899"/>
    <cellStyle name="S2 265 2" xfId="900"/>
    <cellStyle name="S2 266" xfId="901"/>
    <cellStyle name="S2 267" xfId="902"/>
    <cellStyle name="S2 27" xfId="903"/>
    <cellStyle name="S2 28" xfId="904"/>
    <cellStyle name="S2 29" xfId="905"/>
    <cellStyle name="S2 3" xfId="906"/>
    <cellStyle name="S2 30" xfId="907"/>
    <cellStyle name="S2 31" xfId="908"/>
    <cellStyle name="S2 32" xfId="909"/>
    <cellStyle name="S2 33" xfId="910"/>
    <cellStyle name="S2 34" xfId="911"/>
    <cellStyle name="S2 35" xfId="912"/>
    <cellStyle name="S2 36" xfId="913"/>
    <cellStyle name="S2 37" xfId="914"/>
    <cellStyle name="S2 38" xfId="915"/>
    <cellStyle name="S2 39" xfId="916"/>
    <cellStyle name="S2 4" xfId="917"/>
    <cellStyle name="S2 40" xfId="918"/>
    <cellStyle name="S2 41" xfId="919"/>
    <cellStyle name="S2 42" xfId="920"/>
    <cellStyle name="S2 43" xfId="921"/>
    <cellStyle name="S2 44" xfId="922"/>
    <cellStyle name="S2 45" xfId="923"/>
    <cellStyle name="S2 46" xfId="924"/>
    <cellStyle name="S2 47" xfId="925"/>
    <cellStyle name="S2 48" xfId="926"/>
    <cellStyle name="S2 49" xfId="927"/>
    <cellStyle name="S2 5" xfId="928"/>
    <cellStyle name="S2 50" xfId="929"/>
    <cellStyle name="S2 51" xfId="930"/>
    <cellStyle name="S2 52" xfId="931"/>
    <cellStyle name="S2 53" xfId="932"/>
    <cellStyle name="S2 54" xfId="933"/>
    <cellStyle name="S2 55" xfId="934"/>
    <cellStyle name="S2 56" xfId="935"/>
    <cellStyle name="S2 57" xfId="936"/>
    <cellStyle name="S2 58" xfId="937"/>
    <cellStyle name="S2 59" xfId="938"/>
    <cellStyle name="S2 6" xfId="939"/>
    <cellStyle name="S2 60" xfId="940"/>
    <cellStyle name="S2 61" xfId="941"/>
    <cellStyle name="S2 62" xfId="942"/>
    <cellStyle name="S2 63" xfId="943"/>
    <cellStyle name="S2 64" xfId="944"/>
    <cellStyle name="S2 65" xfId="945"/>
    <cellStyle name="S2 66" xfId="946"/>
    <cellStyle name="S2 67" xfId="947"/>
    <cellStyle name="S2 68" xfId="948"/>
    <cellStyle name="S2 69" xfId="949"/>
    <cellStyle name="S2 7" xfId="950"/>
    <cellStyle name="S2 70" xfId="951"/>
    <cellStyle name="S2 71" xfId="952"/>
    <cellStyle name="S2 72" xfId="953"/>
    <cellStyle name="S2 73" xfId="954"/>
    <cellStyle name="S2 74" xfId="955"/>
    <cellStyle name="S2 75" xfId="956"/>
    <cellStyle name="S2 76" xfId="957"/>
    <cellStyle name="S2 77" xfId="958"/>
    <cellStyle name="S2 78" xfId="959"/>
    <cellStyle name="S2 79" xfId="960"/>
    <cellStyle name="S2 8" xfId="961"/>
    <cellStyle name="S2 80" xfId="962"/>
    <cellStyle name="S2 81" xfId="963"/>
    <cellStyle name="S2 82" xfId="964"/>
    <cellStyle name="S2 83" xfId="965"/>
    <cellStyle name="S2 84" xfId="966"/>
    <cellStyle name="S2 85" xfId="967"/>
    <cellStyle name="S2 86" xfId="968"/>
    <cellStyle name="S2 87" xfId="969"/>
    <cellStyle name="S2 88" xfId="970"/>
    <cellStyle name="S2 89" xfId="971"/>
    <cellStyle name="S2 9" xfId="972"/>
    <cellStyle name="S2 90" xfId="973"/>
    <cellStyle name="S2 91" xfId="974"/>
    <cellStyle name="S2 92" xfId="975"/>
    <cellStyle name="S2 93" xfId="976"/>
    <cellStyle name="S2 94" xfId="977"/>
    <cellStyle name="S2 95" xfId="978"/>
    <cellStyle name="S2 96" xfId="979"/>
    <cellStyle name="S2 97" xfId="980"/>
    <cellStyle name="S2 98" xfId="981"/>
    <cellStyle name="S2 99" xfId="982"/>
    <cellStyle name="S2_Pembelian" xfId="983"/>
    <cellStyle name="S3" xfId="984"/>
    <cellStyle name="S3 10" xfId="985"/>
    <cellStyle name="S3 11" xfId="986"/>
    <cellStyle name="S3 2" xfId="987"/>
    <cellStyle name="S3 3" xfId="988"/>
    <cellStyle name="S3 4" xfId="989"/>
    <cellStyle name="S3 5" xfId="990"/>
    <cellStyle name="S3 6" xfId="991"/>
    <cellStyle name="S3 7" xfId="992"/>
    <cellStyle name="S3 8" xfId="993"/>
    <cellStyle name="S3 9" xfId="994"/>
    <cellStyle name="S3 9 2" xfId="995"/>
    <cellStyle name="S3_Pembelian" xfId="996"/>
    <cellStyle name="S4" xfId="997"/>
    <cellStyle name="S4 10" xfId="998"/>
    <cellStyle name="S4 11" xfId="999"/>
    <cellStyle name="S4 12" xfId="1000"/>
    <cellStyle name="S4 12 2" xfId="1001"/>
    <cellStyle name="S4 13" xfId="1002"/>
    <cellStyle name="S4 14" xfId="1003"/>
    <cellStyle name="S4 14 2" xfId="1004"/>
    <cellStyle name="S4 15" xfId="1005"/>
    <cellStyle name="S4 16" xfId="1006"/>
    <cellStyle name="S4 19" xfId="1007"/>
    <cellStyle name="S4 2" xfId="1008"/>
    <cellStyle name="S4 3" xfId="1009"/>
    <cellStyle name="S4 4" xfId="1010"/>
    <cellStyle name="S4 5" xfId="1011"/>
    <cellStyle name="S4 6" xfId="1012"/>
    <cellStyle name="S4 7" xfId="1013"/>
    <cellStyle name="S4 8" xfId="1014"/>
    <cellStyle name="S4 9" xfId="1015"/>
    <cellStyle name="S4 9 2" xfId="1016"/>
    <cellStyle name="S4_Pembelian" xfId="1017"/>
    <cellStyle name="S5" xfId="1018"/>
    <cellStyle name="S5 10" xfId="1019"/>
    <cellStyle name="S5 10 2" xfId="1020"/>
    <cellStyle name="S5 11" xfId="1021"/>
    <cellStyle name="S5 12" xfId="1022"/>
    <cellStyle name="S5 13" xfId="1023"/>
    <cellStyle name="S5 19" xfId="1024"/>
    <cellStyle name="S5 2" xfId="1025"/>
    <cellStyle name="S5 2 2" xfId="1026"/>
    <cellStyle name="S5 3" xfId="1027"/>
    <cellStyle name="S5 3 2" xfId="1028"/>
    <cellStyle name="S5 4" xfId="1029"/>
    <cellStyle name="S5 5" xfId="1030"/>
    <cellStyle name="S5 6" xfId="1031"/>
    <cellStyle name="S5 7" xfId="1032"/>
    <cellStyle name="S5 8" xfId="1033"/>
    <cellStyle name="S5 9" xfId="1034"/>
    <cellStyle name="S5 9 2" xfId="1035"/>
    <cellStyle name="S5_Pembelian" xfId="1036"/>
    <cellStyle name="S6" xfId="1037"/>
    <cellStyle name="S6 10" xfId="1038"/>
    <cellStyle name="S6 11" xfId="1039"/>
    <cellStyle name="S6 11 2" xfId="1040"/>
    <cellStyle name="S6 12" xfId="1041"/>
    <cellStyle name="S6 13" xfId="1042"/>
    <cellStyle name="S6 13 2" xfId="1043"/>
    <cellStyle name="S6 14" xfId="1044"/>
    <cellStyle name="S6 15" xfId="1045"/>
    <cellStyle name="S6 16" xfId="1046"/>
    <cellStyle name="S6 17" xfId="1047"/>
    <cellStyle name="S6 18" xfId="1048"/>
    <cellStyle name="S6 2" xfId="1049"/>
    <cellStyle name="S6 3" xfId="1050"/>
    <cellStyle name="S6 4" xfId="1051"/>
    <cellStyle name="S6 5" xfId="1052"/>
    <cellStyle name="S6 6" xfId="1053"/>
    <cellStyle name="S6 7" xfId="1054"/>
    <cellStyle name="S6 8" xfId="1055"/>
    <cellStyle name="S6 9" xfId="1056"/>
    <cellStyle name="S6_Pembelian" xfId="1057"/>
    <cellStyle name="S7" xfId="1058"/>
    <cellStyle name="S7 10" xfId="1059"/>
    <cellStyle name="S7 10 2" xfId="1060"/>
    <cellStyle name="S7 11" xfId="1061"/>
    <cellStyle name="S7 12" xfId="1062"/>
    <cellStyle name="S7 12 2" xfId="1063"/>
    <cellStyle name="S7 13" xfId="1064"/>
    <cellStyle name="S7 14" xfId="1065"/>
    <cellStyle name="S7 15" xfId="1066"/>
    <cellStyle name="S7 16" xfId="1067"/>
    <cellStyle name="S7 19" xfId="1068"/>
    <cellStyle name="S7 19 2" xfId="1069"/>
    <cellStyle name="S7 2" xfId="1070"/>
    <cellStyle name="S7 3" xfId="1071"/>
    <cellStyle name="S7 4" xfId="1072"/>
    <cellStyle name="S7 5" xfId="1073"/>
    <cellStyle name="S7 6" xfId="1074"/>
    <cellStyle name="S7 7" xfId="1075"/>
    <cellStyle name="S7 8" xfId="1076"/>
    <cellStyle name="S7 9" xfId="1077"/>
    <cellStyle name="S7_Pembelian" xfId="1078"/>
    <cellStyle name="S8" xfId="1079"/>
    <cellStyle name="S8 10" xfId="1080"/>
    <cellStyle name="S8 11" xfId="1081"/>
    <cellStyle name="S8 12" xfId="1082"/>
    <cellStyle name="S8 13" xfId="1083"/>
    <cellStyle name="S8 14" xfId="1084"/>
    <cellStyle name="S8 2" xfId="1085"/>
    <cellStyle name="S8 3" xfId="1086"/>
    <cellStyle name="S8 4" xfId="1087"/>
    <cellStyle name="S8 5" xfId="1088"/>
    <cellStyle name="S8 5 2" xfId="1089"/>
    <cellStyle name="S8 6" xfId="1090"/>
    <cellStyle name="S8 7" xfId="1091"/>
    <cellStyle name="S8 8" xfId="1092"/>
    <cellStyle name="S8 9" xfId="1093"/>
    <cellStyle name="S8 9 2" xfId="1094"/>
    <cellStyle name="S8_Pembelian" xfId="1095"/>
    <cellStyle name="S9" xfId="1096"/>
    <cellStyle name="S9 10" xfId="1097"/>
    <cellStyle name="S9 11" xfId="1098"/>
    <cellStyle name="S9 11 2" xfId="1099"/>
    <cellStyle name="S9 12" xfId="1100"/>
    <cellStyle name="S9 13" xfId="1101"/>
    <cellStyle name="S9 14" xfId="1102"/>
    <cellStyle name="S9 15" xfId="1103"/>
    <cellStyle name="S9 16" xfId="1104"/>
    <cellStyle name="S9 17" xfId="1105"/>
    <cellStyle name="S9 2" xfId="1106"/>
    <cellStyle name="S9 3" xfId="1107"/>
    <cellStyle name="S9 4" xfId="1108"/>
    <cellStyle name="S9 5" xfId="1109"/>
    <cellStyle name="S9 6" xfId="1110"/>
    <cellStyle name="S9 7" xfId="1111"/>
    <cellStyle name="S9 8" xfId="1112"/>
    <cellStyle name="S9 9" xfId="1113"/>
    <cellStyle name="S9_Pembelian" xfId="1114"/>
  </cellStyles>
  <dxfs count="278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>
        <a:xfrm>
          <a:off x="80437" y="6700309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 b="1"/>
            <a:t>5</a:t>
          </a:r>
          <a:endParaRPr lang="en-US" sz="2000" b="1"/>
        </a:p>
      </xdr:txBody>
    </xdr:sp>
    <xdr:clientData/>
  </xdr:twoCellAnchor>
  <xdr:twoCellAnchor>
    <xdr:from>
      <xdr:col>0</xdr:col>
      <xdr:colOff>9525</xdr:colOff>
      <xdr:row>4</xdr:row>
      <xdr:rowOff>28575</xdr:rowOff>
    </xdr:from>
    <xdr:to>
      <xdr:col>0</xdr:col>
      <xdr:colOff>337609</xdr:colOff>
      <xdr:row>5</xdr:row>
      <xdr:rowOff>123825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>
        <a:xfrm>
          <a:off x="180975" y="67532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5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ovista/Simulasi/Simulasi%20OD%20Februar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1"/>
      <sheetName val="Sheet2"/>
    </sheetNames>
    <sheetDataSet>
      <sheetData sheetId="0">
        <row r="12">
          <cell r="E12" t="str">
            <v>Sido Muncul/Hosen</v>
          </cell>
          <cell r="I12">
            <v>4500000</v>
          </cell>
          <cell r="L12">
            <v>0</v>
          </cell>
          <cell r="M12">
            <v>4500000</v>
          </cell>
        </row>
        <row r="13">
          <cell r="E13" t="str">
            <v>Sido Muncul/Hosen</v>
          </cell>
          <cell r="I13">
            <v>3650000</v>
          </cell>
          <cell r="L13">
            <v>1000000</v>
          </cell>
          <cell r="M13">
            <v>2650000</v>
          </cell>
        </row>
        <row r="14">
          <cell r="E14" t="str">
            <v>Sobat Tani/Indra</v>
          </cell>
          <cell r="I14">
            <v>1880000</v>
          </cell>
          <cell r="L14">
            <v>0</v>
          </cell>
          <cell r="M14">
            <v>1880000</v>
          </cell>
        </row>
        <row r="15">
          <cell r="E15" t="str">
            <v>Sumber Makmur/Mahrus</v>
          </cell>
          <cell r="I15">
            <v>6500000</v>
          </cell>
          <cell r="L15">
            <v>6500000</v>
          </cell>
          <cell r="M15">
            <v>0</v>
          </cell>
        </row>
        <row r="16">
          <cell r="E16" t="str">
            <v>Abi Tani/Soleudin</v>
          </cell>
          <cell r="I16">
            <v>23200000</v>
          </cell>
          <cell r="L16">
            <v>10000000</v>
          </cell>
          <cell r="M16">
            <v>13200000</v>
          </cell>
        </row>
        <row r="17">
          <cell r="E17" t="str">
            <v>Semes Tani/Tomi</v>
          </cell>
          <cell r="I17">
            <v>1150000</v>
          </cell>
          <cell r="L17">
            <v>0</v>
          </cell>
          <cell r="M17">
            <v>1150000</v>
          </cell>
        </row>
        <row r="18">
          <cell r="E18" t="str">
            <v>Konco Tani/Hamdani</v>
          </cell>
          <cell r="I18">
            <v>1338000</v>
          </cell>
          <cell r="L18">
            <v>0</v>
          </cell>
          <cell r="M18">
            <v>1338000</v>
          </cell>
        </row>
        <row r="19">
          <cell r="E19" t="str">
            <v>Putri Rejeki/Saman</v>
          </cell>
          <cell r="I19">
            <v>1900000</v>
          </cell>
          <cell r="L19">
            <v>0</v>
          </cell>
          <cell r="M19">
            <v>1900000</v>
          </cell>
        </row>
        <row r="20">
          <cell r="L20">
            <v>0</v>
          </cell>
          <cell r="M20">
            <v>0</v>
          </cell>
        </row>
        <row r="21">
          <cell r="E21" t="str">
            <v>Delima, Toko/Nurhasan</v>
          </cell>
          <cell r="I21">
            <v>34160000</v>
          </cell>
          <cell r="L21">
            <v>34160000</v>
          </cell>
          <cell r="M21">
            <v>0</v>
          </cell>
        </row>
        <row r="22">
          <cell r="E22" t="str">
            <v>Sumber Pangan/Jainuri</v>
          </cell>
          <cell r="I22">
            <v>7339825</v>
          </cell>
          <cell r="L22">
            <v>7339825</v>
          </cell>
          <cell r="M22">
            <v>0</v>
          </cell>
        </row>
        <row r="23">
          <cell r="E23" t="str">
            <v>Sumber Pangan/Jainuri</v>
          </cell>
          <cell r="I23">
            <v>39050000</v>
          </cell>
          <cell r="L23">
            <v>39050000</v>
          </cell>
          <cell r="M23">
            <v>0</v>
          </cell>
        </row>
        <row r="24">
          <cell r="E24" t="str">
            <v>Delima, Toko/Nurhasan</v>
          </cell>
          <cell r="I24">
            <v>31150000</v>
          </cell>
          <cell r="L24">
            <v>31150000</v>
          </cell>
          <cell r="M24">
            <v>0</v>
          </cell>
        </row>
        <row r="25">
          <cell r="E25" t="str">
            <v>Delima, Toko/Nurhasan</v>
          </cell>
          <cell r="I25">
            <v>114000000</v>
          </cell>
          <cell r="L25">
            <v>114000000</v>
          </cell>
          <cell r="M25">
            <v>0</v>
          </cell>
        </row>
        <row r="26">
          <cell r="E26" t="str">
            <v>Sinar Tani/Nuruddin</v>
          </cell>
          <cell r="I26">
            <v>4800000</v>
          </cell>
          <cell r="L26">
            <v>4800000</v>
          </cell>
          <cell r="M26">
            <v>0</v>
          </cell>
        </row>
        <row r="27">
          <cell r="E27" t="str">
            <v>Sumber Pangan/Jainuri</v>
          </cell>
          <cell r="I27">
            <v>32000000</v>
          </cell>
          <cell r="L27">
            <v>32000000</v>
          </cell>
          <cell r="M27">
            <v>0</v>
          </cell>
        </row>
        <row r="28">
          <cell r="E28" t="str">
            <v>Delima, Toko/Nurhasan</v>
          </cell>
          <cell r="I28">
            <v>13440000</v>
          </cell>
          <cell r="L28">
            <v>0</v>
          </cell>
          <cell r="M28">
            <v>13440000</v>
          </cell>
        </row>
        <row r="29">
          <cell r="E29" t="str">
            <v>Delima, Toko/Nurhasan</v>
          </cell>
          <cell r="I29">
            <v>20500000</v>
          </cell>
          <cell r="L29">
            <v>20500000</v>
          </cell>
        </row>
        <row r="30">
          <cell r="E30" t="str">
            <v>Delima, Toko/Nurhasan</v>
          </cell>
          <cell r="I30">
            <v>83150000</v>
          </cell>
          <cell r="L30">
            <v>83150000</v>
          </cell>
          <cell r="M30">
            <v>0</v>
          </cell>
        </row>
        <row r="31">
          <cell r="E31" t="str">
            <v>Sumber Pangan/Jainuri</v>
          </cell>
          <cell r="I31">
            <v>23310000</v>
          </cell>
          <cell r="L31">
            <v>23310000</v>
          </cell>
          <cell r="M31">
            <v>0</v>
          </cell>
        </row>
        <row r="32">
          <cell r="E32" t="str">
            <v>Adam Jaya/Indah</v>
          </cell>
          <cell r="I32">
            <v>10480000</v>
          </cell>
          <cell r="L32">
            <v>2000000</v>
          </cell>
          <cell r="M32">
            <v>8480000</v>
          </cell>
        </row>
        <row r="33">
          <cell r="E33" t="str">
            <v>Adam Jaya/Indah</v>
          </cell>
          <cell r="I33">
            <v>6500000</v>
          </cell>
          <cell r="L33">
            <v>1000000</v>
          </cell>
          <cell r="M33">
            <v>5500000</v>
          </cell>
        </row>
        <row r="34">
          <cell r="E34" t="str">
            <v>Delima, Toko/Nurhasan</v>
          </cell>
          <cell r="I34">
            <v>52296000</v>
          </cell>
          <cell r="L34">
            <v>52296000</v>
          </cell>
          <cell r="M34">
            <v>0</v>
          </cell>
        </row>
        <row r="35">
          <cell r="E35" t="str">
            <v>Sumber Pangan/Jainuri</v>
          </cell>
          <cell r="I35">
            <v>97125000</v>
          </cell>
          <cell r="L35">
            <v>97125000</v>
          </cell>
          <cell r="M35">
            <v>0</v>
          </cell>
        </row>
        <row r="36">
          <cell r="E36" t="str">
            <v>Sumber Pangan/Jainuri</v>
          </cell>
          <cell r="I36">
            <v>130185000</v>
          </cell>
          <cell r="L36">
            <v>42000000</v>
          </cell>
          <cell r="M36">
            <v>88185000</v>
          </cell>
        </row>
        <row r="37">
          <cell r="E37" t="str">
            <v>Delima, Toko/Nurhasan</v>
          </cell>
          <cell r="I37">
            <v>43000000</v>
          </cell>
          <cell r="L37">
            <v>43000000</v>
          </cell>
          <cell r="M37">
            <v>0</v>
          </cell>
        </row>
        <row r="38">
          <cell r="E38" t="str">
            <v>Delima, Toko/Nurhasan</v>
          </cell>
          <cell r="I38">
            <v>4000000</v>
          </cell>
          <cell r="L38">
            <v>4000000</v>
          </cell>
          <cell r="M38">
            <v>0</v>
          </cell>
        </row>
        <row r="39">
          <cell r="E39" t="str">
            <v>Delima, Toko/Nurhasan</v>
          </cell>
          <cell r="I39">
            <v>1720000</v>
          </cell>
          <cell r="L39">
            <v>1720000</v>
          </cell>
          <cell r="M39">
            <v>0</v>
          </cell>
        </row>
        <row r="40">
          <cell r="E40" t="str">
            <v>Sumber Makmur/Mahrus</v>
          </cell>
          <cell r="I40">
            <v>6732800</v>
          </cell>
          <cell r="L40">
            <v>6732800</v>
          </cell>
          <cell r="M40">
            <v>0</v>
          </cell>
        </row>
        <row r="41">
          <cell r="E41" t="str">
            <v>Sumber Makmur/Mahrus</v>
          </cell>
          <cell r="I41">
            <v>4400000</v>
          </cell>
          <cell r="L41">
            <v>0</v>
          </cell>
          <cell r="M41">
            <v>4400000</v>
          </cell>
        </row>
        <row r="42">
          <cell r="E42" t="str">
            <v>Sumber Pangan/Jainuri</v>
          </cell>
          <cell r="I42">
            <v>32190000</v>
          </cell>
          <cell r="L42">
            <v>0</v>
          </cell>
          <cell r="M42">
            <v>32190000</v>
          </cell>
        </row>
        <row r="43">
          <cell r="E43" t="str">
            <v>Sumber Makmur/Mahrus</v>
          </cell>
          <cell r="I43">
            <v>13000000</v>
          </cell>
          <cell r="L43">
            <v>0</v>
          </cell>
          <cell r="M43">
            <v>13000000</v>
          </cell>
        </row>
        <row r="44">
          <cell r="E44" t="str">
            <v>Sukses Sejahtera</v>
          </cell>
          <cell r="I44">
            <v>775450</v>
          </cell>
          <cell r="L44">
            <v>775450</v>
          </cell>
          <cell r="M44">
            <v>0</v>
          </cell>
        </row>
        <row r="45">
          <cell r="E45" t="str">
            <v>Delima, Toko/Nurhasan</v>
          </cell>
          <cell r="I45">
            <v>7034000</v>
          </cell>
          <cell r="L45">
            <v>7034000</v>
          </cell>
          <cell r="M45">
            <v>0</v>
          </cell>
        </row>
        <row r="46">
          <cell r="E46" t="str">
            <v>Delima, Toko/Nurhasan</v>
          </cell>
          <cell r="I46">
            <v>114000000</v>
          </cell>
          <cell r="L46">
            <v>7000000</v>
          </cell>
          <cell r="M46">
            <v>107000000</v>
          </cell>
        </row>
        <row r="47">
          <cell r="E47" t="str">
            <v>Tani Barokah/Salim</v>
          </cell>
          <cell r="I47">
            <v>9608400</v>
          </cell>
          <cell r="L47">
            <v>9608400</v>
          </cell>
          <cell r="M47">
            <v>0</v>
          </cell>
        </row>
        <row r="48">
          <cell r="E48" t="str">
            <v>Delima, Toko/Nurhasan</v>
          </cell>
          <cell r="I48">
            <v>6000000</v>
          </cell>
          <cell r="L48">
            <v>6000000</v>
          </cell>
          <cell r="M48">
            <v>0</v>
          </cell>
        </row>
        <row r="49">
          <cell r="E49" t="str">
            <v>Sumber Makmur/Mahrus</v>
          </cell>
          <cell r="I49">
            <v>5675000</v>
          </cell>
          <cell r="L49">
            <v>0</v>
          </cell>
          <cell r="M49">
            <v>5675000</v>
          </cell>
        </row>
        <row r="50">
          <cell r="E50" t="str">
            <v>Sumber Pangan/Jainuri</v>
          </cell>
          <cell r="I50">
            <v>27750000</v>
          </cell>
          <cell r="L50">
            <v>0</v>
          </cell>
        </row>
        <row r="51">
          <cell r="E51" t="str">
            <v>Delima, Toko/Nurhasan</v>
          </cell>
          <cell r="I51">
            <v>18400000</v>
          </cell>
          <cell r="L51">
            <v>0</v>
          </cell>
        </row>
        <row r="52">
          <cell r="E52" t="str">
            <v>Delima, Toko/Nurhasan</v>
          </cell>
          <cell r="I52">
            <v>2880000</v>
          </cell>
          <cell r="L52">
            <v>2880000</v>
          </cell>
          <cell r="M52">
            <v>0</v>
          </cell>
        </row>
        <row r="53">
          <cell r="E53" t="str">
            <v>Delima, Toko/Nurhasan</v>
          </cell>
          <cell r="I53">
            <v>14750000</v>
          </cell>
          <cell r="L53">
            <v>0</v>
          </cell>
          <cell r="M53">
            <v>14750000</v>
          </cell>
        </row>
        <row r="54">
          <cell r="E54" t="str">
            <v>Delima, Toko/Nurhasan</v>
          </cell>
          <cell r="I54">
            <v>60000000</v>
          </cell>
          <cell r="L54">
            <v>0</v>
          </cell>
          <cell r="M54">
            <v>60000000</v>
          </cell>
        </row>
        <row r="55">
          <cell r="E55" t="str">
            <v>Sukses Sejahtera</v>
          </cell>
          <cell r="I55">
            <v>8540000</v>
          </cell>
          <cell r="L55">
            <v>8540000</v>
          </cell>
          <cell r="M55">
            <v>0</v>
          </cell>
        </row>
        <row r="56">
          <cell r="E56" t="str">
            <v>Delima, Toko/Nurhasan</v>
          </cell>
          <cell r="I56">
            <v>3360000</v>
          </cell>
          <cell r="L56">
            <v>0</v>
          </cell>
          <cell r="M56">
            <v>3360000</v>
          </cell>
        </row>
        <row r="57">
          <cell r="E57" t="str">
            <v>Delima, Toko/Nurhasan</v>
          </cell>
          <cell r="I57">
            <v>47040000</v>
          </cell>
          <cell r="L57">
            <v>0</v>
          </cell>
          <cell r="M57">
            <v>47040000</v>
          </cell>
        </row>
        <row r="58">
          <cell r="E58" t="str">
            <v>Delima, Toko/Nurhasan</v>
          </cell>
          <cell r="I58">
            <v>20650000</v>
          </cell>
          <cell r="L58">
            <v>0</v>
          </cell>
          <cell r="M58">
            <v>20650000</v>
          </cell>
        </row>
        <row r="59">
          <cell r="E59" t="str">
            <v>Sumber Pangan/Jainuri</v>
          </cell>
          <cell r="I59">
            <v>48525000</v>
          </cell>
          <cell r="L59">
            <v>1175175</v>
          </cell>
          <cell r="M59">
            <v>47349825</v>
          </cell>
        </row>
        <row r="60">
          <cell r="E60" t="str">
            <v>Tani Maju/Aris</v>
          </cell>
          <cell r="I60">
            <v>15500</v>
          </cell>
          <cell r="L60">
            <v>15500</v>
          </cell>
          <cell r="M60">
            <v>0</v>
          </cell>
        </row>
        <row r="61">
          <cell r="E61" t="str">
            <v>Abi Tani/Soleudin</v>
          </cell>
          <cell r="I61">
            <v>28420000</v>
          </cell>
          <cell r="L61">
            <v>28420000</v>
          </cell>
          <cell r="M61">
            <v>0</v>
          </cell>
        </row>
        <row r="62">
          <cell r="E62" t="str">
            <v>Delima, Toko/Nurhasan</v>
          </cell>
          <cell r="I62">
            <v>21550000</v>
          </cell>
          <cell r="L62">
            <v>0</v>
          </cell>
          <cell r="M62">
            <v>21550000</v>
          </cell>
        </row>
        <row r="63">
          <cell r="E63" t="str">
            <v>Sumber Pangan/Jainuri</v>
          </cell>
          <cell r="I63">
            <v>324000000</v>
          </cell>
          <cell r="L63">
            <v>0</v>
          </cell>
          <cell r="M63">
            <v>324000000</v>
          </cell>
        </row>
        <row r="64">
          <cell r="E64" t="str">
            <v>Tani Barokah/Salim</v>
          </cell>
          <cell r="I64">
            <v>1920000</v>
          </cell>
          <cell r="L64">
            <v>1920000</v>
          </cell>
          <cell r="M64">
            <v>0</v>
          </cell>
        </row>
        <row r="65">
          <cell r="E65" t="str">
            <v>Delima, Toko/Nurhasan</v>
          </cell>
          <cell r="I65">
            <v>30240000</v>
          </cell>
          <cell r="L65">
            <v>0</v>
          </cell>
          <cell r="M65">
            <v>30240000</v>
          </cell>
        </row>
        <row r="66">
          <cell r="E66" t="str">
            <v>Delima, Toko/Nurhasan</v>
          </cell>
          <cell r="I66">
            <v>6600000</v>
          </cell>
          <cell r="L66">
            <v>0</v>
          </cell>
          <cell r="M66">
            <v>6600000</v>
          </cell>
        </row>
        <row r="67">
          <cell r="E67" t="str">
            <v>Tani Jaya, UD/Choiri</v>
          </cell>
          <cell r="I67">
            <v>5000000</v>
          </cell>
          <cell r="L67">
            <v>5000000</v>
          </cell>
          <cell r="M67">
            <v>0</v>
          </cell>
        </row>
        <row r="68">
          <cell r="E68" t="str">
            <v>Tani Jaya, UD/Choiri</v>
          </cell>
          <cell r="I68">
            <v>8155000</v>
          </cell>
          <cell r="L68">
            <v>8155000</v>
          </cell>
          <cell r="M68">
            <v>0</v>
          </cell>
        </row>
        <row r="69">
          <cell r="E69" t="str">
            <v>Delima, Toko/Nurhasan</v>
          </cell>
          <cell r="I69">
            <v>14750000</v>
          </cell>
          <cell r="L69">
            <v>0</v>
          </cell>
          <cell r="M69">
            <v>14750000</v>
          </cell>
        </row>
        <row r="70">
          <cell r="E70" t="str">
            <v>Tani Barokah/Salim</v>
          </cell>
          <cell r="I70">
            <v>9671500</v>
          </cell>
          <cell r="L70">
            <v>9671500</v>
          </cell>
          <cell r="M70">
            <v>0</v>
          </cell>
        </row>
        <row r="71">
          <cell r="E71" t="str">
            <v>Wukir Sari</v>
          </cell>
          <cell r="I71">
            <v>900000</v>
          </cell>
          <cell r="L71">
            <v>900000</v>
          </cell>
          <cell r="M71">
            <v>0</v>
          </cell>
        </row>
        <row r="72">
          <cell r="E72" t="str">
            <v>Delima, Toko/Nurhasan</v>
          </cell>
          <cell r="I72">
            <v>84800000</v>
          </cell>
          <cell r="L72">
            <v>0</v>
          </cell>
          <cell r="M72">
            <v>84800000</v>
          </cell>
        </row>
        <row r="73">
          <cell r="E73" t="str">
            <v>Delima, Toko/Nurhasan</v>
          </cell>
          <cell r="I73">
            <v>114000000</v>
          </cell>
          <cell r="L73">
            <v>0</v>
          </cell>
          <cell r="M73">
            <v>114000000</v>
          </cell>
        </row>
        <row r="74">
          <cell r="E74" t="str">
            <v>Delima, Toko/Nurhasan</v>
          </cell>
          <cell r="I74">
            <v>54270000</v>
          </cell>
          <cell r="L74">
            <v>0</v>
          </cell>
          <cell r="M74">
            <v>54270000</v>
          </cell>
        </row>
        <row r="75">
          <cell r="E75" t="str">
            <v>Tani Barokah/Salim</v>
          </cell>
          <cell r="I75">
            <v>4087500</v>
          </cell>
          <cell r="L75">
            <v>4087500</v>
          </cell>
          <cell r="M75">
            <v>0</v>
          </cell>
        </row>
        <row r="76">
          <cell r="E76" t="str">
            <v>Sumber Makmur/Mahrus</v>
          </cell>
          <cell r="I76">
            <v>1750000</v>
          </cell>
          <cell r="L76">
            <v>1750000</v>
          </cell>
          <cell r="M76">
            <v>0</v>
          </cell>
        </row>
        <row r="77">
          <cell r="E77" t="str">
            <v>Delima, Toko/Nurhasan</v>
          </cell>
          <cell r="I77">
            <v>3430000</v>
          </cell>
          <cell r="L77">
            <v>0</v>
          </cell>
          <cell r="M77">
            <v>3430000</v>
          </cell>
        </row>
        <row r="78">
          <cell r="E78" t="str">
            <v>Mantab Jaya/Andiya</v>
          </cell>
          <cell r="I78">
            <v>12760000</v>
          </cell>
          <cell r="L78">
            <v>12760000</v>
          </cell>
          <cell r="M78">
            <v>0</v>
          </cell>
        </row>
        <row r="79">
          <cell r="E79" t="str">
            <v>Shijaya Tani/Hendrik</v>
          </cell>
          <cell r="I79">
            <v>1680000</v>
          </cell>
          <cell r="L79">
            <v>1680000</v>
          </cell>
          <cell r="M79">
            <v>0</v>
          </cell>
        </row>
        <row r="80">
          <cell r="E80" t="str">
            <v>Agro Tani Mandiri</v>
          </cell>
          <cell r="I80">
            <v>2120000</v>
          </cell>
          <cell r="L80">
            <v>2120000</v>
          </cell>
          <cell r="M80">
            <v>0</v>
          </cell>
        </row>
        <row r="81">
          <cell r="E81" t="str">
            <v>Delima, Toko/Nurhasan</v>
          </cell>
          <cell r="I81">
            <v>38760000</v>
          </cell>
          <cell r="L81">
            <v>0</v>
          </cell>
          <cell r="M81">
            <v>38760000</v>
          </cell>
        </row>
        <row r="82">
          <cell r="E82" t="str">
            <v>Sumber Makmur/Mahrus</v>
          </cell>
          <cell r="I82">
            <v>9000000</v>
          </cell>
          <cell r="L82">
            <v>0</v>
          </cell>
          <cell r="M82">
            <v>9000000</v>
          </cell>
        </row>
        <row r="83">
          <cell r="E83" t="str">
            <v>Wukir Sari</v>
          </cell>
          <cell r="I83">
            <v>1720000</v>
          </cell>
          <cell r="L83">
            <v>1720000</v>
          </cell>
          <cell r="M83">
            <v>0</v>
          </cell>
        </row>
        <row r="84">
          <cell r="E84" t="str">
            <v>Jaya Utama, CV</v>
          </cell>
          <cell r="I84">
            <v>5472000</v>
          </cell>
          <cell r="L84">
            <v>5472000</v>
          </cell>
        </row>
        <row r="85">
          <cell r="E85" t="str">
            <v>Barokah Tani, UD/Sutrisno</v>
          </cell>
          <cell r="I85">
            <v>53240000</v>
          </cell>
          <cell r="L85">
            <v>0</v>
          </cell>
          <cell r="M85">
            <v>53240000</v>
          </cell>
        </row>
        <row r="86">
          <cell r="E86" t="str">
            <v>Delima, Toko/Nurhasan</v>
          </cell>
          <cell r="I86">
            <v>4400000</v>
          </cell>
          <cell r="L86">
            <v>0</v>
          </cell>
          <cell r="M86">
            <v>4400000</v>
          </cell>
        </row>
        <row r="87">
          <cell r="E87" t="str">
            <v>Putra Tani/Bayu</v>
          </cell>
          <cell r="I87">
            <v>8078750</v>
          </cell>
          <cell r="L87">
            <v>8078750</v>
          </cell>
          <cell r="M87">
            <v>0</v>
          </cell>
        </row>
        <row r="88">
          <cell r="E88" t="str">
            <v>Sukses Sejahtera</v>
          </cell>
          <cell r="I88">
            <v>1000000</v>
          </cell>
          <cell r="L88">
            <v>134550</v>
          </cell>
          <cell r="M88">
            <v>865450</v>
          </cell>
        </row>
        <row r="89">
          <cell r="E89" t="str">
            <v>Sumber Makmur/Mahrus</v>
          </cell>
          <cell r="I89">
            <v>2720000</v>
          </cell>
          <cell r="L89">
            <v>2720000</v>
          </cell>
          <cell r="M89">
            <v>0</v>
          </cell>
        </row>
        <row r="90">
          <cell r="E90" t="str">
            <v>Tani Barokah/Salim</v>
          </cell>
          <cell r="I90">
            <v>30680000</v>
          </cell>
          <cell r="L90">
            <v>14712600</v>
          </cell>
          <cell r="M90">
            <v>15967400</v>
          </cell>
        </row>
        <row r="91">
          <cell r="E91" t="str">
            <v>Tani Barokah/Salim</v>
          </cell>
          <cell r="I91">
            <v>1200000</v>
          </cell>
          <cell r="L91">
            <v>0</v>
          </cell>
          <cell r="M91">
            <v>1200000</v>
          </cell>
        </row>
        <row r="92">
          <cell r="E92" t="str">
            <v>Surya Tani/Ari</v>
          </cell>
          <cell r="I92">
            <v>6560000</v>
          </cell>
          <cell r="L92">
            <v>2000000</v>
          </cell>
          <cell r="M92">
            <v>4560000</v>
          </cell>
        </row>
        <row r="93">
          <cell r="E93" t="str">
            <v>Barokah Tani, UD/Sutrisno</v>
          </cell>
          <cell r="I93">
            <v>87187500</v>
          </cell>
          <cell r="L93">
            <v>0</v>
          </cell>
          <cell r="M93">
            <v>87187500</v>
          </cell>
        </row>
        <row r="94">
          <cell r="E94" t="str">
            <v>Barokah Tani, UD/Sutrisno</v>
          </cell>
          <cell r="I94">
            <v>164000000</v>
          </cell>
          <cell r="L94">
            <v>0</v>
          </cell>
          <cell r="M94">
            <v>164000000</v>
          </cell>
        </row>
        <row r="95">
          <cell r="E95" t="str">
            <v>Delima, Toko/Nurhasan</v>
          </cell>
          <cell r="I95">
            <v>9800000</v>
          </cell>
          <cell r="L95">
            <v>0</v>
          </cell>
          <cell r="M95">
            <v>9800000</v>
          </cell>
        </row>
        <row r="96">
          <cell r="E96" t="str">
            <v>Sumber Barokah, UD</v>
          </cell>
          <cell r="I96">
            <v>15019400</v>
          </cell>
          <cell r="L96">
            <v>15019400</v>
          </cell>
          <cell r="M96">
            <v>0</v>
          </cell>
        </row>
        <row r="97">
          <cell r="E97" t="str">
            <v>Sumber Barokah, UD</v>
          </cell>
          <cell r="I97">
            <v>8100000</v>
          </cell>
          <cell r="L97">
            <v>8100000</v>
          </cell>
          <cell r="M97">
            <v>0</v>
          </cell>
        </row>
        <row r="98">
          <cell r="E98" t="str">
            <v>Sumber Barokah, UD</v>
          </cell>
          <cell r="I98">
            <v>35893000</v>
          </cell>
          <cell r="L98">
            <v>35893000</v>
          </cell>
          <cell r="M98">
            <v>0</v>
          </cell>
        </row>
        <row r="99">
          <cell r="E99" t="str">
            <v>Sumber Barokah, UD</v>
          </cell>
          <cell r="I99">
            <v>17244000</v>
          </cell>
          <cell r="L99">
            <v>10987600</v>
          </cell>
          <cell r="M99">
            <v>6256400</v>
          </cell>
        </row>
        <row r="100">
          <cell r="E100" t="str">
            <v>Sumber Makmur/Mahrus</v>
          </cell>
          <cell r="I100">
            <v>2000000</v>
          </cell>
          <cell r="L100">
            <v>2000000</v>
          </cell>
          <cell r="M100">
            <v>0</v>
          </cell>
        </row>
        <row r="101">
          <cell r="E101" t="str">
            <v>Tani Jaya, UD/Choiri</v>
          </cell>
          <cell r="I101">
            <v>11612000</v>
          </cell>
          <cell r="L101">
            <v>0</v>
          </cell>
          <cell r="M101">
            <v>11612000</v>
          </cell>
        </row>
        <row r="102">
          <cell r="E102" t="str">
            <v>Tani Jaya, UD/Choiri</v>
          </cell>
          <cell r="I102">
            <v>9270000</v>
          </cell>
          <cell r="L102">
            <v>0</v>
          </cell>
          <cell r="M102">
            <v>9270000</v>
          </cell>
        </row>
        <row r="103">
          <cell r="E103" t="str">
            <v>Febri Catur Nugroho</v>
          </cell>
          <cell r="I103">
            <v>579500</v>
          </cell>
          <cell r="L103">
            <v>579500</v>
          </cell>
          <cell r="M103">
            <v>0</v>
          </cell>
        </row>
        <row r="104">
          <cell r="E104" t="str">
            <v>Gudang Barokah/Ishak</v>
          </cell>
          <cell r="I104">
            <v>14125000</v>
          </cell>
          <cell r="L104">
            <v>14125000</v>
          </cell>
          <cell r="M104">
            <v>0</v>
          </cell>
        </row>
        <row r="105">
          <cell r="E105" t="str">
            <v>Gudang Barokah/Ishak</v>
          </cell>
          <cell r="I105">
            <v>2400000</v>
          </cell>
          <cell r="L105">
            <v>2400000</v>
          </cell>
          <cell r="M105">
            <v>0</v>
          </cell>
        </row>
        <row r="106">
          <cell r="E106" t="str">
            <v>Jaya Utama, CV</v>
          </cell>
          <cell r="I106">
            <v>1600000</v>
          </cell>
          <cell r="L106">
            <v>1600000</v>
          </cell>
          <cell r="M106">
            <v>0</v>
          </cell>
        </row>
        <row r="107">
          <cell r="E107" t="str">
            <v>Sukses Sejahtera</v>
          </cell>
          <cell r="I107">
            <v>8093700</v>
          </cell>
          <cell r="L107">
            <v>0</v>
          </cell>
          <cell r="M107">
            <v>8093700</v>
          </cell>
        </row>
        <row r="108">
          <cell r="E108" t="str">
            <v>Sukses Sejahtera</v>
          </cell>
          <cell r="I108">
            <v>5050000</v>
          </cell>
          <cell r="L108">
            <v>0</v>
          </cell>
          <cell r="M108">
            <v>5050000</v>
          </cell>
        </row>
        <row r="109">
          <cell r="E109" t="str">
            <v>Sukses Sejahtera</v>
          </cell>
          <cell r="I109">
            <v>1889000</v>
          </cell>
          <cell r="L109">
            <v>0</v>
          </cell>
          <cell r="M109">
            <v>1889000</v>
          </cell>
        </row>
        <row r="110">
          <cell r="E110" t="str">
            <v>Tani Maju/Aris</v>
          </cell>
          <cell r="I110">
            <v>900000</v>
          </cell>
          <cell r="L110">
            <v>900000</v>
          </cell>
          <cell r="M110">
            <v>0</v>
          </cell>
        </row>
        <row r="111">
          <cell r="E111" t="str">
            <v>Tani Maju/Aris</v>
          </cell>
          <cell r="I111">
            <v>4880000</v>
          </cell>
          <cell r="L111">
            <v>4880000</v>
          </cell>
          <cell r="M111">
            <v>0</v>
          </cell>
        </row>
        <row r="112">
          <cell r="E112" t="str">
            <v>Tani Maju/Aris</v>
          </cell>
          <cell r="I112">
            <v>1570000</v>
          </cell>
          <cell r="L112">
            <v>1570000</v>
          </cell>
          <cell r="M112">
            <v>0</v>
          </cell>
        </row>
        <row r="113">
          <cell r="E113" t="str">
            <v>Tunggal Sumber Rejeki</v>
          </cell>
          <cell r="I113">
            <v>900000</v>
          </cell>
          <cell r="L113">
            <v>900000</v>
          </cell>
          <cell r="M113">
            <v>0</v>
          </cell>
        </row>
        <row r="114">
          <cell r="E114" t="str">
            <v>Delima, Toko/Nurhasan</v>
          </cell>
          <cell r="I114">
            <v>114000000</v>
          </cell>
          <cell r="L114">
            <v>0</v>
          </cell>
          <cell r="M114">
            <v>114000000</v>
          </cell>
        </row>
        <row r="115">
          <cell r="E115" t="str">
            <v>Febri Catur Nugroho</v>
          </cell>
          <cell r="I115">
            <v>560000</v>
          </cell>
          <cell r="L115">
            <v>560000</v>
          </cell>
          <cell r="M115">
            <v>0</v>
          </cell>
        </row>
        <row r="116">
          <cell r="E116" t="str">
            <v>Jaya Makmur/Suyono</v>
          </cell>
          <cell r="I116">
            <v>2260000</v>
          </cell>
          <cell r="L116">
            <v>2260000</v>
          </cell>
          <cell r="M116">
            <v>0</v>
          </cell>
        </row>
        <row r="117">
          <cell r="E117" t="str">
            <v>Sumber Makmur/Mahrus</v>
          </cell>
          <cell r="I117">
            <v>5760000</v>
          </cell>
          <cell r="L117">
            <v>5760000</v>
          </cell>
          <cell r="M117">
            <v>0</v>
          </cell>
        </row>
        <row r="118">
          <cell r="E118" t="str">
            <v>Delima, Toko/Nurhasan</v>
          </cell>
          <cell r="I118">
            <v>28800000</v>
          </cell>
          <cell r="L118">
            <v>0</v>
          </cell>
          <cell r="M118">
            <v>28800000</v>
          </cell>
        </row>
        <row r="119">
          <cell r="E119" t="str">
            <v>Mantab Jaya/Andiya</v>
          </cell>
          <cell r="I119">
            <v>14800000</v>
          </cell>
          <cell r="L119">
            <v>7240000</v>
          </cell>
          <cell r="M119">
            <v>7560000</v>
          </cell>
        </row>
        <row r="120">
          <cell r="E120" t="str">
            <v>Tunggal Sumber Rejeki</v>
          </cell>
          <cell r="I120">
            <v>1375000</v>
          </cell>
          <cell r="L120">
            <v>1375000</v>
          </cell>
          <cell r="M120">
            <v>0</v>
          </cell>
        </row>
        <row r="121">
          <cell r="E121" t="str">
            <v>Barokah Tani, UD/Sutrisno</v>
          </cell>
          <cell r="I121">
            <v>59600000</v>
          </cell>
          <cell r="L121">
            <v>0</v>
          </cell>
          <cell r="M121">
            <v>59600000</v>
          </cell>
        </row>
        <row r="122">
          <cell r="E122" t="str">
            <v>Jaya Utama, CV</v>
          </cell>
          <cell r="I122">
            <v>13250000</v>
          </cell>
          <cell r="L122">
            <v>13250000</v>
          </cell>
          <cell r="M122">
            <v>0</v>
          </cell>
        </row>
        <row r="123">
          <cell r="E123" t="str">
            <v>Delima, Toko/Nurhasan</v>
          </cell>
          <cell r="I123">
            <v>51000000</v>
          </cell>
          <cell r="L123">
            <v>0</v>
          </cell>
          <cell r="M123">
            <v>51000000</v>
          </cell>
        </row>
        <row r="124">
          <cell r="E124" t="str">
            <v>Shijaya Tani/Hendrik</v>
          </cell>
          <cell r="I124">
            <v>3720000</v>
          </cell>
          <cell r="L124">
            <v>820000</v>
          </cell>
          <cell r="M124">
            <v>2900000</v>
          </cell>
        </row>
        <row r="125">
          <cell r="E125" t="str">
            <v>Sumber Makmur/Mahrus</v>
          </cell>
          <cell r="I125">
            <v>20250000</v>
          </cell>
          <cell r="L125">
            <v>0</v>
          </cell>
          <cell r="M125">
            <v>20250000</v>
          </cell>
        </row>
        <row r="126">
          <cell r="E126" t="str">
            <v>Sumber Pangan/Jainuri</v>
          </cell>
          <cell r="I126">
            <v>56880000</v>
          </cell>
          <cell r="L126">
            <v>0</v>
          </cell>
          <cell r="M126">
            <v>56880000</v>
          </cell>
        </row>
        <row r="127">
          <cell r="E127" t="str">
            <v>Tani Maju/Aris</v>
          </cell>
          <cell r="I127">
            <v>1187500</v>
          </cell>
          <cell r="L127">
            <v>1187500</v>
          </cell>
          <cell r="M127">
            <v>0</v>
          </cell>
        </row>
        <row r="128">
          <cell r="E128" t="str">
            <v>Tani Makmur/Kusnan</v>
          </cell>
          <cell r="I128">
            <v>2603000</v>
          </cell>
          <cell r="L128">
            <v>2603000</v>
          </cell>
          <cell r="M128">
            <v>0</v>
          </cell>
        </row>
        <row r="129">
          <cell r="E129" t="str">
            <v>Tani Makmur/Kusnan</v>
          </cell>
          <cell r="I129">
            <v>540000</v>
          </cell>
          <cell r="L129">
            <v>540000</v>
          </cell>
          <cell r="M129">
            <v>0</v>
          </cell>
        </row>
        <row r="130">
          <cell r="E130" t="str">
            <v>Tani Makmur/Kusnan</v>
          </cell>
          <cell r="I130">
            <v>480000</v>
          </cell>
          <cell r="L130">
            <v>0</v>
          </cell>
          <cell r="M130">
            <v>480000</v>
          </cell>
        </row>
        <row r="131">
          <cell r="E131" t="str">
            <v>Wukir Sari</v>
          </cell>
          <cell r="I131">
            <v>2733250</v>
          </cell>
          <cell r="L131">
            <v>2733250</v>
          </cell>
          <cell r="M131">
            <v>0</v>
          </cell>
        </row>
        <row r="132">
          <cell r="E132" t="str">
            <v>Sumber Rejeki/Moh Soleh</v>
          </cell>
          <cell r="I132">
            <v>2880000</v>
          </cell>
          <cell r="L132">
            <v>2880000</v>
          </cell>
          <cell r="M132">
            <v>0</v>
          </cell>
        </row>
        <row r="133">
          <cell r="E133" t="str">
            <v>Ibu Tani</v>
          </cell>
          <cell r="I133">
            <v>19800000</v>
          </cell>
          <cell r="L133">
            <v>19800000</v>
          </cell>
          <cell r="M133">
            <v>0</v>
          </cell>
        </row>
        <row r="134">
          <cell r="E134" t="str">
            <v>Ibu Tani</v>
          </cell>
          <cell r="I134">
            <v>2100000</v>
          </cell>
          <cell r="L134">
            <v>2100000</v>
          </cell>
          <cell r="M134">
            <v>0</v>
          </cell>
        </row>
        <row r="135">
          <cell r="E135" t="str">
            <v>Sumber Pangan/Jainuri</v>
          </cell>
          <cell r="I135">
            <v>28100000</v>
          </cell>
          <cell r="L135">
            <v>0</v>
          </cell>
          <cell r="M135">
            <v>28100000</v>
          </cell>
        </row>
        <row r="136">
          <cell r="E136" t="str">
            <v>Tani Jaya, UD/Choiri</v>
          </cell>
          <cell r="I136">
            <v>2900000</v>
          </cell>
          <cell r="L136">
            <v>0</v>
          </cell>
          <cell r="M136">
            <v>2900000</v>
          </cell>
        </row>
        <row r="137">
          <cell r="E137" t="str">
            <v>Tani Sejahtera/Mat Syawal</v>
          </cell>
          <cell r="I137">
            <v>6400000</v>
          </cell>
          <cell r="L137">
            <v>6400000</v>
          </cell>
          <cell r="M137">
            <v>0</v>
          </cell>
        </row>
        <row r="138">
          <cell r="E138" t="str">
            <v>Tunggal Sumber Rejeki</v>
          </cell>
          <cell r="I138">
            <v>3208800</v>
          </cell>
          <cell r="L138">
            <v>3208800</v>
          </cell>
          <cell r="M138">
            <v>0</v>
          </cell>
        </row>
        <row r="139">
          <cell r="E139" t="str">
            <v>Delima, Toko/Nurhasan</v>
          </cell>
          <cell r="I139">
            <v>7300000</v>
          </cell>
          <cell r="L139">
            <v>0</v>
          </cell>
          <cell r="M139">
            <v>7300000</v>
          </cell>
        </row>
        <row r="140">
          <cell r="E140" t="str">
            <v>Delima, Toko/Nurhasan</v>
          </cell>
          <cell r="I140">
            <v>5000000</v>
          </cell>
          <cell r="L140">
            <v>0</v>
          </cell>
          <cell r="M140">
            <v>5000000</v>
          </cell>
        </row>
        <row r="141">
          <cell r="E141" t="str">
            <v>Delima, Toko/Nurhasan</v>
          </cell>
          <cell r="I141">
            <v>20000000</v>
          </cell>
          <cell r="L141">
            <v>0</v>
          </cell>
          <cell r="M141">
            <v>20000000</v>
          </cell>
        </row>
        <row r="142">
          <cell r="E142" t="str">
            <v>Delima, Toko/Nurhasan</v>
          </cell>
          <cell r="I142">
            <v>68500000</v>
          </cell>
          <cell r="L142">
            <v>0</v>
          </cell>
          <cell r="M142">
            <v>68500000</v>
          </cell>
        </row>
        <row r="143">
          <cell r="E143" t="str">
            <v>Jaya Utama, CV</v>
          </cell>
          <cell r="I143">
            <v>4535000</v>
          </cell>
          <cell r="L143">
            <v>4535000</v>
          </cell>
          <cell r="M143">
            <v>0</v>
          </cell>
        </row>
        <row r="144">
          <cell r="E144" t="str">
            <v>Jaya Utama, CV</v>
          </cell>
          <cell r="I144">
            <v>6475000</v>
          </cell>
          <cell r="L144">
            <v>6475000</v>
          </cell>
          <cell r="M144">
            <v>0</v>
          </cell>
        </row>
        <row r="145">
          <cell r="E145" t="str">
            <v>Tani Barokah/Salim</v>
          </cell>
          <cell r="I145">
            <v>33740000</v>
          </cell>
          <cell r="L145">
            <v>0</v>
          </cell>
          <cell r="M145">
            <v>33740000</v>
          </cell>
        </row>
        <row r="146">
          <cell r="E146" t="str">
            <v>Tani Barokah/Salim</v>
          </cell>
          <cell r="I146">
            <v>5850000</v>
          </cell>
          <cell r="L146">
            <v>0</v>
          </cell>
          <cell r="M146">
            <v>5850000</v>
          </cell>
        </row>
        <row r="147">
          <cell r="E147" t="str">
            <v>Tani Barokah/Salim</v>
          </cell>
          <cell r="I147">
            <v>13739400</v>
          </cell>
          <cell r="L147">
            <v>0</v>
          </cell>
          <cell r="M147">
            <v>13739400</v>
          </cell>
        </row>
        <row r="148">
          <cell r="E148" t="str">
            <v>Tani Maju/Aris</v>
          </cell>
          <cell r="I148">
            <v>740000</v>
          </cell>
          <cell r="L148">
            <v>740000</v>
          </cell>
          <cell r="M148">
            <v>0</v>
          </cell>
        </row>
        <row r="149">
          <cell r="E149" t="str">
            <v>Tani Makmur/Kusnan</v>
          </cell>
          <cell r="I149">
            <v>700000</v>
          </cell>
          <cell r="L149">
            <v>0</v>
          </cell>
          <cell r="M149">
            <v>700000</v>
          </cell>
        </row>
        <row r="150">
          <cell r="E150" t="str">
            <v>Tani Sejahtera/Mat Syawal</v>
          </cell>
          <cell r="I150">
            <v>1375000</v>
          </cell>
          <cell r="L150">
            <v>1375000</v>
          </cell>
          <cell r="M150">
            <v>0</v>
          </cell>
        </row>
        <row r="151">
          <cell r="E151" t="str">
            <v>Tunggal Sumber Rejeki</v>
          </cell>
          <cell r="I151">
            <v>1350000</v>
          </cell>
          <cell r="L151">
            <v>1350000</v>
          </cell>
          <cell r="M151">
            <v>0</v>
          </cell>
        </row>
        <row r="152">
          <cell r="E152" t="str">
            <v>Wukir Sari</v>
          </cell>
          <cell r="I152">
            <v>2600000</v>
          </cell>
          <cell r="L152">
            <v>0</v>
          </cell>
          <cell r="M152">
            <v>2600000</v>
          </cell>
        </row>
        <row r="153">
          <cell r="E153" t="str">
            <v>Wukir Sari</v>
          </cell>
          <cell r="I153">
            <v>1355250</v>
          </cell>
          <cell r="L153">
            <v>0</v>
          </cell>
          <cell r="M153">
            <v>1355250</v>
          </cell>
        </row>
        <row r="154">
          <cell r="E154" t="str">
            <v>Abi Tani/Soleudin</v>
          </cell>
          <cell r="I154">
            <v>20250000</v>
          </cell>
          <cell r="L154">
            <v>20250000</v>
          </cell>
          <cell r="M154">
            <v>0</v>
          </cell>
        </row>
        <row r="155">
          <cell r="E155" t="str">
            <v>Delima, Toko/Nurhasan</v>
          </cell>
          <cell r="I155">
            <v>36260000</v>
          </cell>
          <cell r="L155">
            <v>0</v>
          </cell>
          <cell r="M155">
            <v>36260000</v>
          </cell>
        </row>
        <row r="156">
          <cell r="E156" t="str">
            <v>Delima, Toko/Nurhasan</v>
          </cell>
          <cell r="I156">
            <v>28100000</v>
          </cell>
          <cell r="L156">
            <v>0</v>
          </cell>
          <cell r="M156">
            <v>28100000</v>
          </cell>
        </row>
        <row r="157">
          <cell r="E157" t="str">
            <v>Delima, Toko/Nurhasan</v>
          </cell>
          <cell r="I157">
            <v>114000000</v>
          </cell>
          <cell r="L157">
            <v>0</v>
          </cell>
          <cell r="M157">
            <v>114000000</v>
          </cell>
        </row>
        <row r="158">
          <cell r="E158" t="str">
            <v>Sumber Barokah, UD</v>
          </cell>
          <cell r="I158">
            <v>5280000</v>
          </cell>
          <cell r="L158">
            <v>0</v>
          </cell>
          <cell r="M158">
            <v>5280000</v>
          </cell>
        </row>
        <row r="159">
          <cell r="E159" t="str">
            <v>Sumber Barokah, UD</v>
          </cell>
          <cell r="I159">
            <v>3140000</v>
          </cell>
          <cell r="L159">
            <v>0</v>
          </cell>
          <cell r="M159">
            <v>3140000</v>
          </cell>
        </row>
        <row r="160">
          <cell r="E160" t="str">
            <v>Sumber Barokah, UD</v>
          </cell>
          <cell r="I160">
            <v>15705000</v>
          </cell>
          <cell r="L160">
            <v>0</v>
          </cell>
          <cell r="M160">
            <v>15705000</v>
          </cell>
        </row>
        <row r="161">
          <cell r="E161" t="str">
            <v>Sumber Barokah, UD</v>
          </cell>
          <cell r="I161">
            <v>720000</v>
          </cell>
          <cell r="L161">
            <v>0</v>
          </cell>
          <cell r="M161">
            <v>720000</v>
          </cell>
        </row>
        <row r="162">
          <cell r="E162" t="str">
            <v>Tani Jaya, UD/Choiri</v>
          </cell>
          <cell r="I162">
            <v>2328000</v>
          </cell>
          <cell r="L162">
            <v>0</v>
          </cell>
          <cell r="M162">
            <v>2328000</v>
          </cell>
        </row>
        <row r="163">
          <cell r="E163" t="str">
            <v>Tani Jaya, UD/Choiri</v>
          </cell>
          <cell r="I163">
            <v>3360000</v>
          </cell>
          <cell r="L163">
            <v>0</v>
          </cell>
          <cell r="M163">
            <v>3360000</v>
          </cell>
        </row>
        <row r="164">
          <cell r="E164" t="str">
            <v>Wukir Sari</v>
          </cell>
          <cell r="I164">
            <v>4375000</v>
          </cell>
          <cell r="L164">
            <v>0</v>
          </cell>
          <cell r="M164">
            <v>4375000</v>
          </cell>
        </row>
        <row r="165">
          <cell r="E165" t="str">
            <v>Barokah Tani, UD/Sutrisno</v>
          </cell>
          <cell r="I165">
            <v>36600000</v>
          </cell>
          <cell r="L165">
            <v>0</v>
          </cell>
          <cell r="M165">
            <v>36600000</v>
          </cell>
        </row>
        <row r="166">
          <cell r="E166" t="str">
            <v>Abi Tani/Soleudin</v>
          </cell>
          <cell r="I166">
            <v>12412500</v>
          </cell>
          <cell r="L166">
            <v>0</v>
          </cell>
          <cell r="M166">
            <v>12412500</v>
          </cell>
        </row>
        <row r="167">
          <cell r="E167" t="str">
            <v>Abi Tani/Soleudin</v>
          </cell>
          <cell r="I167">
            <v>408000</v>
          </cell>
          <cell r="L167">
            <v>0</v>
          </cell>
          <cell r="M167">
            <v>408000</v>
          </cell>
        </row>
        <row r="168">
          <cell r="E168" t="str">
            <v>Delima, Toko/Nurhasan</v>
          </cell>
          <cell r="I168">
            <v>40200000</v>
          </cell>
          <cell r="L168">
            <v>0</v>
          </cell>
          <cell r="M168">
            <v>40200000</v>
          </cell>
        </row>
        <row r="169">
          <cell r="E169" t="str">
            <v>Delima, Toko/Nurhasan</v>
          </cell>
          <cell r="I169">
            <v>114000000</v>
          </cell>
          <cell r="L169">
            <v>0</v>
          </cell>
          <cell r="M169">
            <v>114000000</v>
          </cell>
        </row>
        <row r="170">
          <cell r="E170" t="str">
            <v>Hasil Tani/Supriyadi</v>
          </cell>
          <cell r="I170">
            <v>7470000</v>
          </cell>
          <cell r="L170">
            <v>7470000</v>
          </cell>
          <cell r="M170">
            <v>0</v>
          </cell>
        </row>
        <row r="171">
          <cell r="E171" t="str">
            <v>Sumber Makmur/Mahrus</v>
          </cell>
          <cell r="I171">
            <v>6225000</v>
          </cell>
          <cell r="L171">
            <v>0</v>
          </cell>
          <cell r="M171">
            <v>6225000</v>
          </cell>
        </row>
        <row r="172">
          <cell r="E172" t="str">
            <v>Bumi Asih, UD/Hasan</v>
          </cell>
          <cell r="I172">
            <v>2250000</v>
          </cell>
          <cell r="L172">
            <v>2250000</v>
          </cell>
          <cell r="M172">
            <v>0</v>
          </cell>
        </row>
        <row r="173">
          <cell r="E173" t="str">
            <v>Bumi Asih, UD/Hasan</v>
          </cell>
          <cell r="I173">
            <v>6295000</v>
          </cell>
          <cell r="L173">
            <v>6295000</v>
          </cell>
          <cell r="M173">
            <v>0</v>
          </cell>
        </row>
        <row r="174">
          <cell r="E174" t="str">
            <v>Delima, Toko/Nurhasan</v>
          </cell>
          <cell r="I174">
            <v>114000000</v>
          </cell>
          <cell r="L174">
            <v>0</v>
          </cell>
          <cell r="M174">
            <v>114000000</v>
          </cell>
        </row>
        <row r="175">
          <cell r="E175" t="str">
            <v>Hasil Tani/Supriyadi</v>
          </cell>
          <cell r="I175">
            <v>1350000</v>
          </cell>
          <cell r="L175">
            <v>1350000</v>
          </cell>
          <cell r="M175">
            <v>0</v>
          </cell>
        </row>
        <row r="176">
          <cell r="E176" t="str">
            <v>Hasil Tani/Supriyadi</v>
          </cell>
          <cell r="I176">
            <v>7440000</v>
          </cell>
          <cell r="L176">
            <v>7440000</v>
          </cell>
          <cell r="M176">
            <v>0</v>
          </cell>
        </row>
        <row r="177">
          <cell r="E177" t="str">
            <v>Mantab Jaya/Andiya</v>
          </cell>
          <cell r="I177">
            <v>12230000</v>
          </cell>
          <cell r="L177">
            <v>0</v>
          </cell>
          <cell r="M177">
            <v>12230000</v>
          </cell>
        </row>
        <row r="178">
          <cell r="E178" t="str">
            <v>Sedulur Tani/Eko Galih</v>
          </cell>
          <cell r="I178">
            <v>1350000</v>
          </cell>
          <cell r="L178">
            <v>1350000</v>
          </cell>
          <cell r="M178">
            <v>0</v>
          </cell>
        </row>
        <row r="179">
          <cell r="E179" t="str">
            <v>Tani Makmur/Kusnan</v>
          </cell>
          <cell r="I179">
            <v>700000</v>
          </cell>
          <cell r="L179">
            <v>0</v>
          </cell>
          <cell r="M179">
            <v>700000</v>
          </cell>
        </row>
        <row r="180">
          <cell r="E180" t="str">
            <v>Tunggal Sumber Rejeki</v>
          </cell>
          <cell r="I180">
            <v>1350000</v>
          </cell>
          <cell r="L180">
            <v>1350000</v>
          </cell>
          <cell r="M180">
            <v>0</v>
          </cell>
        </row>
        <row r="181">
          <cell r="E181" t="str">
            <v>Sumber Tani, UD/Agin</v>
          </cell>
          <cell r="I181">
            <v>14000000</v>
          </cell>
          <cell r="L181">
            <v>14000000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8640000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B26002060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D26002172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D25013604</v>
          </cell>
          <cell r="AP25">
            <v>0</v>
          </cell>
          <cell r="AQ25">
            <v>0</v>
          </cell>
          <cell r="AV25">
            <v>10000000</v>
          </cell>
        </row>
        <row r="26">
          <cell r="E26" t="str">
            <v>B25015898</v>
          </cell>
          <cell r="AP26">
            <v>0</v>
          </cell>
          <cell r="AQ26">
            <v>0</v>
          </cell>
          <cell r="AV26">
            <v>28420000</v>
          </cell>
        </row>
        <row r="27">
          <cell r="E27" t="str">
            <v>D25019533</v>
          </cell>
          <cell r="AP27">
            <v>0</v>
          </cell>
          <cell r="AQ27">
            <v>0</v>
          </cell>
          <cell r="AV27">
            <v>20250000</v>
          </cell>
        </row>
        <row r="28">
          <cell r="E28" t="str">
            <v>B25017054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B25017068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B26000149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D26001878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B26001775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D25018816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B26000698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T26000040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T25000266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B25013635</v>
          </cell>
          <cell r="AP37">
            <v>0</v>
          </cell>
          <cell r="AQ37">
            <v>0</v>
          </cell>
          <cell r="AV37">
            <v>2000000</v>
          </cell>
        </row>
        <row r="38">
          <cell r="E38" t="str">
            <v>B25013636</v>
          </cell>
          <cell r="AP38">
            <v>0</v>
          </cell>
          <cell r="AQ38">
            <v>0</v>
          </cell>
          <cell r="AV38">
            <v>1000000</v>
          </cell>
        </row>
        <row r="39">
          <cell r="E39" t="str">
            <v>D25016962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B25016685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B26000153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B26002238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B26002239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D26002320</v>
          </cell>
          <cell r="AP44">
            <v>0</v>
          </cell>
          <cell r="AQ44">
            <v>0</v>
          </cell>
          <cell r="AV44">
            <v>13500000</v>
          </cell>
        </row>
        <row r="45">
          <cell r="E45" t="str">
            <v>B26001983</v>
          </cell>
          <cell r="AP45">
            <v>0</v>
          </cell>
          <cell r="AQ45">
            <v>0</v>
          </cell>
          <cell r="AV45">
            <v>1462500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D26001946</v>
          </cell>
          <cell r="AP49">
            <v>0</v>
          </cell>
          <cell r="AQ49">
            <v>0</v>
          </cell>
          <cell r="AV49">
            <v>46000000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D26000437</v>
          </cell>
          <cell r="AP53">
            <v>0</v>
          </cell>
          <cell r="AQ53">
            <v>0</v>
          </cell>
          <cell r="AV53">
            <v>24920000</v>
          </cell>
        </row>
        <row r="54">
          <cell r="E54" t="str">
            <v>D26000449</v>
          </cell>
          <cell r="AP54">
            <v>0</v>
          </cell>
          <cell r="AQ54">
            <v>0</v>
          </cell>
          <cell r="AV54">
            <v>8700000</v>
          </cell>
        </row>
        <row r="55">
          <cell r="E55" t="str">
            <v>D26001017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B26001350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D26002020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D26002074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D25019438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D26000375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B26000515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B26000670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B26001259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B26001658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D26001772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B26001815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D26001968</v>
          </cell>
          <cell r="AP70">
            <v>0</v>
          </cell>
          <cell r="AQ70">
            <v>26400000</v>
          </cell>
          <cell r="AV70">
            <v>0</v>
          </cell>
        </row>
        <row r="71">
          <cell r="E71" t="str">
            <v>B26001910</v>
          </cell>
          <cell r="AP71">
            <v>0</v>
          </cell>
          <cell r="AQ71">
            <v>26400000</v>
          </cell>
          <cell r="AV71">
            <v>0</v>
          </cell>
        </row>
        <row r="72">
          <cell r="E72" t="str">
            <v>B26002217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B25014427</v>
          </cell>
          <cell r="AP73">
            <v>0</v>
          </cell>
          <cell r="AQ73">
            <v>0</v>
          </cell>
          <cell r="AV73">
            <v>5000000</v>
          </cell>
        </row>
        <row r="74">
          <cell r="E74" t="str">
            <v>B25015559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T25001844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D25016973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B25014356</v>
          </cell>
          <cell r="AP77">
            <v>0</v>
          </cell>
          <cell r="AQ77">
            <v>0</v>
          </cell>
          <cell r="AV77">
            <v>1695000</v>
          </cell>
        </row>
        <row r="78">
          <cell r="E78" t="str">
            <v>B25014813</v>
          </cell>
          <cell r="AP78">
            <v>0</v>
          </cell>
          <cell r="AQ78">
            <v>0</v>
          </cell>
          <cell r="AV78">
            <v>5000</v>
          </cell>
        </row>
        <row r="79">
          <cell r="E79" t="str">
            <v>B25015629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D25018878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T25001869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D26000099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B25016595</v>
          </cell>
          <cell r="AP83">
            <v>0</v>
          </cell>
          <cell r="AQ83">
            <v>0</v>
          </cell>
          <cell r="AV83">
            <v>5100000</v>
          </cell>
        </row>
        <row r="84">
          <cell r="E84" t="str">
            <v>D25019293</v>
          </cell>
          <cell r="AP84">
            <v>0</v>
          </cell>
          <cell r="AQ84">
            <v>0</v>
          </cell>
          <cell r="AV84">
            <v>2841000</v>
          </cell>
        </row>
        <row r="85">
          <cell r="E85" t="str">
            <v>B25016918</v>
          </cell>
          <cell r="AP85">
            <v>0</v>
          </cell>
          <cell r="AQ85">
            <v>0</v>
          </cell>
          <cell r="AV85">
            <v>23875000</v>
          </cell>
        </row>
        <row r="86">
          <cell r="E86" t="str">
            <v>B25016929</v>
          </cell>
          <cell r="AP86">
            <v>0</v>
          </cell>
          <cell r="AQ86">
            <v>0</v>
          </cell>
          <cell r="AV86">
            <v>1860000</v>
          </cell>
        </row>
        <row r="87">
          <cell r="E87" t="str">
            <v>B25016984</v>
          </cell>
          <cell r="AP87">
            <v>0</v>
          </cell>
          <cell r="AQ87">
            <v>0</v>
          </cell>
          <cell r="AV87">
            <v>1875000</v>
          </cell>
        </row>
        <row r="88">
          <cell r="E88" t="str">
            <v>D26000011</v>
          </cell>
          <cell r="AP88">
            <v>0</v>
          </cell>
          <cell r="AQ88">
            <v>0</v>
          </cell>
          <cell r="AV88">
            <v>260000</v>
          </cell>
        </row>
        <row r="89">
          <cell r="E89" t="str">
            <v>B26000193</v>
          </cell>
          <cell r="AP89">
            <v>0</v>
          </cell>
          <cell r="AQ89">
            <v>0</v>
          </cell>
          <cell r="AV89">
            <v>520000</v>
          </cell>
        </row>
        <row r="90">
          <cell r="E90" t="str">
            <v>D26000353</v>
          </cell>
          <cell r="AP90">
            <v>0</v>
          </cell>
          <cell r="AQ90">
            <v>0</v>
          </cell>
          <cell r="AV90">
            <v>2139000</v>
          </cell>
        </row>
        <row r="91">
          <cell r="E91" t="str">
            <v>D26000354</v>
          </cell>
          <cell r="AP91">
            <v>0</v>
          </cell>
          <cell r="AQ91">
            <v>0</v>
          </cell>
          <cell r="AV91">
            <v>270000</v>
          </cell>
        </row>
        <row r="92">
          <cell r="E92" t="str">
            <v>B26000366</v>
          </cell>
          <cell r="AP92">
            <v>0</v>
          </cell>
          <cell r="AQ92">
            <v>0</v>
          </cell>
          <cell r="AV92">
            <v>2225500</v>
          </cell>
        </row>
        <row r="93">
          <cell r="E93" t="str">
            <v>B26000620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B26000733</v>
          </cell>
          <cell r="AP94">
            <v>0</v>
          </cell>
          <cell r="AQ94">
            <v>0</v>
          </cell>
          <cell r="AV94">
            <v>1900000</v>
          </cell>
        </row>
        <row r="95">
          <cell r="E95" t="str">
            <v>D26001015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B26001001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B26001078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B26001105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N26000013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D26001690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B26001706</v>
          </cell>
          <cell r="AP101">
            <v>0</v>
          </cell>
          <cell r="AQ101">
            <v>0</v>
          </cell>
          <cell r="AV101">
            <v>8437500</v>
          </cell>
        </row>
        <row r="102">
          <cell r="E102" t="str">
            <v>B26001707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B26001722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B26001797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B26001992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D26002210</v>
          </cell>
          <cell r="AP106">
            <v>0</v>
          </cell>
          <cell r="AQ106">
            <v>0</v>
          </cell>
          <cell r="AV106">
            <v>83750000</v>
          </cell>
        </row>
        <row r="107">
          <cell r="E107" t="str">
            <v>B26002223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B25016295</v>
          </cell>
          <cell r="AP108">
            <v>0</v>
          </cell>
          <cell r="AQ108">
            <v>0</v>
          </cell>
          <cell r="AV108">
            <v>2120000</v>
          </cell>
        </row>
        <row r="109">
          <cell r="E109" t="str">
            <v>D26000143</v>
          </cell>
          <cell r="AP109">
            <v>0</v>
          </cell>
          <cell r="AQ109">
            <v>0</v>
          </cell>
          <cell r="AV109">
            <v>920000</v>
          </cell>
        </row>
        <row r="110">
          <cell r="E110" t="str">
            <v>D26000209</v>
          </cell>
          <cell r="AP110">
            <v>0</v>
          </cell>
          <cell r="AQ110">
            <v>0</v>
          </cell>
          <cell r="AV110">
            <v>8000000</v>
          </cell>
        </row>
        <row r="111">
          <cell r="E111" t="str">
            <v>D26000789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B26000824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B26001115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B26001116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T26000098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D26001469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D26001603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B26002029</v>
          </cell>
          <cell r="AP118">
            <v>0</v>
          </cell>
          <cell r="AQ118">
            <v>0</v>
          </cell>
          <cell r="AV118">
            <v>5700000</v>
          </cell>
        </row>
        <row r="119">
          <cell r="E119" t="str">
            <v>B26002030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B26000465</v>
          </cell>
          <cell r="AP120">
            <v>0</v>
          </cell>
          <cell r="AQ120">
            <v>0</v>
          </cell>
          <cell r="AV120">
            <v>13867500</v>
          </cell>
        </row>
        <row r="121">
          <cell r="E121" t="str">
            <v>B26000466</v>
          </cell>
          <cell r="AP121">
            <v>0</v>
          </cell>
          <cell r="AQ121">
            <v>0</v>
          </cell>
          <cell r="AV121">
            <v>1680000</v>
          </cell>
        </row>
        <row r="122">
          <cell r="E122" t="str">
            <v>B26000467</v>
          </cell>
          <cell r="AP122">
            <v>1500000</v>
          </cell>
          <cell r="AQ122">
            <v>0</v>
          </cell>
          <cell r="AV122">
            <v>0</v>
          </cell>
        </row>
        <row r="123">
          <cell r="E123" t="str">
            <v>B26000468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B26000497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D26001028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B26001023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D26001110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D26001939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D26001940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B26001843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D26002381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D26002382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B25016839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D25019387</v>
          </cell>
          <cell r="AP134">
            <v>0</v>
          </cell>
          <cell r="AQ134">
            <v>0</v>
          </cell>
          <cell r="AV134">
            <v>1400000</v>
          </cell>
        </row>
        <row r="135">
          <cell r="E135" t="str">
            <v>B25016959</v>
          </cell>
          <cell r="AP135">
            <v>0</v>
          </cell>
          <cell r="AQ135">
            <v>0</v>
          </cell>
          <cell r="AV135">
            <v>2422500</v>
          </cell>
        </row>
        <row r="136">
          <cell r="E136" t="str">
            <v>D26000166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D26000191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B26000930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>
            <v>260008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B26001067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D26001141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B26001925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B26001948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D26002072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D26002399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D25018521</v>
          </cell>
          <cell r="AP146">
            <v>0</v>
          </cell>
          <cell r="AQ146">
            <v>0</v>
          </cell>
          <cell r="AV146">
            <v>1350000</v>
          </cell>
        </row>
        <row r="147">
          <cell r="E147" t="str">
            <v>B25016305</v>
          </cell>
          <cell r="AP147">
            <v>0</v>
          </cell>
          <cell r="AQ147">
            <v>0</v>
          </cell>
          <cell r="AV147">
            <v>3600000</v>
          </cell>
        </row>
        <row r="148">
          <cell r="E148" t="str">
            <v>D25019209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D25019322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B25016814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D25019425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B26000949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B26001134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D26001706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B25015209</v>
          </cell>
          <cell r="AP155">
            <v>0</v>
          </cell>
          <cell r="AQ155">
            <v>0</v>
          </cell>
          <cell r="AV155">
            <v>14850000</v>
          </cell>
        </row>
        <row r="156">
          <cell r="E156" t="str">
            <v>B25015334</v>
          </cell>
          <cell r="AP156">
            <v>0</v>
          </cell>
          <cell r="AQ156">
            <v>0</v>
          </cell>
          <cell r="AV156">
            <v>47500000</v>
          </cell>
        </row>
        <row r="157">
          <cell r="E157" t="str">
            <v>B25015337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D25018133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D25018782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D25019513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B26000096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B26000131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D26000074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D26000098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D26000109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D26000207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B26000766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D26001183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B26001162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B26001461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B26001838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D26000288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B26001492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D26001216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B26002263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B26001011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B26001114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B26002194</v>
          </cell>
          <cell r="AP178">
            <v>0</v>
          </cell>
          <cell r="AQ178">
            <v>0</v>
          </cell>
          <cell r="AV178">
            <v>5045000</v>
          </cell>
        </row>
        <row r="179">
          <cell r="E179" t="str">
            <v>L23000053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D24005367</v>
          </cell>
          <cell r="AP180">
            <v>0</v>
          </cell>
          <cell r="AQ180">
            <v>0</v>
          </cell>
          <cell r="AV180">
            <v>1000000</v>
          </cell>
        </row>
        <row r="181">
          <cell r="E181" t="str">
            <v>D26000611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D25017086</v>
          </cell>
          <cell r="AP182">
            <v>0</v>
          </cell>
          <cell r="AQ182">
            <v>0</v>
          </cell>
          <cell r="AV182">
            <v>11240000</v>
          </cell>
        </row>
        <row r="183">
          <cell r="E183" t="str">
            <v>D25018288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B25016797</v>
          </cell>
          <cell r="AP184">
            <v>0</v>
          </cell>
          <cell r="AQ184">
            <v>0</v>
          </cell>
          <cell r="AV184">
            <v>18600000</v>
          </cell>
        </row>
        <row r="185">
          <cell r="E185" t="str">
            <v>B26000117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B26000136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D26000208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D26000330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B26000590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D26001033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D26001256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B26001599</v>
          </cell>
          <cell r="AP192">
            <v>0</v>
          </cell>
          <cell r="AQ192">
            <v>0</v>
          </cell>
          <cell r="AV192">
            <v>19400000</v>
          </cell>
        </row>
        <row r="193">
          <cell r="E193" t="str">
            <v>B26001705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D26001977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D26002260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D25017360</v>
          </cell>
          <cell r="AP196">
            <v>0</v>
          </cell>
          <cell r="AQ196">
            <v>0</v>
          </cell>
          <cell r="AV196">
            <v>1680000</v>
          </cell>
        </row>
        <row r="197">
          <cell r="E197" t="str">
            <v>B25015079</v>
          </cell>
          <cell r="AP197">
            <v>0</v>
          </cell>
          <cell r="AQ197">
            <v>0</v>
          </cell>
          <cell r="AV197">
            <v>540000</v>
          </cell>
        </row>
        <row r="198">
          <cell r="E198" t="str">
            <v>D25017962</v>
          </cell>
          <cell r="AP198">
            <v>0</v>
          </cell>
          <cell r="AQ198">
            <v>0</v>
          </cell>
          <cell r="AV198">
            <v>5260000</v>
          </cell>
        </row>
        <row r="199">
          <cell r="E199" t="str">
            <v>D25018362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B25016342</v>
          </cell>
          <cell r="AP200">
            <v>0</v>
          </cell>
          <cell r="AQ200">
            <v>0</v>
          </cell>
          <cell r="AV200">
            <v>13416000</v>
          </cell>
        </row>
        <row r="201">
          <cell r="E201" t="str">
            <v>D25018975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D25019037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D25019124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B25016713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D25019220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D25019249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D25019291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D25019449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B26000018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B26000036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D26000067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B26000277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B26000503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D26000639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D26000680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D26000704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D26001245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D26001249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D26001321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D26001350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B26001535</v>
          </cell>
          <cell r="AP221">
            <v>0</v>
          </cell>
          <cell r="AQ221">
            <v>0</v>
          </cell>
          <cell r="AV221">
            <v>4240000</v>
          </cell>
        </row>
        <row r="222">
          <cell r="E222" t="str">
            <v>D26001617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D26001965</v>
          </cell>
          <cell r="AP223">
            <v>0</v>
          </cell>
          <cell r="AQ223">
            <v>0</v>
          </cell>
          <cell r="AV223">
            <v>5340000</v>
          </cell>
        </row>
        <row r="224">
          <cell r="E224" t="str">
            <v>B26002292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B26002296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B26002297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D26000079</v>
          </cell>
          <cell r="AP227">
            <v>0</v>
          </cell>
          <cell r="AQ227">
            <v>0</v>
          </cell>
          <cell r="AV227">
            <v>12380000</v>
          </cell>
        </row>
        <row r="228">
          <cell r="E228" t="str">
            <v>Z26000280</v>
          </cell>
          <cell r="AP228">
            <v>0</v>
          </cell>
          <cell r="AQ228">
            <v>0</v>
          </cell>
          <cell r="AV228">
            <v>1840000</v>
          </cell>
        </row>
        <row r="229">
          <cell r="E229" t="str">
            <v>Z26000281</v>
          </cell>
          <cell r="AP229">
            <v>0</v>
          </cell>
          <cell r="AQ229">
            <v>0</v>
          </cell>
          <cell r="AV229">
            <v>25200000</v>
          </cell>
        </row>
        <row r="230">
          <cell r="E230" t="str">
            <v>Z26000393</v>
          </cell>
          <cell r="AP230">
            <v>0</v>
          </cell>
          <cell r="AQ230">
            <v>0</v>
          </cell>
          <cell r="AV230">
            <v>9900000</v>
          </cell>
        </row>
        <row r="231">
          <cell r="E231" t="str">
            <v>Z26000403</v>
          </cell>
          <cell r="AP231">
            <v>0</v>
          </cell>
          <cell r="AQ231">
            <v>0</v>
          </cell>
          <cell r="AV231">
            <v>1380000</v>
          </cell>
        </row>
        <row r="232">
          <cell r="E232" t="str">
            <v>Z26000422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Z26000435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T25000256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D25013188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D25013189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D25014399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D25014400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D25014400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D25014401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D25014402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D25014565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D25015128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D25015391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D25015392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B25013376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B25013376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B25013377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D25015771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D25015841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D25015841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D25015855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D25016189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D25016189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D25016190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D25016190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D25016190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D25016191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D25016191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D25016191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D25016191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D25016198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D25016443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B25014324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B25014324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B25014325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B25014325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B25014326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B25014326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D25016655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D25016794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D25016795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D25016961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D25016961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D25016961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D25016963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D25016964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D25016964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D25016965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D25016965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D25016965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D25016965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D25017219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D25017219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D25017238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D25017238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D25017238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D25017238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D25017452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D25017452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D25017452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D25017452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D25017453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D25017788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D25017788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D25017788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D25017788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D25017789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D25017790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D25018075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D25018075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D25018075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D25018076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D25018076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D25018077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B25015852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D25018249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D25018249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D25018249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D25018249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D25018250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D25018468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D25018468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D25018468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D25018526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D25018526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D25018527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B25016302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B25016302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B25016302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B25016303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D25018894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D25018894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D25018894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D25018894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D25018895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D25018895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D25018895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D25018895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B25016442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D25019161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D25019167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D25019167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D25019260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D25019260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D25019260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D25019260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D25019261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D25019262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D25019262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D25019519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D25019519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D25019519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D25019519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D25019519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D25019520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D25019715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D25019715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D25019716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D25019716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D26000239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D26000239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D26000239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D26000240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D26000240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D26000543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D26000543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D26000543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D26000544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D26000544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D26000545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D26000545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D26000990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D26000990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D26000991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D26000991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D26000991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D26000992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D26000992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D26000992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D26001308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D26001308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D26001308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D26001309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D26001550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D26001550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D26001550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D26001550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D26001550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D26001551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D26001552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D26001552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D26001711</v>
          </cell>
          <cell r="AP383">
            <v>0</v>
          </cell>
          <cell r="AQ383">
            <v>50000000</v>
          </cell>
          <cell r="AV383">
            <v>0</v>
          </cell>
        </row>
        <row r="384">
          <cell r="E384" t="str">
            <v>D26001711</v>
          </cell>
          <cell r="AP384">
            <v>0</v>
          </cell>
          <cell r="AQ384">
            <v>35000000</v>
          </cell>
          <cell r="AV384">
            <v>0</v>
          </cell>
        </row>
        <row r="385">
          <cell r="E385" t="str">
            <v>D26001712</v>
          </cell>
          <cell r="AP385">
            <v>0</v>
          </cell>
          <cell r="AQ385">
            <v>20000000</v>
          </cell>
          <cell r="AV385">
            <v>0</v>
          </cell>
        </row>
        <row r="386">
          <cell r="E386" t="str">
            <v>D26001712</v>
          </cell>
          <cell r="AP386">
            <v>0</v>
          </cell>
          <cell r="AQ386">
            <v>78750000</v>
          </cell>
          <cell r="AV386">
            <v>0</v>
          </cell>
        </row>
        <row r="387">
          <cell r="E387" t="str">
            <v>D26001712</v>
          </cell>
          <cell r="AP387">
            <v>0</v>
          </cell>
          <cell r="AQ387">
            <v>163295000</v>
          </cell>
          <cell r="AV387">
            <v>0</v>
          </cell>
        </row>
        <row r="388">
          <cell r="E388" t="str">
            <v>D26001712</v>
          </cell>
          <cell r="AP388">
            <v>0</v>
          </cell>
          <cell r="AQ388">
            <v>117375000</v>
          </cell>
          <cell r="AV388">
            <v>0</v>
          </cell>
        </row>
        <row r="389">
          <cell r="E389" t="str">
            <v>D26001713</v>
          </cell>
          <cell r="AP389">
            <v>0</v>
          </cell>
          <cell r="AQ389">
            <v>282625000</v>
          </cell>
          <cell r="AV389">
            <v>0</v>
          </cell>
        </row>
        <row r="390">
          <cell r="E390" t="str">
            <v>D26001952</v>
          </cell>
          <cell r="AP390">
            <v>0</v>
          </cell>
          <cell r="AQ390">
            <v>50000000</v>
          </cell>
          <cell r="AV390">
            <v>0</v>
          </cell>
        </row>
        <row r="391">
          <cell r="E391" t="str">
            <v>D26001952</v>
          </cell>
          <cell r="AP391">
            <v>0</v>
          </cell>
          <cell r="AQ391">
            <v>100000000</v>
          </cell>
          <cell r="AV391">
            <v>0</v>
          </cell>
        </row>
        <row r="392">
          <cell r="E392" t="str">
            <v>D26001952</v>
          </cell>
          <cell r="AP392">
            <v>0</v>
          </cell>
          <cell r="AQ392">
            <v>480000000</v>
          </cell>
          <cell r="AV392">
            <v>0</v>
          </cell>
        </row>
        <row r="393">
          <cell r="E393" t="str">
            <v>D26001952</v>
          </cell>
          <cell r="AP393">
            <v>0</v>
          </cell>
          <cell r="AQ393">
            <v>480000000</v>
          </cell>
          <cell r="AV393">
            <v>0</v>
          </cell>
        </row>
        <row r="394">
          <cell r="E394" t="str">
            <v>D26001952</v>
          </cell>
          <cell r="AP394">
            <v>0</v>
          </cell>
          <cell r="AQ394">
            <v>379250000</v>
          </cell>
          <cell r="AV394">
            <v>0</v>
          </cell>
        </row>
        <row r="395">
          <cell r="E395" t="str">
            <v>D26001953</v>
          </cell>
          <cell r="AP395">
            <v>0</v>
          </cell>
          <cell r="AQ395">
            <v>100750000</v>
          </cell>
          <cell r="AV395">
            <v>0</v>
          </cell>
        </row>
        <row r="396">
          <cell r="E396" t="str">
            <v>D26001953</v>
          </cell>
          <cell r="AP396">
            <v>0</v>
          </cell>
          <cell r="AQ396">
            <v>481250000</v>
          </cell>
          <cell r="AV396">
            <v>0</v>
          </cell>
        </row>
        <row r="397">
          <cell r="E397" t="str">
            <v>D26002263</v>
          </cell>
          <cell r="AP397">
            <v>0</v>
          </cell>
          <cell r="AQ397">
            <v>50000000</v>
          </cell>
          <cell r="AV397">
            <v>0</v>
          </cell>
        </row>
        <row r="398">
          <cell r="E398" t="str">
            <v>D26002263</v>
          </cell>
          <cell r="AP398">
            <v>0</v>
          </cell>
          <cell r="AQ398">
            <v>470000000</v>
          </cell>
          <cell r="AV398">
            <v>0</v>
          </cell>
        </row>
        <row r="399">
          <cell r="E399" t="str">
            <v>D26002263</v>
          </cell>
          <cell r="AP399">
            <v>0</v>
          </cell>
          <cell r="AQ399">
            <v>171135000</v>
          </cell>
          <cell r="AV399">
            <v>0</v>
          </cell>
        </row>
        <row r="400">
          <cell r="E400" t="str">
            <v>D26002264</v>
          </cell>
          <cell r="AP400">
            <v>0</v>
          </cell>
          <cell r="AQ400">
            <v>305450000</v>
          </cell>
          <cell r="AV400">
            <v>0</v>
          </cell>
        </row>
        <row r="401">
          <cell r="E401" t="str">
            <v>D26002475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D25019182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B25016701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D26001075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D26001150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D26001849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D26001872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D26001904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T25001886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B26000826</v>
          </cell>
          <cell r="AP410">
            <v>0</v>
          </cell>
          <cell r="AQ410">
            <v>0</v>
          </cell>
          <cell r="AV410">
            <v>9000000</v>
          </cell>
        </row>
        <row r="411">
          <cell r="E411" t="str">
            <v>D26002423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C26000127</v>
          </cell>
          <cell r="AP412">
            <v>0</v>
          </cell>
          <cell r="AQ412">
            <v>0</v>
          </cell>
          <cell r="AV412">
            <v>1190500</v>
          </cell>
        </row>
        <row r="413">
          <cell r="E413" t="str">
            <v>C26000128</v>
          </cell>
          <cell r="AP413">
            <v>0</v>
          </cell>
          <cell r="AQ413">
            <v>0</v>
          </cell>
          <cell r="AV413">
            <v>612500</v>
          </cell>
        </row>
        <row r="414">
          <cell r="E414" t="str">
            <v>C26000129</v>
          </cell>
          <cell r="AP414">
            <v>0</v>
          </cell>
          <cell r="AQ414">
            <v>0</v>
          </cell>
          <cell r="AV414">
            <v>613500</v>
          </cell>
        </row>
        <row r="415">
          <cell r="E415" t="str">
            <v>C26000130</v>
          </cell>
          <cell r="AP415">
            <v>0</v>
          </cell>
          <cell r="AQ415">
            <v>0</v>
          </cell>
          <cell r="AV415">
            <v>1027000</v>
          </cell>
        </row>
        <row r="416">
          <cell r="E416" t="str">
            <v>C26000131</v>
          </cell>
          <cell r="AP416">
            <v>0</v>
          </cell>
          <cell r="AQ416">
            <v>0</v>
          </cell>
          <cell r="AV416">
            <v>604500</v>
          </cell>
        </row>
        <row r="417">
          <cell r="E417" t="str">
            <v>B26001880</v>
          </cell>
          <cell r="AP417">
            <v>0</v>
          </cell>
          <cell r="AQ417">
            <v>0</v>
          </cell>
          <cell r="AV417">
            <v>6240000</v>
          </cell>
        </row>
        <row r="418">
          <cell r="E418" t="str">
            <v>B26001881</v>
          </cell>
          <cell r="AP418">
            <v>0</v>
          </cell>
          <cell r="AQ418">
            <v>0</v>
          </cell>
          <cell r="AV418">
            <v>1750000</v>
          </cell>
        </row>
        <row r="419">
          <cell r="E419" t="str">
            <v>B26002043</v>
          </cell>
          <cell r="AP419">
            <v>0</v>
          </cell>
          <cell r="AQ419">
            <v>0</v>
          </cell>
          <cell r="AV419">
            <v>1720000</v>
          </cell>
        </row>
        <row r="420">
          <cell r="E420" t="str">
            <v>D26002484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D26002485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Z26000202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Z26000333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B26000646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B26000648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B26001037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B26001038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B26001062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D25016698</v>
          </cell>
          <cell r="AP429">
            <v>0</v>
          </cell>
          <cell r="AQ429">
            <v>0</v>
          </cell>
          <cell r="AV429">
            <v>30000000</v>
          </cell>
        </row>
        <row r="430">
          <cell r="E430" t="str">
            <v>D25018660</v>
          </cell>
          <cell r="AP430">
            <v>0</v>
          </cell>
          <cell r="AQ430">
            <v>0</v>
          </cell>
          <cell r="AV430">
            <v>1000000</v>
          </cell>
        </row>
        <row r="431">
          <cell r="E431" t="str">
            <v>B25016044</v>
          </cell>
          <cell r="AP431">
            <v>0</v>
          </cell>
          <cell r="AQ431">
            <v>0</v>
          </cell>
          <cell r="AV431">
            <v>11360000</v>
          </cell>
        </row>
        <row r="432">
          <cell r="E432" t="str">
            <v>D25018669</v>
          </cell>
          <cell r="AP432">
            <v>0</v>
          </cell>
          <cell r="AQ432">
            <v>0</v>
          </cell>
          <cell r="AV432">
            <v>4960000</v>
          </cell>
        </row>
        <row r="433">
          <cell r="E433" t="str">
            <v>D26000989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D26001773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B26001794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B26000714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D26002456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B26000182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D25006386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D26000905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B26001177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D26001671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B26001724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B25016499</v>
          </cell>
          <cell r="AP444">
            <v>0</v>
          </cell>
          <cell r="AQ444">
            <v>0</v>
          </cell>
          <cell r="AV444">
            <v>1480000</v>
          </cell>
        </row>
        <row r="445">
          <cell r="E445" t="str">
            <v>B26000151</v>
          </cell>
          <cell r="AP445">
            <v>0</v>
          </cell>
          <cell r="AQ445">
            <v>0</v>
          </cell>
          <cell r="AV445">
            <v>1000000</v>
          </cell>
        </row>
        <row r="446">
          <cell r="E446" t="str">
            <v>B26000152</v>
          </cell>
          <cell r="AP446">
            <v>0</v>
          </cell>
          <cell r="AQ446">
            <v>0</v>
          </cell>
          <cell r="AV446">
            <v>690000</v>
          </cell>
        </row>
        <row r="447">
          <cell r="E447" t="str">
            <v>B26001557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D26001708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B25014534</v>
          </cell>
          <cell r="AP449">
            <v>0</v>
          </cell>
          <cell r="AQ449">
            <v>0</v>
          </cell>
          <cell r="AV449">
            <v>76800000</v>
          </cell>
        </row>
        <row r="450">
          <cell r="E450" t="str">
            <v>B25015617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B25015996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D25019679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D25019723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B26000334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B26000384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B26000390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B26000860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D26002031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D26002105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D26002145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D26002163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D26002424</v>
          </cell>
          <cell r="AP462">
            <v>0</v>
          </cell>
          <cell r="AQ462">
            <v>0</v>
          </cell>
          <cell r="AV462">
            <v>3600000</v>
          </cell>
        </row>
        <row r="463">
          <cell r="E463" t="str">
            <v>B26000597</v>
          </cell>
          <cell r="AP463">
            <v>0</v>
          </cell>
          <cell r="AQ463">
            <v>0</v>
          </cell>
          <cell r="AV463">
            <v>1000000</v>
          </cell>
        </row>
        <row r="464">
          <cell r="E464" t="str">
            <v>B26000597</v>
          </cell>
          <cell r="AP464">
            <v>0</v>
          </cell>
          <cell r="AQ464">
            <v>0</v>
          </cell>
          <cell r="AV464">
            <v>1458800</v>
          </cell>
        </row>
        <row r="465">
          <cell r="E465" t="str">
            <v>D26001756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D26001757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T26000152</v>
          </cell>
          <cell r="AP467">
            <v>0</v>
          </cell>
          <cell r="AQ467">
            <v>0</v>
          </cell>
          <cell r="AV467">
            <v>2025000</v>
          </cell>
        </row>
        <row r="468">
          <cell r="E468" t="str">
            <v>T26000155</v>
          </cell>
          <cell r="AP468">
            <v>0</v>
          </cell>
          <cell r="AQ468">
            <v>0</v>
          </cell>
          <cell r="AV468">
            <v>2025000</v>
          </cell>
        </row>
        <row r="469">
          <cell r="E469" t="str">
            <v>Z25003337</v>
          </cell>
          <cell r="AP469">
            <v>0</v>
          </cell>
          <cell r="AQ469">
            <v>0</v>
          </cell>
          <cell r="AV469">
            <v>6000000</v>
          </cell>
        </row>
        <row r="470">
          <cell r="E470" t="str">
            <v>Z26000031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Z26000430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B26001916</v>
          </cell>
          <cell r="AP472">
            <v>0</v>
          </cell>
          <cell r="AQ472">
            <v>0</v>
          </cell>
          <cell r="AV472">
            <v>7956000</v>
          </cell>
        </row>
        <row r="473">
          <cell r="E473" t="str">
            <v>B25012277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D25018390</v>
          </cell>
          <cell r="AP474">
            <v>0</v>
          </cell>
          <cell r="AQ474">
            <v>0</v>
          </cell>
          <cell r="AV474">
            <v>83300500</v>
          </cell>
        </row>
        <row r="475">
          <cell r="E475" t="str">
            <v>B25016665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B25016866</v>
          </cell>
          <cell r="AP476">
            <v>0</v>
          </cell>
          <cell r="AQ476">
            <v>0</v>
          </cell>
          <cell r="AV476">
            <v>14400000</v>
          </cell>
        </row>
        <row r="477">
          <cell r="E477" t="str">
            <v>D25019475</v>
          </cell>
          <cell r="AP477">
            <v>0</v>
          </cell>
          <cell r="AQ477">
            <v>0</v>
          </cell>
          <cell r="AV477">
            <v>72150000</v>
          </cell>
        </row>
        <row r="478">
          <cell r="E478" t="str">
            <v>D25019575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D25019604</v>
          </cell>
          <cell r="AP479">
            <v>0</v>
          </cell>
          <cell r="AQ479">
            <v>0</v>
          </cell>
          <cell r="AV479">
            <v>374500</v>
          </cell>
        </row>
        <row r="480">
          <cell r="E480" t="str">
            <v>D25019606</v>
          </cell>
          <cell r="AP480">
            <v>0</v>
          </cell>
          <cell r="AQ480">
            <v>0</v>
          </cell>
          <cell r="AV480">
            <v>9500000</v>
          </cell>
        </row>
        <row r="481">
          <cell r="E481" t="str">
            <v>B26000069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B26000070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>
            <v>260006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D26000527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D26000528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D26000529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D26000537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B26000535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D26000574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D26000700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B26000909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B26000910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D26000998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D26001168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D26001203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B26001335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B26001404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B26001514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B26001515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B26001516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B26001549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D26001806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D26001818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>
            <v>260011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D26002028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D26002057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D26002189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D26002190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B26000555</v>
          </cell>
          <cell r="AP509">
            <v>0</v>
          </cell>
          <cell r="AQ509">
            <v>0</v>
          </cell>
          <cell r="AV509">
            <v>41000000</v>
          </cell>
        </row>
        <row r="510">
          <cell r="E510" t="str">
            <v>B26000724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Z26000007</v>
          </cell>
          <cell r="AP511">
            <v>0</v>
          </cell>
          <cell r="AQ511">
            <v>0</v>
          </cell>
          <cell r="AV511">
            <v>950000</v>
          </cell>
        </row>
        <row r="512">
          <cell r="E512" t="str">
            <v>Z26000011</v>
          </cell>
          <cell r="AP512">
            <v>0</v>
          </cell>
          <cell r="AQ512">
            <v>0</v>
          </cell>
          <cell r="AV512">
            <v>405000</v>
          </cell>
        </row>
        <row r="513">
          <cell r="E513" t="str">
            <v>Z26000359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D25019316</v>
          </cell>
          <cell r="AP514">
            <v>0</v>
          </cell>
          <cell r="AQ514">
            <v>0</v>
          </cell>
          <cell r="AV514">
            <v>16855500</v>
          </cell>
        </row>
        <row r="515">
          <cell r="E515" t="str">
            <v>B25016806</v>
          </cell>
          <cell r="AP515">
            <v>0</v>
          </cell>
          <cell r="AQ515">
            <v>0</v>
          </cell>
          <cell r="AV515">
            <v>18600000</v>
          </cell>
        </row>
        <row r="516">
          <cell r="E516" t="str">
            <v>D26001473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D26001474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B26001423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D25017065</v>
          </cell>
          <cell r="AP519">
            <v>0</v>
          </cell>
          <cell r="AQ519">
            <v>0</v>
          </cell>
          <cell r="AV519">
            <v>900000</v>
          </cell>
        </row>
        <row r="520">
          <cell r="E520" t="str">
            <v>D25019020</v>
          </cell>
          <cell r="AP520">
            <v>0</v>
          </cell>
          <cell r="AQ520">
            <v>0</v>
          </cell>
          <cell r="AV520">
            <v>5175000</v>
          </cell>
        </row>
        <row r="521">
          <cell r="E521" t="str">
            <v>D25018709</v>
          </cell>
          <cell r="AP521">
            <v>0</v>
          </cell>
          <cell r="AQ521">
            <v>0</v>
          </cell>
          <cell r="AV521">
            <v>6750000</v>
          </cell>
        </row>
        <row r="522">
          <cell r="E522" t="str">
            <v>T25001848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D25019357</v>
          </cell>
          <cell r="AP523">
            <v>0</v>
          </cell>
          <cell r="AQ523">
            <v>0</v>
          </cell>
          <cell r="AV523">
            <v>18800000</v>
          </cell>
        </row>
        <row r="524">
          <cell r="E524" t="str">
            <v>D25019357</v>
          </cell>
          <cell r="AP524">
            <v>0</v>
          </cell>
          <cell r="AQ524">
            <v>0</v>
          </cell>
          <cell r="AV524">
            <v>10000000</v>
          </cell>
        </row>
        <row r="525">
          <cell r="E525" t="str">
            <v>D25019358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D25019359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D26000419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B26000844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B26001355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D26001483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D26001484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D26001647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C26000109</v>
          </cell>
          <cell r="AP533">
            <v>0</v>
          </cell>
          <cell r="AQ533">
            <v>0</v>
          </cell>
          <cell r="AV533">
            <v>830000</v>
          </cell>
        </row>
        <row r="534">
          <cell r="E534" t="str">
            <v>D25012415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R25000117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R25000118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R25000119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R25000122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R25000123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R25000124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R25000128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R25000135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R25000136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R25000137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R25000138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R25000139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R25000140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R26000007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D25017747</v>
          </cell>
          <cell r="AP549">
            <v>0</v>
          </cell>
          <cell r="AQ549">
            <v>0</v>
          </cell>
          <cell r="AV549">
            <v>5000000</v>
          </cell>
        </row>
        <row r="550">
          <cell r="E550" t="str">
            <v>T26000161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D25019190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T26000116</v>
          </cell>
          <cell r="AP552">
            <v>0</v>
          </cell>
          <cell r="AQ552">
            <v>0</v>
          </cell>
          <cell r="AV552">
            <v>5100000</v>
          </cell>
        </row>
        <row r="553">
          <cell r="E553" t="str">
            <v>B26002298</v>
          </cell>
          <cell r="AP553">
            <v>0</v>
          </cell>
          <cell r="AQ553">
            <v>0</v>
          </cell>
          <cell r="AV553">
            <v>4670000</v>
          </cell>
        </row>
        <row r="554">
          <cell r="E554" t="str">
            <v>B25013380</v>
          </cell>
          <cell r="AP554">
            <v>0</v>
          </cell>
          <cell r="AQ554">
            <v>0</v>
          </cell>
          <cell r="AV554">
            <v>17280000</v>
          </cell>
        </row>
        <row r="555">
          <cell r="E555" t="str">
            <v>D25017981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D25019585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D25019578</v>
          </cell>
          <cell r="AP557">
            <v>0</v>
          </cell>
          <cell r="AQ557">
            <v>0</v>
          </cell>
          <cell r="AV557">
            <v>4130000</v>
          </cell>
        </row>
        <row r="558">
          <cell r="E558" t="str">
            <v>T26000022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B26001034</v>
          </cell>
          <cell r="AP559">
            <v>0</v>
          </cell>
          <cell r="AQ559">
            <v>0</v>
          </cell>
          <cell r="AV559">
            <v>2820000</v>
          </cell>
        </row>
        <row r="560">
          <cell r="E560" t="str">
            <v>D26001643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D26002254</v>
          </cell>
          <cell r="AP561">
            <v>0</v>
          </cell>
          <cell r="AQ561">
            <v>0</v>
          </cell>
          <cell r="AV561">
            <v>4400000</v>
          </cell>
        </row>
        <row r="562">
          <cell r="E562" t="str">
            <v>D26002472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B26001043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B26001044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B25016761</v>
          </cell>
          <cell r="AP565">
            <v>0</v>
          </cell>
          <cell r="AQ565">
            <v>0</v>
          </cell>
          <cell r="AV565">
            <v>3000000</v>
          </cell>
        </row>
        <row r="566">
          <cell r="E566" t="str">
            <v>D25019641</v>
          </cell>
          <cell r="AP566">
            <v>0</v>
          </cell>
          <cell r="AQ566">
            <v>0</v>
          </cell>
          <cell r="AV566">
            <v>4760000</v>
          </cell>
        </row>
        <row r="567">
          <cell r="E567" t="str">
            <v>D26000096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B26000527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D26000602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D26000702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D26001737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D26002458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D26002236</v>
          </cell>
          <cell r="AP573">
            <v>0</v>
          </cell>
          <cell r="AQ573">
            <v>0</v>
          </cell>
          <cell r="AV573">
            <v>16500000</v>
          </cell>
        </row>
        <row r="574">
          <cell r="E574" t="str">
            <v>D26000849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B26000883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D26002131</v>
          </cell>
          <cell r="AP576">
            <v>0</v>
          </cell>
          <cell r="AQ576">
            <v>0</v>
          </cell>
          <cell r="AV576">
            <v>11064000</v>
          </cell>
        </row>
        <row r="577">
          <cell r="E577" t="str">
            <v>B26002115</v>
          </cell>
          <cell r="AP577">
            <v>0</v>
          </cell>
          <cell r="AQ577">
            <v>0</v>
          </cell>
          <cell r="AV577">
            <v>3000000</v>
          </cell>
        </row>
        <row r="578">
          <cell r="E578" t="str">
            <v>D26001454</v>
          </cell>
          <cell r="AP578">
            <v>0</v>
          </cell>
          <cell r="AQ578">
            <v>0</v>
          </cell>
          <cell r="AV578">
            <v>6840000</v>
          </cell>
        </row>
        <row r="579">
          <cell r="E579" t="str">
            <v>B25016222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T25001847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D25017632</v>
          </cell>
          <cell r="AP581">
            <v>0</v>
          </cell>
          <cell r="AQ581">
            <v>0</v>
          </cell>
          <cell r="AV581">
            <v>20000000</v>
          </cell>
        </row>
        <row r="582">
          <cell r="E582" t="str">
            <v>B25015486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B25016160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B25016541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D25019609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B26000809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B26001272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D26002126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D26002127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D26002128</v>
          </cell>
          <cell r="AP590">
            <v>0</v>
          </cell>
          <cell r="AQ590">
            <v>0</v>
          </cell>
          <cell r="AV590">
            <v>2700000</v>
          </cell>
        </row>
        <row r="591">
          <cell r="E591" t="str">
            <v>B26002187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B25015937</v>
          </cell>
          <cell r="AP592">
            <v>0</v>
          </cell>
          <cell r="AQ592">
            <v>0</v>
          </cell>
          <cell r="AV592">
            <v>5000000</v>
          </cell>
        </row>
        <row r="593">
          <cell r="E593" t="str">
            <v>D25018391</v>
          </cell>
          <cell r="AP593">
            <v>0</v>
          </cell>
          <cell r="AQ593">
            <v>0</v>
          </cell>
          <cell r="AV593">
            <v>1926000</v>
          </cell>
        </row>
        <row r="594">
          <cell r="E594" t="str">
            <v>D25018495</v>
          </cell>
          <cell r="AP594">
            <v>0</v>
          </cell>
          <cell r="AQ594">
            <v>0</v>
          </cell>
          <cell r="AV594">
            <v>3800000</v>
          </cell>
        </row>
        <row r="595">
          <cell r="E595" t="str">
            <v>B25016788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B25016801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D26000133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B26001156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B25015809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D25018713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D25018736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D25019374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B26001356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B26001361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B25016810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D26000009</v>
          </cell>
          <cell r="AP606">
            <v>0</v>
          </cell>
          <cell r="AQ606">
            <v>0</v>
          </cell>
          <cell r="AV606">
            <v>5702000</v>
          </cell>
        </row>
        <row r="607">
          <cell r="E607" t="str">
            <v>D26000175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D26000291</v>
          </cell>
          <cell r="AP608">
            <v>0</v>
          </cell>
          <cell r="AQ608">
            <v>0</v>
          </cell>
          <cell r="AV608">
            <v>3570000</v>
          </cell>
        </row>
        <row r="609">
          <cell r="E609" t="str">
            <v>B26000394</v>
          </cell>
          <cell r="AP609">
            <v>0</v>
          </cell>
          <cell r="AQ609">
            <v>0</v>
          </cell>
          <cell r="AV609">
            <v>2910000</v>
          </cell>
        </row>
        <row r="610">
          <cell r="E610" t="str">
            <v>D26000608</v>
          </cell>
          <cell r="AP610">
            <v>0</v>
          </cell>
          <cell r="AQ610">
            <v>0</v>
          </cell>
          <cell r="AV610">
            <v>5000000</v>
          </cell>
        </row>
        <row r="611">
          <cell r="E611" t="str">
            <v>D26001544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B26001752</v>
          </cell>
          <cell r="AP612">
            <v>0</v>
          </cell>
          <cell r="AQ612">
            <v>0</v>
          </cell>
          <cell r="AV612">
            <v>9900000</v>
          </cell>
        </row>
        <row r="613">
          <cell r="E613" t="str">
            <v>D26001895</v>
          </cell>
          <cell r="AP613">
            <v>0</v>
          </cell>
          <cell r="AQ613">
            <v>0</v>
          </cell>
          <cell r="AV613">
            <v>4800000</v>
          </cell>
        </row>
        <row r="614">
          <cell r="E614" t="str">
            <v>T26000129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B26001892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D26002425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B26001904</v>
          </cell>
          <cell r="AP617">
            <v>0</v>
          </cell>
          <cell r="AQ617">
            <v>0</v>
          </cell>
          <cell r="AV617">
            <v>1410000</v>
          </cell>
        </row>
        <row r="618">
          <cell r="E618" t="str">
            <v>T26000143</v>
          </cell>
          <cell r="AP618">
            <v>0</v>
          </cell>
          <cell r="AQ618">
            <v>0</v>
          </cell>
          <cell r="AV618">
            <v>4700000</v>
          </cell>
        </row>
        <row r="619">
          <cell r="E619" t="str">
            <v>Z26000302</v>
          </cell>
          <cell r="AP619">
            <v>0</v>
          </cell>
          <cell r="AQ619">
            <v>0</v>
          </cell>
          <cell r="AV619">
            <v>196000000</v>
          </cell>
        </row>
        <row r="620">
          <cell r="E620" t="str">
            <v>Z26000436</v>
          </cell>
          <cell r="AP620">
            <v>0</v>
          </cell>
          <cell r="AQ620">
            <v>0</v>
          </cell>
          <cell r="AV620">
            <v>300000000</v>
          </cell>
        </row>
        <row r="621">
          <cell r="E621" t="str">
            <v>Z26000436</v>
          </cell>
          <cell r="AP621">
            <v>0</v>
          </cell>
          <cell r="AQ621">
            <v>0</v>
          </cell>
          <cell r="AV621">
            <v>100000000</v>
          </cell>
        </row>
        <row r="622">
          <cell r="E622" t="str">
            <v>B26000551</v>
          </cell>
          <cell r="AP622">
            <v>0</v>
          </cell>
          <cell r="AQ622">
            <v>0</v>
          </cell>
          <cell r="AV622">
            <v>4368000</v>
          </cell>
        </row>
        <row r="623">
          <cell r="E623" t="str">
            <v>B25014707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D25017141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B25014931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D25017423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D25017844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D25018214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B25015950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D25018563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D25018926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B25016641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B25016818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D25019593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B25017081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D25019706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D25019710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B26000138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D26000224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D26000755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D26000858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D26001091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B26001141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B26001288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D26001535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D26001594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D26001609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B26001569</v>
          </cell>
          <cell r="AP648">
            <v>0</v>
          </cell>
          <cell r="AQ648">
            <v>0</v>
          </cell>
          <cell r="AV648">
            <v>156000000</v>
          </cell>
        </row>
        <row r="649">
          <cell r="E649" t="str">
            <v>D26001683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D26001715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D26001857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B26001812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B26001813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B26001917</v>
          </cell>
          <cell r="AP654">
            <v>0</v>
          </cell>
          <cell r="AQ654">
            <v>0</v>
          </cell>
          <cell r="AV654">
            <v>156000000</v>
          </cell>
        </row>
        <row r="655">
          <cell r="E655" t="str">
            <v>B26001918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B26001964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D26002125</v>
          </cell>
          <cell r="AP657">
            <v>0</v>
          </cell>
          <cell r="AQ657">
            <v>0</v>
          </cell>
          <cell r="AV657">
            <v>131500000</v>
          </cell>
        </row>
        <row r="658">
          <cell r="E658" t="str">
            <v>D26002205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D26002400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D25018806</v>
          </cell>
          <cell r="AP660">
            <v>0</v>
          </cell>
          <cell r="AQ660">
            <v>0</v>
          </cell>
          <cell r="AV660">
            <v>3120000</v>
          </cell>
        </row>
        <row r="661">
          <cell r="E661" t="str">
            <v>B26001086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B25016136</v>
          </cell>
          <cell r="AP662">
            <v>0</v>
          </cell>
          <cell r="AQ662">
            <v>0</v>
          </cell>
          <cell r="AV662">
            <v>80425000</v>
          </cell>
        </row>
        <row r="663">
          <cell r="E663" t="str">
            <v>D25018874</v>
          </cell>
          <cell r="AP663">
            <v>0</v>
          </cell>
          <cell r="AQ663">
            <v>0</v>
          </cell>
          <cell r="AV663">
            <v>45000</v>
          </cell>
        </row>
        <row r="664">
          <cell r="E664" t="str">
            <v>D25018874</v>
          </cell>
          <cell r="AP664">
            <v>0</v>
          </cell>
          <cell r="AQ664">
            <v>0</v>
          </cell>
          <cell r="AV664">
            <v>16995000</v>
          </cell>
        </row>
        <row r="665">
          <cell r="E665" t="str">
            <v>B25016479</v>
          </cell>
          <cell r="AP665">
            <v>0</v>
          </cell>
          <cell r="AQ665">
            <v>0</v>
          </cell>
          <cell r="AV665">
            <v>11750000</v>
          </cell>
        </row>
        <row r="666">
          <cell r="E666" t="str">
            <v>D25018918</v>
          </cell>
          <cell r="AP666">
            <v>0</v>
          </cell>
          <cell r="AQ666">
            <v>0</v>
          </cell>
          <cell r="AV666">
            <v>10912000</v>
          </cell>
        </row>
        <row r="667">
          <cell r="E667" t="str">
            <v>D25018925</v>
          </cell>
          <cell r="AP667">
            <v>0</v>
          </cell>
          <cell r="AQ667">
            <v>0</v>
          </cell>
          <cell r="AV667">
            <v>12067000</v>
          </cell>
        </row>
        <row r="668">
          <cell r="E668" t="str">
            <v>D25018925</v>
          </cell>
          <cell r="AP668">
            <v>0</v>
          </cell>
          <cell r="AQ668">
            <v>0</v>
          </cell>
          <cell r="AV668">
            <v>11705000</v>
          </cell>
        </row>
        <row r="669">
          <cell r="E669" t="str">
            <v>B25016524</v>
          </cell>
          <cell r="AP669">
            <v>0</v>
          </cell>
          <cell r="AQ669">
            <v>0</v>
          </cell>
          <cell r="AV669">
            <v>23210000</v>
          </cell>
        </row>
        <row r="670">
          <cell r="E670" t="str">
            <v>D25019081</v>
          </cell>
          <cell r="AP670">
            <v>0</v>
          </cell>
          <cell r="AQ670">
            <v>0</v>
          </cell>
          <cell r="AV670">
            <v>43000000</v>
          </cell>
        </row>
        <row r="671">
          <cell r="E671" t="str">
            <v>D25019238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B25016827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B25016850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D25019442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T25001888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T25001889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D25019560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D25019582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T25001893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B25017084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D25019625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D25019638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T25001895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B25017141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T25001897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T25001899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D26000034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D26000124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D26000127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T26000002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B26000213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B26000342</v>
          </cell>
          <cell r="AP692">
            <v>0</v>
          </cell>
          <cell r="AQ692">
            <v>0</v>
          </cell>
          <cell r="AV692">
            <v>45000</v>
          </cell>
        </row>
        <row r="693">
          <cell r="E693" t="str">
            <v>B26000342</v>
          </cell>
          <cell r="AP693">
            <v>0</v>
          </cell>
          <cell r="AQ693">
            <v>0</v>
          </cell>
          <cell r="AV693">
            <v>10000000</v>
          </cell>
        </row>
        <row r="694">
          <cell r="E694" t="str">
            <v>B26000342</v>
          </cell>
          <cell r="AP694">
            <v>0</v>
          </cell>
          <cell r="AQ694">
            <v>0</v>
          </cell>
          <cell r="AV694">
            <v>46705000</v>
          </cell>
        </row>
        <row r="695">
          <cell r="E695" t="str">
            <v>B26000406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B26000526</v>
          </cell>
          <cell r="AP696">
            <v>0</v>
          </cell>
          <cell r="AQ696">
            <v>0</v>
          </cell>
          <cell r="AV696">
            <v>12240000</v>
          </cell>
        </row>
        <row r="697">
          <cell r="E697" t="str">
            <v>B26000808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B26000857</v>
          </cell>
          <cell r="AP698">
            <v>0</v>
          </cell>
          <cell r="AQ698">
            <v>0</v>
          </cell>
          <cell r="AV698">
            <v>45000</v>
          </cell>
        </row>
        <row r="699">
          <cell r="E699" t="str">
            <v>B26000950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B26000993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D26001061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B26001003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B26001060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B26001291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B26001292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B26001301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B26001328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B26001545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B26001546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B26001584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B26001611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B26001624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B26001630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B26001699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B26001759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D26001896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D26001943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B26002010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B26002013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D26002323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D26002370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B26002282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D26002478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D26001704</v>
          </cell>
          <cell r="AP724">
            <v>0</v>
          </cell>
          <cell r="AQ724">
            <v>0</v>
          </cell>
          <cell r="AV724">
            <v>936000</v>
          </cell>
        </row>
        <row r="725">
          <cell r="E725" t="str">
            <v>D26001705</v>
          </cell>
          <cell r="AP725">
            <v>0</v>
          </cell>
          <cell r="AQ725">
            <v>0</v>
          </cell>
          <cell r="AV725">
            <v>1980000</v>
          </cell>
        </row>
        <row r="726">
          <cell r="E726" t="str">
            <v>D25016916</v>
          </cell>
          <cell r="AP726">
            <v>0</v>
          </cell>
          <cell r="AQ726">
            <v>0</v>
          </cell>
          <cell r="AV726">
            <v>6500000</v>
          </cell>
        </row>
        <row r="727">
          <cell r="E727" t="str">
            <v>B26000134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T26000044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B26001175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D25018297</v>
          </cell>
          <cell r="AP730">
            <v>0</v>
          </cell>
          <cell r="AQ730">
            <v>0</v>
          </cell>
          <cell r="AV730">
            <v>18200000</v>
          </cell>
        </row>
        <row r="731">
          <cell r="E731" t="str">
            <v>B25016084</v>
          </cell>
          <cell r="AP731">
            <v>0</v>
          </cell>
          <cell r="AQ731">
            <v>0</v>
          </cell>
          <cell r="AV731">
            <v>3800000</v>
          </cell>
        </row>
        <row r="732">
          <cell r="E732" t="str">
            <v>B26001020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B26001077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D26002241</v>
          </cell>
          <cell r="AP734">
            <v>0</v>
          </cell>
          <cell r="AQ734">
            <v>0</v>
          </cell>
          <cell r="AV734">
            <v>1825000</v>
          </cell>
        </row>
        <row r="735">
          <cell r="E735" t="str">
            <v>B26002278</v>
          </cell>
          <cell r="AP735">
            <v>0</v>
          </cell>
          <cell r="AQ735">
            <v>0</v>
          </cell>
          <cell r="AV735">
            <v>11400000</v>
          </cell>
        </row>
        <row r="736">
          <cell r="E736" t="str">
            <v>D25017223</v>
          </cell>
          <cell r="AP736">
            <v>0</v>
          </cell>
          <cell r="AQ736">
            <v>0</v>
          </cell>
          <cell r="AV736">
            <v>9100000</v>
          </cell>
        </row>
        <row r="737">
          <cell r="E737" t="str">
            <v>D25017245</v>
          </cell>
          <cell r="AP737">
            <v>0</v>
          </cell>
          <cell r="AQ737">
            <v>0</v>
          </cell>
          <cell r="AV737">
            <v>5550000</v>
          </cell>
        </row>
        <row r="738">
          <cell r="E738" t="str">
            <v>T25001823</v>
          </cell>
          <cell r="AP738">
            <v>0</v>
          </cell>
          <cell r="AQ738">
            <v>0</v>
          </cell>
          <cell r="AV738">
            <v>5400000</v>
          </cell>
        </row>
        <row r="739">
          <cell r="E739" t="str">
            <v>T25001852k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T25001855</v>
          </cell>
          <cell r="AP740">
            <v>0</v>
          </cell>
          <cell r="AQ740">
            <v>0</v>
          </cell>
          <cell r="AV740">
            <v>1825000</v>
          </cell>
        </row>
        <row r="741">
          <cell r="E741" t="str">
            <v>T25001876K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D25019523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B26000624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D26001188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B26001145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D26001379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D26001511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T26000102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B26001729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D26001884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R26000002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D25019537</v>
          </cell>
          <cell r="AP752">
            <v>0</v>
          </cell>
          <cell r="AQ752">
            <v>0</v>
          </cell>
          <cell r="AV752">
            <v>2000000</v>
          </cell>
        </row>
        <row r="753">
          <cell r="E753" t="str">
            <v>D25019537</v>
          </cell>
          <cell r="AP753">
            <v>0</v>
          </cell>
          <cell r="AQ753">
            <v>0</v>
          </cell>
          <cell r="AV753">
            <v>1000000</v>
          </cell>
        </row>
        <row r="754">
          <cell r="E754" t="str">
            <v>D25019537</v>
          </cell>
          <cell r="AP754">
            <v>0</v>
          </cell>
          <cell r="AQ754">
            <v>0</v>
          </cell>
          <cell r="AV754">
            <v>1600000</v>
          </cell>
        </row>
        <row r="755">
          <cell r="E755" t="str">
            <v>B26000319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D26001100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B26001632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D26000833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D26000837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R25000110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R25000112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B25016164</v>
          </cell>
          <cell r="AP762">
            <v>0</v>
          </cell>
          <cell r="AQ762">
            <v>0</v>
          </cell>
          <cell r="AV762">
            <v>550000</v>
          </cell>
        </row>
        <row r="763">
          <cell r="E763" t="str">
            <v>B26000017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D26000130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B26000322</v>
          </cell>
          <cell r="AP765">
            <v>0</v>
          </cell>
          <cell r="AQ765">
            <v>0</v>
          </cell>
          <cell r="AV765">
            <v>840000</v>
          </cell>
        </row>
        <row r="766">
          <cell r="E766" t="str">
            <v>B26000848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B26001470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D26001890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D25014349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T25001500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B25014182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D25016537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B25014607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B25014608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D25017082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D25017821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B25015456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T25001758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B25015814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B25015842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B25016842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D25019422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D25019489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D25019666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D26000624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D26001160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D26001161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D26001996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>
            <v>260012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D26002101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D26002102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D26002369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>
            <v>260013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D26002474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D26001338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B26001872</v>
          </cell>
          <cell r="AP796">
            <v>0</v>
          </cell>
          <cell r="AQ796">
            <v>0</v>
          </cell>
          <cell r="AV796">
            <v>285000000</v>
          </cell>
        </row>
        <row r="797">
          <cell r="E797" t="str">
            <v>B26001872</v>
          </cell>
          <cell r="AP797">
            <v>0</v>
          </cell>
          <cell r="AQ797">
            <v>0</v>
          </cell>
          <cell r="AV797">
            <v>200000000</v>
          </cell>
        </row>
        <row r="798">
          <cell r="E798" t="str">
            <v>B26001872</v>
          </cell>
          <cell r="AP798">
            <v>0</v>
          </cell>
          <cell r="AQ798">
            <v>0</v>
          </cell>
          <cell r="AV798">
            <v>70000000</v>
          </cell>
        </row>
        <row r="799">
          <cell r="E799" t="str">
            <v>B26001872</v>
          </cell>
          <cell r="AP799">
            <v>0</v>
          </cell>
          <cell r="AQ799">
            <v>0</v>
          </cell>
          <cell r="AV799">
            <v>175000000</v>
          </cell>
        </row>
        <row r="800">
          <cell r="E800" t="str">
            <v>B26001872</v>
          </cell>
          <cell r="AP800">
            <v>0</v>
          </cell>
          <cell r="AQ800">
            <v>0</v>
          </cell>
          <cell r="AV800">
            <v>16000000</v>
          </cell>
        </row>
        <row r="801">
          <cell r="E801" t="str">
            <v>D26002159</v>
          </cell>
          <cell r="AP801">
            <v>0</v>
          </cell>
          <cell r="AQ801">
            <v>0</v>
          </cell>
          <cell r="AV801">
            <v>546000000</v>
          </cell>
        </row>
        <row r="802">
          <cell r="E802" t="str">
            <v>D26002283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D26002441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D26002464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D25017231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B26002152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D25018661</v>
          </cell>
          <cell r="AP807">
            <v>0</v>
          </cell>
          <cell r="AQ807">
            <v>0</v>
          </cell>
          <cell r="AV807">
            <v>778500</v>
          </cell>
        </row>
        <row r="808">
          <cell r="E808" t="str">
            <v>B25016677</v>
          </cell>
          <cell r="AP808">
            <v>0</v>
          </cell>
          <cell r="AQ808">
            <v>0</v>
          </cell>
          <cell r="AV808">
            <v>451500</v>
          </cell>
        </row>
        <row r="809">
          <cell r="E809" t="str">
            <v>B25016677</v>
          </cell>
          <cell r="AP809">
            <v>0</v>
          </cell>
          <cell r="AQ809">
            <v>0</v>
          </cell>
          <cell r="AV809">
            <v>493500</v>
          </cell>
        </row>
        <row r="810">
          <cell r="E810" t="str">
            <v>B25017088</v>
          </cell>
          <cell r="AP810">
            <v>0</v>
          </cell>
          <cell r="AQ810">
            <v>0</v>
          </cell>
          <cell r="AV810">
            <v>406500</v>
          </cell>
        </row>
        <row r="811">
          <cell r="E811" t="str">
            <v>D25019689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D26000388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B26000677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D26001068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D26001822</v>
          </cell>
          <cell r="AP815">
            <v>0</v>
          </cell>
          <cell r="AQ815">
            <v>0</v>
          </cell>
          <cell r="AV815">
            <v>3275000</v>
          </cell>
        </row>
        <row r="816">
          <cell r="E816" t="str">
            <v>D25014948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D25015234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B25013096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B25013448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D25015924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D25016080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D25016533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D25016996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D25016997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D25017102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B25014869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D25017610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D25017855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B25015717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D25018080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D25018085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D25018086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D25018439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B25016097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D25018769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D25018770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D25018813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D25018838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D25019180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D25019218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B25016789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B25016790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D25019273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D25019547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D25019548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D26000094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D26001266</v>
          </cell>
          <cell r="AP847">
            <v>0</v>
          </cell>
          <cell r="AQ847">
            <v>0</v>
          </cell>
          <cell r="AV847">
            <v>66500000</v>
          </cell>
        </row>
        <row r="848">
          <cell r="E848" t="str">
            <v>D26001588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D26001629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D26001630</v>
          </cell>
          <cell r="AP850">
            <v>0</v>
          </cell>
          <cell r="AQ850">
            <v>0</v>
          </cell>
          <cell r="AV850">
            <v>21700000</v>
          </cell>
        </row>
        <row r="851">
          <cell r="E851" t="str">
            <v>D26001673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B26001596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B26001912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D26002087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B26001952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D26002121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D26002137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D26002286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D26002383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B26002047</v>
          </cell>
          <cell r="AP860">
            <v>0</v>
          </cell>
          <cell r="AQ860">
            <v>0</v>
          </cell>
          <cell r="AV860">
            <v>2520000</v>
          </cell>
        </row>
        <row r="861">
          <cell r="E861" t="str">
            <v>B26002048</v>
          </cell>
          <cell r="AP861">
            <v>0</v>
          </cell>
          <cell r="AQ861">
            <v>0</v>
          </cell>
          <cell r="AV861">
            <v>3187500</v>
          </cell>
        </row>
        <row r="862">
          <cell r="E862" t="str">
            <v>B26002290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B26002293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T26000158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B25014894</v>
          </cell>
          <cell r="AP865">
            <v>0</v>
          </cell>
          <cell r="AQ865">
            <v>0</v>
          </cell>
          <cell r="AV865">
            <v>1301000</v>
          </cell>
        </row>
        <row r="866">
          <cell r="E866" t="str">
            <v>D25018772</v>
          </cell>
          <cell r="AP866">
            <v>0</v>
          </cell>
          <cell r="AQ866">
            <v>0</v>
          </cell>
          <cell r="AV866">
            <v>1425000</v>
          </cell>
        </row>
        <row r="867">
          <cell r="E867" t="str">
            <v>B26001777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Z26000276</v>
          </cell>
          <cell r="AP868">
            <v>0</v>
          </cell>
          <cell r="AQ868">
            <v>0</v>
          </cell>
          <cell r="AV868">
            <v>248000</v>
          </cell>
        </row>
        <row r="869">
          <cell r="E869" t="str">
            <v>Z26000276</v>
          </cell>
          <cell r="AP869">
            <v>1500000</v>
          </cell>
          <cell r="AQ869">
            <v>0</v>
          </cell>
          <cell r="AV869">
            <v>0</v>
          </cell>
        </row>
        <row r="870">
          <cell r="E870" t="str">
            <v>Z26000277</v>
          </cell>
          <cell r="AP870">
            <v>0</v>
          </cell>
          <cell r="AQ870">
            <v>0</v>
          </cell>
          <cell r="AV870">
            <v>1224000</v>
          </cell>
        </row>
        <row r="871">
          <cell r="E871" t="str">
            <v>Z26000324</v>
          </cell>
          <cell r="AP871">
            <v>0</v>
          </cell>
          <cell r="AQ871">
            <v>0</v>
          </cell>
          <cell r="AV871">
            <v>3340000</v>
          </cell>
        </row>
        <row r="872">
          <cell r="E872" t="str">
            <v>Z26000331</v>
          </cell>
          <cell r="AP872">
            <v>0</v>
          </cell>
          <cell r="AQ872">
            <v>0</v>
          </cell>
          <cell r="AV872">
            <v>3960000</v>
          </cell>
        </row>
        <row r="873">
          <cell r="E873" t="str">
            <v>Z26000405</v>
          </cell>
          <cell r="AP873">
            <v>0</v>
          </cell>
          <cell r="AQ873">
            <v>0</v>
          </cell>
          <cell r="AV873">
            <v>13240000</v>
          </cell>
        </row>
        <row r="874">
          <cell r="E874" t="str">
            <v>Z26000406</v>
          </cell>
          <cell r="AP874">
            <v>0</v>
          </cell>
          <cell r="AQ874">
            <v>0</v>
          </cell>
          <cell r="AV874">
            <v>920000</v>
          </cell>
        </row>
        <row r="875">
          <cell r="E875" t="str">
            <v>T26000163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B26000075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B26001577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D25018699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D25019326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D26000844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T25001420</v>
          </cell>
          <cell r="AP881">
            <v>0</v>
          </cell>
          <cell r="AQ881">
            <v>0</v>
          </cell>
          <cell r="AV881">
            <v>1700000</v>
          </cell>
        </row>
        <row r="882">
          <cell r="E882" t="str">
            <v>T25001781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B26001689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D26000566</v>
          </cell>
          <cell r="AP884">
            <v>0</v>
          </cell>
          <cell r="AQ884">
            <v>0</v>
          </cell>
          <cell r="AV884">
            <v>8400000</v>
          </cell>
        </row>
        <row r="885">
          <cell r="E885" t="str">
            <v>D26000629</v>
          </cell>
          <cell r="AP885">
            <v>0</v>
          </cell>
          <cell r="AQ885">
            <v>0</v>
          </cell>
          <cell r="AV885">
            <v>3382400</v>
          </cell>
        </row>
        <row r="886">
          <cell r="E886" t="str">
            <v>D26001695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D26001759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D25018788</v>
          </cell>
          <cell r="AP888">
            <v>0</v>
          </cell>
          <cell r="AQ888">
            <v>0</v>
          </cell>
          <cell r="AV888">
            <v>2955000</v>
          </cell>
        </row>
        <row r="889">
          <cell r="E889" t="str">
            <v>B26002202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B25016487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D25019482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D26000025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D26000189</v>
          </cell>
          <cell r="AP893">
            <v>0</v>
          </cell>
          <cell r="AQ893">
            <v>0</v>
          </cell>
          <cell r="AV893">
            <v>5860000</v>
          </cell>
        </row>
        <row r="894">
          <cell r="E894" t="str">
            <v>B26000554</v>
          </cell>
          <cell r="AP894">
            <v>0</v>
          </cell>
          <cell r="AQ894">
            <v>0</v>
          </cell>
          <cell r="AV894">
            <v>2520000</v>
          </cell>
        </row>
        <row r="895">
          <cell r="E895" t="str">
            <v>D26000643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D26001778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B26002000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B26002003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D26002243</v>
          </cell>
          <cell r="AP899">
            <v>0</v>
          </cell>
          <cell r="AQ899">
            <v>0</v>
          </cell>
          <cell r="AV899">
            <v>5340000</v>
          </cell>
        </row>
        <row r="900">
          <cell r="E900" t="str">
            <v>B25012415</v>
          </cell>
          <cell r="AP900">
            <v>0</v>
          </cell>
          <cell r="AQ900">
            <v>0</v>
          </cell>
          <cell r="AV900">
            <v>7300000</v>
          </cell>
        </row>
        <row r="901">
          <cell r="E901" t="str">
            <v>D25018298</v>
          </cell>
          <cell r="AP901">
            <v>0</v>
          </cell>
          <cell r="AQ901">
            <v>0</v>
          </cell>
          <cell r="AV901">
            <v>1344000</v>
          </cell>
        </row>
        <row r="902">
          <cell r="E902" t="str">
            <v>B26000027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D25019611</v>
          </cell>
          <cell r="AP903">
            <v>0</v>
          </cell>
          <cell r="AQ903">
            <v>0</v>
          </cell>
          <cell r="AV903">
            <v>1000000</v>
          </cell>
        </row>
        <row r="904">
          <cell r="E904" t="str">
            <v>D25019631</v>
          </cell>
          <cell r="AP904">
            <v>0</v>
          </cell>
          <cell r="AQ904">
            <v>0</v>
          </cell>
          <cell r="AV904">
            <v>10125000</v>
          </cell>
        </row>
        <row r="905">
          <cell r="E905" t="str">
            <v>D25019670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D26002081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D26002081</v>
          </cell>
          <cell r="AP907">
            <v>0</v>
          </cell>
          <cell r="AQ907">
            <v>0</v>
          </cell>
          <cell r="AV907">
            <v>5008000</v>
          </cell>
        </row>
        <row r="908">
          <cell r="E908" t="str">
            <v>D26002164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B26002140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B25016413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B25014588</v>
          </cell>
          <cell r="AP911">
            <v>0</v>
          </cell>
          <cell r="AQ911">
            <v>0</v>
          </cell>
          <cell r="AV911">
            <v>3800000</v>
          </cell>
        </row>
        <row r="912">
          <cell r="E912" t="str">
            <v>B25014724</v>
          </cell>
          <cell r="AP912">
            <v>0</v>
          </cell>
          <cell r="AQ912">
            <v>0</v>
          </cell>
          <cell r="AV912">
            <v>3500000</v>
          </cell>
        </row>
        <row r="913">
          <cell r="E913" t="str">
            <v>B25014724</v>
          </cell>
          <cell r="AP913">
            <v>0</v>
          </cell>
          <cell r="AQ913">
            <v>0</v>
          </cell>
          <cell r="AV913">
            <v>3500000</v>
          </cell>
        </row>
        <row r="914">
          <cell r="E914" t="str">
            <v>B25014724</v>
          </cell>
          <cell r="AP914">
            <v>0</v>
          </cell>
          <cell r="AQ914">
            <v>0</v>
          </cell>
          <cell r="AV914">
            <v>2000000</v>
          </cell>
        </row>
        <row r="915">
          <cell r="E915" t="str">
            <v>B25014791</v>
          </cell>
          <cell r="AP915">
            <v>0</v>
          </cell>
          <cell r="AQ915">
            <v>0</v>
          </cell>
          <cell r="AV915">
            <v>1950000</v>
          </cell>
        </row>
        <row r="916">
          <cell r="E916" t="str">
            <v>B25014795</v>
          </cell>
          <cell r="AP916">
            <v>0</v>
          </cell>
          <cell r="AQ916">
            <v>0</v>
          </cell>
          <cell r="AV916">
            <v>3500000</v>
          </cell>
        </row>
        <row r="917">
          <cell r="E917" t="str">
            <v>B25014795</v>
          </cell>
          <cell r="AP917">
            <v>0</v>
          </cell>
          <cell r="AQ917">
            <v>0</v>
          </cell>
          <cell r="AV917">
            <v>4500000</v>
          </cell>
        </row>
        <row r="918">
          <cell r="E918" t="str">
            <v>B25014795</v>
          </cell>
          <cell r="AP918">
            <v>0</v>
          </cell>
          <cell r="AQ918">
            <v>0</v>
          </cell>
          <cell r="AV918">
            <v>2060000</v>
          </cell>
        </row>
        <row r="919">
          <cell r="E919" t="str">
            <v>D25017192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D25017199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B25014956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D25017383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D25017395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D25017616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B25015231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B25015232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D25017670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D25017719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B25015304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B25015318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B25015319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B25015415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D25017912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B25015523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D25018187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D25018248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D25018273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N25000073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B25015953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D25018350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D25018354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B25016052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D25018680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B25016296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D25018697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D25018734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D25018763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D25018876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B25016497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B25016502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D25019009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B25016772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D25019274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B25017014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D25019561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B25017039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B25017045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B25017053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D25019633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B25017108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D26000134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B26000170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B26000173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B26000241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B26000345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B26000346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B26000382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B26000635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B26000688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D26000805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D26000859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B26000821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B26000846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B26000901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B26000902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B26000944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D26001057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D26001103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D26001148</v>
          </cell>
          <cell r="AP979">
            <v>0</v>
          </cell>
          <cell r="AQ979">
            <v>0</v>
          </cell>
          <cell r="AV979">
            <v>4000000</v>
          </cell>
        </row>
        <row r="980">
          <cell r="E980" t="str">
            <v>B26001169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D26001404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D26001427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B26001452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D26001539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N26000015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D26001613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D26001669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B26001619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B26001633</v>
          </cell>
          <cell r="AP989">
            <v>0</v>
          </cell>
          <cell r="AQ989">
            <v>0</v>
          </cell>
          <cell r="AV989">
            <v>2075000</v>
          </cell>
        </row>
        <row r="990">
          <cell r="E990" t="str">
            <v>B26001634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D26001841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B26001710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D26001856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B26001841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D26001985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D26002012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B26001935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B26001936</v>
          </cell>
          <cell r="AP998">
            <v>0</v>
          </cell>
          <cell r="AQ998">
            <v>0</v>
          </cell>
          <cell r="AV998">
            <v>17990000</v>
          </cell>
        </row>
        <row r="999">
          <cell r="E999" t="str">
            <v>B26001937</v>
          </cell>
          <cell r="AP999">
            <v>0</v>
          </cell>
          <cell r="AQ999">
            <v>0</v>
          </cell>
          <cell r="AV999">
            <v>23750000</v>
          </cell>
        </row>
        <row r="1000">
          <cell r="E1000" t="str">
            <v>B26001937</v>
          </cell>
          <cell r="AP1000">
            <v>0</v>
          </cell>
          <cell r="AQ1000">
            <v>0</v>
          </cell>
          <cell r="AV1000">
            <v>19000000</v>
          </cell>
        </row>
        <row r="1001">
          <cell r="E1001" t="str">
            <v>B26002007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B26002089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B26002142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D26002257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B25015269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B25015270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D25017684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T25001754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D25017920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D25018112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D25018463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B25016134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B25016274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B25016379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D25018868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D25019071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D25019310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T25001890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B25016917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B25016953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B25016954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D25019577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D25019632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D25019655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B25017134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B26001260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B26001261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B26001279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D26001464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B26001473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B26001563</v>
          </cell>
          <cell r="AP1031">
            <v>0</v>
          </cell>
          <cell r="AQ1031">
            <v>0</v>
          </cell>
          <cell r="AV1031">
            <v>10500000</v>
          </cell>
        </row>
        <row r="1032">
          <cell r="E1032" t="str">
            <v>B26001564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B26001654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D26001836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B26001734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D26001865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B26001874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D26002073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B26002031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B26002068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B26002121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D26002315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D26002342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D26002426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B26002302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D26002479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D26002480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B25013715</v>
          </cell>
          <cell r="AP1048">
            <v>0</v>
          </cell>
          <cell r="AQ1048">
            <v>0</v>
          </cell>
          <cell r="AV1048">
            <v>11640000</v>
          </cell>
        </row>
        <row r="1049">
          <cell r="E1049" t="str">
            <v>B25014025</v>
          </cell>
          <cell r="AP1049">
            <v>0</v>
          </cell>
          <cell r="AQ1049">
            <v>0</v>
          </cell>
          <cell r="AV1049">
            <v>51250000</v>
          </cell>
        </row>
        <row r="1050">
          <cell r="E1050" t="str">
            <v>B25014284</v>
          </cell>
          <cell r="AP1050">
            <v>0</v>
          </cell>
          <cell r="AQ1050">
            <v>0</v>
          </cell>
          <cell r="AV1050">
            <v>8160000</v>
          </cell>
        </row>
        <row r="1051">
          <cell r="E1051" t="str">
            <v>D25016563</v>
          </cell>
          <cell r="AP1051">
            <v>0</v>
          </cell>
          <cell r="AQ1051">
            <v>0</v>
          </cell>
          <cell r="AV1051">
            <v>3980000</v>
          </cell>
        </row>
        <row r="1052">
          <cell r="E1052" t="str">
            <v>D25016564</v>
          </cell>
          <cell r="AP1052">
            <v>0</v>
          </cell>
          <cell r="AQ1052">
            <v>0</v>
          </cell>
          <cell r="AV1052">
            <v>4200000</v>
          </cell>
        </row>
        <row r="1053">
          <cell r="E1053" t="str">
            <v>B25014473</v>
          </cell>
          <cell r="AP1053">
            <v>0</v>
          </cell>
          <cell r="AQ1053">
            <v>0</v>
          </cell>
          <cell r="AV1053">
            <v>20000000</v>
          </cell>
        </row>
        <row r="1054">
          <cell r="E1054" t="str">
            <v>B25014474</v>
          </cell>
          <cell r="AP1054">
            <v>0</v>
          </cell>
          <cell r="AQ1054">
            <v>0</v>
          </cell>
          <cell r="AV1054">
            <v>22000000</v>
          </cell>
        </row>
        <row r="1055">
          <cell r="E1055" t="str">
            <v>B25014475</v>
          </cell>
          <cell r="AP1055">
            <v>0</v>
          </cell>
          <cell r="AQ1055">
            <v>0</v>
          </cell>
          <cell r="AV1055">
            <v>23445000</v>
          </cell>
        </row>
        <row r="1056">
          <cell r="E1056" t="str">
            <v>B25014486</v>
          </cell>
          <cell r="AP1056">
            <v>0</v>
          </cell>
          <cell r="AQ1056">
            <v>0</v>
          </cell>
          <cell r="AV1056">
            <v>20745000</v>
          </cell>
        </row>
        <row r="1057">
          <cell r="E1057" t="str">
            <v>B25014620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D25017006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D25017007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>
            <v>250181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D25017216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D25017288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D25018150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D25018927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B25017021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B25017029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B26000563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B26000564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B26000717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B26000888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D26000960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D26001019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D26001020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B25016861</v>
          </cell>
          <cell r="AP1074">
            <v>0</v>
          </cell>
          <cell r="AQ1074">
            <v>0</v>
          </cell>
          <cell r="AV1074">
            <v>2000000</v>
          </cell>
        </row>
        <row r="1075">
          <cell r="E1075" t="str">
            <v>B25016861</v>
          </cell>
          <cell r="AP1075">
            <v>0</v>
          </cell>
          <cell r="AQ1075">
            <v>0</v>
          </cell>
          <cell r="AV1075">
            <v>2300000</v>
          </cell>
        </row>
        <row r="1076">
          <cell r="E1076" t="str">
            <v>D26000200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B26000297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B26000743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D26000981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D26001365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D26001465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D25019431</v>
          </cell>
          <cell r="AP1082">
            <v>0</v>
          </cell>
          <cell r="AQ1082">
            <v>0</v>
          </cell>
          <cell r="AV1082">
            <v>51634137</v>
          </cell>
        </row>
        <row r="1083">
          <cell r="E1083" t="str">
            <v>D26000015</v>
          </cell>
          <cell r="AP1083">
            <v>0</v>
          </cell>
          <cell r="AQ1083">
            <v>0</v>
          </cell>
          <cell r="AV1083">
            <v>39175863</v>
          </cell>
        </row>
        <row r="1084">
          <cell r="E1084" t="str">
            <v>D26000015</v>
          </cell>
          <cell r="AP1084">
            <v>0</v>
          </cell>
          <cell r="AQ1084">
            <v>0</v>
          </cell>
          <cell r="AV1084">
            <v>202324137</v>
          </cell>
        </row>
        <row r="1085">
          <cell r="E1085" t="str">
            <v>D26000016</v>
          </cell>
          <cell r="AP1085">
            <v>0</v>
          </cell>
          <cell r="AQ1085">
            <v>0</v>
          </cell>
          <cell r="AV1085">
            <v>73890000</v>
          </cell>
        </row>
        <row r="1086">
          <cell r="E1086" t="str">
            <v>D26000262</v>
          </cell>
          <cell r="AP1086">
            <v>0</v>
          </cell>
          <cell r="AQ1086">
            <v>0</v>
          </cell>
          <cell r="AV1086">
            <v>35300000</v>
          </cell>
        </row>
        <row r="1087">
          <cell r="E1087" t="str">
            <v>D26000427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B26002143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D26002253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D26001036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B25017067</v>
          </cell>
          <cell r="AP1091">
            <v>0</v>
          </cell>
          <cell r="AQ1091">
            <v>0</v>
          </cell>
          <cell r="AV1091">
            <v>21200000</v>
          </cell>
        </row>
        <row r="1092">
          <cell r="E1092" t="str">
            <v>D25019643</v>
          </cell>
          <cell r="AP1092">
            <v>0</v>
          </cell>
          <cell r="AQ1092">
            <v>0</v>
          </cell>
          <cell r="AV1092">
            <v>5040000</v>
          </cell>
        </row>
        <row r="1093">
          <cell r="E1093" t="str">
            <v>T26000017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B26000285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D26000292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B26000383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B26000794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B26001540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B26001542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B26001780</v>
          </cell>
          <cell r="AP1100">
            <v>0</v>
          </cell>
          <cell r="AQ1100">
            <v>0</v>
          </cell>
          <cell r="AV1100">
            <v>4950000</v>
          </cell>
        </row>
        <row r="1101">
          <cell r="E1101" t="str">
            <v>B26001781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B26000165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D26000559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D26001900</v>
          </cell>
          <cell r="AP1104">
            <v>0</v>
          </cell>
          <cell r="AQ1104">
            <v>0</v>
          </cell>
          <cell r="AV1104">
            <v>1425000</v>
          </cell>
        </row>
        <row r="1105">
          <cell r="E1105" t="str">
            <v>D26002447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D25017215</v>
          </cell>
          <cell r="AP1106">
            <v>0</v>
          </cell>
          <cell r="AQ1106">
            <v>0</v>
          </cell>
          <cell r="AV1106">
            <v>2143100</v>
          </cell>
        </row>
        <row r="1107">
          <cell r="E1107" t="str">
            <v>B25014980</v>
          </cell>
          <cell r="AP1107">
            <v>0</v>
          </cell>
          <cell r="AQ1107">
            <v>0</v>
          </cell>
          <cell r="AV1107">
            <v>1280000</v>
          </cell>
        </row>
        <row r="1108">
          <cell r="E1108" t="str">
            <v>D25017286</v>
          </cell>
          <cell r="AP1108">
            <v>0</v>
          </cell>
          <cell r="AQ1108">
            <v>0</v>
          </cell>
          <cell r="AV1108">
            <v>6080000</v>
          </cell>
        </row>
        <row r="1109">
          <cell r="E1109" t="str">
            <v>B25015081</v>
          </cell>
          <cell r="AP1109">
            <v>0</v>
          </cell>
          <cell r="AQ1109">
            <v>0</v>
          </cell>
          <cell r="AV1109">
            <v>2560000</v>
          </cell>
        </row>
        <row r="1110">
          <cell r="E1110" t="str">
            <v>D25017402</v>
          </cell>
          <cell r="AP1110">
            <v>0</v>
          </cell>
          <cell r="AQ1110">
            <v>0</v>
          </cell>
          <cell r="AV1110">
            <v>8000000</v>
          </cell>
        </row>
        <row r="1111">
          <cell r="E1111" t="str">
            <v>D25017410</v>
          </cell>
          <cell r="AP1111">
            <v>0</v>
          </cell>
          <cell r="AQ1111">
            <v>0</v>
          </cell>
          <cell r="AV1111">
            <v>4800000</v>
          </cell>
        </row>
        <row r="1112">
          <cell r="E1112" t="str">
            <v>B25015151</v>
          </cell>
          <cell r="AP1112">
            <v>0</v>
          </cell>
          <cell r="AQ1112">
            <v>0</v>
          </cell>
          <cell r="AV1112">
            <v>38800000</v>
          </cell>
        </row>
        <row r="1113">
          <cell r="E1113" t="str">
            <v>D25017521</v>
          </cell>
          <cell r="AP1113">
            <v>0</v>
          </cell>
          <cell r="AQ1113">
            <v>0</v>
          </cell>
          <cell r="AV1113">
            <v>148200000</v>
          </cell>
        </row>
        <row r="1114">
          <cell r="E1114" t="str">
            <v>D25017599</v>
          </cell>
          <cell r="AP1114">
            <v>0</v>
          </cell>
          <cell r="AQ1114">
            <v>0</v>
          </cell>
          <cell r="AV1114">
            <v>60000000</v>
          </cell>
        </row>
        <row r="1115">
          <cell r="E1115" t="str">
            <v>B25015236</v>
          </cell>
          <cell r="AP1115">
            <v>0</v>
          </cell>
          <cell r="AQ1115">
            <v>0</v>
          </cell>
          <cell r="AV1115">
            <v>4480000</v>
          </cell>
        </row>
        <row r="1116">
          <cell r="E1116" t="str">
            <v>D25017740</v>
          </cell>
          <cell r="AP1116">
            <v>0</v>
          </cell>
          <cell r="AQ1116">
            <v>0</v>
          </cell>
          <cell r="AV1116">
            <v>194000000</v>
          </cell>
        </row>
        <row r="1117">
          <cell r="E1117" t="str">
            <v>B25015383</v>
          </cell>
          <cell r="AP1117">
            <v>0</v>
          </cell>
          <cell r="AQ1117">
            <v>0</v>
          </cell>
          <cell r="AV1117">
            <v>3200000</v>
          </cell>
        </row>
        <row r="1118">
          <cell r="E1118" t="str">
            <v>B25015413</v>
          </cell>
          <cell r="AP1118">
            <v>0</v>
          </cell>
          <cell r="AQ1118">
            <v>0</v>
          </cell>
          <cell r="AV1118">
            <v>170000000</v>
          </cell>
        </row>
        <row r="1119">
          <cell r="E1119" t="str">
            <v>D25017944</v>
          </cell>
          <cell r="AP1119">
            <v>0</v>
          </cell>
          <cell r="AQ1119">
            <v>0</v>
          </cell>
          <cell r="AV1119">
            <v>8000000</v>
          </cell>
        </row>
        <row r="1120">
          <cell r="E1120" t="str">
            <v>B25015552</v>
          </cell>
          <cell r="AP1120">
            <v>0</v>
          </cell>
          <cell r="AQ1120">
            <v>0</v>
          </cell>
          <cell r="AV1120">
            <v>5760000</v>
          </cell>
        </row>
        <row r="1121">
          <cell r="E1121" t="str">
            <v>D25018015</v>
          </cell>
          <cell r="AP1121">
            <v>0</v>
          </cell>
          <cell r="AQ1121">
            <v>0</v>
          </cell>
          <cell r="AV1121">
            <v>16000000</v>
          </cell>
        </row>
        <row r="1122">
          <cell r="E1122" t="str">
            <v>D25018055</v>
          </cell>
          <cell r="AP1122">
            <v>0</v>
          </cell>
          <cell r="AQ1122">
            <v>0</v>
          </cell>
          <cell r="AV1122">
            <v>1600000</v>
          </cell>
        </row>
        <row r="1123">
          <cell r="E1123" t="str">
            <v>B25015689</v>
          </cell>
          <cell r="AP1123">
            <v>0</v>
          </cell>
          <cell r="AQ1123">
            <v>0</v>
          </cell>
          <cell r="AV1123">
            <v>13800000</v>
          </cell>
        </row>
        <row r="1124">
          <cell r="E1124" t="str">
            <v>D25018270</v>
          </cell>
          <cell r="AP1124">
            <v>0</v>
          </cell>
          <cell r="AQ1124">
            <v>0</v>
          </cell>
          <cell r="AV1124">
            <v>37800000</v>
          </cell>
        </row>
        <row r="1125">
          <cell r="E1125" t="str">
            <v>D25018367</v>
          </cell>
          <cell r="AP1125">
            <v>0</v>
          </cell>
          <cell r="AQ1125">
            <v>0</v>
          </cell>
          <cell r="AV1125">
            <v>8000000</v>
          </cell>
        </row>
        <row r="1126">
          <cell r="E1126" t="str">
            <v>B25016032</v>
          </cell>
          <cell r="AP1126">
            <v>0</v>
          </cell>
          <cell r="AQ1126">
            <v>0</v>
          </cell>
          <cell r="AV1126">
            <v>53800000</v>
          </cell>
        </row>
        <row r="1127">
          <cell r="E1127" t="str">
            <v>B25016075</v>
          </cell>
          <cell r="AP1127">
            <v>0</v>
          </cell>
          <cell r="AQ1127">
            <v>0</v>
          </cell>
          <cell r="AV1127">
            <v>3840000</v>
          </cell>
        </row>
        <row r="1128">
          <cell r="E1128" t="str">
            <v>B25016076</v>
          </cell>
          <cell r="AP1128">
            <v>0</v>
          </cell>
          <cell r="AQ1128">
            <v>0</v>
          </cell>
          <cell r="AV1128">
            <v>149400000</v>
          </cell>
        </row>
        <row r="1129">
          <cell r="E1129" t="str">
            <v>D25018479</v>
          </cell>
          <cell r="AP1129">
            <v>0</v>
          </cell>
          <cell r="AQ1129">
            <v>0</v>
          </cell>
          <cell r="AV1129">
            <v>66875000</v>
          </cell>
        </row>
        <row r="1130">
          <cell r="E1130" t="str">
            <v>B25016145</v>
          </cell>
          <cell r="AP1130">
            <v>0</v>
          </cell>
          <cell r="AQ1130">
            <v>0</v>
          </cell>
          <cell r="AV1130">
            <v>2560000</v>
          </cell>
        </row>
        <row r="1131">
          <cell r="E1131" t="str">
            <v>B25016217</v>
          </cell>
          <cell r="AP1131">
            <v>0</v>
          </cell>
          <cell r="AQ1131">
            <v>0</v>
          </cell>
          <cell r="AV1131">
            <v>16000000</v>
          </cell>
        </row>
        <row r="1132">
          <cell r="E1132" t="str">
            <v>B25016223</v>
          </cell>
          <cell r="AP1132">
            <v>0</v>
          </cell>
          <cell r="AQ1132">
            <v>0</v>
          </cell>
          <cell r="AV1132">
            <v>12600000</v>
          </cell>
        </row>
        <row r="1133">
          <cell r="E1133" t="str">
            <v>B25016364</v>
          </cell>
          <cell r="AP1133">
            <v>0</v>
          </cell>
          <cell r="AQ1133">
            <v>0</v>
          </cell>
          <cell r="AV1133">
            <v>1600000</v>
          </cell>
        </row>
        <row r="1134">
          <cell r="E1134" t="str">
            <v>D25018791</v>
          </cell>
          <cell r="AP1134">
            <v>0</v>
          </cell>
          <cell r="AQ1134">
            <v>0</v>
          </cell>
          <cell r="AV1134">
            <v>1600000</v>
          </cell>
        </row>
        <row r="1135">
          <cell r="E1135" t="str">
            <v>D25018883</v>
          </cell>
          <cell r="AP1135">
            <v>0</v>
          </cell>
          <cell r="AQ1135">
            <v>0</v>
          </cell>
          <cell r="AV1135">
            <v>4160000</v>
          </cell>
        </row>
        <row r="1136">
          <cell r="E1136" t="str">
            <v>B25016493</v>
          </cell>
          <cell r="AP1136">
            <v>0</v>
          </cell>
          <cell r="AQ1136">
            <v>0</v>
          </cell>
          <cell r="AV1136">
            <v>6400000</v>
          </cell>
        </row>
        <row r="1137">
          <cell r="E1137" t="str">
            <v>B25016520</v>
          </cell>
          <cell r="AP1137">
            <v>0</v>
          </cell>
          <cell r="AQ1137">
            <v>0</v>
          </cell>
          <cell r="AV1137">
            <v>1600000</v>
          </cell>
        </row>
        <row r="1138">
          <cell r="E1138" t="str">
            <v>D25019158</v>
          </cell>
          <cell r="AP1138">
            <v>0</v>
          </cell>
          <cell r="AQ1138">
            <v>0</v>
          </cell>
          <cell r="AV1138">
            <v>13800000</v>
          </cell>
        </row>
        <row r="1139">
          <cell r="E1139" t="str">
            <v>B25016811</v>
          </cell>
          <cell r="AP1139">
            <v>0</v>
          </cell>
          <cell r="AQ1139">
            <v>0</v>
          </cell>
          <cell r="AV1139">
            <v>207000000</v>
          </cell>
        </row>
        <row r="1140">
          <cell r="E1140" t="str">
            <v>D25019421</v>
          </cell>
          <cell r="AP1140">
            <v>0</v>
          </cell>
          <cell r="AQ1140">
            <v>0</v>
          </cell>
          <cell r="AV1140">
            <v>32480000</v>
          </cell>
        </row>
        <row r="1141">
          <cell r="E1141" t="str">
            <v>B26000084</v>
          </cell>
          <cell r="AP1141">
            <v>0</v>
          </cell>
          <cell r="AQ1141">
            <v>0</v>
          </cell>
          <cell r="AV1141">
            <v>2560000</v>
          </cell>
        </row>
        <row r="1142">
          <cell r="E1142" t="str">
            <v>D26000151</v>
          </cell>
          <cell r="AP1142">
            <v>0</v>
          </cell>
          <cell r="AQ1142">
            <v>0</v>
          </cell>
          <cell r="AV1142">
            <v>2560000</v>
          </cell>
        </row>
        <row r="1143">
          <cell r="E1143" t="str">
            <v>D26000247</v>
          </cell>
          <cell r="AP1143">
            <v>0</v>
          </cell>
          <cell r="AQ1143">
            <v>0</v>
          </cell>
          <cell r="AV1143">
            <v>1280000</v>
          </cell>
        </row>
        <row r="1144">
          <cell r="E1144" t="str">
            <v>B26000344</v>
          </cell>
          <cell r="AP1144">
            <v>0</v>
          </cell>
          <cell r="AQ1144">
            <v>0</v>
          </cell>
          <cell r="AV1144">
            <v>12600000</v>
          </cell>
        </row>
        <row r="1145">
          <cell r="E1145" t="str">
            <v>B26000401</v>
          </cell>
          <cell r="AP1145">
            <v>0</v>
          </cell>
          <cell r="AQ1145">
            <v>0</v>
          </cell>
          <cell r="AV1145">
            <v>6400000</v>
          </cell>
        </row>
        <row r="1146">
          <cell r="E1146" t="str">
            <v>D26000540</v>
          </cell>
          <cell r="AP1146">
            <v>0</v>
          </cell>
          <cell r="AQ1146">
            <v>0</v>
          </cell>
          <cell r="AV1146">
            <v>32500000</v>
          </cell>
        </row>
        <row r="1147">
          <cell r="E1147" t="str">
            <v>B26000986</v>
          </cell>
          <cell r="AP1147">
            <v>0</v>
          </cell>
          <cell r="AQ1147">
            <v>0</v>
          </cell>
          <cell r="AV1147">
            <v>3840000</v>
          </cell>
        </row>
        <row r="1148">
          <cell r="E1148" t="str">
            <v>D26001078</v>
          </cell>
          <cell r="AP1148">
            <v>0</v>
          </cell>
          <cell r="AQ1148">
            <v>0</v>
          </cell>
          <cell r="AV1148">
            <v>17940000</v>
          </cell>
        </row>
        <row r="1149">
          <cell r="E1149" t="str">
            <v>B26001068</v>
          </cell>
          <cell r="AP1149">
            <v>0</v>
          </cell>
          <cell r="AQ1149">
            <v>0</v>
          </cell>
          <cell r="AV1149">
            <v>3840000</v>
          </cell>
        </row>
        <row r="1150">
          <cell r="E1150" t="str">
            <v>B26001147</v>
          </cell>
          <cell r="AP1150">
            <v>0</v>
          </cell>
          <cell r="AQ1150">
            <v>0</v>
          </cell>
          <cell r="AV1150">
            <v>78000000</v>
          </cell>
        </row>
        <row r="1151">
          <cell r="E1151" t="str">
            <v>B26001202</v>
          </cell>
          <cell r="AP1151">
            <v>0</v>
          </cell>
          <cell r="AQ1151">
            <v>0</v>
          </cell>
          <cell r="AV1151">
            <v>1280000</v>
          </cell>
        </row>
        <row r="1152">
          <cell r="E1152" t="str">
            <v>B26001245</v>
          </cell>
          <cell r="AP1152">
            <v>0</v>
          </cell>
          <cell r="AQ1152">
            <v>0</v>
          </cell>
          <cell r="AV1152">
            <v>34500000</v>
          </cell>
        </row>
        <row r="1153">
          <cell r="E1153" t="str">
            <v>D26001540</v>
          </cell>
          <cell r="AP1153">
            <v>0</v>
          </cell>
          <cell r="AQ1153">
            <v>0</v>
          </cell>
          <cell r="AV1153">
            <v>3840000</v>
          </cell>
        </row>
        <row r="1154">
          <cell r="E1154" t="str">
            <v>B26001610</v>
          </cell>
          <cell r="AP1154">
            <v>0</v>
          </cell>
          <cell r="AQ1154">
            <v>0</v>
          </cell>
          <cell r="AV1154">
            <v>20700000</v>
          </cell>
        </row>
        <row r="1155">
          <cell r="E1155" t="str">
            <v>B26001614</v>
          </cell>
          <cell r="AP1155">
            <v>0</v>
          </cell>
          <cell r="AQ1155">
            <v>0</v>
          </cell>
          <cell r="AV1155">
            <v>20700000</v>
          </cell>
        </row>
        <row r="1156">
          <cell r="E1156" t="str">
            <v>D26001866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D26002115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B26002201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D26002473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D25019107</v>
          </cell>
          <cell r="AP1160">
            <v>0</v>
          </cell>
          <cell r="AQ1160">
            <v>0</v>
          </cell>
          <cell r="AV1160">
            <v>3840000</v>
          </cell>
        </row>
        <row r="1161">
          <cell r="E1161" t="str">
            <v>B25016648</v>
          </cell>
          <cell r="AP1161">
            <v>0</v>
          </cell>
          <cell r="AQ1161">
            <v>0</v>
          </cell>
          <cell r="AV1161">
            <v>3870000</v>
          </cell>
        </row>
        <row r="1162">
          <cell r="E1162" t="str">
            <v>B26000184</v>
          </cell>
          <cell r="AP1162">
            <v>0</v>
          </cell>
          <cell r="AQ1162">
            <v>0</v>
          </cell>
          <cell r="AV1162">
            <v>2300000</v>
          </cell>
        </row>
        <row r="1163">
          <cell r="E1163" t="str">
            <v>B26000185</v>
          </cell>
          <cell r="AP1163">
            <v>0</v>
          </cell>
          <cell r="AQ1163">
            <v>0</v>
          </cell>
          <cell r="AV1163">
            <v>11035000</v>
          </cell>
        </row>
        <row r="1164">
          <cell r="E1164" t="str">
            <v>D26000879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D26000880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B26000837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D26001174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D26001179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N26000012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B26001346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B26001347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B26001497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B26001498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B26001510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B26001511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D26002348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D26002349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D26000760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D26000761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D26000762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D26001498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D26001843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D26002308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B26000813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D26002299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B26002195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B25014453</v>
          </cell>
          <cell r="AP1187">
            <v>0</v>
          </cell>
          <cell r="AQ1187">
            <v>0</v>
          </cell>
          <cell r="AV1187">
            <v>5670000</v>
          </cell>
        </row>
        <row r="1188">
          <cell r="E1188" t="str">
            <v>B25014483</v>
          </cell>
          <cell r="AP1188">
            <v>0</v>
          </cell>
          <cell r="AQ1188">
            <v>0</v>
          </cell>
          <cell r="AV1188">
            <v>4176000</v>
          </cell>
        </row>
        <row r="1189">
          <cell r="E1189" t="str">
            <v>B25014673</v>
          </cell>
          <cell r="AP1189">
            <v>0</v>
          </cell>
          <cell r="AQ1189">
            <v>0</v>
          </cell>
          <cell r="AV1189">
            <v>2125000</v>
          </cell>
        </row>
        <row r="1190">
          <cell r="E1190" t="str">
            <v>D25017473</v>
          </cell>
          <cell r="AP1190">
            <v>0</v>
          </cell>
          <cell r="AQ1190">
            <v>0</v>
          </cell>
          <cell r="AV1190">
            <v>4837500</v>
          </cell>
        </row>
        <row r="1191">
          <cell r="E1191" t="str">
            <v>B25015740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D25018146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B25016419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D25018985</v>
          </cell>
          <cell r="AP1194">
            <v>0</v>
          </cell>
          <cell r="AQ1194">
            <v>0</v>
          </cell>
          <cell r="AV1194">
            <v>2787500</v>
          </cell>
        </row>
        <row r="1195">
          <cell r="E1195" t="str">
            <v>D25018994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B26000198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B26000496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B26000914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B26001150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D26001233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>
            <v>260009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B26002303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T26000160</v>
          </cell>
          <cell r="AP1203">
            <v>0</v>
          </cell>
          <cell r="AQ1203">
            <v>0</v>
          </cell>
          <cell r="AV1203">
            <v>470000</v>
          </cell>
        </row>
        <row r="1204">
          <cell r="E1204" t="str">
            <v>B26001762</v>
          </cell>
          <cell r="AP1204">
            <v>0</v>
          </cell>
          <cell r="AQ1204">
            <v>0</v>
          </cell>
          <cell r="AV1204">
            <v>126000</v>
          </cell>
        </row>
        <row r="1205">
          <cell r="E1205" t="str">
            <v>D26001862</v>
          </cell>
          <cell r="AP1205">
            <v>0</v>
          </cell>
          <cell r="AQ1205">
            <v>0</v>
          </cell>
          <cell r="AV1205">
            <v>3340000</v>
          </cell>
        </row>
        <row r="1206">
          <cell r="E1206" t="str">
            <v>T26000032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B26001687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D26000502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D26001038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B26001445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B26001808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D26001947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B26002137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B26002138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B26001533</v>
          </cell>
          <cell r="AP1215">
            <v>0</v>
          </cell>
          <cell r="AQ1215">
            <v>0</v>
          </cell>
          <cell r="AV1215">
            <v>10600000</v>
          </cell>
        </row>
        <row r="1216">
          <cell r="E1216" t="str">
            <v>B26001676</v>
          </cell>
          <cell r="AP1216">
            <v>0</v>
          </cell>
          <cell r="AQ1216">
            <v>0</v>
          </cell>
          <cell r="AV1216">
            <v>19010000</v>
          </cell>
        </row>
        <row r="1217">
          <cell r="E1217" t="str">
            <v>B26002250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D26001610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B26002101</v>
          </cell>
          <cell r="AP1219">
            <v>0</v>
          </cell>
          <cell r="AQ1219">
            <v>0</v>
          </cell>
          <cell r="AV1219">
            <v>11300000</v>
          </cell>
        </row>
        <row r="1220">
          <cell r="E1220" t="str">
            <v>D25017170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D25019292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B26001825</v>
          </cell>
          <cell r="AP1222">
            <v>0</v>
          </cell>
          <cell r="AQ1222">
            <v>0</v>
          </cell>
          <cell r="AV1222">
            <v>12300000</v>
          </cell>
        </row>
        <row r="1223">
          <cell r="E1223" t="str">
            <v>B25016822</v>
          </cell>
          <cell r="AP1223">
            <v>0</v>
          </cell>
          <cell r="AQ1223">
            <v>0</v>
          </cell>
          <cell r="AV1223">
            <v>13700000</v>
          </cell>
        </row>
        <row r="1224">
          <cell r="E1224" t="str">
            <v>D25019508</v>
          </cell>
          <cell r="AP1224">
            <v>0</v>
          </cell>
          <cell r="AQ1224">
            <v>0</v>
          </cell>
          <cell r="AV1224">
            <v>8175000</v>
          </cell>
        </row>
        <row r="1225">
          <cell r="E1225" t="str">
            <v>D25019509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D25019536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B26000207</v>
          </cell>
          <cell r="AP1227">
            <v>0</v>
          </cell>
          <cell r="AQ1227">
            <v>0</v>
          </cell>
          <cell r="AV1227">
            <v>6247500</v>
          </cell>
        </row>
        <row r="1228">
          <cell r="E1228" t="str">
            <v>D26000233</v>
          </cell>
          <cell r="AP1228">
            <v>0</v>
          </cell>
          <cell r="AQ1228">
            <v>0</v>
          </cell>
          <cell r="AV1228">
            <v>8550000</v>
          </cell>
        </row>
        <row r="1229">
          <cell r="E1229" t="str">
            <v>D26000637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B26001031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B26001189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D26001514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D26001807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D26001930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B26001882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D26001999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B26002180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D25018470</v>
          </cell>
          <cell r="AP1238">
            <v>0</v>
          </cell>
          <cell r="AQ1238">
            <v>0</v>
          </cell>
          <cell r="AV1238">
            <v>290000000</v>
          </cell>
        </row>
        <row r="1239">
          <cell r="E1239" t="str">
            <v>B25016647</v>
          </cell>
          <cell r="AP1239">
            <v>0</v>
          </cell>
          <cell r="AQ1239">
            <v>0</v>
          </cell>
          <cell r="AV1239">
            <v>63560000</v>
          </cell>
        </row>
        <row r="1240">
          <cell r="E1240" t="str">
            <v>D25019502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D26000303</v>
          </cell>
          <cell r="AP1241">
            <v>0</v>
          </cell>
          <cell r="AQ1241">
            <v>0</v>
          </cell>
          <cell r="AV1241">
            <v>292160000</v>
          </cell>
        </row>
        <row r="1242">
          <cell r="E1242" t="str">
            <v>B26001524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B26001955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B25017124</v>
          </cell>
          <cell r="AP1244">
            <v>0</v>
          </cell>
          <cell r="AQ1244">
            <v>0</v>
          </cell>
          <cell r="AV1244">
            <v>2250000</v>
          </cell>
        </row>
        <row r="1245">
          <cell r="E1245" t="str">
            <v>B25017145</v>
          </cell>
          <cell r="AP1245">
            <v>0</v>
          </cell>
          <cell r="AQ1245">
            <v>0</v>
          </cell>
          <cell r="AV1245">
            <v>6295000</v>
          </cell>
        </row>
        <row r="1246">
          <cell r="E1246" t="str">
            <v>B26000008</v>
          </cell>
          <cell r="AP1246">
            <v>0</v>
          </cell>
          <cell r="AQ1246">
            <v>0</v>
          </cell>
          <cell r="AV1246">
            <v>33200000</v>
          </cell>
        </row>
        <row r="1247">
          <cell r="E1247" t="str">
            <v>D26000289</v>
          </cell>
          <cell r="AP1247">
            <v>0</v>
          </cell>
          <cell r="AQ1247">
            <v>0</v>
          </cell>
          <cell r="AV1247">
            <v>720000</v>
          </cell>
        </row>
        <row r="1248">
          <cell r="E1248" t="str">
            <v>B26000304</v>
          </cell>
          <cell r="AP1248">
            <v>0</v>
          </cell>
          <cell r="AQ1248">
            <v>0</v>
          </cell>
          <cell r="AV1248">
            <v>1830000</v>
          </cell>
        </row>
        <row r="1249">
          <cell r="E1249" t="str">
            <v>D26000338</v>
          </cell>
          <cell r="AP1249">
            <v>0</v>
          </cell>
          <cell r="AQ1249">
            <v>0</v>
          </cell>
          <cell r="AV1249">
            <v>5800000</v>
          </cell>
        </row>
        <row r="1250">
          <cell r="E1250" t="str">
            <v>B26000350</v>
          </cell>
          <cell r="AP1250">
            <v>0</v>
          </cell>
          <cell r="AQ1250">
            <v>0</v>
          </cell>
          <cell r="AV1250">
            <v>1710000</v>
          </cell>
        </row>
        <row r="1251">
          <cell r="E1251" t="str">
            <v>D26000423</v>
          </cell>
          <cell r="AP1251">
            <v>0</v>
          </cell>
          <cell r="AQ1251">
            <v>0</v>
          </cell>
          <cell r="AV1251">
            <v>15000000</v>
          </cell>
        </row>
        <row r="1252">
          <cell r="E1252" t="str">
            <v>B26000521</v>
          </cell>
          <cell r="AP1252">
            <v>0</v>
          </cell>
          <cell r="AQ1252">
            <v>0</v>
          </cell>
          <cell r="AV1252">
            <v>13200000</v>
          </cell>
        </row>
        <row r="1253">
          <cell r="E1253" t="str">
            <v>D26000613</v>
          </cell>
          <cell r="AP1253">
            <v>0</v>
          </cell>
          <cell r="AQ1253">
            <v>0</v>
          </cell>
          <cell r="AV1253">
            <v>1960000</v>
          </cell>
        </row>
        <row r="1254">
          <cell r="E1254" t="str">
            <v>D26000676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B26000650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D26000713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B26000691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D26000969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B26001006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D26001232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B26001216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D26001299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D26001337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B26001267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B26001268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B26001299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D26001358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B26001381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D26001538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B26001588</v>
          </cell>
          <cell r="AP1270">
            <v>0</v>
          </cell>
          <cell r="AQ1270">
            <v>0</v>
          </cell>
          <cell r="AV1270">
            <v>10640000</v>
          </cell>
        </row>
        <row r="1271">
          <cell r="E1271" t="str">
            <v>B26001589</v>
          </cell>
          <cell r="AP1271">
            <v>0</v>
          </cell>
          <cell r="AQ1271">
            <v>0</v>
          </cell>
          <cell r="AV1271">
            <v>51250000</v>
          </cell>
        </row>
        <row r="1272">
          <cell r="E1272" t="str">
            <v>B26001761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D26001949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B26001943</v>
          </cell>
          <cell r="AP1274">
            <v>0</v>
          </cell>
          <cell r="AQ1274">
            <v>0</v>
          </cell>
          <cell r="AV1274">
            <v>131000000</v>
          </cell>
        </row>
        <row r="1275">
          <cell r="E1275" t="str">
            <v>B26002065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B26002135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B26002139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B26002164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D26002331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D26002358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D26002393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T25001779</v>
          </cell>
          <cell r="AP1282">
            <v>0</v>
          </cell>
          <cell r="AQ1282">
            <v>0</v>
          </cell>
          <cell r="AV1282">
            <v>7031250</v>
          </cell>
        </row>
        <row r="1283">
          <cell r="E1283" t="str">
            <v>D25018317</v>
          </cell>
          <cell r="AP1283">
            <v>0</v>
          </cell>
          <cell r="AQ1283">
            <v>0</v>
          </cell>
          <cell r="AV1283">
            <v>10000000</v>
          </cell>
        </row>
        <row r="1284">
          <cell r="E1284" t="str">
            <v>D25018317</v>
          </cell>
          <cell r="AP1284">
            <v>0</v>
          </cell>
          <cell r="AQ1284">
            <v>0</v>
          </cell>
          <cell r="AV1284">
            <v>10000000</v>
          </cell>
        </row>
        <row r="1285">
          <cell r="E1285" t="str">
            <v>D25018317</v>
          </cell>
          <cell r="AP1285">
            <v>0</v>
          </cell>
          <cell r="AQ1285">
            <v>0</v>
          </cell>
          <cell r="AV1285">
            <v>10000000</v>
          </cell>
        </row>
        <row r="1286">
          <cell r="E1286" t="str">
            <v>D25018317</v>
          </cell>
          <cell r="AP1286">
            <v>0</v>
          </cell>
          <cell r="AQ1286">
            <v>0</v>
          </cell>
          <cell r="AV1286">
            <v>8356000</v>
          </cell>
        </row>
        <row r="1287">
          <cell r="E1287" t="str">
            <v>D25018318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D25018319</v>
          </cell>
          <cell r="AP1288">
            <v>0</v>
          </cell>
          <cell r="AQ1288">
            <v>0</v>
          </cell>
          <cell r="AV1288">
            <v>12940000</v>
          </cell>
        </row>
        <row r="1289">
          <cell r="E1289" t="str">
            <v>D25018403</v>
          </cell>
          <cell r="AP1289">
            <v>0</v>
          </cell>
          <cell r="AQ1289">
            <v>0</v>
          </cell>
          <cell r="AV1289">
            <v>2860000</v>
          </cell>
        </row>
        <row r="1290">
          <cell r="E1290" t="str">
            <v>B25016132</v>
          </cell>
          <cell r="AP1290">
            <v>0</v>
          </cell>
          <cell r="AQ1290">
            <v>0</v>
          </cell>
          <cell r="AV1290">
            <v>1540000</v>
          </cell>
        </row>
        <row r="1291">
          <cell r="E1291" t="str">
            <v>B25016149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B25016153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D25018608</v>
          </cell>
          <cell r="AP1293">
            <v>0</v>
          </cell>
          <cell r="AQ1293">
            <v>0</v>
          </cell>
          <cell r="AV1293">
            <v>3650000</v>
          </cell>
        </row>
        <row r="1294">
          <cell r="E1294" t="str">
            <v>D25018693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D25018794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D25018795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B25016609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B25016637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D25019217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B25016896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B25016897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B25017070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D26000070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D26000171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B26000275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B26000391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D26000687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B26000720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B26000748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B26000776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B26000866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D26000946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B26001227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B26001240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B26001285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D26001403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B26001463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D26001691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B26001656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D26001777</v>
          </cell>
          <cell r="AP1320">
            <v>0</v>
          </cell>
          <cell r="AQ1320">
            <v>0</v>
          </cell>
          <cell r="AV1320">
            <v>9950000</v>
          </cell>
        </row>
        <row r="1321">
          <cell r="E1321" t="str">
            <v>D26001780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B26001768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B26002104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B26002132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D26002239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B26001184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B26000060</v>
          </cell>
          <cell r="AP1327">
            <v>0</v>
          </cell>
          <cell r="AQ1327">
            <v>0</v>
          </cell>
          <cell r="AV1327">
            <v>2560000</v>
          </cell>
        </row>
        <row r="1328">
          <cell r="E1328" t="str">
            <v>D26002230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B26001103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D25017204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D25017712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B26000012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B26000534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B26000987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B26001168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B25017072</v>
          </cell>
          <cell r="AP1336">
            <v>0</v>
          </cell>
          <cell r="AQ1336">
            <v>0</v>
          </cell>
          <cell r="AV1336">
            <v>12360000</v>
          </cell>
        </row>
        <row r="1337">
          <cell r="E1337" t="str">
            <v>B26000003</v>
          </cell>
          <cell r="AP1337">
            <v>0</v>
          </cell>
          <cell r="AQ1337">
            <v>0</v>
          </cell>
          <cell r="AV1337">
            <v>7940000</v>
          </cell>
        </row>
        <row r="1338">
          <cell r="E1338" t="str">
            <v>D26000452</v>
          </cell>
          <cell r="AP1338">
            <v>0</v>
          </cell>
          <cell r="AQ1338">
            <v>0</v>
          </cell>
          <cell r="AV1338">
            <v>2880000</v>
          </cell>
        </row>
        <row r="1339">
          <cell r="E1339" t="str">
            <v>B26001993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D25019430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B25017010</v>
          </cell>
          <cell r="AP1341">
            <v>0</v>
          </cell>
          <cell r="AQ1341">
            <v>0</v>
          </cell>
          <cell r="AV1341">
            <v>4600000</v>
          </cell>
        </row>
        <row r="1342">
          <cell r="E1342" t="str">
            <v>B25017011</v>
          </cell>
          <cell r="AP1342">
            <v>0</v>
          </cell>
          <cell r="AQ1342">
            <v>0</v>
          </cell>
          <cell r="AV1342">
            <v>23030000</v>
          </cell>
        </row>
        <row r="1343">
          <cell r="E1343" t="str">
            <v>D26000137</v>
          </cell>
          <cell r="AP1343">
            <v>0</v>
          </cell>
          <cell r="AQ1343">
            <v>0</v>
          </cell>
          <cell r="AV1343">
            <v>29400000</v>
          </cell>
        </row>
        <row r="1344">
          <cell r="E1344" t="str">
            <v>B26000438</v>
          </cell>
          <cell r="AP1344">
            <v>0</v>
          </cell>
          <cell r="AQ1344">
            <v>0</v>
          </cell>
          <cell r="AV1344">
            <v>10272400</v>
          </cell>
        </row>
        <row r="1345">
          <cell r="E1345" t="str">
            <v>B26000439</v>
          </cell>
          <cell r="AP1345">
            <v>0</v>
          </cell>
          <cell r="AQ1345">
            <v>0</v>
          </cell>
          <cell r="AV1345">
            <v>2800000</v>
          </cell>
        </row>
        <row r="1346">
          <cell r="E1346" t="str">
            <v>B26000442</v>
          </cell>
          <cell r="AP1346">
            <v>0</v>
          </cell>
          <cell r="AQ1346">
            <v>0</v>
          </cell>
          <cell r="AV1346">
            <v>7700000</v>
          </cell>
        </row>
        <row r="1347">
          <cell r="E1347" t="str">
            <v>B26000445</v>
          </cell>
          <cell r="AP1347">
            <v>0</v>
          </cell>
          <cell r="AQ1347">
            <v>0</v>
          </cell>
          <cell r="AV1347">
            <v>15815000</v>
          </cell>
        </row>
        <row r="1348">
          <cell r="E1348" t="str">
            <v>D26000696</v>
          </cell>
          <cell r="AP1348">
            <v>0</v>
          </cell>
          <cell r="AQ1348">
            <v>0</v>
          </cell>
          <cell r="AV1348">
            <v>5400000</v>
          </cell>
        </row>
        <row r="1349">
          <cell r="E1349" t="str">
            <v>D26000698</v>
          </cell>
          <cell r="AP1349">
            <v>0</v>
          </cell>
          <cell r="AQ1349">
            <v>0</v>
          </cell>
          <cell r="AV1349">
            <v>8235000</v>
          </cell>
        </row>
        <row r="1350">
          <cell r="E1350" t="str">
            <v>D26001126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B26001124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B26001126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B26001128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D26001529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D26002061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D26002062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B26001954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B26001998</v>
          </cell>
          <cell r="AP1358">
            <v>0</v>
          </cell>
          <cell r="AQ1358">
            <v>0</v>
          </cell>
          <cell r="AV1358">
            <v>2520000</v>
          </cell>
        </row>
        <row r="1359">
          <cell r="E1359" t="str">
            <v>D26002107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D26002185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B26002116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B26002117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B26002118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D25011387</v>
          </cell>
          <cell r="AP1364">
            <v>0</v>
          </cell>
          <cell r="AQ1364">
            <v>0</v>
          </cell>
          <cell r="AV1364">
            <v>50000000</v>
          </cell>
        </row>
        <row r="1365">
          <cell r="E1365" t="str">
            <v>D25011387</v>
          </cell>
          <cell r="AP1365">
            <v>0</v>
          </cell>
          <cell r="AQ1365">
            <v>0</v>
          </cell>
          <cell r="AV1365">
            <v>50000000</v>
          </cell>
        </row>
        <row r="1366">
          <cell r="E1366" t="str">
            <v>B25009852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B25015251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D26000095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B26000435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B26000767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D26001251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D26001556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D26001557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B25015808</v>
          </cell>
          <cell r="AP1374">
            <v>0</v>
          </cell>
          <cell r="AQ1374">
            <v>0</v>
          </cell>
          <cell r="AV1374">
            <v>3415000</v>
          </cell>
        </row>
        <row r="1375">
          <cell r="E1375" t="str">
            <v>T25001794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D25018744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D25017893</v>
          </cell>
          <cell r="AP1377">
            <v>0</v>
          </cell>
          <cell r="AQ1377">
            <v>0</v>
          </cell>
          <cell r="AV1377">
            <v>1254750</v>
          </cell>
        </row>
        <row r="1378">
          <cell r="E1378" t="str">
            <v>B25015444</v>
          </cell>
          <cell r="AP1378">
            <v>0</v>
          </cell>
          <cell r="AQ1378">
            <v>0</v>
          </cell>
          <cell r="AV1378">
            <v>5100000</v>
          </cell>
        </row>
        <row r="1379">
          <cell r="E1379" t="str">
            <v>B25015958</v>
          </cell>
          <cell r="AP1379">
            <v>0</v>
          </cell>
          <cell r="AQ1379">
            <v>0</v>
          </cell>
          <cell r="AV1379">
            <v>8645250</v>
          </cell>
        </row>
        <row r="1380">
          <cell r="E1380" t="str">
            <v>B25015958</v>
          </cell>
          <cell r="AP1380">
            <v>0</v>
          </cell>
          <cell r="AQ1380">
            <v>0</v>
          </cell>
          <cell r="AV1380">
            <v>4294750</v>
          </cell>
        </row>
        <row r="1381">
          <cell r="E1381" t="str">
            <v>B25016375</v>
          </cell>
          <cell r="AP1381">
            <v>0</v>
          </cell>
          <cell r="AQ1381">
            <v>0</v>
          </cell>
          <cell r="AV1381">
            <v>2705250</v>
          </cell>
        </row>
        <row r="1382">
          <cell r="E1382" t="str">
            <v>B25016375</v>
          </cell>
          <cell r="AP1382">
            <v>0</v>
          </cell>
          <cell r="AQ1382">
            <v>0</v>
          </cell>
          <cell r="AV1382">
            <v>5000000</v>
          </cell>
        </row>
        <row r="1383">
          <cell r="E1383" t="str">
            <v>B25016838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D25019378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D26000090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B26001795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B26001820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D25019656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T25001564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B25013893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D25019014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D25019015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B26000176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B26000177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B26000178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D25015607</v>
          </cell>
          <cell r="AP1396">
            <v>896000</v>
          </cell>
          <cell r="AQ1396">
            <v>0</v>
          </cell>
          <cell r="AV1396">
            <v>0</v>
          </cell>
        </row>
        <row r="1397">
          <cell r="E1397" t="str">
            <v>D26001368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D26001543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D26001741</v>
          </cell>
          <cell r="AP1399">
            <v>0</v>
          </cell>
          <cell r="AQ1399">
            <v>0</v>
          </cell>
          <cell r="AV1399">
            <v>1687500</v>
          </cell>
        </row>
        <row r="1400">
          <cell r="E1400" t="str">
            <v>D26002371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B25014546</v>
          </cell>
          <cell r="AP1401">
            <v>0</v>
          </cell>
          <cell r="AQ1401">
            <v>0</v>
          </cell>
          <cell r="AV1401">
            <v>775000</v>
          </cell>
        </row>
        <row r="1402">
          <cell r="E1402" t="str">
            <v>T25001672</v>
          </cell>
          <cell r="AP1402">
            <v>0</v>
          </cell>
          <cell r="AQ1402">
            <v>0</v>
          </cell>
          <cell r="AV1402">
            <v>1387500</v>
          </cell>
        </row>
        <row r="1403">
          <cell r="E1403">
            <v>260003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D26000243</v>
          </cell>
          <cell r="AP1404">
            <v>0</v>
          </cell>
          <cell r="AQ1404">
            <v>0</v>
          </cell>
          <cell r="AV1404">
            <v>2160000</v>
          </cell>
        </row>
        <row r="1405">
          <cell r="E1405" t="str">
            <v>D26000244</v>
          </cell>
          <cell r="AP1405">
            <v>0</v>
          </cell>
          <cell r="AQ1405">
            <v>0</v>
          </cell>
          <cell r="AV1405">
            <v>7100000</v>
          </cell>
        </row>
        <row r="1406">
          <cell r="E1406" t="str">
            <v>D26000246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D26000250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B26000089</v>
          </cell>
          <cell r="AP1408">
            <v>0</v>
          </cell>
          <cell r="AQ1408">
            <v>0</v>
          </cell>
          <cell r="AV1408">
            <v>21550000</v>
          </cell>
        </row>
        <row r="1409">
          <cell r="E1409" t="str">
            <v>D26000798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D26001265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D26001286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B25013863</v>
          </cell>
          <cell r="AP1412">
            <v>0</v>
          </cell>
          <cell r="AQ1412">
            <v>0</v>
          </cell>
          <cell r="AV1412">
            <v>21200000</v>
          </cell>
        </row>
        <row r="1413">
          <cell r="E1413" t="str">
            <v>B25014067</v>
          </cell>
          <cell r="AP1413">
            <v>0</v>
          </cell>
          <cell r="AQ1413">
            <v>0</v>
          </cell>
          <cell r="AV1413">
            <v>27000000</v>
          </cell>
        </row>
        <row r="1414">
          <cell r="E1414" t="str">
            <v>B25014858</v>
          </cell>
          <cell r="AP1414">
            <v>0</v>
          </cell>
          <cell r="AQ1414">
            <v>0</v>
          </cell>
          <cell r="AV1414">
            <v>9510000</v>
          </cell>
        </row>
        <row r="1415">
          <cell r="E1415" t="str">
            <v>D25019205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D26000957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D26001547</v>
          </cell>
          <cell r="AP1417">
            <v>0</v>
          </cell>
          <cell r="AQ1417">
            <v>0</v>
          </cell>
          <cell r="AV1417">
            <v>263400000</v>
          </cell>
        </row>
        <row r="1418">
          <cell r="E1418" t="str">
            <v>D26001547</v>
          </cell>
          <cell r="AP1418">
            <v>0</v>
          </cell>
          <cell r="AQ1418">
            <v>0</v>
          </cell>
          <cell r="AV1418">
            <v>1408000</v>
          </cell>
        </row>
        <row r="1419">
          <cell r="E1419" t="str">
            <v>D26001595</v>
          </cell>
          <cell r="AP1419">
            <v>0</v>
          </cell>
          <cell r="AQ1419">
            <v>0</v>
          </cell>
          <cell r="AV1419">
            <v>130000000</v>
          </cell>
        </row>
        <row r="1420">
          <cell r="E1420" t="str">
            <v>D26001774</v>
          </cell>
          <cell r="AP1420">
            <v>0</v>
          </cell>
          <cell r="AQ1420">
            <v>0</v>
          </cell>
          <cell r="AV1420">
            <v>756000000</v>
          </cell>
        </row>
        <row r="1421">
          <cell r="E1421" t="str">
            <v>D26001808</v>
          </cell>
          <cell r="AP1421">
            <v>0</v>
          </cell>
          <cell r="AQ1421">
            <v>0</v>
          </cell>
          <cell r="AV1421">
            <v>250000000</v>
          </cell>
        </row>
        <row r="1422">
          <cell r="E1422" t="str">
            <v>D26001868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D26001868</v>
          </cell>
          <cell r="AP1423">
            <v>0</v>
          </cell>
          <cell r="AQ1423">
            <v>0</v>
          </cell>
          <cell r="AV1423">
            <v>303500000</v>
          </cell>
        </row>
        <row r="1424">
          <cell r="E1424" t="str">
            <v>D26001868</v>
          </cell>
          <cell r="AP1424">
            <v>0</v>
          </cell>
          <cell r="AQ1424">
            <v>0</v>
          </cell>
          <cell r="AV1424">
            <v>400000000</v>
          </cell>
        </row>
        <row r="1425">
          <cell r="E1425" t="str">
            <v>D26001869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D26001971</v>
          </cell>
          <cell r="AP1426">
            <v>0</v>
          </cell>
          <cell r="AQ1426">
            <v>0</v>
          </cell>
          <cell r="AV1426">
            <v>356000000</v>
          </cell>
        </row>
        <row r="1427">
          <cell r="E1427" t="str">
            <v>D26001971</v>
          </cell>
          <cell r="AP1427">
            <v>0</v>
          </cell>
          <cell r="AQ1427">
            <v>0</v>
          </cell>
          <cell r="AV1427">
            <v>292000000</v>
          </cell>
        </row>
        <row r="1428">
          <cell r="E1428" t="str">
            <v>D26001972</v>
          </cell>
          <cell r="AP1428">
            <v>0</v>
          </cell>
          <cell r="AQ1428">
            <v>0</v>
          </cell>
          <cell r="AV1428">
            <v>108000000</v>
          </cell>
        </row>
        <row r="1429">
          <cell r="E1429" t="str">
            <v>D26001972</v>
          </cell>
          <cell r="AP1429">
            <v>0</v>
          </cell>
          <cell r="AQ1429">
            <v>0</v>
          </cell>
          <cell r="AV1429">
            <v>130000000</v>
          </cell>
        </row>
        <row r="1430">
          <cell r="E1430" t="str">
            <v>D26001990</v>
          </cell>
          <cell r="AP1430">
            <v>0</v>
          </cell>
          <cell r="AQ1430">
            <v>0</v>
          </cell>
          <cell r="AV1430">
            <v>403500000</v>
          </cell>
        </row>
        <row r="1431">
          <cell r="E1431" t="str">
            <v>D26001990</v>
          </cell>
          <cell r="AP1431">
            <v>0</v>
          </cell>
          <cell r="AQ1431">
            <v>0</v>
          </cell>
          <cell r="AV1431">
            <v>300000000</v>
          </cell>
        </row>
        <row r="1432">
          <cell r="E1432" t="str">
            <v>D26002079</v>
          </cell>
          <cell r="AP1432">
            <v>0</v>
          </cell>
          <cell r="AQ1432">
            <v>0</v>
          </cell>
          <cell r="AV1432">
            <v>130000000</v>
          </cell>
        </row>
        <row r="1433">
          <cell r="E1433" t="str">
            <v>D26002097</v>
          </cell>
          <cell r="AP1433">
            <v>0</v>
          </cell>
          <cell r="AQ1433">
            <v>0</v>
          </cell>
          <cell r="AV1433">
            <v>260000000</v>
          </cell>
        </row>
        <row r="1434">
          <cell r="E1434" t="str">
            <v>D26002130</v>
          </cell>
          <cell r="AP1434">
            <v>0</v>
          </cell>
          <cell r="AQ1434">
            <v>0</v>
          </cell>
          <cell r="AV1434">
            <v>232500000</v>
          </cell>
        </row>
        <row r="1435">
          <cell r="E1435" t="str">
            <v>D26002220</v>
          </cell>
          <cell r="AP1435">
            <v>0</v>
          </cell>
          <cell r="AQ1435">
            <v>0</v>
          </cell>
          <cell r="AV1435">
            <v>260000000</v>
          </cell>
        </row>
        <row r="1436">
          <cell r="E1436" t="str">
            <v>B26002215</v>
          </cell>
          <cell r="AP1436">
            <v>0</v>
          </cell>
          <cell r="AQ1436">
            <v>0</v>
          </cell>
          <cell r="AV1436">
            <v>364250000</v>
          </cell>
        </row>
        <row r="1437">
          <cell r="E1437" t="str">
            <v>B26002215</v>
          </cell>
          <cell r="AP1437">
            <v>0</v>
          </cell>
          <cell r="AQ1437">
            <v>0</v>
          </cell>
          <cell r="AV1437">
            <v>178250000</v>
          </cell>
        </row>
        <row r="1438">
          <cell r="E1438" t="str">
            <v>D26002433</v>
          </cell>
          <cell r="AP1438">
            <v>0</v>
          </cell>
          <cell r="AQ1438">
            <v>0</v>
          </cell>
          <cell r="AV1438">
            <v>260000000</v>
          </cell>
        </row>
        <row r="1439">
          <cell r="E1439" t="str">
            <v>D26001102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D26001132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T26000148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B26001307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D26000380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D26000381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T26000029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B26000716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B26000825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B26000974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B26001980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D25018137</v>
          </cell>
          <cell r="AP1450">
            <v>0</v>
          </cell>
          <cell r="AQ1450">
            <v>0</v>
          </cell>
          <cell r="AV1450">
            <v>250000000</v>
          </cell>
        </row>
        <row r="1451">
          <cell r="E1451" t="str">
            <v>D25018137</v>
          </cell>
          <cell r="AP1451">
            <v>0</v>
          </cell>
          <cell r="AQ1451">
            <v>0</v>
          </cell>
          <cell r="AV1451">
            <v>183000000</v>
          </cell>
        </row>
        <row r="1452">
          <cell r="E1452" t="str">
            <v>D25019051</v>
          </cell>
          <cell r="AP1452">
            <v>0</v>
          </cell>
          <cell r="AQ1452">
            <v>0</v>
          </cell>
          <cell r="AV1452">
            <v>1900000</v>
          </cell>
        </row>
        <row r="1453">
          <cell r="E1453" t="str">
            <v>T24001625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D24017664</v>
          </cell>
          <cell r="AP1454">
            <v>0</v>
          </cell>
          <cell r="AQ1454">
            <v>0</v>
          </cell>
          <cell r="AV1454">
            <v>10000000</v>
          </cell>
        </row>
        <row r="1455">
          <cell r="E1455" t="str">
            <v>D25017240</v>
          </cell>
          <cell r="AP1455">
            <v>0</v>
          </cell>
          <cell r="AQ1455">
            <v>0</v>
          </cell>
          <cell r="AV1455">
            <v>25428500</v>
          </cell>
        </row>
        <row r="1456">
          <cell r="E1456" t="str">
            <v>D25017240</v>
          </cell>
          <cell r="AP1456">
            <v>0</v>
          </cell>
          <cell r="AQ1456">
            <v>0</v>
          </cell>
          <cell r="AV1456">
            <v>200000000</v>
          </cell>
        </row>
        <row r="1457">
          <cell r="E1457" t="str">
            <v>D25017240</v>
          </cell>
          <cell r="AP1457">
            <v>0</v>
          </cell>
          <cell r="AQ1457">
            <v>0</v>
          </cell>
          <cell r="AV1457">
            <v>211470000</v>
          </cell>
        </row>
        <row r="1458">
          <cell r="E1458" t="str">
            <v>D25017240</v>
          </cell>
          <cell r="AP1458">
            <v>0</v>
          </cell>
          <cell r="AQ1458">
            <v>0</v>
          </cell>
          <cell r="AV1458">
            <v>75205000</v>
          </cell>
        </row>
        <row r="1459">
          <cell r="E1459" t="str">
            <v>D25017241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D25017454</v>
          </cell>
          <cell r="AP1460">
            <v>0</v>
          </cell>
          <cell r="AQ1460">
            <v>0</v>
          </cell>
          <cell r="AV1460">
            <v>3196500</v>
          </cell>
        </row>
        <row r="1461">
          <cell r="E1461" t="str">
            <v>D25017458</v>
          </cell>
          <cell r="AP1461">
            <v>0</v>
          </cell>
          <cell r="AQ1461">
            <v>0</v>
          </cell>
          <cell r="AV1461">
            <v>5350000</v>
          </cell>
        </row>
        <row r="1462">
          <cell r="E1462" t="str">
            <v>T25001722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B25015276</v>
          </cell>
          <cell r="AP1463">
            <v>0</v>
          </cell>
          <cell r="AQ1463">
            <v>0</v>
          </cell>
          <cell r="AV1463">
            <v>7600000</v>
          </cell>
        </row>
        <row r="1464">
          <cell r="E1464" t="str">
            <v>B25015442</v>
          </cell>
          <cell r="AP1464">
            <v>0</v>
          </cell>
          <cell r="AQ1464">
            <v>0</v>
          </cell>
          <cell r="AV1464">
            <v>8675000</v>
          </cell>
        </row>
        <row r="1465">
          <cell r="E1465" t="str">
            <v>D25017959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D25018410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B25016093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D25018716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D25019055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B25016834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D25019534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D25019598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D25019599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D26000145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D26000152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D26000153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D26000154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D26000257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D26000590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B26000573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D26000830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B26000819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B26000881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D26000937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T26000065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D26001210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B26001129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D26001333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D26001437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D26001533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D26001534</v>
          </cell>
          <cell r="AP1491">
            <v>0</v>
          </cell>
          <cell r="AQ1491">
            <v>0</v>
          </cell>
          <cell r="AV1491">
            <v>66000000</v>
          </cell>
        </row>
        <row r="1492">
          <cell r="E1492" t="str">
            <v>B26001519</v>
          </cell>
          <cell r="AP1492">
            <v>0</v>
          </cell>
          <cell r="AQ1492">
            <v>0</v>
          </cell>
          <cell r="AV1492">
            <v>33750000</v>
          </cell>
        </row>
        <row r="1493">
          <cell r="E1493" t="str">
            <v>D26001636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T26000104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D26001752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B26001741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D26001845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D26001855</v>
          </cell>
          <cell r="AP1498">
            <v>0</v>
          </cell>
          <cell r="AQ1498">
            <v>0</v>
          </cell>
          <cell r="AV1498">
            <v>153750000</v>
          </cell>
        </row>
        <row r="1499">
          <cell r="E1499" t="str">
            <v>D26001988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D26001989</v>
          </cell>
          <cell r="AP1500">
            <v>0</v>
          </cell>
          <cell r="AQ1500">
            <v>0</v>
          </cell>
          <cell r="AV1500">
            <v>46250000</v>
          </cell>
        </row>
        <row r="1501">
          <cell r="E1501" t="str">
            <v>D26001989</v>
          </cell>
          <cell r="AP1501">
            <v>0</v>
          </cell>
          <cell r="AQ1501">
            <v>0</v>
          </cell>
          <cell r="AV1501">
            <v>85750000</v>
          </cell>
        </row>
        <row r="1502">
          <cell r="E1502" t="str">
            <v>D26002036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D26002142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D26002144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D26002274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D26002292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B26002204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D26002432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D25018504</v>
          </cell>
          <cell r="AP1509">
            <v>0</v>
          </cell>
          <cell r="AQ1509">
            <v>0</v>
          </cell>
          <cell r="AV1509">
            <v>4300000</v>
          </cell>
        </row>
        <row r="1510">
          <cell r="E1510" t="str">
            <v>B26000800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D26001655</v>
          </cell>
          <cell r="AP1511">
            <v>0</v>
          </cell>
          <cell r="AQ1511">
            <v>0</v>
          </cell>
          <cell r="AV1511">
            <v>15200000</v>
          </cell>
        </row>
        <row r="1512">
          <cell r="E1512" t="str">
            <v>B26002066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D26000219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B26001024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B26001367</v>
          </cell>
          <cell r="AP1515">
            <v>0</v>
          </cell>
          <cell r="AQ1515">
            <v>0</v>
          </cell>
          <cell r="AV1515">
            <v>10874500</v>
          </cell>
        </row>
        <row r="1516">
          <cell r="E1516" t="str">
            <v>B26001368</v>
          </cell>
          <cell r="AP1516">
            <v>0</v>
          </cell>
          <cell r="AQ1516">
            <v>0</v>
          </cell>
          <cell r="AV1516">
            <v>2252000</v>
          </cell>
        </row>
        <row r="1517">
          <cell r="E1517" t="str">
            <v>B26001427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D26002113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T26000063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Z25002724</v>
          </cell>
          <cell r="AP1520">
            <v>0</v>
          </cell>
          <cell r="AQ1520">
            <v>0</v>
          </cell>
          <cell r="AV1520">
            <v>5950500</v>
          </cell>
        </row>
        <row r="1521">
          <cell r="E1521" t="str">
            <v>Z25002724</v>
          </cell>
          <cell r="AP1521">
            <v>0</v>
          </cell>
          <cell r="AQ1521">
            <v>0</v>
          </cell>
          <cell r="AV1521">
            <v>38000000</v>
          </cell>
        </row>
        <row r="1522">
          <cell r="E1522" t="str">
            <v>Z25002724</v>
          </cell>
          <cell r="AP1522">
            <v>0</v>
          </cell>
          <cell r="AQ1522">
            <v>0</v>
          </cell>
          <cell r="AV1522">
            <v>12000000</v>
          </cell>
        </row>
        <row r="1523">
          <cell r="E1523" t="str">
            <v>D25017604</v>
          </cell>
          <cell r="AP1523">
            <v>0</v>
          </cell>
          <cell r="AQ1523">
            <v>0</v>
          </cell>
          <cell r="AV1523">
            <v>3500000</v>
          </cell>
        </row>
        <row r="1524">
          <cell r="E1524" t="str">
            <v>D25017604</v>
          </cell>
          <cell r="AP1524">
            <v>5440000</v>
          </cell>
          <cell r="AQ1524">
            <v>0</v>
          </cell>
          <cell r="AV1524">
            <v>0</v>
          </cell>
        </row>
        <row r="1525">
          <cell r="E1525" t="str">
            <v>D25017604</v>
          </cell>
          <cell r="AP1525">
            <v>0</v>
          </cell>
          <cell r="AQ1525">
            <v>0</v>
          </cell>
          <cell r="AV1525">
            <v>37729500</v>
          </cell>
        </row>
        <row r="1526">
          <cell r="E1526" t="str">
            <v>D25017676</v>
          </cell>
          <cell r="AP1526">
            <v>0</v>
          </cell>
          <cell r="AQ1526">
            <v>0</v>
          </cell>
          <cell r="AV1526">
            <v>2070000</v>
          </cell>
        </row>
        <row r="1527">
          <cell r="E1527" t="str">
            <v>D25017717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D25017753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D25017787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D25017817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D25017818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B25015360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B25015424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B25015436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D25017839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D25017985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B25015596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D25018121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D25018128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B25015983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D25018460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D25018475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D25018537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D25018561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B25016286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D25018733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D25018751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B25016434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B25016498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D25018991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B25016567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B25016636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B25016679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B25016681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B25016699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B25016741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B25016752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B25016905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D25019569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D25019570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B25017037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D25019649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D25019684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B26000039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D26000092</v>
          </cell>
          <cell r="AP1565">
            <v>0</v>
          </cell>
          <cell r="AQ1565">
            <v>0</v>
          </cell>
          <cell r="AV1565">
            <v>2400000</v>
          </cell>
        </row>
        <row r="1566">
          <cell r="E1566" t="str">
            <v>D26000167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D26000229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D26000230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B26000332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B26000365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B26000367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B26000374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B26000403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B26000404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B26000411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B26000412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B26000490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B26000588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D26000673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B26000683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B26000863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B26000864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D26001128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D26001139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B26001217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B26001244</v>
          </cell>
          <cell r="AP1586">
            <v>0</v>
          </cell>
          <cell r="AQ1586">
            <v>0</v>
          </cell>
          <cell r="AV1586">
            <v>50000000</v>
          </cell>
        </row>
        <row r="1587">
          <cell r="E1587" t="str">
            <v>B26001244</v>
          </cell>
          <cell r="AP1587">
            <v>0</v>
          </cell>
          <cell r="AQ1587">
            <v>0</v>
          </cell>
          <cell r="AV1587">
            <v>25000000</v>
          </cell>
        </row>
        <row r="1588">
          <cell r="E1588" t="str">
            <v>B26001244</v>
          </cell>
          <cell r="AP1588">
            <v>0</v>
          </cell>
          <cell r="AQ1588">
            <v>0</v>
          </cell>
          <cell r="AV1588">
            <v>17500000</v>
          </cell>
        </row>
        <row r="1589">
          <cell r="E1589" t="str">
            <v>B26001290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B26001399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D26001433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D26001490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B26001483</v>
          </cell>
          <cell r="AP1593">
            <v>0</v>
          </cell>
          <cell r="AQ1593">
            <v>0</v>
          </cell>
          <cell r="AV1593">
            <v>14000000</v>
          </cell>
        </row>
        <row r="1594">
          <cell r="E1594" t="str">
            <v>B26001553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B26001554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D26001765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B26001798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B26001803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B26001909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B26001929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B26001930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D26002067</v>
          </cell>
          <cell r="AP1602">
            <v>0</v>
          </cell>
          <cell r="AQ1602">
            <v>0</v>
          </cell>
          <cell r="AV1602">
            <v>54250000</v>
          </cell>
        </row>
        <row r="1603">
          <cell r="E1603" t="str">
            <v>B26002090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D26002157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D26002158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Z26000404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Z26000411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Z26000412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Z26000413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Z26000414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Z26000415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Z26000418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B25015690</v>
          </cell>
          <cell r="AP1613">
            <v>0</v>
          </cell>
          <cell r="AQ1613">
            <v>0</v>
          </cell>
          <cell r="AV1613">
            <v>50000000</v>
          </cell>
        </row>
        <row r="1614">
          <cell r="E1614" t="str">
            <v>B25015690</v>
          </cell>
          <cell r="AP1614">
            <v>0</v>
          </cell>
          <cell r="AQ1614">
            <v>0</v>
          </cell>
          <cell r="AV1614">
            <v>50000000</v>
          </cell>
        </row>
        <row r="1615">
          <cell r="E1615" t="str">
            <v>B25015690</v>
          </cell>
          <cell r="AP1615">
            <v>355000</v>
          </cell>
          <cell r="AQ1615">
            <v>0</v>
          </cell>
          <cell r="AV1615">
            <v>0</v>
          </cell>
        </row>
        <row r="1616">
          <cell r="E1616" t="str">
            <v>D26000913</v>
          </cell>
          <cell r="AP1616">
            <v>1205000</v>
          </cell>
          <cell r="AQ1616">
            <v>0</v>
          </cell>
          <cell r="AV1616">
            <v>0</v>
          </cell>
        </row>
        <row r="1617">
          <cell r="E1617" t="str">
            <v>T26000060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T26000061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T26000062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D26001682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C25001129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B26001885</v>
          </cell>
          <cell r="AP1622">
            <v>0</v>
          </cell>
          <cell r="AQ1622">
            <v>0</v>
          </cell>
          <cell r="AV1622">
            <v>7400000</v>
          </cell>
        </row>
        <row r="1623">
          <cell r="E1623" t="str">
            <v>B26002141</v>
          </cell>
          <cell r="AP1623">
            <v>0</v>
          </cell>
          <cell r="AQ1623">
            <v>0</v>
          </cell>
          <cell r="AV1623">
            <v>3300000</v>
          </cell>
        </row>
        <row r="1624">
          <cell r="E1624" t="str">
            <v>D25019225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B26000054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B25014145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B25014223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T25001636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Z25002935</v>
          </cell>
          <cell r="AP1629">
            <v>0</v>
          </cell>
          <cell r="AQ1629">
            <v>0</v>
          </cell>
          <cell r="AV1629">
            <v>34160000</v>
          </cell>
        </row>
        <row r="1630">
          <cell r="E1630" t="str">
            <v>B25015058</v>
          </cell>
          <cell r="AP1630">
            <v>0</v>
          </cell>
          <cell r="AQ1630">
            <v>0</v>
          </cell>
          <cell r="AV1630">
            <v>31150000</v>
          </cell>
        </row>
        <row r="1631">
          <cell r="E1631" t="str">
            <v>Z25002997</v>
          </cell>
          <cell r="AP1631">
            <v>0</v>
          </cell>
          <cell r="AQ1631">
            <v>0</v>
          </cell>
          <cell r="AV1631">
            <v>34690000</v>
          </cell>
        </row>
        <row r="1632">
          <cell r="E1632" t="str">
            <v>Z25002997</v>
          </cell>
          <cell r="AP1632">
            <v>0</v>
          </cell>
          <cell r="AQ1632">
            <v>0</v>
          </cell>
          <cell r="AV1632">
            <v>70000000</v>
          </cell>
        </row>
        <row r="1633">
          <cell r="E1633" t="str">
            <v>Z25002997</v>
          </cell>
          <cell r="AP1633">
            <v>1608750</v>
          </cell>
          <cell r="AQ1633">
            <v>0</v>
          </cell>
          <cell r="AV1633">
            <v>0</v>
          </cell>
        </row>
        <row r="1634">
          <cell r="E1634" t="str">
            <v>Z25002997</v>
          </cell>
          <cell r="AP1634">
            <v>0</v>
          </cell>
          <cell r="AQ1634">
            <v>0</v>
          </cell>
          <cell r="AV1634">
            <v>7701250</v>
          </cell>
        </row>
        <row r="1635">
          <cell r="E1635" t="str">
            <v>D25017624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D25017734</v>
          </cell>
          <cell r="AP1636">
            <v>0</v>
          </cell>
          <cell r="AQ1636">
            <v>0</v>
          </cell>
          <cell r="AV1636">
            <v>20500000</v>
          </cell>
        </row>
        <row r="1637">
          <cell r="E1637" t="str">
            <v>Z25003042</v>
          </cell>
          <cell r="AP1637">
            <v>0</v>
          </cell>
          <cell r="AQ1637">
            <v>0</v>
          </cell>
          <cell r="AV1637">
            <v>21798750</v>
          </cell>
        </row>
        <row r="1638">
          <cell r="E1638" t="str">
            <v>Z25003042</v>
          </cell>
          <cell r="AP1638">
            <v>0</v>
          </cell>
          <cell r="AQ1638">
            <v>0</v>
          </cell>
          <cell r="AV1638">
            <v>61351250</v>
          </cell>
        </row>
        <row r="1639">
          <cell r="E1639" t="str">
            <v>Z25003049</v>
          </cell>
          <cell r="AP1639">
            <v>0</v>
          </cell>
          <cell r="AQ1639">
            <v>0</v>
          </cell>
          <cell r="AV1639">
            <v>38648750</v>
          </cell>
        </row>
        <row r="1640">
          <cell r="E1640" t="str">
            <v>Z25003049</v>
          </cell>
          <cell r="AP1640">
            <v>0</v>
          </cell>
          <cell r="AQ1640">
            <v>0</v>
          </cell>
          <cell r="AV1640">
            <v>13647250</v>
          </cell>
        </row>
        <row r="1641">
          <cell r="E1641" t="str">
            <v>B25015411</v>
          </cell>
          <cell r="AP1641">
            <v>0</v>
          </cell>
          <cell r="AQ1641">
            <v>0</v>
          </cell>
          <cell r="AV1641">
            <v>43000000</v>
          </cell>
        </row>
        <row r="1642">
          <cell r="E1642" t="str">
            <v>B25015419</v>
          </cell>
          <cell r="AP1642">
            <v>0</v>
          </cell>
          <cell r="AQ1642">
            <v>0</v>
          </cell>
          <cell r="AV1642">
            <v>4000000</v>
          </cell>
        </row>
        <row r="1643">
          <cell r="E1643" t="str">
            <v>B25015420</v>
          </cell>
          <cell r="AP1643">
            <v>0</v>
          </cell>
          <cell r="AQ1643">
            <v>0</v>
          </cell>
          <cell r="AV1643">
            <v>1720000</v>
          </cell>
        </row>
        <row r="1644">
          <cell r="E1644" t="str">
            <v>B25015650</v>
          </cell>
          <cell r="AP1644">
            <v>0</v>
          </cell>
          <cell r="AQ1644">
            <v>0</v>
          </cell>
          <cell r="AV1644">
            <v>7034000</v>
          </cell>
        </row>
        <row r="1645">
          <cell r="E1645" t="str">
            <v>Z25003073</v>
          </cell>
          <cell r="AP1645">
            <v>0</v>
          </cell>
          <cell r="AQ1645">
            <v>0</v>
          </cell>
          <cell r="AV1645">
            <v>7000000</v>
          </cell>
        </row>
        <row r="1646">
          <cell r="E1646" t="str">
            <v>B25015679</v>
          </cell>
          <cell r="AP1646">
            <v>0</v>
          </cell>
          <cell r="AQ1646">
            <v>0</v>
          </cell>
          <cell r="AV1646">
            <v>6000000</v>
          </cell>
        </row>
        <row r="1647">
          <cell r="E1647" t="str">
            <v>B25015722</v>
          </cell>
          <cell r="AP1647">
            <v>0</v>
          </cell>
          <cell r="AQ1647">
            <v>0</v>
          </cell>
          <cell r="AV1647">
            <v>2880000</v>
          </cell>
        </row>
        <row r="1648">
          <cell r="E1648" t="str">
            <v>B25015726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Z25003099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B25015823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D25018213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D25018256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B25015907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B25016015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Z25003163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Z25003166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Z25003169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B25016175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B25016271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D25018881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D25018971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Z25003294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B25016697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Z25003321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D25019448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D25019496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D25019504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Z25003354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B25017019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B25017026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Z25003356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D25019620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Z25003374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Z25003397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B26000429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D26000565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Z26000091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B26000651</v>
          </cell>
          <cell r="AP1678">
            <v>0</v>
          </cell>
          <cell r="AQ1678">
            <v>0</v>
          </cell>
          <cell r="AV1678">
            <v>2250000</v>
          </cell>
        </row>
        <row r="1679">
          <cell r="E1679" t="str">
            <v>D26000711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D26000775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D26000776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D26000887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D26001205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Z26000194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B26001567</v>
          </cell>
          <cell r="AP1685">
            <v>0</v>
          </cell>
          <cell r="AQ1685">
            <v>0</v>
          </cell>
          <cell r="AV1685">
            <v>705000</v>
          </cell>
        </row>
        <row r="1686">
          <cell r="E1686" t="str">
            <v>B26001638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D26001751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D26001824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D26001832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B26001738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D26001880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D26001881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D26001882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D26001883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Z26000329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Z26000349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D26002089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B26002041</v>
          </cell>
          <cell r="AP1698">
            <v>0</v>
          </cell>
          <cell r="AQ1698">
            <v>0</v>
          </cell>
          <cell r="AV1698">
            <v>14000000</v>
          </cell>
        </row>
        <row r="1699">
          <cell r="E1699" t="str">
            <v>D26002192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B26002173</v>
          </cell>
          <cell r="AP1700">
            <v>0</v>
          </cell>
          <cell r="AQ1700">
            <v>0</v>
          </cell>
          <cell r="AV1700">
            <v>2610000</v>
          </cell>
        </row>
        <row r="1701">
          <cell r="E1701" t="str">
            <v>D26002316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D26002394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B26001195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D26001628</v>
          </cell>
          <cell r="AP1704">
            <v>0</v>
          </cell>
          <cell r="AQ1704">
            <v>0</v>
          </cell>
          <cell r="AV1704">
            <v>984000</v>
          </cell>
        </row>
        <row r="1705">
          <cell r="E1705" t="str">
            <v>B26001863</v>
          </cell>
          <cell r="AP1705">
            <v>0</v>
          </cell>
          <cell r="AQ1705">
            <v>0</v>
          </cell>
          <cell r="AV1705">
            <v>4500000</v>
          </cell>
        </row>
        <row r="1706">
          <cell r="E1706" t="str">
            <v>B26001989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B26000455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B26000658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D26000790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B26000754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D26000874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D26000875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D26001201</v>
          </cell>
          <cell r="AP1713">
            <v>0</v>
          </cell>
          <cell r="AQ1713">
            <v>0</v>
          </cell>
          <cell r="AV1713">
            <v>3250000</v>
          </cell>
        </row>
        <row r="1714">
          <cell r="E1714" t="str">
            <v>B26002272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T25001609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B25015779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B25016451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B25016452</v>
          </cell>
          <cell r="AP1718">
            <v>0</v>
          </cell>
          <cell r="AQ1718">
            <v>0</v>
          </cell>
          <cell r="AV1718">
            <v>8400000</v>
          </cell>
        </row>
        <row r="1719">
          <cell r="E1719" t="str">
            <v>T25001859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B25016731</v>
          </cell>
          <cell r="AP1720">
            <v>0</v>
          </cell>
          <cell r="AQ1720">
            <v>0</v>
          </cell>
          <cell r="AV1720">
            <v>7000000</v>
          </cell>
        </row>
        <row r="1721">
          <cell r="E1721" t="str">
            <v>B25016731</v>
          </cell>
          <cell r="AP1721">
            <v>0</v>
          </cell>
          <cell r="AQ1721">
            <v>0</v>
          </cell>
          <cell r="AV1721">
            <v>5190000</v>
          </cell>
        </row>
        <row r="1722">
          <cell r="E1722" t="str">
            <v>D25019246</v>
          </cell>
          <cell r="AP1722">
            <v>0</v>
          </cell>
          <cell r="AQ1722">
            <v>0</v>
          </cell>
          <cell r="AV1722">
            <v>11280000</v>
          </cell>
        </row>
        <row r="1723">
          <cell r="E1723" t="str">
            <v>B25016843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B26000238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B26000239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B26000240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B26000745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B26000746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D26001239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T26000083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D26001277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D26001287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B26001228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B26001248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B26001264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B26001275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B26001390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B26002071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B26002072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D26002365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B26002008</v>
          </cell>
          <cell r="AP1741">
            <v>0</v>
          </cell>
          <cell r="AQ1741">
            <v>0</v>
          </cell>
          <cell r="AV1741">
            <v>60000</v>
          </cell>
        </row>
        <row r="1742">
          <cell r="E1742" t="str">
            <v>B26002016</v>
          </cell>
          <cell r="AP1742">
            <v>0</v>
          </cell>
          <cell r="AQ1742">
            <v>0</v>
          </cell>
          <cell r="AV1742">
            <v>2900000</v>
          </cell>
        </row>
        <row r="1743">
          <cell r="E1743" t="str">
            <v>D26002384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T26000025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B26002245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D25019642</v>
          </cell>
          <cell r="AP1746">
            <v>0</v>
          </cell>
          <cell r="AQ1746">
            <v>0</v>
          </cell>
          <cell r="AV1746">
            <v>750000</v>
          </cell>
        </row>
        <row r="1747">
          <cell r="E1747" t="str">
            <v>B26000274</v>
          </cell>
          <cell r="AP1747">
            <v>0</v>
          </cell>
          <cell r="AQ1747">
            <v>0</v>
          </cell>
          <cell r="AV1747">
            <v>1500000</v>
          </cell>
        </row>
        <row r="1748">
          <cell r="E1748" t="str">
            <v>D26001376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B26001440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B26001923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D26002385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D25017361</v>
          </cell>
          <cell r="AP1752">
            <v>0</v>
          </cell>
          <cell r="AQ1752">
            <v>0</v>
          </cell>
          <cell r="AV1752">
            <v>3500000</v>
          </cell>
        </row>
        <row r="1753">
          <cell r="E1753" t="str">
            <v>D26000757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B26002262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D25019567</v>
          </cell>
          <cell r="AP1755">
            <v>0</v>
          </cell>
          <cell r="AQ1755">
            <v>0</v>
          </cell>
          <cell r="AV1755">
            <v>6529500</v>
          </cell>
        </row>
        <row r="1756">
          <cell r="E1756" t="str">
            <v>D25019568</v>
          </cell>
          <cell r="AP1756">
            <v>0</v>
          </cell>
          <cell r="AQ1756">
            <v>0</v>
          </cell>
          <cell r="AV1756">
            <v>2449750</v>
          </cell>
        </row>
        <row r="1757">
          <cell r="E1757" t="str">
            <v>D26000718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D26000744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D26001932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D26001933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D26001934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D26001935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D26001936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D26001936</v>
          </cell>
          <cell r="AP1764">
            <v>0</v>
          </cell>
          <cell r="AQ1764">
            <v>0</v>
          </cell>
          <cell r="AV1764">
            <v>2320000</v>
          </cell>
        </row>
        <row r="1765">
          <cell r="E1765" t="str">
            <v>D26000765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D26000806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D26000824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D26001212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D26001281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D25019385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D25016327</v>
          </cell>
          <cell r="AP1771">
            <v>0</v>
          </cell>
          <cell r="AQ1771">
            <v>0</v>
          </cell>
          <cell r="AV1771">
            <v>2500000</v>
          </cell>
        </row>
        <row r="1772">
          <cell r="E1772" t="str">
            <v>B26000179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B26002244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D25018311</v>
          </cell>
          <cell r="AP1774">
            <v>0</v>
          </cell>
          <cell r="AQ1774">
            <v>0</v>
          </cell>
          <cell r="AV1774">
            <v>8777500</v>
          </cell>
        </row>
        <row r="1775">
          <cell r="E1775" t="str">
            <v>D26000223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D26000334</v>
          </cell>
          <cell r="AP1776">
            <v>0</v>
          </cell>
          <cell r="AQ1776">
            <v>0</v>
          </cell>
          <cell r="AV1776">
            <v>16520000</v>
          </cell>
        </row>
        <row r="1777">
          <cell r="E1777" t="str">
            <v>D26000336</v>
          </cell>
          <cell r="AP1777">
            <v>0</v>
          </cell>
          <cell r="AQ1777">
            <v>0</v>
          </cell>
          <cell r="AV1777">
            <v>3870000</v>
          </cell>
        </row>
        <row r="1778">
          <cell r="E1778" t="str">
            <v>D26000367</v>
          </cell>
          <cell r="AP1778">
            <v>0</v>
          </cell>
          <cell r="AQ1778">
            <v>0</v>
          </cell>
          <cell r="AV1778">
            <v>1067000</v>
          </cell>
        </row>
        <row r="1779">
          <cell r="E1779" t="str">
            <v>D26001177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D26001178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D26001197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B26001389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B26001896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B26001897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D25017318</v>
          </cell>
          <cell r="AP1785">
            <v>0</v>
          </cell>
          <cell r="AQ1785">
            <v>0</v>
          </cell>
          <cell r="AV1785">
            <v>13990200</v>
          </cell>
        </row>
        <row r="1786">
          <cell r="E1786" t="str">
            <v>B25015380</v>
          </cell>
          <cell r="AP1786">
            <v>0</v>
          </cell>
          <cell r="AQ1786">
            <v>0</v>
          </cell>
          <cell r="AV1786">
            <v>1350000</v>
          </cell>
        </row>
        <row r="1787">
          <cell r="E1787" t="str">
            <v>B25015502</v>
          </cell>
          <cell r="AP1787">
            <v>0</v>
          </cell>
          <cell r="AQ1787">
            <v>0</v>
          </cell>
          <cell r="AV1787">
            <v>1760000</v>
          </cell>
        </row>
        <row r="1788">
          <cell r="E1788" t="str">
            <v>D25018160</v>
          </cell>
          <cell r="AP1788">
            <v>0</v>
          </cell>
          <cell r="AQ1788">
            <v>0</v>
          </cell>
          <cell r="AV1788">
            <v>2899800</v>
          </cell>
        </row>
        <row r="1789">
          <cell r="E1789" t="str">
            <v>D25018160</v>
          </cell>
          <cell r="AP1789">
            <v>0</v>
          </cell>
          <cell r="AQ1789">
            <v>0</v>
          </cell>
          <cell r="AV1789">
            <v>6960200</v>
          </cell>
        </row>
        <row r="1790">
          <cell r="E1790" t="str">
            <v>B25016063</v>
          </cell>
          <cell r="AP1790">
            <v>0</v>
          </cell>
          <cell r="AQ1790">
            <v>0</v>
          </cell>
          <cell r="AV1790">
            <v>2520000</v>
          </cell>
        </row>
        <row r="1791">
          <cell r="E1791" t="str">
            <v>B25016154</v>
          </cell>
          <cell r="AP1791">
            <v>0</v>
          </cell>
          <cell r="AQ1791">
            <v>0</v>
          </cell>
          <cell r="AV1791">
            <v>8736000</v>
          </cell>
        </row>
        <row r="1792">
          <cell r="E1792" t="str">
            <v>B25016418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B25016550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D25019411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B25017052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B26000047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B26000244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B26000324</v>
          </cell>
          <cell r="AP1798">
            <v>0</v>
          </cell>
          <cell r="AQ1798">
            <v>0</v>
          </cell>
          <cell r="AV1798">
            <v>1783800</v>
          </cell>
        </row>
        <row r="1799">
          <cell r="E1799" t="str">
            <v>B26000701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D26000758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B26001359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B26001578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B26001629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B26001675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B26001704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D26001945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D26002457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D26000861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D25016535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D25017076</v>
          </cell>
          <cell r="AP1810">
            <v>0</v>
          </cell>
          <cell r="AQ1810">
            <v>0</v>
          </cell>
          <cell r="AV1810">
            <v>3360000</v>
          </cell>
        </row>
        <row r="1811">
          <cell r="E1811" t="str">
            <v>B25014981</v>
          </cell>
          <cell r="AP1811">
            <v>0</v>
          </cell>
          <cell r="AQ1811">
            <v>0</v>
          </cell>
          <cell r="AV1811">
            <v>8940000</v>
          </cell>
        </row>
        <row r="1812">
          <cell r="E1812" t="str">
            <v>D25017295</v>
          </cell>
          <cell r="AP1812">
            <v>0</v>
          </cell>
          <cell r="AQ1812">
            <v>0</v>
          </cell>
          <cell r="AV1812">
            <v>5820000</v>
          </cell>
        </row>
        <row r="1813">
          <cell r="E1813" t="str">
            <v>B25016007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B25016087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B25016228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B25016798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B25016802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B25017093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D26000237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B26000783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B26001561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B25014225</v>
          </cell>
          <cell r="AP1822">
            <v>0</v>
          </cell>
          <cell r="AQ1822">
            <v>0</v>
          </cell>
          <cell r="AV1822">
            <v>46055000</v>
          </cell>
        </row>
        <row r="1823">
          <cell r="E1823" t="str">
            <v>B25014226</v>
          </cell>
          <cell r="AP1823">
            <v>0</v>
          </cell>
          <cell r="AQ1823">
            <v>0</v>
          </cell>
          <cell r="AV1823">
            <v>13900000</v>
          </cell>
        </row>
        <row r="1824">
          <cell r="E1824" t="str">
            <v>B25014517</v>
          </cell>
          <cell r="AP1824">
            <v>0</v>
          </cell>
          <cell r="AQ1824">
            <v>0</v>
          </cell>
          <cell r="AV1824">
            <v>27800000</v>
          </cell>
        </row>
        <row r="1825">
          <cell r="E1825" t="str">
            <v>D25017414</v>
          </cell>
          <cell r="AP1825">
            <v>0</v>
          </cell>
          <cell r="AQ1825">
            <v>0</v>
          </cell>
          <cell r="AV1825">
            <v>4200000</v>
          </cell>
        </row>
        <row r="1826">
          <cell r="E1826" t="str">
            <v>T25001720K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D25017650</v>
          </cell>
          <cell r="AP1827">
            <v>0</v>
          </cell>
          <cell r="AQ1827">
            <v>0</v>
          </cell>
          <cell r="AV1827">
            <v>22050000</v>
          </cell>
        </row>
        <row r="1828">
          <cell r="E1828" t="str">
            <v>B25015494</v>
          </cell>
          <cell r="AP1828">
            <v>0</v>
          </cell>
          <cell r="AQ1828">
            <v>0</v>
          </cell>
          <cell r="AV1828">
            <v>22880000</v>
          </cell>
        </row>
        <row r="1829">
          <cell r="E1829" t="str">
            <v>D25018030</v>
          </cell>
          <cell r="AP1829">
            <v>0</v>
          </cell>
          <cell r="AQ1829">
            <v>0</v>
          </cell>
          <cell r="AV1829">
            <v>551250000</v>
          </cell>
        </row>
        <row r="1830">
          <cell r="E1830" t="str">
            <v>D25018036</v>
          </cell>
          <cell r="AP1830">
            <v>0</v>
          </cell>
          <cell r="AQ1830">
            <v>0</v>
          </cell>
          <cell r="AV1830">
            <v>11120000</v>
          </cell>
        </row>
        <row r="1831">
          <cell r="E1831" t="str">
            <v>B25015871</v>
          </cell>
          <cell r="AP1831">
            <v>0</v>
          </cell>
          <cell r="AQ1831">
            <v>0</v>
          </cell>
          <cell r="AV1831">
            <v>9450000</v>
          </cell>
        </row>
        <row r="1832">
          <cell r="E1832" t="str">
            <v>B25015935</v>
          </cell>
          <cell r="AP1832">
            <v>0</v>
          </cell>
          <cell r="AQ1832">
            <v>0</v>
          </cell>
          <cell r="AV1832">
            <v>8400000</v>
          </cell>
        </row>
        <row r="1833">
          <cell r="E1833" t="str">
            <v>B25015936</v>
          </cell>
          <cell r="AP1833">
            <v>0</v>
          </cell>
          <cell r="AQ1833">
            <v>0</v>
          </cell>
          <cell r="AV1833">
            <v>5400000</v>
          </cell>
        </row>
        <row r="1834">
          <cell r="E1834" t="str">
            <v>B25016022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B25016035</v>
          </cell>
          <cell r="AP1835">
            <v>0</v>
          </cell>
          <cell r="AQ1835">
            <v>0</v>
          </cell>
          <cell r="AV1835">
            <v>59920000</v>
          </cell>
        </row>
        <row r="1836">
          <cell r="E1836" t="str">
            <v>D25018449</v>
          </cell>
          <cell r="AP1836">
            <v>0</v>
          </cell>
          <cell r="AQ1836">
            <v>0</v>
          </cell>
          <cell r="AV1836">
            <v>14700000</v>
          </cell>
        </row>
        <row r="1837">
          <cell r="E1837" t="str">
            <v>D25018452</v>
          </cell>
          <cell r="AP1837">
            <v>0</v>
          </cell>
          <cell r="AQ1837">
            <v>0</v>
          </cell>
          <cell r="AV1837">
            <v>20350000</v>
          </cell>
        </row>
        <row r="1838">
          <cell r="E1838" t="str">
            <v>D25018462</v>
          </cell>
          <cell r="AP1838">
            <v>0</v>
          </cell>
          <cell r="AQ1838">
            <v>0</v>
          </cell>
          <cell r="AV1838">
            <v>3000000</v>
          </cell>
        </row>
        <row r="1839">
          <cell r="E1839" t="str">
            <v>B25016099</v>
          </cell>
          <cell r="AP1839">
            <v>0</v>
          </cell>
          <cell r="AQ1839">
            <v>0</v>
          </cell>
          <cell r="AV1839">
            <v>3600000</v>
          </cell>
        </row>
        <row r="1840">
          <cell r="E1840" t="str">
            <v>D25018538</v>
          </cell>
          <cell r="AP1840">
            <v>0</v>
          </cell>
          <cell r="AQ1840">
            <v>0</v>
          </cell>
          <cell r="AV1840">
            <v>5832000</v>
          </cell>
        </row>
        <row r="1841">
          <cell r="E1841" t="str">
            <v>B25016381</v>
          </cell>
          <cell r="AP1841">
            <v>0</v>
          </cell>
          <cell r="AQ1841">
            <v>0</v>
          </cell>
          <cell r="AV1841">
            <v>38820000</v>
          </cell>
        </row>
        <row r="1842">
          <cell r="E1842" t="str">
            <v>D25018937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B25016507</v>
          </cell>
          <cell r="AP1843">
            <v>0</v>
          </cell>
          <cell r="AQ1843">
            <v>0</v>
          </cell>
          <cell r="AV1843">
            <v>3320000</v>
          </cell>
        </row>
        <row r="1844">
          <cell r="E1844" t="str">
            <v>B25016519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B25016585</v>
          </cell>
          <cell r="AP1845">
            <v>0</v>
          </cell>
          <cell r="AQ1845">
            <v>0</v>
          </cell>
          <cell r="AV1845">
            <v>6300000</v>
          </cell>
        </row>
        <row r="1846">
          <cell r="E1846" t="str">
            <v>B25016610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D25019152</v>
          </cell>
          <cell r="AP1847">
            <v>0</v>
          </cell>
          <cell r="AQ1847">
            <v>0</v>
          </cell>
          <cell r="AV1847">
            <v>36000000</v>
          </cell>
        </row>
        <row r="1848">
          <cell r="E1848" t="str">
            <v>B25016775</v>
          </cell>
          <cell r="AP1848">
            <v>0</v>
          </cell>
          <cell r="AQ1848">
            <v>0</v>
          </cell>
          <cell r="AV1848">
            <v>50000000</v>
          </cell>
        </row>
        <row r="1849">
          <cell r="E1849" t="str">
            <v>D25019315</v>
          </cell>
          <cell r="AP1849">
            <v>0</v>
          </cell>
          <cell r="AQ1849">
            <v>0</v>
          </cell>
          <cell r="AV1849">
            <v>119900000</v>
          </cell>
        </row>
        <row r="1850">
          <cell r="E1850" t="str">
            <v>D25019343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D25019376</v>
          </cell>
          <cell r="AP1851">
            <v>0</v>
          </cell>
          <cell r="AQ1851">
            <v>0</v>
          </cell>
          <cell r="AV1851">
            <v>10625000</v>
          </cell>
        </row>
        <row r="1852">
          <cell r="E1852" t="str">
            <v>D25019377</v>
          </cell>
          <cell r="AP1852">
            <v>0</v>
          </cell>
          <cell r="AQ1852">
            <v>0</v>
          </cell>
          <cell r="AV1852">
            <v>8400000</v>
          </cell>
        </row>
        <row r="1853">
          <cell r="E1853" t="str">
            <v>B25016973</v>
          </cell>
          <cell r="AP1853">
            <v>0</v>
          </cell>
          <cell r="AQ1853">
            <v>0</v>
          </cell>
          <cell r="AV1853">
            <v>43575000</v>
          </cell>
        </row>
        <row r="1854">
          <cell r="E1854" t="str">
            <v>B25016974</v>
          </cell>
          <cell r="AP1854">
            <v>0</v>
          </cell>
          <cell r="AQ1854">
            <v>0</v>
          </cell>
          <cell r="AV1854">
            <v>1260000</v>
          </cell>
        </row>
        <row r="1855">
          <cell r="E1855" t="str">
            <v>B25016975</v>
          </cell>
          <cell r="AP1855">
            <v>0</v>
          </cell>
          <cell r="AQ1855">
            <v>0</v>
          </cell>
          <cell r="AV1855">
            <v>7440000</v>
          </cell>
        </row>
        <row r="1856">
          <cell r="E1856" t="str">
            <v>B26000267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B26000268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B26000284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B26000323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D26000387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D26000391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B26000395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B26000666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D26000737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D26000873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D26000882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D26000884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B26000827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B26000831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B26000872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D26000914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B26000926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D26001016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B26001032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B26001033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B26001047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D26001140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D26001157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B26001163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D26001214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B26001239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D26001300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D26001326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D26001367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D26001574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B26001538</v>
          </cell>
          <cell r="AP1886">
            <v>0</v>
          </cell>
          <cell r="AQ1886">
            <v>0</v>
          </cell>
          <cell r="AV1886">
            <v>2250000</v>
          </cell>
        </row>
        <row r="1887">
          <cell r="E1887" t="str">
            <v>B26001560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D26001685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D26001686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D26001687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D26001742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D26001796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B26001730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D26001867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B26001840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B26001844</v>
          </cell>
          <cell r="AP1896">
            <v>0</v>
          </cell>
          <cell r="AQ1896">
            <v>0</v>
          </cell>
          <cell r="AV1896">
            <v>8750000</v>
          </cell>
        </row>
        <row r="1897">
          <cell r="E1897" t="str">
            <v>B26001854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B26001859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D26001967</v>
          </cell>
          <cell r="AP1899">
            <v>0</v>
          </cell>
          <cell r="AQ1899">
            <v>0</v>
          </cell>
          <cell r="AV1899">
            <v>13200000</v>
          </cell>
        </row>
        <row r="1900">
          <cell r="E1900" t="str">
            <v>T26000139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D26002202</v>
          </cell>
          <cell r="AP1901">
            <v>0</v>
          </cell>
          <cell r="AQ1901">
            <v>0</v>
          </cell>
          <cell r="AV1901">
            <v>14000000</v>
          </cell>
        </row>
        <row r="1902">
          <cell r="E1902" t="str">
            <v>B26002153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D26002256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Z26000401</v>
          </cell>
          <cell r="AP1904">
            <v>335000</v>
          </cell>
          <cell r="AQ1904">
            <v>0</v>
          </cell>
          <cell r="AV1904">
            <v>0</v>
          </cell>
        </row>
        <row r="1905">
          <cell r="E1905" t="str">
            <v>B26002228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B26002246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D26002440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B26002270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D26000060</v>
          </cell>
          <cell r="AP1909">
            <v>0</v>
          </cell>
          <cell r="AQ1909">
            <v>355000</v>
          </cell>
          <cell r="AV1909">
            <v>0</v>
          </cell>
        </row>
        <row r="1910">
          <cell r="E1910" t="str">
            <v>D26000060</v>
          </cell>
          <cell r="AP1910">
            <v>0</v>
          </cell>
          <cell r="AQ1910">
            <v>0</v>
          </cell>
          <cell r="AV1910">
            <v>95000</v>
          </cell>
        </row>
        <row r="1911">
          <cell r="E1911" t="str">
            <v>B26000190</v>
          </cell>
          <cell r="AP1911">
            <v>0</v>
          </cell>
          <cell r="AQ1911">
            <v>1500000</v>
          </cell>
          <cell r="AV1911">
            <v>0</v>
          </cell>
        </row>
        <row r="1912">
          <cell r="E1912" t="str">
            <v>B26000214</v>
          </cell>
          <cell r="AP1912">
            <v>0</v>
          </cell>
          <cell r="AQ1912">
            <v>1200000</v>
          </cell>
          <cell r="AV1912">
            <v>0</v>
          </cell>
        </row>
        <row r="1913">
          <cell r="E1913" t="str">
            <v>D26000496</v>
          </cell>
          <cell r="AP1913">
            <v>0</v>
          </cell>
          <cell r="AQ1913">
            <v>870000</v>
          </cell>
          <cell r="AV1913">
            <v>0</v>
          </cell>
        </row>
        <row r="1914">
          <cell r="E1914" t="str">
            <v>D26000497</v>
          </cell>
          <cell r="AP1914">
            <v>0</v>
          </cell>
          <cell r="AQ1914">
            <v>2862500</v>
          </cell>
          <cell r="AV1914">
            <v>0</v>
          </cell>
        </row>
        <row r="1915">
          <cell r="E1915" t="str">
            <v>D26000878</v>
          </cell>
          <cell r="AP1915">
            <v>0</v>
          </cell>
          <cell r="AQ1915">
            <v>1275000</v>
          </cell>
          <cell r="AV1915">
            <v>0</v>
          </cell>
        </row>
        <row r="1916">
          <cell r="E1916" t="str">
            <v>T26000054</v>
          </cell>
          <cell r="AP1916">
            <v>0</v>
          </cell>
          <cell r="AQ1916">
            <v>2740000</v>
          </cell>
          <cell r="AV1916">
            <v>0</v>
          </cell>
        </row>
        <row r="1917">
          <cell r="E1917" t="str">
            <v>T26000055</v>
          </cell>
          <cell r="AP1917">
            <v>0</v>
          </cell>
          <cell r="AQ1917">
            <v>937500</v>
          </cell>
          <cell r="AV1917">
            <v>0</v>
          </cell>
        </row>
        <row r="1918">
          <cell r="E1918" t="str">
            <v>B26001384</v>
          </cell>
          <cell r="AP1918">
            <v>0</v>
          </cell>
          <cell r="AQ1918">
            <v>1210000</v>
          </cell>
          <cell r="AV1918">
            <v>0</v>
          </cell>
        </row>
        <row r="1919">
          <cell r="E1919" t="str">
            <v>B26001385</v>
          </cell>
          <cell r="AP1919">
            <v>0</v>
          </cell>
          <cell r="AQ1919">
            <v>2020000</v>
          </cell>
          <cell r="AV1919">
            <v>0</v>
          </cell>
        </row>
        <row r="1920">
          <cell r="E1920" t="str">
            <v>D26001559</v>
          </cell>
          <cell r="AP1920">
            <v>0</v>
          </cell>
          <cell r="AQ1920">
            <v>1670000</v>
          </cell>
          <cell r="AV1920">
            <v>0</v>
          </cell>
        </row>
        <row r="1921">
          <cell r="E1921" t="str">
            <v>B26001568</v>
          </cell>
          <cell r="AP1921">
            <v>0</v>
          </cell>
          <cell r="AQ1921">
            <v>1360000</v>
          </cell>
          <cell r="AV1921">
            <v>0</v>
          </cell>
        </row>
        <row r="1922">
          <cell r="E1922" t="str">
            <v>D26002181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D26002182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B26002125</v>
          </cell>
          <cell r="AP1924">
            <v>0</v>
          </cell>
          <cell r="AQ1924">
            <v>0</v>
          </cell>
          <cell r="AV1924">
            <v>470000</v>
          </cell>
        </row>
        <row r="1925">
          <cell r="E1925" t="str">
            <v>D26002310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D26002311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B25015550</v>
          </cell>
          <cell r="AP1927">
            <v>0</v>
          </cell>
          <cell r="AQ1927">
            <v>0</v>
          </cell>
          <cell r="AV1927">
            <v>6135000</v>
          </cell>
        </row>
        <row r="1928">
          <cell r="E1928" t="str">
            <v>B25015864</v>
          </cell>
          <cell r="AP1928">
            <v>0</v>
          </cell>
          <cell r="AQ1928">
            <v>0</v>
          </cell>
          <cell r="AV1928">
            <v>10840000</v>
          </cell>
        </row>
        <row r="1929">
          <cell r="E1929" t="str">
            <v>B25016092</v>
          </cell>
          <cell r="AP1929">
            <v>0</v>
          </cell>
          <cell r="AQ1929">
            <v>0</v>
          </cell>
          <cell r="AV1929">
            <v>2750000</v>
          </cell>
        </row>
        <row r="1930">
          <cell r="E1930" t="str">
            <v>B25016384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D25019393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D25019652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B26000606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B26000956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B26001207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C26000117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D26000012</v>
          </cell>
          <cell r="AP1937">
            <v>0</v>
          </cell>
          <cell r="AQ1937">
            <v>0</v>
          </cell>
          <cell r="AV1937">
            <v>7440000</v>
          </cell>
        </row>
        <row r="1938">
          <cell r="E1938" t="str">
            <v>D26000395</v>
          </cell>
          <cell r="AP1938">
            <v>0</v>
          </cell>
          <cell r="AQ1938">
            <v>0</v>
          </cell>
          <cell r="AV1938">
            <v>5520000</v>
          </cell>
        </row>
        <row r="1939">
          <cell r="E1939" t="str">
            <v>B26000722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B26001094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D26001151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B26001635</v>
          </cell>
          <cell r="AP1942">
            <v>0</v>
          </cell>
          <cell r="AQ1942">
            <v>0</v>
          </cell>
          <cell r="AV1942">
            <v>12950000</v>
          </cell>
        </row>
        <row r="1943">
          <cell r="E1943" t="str">
            <v>D26001766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B26001763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B26001974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D25019621</v>
          </cell>
          <cell r="AP1946">
            <v>0</v>
          </cell>
          <cell r="AQ1946">
            <v>0</v>
          </cell>
          <cell r="AV1946">
            <v>2580000</v>
          </cell>
        </row>
        <row r="1947">
          <cell r="E1947" t="str">
            <v>D25019622</v>
          </cell>
          <cell r="AP1947">
            <v>0</v>
          </cell>
          <cell r="AQ1947">
            <v>0</v>
          </cell>
          <cell r="AV1947">
            <v>4782500</v>
          </cell>
        </row>
        <row r="1948">
          <cell r="E1948" t="str">
            <v>D25019623</v>
          </cell>
          <cell r="AP1948">
            <v>0</v>
          </cell>
          <cell r="AQ1948">
            <v>0</v>
          </cell>
          <cell r="AV1948">
            <v>1497500</v>
          </cell>
        </row>
        <row r="1949">
          <cell r="E1949" t="str">
            <v>D25019624</v>
          </cell>
          <cell r="AP1949">
            <v>0</v>
          </cell>
          <cell r="AQ1949">
            <v>0</v>
          </cell>
          <cell r="AV1949">
            <v>1440000</v>
          </cell>
        </row>
        <row r="1950">
          <cell r="E1950" t="str">
            <v>T25001894</v>
          </cell>
          <cell r="AP1950">
            <v>0</v>
          </cell>
          <cell r="AQ1950">
            <v>0</v>
          </cell>
          <cell r="AV1950">
            <v>180000</v>
          </cell>
        </row>
        <row r="1951">
          <cell r="E1951" t="str">
            <v>B25017101</v>
          </cell>
          <cell r="AP1951">
            <v>0</v>
          </cell>
          <cell r="AQ1951">
            <v>0</v>
          </cell>
          <cell r="AV1951">
            <v>5120000</v>
          </cell>
        </row>
        <row r="1952">
          <cell r="E1952" t="str">
            <v>D26000201</v>
          </cell>
          <cell r="AP1952">
            <v>0</v>
          </cell>
          <cell r="AQ1952">
            <v>0</v>
          </cell>
          <cell r="AV1952">
            <v>2800000</v>
          </cell>
        </row>
        <row r="1953">
          <cell r="E1953" t="str">
            <v>D26000220</v>
          </cell>
          <cell r="AP1953">
            <v>0</v>
          </cell>
          <cell r="AQ1953">
            <v>0</v>
          </cell>
          <cell r="AV1953">
            <v>273000</v>
          </cell>
        </row>
        <row r="1954">
          <cell r="E1954" t="str">
            <v>D26000568</v>
          </cell>
          <cell r="AP1954">
            <v>0</v>
          </cell>
          <cell r="AQ1954">
            <v>0</v>
          </cell>
          <cell r="AV1954">
            <v>937500</v>
          </cell>
        </row>
        <row r="1955">
          <cell r="E1955" t="str">
            <v>D26000569</v>
          </cell>
          <cell r="AP1955">
            <v>0</v>
          </cell>
          <cell r="AQ1955">
            <v>0</v>
          </cell>
          <cell r="AV1955">
            <v>2115000</v>
          </cell>
        </row>
        <row r="1956">
          <cell r="E1956" t="str">
            <v>D26000570</v>
          </cell>
          <cell r="AP1956">
            <v>0</v>
          </cell>
          <cell r="AQ1956">
            <v>0</v>
          </cell>
          <cell r="AV1956">
            <v>2325000</v>
          </cell>
        </row>
        <row r="1957">
          <cell r="E1957" t="str">
            <v>D26000571</v>
          </cell>
          <cell r="AP1957">
            <v>0</v>
          </cell>
          <cell r="AQ1957">
            <v>0</v>
          </cell>
          <cell r="AV1957">
            <v>1765000</v>
          </cell>
        </row>
        <row r="1958">
          <cell r="E1958" t="str">
            <v>D26000572</v>
          </cell>
          <cell r="AP1958">
            <v>0</v>
          </cell>
          <cell r="AQ1958">
            <v>0</v>
          </cell>
          <cell r="AV1958">
            <v>683500</v>
          </cell>
        </row>
        <row r="1959">
          <cell r="E1959" t="str">
            <v>D26000573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B26000585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B26000640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B26001196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B26001197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B26001198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B26001199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B26001200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D26001307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B26001786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B26001787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B26001788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B26001789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B26001790</v>
          </cell>
          <cell r="AP1972">
            <v>0</v>
          </cell>
          <cell r="AQ1972">
            <v>0</v>
          </cell>
          <cell r="AV1972">
            <v>3880000</v>
          </cell>
        </row>
        <row r="1973">
          <cell r="E1973" t="str">
            <v>B26001791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B26002020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B26002021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B26002022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D26002249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D26001149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B26001901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B26002107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D25018262</v>
          </cell>
          <cell r="AP1981">
            <v>0</v>
          </cell>
          <cell r="AQ1981">
            <v>0</v>
          </cell>
          <cell r="AV1981">
            <v>6000000</v>
          </cell>
        </row>
        <row r="1982">
          <cell r="E1982" t="str">
            <v>B26002062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D26002017</v>
          </cell>
          <cell r="AP1983">
            <v>0</v>
          </cell>
          <cell r="AQ1983">
            <v>0</v>
          </cell>
          <cell r="AV1983">
            <v>5700000</v>
          </cell>
        </row>
        <row r="1984">
          <cell r="E1984" t="str">
            <v>T25001796</v>
          </cell>
          <cell r="AP1984">
            <v>0</v>
          </cell>
          <cell r="AQ1984">
            <v>0</v>
          </cell>
          <cell r="AV1984">
            <v>10400000</v>
          </cell>
        </row>
        <row r="1985">
          <cell r="E1985" t="str">
            <v>D26000332</v>
          </cell>
          <cell r="AP1985">
            <v>0</v>
          </cell>
          <cell r="AQ1985">
            <v>0</v>
          </cell>
          <cell r="AV1985">
            <v>7500000</v>
          </cell>
        </row>
        <row r="1986">
          <cell r="E1986" t="str">
            <v>B26000333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D26001846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D26002410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D26001670</v>
          </cell>
          <cell r="AP1989">
            <v>7140000</v>
          </cell>
          <cell r="AQ1989">
            <v>0</v>
          </cell>
          <cell r="AV1989">
            <v>0</v>
          </cell>
        </row>
        <row r="1990">
          <cell r="E1990" t="str">
            <v>D26001738</v>
          </cell>
          <cell r="AP1990">
            <v>0</v>
          </cell>
          <cell r="AQ1990">
            <v>0</v>
          </cell>
          <cell r="AV1990">
            <v>115000000</v>
          </cell>
        </row>
        <row r="1991">
          <cell r="E1991" t="str">
            <v>B26001650</v>
          </cell>
          <cell r="AP1991">
            <v>0</v>
          </cell>
          <cell r="AQ1991">
            <v>0</v>
          </cell>
          <cell r="AV1991">
            <v>27200000</v>
          </cell>
        </row>
        <row r="1992">
          <cell r="E1992" t="str">
            <v>B26001735</v>
          </cell>
          <cell r="AP1992">
            <v>0</v>
          </cell>
          <cell r="AQ1992">
            <v>0</v>
          </cell>
          <cell r="AV1992">
            <v>96660000</v>
          </cell>
        </row>
        <row r="1993">
          <cell r="E1993" t="str">
            <v>B26001751</v>
          </cell>
          <cell r="AP1993">
            <v>0</v>
          </cell>
          <cell r="AQ1993">
            <v>0</v>
          </cell>
          <cell r="AV1993">
            <v>297375000</v>
          </cell>
        </row>
        <row r="1994">
          <cell r="E1994" t="str">
            <v>B26001802</v>
          </cell>
          <cell r="AP1994">
            <v>0</v>
          </cell>
          <cell r="AQ1994">
            <v>0</v>
          </cell>
          <cell r="AV1994">
            <v>184000000</v>
          </cell>
        </row>
        <row r="1995">
          <cell r="E1995" t="str">
            <v>D26001912</v>
          </cell>
          <cell r="AP1995">
            <v>0</v>
          </cell>
          <cell r="AQ1995">
            <v>0</v>
          </cell>
          <cell r="AV1995">
            <v>244250000</v>
          </cell>
        </row>
        <row r="1996">
          <cell r="E1996" t="str">
            <v>B26001847</v>
          </cell>
          <cell r="AP1996">
            <v>0</v>
          </cell>
          <cell r="AQ1996">
            <v>0</v>
          </cell>
          <cell r="AV1996">
            <v>30000000</v>
          </cell>
        </row>
        <row r="1997">
          <cell r="E1997" t="str">
            <v>B26001891</v>
          </cell>
          <cell r="AP1997">
            <v>0</v>
          </cell>
          <cell r="AQ1997">
            <v>0</v>
          </cell>
          <cell r="AV1997">
            <v>34750000</v>
          </cell>
        </row>
        <row r="1998">
          <cell r="E1998" t="str">
            <v>B26001939</v>
          </cell>
          <cell r="AP1998">
            <v>0</v>
          </cell>
          <cell r="AQ1998">
            <v>0</v>
          </cell>
          <cell r="AV1998">
            <v>270000000</v>
          </cell>
        </row>
        <row r="1999">
          <cell r="E1999" t="str">
            <v>D26002066</v>
          </cell>
          <cell r="AP1999">
            <v>0</v>
          </cell>
          <cell r="AQ1999">
            <v>0</v>
          </cell>
          <cell r="AV1999">
            <v>338400000</v>
          </cell>
        </row>
        <row r="2000">
          <cell r="E2000" t="str">
            <v>D26002088</v>
          </cell>
          <cell r="AP2000">
            <v>0</v>
          </cell>
          <cell r="AQ2000">
            <v>0</v>
          </cell>
          <cell r="AV2000">
            <v>66800000</v>
          </cell>
        </row>
        <row r="2001">
          <cell r="E2001" t="str">
            <v>B26002001</v>
          </cell>
          <cell r="AP2001">
            <v>0</v>
          </cell>
          <cell r="AQ2001">
            <v>0</v>
          </cell>
          <cell r="AV2001">
            <v>69382000</v>
          </cell>
        </row>
        <row r="2002">
          <cell r="E2002" t="str">
            <v>D26002211</v>
          </cell>
          <cell r="AP2002">
            <v>0</v>
          </cell>
          <cell r="AQ2002">
            <v>0</v>
          </cell>
          <cell r="AV2002">
            <v>165750000</v>
          </cell>
        </row>
        <row r="2003">
          <cell r="E2003" t="str">
            <v>D26002227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D26002238</v>
          </cell>
          <cell r="AP2004">
            <v>0</v>
          </cell>
          <cell r="AQ2004">
            <v>0</v>
          </cell>
          <cell r="AV2004">
            <v>224000000</v>
          </cell>
        </row>
        <row r="2005">
          <cell r="E2005" t="str">
            <v>B25005869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D25010517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D26002022</v>
          </cell>
          <cell r="AP2007">
            <v>500</v>
          </cell>
          <cell r="AQ2007">
            <v>0</v>
          </cell>
          <cell r="AV2007">
            <v>1780000</v>
          </cell>
        </row>
        <row r="2008">
          <cell r="E2008" t="str">
            <v>B25015254</v>
          </cell>
          <cell r="AP2008">
            <v>0</v>
          </cell>
          <cell r="AQ2008">
            <v>0</v>
          </cell>
          <cell r="AV2008">
            <v>20000000</v>
          </cell>
        </row>
        <row r="2009">
          <cell r="E2009" t="str">
            <v>B26000617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D26002255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D25019574</v>
          </cell>
          <cell r="AP2011">
            <v>0</v>
          </cell>
          <cell r="AQ2011">
            <v>0</v>
          </cell>
          <cell r="AV2011">
            <v>6750000</v>
          </cell>
        </row>
        <row r="2012">
          <cell r="E2012" t="str">
            <v>D26002082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T26000147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B26002027</v>
          </cell>
          <cell r="AP2014">
            <v>0</v>
          </cell>
          <cell r="AQ2014">
            <v>0</v>
          </cell>
          <cell r="AV2014">
            <v>28500000</v>
          </cell>
        </row>
        <row r="2015">
          <cell r="E2015" t="str">
            <v>B26000044</v>
          </cell>
          <cell r="AP2015">
            <v>0</v>
          </cell>
          <cell r="AQ2015">
            <v>0</v>
          </cell>
          <cell r="AV2015">
            <v>7200000</v>
          </cell>
        </row>
        <row r="2016">
          <cell r="E2016" t="str">
            <v>D26000105</v>
          </cell>
          <cell r="AP2016">
            <v>0</v>
          </cell>
          <cell r="AQ2016">
            <v>0</v>
          </cell>
          <cell r="AV2016">
            <v>2900000</v>
          </cell>
        </row>
        <row r="2017">
          <cell r="E2017" t="str">
            <v>D26001797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B26002259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B26002300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B26002301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B25014910</v>
          </cell>
          <cell r="AP2021">
            <v>0</v>
          </cell>
          <cell r="AQ2021">
            <v>0</v>
          </cell>
          <cell r="AV2021">
            <v>128375000</v>
          </cell>
        </row>
        <row r="2022">
          <cell r="E2022" t="str">
            <v>B25014911</v>
          </cell>
          <cell r="AP2022">
            <v>0</v>
          </cell>
          <cell r="AQ2022">
            <v>0</v>
          </cell>
          <cell r="AV2022">
            <v>23950000</v>
          </cell>
        </row>
        <row r="2023">
          <cell r="E2023" t="str">
            <v>B25014912</v>
          </cell>
          <cell r="AP2023">
            <v>0</v>
          </cell>
          <cell r="AQ2023">
            <v>0</v>
          </cell>
          <cell r="AV2023">
            <v>31500000</v>
          </cell>
        </row>
        <row r="2024">
          <cell r="E2024" t="str">
            <v>D25018930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D25018967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D26002047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D26002047</v>
          </cell>
          <cell r="AP2027">
            <v>0</v>
          </cell>
          <cell r="AQ2027">
            <v>0</v>
          </cell>
          <cell r="AV2027">
            <v>2688000</v>
          </cell>
        </row>
        <row r="2028">
          <cell r="E2028" t="str">
            <v>C26000095</v>
          </cell>
          <cell r="AP2028">
            <v>0</v>
          </cell>
          <cell r="AQ2028">
            <v>0</v>
          </cell>
          <cell r="AV2028">
            <v>1488000</v>
          </cell>
        </row>
        <row r="2029">
          <cell r="E2029" t="str">
            <v>C26000096</v>
          </cell>
          <cell r="AP2029">
            <v>0</v>
          </cell>
          <cell r="AQ2029">
            <v>0</v>
          </cell>
          <cell r="AV2029">
            <v>595000</v>
          </cell>
        </row>
        <row r="2030">
          <cell r="E2030" t="str">
            <v>M26000023</v>
          </cell>
          <cell r="AP2030">
            <v>0</v>
          </cell>
          <cell r="AQ2030">
            <v>0</v>
          </cell>
          <cell r="AV2030">
            <v>17500</v>
          </cell>
        </row>
        <row r="2031">
          <cell r="E2031" t="str">
            <v>C26000103</v>
          </cell>
          <cell r="AP2031">
            <v>0</v>
          </cell>
          <cell r="AQ2031">
            <v>0</v>
          </cell>
          <cell r="AV2031">
            <v>1625000</v>
          </cell>
        </row>
        <row r="2032">
          <cell r="E2032" t="str">
            <v>C26000105</v>
          </cell>
          <cell r="AP2032">
            <v>0</v>
          </cell>
          <cell r="AQ2032">
            <v>0</v>
          </cell>
          <cell r="AV2032">
            <v>126000</v>
          </cell>
        </row>
        <row r="2033">
          <cell r="E2033" t="str">
            <v>C26000106</v>
          </cell>
          <cell r="AP2033">
            <v>0</v>
          </cell>
          <cell r="AQ2033">
            <v>0</v>
          </cell>
          <cell r="AV2033">
            <v>66000</v>
          </cell>
        </row>
        <row r="2034">
          <cell r="E2034" t="str">
            <v>C26000108</v>
          </cell>
          <cell r="AP2034">
            <v>0</v>
          </cell>
          <cell r="AQ2034">
            <v>0</v>
          </cell>
          <cell r="AV2034">
            <v>1123500</v>
          </cell>
        </row>
        <row r="2035">
          <cell r="E2035" t="str">
            <v>C26000111</v>
          </cell>
          <cell r="AP2035">
            <v>0</v>
          </cell>
          <cell r="AQ2035">
            <v>0</v>
          </cell>
          <cell r="AV2035">
            <v>657000</v>
          </cell>
        </row>
        <row r="2036">
          <cell r="E2036" t="str">
            <v>C26000113</v>
          </cell>
          <cell r="AP2036">
            <v>0</v>
          </cell>
          <cell r="AQ2036">
            <v>0</v>
          </cell>
          <cell r="AV2036">
            <v>309500</v>
          </cell>
        </row>
        <row r="2037">
          <cell r="E2037" t="str">
            <v>M26000031</v>
          </cell>
          <cell r="AP2037">
            <v>0</v>
          </cell>
          <cell r="AQ2037">
            <v>0</v>
          </cell>
          <cell r="AV2037">
            <v>115500</v>
          </cell>
        </row>
        <row r="2038">
          <cell r="E2038" t="str">
            <v>M26000031</v>
          </cell>
          <cell r="AP2038">
            <v>0</v>
          </cell>
          <cell r="AQ2038">
            <v>0</v>
          </cell>
          <cell r="AV2038">
            <v>46000</v>
          </cell>
        </row>
        <row r="2039">
          <cell r="E2039" t="str">
            <v>M26000031</v>
          </cell>
          <cell r="AP2039">
            <v>0</v>
          </cell>
          <cell r="AQ2039">
            <v>0</v>
          </cell>
          <cell r="AV2039">
            <v>138500</v>
          </cell>
        </row>
        <row r="2040">
          <cell r="E2040" t="str">
            <v>C26000115</v>
          </cell>
          <cell r="AP2040">
            <v>0</v>
          </cell>
          <cell r="AQ2040">
            <v>0</v>
          </cell>
          <cell r="AV2040">
            <v>680000</v>
          </cell>
        </row>
        <row r="2041">
          <cell r="E2041" t="str">
            <v>C26000118</v>
          </cell>
          <cell r="AP2041">
            <v>0</v>
          </cell>
          <cell r="AQ2041">
            <v>0</v>
          </cell>
          <cell r="AV2041">
            <v>455000</v>
          </cell>
        </row>
        <row r="2042">
          <cell r="E2042" t="str">
            <v>C26000119</v>
          </cell>
          <cell r="AP2042">
            <v>0</v>
          </cell>
          <cell r="AQ2042">
            <v>0</v>
          </cell>
          <cell r="AV2042">
            <v>247000</v>
          </cell>
        </row>
        <row r="2043">
          <cell r="E2043" t="str">
            <v>M26000032</v>
          </cell>
          <cell r="AP2043">
            <v>0</v>
          </cell>
          <cell r="AQ2043">
            <v>0</v>
          </cell>
          <cell r="AV2043">
            <v>117500</v>
          </cell>
        </row>
        <row r="2044">
          <cell r="E2044" t="str">
            <v>C26000120</v>
          </cell>
          <cell r="AP2044">
            <v>0</v>
          </cell>
          <cell r="AQ2044">
            <v>0</v>
          </cell>
          <cell r="AV2044">
            <v>699500</v>
          </cell>
        </row>
        <row r="2045">
          <cell r="E2045" t="str">
            <v>C26000124</v>
          </cell>
          <cell r="AP2045">
            <v>0</v>
          </cell>
          <cell r="AQ2045">
            <v>0</v>
          </cell>
          <cell r="AV2045">
            <v>2156500</v>
          </cell>
        </row>
        <row r="2046">
          <cell r="E2046" t="str">
            <v>M26000033</v>
          </cell>
          <cell r="AP2046">
            <v>0</v>
          </cell>
          <cell r="AQ2046">
            <v>0</v>
          </cell>
          <cell r="AV2046">
            <v>57000</v>
          </cell>
        </row>
        <row r="2047">
          <cell r="E2047" t="str">
            <v>C26000132</v>
          </cell>
          <cell r="AP2047">
            <v>0</v>
          </cell>
          <cell r="AQ2047">
            <v>0</v>
          </cell>
          <cell r="AV2047">
            <v>439500</v>
          </cell>
        </row>
        <row r="2048">
          <cell r="E2048" t="str">
            <v>D26002372</v>
          </cell>
          <cell r="AP2048">
            <v>0</v>
          </cell>
          <cell r="AQ2048">
            <v>0</v>
          </cell>
          <cell r="AV2048">
            <v>1350000</v>
          </cell>
        </row>
        <row r="2049">
          <cell r="E2049" t="str">
            <v>C26000133</v>
          </cell>
          <cell r="AP2049">
            <v>0</v>
          </cell>
          <cell r="AQ2049">
            <v>0</v>
          </cell>
          <cell r="AV2049">
            <v>204000</v>
          </cell>
        </row>
        <row r="2050">
          <cell r="E2050" t="str">
            <v>C26000134</v>
          </cell>
          <cell r="AP2050">
            <v>0</v>
          </cell>
          <cell r="AQ2050">
            <v>0</v>
          </cell>
          <cell r="AV2050">
            <v>779000</v>
          </cell>
        </row>
        <row r="2051">
          <cell r="E2051" t="str">
            <v>B26001977</v>
          </cell>
          <cell r="AP2051">
            <v>0</v>
          </cell>
          <cell r="AQ2051">
            <v>0</v>
          </cell>
          <cell r="AV2051">
            <v>3940000</v>
          </cell>
        </row>
        <row r="2052">
          <cell r="E2052" t="str">
            <v>T26000149K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D25019067</v>
          </cell>
          <cell r="AP2053">
            <v>0</v>
          </cell>
          <cell r="AQ2053">
            <v>0</v>
          </cell>
          <cell r="AV2053">
            <v>579500</v>
          </cell>
        </row>
        <row r="2054">
          <cell r="E2054" t="str">
            <v>B25016684</v>
          </cell>
          <cell r="AP2054">
            <v>0</v>
          </cell>
          <cell r="AQ2054">
            <v>0</v>
          </cell>
          <cell r="AV2054">
            <v>560000</v>
          </cell>
        </row>
        <row r="2055">
          <cell r="E2055" t="str">
            <v>B26000154</v>
          </cell>
          <cell r="AP2055">
            <v>0</v>
          </cell>
          <cell r="AQ2055">
            <v>0</v>
          </cell>
          <cell r="AV2055">
            <v>860500</v>
          </cell>
        </row>
        <row r="2056">
          <cell r="E2056" t="str">
            <v>D26001055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D26001521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D26001554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D26001568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B26001889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D26002000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B26002156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D25017840</v>
          </cell>
          <cell r="AP2063">
            <v>0</v>
          </cell>
          <cell r="AQ2063">
            <v>0</v>
          </cell>
          <cell r="AV2063">
            <v>1620000</v>
          </cell>
        </row>
        <row r="2064">
          <cell r="E2064" t="str">
            <v>D25018603</v>
          </cell>
          <cell r="AP2064">
            <v>0</v>
          </cell>
          <cell r="AQ2064">
            <v>0</v>
          </cell>
          <cell r="AV2064">
            <v>9200000</v>
          </cell>
        </row>
        <row r="2065">
          <cell r="E2065" t="str">
            <v>D25018672</v>
          </cell>
          <cell r="AP2065">
            <v>0</v>
          </cell>
          <cell r="AQ2065">
            <v>0</v>
          </cell>
          <cell r="AV2065">
            <v>11000000</v>
          </cell>
        </row>
        <row r="2066">
          <cell r="E2066" t="str">
            <v>D25018799</v>
          </cell>
          <cell r="AP2066">
            <v>0</v>
          </cell>
          <cell r="AQ2066">
            <v>0</v>
          </cell>
          <cell r="AV2066">
            <v>9470000</v>
          </cell>
        </row>
        <row r="2067">
          <cell r="E2067" t="str">
            <v>B25016397</v>
          </cell>
          <cell r="AP2067">
            <v>0</v>
          </cell>
          <cell r="AQ2067">
            <v>0</v>
          </cell>
          <cell r="AV2067">
            <v>15870000</v>
          </cell>
        </row>
        <row r="2068">
          <cell r="E2068" t="str">
            <v>B25016408</v>
          </cell>
          <cell r="AP2068">
            <v>0</v>
          </cell>
          <cell r="AQ2068">
            <v>0</v>
          </cell>
          <cell r="AV2068">
            <v>6840000</v>
          </cell>
        </row>
        <row r="2069">
          <cell r="E2069" t="str">
            <v>B25016446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D25018938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D25018939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D25018940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D26001386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D26001392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D25019335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Z26000236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Z26000335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Z26000313</v>
          </cell>
          <cell r="AP2078">
            <v>0</v>
          </cell>
          <cell r="AQ2078">
            <v>0</v>
          </cell>
          <cell r="AV2078">
            <v>2025000</v>
          </cell>
        </row>
        <row r="2079">
          <cell r="E2079" t="str">
            <v>Z26000396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D26000317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B26001203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B26002247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T25001533K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T25001617</v>
          </cell>
          <cell r="AP2084">
            <v>0</v>
          </cell>
          <cell r="AQ2084">
            <v>0</v>
          </cell>
          <cell r="AV2084">
            <v>2000000</v>
          </cell>
        </row>
        <row r="2085">
          <cell r="E2085" t="str">
            <v>T26000086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D25017894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D25017895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D25017897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B25012755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D25015098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T25001556K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D26000323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B26001924</v>
          </cell>
          <cell r="AP2093">
            <v>0</v>
          </cell>
          <cell r="AQ2093">
            <v>0</v>
          </cell>
          <cell r="AV2093">
            <v>4062500</v>
          </cell>
        </row>
        <row r="2094">
          <cell r="E2094" t="str">
            <v>D25019539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D26000840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B26001123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B26001136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B26001590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B26001591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D26002416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Z25003263</v>
          </cell>
          <cell r="AP2101">
            <v>0</v>
          </cell>
          <cell r="AQ2101">
            <v>0</v>
          </cell>
          <cell r="AV2101">
            <v>14125000</v>
          </cell>
        </row>
        <row r="2102">
          <cell r="E2102" t="str">
            <v>Z25003273</v>
          </cell>
          <cell r="AP2102">
            <v>0</v>
          </cell>
          <cell r="AQ2102">
            <v>0</v>
          </cell>
          <cell r="AV2102">
            <v>2400000</v>
          </cell>
        </row>
        <row r="2103">
          <cell r="E2103" t="str">
            <v>Z26000020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Z26000021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Z26000024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Z26000231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Z26000232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D26000400</v>
          </cell>
          <cell r="AP2108">
            <v>800</v>
          </cell>
          <cell r="AQ2108">
            <v>0</v>
          </cell>
          <cell r="AV2108">
            <v>39980000</v>
          </cell>
        </row>
        <row r="2109">
          <cell r="E2109" t="str">
            <v>D26000401</v>
          </cell>
          <cell r="AP2109">
            <v>0</v>
          </cell>
          <cell r="AQ2109">
            <v>0</v>
          </cell>
          <cell r="AV2109">
            <v>6120000</v>
          </cell>
        </row>
        <row r="2110">
          <cell r="E2110" t="str">
            <v>B25015510</v>
          </cell>
          <cell r="AP2110">
            <v>0</v>
          </cell>
          <cell r="AQ2110">
            <v>0</v>
          </cell>
          <cell r="AV2110">
            <v>7000000</v>
          </cell>
        </row>
        <row r="2111">
          <cell r="E2111" t="str">
            <v>B25015647</v>
          </cell>
          <cell r="AP2111">
            <v>0</v>
          </cell>
          <cell r="AQ2111">
            <v>0</v>
          </cell>
          <cell r="AV2111">
            <v>105000000</v>
          </cell>
        </row>
        <row r="2112">
          <cell r="E2112" t="str">
            <v>B25015928</v>
          </cell>
          <cell r="AP2112">
            <v>0</v>
          </cell>
          <cell r="AQ2112">
            <v>0</v>
          </cell>
          <cell r="AV2112">
            <v>59350000</v>
          </cell>
        </row>
        <row r="2113">
          <cell r="E2113" t="str">
            <v>B25015929</v>
          </cell>
          <cell r="AP2113">
            <v>0</v>
          </cell>
          <cell r="AQ2113">
            <v>0</v>
          </cell>
          <cell r="AV2113">
            <v>46062500</v>
          </cell>
        </row>
        <row r="2114">
          <cell r="E2114" t="str">
            <v>B25015930</v>
          </cell>
          <cell r="AP2114">
            <v>0</v>
          </cell>
          <cell r="AQ2114">
            <v>0</v>
          </cell>
          <cell r="AV2114">
            <v>44050000</v>
          </cell>
        </row>
        <row r="2115">
          <cell r="E2115" t="str">
            <v>B25015991</v>
          </cell>
          <cell r="AP2115">
            <v>0</v>
          </cell>
          <cell r="AQ2115">
            <v>0</v>
          </cell>
          <cell r="AV2115">
            <v>7000000</v>
          </cell>
        </row>
        <row r="2116">
          <cell r="E2116" t="str">
            <v>D25018525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D25018606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B25016177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B25016825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B25016837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B25017008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D25019579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D26000036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D26000149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D26000150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B26000166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B26000347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D26000810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B26000982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B26000983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B26001042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B26001049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D26001275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D26001314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B26001274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B26001388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B26001410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B26001446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B26001574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B26001580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D26001839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B26001745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D26002091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D26002297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D26002058</v>
          </cell>
          <cell r="AP2145">
            <v>0</v>
          </cell>
          <cell r="AQ2145">
            <v>0</v>
          </cell>
          <cell r="AV2145">
            <v>20000000</v>
          </cell>
        </row>
        <row r="2146">
          <cell r="E2146" t="str">
            <v>B25015694</v>
          </cell>
          <cell r="AP2146">
            <v>0</v>
          </cell>
          <cell r="AQ2146">
            <v>0</v>
          </cell>
          <cell r="AV2146">
            <v>1630000</v>
          </cell>
        </row>
        <row r="2147">
          <cell r="E2147" t="str">
            <v>B25015943</v>
          </cell>
          <cell r="AP2147">
            <v>0</v>
          </cell>
          <cell r="AQ2147">
            <v>0</v>
          </cell>
          <cell r="AV2147">
            <v>5300000</v>
          </cell>
        </row>
        <row r="2148">
          <cell r="E2148" t="str">
            <v>D25019008</v>
          </cell>
          <cell r="AP2148">
            <v>0</v>
          </cell>
          <cell r="AQ2148">
            <v>0</v>
          </cell>
          <cell r="AV2148">
            <v>4125000</v>
          </cell>
        </row>
        <row r="2149">
          <cell r="E2149" t="str">
            <v>B25016619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D25019634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B25013203</v>
          </cell>
          <cell r="AP2151">
            <v>0</v>
          </cell>
          <cell r="AQ2151">
            <v>0</v>
          </cell>
          <cell r="AV2151">
            <v>1725000</v>
          </cell>
        </row>
        <row r="2152">
          <cell r="E2152" t="str">
            <v>B25013215</v>
          </cell>
          <cell r="AP2152">
            <v>0</v>
          </cell>
          <cell r="AQ2152">
            <v>0</v>
          </cell>
          <cell r="AV2152">
            <v>275000</v>
          </cell>
        </row>
        <row r="2153">
          <cell r="E2153" t="str">
            <v>B25013285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T24000347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E23005700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B25008183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D25017488</v>
          </cell>
          <cell r="AP2157">
            <v>0</v>
          </cell>
          <cell r="AQ2157">
            <v>0</v>
          </cell>
          <cell r="AV2157">
            <v>8600000</v>
          </cell>
        </row>
        <row r="2158">
          <cell r="E2158" t="str">
            <v>B26001004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D26002404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B25016804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B25016832</v>
          </cell>
          <cell r="AP2161">
            <v>0</v>
          </cell>
          <cell r="AQ2161">
            <v>0</v>
          </cell>
          <cell r="AV2161">
            <v>850000</v>
          </cell>
        </row>
        <row r="2162">
          <cell r="E2162" t="str">
            <v>B26002150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>
            <v>250190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>
            <v>250190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B25015868</v>
          </cell>
          <cell r="AP2165">
            <v>0</v>
          </cell>
          <cell r="AQ2165">
            <v>0</v>
          </cell>
          <cell r="AV2165">
            <v>4187500</v>
          </cell>
        </row>
        <row r="2166">
          <cell r="E2166" t="str">
            <v>B25016678</v>
          </cell>
          <cell r="AP2166">
            <v>0</v>
          </cell>
          <cell r="AQ2166">
            <v>0</v>
          </cell>
          <cell r="AV2166">
            <v>7000000</v>
          </cell>
        </row>
        <row r="2167">
          <cell r="E2167" t="str">
            <v>B25016955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D26000664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T25001725K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B25015538</v>
          </cell>
          <cell r="AP2170">
            <v>0</v>
          </cell>
          <cell r="AQ2170">
            <v>0</v>
          </cell>
          <cell r="AV2170">
            <v>11750000</v>
          </cell>
        </row>
        <row r="2171">
          <cell r="E2171" t="str">
            <v>B25015969</v>
          </cell>
          <cell r="AP2171">
            <v>0</v>
          </cell>
          <cell r="AQ2171">
            <v>0</v>
          </cell>
          <cell r="AV2171">
            <v>5312500</v>
          </cell>
        </row>
        <row r="2172">
          <cell r="E2172" t="str">
            <v>T26000030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D26000770</v>
          </cell>
          <cell r="AP2173">
            <v>0</v>
          </cell>
          <cell r="AQ2173">
            <v>0</v>
          </cell>
          <cell r="AV2173">
            <v>4500</v>
          </cell>
        </row>
        <row r="2174">
          <cell r="E2174" t="str">
            <v>D26000899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T26000064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T26000089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B26002113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D25015378</v>
          </cell>
          <cell r="AP2178">
            <v>0</v>
          </cell>
          <cell r="AQ2178">
            <v>0</v>
          </cell>
          <cell r="AV2178">
            <v>675000</v>
          </cell>
        </row>
        <row r="2179">
          <cell r="E2179" t="str">
            <v>D25019511</v>
          </cell>
          <cell r="AP2179">
            <v>0</v>
          </cell>
          <cell r="AQ2179">
            <v>0</v>
          </cell>
          <cell r="AV2179">
            <v>4300000</v>
          </cell>
        </row>
        <row r="2180">
          <cell r="E2180" t="str">
            <v>D26000811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B26002069</v>
          </cell>
          <cell r="AP2181">
            <v>0</v>
          </cell>
          <cell r="AQ2181">
            <v>0</v>
          </cell>
          <cell r="AV2181">
            <v>19600000</v>
          </cell>
        </row>
        <row r="2182">
          <cell r="E2182" t="str">
            <v>D26002364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D26002487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D25015654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D26002401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B25015473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T25001759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D25018034</v>
          </cell>
          <cell r="AP2188">
            <v>0</v>
          </cell>
          <cell r="AQ2188">
            <v>0</v>
          </cell>
          <cell r="AV2188">
            <v>4500000</v>
          </cell>
        </row>
        <row r="2189">
          <cell r="E2189" t="str">
            <v>T25001854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D25019148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B26000046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B26000125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B26000508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B26001344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D26002160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D26001318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D26001747</v>
          </cell>
          <cell r="AP2197">
            <v>0</v>
          </cell>
          <cell r="AQ2197">
            <v>0</v>
          </cell>
          <cell r="AV2197">
            <v>11500000</v>
          </cell>
        </row>
        <row r="2198">
          <cell r="E2198" t="str">
            <v>Z26000424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Z26000433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B25015743</v>
          </cell>
          <cell r="AP2200">
            <v>0</v>
          </cell>
          <cell r="AQ2200">
            <v>0</v>
          </cell>
          <cell r="AV2200">
            <v>4500000</v>
          </cell>
        </row>
        <row r="2201">
          <cell r="E2201" t="str">
            <v>B25015755</v>
          </cell>
          <cell r="AP2201">
            <v>12665000</v>
          </cell>
          <cell r="AQ2201">
            <v>0</v>
          </cell>
          <cell r="AV2201">
            <v>0</v>
          </cell>
        </row>
        <row r="2202">
          <cell r="E2202" t="str">
            <v>B25015755</v>
          </cell>
          <cell r="AP2202">
            <v>0</v>
          </cell>
          <cell r="AQ2202">
            <v>0</v>
          </cell>
          <cell r="AV2202">
            <v>101585000</v>
          </cell>
        </row>
        <row r="2203">
          <cell r="E2203" t="str">
            <v>B25015756</v>
          </cell>
          <cell r="AP2203">
            <v>0</v>
          </cell>
          <cell r="AQ2203">
            <v>0</v>
          </cell>
          <cell r="AV2203">
            <v>124980500</v>
          </cell>
        </row>
        <row r="2204">
          <cell r="E2204" t="str">
            <v>B25015830</v>
          </cell>
          <cell r="AP2204">
            <v>0</v>
          </cell>
          <cell r="AQ2204">
            <v>0</v>
          </cell>
          <cell r="AV2204">
            <v>17305000</v>
          </cell>
        </row>
        <row r="2205">
          <cell r="E2205" t="str">
            <v>D25018201</v>
          </cell>
          <cell r="AP2205">
            <v>0</v>
          </cell>
          <cell r="AQ2205">
            <v>0</v>
          </cell>
          <cell r="AV2205">
            <v>88800000</v>
          </cell>
        </row>
        <row r="2206">
          <cell r="E2206" t="str">
            <v>D25018385</v>
          </cell>
          <cell r="AP2206">
            <v>0</v>
          </cell>
          <cell r="AQ2206">
            <v>0</v>
          </cell>
          <cell r="AV2206">
            <v>3840000</v>
          </cell>
        </row>
        <row r="2207">
          <cell r="E2207" t="str">
            <v>D25018386</v>
          </cell>
          <cell r="AP2207">
            <v>0</v>
          </cell>
          <cell r="AQ2207">
            <v>0</v>
          </cell>
          <cell r="AV2207">
            <v>46250000</v>
          </cell>
        </row>
        <row r="2208">
          <cell r="E2208" t="str">
            <v>D25018392</v>
          </cell>
          <cell r="AP2208">
            <v>0</v>
          </cell>
          <cell r="AQ2208">
            <v>0</v>
          </cell>
          <cell r="AV2208">
            <v>6739500</v>
          </cell>
        </row>
        <row r="2209">
          <cell r="E2209" t="str">
            <v>D25018392</v>
          </cell>
          <cell r="AP2209">
            <v>0</v>
          </cell>
          <cell r="AQ2209">
            <v>0</v>
          </cell>
          <cell r="AV2209">
            <v>10500</v>
          </cell>
        </row>
        <row r="2210">
          <cell r="E2210" t="str">
            <v>B25015993</v>
          </cell>
          <cell r="AP2210">
            <v>0</v>
          </cell>
          <cell r="AQ2210">
            <v>0</v>
          </cell>
          <cell r="AV2210">
            <v>6850000</v>
          </cell>
        </row>
        <row r="2211">
          <cell r="E2211" t="str">
            <v>D25018437</v>
          </cell>
          <cell r="AP2211">
            <v>0</v>
          </cell>
          <cell r="AQ2211">
            <v>0</v>
          </cell>
          <cell r="AV2211">
            <v>19905000</v>
          </cell>
        </row>
        <row r="2212">
          <cell r="E2212" t="str">
            <v>D25018500</v>
          </cell>
          <cell r="AP2212">
            <v>0</v>
          </cell>
          <cell r="AQ2212">
            <v>0</v>
          </cell>
          <cell r="AV2212">
            <v>25025000</v>
          </cell>
        </row>
        <row r="2213">
          <cell r="E2213" t="str">
            <v>D25018523</v>
          </cell>
          <cell r="AP2213">
            <v>0</v>
          </cell>
          <cell r="AQ2213">
            <v>0</v>
          </cell>
          <cell r="AV2213">
            <v>150000000</v>
          </cell>
        </row>
        <row r="2214">
          <cell r="E2214" t="str">
            <v>D25018567</v>
          </cell>
          <cell r="AP2214">
            <v>0</v>
          </cell>
          <cell r="AQ2214">
            <v>0</v>
          </cell>
          <cell r="AV2214">
            <v>670000</v>
          </cell>
        </row>
        <row r="2215">
          <cell r="E2215" t="str">
            <v>D25018663</v>
          </cell>
          <cell r="AP2215">
            <v>0</v>
          </cell>
          <cell r="AQ2215">
            <v>0</v>
          </cell>
          <cell r="AV2215">
            <v>915000</v>
          </cell>
        </row>
        <row r="2216">
          <cell r="E2216" t="str">
            <v>D25018692</v>
          </cell>
          <cell r="AP2216">
            <v>0</v>
          </cell>
          <cell r="AQ2216">
            <v>0</v>
          </cell>
          <cell r="AV2216">
            <v>190000</v>
          </cell>
        </row>
        <row r="2217">
          <cell r="E2217" t="str">
            <v>D25018729</v>
          </cell>
          <cell r="AP2217">
            <v>0</v>
          </cell>
          <cell r="AQ2217">
            <v>0</v>
          </cell>
          <cell r="AV2217">
            <v>6750000</v>
          </cell>
        </row>
        <row r="2218">
          <cell r="E2218" t="str">
            <v>B25016347</v>
          </cell>
          <cell r="AP2218">
            <v>0</v>
          </cell>
          <cell r="AQ2218">
            <v>0</v>
          </cell>
          <cell r="AV2218">
            <v>114250000</v>
          </cell>
        </row>
        <row r="2219">
          <cell r="E2219" t="str">
            <v>B25016352</v>
          </cell>
          <cell r="AP2219">
            <v>0</v>
          </cell>
          <cell r="AQ2219">
            <v>0</v>
          </cell>
          <cell r="AV2219">
            <v>16080000</v>
          </cell>
        </row>
        <row r="2220">
          <cell r="E2220" t="str">
            <v>B25016411</v>
          </cell>
          <cell r="AP2220">
            <v>0</v>
          </cell>
          <cell r="AQ2220">
            <v>0</v>
          </cell>
          <cell r="AV2220">
            <v>12000000</v>
          </cell>
        </row>
        <row r="2221">
          <cell r="E2221" t="str">
            <v>B25016412</v>
          </cell>
          <cell r="AP2221">
            <v>0</v>
          </cell>
          <cell r="AQ2221">
            <v>0</v>
          </cell>
          <cell r="AV2221">
            <v>7830000</v>
          </cell>
        </row>
        <row r="2222">
          <cell r="E2222" t="str">
            <v>B25016458</v>
          </cell>
          <cell r="AP2222">
            <v>0</v>
          </cell>
          <cell r="AQ2222">
            <v>0</v>
          </cell>
          <cell r="AV2222">
            <v>24800000</v>
          </cell>
        </row>
        <row r="2223">
          <cell r="E2223" t="str">
            <v>B25016459</v>
          </cell>
          <cell r="AP2223">
            <v>0</v>
          </cell>
          <cell r="AQ2223">
            <v>0</v>
          </cell>
          <cell r="AV2223">
            <v>420000</v>
          </cell>
        </row>
        <row r="2224">
          <cell r="E2224" t="str">
            <v>B25016534</v>
          </cell>
          <cell r="AP2224">
            <v>0</v>
          </cell>
          <cell r="AQ2224">
            <v>0</v>
          </cell>
          <cell r="AV2224">
            <v>190000</v>
          </cell>
        </row>
        <row r="2225">
          <cell r="E2225" t="str">
            <v>B25016535</v>
          </cell>
          <cell r="AP2225">
            <v>0</v>
          </cell>
          <cell r="AQ2225">
            <v>0</v>
          </cell>
          <cell r="AV2225">
            <v>14114500</v>
          </cell>
        </row>
        <row r="2226">
          <cell r="E2226" t="str">
            <v>B25016535</v>
          </cell>
          <cell r="AP2226">
            <v>0</v>
          </cell>
          <cell r="AQ2226">
            <v>0</v>
          </cell>
          <cell r="AV2226">
            <v>27885500</v>
          </cell>
        </row>
        <row r="2227">
          <cell r="E2227" t="str">
            <v>D25019100</v>
          </cell>
          <cell r="AP2227">
            <v>0</v>
          </cell>
          <cell r="AQ2227">
            <v>0</v>
          </cell>
          <cell r="AV2227">
            <v>80950000</v>
          </cell>
        </row>
        <row r="2228">
          <cell r="E2228" t="str">
            <v>D25019105</v>
          </cell>
          <cell r="AP2228">
            <v>0</v>
          </cell>
          <cell r="AQ2228">
            <v>0</v>
          </cell>
          <cell r="AV2228">
            <v>15000000</v>
          </cell>
        </row>
        <row r="2229">
          <cell r="E2229" t="str">
            <v>D25019194</v>
          </cell>
          <cell r="AP2229">
            <v>0</v>
          </cell>
          <cell r="AQ2229">
            <v>0</v>
          </cell>
          <cell r="AV2229">
            <v>46706000</v>
          </cell>
        </row>
        <row r="2230">
          <cell r="E2230" t="str">
            <v>D25019195</v>
          </cell>
          <cell r="AP2230">
            <v>0</v>
          </cell>
          <cell r="AQ2230">
            <v>0</v>
          </cell>
          <cell r="AV2230">
            <v>6940000</v>
          </cell>
        </row>
        <row r="2231">
          <cell r="E2231" t="str">
            <v>D25019247</v>
          </cell>
          <cell r="AP2231">
            <v>0</v>
          </cell>
          <cell r="AQ2231">
            <v>0</v>
          </cell>
          <cell r="AV2231">
            <v>15000000</v>
          </cell>
        </row>
        <row r="2232">
          <cell r="E2232" t="str">
            <v>D25019294</v>
          </cell>
          <cell r="AP2232">
            <v>0</v>
          </cell>
          <cell r="AQ2232">
            <v>0</v>
          </cell>
          <cell r="AV2232">
            <v>2925000</v>
          </cell>
        </row>
        <row r="2233">
          <cell r="E2233" t="str">
            <v>D25019325</v>
          </cell>
          <cell r="AP2233">
            <v>0</v>
          </cell>
          <cell r="AQ2233">
            <v>0</v>
          </cell>
          <cell r="AV2233">
            <v>95287500</v>
          </cell>
        </row>
        <row r="2234">
          <cell r="E2234" t="str">
            <v>B25016828</v>
          </cell>
          <cell r="AP2234">
            <v>0</v>
          </cell>
          <cell r="AQ2234">
            <v>0</v>
          </cell>
          <cell r="AV2234">
            <v>7800000</v>
          </cell>
        </row>
        <row r="2235">
          <cell r="E2235" t="str">
            <v>B25016877</v>
          </cell>
          <cell r="AP2235">
            <v>0</v>
          </cell>
          <cell r="AQ2235">
            <v>0</v>
          </cell>
          <cell r="AV2235">
            <v>12000000</v>
          </cell>
        </row>
        <row r="2236">
          <cell r="E2236" t="str">
            <v>B25016878</v>
          </cell>
          <cell r="AP2236">
            <v>0</v>
          </cell>
          <cell r="AQ2236">
            <v>0</v>
          </cell>
          <cell r="AV2236">
            <v>14770000</v>
          </cell>
        </row>
        <row r="2237">
          <cell r="E2237" t="str">
            <v>B25016884</v>
          </cell>
          <cell r="AP2237">
            <v>0</v>
          </cell>
          <cell r="AQ2237">
            <v>0</v>
          </cell>
          <cell r="AV2237">
            <v>3920000</v>
          </cell>
        </row>
        <row r="2238">
          <cell r="E2238" t="str">
            <v>B25016885</v>
          </cell>
          <cell r="AP2238">
            <v>0</v>
          </cell>
          <cell r="AQ2238">
            <v>0</v>
          </cell>
          <cell r="AV2238">
            <v>19800000</v>
          </cell>
        </row>
        <row r="2239">
          <cell r="E2239" t="str">
            <v>B25016908</v>
          </cell>
          <cell r="AP2239">
            <v>0</v>
          </cell>
          <cell r="AQ2239">
            <v>0</v>
          </cell>
          <cell r="AV2239">
            <v>4980000</v>
          </cell>
        </row>
        <row r="2240">
          <cell r="E2240" t="str">
            <v>B25016950</v>
          </cell>
          <cell r="AP2240">
            <v>0</v>
          </cell>
          <cell r="AQ2240">
            <v>0</v>
          </cell>
          <cell r="AV2240">
            <v>44675000</v>
          </cell>
        </row>
        <row r="2241">
          <cell r="E2241" t="str">
            <v>B25016957</v>
          </cell>
          <cell r="AP2241">
            <v>0</v>
          </cell>
          <cell r="AQ2241">
            <v>0</v>
          </cell>
          <cell r="AV2241">
            <v>1361000</v>
          </cell>
        </row>
        <row r="2242">
          <cell r="E2242" t="str">
            <v>B25016957</v>
          </cell>
          <cell r="AP2242">
            <v>0</v>
          </cell>
          <cell r="AQ2242">
            <v>0</v>
          </cell>
          <cell r="AV2242">
            <v>5639000</v>
          </cell>
        </row>
        <row r="2243">
          <cell r="E2243" t="str">
            <v>D25019538</v>
          </cell>
          <cell r="AP2243">
            <v>0</v>
          </cell>
          <cell r="AQ2243">
            <v>0</v>
          </cell>
          <cell r="AV2243">
            <v>4200000</v>
          </cell>
        </row>
        <row r="2244">
          <cell r="E2244" t="str">
            <v>B25017082</v>
          </cell>
          <cell r="AP2244">
            <v>0</v>
          </cell>
          <cell r="AQ2244">
            <v>0</v>
          </cell>
          <cell r="AV2244">
            <v>8775000</v>
          </cell>
        </row>
        <row r="2245">
          <cell r="E2245" t="str">
            <v>D25019671</v>
          </cell>
          <cell r="AP2245">
            <v>0</v>
          </cell>
          <cell r="AQ2245">
            <v>0</v>
          </cell>
          <cell r="AV2245">
            <v>15000000</v>
          </cell>
        </row>
        <row r="2246">
          <cell r="E2246" t="str">
            <v>B25017106</v>
          </cell>
          <cell r="AP2246">
            <v>0</v>
          </cell>
          <cell r="AQ2246">
            <v>0</v>
          </cell>
          <cell r="AV2246">
            <v>14625000</v>
          </cell>
        </row>
        <row r="2247">
          <cell r="E2247" t="str">
            <v>D25019697</v>
          </cell>
          <cell r="AP2247">
            <v>0</v>
          </cell>
          <cell r="AQ2247">
            <v>0</v>
          </cell>
          <cell r="AV2247">
            <v>60125000</v>
          </cell>
        </row>
        <row r="2248">
          <cell r="E2248" t="str">
            <v>B26000001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B26000052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B26000053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B26000062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B26000102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D26000066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D26000222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D26000314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B26000311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B26000314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D26000382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D26000383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D26000460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D26000513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D26000514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D26000515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B26000502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B26000531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B26000580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D26000633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D26000655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B26000665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B26000679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D26000708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D26000712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B26000731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D26000812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B26000778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D26000848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B26000811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B26000842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B26000843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B26000894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B26000895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B26000907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D26001026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D26001084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B26001113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D26001153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D26001171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D26001172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B26001146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D26001224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B26001218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B26001219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D26001283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D26001297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B26001238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B26001295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D26001383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D26001466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B26001433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B26001434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B26001459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B26001480</v>
          </cell>
          <cell r="AP2302">
            <v>0</v>
          </cell>
          <cell r="AQ2302">
            <v>0</v>
          </cell>
          <cell r="AV2302">
            <v>32250000</v>
          </cell>
        </row>
        <row r="2303">
          <cell r="E2303" t="str">
            <v>D26001631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D26001632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D26001684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D26001732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B26001655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B26001669</v>
          </cell>
          <cell r="AP2308">
            <v>0</v>
          </cell>
          <cell r="AQ2308">
            <v>0</v>
          </cell>
          <cell r="AV2308">
            <v>46250000</v>
          </cell>
        </row>
        <row r="2309">
          <cell r="E2309" t="str">
            <v>B26001670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D26001858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D26001859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D26001902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B26001821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B26001822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B26001869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B26001870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D26002052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D26002053</v>
          </cell>
          <cell r="AP2318">
            <v>0</v>
          </cell>
          <cell r="AQ2318">
            <v>0</v>
          </cell>
          <cell r="AV2318">
            <v>9700000</v>
          </cell>
        </row>
        <row r="2319">
          <cell r="E2319" t="str">
            <v>B26001985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B26001986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B26002024</v>
          </cell>
          <cell r="AP2321">
            <v>0</v>
          </cell>
          <cell r="AQ2321">
            <v>0</v>
          </cell>
          <cell r="AV2321">
            <v>16250000</v>
          </cell>
        </row>
        <row r="2322">
          <cell r="E2322" t="str">
            <v>B26002054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B26002055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B26002133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B26002134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D26002277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D26002374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B26002209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B26002291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B26000024</v>
          </cell>
          <cell r="AP2330">
            <v>0</v>
          </cell>
          <cell r="AQ2330">
            <v>0</v>
          </cell>
          <cell r="AV2330">
            <v>2255000</v>
          </cell>
        </row>
        <row r="2331">
          <cell r="E2331" t="str">
            <v>D26000047</v>
          </cell>
          <cell r="AP2331">
            <v>0</v>
          </cell>
          <cell r="AQ2331">
            <v>0</v>
          </cell>
          <cell r="AV2331">
            <v>1600000</v>
          </cell>
        </row>
        <row r="2332">
          <cell r="E2332" t="str">
            <v>B26000878</v>
          </cell>
          <cell r="AP2332">
            <v>0</v>
          </cell>
          <cell r="AQ2332">
            <v>0</v>
          </cell>
          <cell r="AV2332">
            <v>5367500</v>
          </cell>
        </row>
        <row r="2333">
          <cell r="E2333" t="str">
            <v>B26001725</v>
          </cell>
          <cell r="AP2333">
            <v>0</v>
          </cell>
          <cell r="AQ2333">
            <v>0</v>
          </cell>
          <cell r="AV2333">
            <v>2632500</v>
          </cell>
        </row>
        <row r="2334">
          <cell r="E2334" t="str">
            <v>B26001726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D26002272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D26002273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B26000025</v>
          </cell>
          <cell r="AP2337">
            <v>0</v>
          </cell>
          <cell r="AQ2337">
            <v>0</v>
          </cell>
          <cell r="AV2337">
            <v>270000</v>
          </cell>
        </row>
        <row r="2338">
          <cell r="E2338" t="str">
            <v>B26000847</v>
          </cell>
          <cell r="AP2338">
            <v>0</v>
          </cell>
          <cell r="AQ2338">
            <v>0</v>
          </cell>
          <cell r="AV2338">
            <v>2550000</v>
          </cell>
        </row>
        <row r="2339">
          <cell r="E2339" t="str">
            <v>D26001361</v>
          </cell>
          <cell r="AP2339">
            <v>0</v>
          </cell>
          <cell r="AQ2339">
            <v>0</v>
          </cell>
          <cell r="AV2339">
            <v>3600000</v>
          </cell>
        </row>
        <row r="2340">
          <cell r="E2340" t="str">
            <v>D26001875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D26001969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D26002111</v>
          </cell>
          <cell r="AP2342">
            <v>0</v>
          </cell>
          <cell r="AQ2342">
            <v>0</v>
          </cell>
          <cell r="AV2342">
            <v>2400000</v>
          </cell>
        </row>
        <row r="2343">
          <cell r="E2343" t="str">
            <v>D26001101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B26001374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D26001733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B26001753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D26001879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D25019617</v>
          </cell>
          <cell r="AP2348">
            <v>0</v>
          </cell>
          <cell r="AQ2348">
            <v>0</v>
          </cell>
          <cell r="AV2348">
            <v>7470000</v>
          </cell>
        </row>
        <row r="2349">
          <cell r="E2349" t="str">
            <v>D25019692</v>
          </cell>
          <cell r="AP2349">
            <v>0</v>
          </cell>
          <cell r="AQ2349">
            <v>0</v>
          </cell>
          <cell r="AV2349">
            <v>1350000</v>
          </cell>
        </row>
        <row r="2350">
          <cell r="E2350" t="str">
            <v>D25019694</v>
          </cell>
          <cell r="AP2350">
            <v>0</v>
          </cell>
          <cell r="AQ2350">
            <v>0</v>
          </cell>
          <cell r="AV2350">
            <v>7440000</v>
          </cell>
        </row>
        <row r="2351">
          <cell r="E2351" t="str">
            <v>D26000648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B26000637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B26000870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D26000924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D26001053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D26001062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B26001055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D26001319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B26001537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B26001550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D25018610</v>
          </cell>
          <cell r="AP2361">
            <v>0</v>
          </cell>
          <cell r="AQ2361">
            <v>0</v>
          </cell>
          <cell r="AV2361">
            <v>8500000</v>
          </cell>
        </row>
        <row r="2362">
          <cell r="E2362" t="str">
            <v>D25019233</v>
          </cell>
          <cell r="AP2362">
            <v>0</v>
          </cell>
          <cell r="AQ2362">
            <v>0</v>
          </cell>
          <cell r="AV2362">
            <v>13600000</v>
          </cell>
        </row>
        <row r="2363">
          <cell r="E2363" t="str">
            <v>D25019485</v>
          </cell>
          <cell r="AP2363">
            <v>0</v>
          </cell>
          <cell r="AQ2363">
            <v>0</v>
          </cell>
          <cell r="AV2363">
            <v>19500000</v>
          </cell>
        </row>
        <row r="2364">
          <cell r="E2364" t="str">
            <v>B26000108</v>
          </cell>
          <cell r="AP2364">
            <v>0</v>
          </cell>
          <cell r="AQ2364">
            <v>0</v>
          </cell>
          <cell r="AV2364">
            <v>5100000</v>
          </cell>
        </row>
        <row r="2365">
          <cell r="E2365" t="str">
            <v>B26000315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B26001243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D26001524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D26001596</v>
          </cell>
          <cell r="AP2368">
            <v>0</v>
          </cell>
          <cell r="AQ2368">
            <v>0</v>
          </cell>
          <cell r="AV2368">
            <v>13400000</v>
          </cell>
        </row>
        <row r="2369">
          <cell r="E2369" t="str">
            <v>B26001575</v>
          </cell>
          <cell r="AP2369">
            <v>0</v>
          </cell>
          <cell r="AQ2369">
            <v>0</v>
          </cell>
          <cell r="AV2369">
            <v>11350000</v>
          </cell>
        </row>
        <row r="2370">
          <cell r="E2370" t="str">
            <v>B26001576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B26001846</v>
          </cell>
          <cell r="AP2371">
            <v>0</v>
          </cell>
          <cell r="AQ2371">
            <v>0</v>
          </cell>
          <cell r="AV2371">
            <v>67000000</v>
          </cell>
        </row>
        <row r="2372">
          <cell r="E2372" t="str">
            <v>D26001982</v>
          </cell>
          <cell r="AP2372">
            <v>0</v>
          </cell>
          <cell r="AQ2372">
            <v>0</v>
          </cell>
          <cell r="AV2372">
            <v>11350000</v>
          </cell>
        </row>
        <row r="2373">
          <cell r="E2373" t="str">
            <v>D26002146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D26002300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D25016516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N25000063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B25016278</v>
          </cell>
          <cell r="AP2377">
            <v>0</v>
          </cell>
          <cell r="AQ2377">
            <v>0</v>
          </cell>
          <cell r="AV2377">
            <v>83250000</v>
          </cell>
        </row>
        <row r="2378">
          <cell r="E2378" t="str">
            <v>B26000678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B25014533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B25014549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D25017159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D25017524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B25015180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B25015962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D25018402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B25016026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D25019077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B26000050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B26000726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D26000942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D26001481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D26001580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B25014904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B25015817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B25016025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B26000049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B26001029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T26000092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T26000093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B25015882</v>
          </cell>
          <cell r="AP2400">
            <v>0</v>
          </cell>
          <cell r="AQ2400">
            <v>0</v>
          </cell>
          <cell r="AV2400">
            <v>5400000</v>
          </cell>
        </row>
        <row r="2401">
          <cell r="E2401" t="str">
            <v>D25018793</v>
          </cell>
          <cell r="AP2401">
            <v>0</v>
          </cell>
          <cell r="AQ2401">
            <v>0</v>
          </cell>
          <cell r="AV2401">
            <v>5680000</v>
          </cell>
        </row>
        <row r="2402">
          <cell r="E2402" t="str">
            <v>D25019576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D26000315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D26000316</v>
          </cell>
          <cell r="AP2404">
            <v>500</v>
          </cell>
          <cell r="AQ2404">
            <v>0</v>
          </cell>
          <cell r="AV2404">
            <v>1357000</v>
          </cell>
        </row>
        <row r="2405">
          <cell r="E2405" t="str">
            <v>B26000653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B26001059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D26001184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D26002063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D26002119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D26002183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B26002218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B26002219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B26002288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Z25003159</v>
          </cell>
          <cell r="AP2414">
            <v>0</v>
          </cell>
          <cell r="AQ2414">
            <v>0</v>
          </cell>
          <cell r="AV2414">
            <v>5759000</v>
          </cell>
        </row>
        <row r="2415">
          <cell r="E2415" t="str">
            <v>Z25003176</v>
          </cell>
          <cell r="AP2415">
            <v>0</v>
          </cell>
          <cell r="AQ2415">
            <v>0</v>
          </cell>
          <cell r="AV2415">
            <v>16350000</v>
          </cell>
        </row>
        <row r="2416">
          <cell r="E2416" t="str">
            <v>Z25003193</v>
          </cell>
          <cell r="AP2416">
            <v>0</v>
          </cell>
          <cell r="AQ2416">
            <v>0</v>
          </cell>
          <cell r="AV2416">
            <v>3000000</v>
          </cell>
        </row>
        <row r="2417">
          <cell r="E2417" t="str">
            <v>Z25003205</v>
          </cell>
          <cell r="AP2417">
            <v>0</v>
          </cell>
          <cell r="AQ2417">
            <v>0</v>
          </cell>
          <cell r="AV2417">
            <v>4891000</v>
          </cell>
        </row>
        <row r="2418">
          <cell r="E2418" t="str">
            <v>Z25003261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Z25003267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Z25003314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Z25003333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Z25003346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Z25003348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Z25003358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Z25003375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Z26000012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Z26000029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Z26000094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Z26000102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Z26000130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Z26000153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Z26000177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Z26000220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Z26000279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Z26000372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Z26000427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Z26000437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B26001903</v>
          </cell>
          <cell r="AP2438">
            <v>0</v>
          </cell>
          <cell r="AQ2438">
            <v>0</v>
          </cell>
          <cell r="AV2438">
            <v>4800000</v>
          </cell>
        </row>
        <row r="2439">
          <cell r="E2439" t="str">
            <v>D25017662</v>
          </cell>
          <cell r="AP2439">
            <v>0</v>
          </cell>
          <cell r="AQ2439">
            <v>0</v>
          </cell>
          <cell r="AV2439">
            <v>194719825</v>
          </cell>
        </row>
        <row r="2440">
          <cell r="E2440" t="str">
            <v>D25017911</v>
          </cell>
          <cell r="AP2440">
            <v>0</v>
          </cell>
          <cell r="AQ2440">
            <v>0</v>
          </cell>
          <cell r="AV2440">
            <v>7850000</v>
          </cell>
        </row>
        <row r="2441">
          <cell r="E2441" t="str">
            <v>D25017932</v>
          </cell>
          <cell r="AP2441">
            <v>0</v>
          </cell>
          <cell r="AQ2441">
            <v>0</v>
          </cell>
          <cell r="AV2441">
            <v>116640000</v>
          </cell>
        </row>
        <row r="2442">
          <cell r="E2442" t="str">
            <v>D25017933</v>
          </cell>
          <cell r="AP2442">
            <v>0</v>
          </cell>
          <cell r="AQ2442">
            <v>0</v>
          </cell>
          <cell r="AV2442">
            <v>171440000</v>
          </cell>
        </row>
        <row r="2443">
          <cell r="E2443" t="str">
            <v>D25018001</v>
          </cell>
          <cell r="AP2443">
            <v>0</v>
          </cell>
          <cell r="AQ2443">
            <v>0</v>
          </cell>
          <cell r="AV2443">
            <v>24000000</v>
          </cell>
        </row>
        <row r="2444">
          <cell r="E2444" t="str">
            <v>D25018139</v>
          </cell>
          <cell r="AP2444">
            <v>0</v>
          </cell>
          <cell r="AQ2444">
            <v>0</v>
          </cell>
          <cell r="AV2444">
            <v>177350175</v>
          </cell>
        </row>
        <row r="2445">
          <cell r="E2445" t="str">
            <v>D25018139</v>
          </cell>
          <cell r="AP2445">
            <v>0</v>
          </cell>
          <cell r="AQ2445">
            <v>0</v>
          </cell>
          <cell r="AV2445">
            <v>288155000</v>
          </cell>
        </row>
        <row r="2446">
          <cell r="E2446" t="str">
            <v>D25018229</v>
          </cell>
          <cell r="AP2446">
            <v>0</v>
          </cell>
          <cell r="AQ2446">
            <v>0</v>
          </cell>
          <cell r="AV2446">
            <v>64400000</v>
          </cell>
        </row>
        <row r="2447">
          <cell r="E2447" t="str">
            <v>B25015912</v>
          </cell>
          <cell r="AP2447">
            <v>0</v>
          </cell>
          <cell r="AQ2447">
            <v>0</v>
          </cell>
          <cell r="AV2447">
            <v>2190000</v>
          </cell>
        </row>
        <row r="2448">
          <cell r="E2448" t="str">
            <v>D25018287</v>
          </cell>
          <cell r="AP2448">
            <v>0</v>
          </cell>
          <cell r="AQ2448">
            <v>0</v>
          </cell>
          <cell r="AV2448">
            <v>60900000</v>
          </cell>
        </row>
        <row r="2449">
          <cell r="E2449" t="str">
            <v>D25018353</v>
          </cell>
          <cell r="AP2449">
            <v>0</v>
          </cell>
          <cell r="AQ2449">
            <v>0</v>
          </cell>
          <cell r="AV2449">
            <v>45480000</v>
          </cell>
        </row>
        <row r="2450">
          <cell r="E2450" t="str">
            <v>D25018429</v>
          </cell>
          <cell r="AP2450">
            <v>0</v>
          </cell>
          <cell r="AQ2450">
            <v>0</v>
          </cell>
          <cell r="AV2450">
            <v>28000000</v>
          </cell>
        </row>
        <row r="2451">
          <cell r="E2451" t="str">
            <v>D25018492</v>
          </cell>
          <cell r="AP2451">
            <v>0</v>
          </cell>
          <cell r="AQ2451">
            <v>0</v>
          </cell>
          <cell r="AV2451">
            <v>13875000</v>
          </cell>
        </row>
        <row r="2452">
          <cell r="E2452" t="str">
            <v>D25018617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B25016247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B25016267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B25016447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B25016509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B25016792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D25019469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B26000118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D26000102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B26000292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B26000293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B26000528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B26000572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B26000621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B26000671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B26000696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B26000829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B26000865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B26001201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B26001231</v>
          </cell>
          <cell r="AP2471">
            <v>0</v>
          </cell>
          <cell r="AQ2471">
            <v>0</v>
          </cell>
          <cell r="AV2471">
            <v>463500000</v>
          </cell>
        </row>
        <row r="2472">
          <cell r="E2472" t="str">
            <v>B26001233</v>
          </cell>
          <cell r="AP2472">
            <v>0</v>
          </cell>
          <cell r="AQ2472">
            <v>0</v>
          </cell>
          <cell r="AV2472">
            <v>51500000</v>
          </cell>
        </row>
        <row r="2473">
          <cell r="E2473" t="str">
            <v>B26001289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B26001340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B26001341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B26001348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B26001382</v>
          </cell>
          <cell r="AP2477">
            <v>0</v>
          </cell>
          <cell r="AQ2477">
            <v>0</v>
          </cell>
          <cell r="AV2477">
            <v>264000000</v>
          </cell>
        </row>
        <row r="2478">
          <cell r="E2478" t="str">
            <v>B26001383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B26001464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B26001466</v>
          </cell>
          <cell r="AP2480">
            <v>0</v>
          </cell>
          <cell r="AQ2480">
            <v>0</v>
          </cell>
          <cell r="AV2480">
            <v>221000000</v>
          </cell>
        </row>
        <row r="2481">
          <cell r="E2481" t="str">
            <v>B26001466</v>
          </cell>
          <cell r="AP2481">
            <v>0</v>
          </cell>
          <cell r="AQ2481">
            <v>0</v>
          </cell>
          <cell r="AV2481">
            <v>43000000</v>
          </cell>
        </row>
        <row r="2482">
          <cell r="E2482" t="str">
            <v>B26001551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B26001552</v>
          </cell>
          <cell r="AP2483">
            <v>0</v>
          </cell>
          <cell r="AQ2483">
            <v>0</v>
          </cell>
          <cell r="AV2483">
            <v>957000000</v>
          </cell>
        </row>
        <row r="2484">
          <cell r="E2484" t="str">
            <v>B26001552</v>
          </cell>
          <cell r="AP2484">
            <v>0</v>
          </cell>
          <cell r="AQ2484">
            <v>0</v>
          </cell>
          <cell r="AV2484">
            <v>308000000</v>
          </cell>
        </row>
        <row r="2485">
          <cell r="E2485" t="str">
            <v>B26001664</v>
          </cell>
          <cell r="AP2485">
            <v>0</v>
          </cell>
          <cell r="AQ2485">
            <v>0</v>
          </cell>
          <cell r="AV2485">
            <v>546000000</v>
          </cell>
        </row>
        <row r="2486">
          <cell r="E2486" t="str">
            <v>B26001665</v>
          </cell>
          <cell r="AP2486">
            <v>0</v>
          </cell>
          <cell r="AQ2486">
            <v>0</v>
          </cell>
          <cell r="AV2486">
            <v>39000000</v>
          </cell>
        </row>
        <row r="2487">
          <cell r="E2487" t="str">
            <v>B26001698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B26001774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B26001779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B26001782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D26001927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D26001928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D26001938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D26002002</v>
          </cell>
          <cell r="AP2494">
            <v>0</v>
          </cell>
          <cell r="AQ2494">
            <v>0</v>
          </cell>
          <cell r="AV2494">
            <v>132000000</v>
          </cell>
        </row>
        <row r="2495">
          <cell r="E2495" t="str">
            <v>D26002049</v>
          </cell>
          <cell r="AP2495">
            <v>0</v>
          </cell>
          <cell r="AQ2495">
            <v>0</v>
          </cell>
          <cell r="AV2495">
            <v>283000000</v>
          </cell>
        </row>
        <row r="2496">
          <cell r="E2496" t="str">
            <v>D26002049</v>
          </cell>
          <cell r="AP2496">
            <v>0</v>
          </cell>
          <cell r="AQ2496">
            <v>0</v>
          </cell>
          <cell r="AV2496">
            <v>107000000</v>
          </cell>
        </row>
        <row r="2497">
          <cell r="E2497" t="str">
            <v>D26002050</v>
          </cell>
          <cell r="AP2497">
            <v>0</v>
          </cell>
          <cell r="AQ2497">
            <v>0</v>
          </cell>
          <cell r="AV2497">
            <v>390000000</v>
          </cell>
        </row>
        <row r="2498">
          <cell r="E2498" t="str">
            <v>D26002051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D26002094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D26002098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D26002167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D26002193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D26002270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D26002301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D26002302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B26002210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D26002437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B26000380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D26002180</v>
          </cell>
          <cell r="AP2509">
            <v>0</v>
          </cell>
          <cell r="AQ2509">
            <v>0</v>
          </cell>
          <cell r="AV2509">
            <v>780000</v>
          </cell>
        </row>
        <row r="2510">
          <cell r="E2510" t="str">
            <v>D26002180</v>
          </cell>
          <cell r="AP2510">
            <v>0</v>
          </cell>
          <cell r="AQ2510">
            <v>0</v>
          </cell>
          <cell r="AV2510">
            <v>5700000</v>
          </cell>
        </row>
        <row r="2511">
          <cell r="E2511" t="str">
            <v>B25002140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B25016848</v>
          </cell>
          <cell r="AP2512">
            <v>0</v>
          </cell>
          <cell r="AQ2512">
            <v>0</v>
          </cell>
          <cell r="AV2512">
            <v>19800000</v>
          </cell>
        </row>
        <row r="2513">
          <cell r="E2513" t="str">
            <v>D25019429</v>
          </cell>
          <cell r="AP2513">
            <v>0</v>
          </cell>
          <cell r="AQ2513">
            <v>0</v>
          </cell>
          <cell r="AV2513">
            <v>2100000</v>
          </cell>
        </row>
        <row r="2514">
          <cell r="E2514" t="str">
            <v>B26000013</v>
          </cell>
          <cell r="AP2514">
            <v>0</v>
          </cell>
          <cell r="AQ2514">
            <v>0</v>
          </cell>
          <cell r="AV2514">
            <v>12828000</v>
          </cell>
        </row>
        <row r="2515">
          <cell r="E2515" t="str">
            <v>D26000461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B26000517</v>
          </cell>
          <cell r="AP2516">
            <v>0</v>
          </cell>
          <cell r="AQ2516">
            <v>0</v>
          </cell>
          <cell r="AV2516">
            <v>21550000</v>
          </cell>
        </row>
        <row r="2517">
          <cell r="E2517" t="str">
            <v>B26000690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D26001024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B26001581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B26002005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B26002040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B26002051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D26002357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Z25003195</v>
          </cell>
          <cell r="AP2524">
            <v>0</v>
          </cell>
          <cell r="AQ2524">
            <v>0</v>
          </cell>
          <cell r="AV2524">
            <v>16600000</v>
          </cell>
        </row>
        <row r="2525">
          <cell r="E2525" t="str">
            <v>Z25003204</v>
          </cell>
          <cell r="AP2525">
            <v>0</v>
          </cell>
          <cell r="AQ2525">
            <v>0</v>
          </cell>
          <cell r="AV2525">
            <v>14005000</v>
          </cell>
        </row>
        <row r="2526">
          <cell r="E2526" t="str">
            <v>Z25003286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Z25003297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Z26000140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Z26000160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Z26000402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B25016833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B25016892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D26000030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D25018540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D25018671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B25016259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D25019399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B25016922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B26001649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B26001714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C25000307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D24015365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D24015541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C25000192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C25000195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C25000196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C25000197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C25000198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C25000445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B25008299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B25008808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B25009712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M25000081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D25018593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D26002033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B26000145</v>
          </cell>
          <cell r="AP2556">
            <v>0</v>
          </cell>
          <cell r="AQ2556">
            <v>0</v>
          </cell>
          <cell r="AV2556">
            <v>2261000</v>
          </cell>
        </row>
        <row r="2557">
          <cell r="E2557" t="str">
            <v>B26000146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D26000177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D26001775</v>
          </cell>
          <cell r="AP2559">
            <v>0</v>
          </cell>
          <cell r="AQ2559">
            <v>0</v>
          </cell>
          <cell r="AV2559">
            <v>1800000</v>
          </cell>
        </row>
        <row r="2560">
          <cell r="E2560" t="str">
            <v>B26002123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D26002233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D26001416</v>
          </cell>
          <cell r="AP2562">
            <v>0</v>
          </cell>
          <cell r="AQ2562">
            <v>0</v>
          </cell>
          <cell r="AV2562">
            <v>2250000</v>
          </cell>
        </row>
        <row r="2563">
          <cell r="E2563" t="str">
            <v>D26001537</v>
          </cell>
          <cell r="AP2563">
            <v>0</v>
          </cell>
          <cell r="AQ2563">
            <v>0</v>
          </cell>
          <cell r="AV2563">
            <v>8200000</v>
          </cell>
        </row>
        <row r="2564">
          <cell r="E2564" t="str">
            <v>D26001621</v>
          </cell>
          <cell r="AP2564">
            <v>0</v>
          </cell>
          <cell r="AQ2564">
            <v>0</v>
          </cell>
          <cell r="AV2564">
            <v>3820000</v>
          </cell>
        </row>
        <row r="2565">
          <cell r="E2565" t="str">
            <v>B26002254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D25018553</v>
          </cell>
          <cell r="AP2566">
            <v>0</v>
          </cell>
          <cell r="AQ2566">
            <v>0</v>
          </cell>
          <cell r="AV2566">
            <v>30000000</v>
          </cell>
        </row>
        <row r="2567">
          <cell r="E2567" t="str">
            <v>D26001327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T25001822</v>
          </cell>
          <cell r="AP2568">
            <v>0</v>
          </cell>
          <cell r="AQ2568">
            <v>0</v>
          </cell>
          <cell r="AV2568">
            <v>650000</v>
          </cell>
        </row>
        <row r="2569">
          <cell r="E2569" t="str">
            <v>B25016227</v>
          </cell>
          <cell r="AP2569">
            <v>0</v>
          </cell>
          <cell r="AQ2569">
            <v>0</v>
          </cell>
          <cell r="AV2569">
            <v>2660000</v>
          </cell>
        </row>
        <row r="2570">
          <cell r="E2570" t="str">
            <v>D25019423</v>
          </cell>
          <cell r="AP2570">
            <v>0</v>
          </cell>
          <cell r="AQ2570">
            <v>0</v>
          </cell>
          <cell r="AV2570">
            <v>1062500</v>
          </cell>
        </row>
        <row r="2571">
          <cell r="E2571" t="str">
            <v>B25016972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B25017133</v>
          </cell>
          <cell r="AP2572">
            <v>0</v>
          </cell>
          <cell r="AQ2572">
            <v>0</v>
          </cell>
          <cell r="AV2572">
            <v>2252000</v>
          </cell>
        </row>
        <row r="2573">
          <cell r="E2573" t="str">
            <v>B26000326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B26001041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B26001680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B26000030</v>
          </cell>
          <cell r="AP2576">
            <v>0</v>
          </cell>
          <cell r="AQ2576">
            <v>0</v>
          </cell>
          <cell r="AV2576">
            <v>1395000</v>
          </cell>
        </row>
        <row r="2577">
          <cell r="E2577" t="str">
            <v>B26000073</v>
          </cell>
          <cell r="AP2577">
            <v>0</v>
          </cell>
          <cell r="AQ2577">
            <v>0</v>
          </cell>
          <cell r="AV2577">
            <v>5340000</v>
          </cell>
        </row>
        <row r="2578">
          <cell r="E2578" t="str">
            <v>D26000190</v>
          </cell>
          <cell r="AP2578">
            <v>0</v>
          </cell>
          <cell r="AQ2578">
            <v>0</v>
          </cell>
          <cell r="AV2578">
            <v>1580000</v>
          </cell>
        </row>
        <row r="2579">
          <cell r="E2579" t="str">
            <v>D26000235</v>
          </cell>
          <cell r="AP2579">
            <v>0</v>
          </cell>
          <cell r="AQ2579">
            <v>0</v>
          </cell>
          <cell r="AV2579">
            <v>5300000</v>
          </cell>
        </row>
        <row r="2580">
          <cell r="E2580" t="str">
            <v>B26000281</v>
          </cell>
          <cell r="AP2580">
            <v>0</v>
          </cell>
          <cell r="AQ2580">
            <v>0</v>
          </cell>
          <cell r="AV2580">
            <v>4755000</v>
          </cell>
        </row>
        <row r="2581">
          <cell r="E2581" t="str">
            <v>B26000487</v>
          </cell>
          <cell r="AP2581">
            <v>0</v>
          </cell>
          <cell r="AQ2581">
            <v>0</v>
          </cell>
          <cell r="AV2581">
            <v>5300000</v>
          </cell>
        </row>
        <row r="2582">
          <cell r="E2582" t="str">
            <v>B26000556</v>
          </cell>
          <cell r="AP2582">
            <v>0</v>
          </cell>
          <cell r="AQ2582">
            <v>0</v>
          </cell>
          <cell r="AV2582">
            <v>3680000</v>
          </cell>
        </row>
        <row r="2583">
          <cell r="E2583" t="str">
            <v>B26000557</v>
          </cell>
          <cell r="AP2583">
            <v>0</v>
          </cell>
          <cell r="AQ2583">
            <v>0</v>
          </cell>
          <cell r="AV2583">
            <v>920000</v>
          </cell>
        </row>
        <row r="2584">
          <cell r="E2584" t="str">
            <v>B26000730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B26000777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B26000781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D26001025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B26001246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D26001520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D26001769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B26001766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B26001767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T26000124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D26001924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B26002166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D26002309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D26002350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N26000021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D26002389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D26001929</v>
          </cell>
          <cell r="AP2600">
            <v>0</v>
          </cell>
          <cell r="AQ2600">
            <v>0</v>
          </cell>
          <cell r="AV2600">
            <v>278000000</v>
          </cell>
        </row>
        <row r="2601">
          <cell r="E2601" t="str">
            <v>D26002124</v>
          </cell>
          <cell r="AP2601">
            <v>0</v>
          </cell>
          <cell r="AQ2601">
            <v>0</v>
          </cell>
          <cell r="AV2601">
            <v>57500000</v>
          </cell>
        </row>
        <row r="2602">
          <cell r="E2602" t="str">
            <v>D25019707</v>
          </cell>
          <cell r="AP2602">
            <v>0</v>
          </cell>
          <cell r="AQ2602">
            <v>0</v>
          </cell>
          <cell r="AV2602">
            <v>45600000</v>
          </cell>
        </row>
        <row r="2603">
          <cell r="E2603" t="str">
            <v>D25019707</v>
          </cell>
          <cell r="AP2603">
            <v>0</v>
          </cell>
          <cell r="AQ2603">
            <v>0</v>
          </cell>
          <cell r="AV2603">
            <v>130000000</v>
          </cell>
        </row>
        <row r="2604">
          <cell r="E2604" t="str">
            <v>D25019707</v>
          </cell>
          <cell r="AP2604">
            <v>0</v>
          </cell>
          <cell r="AQ2604">
            <v>0</v>
          </cell>
          <cell r="AV2604">
            <v>10000000</v>
          </cell>
        </row>
        <row r="2605">
          <cell r="E2605" t="str">
            <v>B26000288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D26000547</v>
          </cell>
          <cell r="AP2606">
            <v>0</v>
          </cell>
          <cell r="AQ2606">
            <v>0</v>
          </cell>
          <cell r="AV2606">
            <v>64000000</v>
          </cell>
        </row>
        <row r="2607">
          <cell r="E2607" t="str">
            <v>D26000547</v>
          </cell>
          <cell r="AP2607">
            <v>0</v>
          </cell>
          <cell r="AQ2607">
            <v>0</v>
          </cell>
          <cell r="AV2607">
            <v>174800000</v>
          </cell>
        </row>
        <row r="2608">
          <cell r="E2608" t="str">
            <v>D26000547</v>
          </cell>
          <cell r="AP2608">
            <v>0</v>
          </cell>
          <cell r="AQ2608">
            <v>0</v>
          </cell>
          <cell r="AV2608">
            <v>90000000</v>
          </cell>
        </row>
        <row r="2609">
          <cell r="E2609" t="str">
            <v>T26000034</v>
          </cell>
          <cell r="AP2609">
            <v>0</v>
          </cell>
          <cell r="AQ2609">
            <v>0</v>
          </cell>
          <cell r="AV2609">
            <v>2450000</v>
          </cell>
        </row>
        <row r="2610">
          <cell r="E2610" t="str">
            <v>D26000779</v>
          </cell>
          <cell r="AP2610">
            <v>0</v>
          </cell>
          <cell r="AQ2610">
            <v>0</v>
          </cell>
          <cell r="AV2610">
            <v>8000</v>
          </cell>
        </row>
        <row r="2611">
          <cell r="E2611" t="str">
            <v>D26000780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D26000885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D26001196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D26001504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D26001571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D26001745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D26001800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D26001801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D26001817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B26001712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D26002019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B26001898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D26002042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B26002167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B26002168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B25016747</v>
          </cell>
          <cell r="AP2626">
            <v>0</v>
          </cell>
          <cell r="AQ2626">
            <v>0</v>
          </cell>
          <cell r="AV2626">
            <v>1680000</v>
          </cell>
        </row>
        <row r="2627">
          <cell r="E2627" t="str">
            <v>B25016748</v>
          </cell>
          <cell r="AP2627">
            <v>0</v>
          </cell>
          <cell r="AQ2627">
            <v>0</v>
          </cell>
          <cell r="AV2627">
            <v>1500000</v>
          </cell>
        </row>
        <row r="2628">
          <cell r="E2628" t="str">
            <v>B26000037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D26000089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D26001302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D26001303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B26001765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D26002387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D26002388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T26000122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D26002120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D26000752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D26000093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B26000913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T25001849</v>
          </cell>
          <cell r="AP2640">
            <v>0</v>
          </cell>
          <cell r="AQ2640">
            <v>0</v>
          </cell>
          <cell r="AV2640">
            <v>2630000</v>
          </cell>
        </row>
        <row r="2641">
          <cell r="E2641" t="str">
            <v>T25001850</v>
          </cell>
          <cell r="AP2641">
            <v>0</v>
          </cell>
          <cell r="AQ2641">
            <v>0</v>
          </cell>
          <cell r="AV2641">
            <v>11380000</v>
          </cell>
        </row>
        <row r="2642">
          <cell r="E2642" t="str">
            <v>B26000357</v>
          </cell>
          <cell r="AP2642">
            <v>0</v>
          </cell>
          <cell r="AQ2642">
            <v>0</v>
          </cell>
          <cell r="AV2642">
            <v>5990000</v>
          </cell>
        </row>
        <row r="2643">
          <cell r="E2643" t="str">
            <v>D26000440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B25009894</v>
          </cell>
          <cell r="AP2644">
            <v>0</v>
          </cell>
          <cell r="AQ2644">
            <v>0</v>
          </cell>
          <cell r="AV2644">
            <v>525000000</v>
          </cell>
        </row>
        <row r="2645">
          <cell r="E2645" t="str">
            <v>D25014407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B26001733</v>
          </cell>
          <cell r="AP2646">
            <v>0</v>
          </cell>
          <cell r="AQ2646">
            <v>0</v>
          </cell>
          <cell r="AV2646">
            <v>3300000</v>
          </cell>
        </row>
        <row r="2647">
          <cell r="E2647" t="str">
            <v>D25019157</v>
          </cell>
          <cell r="AP2647">
            <v>0</v>
          </cell>
          <cell r="AQ2647">
            <v>0</v>
          </cell>
          <cell r="AV2647">
            <v>2260000</v>
          </cell>
        </row>
        <row r="2648">
          <cell r="E2648" t="str">
            <v>D26001468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D26001781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B26000171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D26001079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T25001881k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D25019605</v>
          </cell>
          <cell r="AP2653">
            <v>0</v>
          </cell>
          <cell r="AQ2653">
            <v>0</v>
          </cell>
          <cell r="AV2653">
            <v>3380000</v>
          </cell>
        </row>
        <row r="2654">
          <cell r="E2654" t="str">
            <v>T26000023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D26000738</v>
          </cell>
          <cell r="AP2655">
            <v>0</v>
          </cell>
          <cell r="AQ2655">
            <v>0</v>
          </cell>
          <cell r="AV2655">
            <v>3930000</v>
          </cell>
        </row>
        <row r="2656">
          <cell r="E2656" t="str">
            <v>B26001319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D26002055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B25016739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B25016739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B25016739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B25016740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B25016740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D25019250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D25019250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D25019250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B25016887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B25016947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D26001633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D25017428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B25016171</v>
          </cell>
          <cell r="AP2670">
            <v>0</v>
          </cell>
          <cell r="AQ2670">
            <v>0</v>
          </cell>
          <cell r="AV2670">
            <v>2120000</v>
          </cell>
        </row>
        <row r="2671">
          <cell r="E2671" t="str">
            <v>D25019645</v>
          </cell>
          <cell r="AP2671">
            <v>0</v>
          </cell>
          <cell r="AQ2671">
            <v>0</v>
          </cell>
          <cell r="AV2671">
            <v>3640000</v>
          </cell>
        </row>
        <row r="2672">
          <cell r="E2672" t="str">
            <v>D26000850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B26001089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B26001313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B26001585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D25016631</v>
          </cell>
          <cell r="AP2676">
            <v>0</v>
          </cell>
          <cell r="AQ2676">
            <v>0</v>
          </cell>
          <cell r="AV2676">
            <v>981000</v>
          </cell>
        </row>
        <row r="2677">
          <cell r="E2677" t="str">
            <v>T25001655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D25016872</v>
          </cell>
          <cell r="AP2678">
            <v>0</v>
          </cell>
          <cell r="AQ2678">
            <v>0</v>
          </cell>
          <cell r="AV2678">
            <v>1480000</v>
          </cell>
        </row>
        <row r="2679">
          <cell r="E2679" t="str">
            <v>D25016902</v>
          </cell>
          <cell r="AP2679">
            <v>0</v>
          </cell>
          <cell r="AQ2679">
            <v>0</v>
          </cell>
          <cell r="AV2679">
            <v>4800000</v>
          </cell>
        </row>
        <row r="2680">
          <cell r="E2680" t="str">
            <v>T25001703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B25015308</v>
          </cell>
          <cell r="AP2681">
            <v>0</v>
          </cell>
          <cell r="AQ2681">
            <v>0</v>
          </cell>
          <cell r="AV2681">
            <v>1800000</v>
          </cell>
        </row>
        <row r="2682">
          <cell r="E2682" t="str">
            <v>B25016198</v>
          </cell>
          <cell r="AP2682">
            <v>0</v>
          </cell>
          <cell r="AQ2682">
            <v>0</v>
          </cell>
          <cell r="AV2682">
            <v>2629000</v>
          </cell>
        </row>
        <row r="2683">
          <cell r="E2683" t="str">
            <v>B25016199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B25016200</v>
          </cell>
          <cell r="AP2684">
            <v>0</v>
          </cell>
          <cell r="AQ2684">
            <v>0</v>
          </cell>
          <cell r="AV2684">
            <v>3310000</v>
          </cell>
        </row>
        <row r="2685">
          <cell r="E2685" t="str">
            <v>D26000630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D26000631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T26000033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D26000911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B26001613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T26000165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D25018823</v>
          </cell>
          <cell r="AP2691">
            <v>0</v>
          </cell>
          <cell r="AQ2691">
            <v>0</v>
          </cell>
          <cell r="AV2691">
            <v>5472000</v>
          </cell>
        </row>
        <row r="2692">
          <cell r="E2692" t="str">
            <v>D25019101</v>
          </cell>
          <cell r="AP2692">
            <v>0</v>
          </cell>
          <cell r="AQ2692">
            <v>0</v>
          </cell>
          <cell r="AV2692">
            <v>1600000</v>
          </cell>
        </row>
        <row r="2693">
          <cell r="E2693" t="str">
            <v>D25019298</v>
          </cell>
          <cell r="AP2693">
            <v>0</v>
          </cell>
          <cell r="AQ2693">
            <v>0</v>
          </cell>
          <cell r="AV2693">
            <v>13250000</v>
          </cell>
        </row>
        <row r="2694">
          <cell r="E2694" t="str">
            <v>B25016923</v>
          </cell>
          <cell r="AP2694">
            <v>0</v>
          </cell>
          <cell r="AQ2694">
            <v>0</v>
          </cell>
          <cell r="AV2694">
            <v>4535000</v>
          </cell>
        </row>
        <row r="2695">
          <cell r="E2695" t="str">
            <v>D25019463</v>
          </cell>
          <cell r="AP2695">
            <v>0</v>
          </cell>
          <cell r="AQ2695">
            <v>0</v>
          </cell>
          <cell r="AV2695">
            <v>6475000</v>
          </cell>
        </row>
        <row r="2696">
          <cell r="E2696" t="str">
            <v>D26000125</v>
          </cell>
          <cell r="AP2696">
            <v>0</v>
          </cell>
          <cell r="AQ2696">
            <v>0</v>
          </cell>
          <cell r="AV2696">
            <v>4500000</v>
          </cell>
        </row>
        <row r="2697">
          <cell r="E2697" t="str">
            <v>D26000501</v>
          </cell>
          <cell r="AP2697">
            <v>0</v>
          </cell>
          <cell r="AQ2697">
            <v>0</v>
          </cell>
          <cell r="AV2697">
            <v>3500000</v>
          </cell>
        </row>
        <row r="2698">
          <cell r="E2698" t="str">
            <v>D26000524</v>
          </cell>
          <cell r="AP2698">
            <v>0</v>
          </cell>
          <cell r="AQ2698">
            <v>0</v>
          </cell>
          <cell r="AV2698">
            <v>1932000</v>
          </cell>
        </row>
        <row r="2699">
          <cell r="E2699" t="str">
            <v>D26000525</v>
          </cell>
          <cell r="AP2699">
            <v>0</v>
          </cell>
          <cell r="AQ2699">
            <v>0</v>
          </cell>
          <cell r="AV2699">
            <v>1610000</v>
          </cell>
        </row>
        <row r="2700">
          <cell r="E2700" t="str">
            <v>D26000541</v>
          </cell>
          <cell r="AP2700">
            <v>0</v>
          </cell>
          <cell r="AQ2700">
            <v>0</v>
          </cell>
          <cell r="AV2700">
            <v>15200000</v>
          </cell>
        </row>
        <row r="2701">
          <cell r="E2701" t="str">
            <v>D26000542</v>
          </cell>
          <cell r="AP2701">
            <v>0</v>
          </cell>
          <cell r="AQ2701">
            <v>0</v>
          </cell>
          <cell r="AV2701">
            <v>7600000</v>
          </cell>
        </row>
        <row r="2702">
          <cell r="E2702" t="str">
            <v>B26001159</v>
          </cell>
          <cell r="AP2702">
            <v>0</v>
          </cell>
          <cell r="AQ2702">
            <v>0</v>
          </cell>
          <cell r="AV2702">
            <v>7755000</v>
          </cell>
        </row>
        <row r="2703">
          <cell r="E2703" t="str">
            <v>B26001164</v>
          </cell>
          <cell r="AP2703">
            <v>0</v>
          </cell>
          <cell r="AQ2703">
            <v>0</v>
          </cell>
          <cell r="AV2703">
            <v>26571000</v>
          </cell>
        </row>
        <row r="2704">
          <cell r="E2704" t="str">
            <v>D26001298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D26001313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D26001380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D26001382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D26001428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B26001435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D26001644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D26001645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D26001854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B26001851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D26002080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B26002052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B26002100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B26002240</v>
          </cell>
          <cell r="AP2717">
            <v>0</v>
          </cell>
          <cell r="AQ2717">
            <v>0</v>
          </cell>
          <cell r="AV2717">
            <v>1720000</v>
          </cell>
        </row>
        <row r="2718">
          <cell r="E2718" t="str">
            <v>D26000259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D26000265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D26000384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B26000695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D26001111</v>
          </cell>
          <cell r="AP2722">
            <v>0</v>
          </cell>
          <cell r="AQ2722">
            <v>2750000</v>
          </cell>
          <cell r="AV2722">
            <v>0</v>
          </cell>
        </row>
        <row r="2723">
          <cell r="E2723" t="str">
            <v>B26001065</v>
          </cell>
          <cell r="AP2723">
            <v>0</v>
          </cell>
          <cell r="AQ2723">
            <v>17250000</v>
          </cell>
          <cell r="AV2723">
            <v>0</v>
          </cell>
        </row>
        <row r="2724">
          <cell r="E2724" t="str">
            <v>B26001065</v>
          </cell>
          <cell r="AP2724">
            <v>0</v>
          </cell>
          <cell r="AQ2724">
            <v>18301750</v>
          </cell>
          <cell r="AV2724">
            <v>0</v>
          </cell>
        </row>
        <row r="2725">
          <cell r="E2725" t="str">
            <v>D26001794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D26001811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B26001834</v>
          </cell>
          <cell r="AP2727">
            <v>0</v>
          </cell>
          <cell r="AQ2727">
            <v>0</v>
          </cell>
          <cell r="AV2727">
            <v>860000</v>
          </cell>
        </row>
        <row r="2728">
          <cell r="E2728" t="str">
            <v>D26002059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D26001917</v>
          </cell>
          <cell r="AP2729">
            <v>0</v>
          </cell>
          <cell r="AQ2729">
            <v>0</v>
          </cell>
          <cell r="AV2729">
            <v>18000000</v>
          </cell>
        </row>
        <row r="2730">
          <cell r="E2730" t="str">
            <v>B26002124</v>
          </cell>
          <cell r="AP2730">
            <v>0</v>
          </cell>
          <cell r="AQ2730">
            <v>0</v>
          </cell>
          <cell r="AV2730">
            <v>2740000</v>
          </cell>
        </row>
        <row r="2731">
          <cell r="E2731" t="str">
            <v>D26000393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D26000431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B26000625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D26000901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D26000916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D26001146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B26001472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B26001555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B26001902</v>
          </cell>
          <cell r="AP2739">
            <v>0</v>
          </cell>
          <cell r="AQ2739">
            <v>0</v>
          </cell>
          <cell r="AV2739">
            <v>11000000</v>
          </cell>
        </row>
        <row r="2740">
          <cell r="E2740" t="str">
            <v>B26001855</v>
          </cell>
          <cell r="AP2740">
            <v>0</v>
          </cell>
          <cell r="AQ2740">
            <v>0</v>
          </cell>
          <cell r="AV2740">
            <v>1360000</v>
          </cell>
        </row>
        <row r="2741">
          <cell r="E2741" t="str">
            <v>B26001856</v>
          </cell>
          <cell r="AP2741">
            <v>0</v>
          </cell>
          <cell r="AQ2741">
            <v>0</v>
          </cell>
          <cell r="AV2741">
            <v>2314500</v>
          </cell>
        </row>
        <row r="2742">
          <cell r="E2742" t="str">
            <v>B26001857</v>
          </cell>
          <cell r="AP2742">
            <v>0</v>
          </cell>
          <cell r="AQ2742">
            <v>0</v>
          </cell>
          <cell r="AV2742">
            <v>260000</v>
          </cell>
        </row>
        <row r="2743">
          <cell r="E2743" t="str">
            <v>D26001719</v>
          </cell>
          <cell r="AP2743">
            <v>0</v>
          </cell>
          <cell r="AQ2743">
            <v>0</v>
          </cell>
          <cell r="AV2743">
            <v>6300000</v>
          </cell>
        </row>
        <row r="2744">
          <cell r="E2744" t="str">
            <v>B26002114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T25000698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T25000700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D25016721</v>
          </cell>
          <cell r="AP2747">
            <v>0</v>
          </cell>
          <cell r="AQ2747">
            <v>0</v>
          </cell>
          <cell r="AV2747">
            <v>4440000</v>
          </cell>
        </row>
        <row r="2748">
          <cell r="E2748" t="str">
            <v>D25016721</v>
          </cell>
          <cell r="AP2748">
            <v>0</v>
          </cell>
          <cell r="AQ2748">
            <v>0</v>
          </cell>
          <cell r="AV2748">
            <v>5000000</v>
          </cell>
        </row>
        <row r="2749">
          <cell r="E2749" t="str">
            <v>B25014674</v>
          </cell>
          <cell r="AP2749">
            <v>0</v>
          </cell>
          <cell r="AQ2749">
            <v>0</v>
          </cell>
          <cell r="AV2749">
            <v>3852750</v>
          </cell>
        </row>
        <row r="2750">
          <cell r="E2750" t="str">
            <v>B25014675</v>
          </cell>
          <cell r="AP2750">
            <v>0</v>
          </cell>
          <cell r="AQ2750">
            <v>0</v>
          </cell>
          <cell r="AV2750">
            <v>147250</v>
          </cell>
        </row>
        <row r="2751">
          <cell r="E2751" t="str">
            <v>D25017210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B25015697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D25018775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D25018776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D25019491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B25016962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D26001199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D25015491</v>
          </cell>
          <cell r="AP2758">
            <v>0</v>
          </cell>
          <cell r="AQ2758">
            <v>0</v>
          </cell>
          <cell r="AV2758">
            <v>50000000</v>
          </cell>
        </row>
        <row r="2759">
          <cell r="E2759" t="str">
            <v>D25015491</v>
          </cell>
          <cell r="AP2759">
            <v>0</v>
          </cell>
          <cell r="AQ2759">
            <v>0</v>
          </cell>
          <cell r="AV2759">
            <v>4242500</v>
          </cell>
        </row>
        <row r="2760">
          <cell r="E2760" t="str">
            <v>D25015492</v>
          </cell>
          <cell r="AP2760">
            <v>0</v>
          </cell>
          <cell r="AQ2760">
            <v>0</v>
          </cell>
          <cell r="AV2760">
            <v>7775000</v>
          </cell>
        </row>
        <row r="2761">
          <cell r="E2761" t="str">
            <v>D25015518</v>
          </cell>
          <cell r="AP2761">
            <v>0</v>
          </cell>
          <cell r="AQ2761">
            <v>0</v>
          </cell>
          <cell r="AV2761">
            <v>21070000</v>
          </cell>
        </row>
        <row r="2762">
          <cell r="E2762" t="str">
            <v>D25015519</v>
          </cell>
          <cell r="AP2762">
            <v>0</v>
          </cell>
          <cell r="AQ2762">
            <v>0</v>
          </cell>
          <cell r="AV2762">
            <v>16912500</v>
          </cell>
        </row>
        <row r="2763">
          <cell r="E2763" t="str">
            <v>D25018010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D25018011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B26001039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D26001222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B25012709</v>
          </cell>
          <cell r="AP2767">
            <v>0</v>
          </cell>
          <cell r="AQ2767">
            <v>0</v>
          </cell>
          <cell r="AV2767">
            <v>32757750</v>
          </cell>
        </row>
        <row r="2768">
          <cell r="E2768" t="str">
            <v>B25012875</v>
          </cell>
          <cell r="AP2768">
            <v>0</v>
          </cell>
          <cell r="AQ2768">
            <v>0</v>
          </cell>
          <cell r="AV2768">
            <v>16887750</v>
          </cell>
        </row>
        <row r="2769">
          <cell r="E2769" t="str">
            <v>B25012876</v>
          </cell>
          <cell r="AP2769">
            <v>0</v>
          </cell>
          <cell r="AQ2769">
            <v>0</v>
          </cell>
          <cell r="AV2769">
            <v>57743200</v>
          </cell>
        </row>
        <row r="2770">
          <cell r="E2770" t="str">
            <v>B25012907</v>
          </cell>
          <cell r="AP2770">
            <v>0</v>
          </cell>
          <cell r="AQ2770">
            <v>0</v>
          </cell>
          <cell r="AV2770">
            <v>30119000</v>
          </cell>
        </row>
        <row r="2771">
          <cell r="E2771" t="str">
            <v>D25016022</v>
          </cell>
          <cell r="AP2771">
            <v>0</v>
          </cell>
          <cell r="AQ2771">
            <v>0</v>
          </cell>
          <cell r="AV2771">
            <v>120625000</v>
          </cell>
        </row>
        <row r="2772">
          <cell r="E2772" t="str">
            <v>D25016347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B25014255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B25014494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D25016931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D25016947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D25016948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B25014783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B25015004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B25015067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D25017412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B25015250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B25015395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D25017843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B25015533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D25017972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D25018032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B25015677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D25018648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D25018929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B25016629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D25019093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D25019171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B25016746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D25019258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B25017047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B25017107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B25017109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D26000485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D26000506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D26000575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D26000852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D26001446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D26001587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D26001625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D26001850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D26002100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D26002356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T22000046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T22000053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T22000087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T22000122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T22000134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T22000139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T22000141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T22000167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T22000207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T22000231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T22000254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T22000265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T22000282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T22000316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T22000338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T22000378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T22000394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T22000405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T22000425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T22000456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T22000472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T22000491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T22000520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T22000560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T22000561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T22000580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T22000604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T22000664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T22000725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T22000772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T22000799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T23000003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T23000012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T23000013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T23000057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T23000064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T23000087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T23000120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D23001207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T23000149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T23000180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T23000184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T23000187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T23000252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T23000257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T23000275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T23000285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T23000332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T23000355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T23000382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T23000419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T23000426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T23000485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T23000492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T23000504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T23000507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T23000508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T23000509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T23000522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T23000524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T23000577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T23000584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T23000594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T23000630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T23000644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T23000686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T23000695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T23000741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T23000742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T23000772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T23000781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T23000782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T23000809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T23000845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T23000846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T23000860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T23000881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T23000884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T23000911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T23000912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T23000914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T23000919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T23000924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T23000935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T23000936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T23000986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T23000989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T23000994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T23000998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T23000999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T23001024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T23001025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T23001026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T23001057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T23001090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T23001094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T23001095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T23001103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T24000001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T24000018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T24000040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T24000113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T24000118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T24000126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T24000149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T24000166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T24000175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T24000176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T24000250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T24000251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T24000260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T24000265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T24000279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T24000299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T24000376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T24000384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T24000391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T24000392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T24000419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T24000448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T24000488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T24000489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T24000495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T24000496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T24000497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T24000498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T24000499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T24000519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T24000527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T24000598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T24000600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T24000601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T24000602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T24000603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T24000612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T24000631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T24000635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T24000673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T24000717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T24000718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T24000719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T24000720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T24000726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T24000727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T24000754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T24000755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T24000787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T24000936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T24000937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T24000938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T24000939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T24000946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T24000983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T24000984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T24000985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T24001077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T24001078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T24001079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T24001085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T24001086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T24001087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T24001088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T24001108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T24001119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T24001120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T24001121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T24001210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T24001211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T24001215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T24001220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T24001241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T24001249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T24001250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T24001265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T24001359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T24001360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T24001361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T24001369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T24001372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T24001380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T24001423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T24001424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T24001446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T24001447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T24001638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T24001639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T24001651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T24001652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T24001653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T24001654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T24001655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T24001697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T24001717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T24001721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T24001842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T25000023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T25000025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T25000026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T25000027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T25000028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T25000029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T25000035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T25000036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T25000091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T25000142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T25000157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T25000158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T25000161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T25000171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T25000172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T25000178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T25000328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T25000329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T25000357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T25000363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T25000364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T25000365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T25000366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T25000367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T25000368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T25000372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T25000432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T25000523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T25000546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T25000547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T25000548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T25000558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T25000559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T25000563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T25000564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T25000578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T25000626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T25000685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T25000686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T25000702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T25000706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T25000707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T25000734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T25000735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T25000740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T25000764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T25000770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R25000015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T25000878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T25000886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T25000887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T25000888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T25000895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T25000902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T25000903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T25000912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T25000914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T25000915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C25000475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T25000936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T25000956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T25000957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T25000958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D25009205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T25000988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T25000997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T25000999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T25001020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T25001022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T25001023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T25001024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T25001025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T25001033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T25001062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T25001078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T25001110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T25001162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T25001165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T25001173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T25001189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T25001203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T25001207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T25001222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T25001269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T25001294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T25001317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T25001323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T25001329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T25001330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T25001336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T25001343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T25001395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T25001408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T25001452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T25001456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T25001457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T25001458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T25001459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T25001460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T25001463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T25001464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T25001485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T25001497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T25001546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T25001592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T25001593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T25001604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T25001608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T25001627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T25001628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T25001629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T25001630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T25001683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T25001712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T25001729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T25001741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T25001742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T25001746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T25001750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T25001751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T25001752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T25001756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T25001757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T25001764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T25001765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T25001766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T25001767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T25001768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T25001769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T25001807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T25001832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T25001896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T26000004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T26000005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T26000007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T26000011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T26000012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T26000015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T26000020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T26000048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T26000069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T26000080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T26000084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C26000100</v>
          </cell>
          <cell r="AP3147">
            <v>0</v>
          </cell>
          <cell r="AQ3147">
            <v>0</v>
          </cell>
          <cell r="AV3147">
            <v>189500</v>
          </cell>
        </row>
        <row r="3148">
          <cell r="E3148" t="str">
            <v>T26000112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T26000113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T26000119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Z26000323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T26000130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T26000131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Z26000332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T26000137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T26000138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B26001858</v>
          </cell>
          <cell r="AP3157">
            <v>0</v>
          </cell>
          <cell r="AQ3157">
            <v>0</v>
          </cell>
          <cell r="AV3157">
            <v>2654955</v>
          </cell>
        </row>
        <row r="3158">
          <cell r="E3158" t="str">
            <v>T26000141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C26000114</v>
          </cell>
          <cell r="AP3159">
            <v>0</v>
          </cell>
          <cell r="AQ3159">
            <v>0</v>
          </cell>
          <cell r="AV3159">
            <v>690000</v>
          </cell>
        </row>
        <row r="3160">
          <cell r="E3160" t="str">
            <v>D25016874</v>
          </cell>
          <cell r="AP3160">
            <v>0</v>
          </cell>
          <cell r="AQ3160">
            <v>0</v>
          </cell>
          <cell r="AV3160">
            <v>2060000</v>
          </cell>
        </row>
        <row r="3161">
          <cell r="E3161" t="str">
            <v>D25016915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B25016903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D25019699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T26000001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M26000024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M26000026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M26000027</v>
          </cell>
          <cell r="AP3167">
            <v>0</v>
          </cell>
          <cell r="AQ3167">
            <v>0</v>
          </cell>
          <cell r="AV3167">
            <v>51502.51</v>
          </cell>
        </row>
        <row r="3168">
          <cell r="E3168" t="str">
            <v>M26000028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M26000029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M26000030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N26000018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N26000019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B26000953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D26002231</v>
          </cell>
          <cell r="AP3174">
            <v>0</v>
          </cell>
          <cell r="AQ3174">
            <v>0</v>
          </cell>
          <cell r="AV3174">
            <v>1509000</v>
          </cell>
        </row>
        <row r="3175">
          <cell r="E3175" t="str">
            <v>D26002330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D26002366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Z26000115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Z26000316</v>
          </cell>
          <cell r="AP3178">
            <v>0</v>
          </cell>
          <cell r="AQ3178">
            <v>0</v>
          </cell>
          <cell r="AV3178">
            <v>2940000</v>
          </cell>
        </row>
        <row r="3179">
          <cell r="E3179" t="str">
            <v>Z26000358</v>
          </cell>
          <cell r="AP3179">
            <v>0</v>
          </cell>
          <cell r="AQ3179">
            <v>0</v>
          </cell>
          <cell r="AV3179">
            <v>6210000</v>
          </cell>
        </row>
        <row r="3180">
          <cell r="E3180" t="str">
            <v>Z26000377</v>
          </cell>
          <cell r="AP3180">
            <v>0</v>
          </cell>
          <cell r="AQ3180">
            <v>0</v>
          </cell>
          <cell r="AV3180">
            <v>840000</v>
          </cell>
        </row>
        <row r="3181">
          <cell r="E3181" t="str">
            <v>Z26000380</v>
          </cell>
          <cell r="AP3181">
            <v>0</v>
          </cell>
          <cell r="AQ3181">
            <v>0</v>
          </cell>
          <cell r="AV3181">
            <v>840000</v>
          </cell>
        </row>
        <row r="3182">
          <cell r="E3182" t="str">
            <v>Z26000383</v>
          </cell>
          <cell r="AP3182">
            <v>0</v>
          </cell>
          <cell r="AQ3182">
            <v>0</v>
          </cell>
          <cell r="AV3182">
            <v>25380000</v>
          </cell>
        </row>
        <row r="3183">
          <cell r="E3183" t="str">
            <v>Z26000384</v>
          </cell>
          <cell r="AP3183">
            <v>0</v>
          </cell>
          <cell r="AQ3183">
            <v>0</v>
          </cell>
          <cell r="AV3183">
            <v>3840000</v>
          </cell>
        </row>
        <row r="3184">
          <cell r="E3184" t="str">
            <v>Z26000421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D26001975</v>
          </cell>
          <cell r="AP3185">
            <v>0</v>
          </cell>
          <cell r="AQ3185">
            <v>0</v>
          </cell>
          <cell r="AV3185">
            <v>3110000</v>
          </cell>
        </row>
        <row r="3186">
          <cell r="E3186" t="str">
            <v>B25016592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B25016593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B25016626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B25016686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D25019320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B25016987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B25016996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B25016997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B26000162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D26000376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D26000585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D26000586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D26000864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D26000929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D26001042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B26001102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D26001825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D26001826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B26001830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B26002061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T25001845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B26000289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B26001305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Z25003207</v>
          </cell>
          <cell r="AP3209">
            <v>0</v>
          </cell>
          <cell r="AQ3209">
            <v>0</v>
          </cell>
          <cell r="AV3209">
            <v>8900000</v>
          </cell>
        </row>
        <row r="3210">
          <cell r="E3210" t="str">
            <v>Z26000041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Z26000045</v>
          </cell>
          <cell r="AP3211">
            <v>0</v>
          </cell>
          <cell r="AQ3211">
            <v>0</v>
          </cell>
          <cell r="AV3211">
            <v>9000000</v>
          </cell>
        </row>
        <row r="3212">
          <cell r="E3212" t="str">
            <v>Z26000288</v>
          </cell>
          <cell r="AP3212">
            <v>0</v>
          </cell>
          <cell r="AQ3212">
            <v>0</v>
          </cell>
          <cell r="AV3212">
            <v>39330000</v>
          </cell>
        </row>
        <row r="3213">
          <cell r="E3213" t="str">
            <v>Z26000292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T26000125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Z26000374</v>
          </cell>
          <cell r="AP3215">
            <v>0</v>
          </cell>
          <cell r="AQ3215">
            <v>0</v>
          </cell>
          <cell r="AV3215">
            <v>39600000</v>
          </cell>
        </row>
        <row r="3216">
          <cell r="E3216" t="str">
            <v>B26001144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B26001241</v>
          </cell>
          <cell r="AP3217">
            <v>0</v>
          </cell>
          <cell r="AQ3217">
            <v>0</v>
          </cell>
          <cell r="AV3217">
            <v>94600000</v>
          </cell>
        </row>
        <row r="3218">
          <cell r="E3218" t="str">
            <v>B26001406</v>
          </cell>
          <cell r="AP3218">
            <v>0</v>
          </cell>
          <cell r="AQ3218">
            <v>0</v>
          </cell>
          <cell r="AV3218">
            <v>40750000</v>
          </cell>
        </row>
        <row r="3219">
          <cell r="E3219" t="str">
            <v>B26001415</v>
          </cell>
          <cell r="AP3219">
            <v>0</v>
          </cell>
          <cell r="AQ3219">
            <v>0</v>
          </cell>
          <cell r="AV3219">
            <v>43600000</v>
          </cell>
        </row>
        <row r="3220">
          <cell r="E3220" t="str">
            <v>D26001810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B26002112</v>
          </cell>
          <cell r="AP3221">
            <v>0</v>
          </cell>
          <cell r="AQ3221">
            <v>0</v>
          </cell>
          <cell r="AV3221">
            <v>6750000</v>
          </cell>
        </row>
        <row r="3222">
          <cell r="E3222" t="str">
            <v>D26002476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D26002477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B25016070</v>
          </cell>
          <cell r="AP3224">
            <v>0</v>
          </cell>
          <cell r="AQ3224">
            <v>0</v>
          </cell>
          <cell r="AV3224">
            <v>5875000</v>
          </cell>
        </row>
        <row r="3225">
          <cell r="E3225" t="str">
            <v>D25018774</v>
          </cell>
          <cell r="AP3225">
            <v>0</v>
          </cell>
          <cell r="AQ3225">
            <v>0</v>
          </cell>
          <cell r="AV3225">
            <v>6250000</v>
          </cell>
        </row>
        <row r="3226">
          <cell r="E3226" t="str">
            <v>T25001898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D25016578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B26000464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B26001015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B26001016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D26002143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D26002276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T25001826</v>
          </cell>
          <cell r="AP3233">
            <v>0</v>
          </cell>
          <cell r="AQ3233">
            <v>0</v>
          </cell>
          <cell r="AV3233">
            <v>6562500</v>
          </cell>
        </row>
        <row r="3234">
          <cell r="E3234" t="str">
            <v>D26000017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B26001154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B26001167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B26001222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B26001223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B26001686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D26001901</v>
          </cell>
          <cell r="AP3240">
            <v>0</v>
          </cell>
          <cell r="AQ3240">
            <v>0</v>
          </cell>
          <cell r="AV3240">
            <v>52000000</v>
          </cell>
        </row>
        <row r="3241">
          <cell r="E3241" t="str">
            <v>D26002154</v>
          </cell>
          <cell r="AP3241">
            <v>0</v>
          </cell>
          <cell r="AQ3241">
            <v>0</v>
          </cell>
          <cell r="AV3241">
            <v>70000000</v>
          </cell>
        </row>
        <row r="3242">
          <cell r="E3242" t="str">
            <v>D26002154</v>
          </cell>
          <cell r="AP3242">
            <v>0</v>
          </cell>
          <cell r="AQ3242">
            <v>0</v>
          </cell>
          <cell r="AV3242">
            <v>47750000</v>
          </cell>
        </row>
        <row r="3243">
          <cell r="E3243" t="str">
            <v>D26002213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D26002461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B26000048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D25018564</v>
          </cell>
          <cell r="AP3246">
            <v>0</v>
          </cell>
          <cell r="AQ3246">
            <v>0</v>
          </cell>
          <cell r="AV3246">
            <v>43275000</v>
          </cell>
        </row>
        <row r="3247">
          <cell r="E3247" t="str">
            <v>B25016409</v>
          </cell>
          <cell r="AP3247">
            <v>0</v>
          </cell>
          <cell r="AQ3247">
            <v>0</v>
          </cell>
          <cell r="AV3247">
            <v>156187500</v>
          </cell>
        </row>
        <row r="3248">
          <cell r="E3248" t="str">
            <v>B25016414</v>
          </cell>
          <cell r="AP3248">
            <v>0</v>
          </cell>
          <cell r="AQ3248">
            <v>0</v>
          </cell>
          <cell r="AV3248">
            <v>18600000</v>
          </cell>
        </row>
        <row r="3249">
          <cell r="E3249" t="str">
            <v>B25016421</v>
          </cell>
          <cell r="AP3249">
            <v>0</v>
          </cell>
          <cell r="AQ3249">
            <v>0</v>
          </cell>
          <cell r="AV3249">
            <v>13170000</v>
          </cell>
        </row>
        <row r="3250">
          <cell r="E3250" t="str">
            <v>B25016438</v>
          </cell>
          <cell r="AP3250">
            <v>0</v>
          </cell>
          <cell r="AQ3250">
            <v>0</v>
          </cell>
          <cell r="AV3250">
            <v>61312500</v>
          </cell>
        </row>
        <row r="3251">
          <cell r="E3251" t="str">
            <v>D26000472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D26000473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T26000028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B26000832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D26002037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D26002038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D26002467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B25016762</v>
          </cell>
          <cell r="AP3258">
            <v>0</v>
          </cell>
          <cell r="AQ3258">
            <v>0</v>
          </cell>
          <cell r="AV3258">
            <v>113000</v>
          </cell>
        </row>
        <row r="3259">
          <cell r="E3259" t="str">
            <v>B26000183</v>
          </cell>
          <cell r="AP3259">
            <v>0</v>
          </cell>
          <cell r="AQ3259">
            <v>0</v>
          </cell>
          <cell r="AV3259">
            <v>72225000</v>
          </cell>
        </row>
        <row r="3260">
          <cell r="E3260" t="str">
            <v>D26000634</v>
          </cell>
          <cell r="AP3260">
            <v>0</v>
          </cell>
          <cell r="AQ3260">
            <v>0</v>
          </cell>
          <cell r="AV3260">
            <v>27662000</v>
          </cell>
        </row>
        <row r="3261">
          <cell r="E3261" t="str">
            <v>D26000797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B26001194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D26001311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B26001984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B26002004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B26002128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D26000188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B26000211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B25015599</v>
          </cell>
          <cell r="AP3269">
            <v>0</v>
          </cell>
          <cell r="AQ3269">
            <v>0</v>
          </cell>
          <cell r="AV3269">
            <v>3525000</v>
          </cell>
        </row>
        <row r="3270">
          <cell r="E3270" t="str">
            <v>D25018078</v>
          </cell>
          <cell r="AP3270">
            <v>0</v>
          </cell>
          <cell r="AQ3270">
            <v>0</v>
          </cell>
          <cell r="AV3270">
            <v>5575000</v>
          </cell>
        </row>
        <row r="3271">
          <cell r="E3271" t="str">
            <v>D25019361</v>
          </cell>
          <cell r="AP3271">
            <v>0</v>
          </cell>
          <cell r="AQ3271">
            <v>0</v>
          </cell>
          <cell r="AV3271">
            <v>6475000</v>
          </cell>
        </row>
        <row r="3272">
          <cell r="E3272" t="str">
            <v>B26000354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D26000448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B26000835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D26000920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B26000897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D26000963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B26001369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D26001450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D26001453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D26001482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D26001492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D26002109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B26001296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D26001432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D26000072</v>
          </cell>
          <cell r="AP3286">
            <v>0</v>
          </cell>
          <cell r="AQ3286">
            <v>0</v>
          </cell>
          <cell r="AV3286">
            <v>17000000</v>
          </cell>
        </row>
        <row r="3287">
          <cell r="E3287" t="str">
            <v>B26001645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D25019244</v>
          </cell>
          <cell r="AP3288">
            <v>0</v>
          </cell>
          <cell r="AQ3288">
            <v>0</v>
          </cell>
          <cell r="AV3288">
            <v>27150000</v>
          </cell>
        </row>
        <row r="3289">
          <cell r="E3289" t="str">
            <v>D26001058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D26001059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D25016207</v>
          </cell>
          <cell r="AP3291">
            <v>0</v>
          </cell>
          <cell r="AQ3291">
            <v>0</v>
          </cell>
          <cell r="AV3291">
            <v>12000000</v>
          </cell>
        </row>
        <row r="3292">
          <cell r="E3292" t="str">
            <v>D25016207</v>
          </cell>
          <cell r="AP3292">
            <v>0</v>
          </cell>
          <cell r="AQ3292">
            <v>0</v>
          </cell>
          <cell r="AV3292">
            <v>11085000</v>
          </cell>
        </row>
        <row r="3293">
          <cell r="E3293" t="str">
            <v>D25016208</v>
          </cell>
          <cell r="AP3293">
            <v>0</v>
          </cell>
          <cell r="AQ3293">
            <v>0</v>
          </cell>
          <cell r="AV3293">
            <v>1415000</v>
          </cell>
        </row>
        <row r="3294">
          <cell r="E3294" t="str">
            <v>D26000628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D26000641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B26001101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T26000077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B26001913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B26001914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B26001864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B26001864</v>
          </cell>
          <cell r="AP3301">
            <v>0</v>
          </cell>
          <cell r="AQ3301">
            <v>0</v>
          </cell>
          <cell r="AV3301">
            <v>28935000</v>
          </cell>
        </row>
        <row r="3302">
          <cell r="E3302" t="str">
            <v>B26002148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B26001331</v>
          </cell>
          <cell r="AP3303">
            <v>0</v>
          </cell>
          <cell r="AQ3303">
            <v>0</v>
          </cell>
          <cell r="AV3303">
            <v>6600000</v>
          </cell>
        </row>
        <row r="3304">
          <cell r="E3304" t="str">
            <v>B26001620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B26001807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B26002193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Z26000046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Z26000118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Z26000147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Z26000325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Z26000373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D26001951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B26000769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D26000872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D26000888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D26000889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D26000890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B26001075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D26001352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D26001353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D26001487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D26001518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D26001995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B26002110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B26002111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D26002237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D26002291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D26002412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D26002413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D26002414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D26002460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D26002375</v>
          </cell>
          <cell r="AP3332">
            <v>0</v>
          </cell>
          <cell r="AQ3332">
            <v>0</v>
          </cell>
          <cell r="AV3332">
            <v>5280000</v>
          </cell>
        </row>
        <row r="3333">
          <cell r="E3333" t="str">
            <v>T25001634K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T25001713K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T26000058K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B26001692</v>
          </cell>
          <cell r="AP3336">
            <v>0</v>
          </cell>
          <cell r="AQ3336">
            <v>0</v>
          </cell>
          <cell r="AV3336">
            <v>1650000</v>
          </cell>
        </row>
        <row r="3337">
          <cell r="E3337" t="str">
            <v>B26001628</v>
          </cell>
          <cell r="AP3337">
            <v>0</v>
          </cell>
          <cell r="AQ3337">
            <v>0</v>
          </cell>
          <cell r="AV3337">
            <v>4720000</v>
          </cell>
        </row>
        <row r="3338">
          <cell r="E3338" t="str">
            <v>D26001763</v>
          </cell>
          <cell r="AP3338">
            <v>0</v>
          </cell>
          <cell r="AQ3338">
            <v>0</v>
          </cell>
          <cell r="AV3338">
            <v>7050500</v>
          </cell>
        </row>
        <row r="3339">
          <cell r="E3339" t="str">
            <v>D26002295</v>
          </cell>
          <cell r="AP3339">
            <v>0</v>
          </cell>
          <cell r="AQ3339">
            <v>0</v>
          </cell>
          <cell r="AV3339">
            <v>26200000</v>
          </cell>
        </row>
        <row r="3340">
          <cell r="E3340" t="str">
            <v>D26001031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D26001032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T26000169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B25016367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B25016369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T25001240K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D25018578</v>
          </cell>
          <cell r="AP3346">
            <v>0</v>
          </cell>
          <cell r="AQ3346">
            <v>0</v>
          </cell>
          <cell r="AV3346">
            <v>2000000</v>
          </cell>
        </row>
        <row r="3347">
          <cell r="E3347" t="str">
            <v>T25001802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T25001804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B25016613</v>
          </cell>
          <cell r="AP3349">
            <v>0</v>
          </cell>
          <cell r="AQ3349">
            <v>0</v>
          </cell>
          <cell r="AV3349">
            <v>26900000</v>
          </cell>
        </row>
        <row r="3350">
          <cell r="E3350" t="str">
            <v>B25016673</v>
          </cell>
          <cell r="AP3350">
            <v>0</v>
          </cell>
          <cell r="AQ3350">
            <v>0</v>
          </cell>
          <cell r="AV3350">
            <v>16300000</v>
          </cell>
        </row>
        <row r="3351">
          <cell r="E3351" t="str">
            <v>B25017077</v>
          </cell>
          <cell r="AP3351">
            <v>0</v>
          </cell>
          <cell r="AQ3351">
            <v>0</v>
          </cell>
          <cell r="AV3351">
            <v>26180000</v>
          </cell>
        </row>
        <row r="3352">
          <cell r="E3352" t="str">
            <v>D25019708</v>
          </cell>
          <cell r="AP3352">
            <v>0</v>
          </cell>
          <cell r="AQ3352">
            <v>0</v>
          </cell>
          <cell r="AV3352">
            <v>11600000</v>
          </cell>
        </row>
        <row r="3353">
          <cell r="E3353" t="str">
            <v>B26000538</v>
          </cell>
          <cell r="AP3353">
            <v>0</v>
          </cell>
          <cell r="AQ3353">
            <v>0</v>
          </cell>
          <cell r="AV3353">
            <v>18200000</v>
          </cell>
        </row>
        <row r="3354">
          <cell r="E3354" t="str">
            <v>D26000556</v>
          </cell>
          <cell r="AP3354">
            <v>0</v>
          </cell>
          <cell r="AQ3354">
            <v>0</v>
          </cell>
          <cell r="AV3354">
            <v>18200000</v>
          </cell>
        </row>
        <row r="3355">
          <cell r="E3355" t="str">
            <v>T26000031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D26000863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D26000868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D26000876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T26000049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T26000056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B26001091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B26001121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B26001122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B26001127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D26001370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D26001592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B26001587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T26000126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B26001938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D26002043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D26002069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D26002083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D25017349</v>
          </cell>
          <cell r="AP3373">
            <v>0</v>
          </cell>
          <cell r="AQ3373">
            <v>0</v>
          </cell>
          <cell r="AV3373">
            <v>13400000</v>
          </cell>
        </row>
        <row r="3374">
          <cell r="E3374" t="str">
            <v>B26000144</v>
          </cell>
          <cell r="AP3374">
            <v>0</v>
          </cell>
          <cell r="AQ3374">
            <v>0</v>
          </cell>
          <cell r="AV3374">
            <v>9275000</v>
          </cell>
        </row>
        <row r="3375">
          <cell r="E3375" t="str">
            <v>D26000192</v>
          </cell>
          <cell r="AP3375">
            <v>0</v>
          </cell>
          <cell r="AQ3375">
            <v>0</v>
          </cell>
          <cell r="AV3375">
            <v>12530000</v>
          </cell>
        </row>
        <row r="3376">
          <cell r="E3376" t="str">
            <v>D26000588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D26000589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D26000800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D26000823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B26001342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B26001343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B26001522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B26001852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B26001853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D26002332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T26000134</v>
          </cell>
          <cell r="AP3386">
            <v>0</v>
          </cell>
          <cell r="AQ3386">
            <v>0</v>
          </cell>
          <cell r="AV3386">
            <v>4590000</v>
          </cell>
        </row>
        <row r="3387">
          <cell r="E3387" t="str">
            <v>D26001740</v>
          </cell>
          <cell r="AP3387">
            <v>0</v>
          </cell>
          <cell r="AQ3387">
            <v>0</v>
          </cell>
          <cell r="AV3387">
            <v>2200000</v>
          </cell>
        </row>
        <row r="3388">
          <cell r="E3388" t="str">
            <v>D26002045</v>
          </cell>
          <cell r="AP3388">
            <v>0</v>
          </cell>
          <cell r="AQ3388">
            <v>0</v>
          </cell>
          <cell r="AV3388">
            <v>4547500</v>
          </cell>
        </row>
        <row r="3389">
          <cell r="E3389" t="str">
            <v>B25015214</v>
          </cell>
          <cell r="AP3389">
            <v>0</v>
          </cell>
          <cell r="AQ3389">
            <v>0</v>
          </cell>
          <cell r="AV3389">
            <v>110000000</v>
          </cell>
        </row>
        <row r="3390">
          <cell r="E3390" t="str">
            <v>B25015214</v>
          </cell>
          <cell r="AP3390">
            <v>0</v>
          </cell>
          <cell r="AQ3390">
            <v>0</v>
          </cell>
          <cell r="AV3390">
            <v>4735000</v>
          </cell>
        </row>
        <row r="3391">
          <cell r="E3391" t="str">
            <v>B25015215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D25017683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B25015403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B25015712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B25015714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B25015862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B25015863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B25016045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B25016365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B25016370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D25018821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B25016386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B25016466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B25016695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B25016696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B25017117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B25017118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B26000110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B26000111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D26000050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D26000159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D26000160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T26000010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B26000174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D26000481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B26000547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B26000548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B26000549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B26000820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D26000934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D26001000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D26001001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D26001252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D26001253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D26001397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D26001406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B26001746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B26001747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B26001748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B26001749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B26001827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B26001828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B26001951</v>
          </cell>
          <cell r="AP3433">
            <v>0</v>
          </cell>
          <cell r="AQ3433">
            <v>0</v>
          </cell>
          <cell r="AV3433">
            <v>2840000</v>
          </cell>
        </row>
        <row r="3434">
          <cell r="E3434" t="str">
            <v>B25016758</v>
          </cell>
          <cell r="AP3434">
            <v>0</v>
          </cell>
          <cell r="AQ3434">
            <v>0</v>
          </cell>
          <cell r="AV3434">
            <v>18000000</v>
          </cell>
        </row>
        <row r="3435">
          <cell r="E3435" t="str">
            <v>D25019709</v>
          </cell>
          <cell r="AP3435">
            <v>0</v>
          </cell>
          <cell r="AQ3435">
            <v>0</v>
          </cell>
          <cell r="AV3435">
            <v>6250000</v>
          </cell>
        </row>
        <row r="3436">
          <cell r="E3436" t="str">
            <v>D26000706</v>
          </cell>
          <cell r="AP3436">
            <v>0</v>
          </cell>
          <cell r="AQ3436">
            <v>0</v>
          </cell>
          <cell r="AV3436">
            <v>25400000</v>
          </cell>
        </row>
        <row r="3437">
          <cell r="E3437" t="str">
            <v>T26000081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D26001293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D26001649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T26000107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B26001915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D26002335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D26002336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D25019163</v>
          </cell>
          <cell r="AP3444">
            <v>0</v>
          </cell>
          <cell r="AQ3444">
            <v>0</v>
          </cell>
          <cell r="AV3444">
            <v>39800000</v>
          </cell>
        </row>
        <row r="3445">
          <cell r="E3445" t="str">
            <v>B25016853</v>
          </cell>
          <cell r="AP3445">
            <v>0</v>
          </cell>
          <cell r="AQ3445">
            <v>0</v>
          </cell>
          <cell r="AV3445">
            <v>3300000</v>
          </cell>
        </row>
        <row r="3446">
          <cell r="E3446" t="str">
            <v>D26000411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D26000748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D26000966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B26001804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D26002103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D25018954</v>
          </cell>
          <cell r="AP3451">
            <v>0</v>
          </cell>
          <cell r="AQ3451">
            <v>0</v>
          </cell>
          <cell r="AV3451">
            <v>2000000</v>
          </cell>
        </row>
        <row r="3452">
          <cell r="E3452" t="str">
            <v>B26001208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B26001209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B25016542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B26001414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D26000532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D26001348</v>
          </cell>
          <cell r="AP3457">
            <v>0</v>
          </cell>
          <cell r="AQ3457">
            <v>0</v>
          </cell>
          <cell r="AV3457">
            <v>1600000</v>
          </cell>
        </row>
        <row r="3458">
          <cell r="E3458" t="str">
            <v>D26001348</v>
          </cell>
          <cell r="AP3458">
            <v>0</v>
          </cell>
          <cell r="AQ3458">
            <v>0</v>
          </cell>
          <cell r="AV3458">
            <v>1500000</v>
          </cell>
        </row>
        <row r="3459">
          <cell r="E3459" t="str">
            <v>D26001964</v>
          </cell>
          <cell r="AP3459">
            <v>0</v>
          </cell>
          <cell r="AQ3459">
            <v>0</v>
          </cell>
          <cell r="AV3459">
            <v>2670000</v>
          </cell>
        </row>
        <row r="3460">
          <cell r="E3460" t="str">
            <v>Z26000290</v>
          </cell>
          <cell r="AP3460">
            <v>0</v>
          </cell>
          <cell r="AQ3460">
            <v>0</v>
          </cell>
          <cell r="AV3460">
            <v>8280000</v>
          </cell>
        </row>
        <row r="3461">
          <cell r="E3461" t="str">
            <v>Z26000293</v>
          </cell>
          <cell r="AP3461">
            <v>0</v>
          </cell>
          <cell r="AQ3461">
            <v>0</v>
          </cell>
          <cell r="AV3461">
            <v>18300000</v>
          </cell>
        </row>
        <row r="3462">
          <cell r="E3462" t="str">
            <v>Z26000296</v>
          </cell>
          <cell r="AP3462">
            <v>0</v>
          </cell>
          <cell r="AQ3462">
            <v>0</v>
          </cell>
          <cell r="AV3462">
            <v>53300000</v>
          </cell>
        </row>
        <row r="3463">
          <cell r="E3463" t="str">
            <v>Z26000297</v>
          </cell>
          <cell r="AP3463">
            <v>0</v>
          </cell>
          <cell r="AQ3463">
            <v>0</v>
          </cell>
          <cell r="AV3463">
            <v>5820000</v>
          </cell>
        </row>
        <row r="3464">
          <cell r="E3464" t="str">
            <v>Z26000299</v>
          </cell>
          <cell r="AP3464">
            <v>0</v>
          </cell>
          <cell r="AQ3464">
            <v>0</v>
          </cell>
          <cell r="AV3464">
            <v>3500000</v>
          </cell>
        </row>
        <row r="3465">
          <cell r="E3465" t="str">
            <v>D26001805</v>
          </cell>
          <cell r="AP3465">
            <v>0</v>
          </cell>
          <cell r="AQ3465">
            <v>0</v>
          </cell>
          <cell r="AV3465">
            <v>8280000</v>
          </cell>
        </row>
        <row r="3466">
          <cell r="E3466" t="str">
            <v>Z26000308</v>
          </cell>
          <cell r="AP3466">
            <v>0</v>
          </cell>
          <cell r="AQ3466">
            <v>0</v>
          </cell>
          <cell r="AV3466">
            <v>570000</v>
          </cell>
        </row>
        <row r="3467">
          <cell r="E3467" t="str">
            <v>Z26000311</v>
          </cell>
          <cell r="AP3467">
            <v>0</v>
          </cell>
          <cell r="AQ3467">
            <v>0</v>
          </cell>
          <cell r="AV3467">
            <v>7968000</v>
          </cell>
        </row>
        <row r="3468">
          <cell r="E3468" t="str">
            <v>Z26000314</v>
          </cell>
          <cell r="AP3468">
            <v>0</v>
          </cell>
          <cell r="AQ3468">
            <v>0</v>
          </cell>
          <cell r="AV3468">
            <v>2420000</v>
          </cell>
        </row>
        <row r="3469">
          <cell r="E3469" t="str">
            <v>Z26000315</v>
          </cell>
          <cell r="AP3469">
            <v>0</v>
          </cell>
          <cell r="AQ3469">
            <v>0</v>
          </cell>
          <cell r="AV3469">
            <v>5520000</v>
          </cell>
        </row>
        <row r="3470">
          <cell r="E3470" t="str">
            <v>Z26000334</v>
          </cell>
          <cell r="AP3470">
            <v>0</v>
          </cell>
          <cell r="AQ3470">
            <v>0</v>
          </cell>
          <cell r="AV3470">
            <v>14200000</v>
          </cell>
        </row>
        <row r="3471">
          <cell r="E3471" t="str">
            <v>Z26000339</v>
          </cell>
          <cell r="AP3471">
            <v>0</v>
          </cell>
          <cell r="AQ3471">
            <v>0</v>
          </cell>
          <cell r="AV3471">
            <v>3200000</v>
          </cell>
        </row>
        <row r="3472">
          <cell r="E3472" t="str">
            <v>Z26000340</v>
          </cell>
          <cell r="AP3472">
            <v>0</v>
          </cell>
          <cell r="AQ3472">
            <v>0</v>
          </cell>
          <cell r="AV3472">
            <v>2420000</v>
          </cell>
        </row>
        <row r="3473">
          <cell r="E3473" t="str">
            <v>Z26000341</v>
          </cell>
          <cell r="AP3473">
            <v>0</v>
          </cell>
          <cell r="AQ3473">
            <v>0</v>
          </cell>
          <cell r="AV3473">
            <v>18300000</v>
          </cell>
        </row>
        <row r="3474">
          <cell r="E3474" t="str">
            <v>Z26000342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Z26000342</v>
          </cell>
          <cell r="AP3475">
            <v>0</v>
          </cell>
          <cell r="AQ3475">
            <v>0</v>
          </cell>
          <cell r="AV3475">
            <v>39020000</v>
          </cell>
        </row>
        <row r="3476">
          <cell r="E3476" t="str">
            <v>B26001848</v>
          </cell>
          <cell r="AP3476">
            <v>0</v>
          </cell>
          <cell r="AQ3476">
            <v>0</v>
          </cell>
          <cell r="AV3476">
            <v>5700000</v>
          </cell>
        </row>
        <row r="3477">
          <cell r="E3477" t="str">
            <v>Z26000346</v>
          </cell>
          <cell r="AP3477">
            <v>0</v>
          </cell>
          <cell r="AQ3477">
            <v>0</v>
          </cell>
          <cell r="AV3477">
            <v>2630000</v>
          </cell>
        </row>
        <row r="3478">
          <cell r="E3478" t="str">
            <v>Z26000347</v>
          </cell>
          <cell r="AP3478">
            <v>0</v>
          </cell>
          <cell r="AQ3478">
            <v>0</v>
          </cell>
          <cell r="AV3478">
            <v>3400000</v>
          </cell>
        </row>
        <row r="3479">
          <cell r="E3479" t="str">
            <v>Z26000350</v>
          </cell>
          <cell r="AP3479">
            <v>0</v>
          </cell>
          <cell r="AQ3479">
            <v>0</v>
          </cell>
          <cell r="AV3479">
            <v>10980000</v>
          </cell>
        </row>
        <row r="3480">
          <cell r="E3480" t="str">
            <v>Z26000351</v>
          </cell>
          <cell r="AP3480">
            <v>0</v>
          </cell>
          <cell r="AQ3480">
            <v>0</v>
          </cell>
          <cell r="AV3480">
            <v>1060000</v>
          </cell>
        </row>
        <row r="3481">
          <cell r="E3481" t="str">
            <v>Z26000353</v>
          </cell>
          <cell r="AP3481">
            <v>0</v>
          </cell>
          <cell r="AQ3481">
            <v>0</v>
          </cell>
          <cell r="AV3481">
            <v>11400000</v>
          </cell>
        </row>
        <row r="3482">
          <cell r="E3482" t="str">
            <v>Z26000355</v>
          </cell>
          <cell r="AP3482">
            <v>0</v>
          </cell>
          <cell r="AQ3482">
            <v>0</v>
          </cell>
          <cell r="AV3482">
            <v>22600000</v>
          </cell>
        </row>
        <row r="3483">
          <cell r="E3483" t="str">
            <v>Z26000356</v>
          </cell>
          <cell r="AP3483">
            <v>0</v>
          </cell>
          <cell r="AQ3483">
            <v>0</v>
          </cell>
          <cell r="AV3483">
            <v>4859000</v>
          </cell>
        </row>
        <row r="3484">
          <cell r="E3484" t="str">
            <v>Z26000360</v>
          </cell>
          <cell r="AP3484">
            <v>0</v>
          </cell>
          <cell r="AQ3484">
            <v>0</v>
          </cell>
          <cell r="AV3484">
            <v>8300000</v>
          </cell>
        </row>
        <row r="3485">
          <cell r="E3485" t="str">
            <v>Z26000361</v>
          </cell>
          <cell r="AP3485">
            <v>0</v>
          </cell>
          <cell r="AQ3485">
            <v>0</v>
          </cell>
          <cell r="AV3485">
            <v>46233600</v>
          </cell>
        </row>
        <row r="3486">
          <cell r="E3486" t="str">
            <v>Z26000362</v>
          </cell>
          <cell r="AP3486">
            <v>0</v>
          </cell>
          <cell r="AQ3486">
            <v>0</v>
          </cell>
          <cell r="AV3486">
            <v>49800000</v>
          </cell>
        </row>
        <row r="3487">
          <cell r="E3487" t="str">
            <v>Z26000363</v>
          </cell>
          <cell r="AP3487">
            <v>0</v>
          </cell>
          <cell r="AQ3487">
            <v>0</v>
          </cell>
          <cell r="AV3487">
            <v>193175000</v>
          </cell>
        </row>
        <row r="3488">
          <cell r="E3488" t="str">
            <v>Z26000364</v>
          </cell>
          <cell r="AP3488">
            <v>0</v>
          </cell>
          <cell r="AQ3488">
            <v>0</v>
          </cell>
          <cell r="AV3488">
            <v>25200000</v>
          </cell>
        </row>
        <row r="3489">
          <cell r="E3489" t="str">
            <v>Z26000365</v>
          </cell>
          <cell r="AP3489">
            <v>0</v>
          </cell>
          <cell r="AQ3489">
            <v>0</v>
          </cell>
          <cell r="AV3489">
            <v>7890000</v>
          </cell>
        </row>
        <row r="3490">
          <cell r="E3490" t="str">
            <v>Z26000366</v>
          </cell>
          <cell r="AP3490">
            <v>0</v>
          </cell>
          <cell r="AQ3490">
            <v>0</v>
          </cell>
          <cell r="AV3490">
            <v>3200000</v>
          </cell>
        </row>
        <row r="3491">
          <cell r="E3491" t="str">
            <v>Z26000391</v>
          </cell>
          <cell r="AP3491">
            <v>0</v>
          </cell>
          <cell r="AQ3491">
            <v>0</v>
          </cell>
          <cell r="AV3491">
            <v>30240000</v>
          </cell>
        </row>
        <row r="3492">
          <cell r="E3492" t="str">
            <v>Z26000395</v>
          </cell>
          <cell r="AP3492">
            <v>0</v>
          </cell>
          <cell r="AQ3492">
            <v>0</v>
          </cell>
          <cell r="AV3492">
            <v>9800000</v>
          </cell>
        </row>
        <row r="3493">
          <cell r="E3493" t="str">
            <v>Z26000416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Z26000417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Z26000425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Z26000431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B25014986</v>
          </cell>
          <cell r="AP3497">
            <v>0</v>
          </cell>
          <cell r="AQ3497">
            <v>0</v>
          </cell>
          <cell r="AV3497">
            <v>100000000</v>
          </cell>
        </row>
        <row r="3498">
          <cell r="E3498" t="str">
            <v>D25019317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D25019601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D26000157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D26000158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B26000947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B26000948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B26000966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B26001118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B26001119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B26001249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B26001250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B26001475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B26001478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B26001642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B26001643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D26001961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D26001962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D25015134</v>
          </cell>
          <cell r="AP3515">
            <v>0</v>
          </cell>
          <cell r="AQ3515">
            <v>0</v>
          </cell>
          <cell r="AV3515">
            <v>12582500</v>
          </cell>
        </row>
        <row r="3516">
          <cell r="E3516" t="str">
            <v>D25015237</v>
          </cell>
          <cell r="AP3516">
            <v>0</v>
          </cell>
          <cell r="AQ3516">
            <v>0</v>
          </cell>
          <cell r="AV3516">
            <v>5360000</v>
          </cell>
        </row>
        <row r="3517">
          <cell r="E3517" t="str">
            <v>B25012977</v>
          </cell>
          <cell r="AP3517">
            <v>0</v>
          </cell>
          <cell r="AQ3517">
            <v>0</v>
          </cell>
          <cell r="AV3517">
            <v>2057500</v>
          </cell>
        </row>
        <row r="3518">
          <cell r="E3518" t="str">
            <v>B25012977</v>
          </cell>
          <cell r="AP3518">
            <v>0</v>
          </cell>
          <cell r="AQ3518">
            <v>0</v>
          </cell>
          <cell r="AV3518">
            <v>1442500</v>
          </cell>
        </row>
        <row r="3519">
          <cell r="E3519" t="str">
            <v>D25015318</v>
          </cell>
          <cell r="AP3519">
            <v>0</v>
          </cell>
          <cell r="AQ3519">
            <v>0</v>
          </cell>
          <cell r="AV3519">
            <v>3557500</v>
          </cell>
        </row>
        <row r="3520">
          <cell r="E3520" t="str">
            <v>D25015318</v>
          </cell>
          <cell r="AP3520">
            <v>0</v>
          </cell>
          <cell r="AQ3520">
            <v>0</v>
          </cell>
          <cell r="AV3520">
            <v>3642500</v>
          </cell>
        </row>
        <row r="3521">
          <cell r="E3521" t="str">
            <v>T25001535</v>
          </cell>
          <cell r="AP3521">
            <v>0</v>
          </cell>
          <cell r="AQ3521">
            <v>0</v>
          </cell>
          <cell r="AV3521">
            <v>2650000</v>
          </cell>
        </row>
        <row r="3522">
          <cell r="E3522" t="str">
            <v>T25001567</v>
          </cell>
          <cell r="AP3522">
            <v>0</v>
          </cell>
          <cell r="AQ3522">
            <v>0</v>
          </cell>
          <cell r="AV3522">
            <v>7100000</v>
          </cell>
        </row>
        <row r="3523">
          <cell r="E3523" t="str">
            <v>D25016827</v>
          </cell>
          <cell r="AP3523">
            <v>0</v>
          </cell>
          <cell r="AQ3523">
            <v>0</v>
          </cell>
          <cell r="AV3523">
            <v>2250000</v>
          </cell>
        </row>
        <row r="3524">
          <cell r="E3524" t="str">
            <v>D25017607</v>
          </cell>
          <cell r="AP3524">
            <v>0</v>
          </cell>
          <cell r="AQ3524">
            <v>0</v>
          </cell>
          <cell r="AV3524">
            <v>6450000</v>
          </cell>
        </row>
        <row r="3525">
          <cell r="E3525" t="str">
            <v>D25017620</v>
          </cell>
          <cell r="AP3525">
            <v>0</v>
          </cell>
          <cell r="AQ3525">
            <v>0</v>
          </cell>
          <cell r="AV3525">
            <v>8640000</v>
          </cell>
        </row>
        <row r="3526">
          <cell r="E3526" t="str">
            <v>D25017774</v>
          </cell>
          <cell r="AP3526">
            <v>0</v>
          </cell>
          <cell r="AQ3526">
            <v>0</v>
          </cell>
          <cell r="AV3526">
            <v>3000000</v>
          </cell>
        </row>
        <row r="3527">
          <cell r="E3527" t="str">
            <v>D25018154</v>
          </cell>
          <cell r="AP3527">
            <v>0</v>
          </cell>
          <cell r="AQ3527">
            <v>0</v>
          </cell>
          <cell r="AV3527">
            <v>1900000</v>
          </cell>
        </row>
        <row r="3528">
          <cell r="E3528" t="str">
            <v>B25016005</v>
          </cell>
          <cell r="AP3528">
            <v>0</v>
          </cell>
          <cell r="AQ3528">
            <v>0</v>
          </cell>
          <cell r="AV3528">
            <v>157500</v>
          </cell>
        </row>
        <row r="3529">
          <cell r="E3529" t="str">
            <v>B25016005</v>
          </cell>
          <cell r="AP3529">
            <v>0</v>
          </cell>
          <cell r="AQ3529">
            <v>0</v>
          </cell>
          <cell r="AV3529">
            <v>2592500</v>
          </cell>
        </row>
        <row r="3530">
          <cell r="E3530" t="str">
            <v>D25018740</v>
          </cell>
          <cell r="AP3530">
            <v>0</v>
          </cell>
          <cell r="AQ3530">
            <v>0</v>
          </cell>
          <cell r="AV3530">
            <v>23115000</v>
          </cell>
        </row>
        <row r="3531">
          <cell r="E3531" t="str">
            <v>B25016651</v>
          </cell>
          <cell r="AP3531">
            <v>0</v>
          </cell>
          <cell r="AQ3531">
            <v>0</v>
          </cell>
          <cell r="AV3531">
            <v>472500</v>
          </cell>
        </row>
        <row r="3532">
          <cell r="E3532" t="str">
            <v>D25019319</v>
          </cell>
          <cell r="AP3532">
            <v>0</v>
          </cell>
          <cell r="AQ3532">
            <v>0</v>
          </cell>
          <cell r="AV3532">
            <v>2750000</v>
          </cell>
        </row>
        <row r="3533">
          <cell r="E3533" t="str">
            <v>D25019704</v>
          </cell>
          <cell r="AP3533">
            <v>0</v>
          </cell>
          <cell r="AQ3533">
            <v>0</v>
          </cell>
          <cell r="AV3533">
            <v>5280000</v>
          </cell>
        </row>
        <row r="3534">
          <cell r="E3534" t="str">
            <v>B26000642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D26000695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B26000765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D26001107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D26001255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D26001507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B26001502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D26002281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D26002367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D26002420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T25001562k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B25016773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B25016778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B26000578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B26000657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D26000766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B26001187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D26001270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D26001401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D26001431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D26002165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B26002176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B26000978</v>
          </cell>
          <cell r="AP3556">
            <v>0</v>
          </cell>
          <cell r="AQ3556">
            <v>0</v>
          </cell>
          <cell r="AV3556">
            <v>1000000</v>
          </cell>
        </row>
        <row r="3557">
          <cell r="E3557" t="str">
            <v>T26000067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T25001828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T25001833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B26000222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B26001178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B26001179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D26001703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T25001654</v>
          </cell>
          <cell r="AP3564">
            <v>0</v>
          </cell>
          <cell r="AQ3564">
            <v>0</v>
          </cell>
          <cell r="AV3564">
            <v>2792500</v>
          </cell>
        </row>
        <row r="3565">
          <cell r="E3565" t="str">
            <v>T25001690</v>
          </cell>
          <cell r="AP3565">
            <v>0</v>
          </cell>
          <cell r="AQ3565">
            <v>0</v>
          </cell>
          <cell r="AV3565">
            <v>1040000</v>
          </cell>
        </row>
        <row r="3566">
          <cell r="E3566" t="str">
            <v>T25001745</v>
          </cell>
          <cell r="AP3566">
            <v>0</v>
          </cell>
          <cell r="AQ3566">
            <v>0</v>
          </cell>
          <cell r="AV3566">
            <v>167500</v>
          </cell>
        </row>
        <row r="3567">
          <cell r="E3567" t="str">
            <v>B25015470</v>
          </cell>
          <cell r="AP3567">
            <v>0</v>
          </cell>
          <cell r="AQ3567">
            <v>0</v>
          </cell>
          <cell r="AV3567">
            <v>2400000</v>
          </cell>
        </row>
        <row r="3568">
          <cell r="E3568">
            <v>250207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>
            <v>250207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B25017090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B26000159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D26000121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T26000008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D26000439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D26000742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T26000037K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T26000087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D26001362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T26000111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B26002145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D26002235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T26000154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B26002224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B26002225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B26002286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B26002287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B26001967</v>
          </cell>
          <cell r="AP3587">
            <v>0</v>
          </cell>
          <cell r="AQ3587">
            <v>0</v>
          </cell>
          <cell r="AV3587">
            <v>5935000</v>
          </cell>
        </row>
        <row r="3588">
          <cell r="E3588" t="str">
            <v>B26001968</v>
          </cell>
          <cell r="AP3588">
            <v>0</v>
          </cell>
          <cell r="AQ3588">
            <v>0</v>
          </cell>
          <cell r="AV3588">
            <v>3200000</v>
          </cell>
        </row>
        <row r="3589">
          <cell r="E3589" t="str">
            <v>B26001969</v>
          </cell>
          <cell r="AP3589">
            <v>0</v>
          </cell>
          <cell r="AQ3589">
            <v>0</v>
          </cell>
          <cell r="AV3589">
            <v>250000</v>
          </cell>
        </row>
        <row r="3590">
          <cell r="E3590" t="str">
            <v>B25014948</v>
          </cell>
          <cell r="AP3590">
            <v>0</v>
          </cell>
          <cell r="AQ3590">
            <v>0</v>
          </cell>
          <cell r="AV3590">
            <v>362340000</v>
          </cell>
        </row>
        <row r="3591">
          <cell r="E3591" t="str">
            <v>D25018257</v>
          </cell>
          <cell r="AP3591">
            <v>0</v>
          </cell>
          <cell r="AQ3591">
            <v>0</v>
          </cell>
          <cell r="AV3591">
            <v>127500000</v>
          </cell>
        </row>
        <row r="3592">
          <cell r="E3592" t="str">
            <v>B25015870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B25016191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B25016709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D26000546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D26000623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D26001522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R26000001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T25001576</v>
          </cell>
          <cell r="AP3599">
            <v>0</v>
          </cell>
          <cell r="AQ3599">
            <v>0</v>
          </cell>
          <cell r="AV3599">
            <v>2500000</v>
          </cell>
        </row>
        <row r="3600">
          <cell r="E3600" t="str">
            <v>T25001576</v>
          </cell>
          <cell r="AP3600">
            <v>0</v>
          </cell>
          <cell r="AQ3600">
            <v>0</v>
          </cell>
          <cell r="AV3600">
            <v>2000000</v>
          </cell>
        </row>
        <row r="3601">
          <cell r="E3601" t="str">
            <v>B25014771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B25015904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D25019221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T26000072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T26000075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B26002165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T26000159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B26001333</v>
          </cell>
          <cell r="AP3608">
            <v>0</v>
          </cell>
          <cell r="AQ3608">
            <v>0</v>
          </cell>
          <cell r="AV3608">
            <v>5720000</v>
          </cell>
        </row>
        <row r="3609">
          <cell r="E3609" t="str">
            <v>B26001682</v>
          </cell>
          <cell r="AP3609">
            <v>0</v>
          </cell>
          <cell r="AQ3609">
            <v>0</v>
          </cell>
          <cell r="AV3609">
            <v>350000</v>
          </cell>
        </row>
        <row r="3610">
          <cell r="E3610" t="str">
            <v>D26000750</v>
          </cell>
          <cell r="AP3610">
            <v>0</v>
          </cell>
          <cell r="AQ3610">
            <v>0</v>
          </cell>
          <cell r="AV3610">
            <v>4919475</v>
          </cell>
        </row>
        <row r="3611">
          <cell r="E3611" t="str">
            <v>D26000851</v>
          </cell>
          <cell r="AP3611">
            <v>0</v>
          </cell>
          <cell r="AQ3611">
            <v>0</v>
          </cell>
          <cell r="AV3611">
            <v>10412500</v>
          </cell>
        </row>
        <row r="3612">
          <cell r="E3612" t="str">
            <v>D26001010</v>
          </cell>
          <cell r="AP3612">
            <v>0</v>
          </cell>
          <cell r="AQ3612">
            <v>0</v>
          </cell>
          <cell r="AV3612">
            <v>14668025</v>
          </cell>
        </row>
        <row r="3613">
          <cell r="E3613" t="str">
            <v>D26001010</v>
          </cell>
          <cell r="AP3613">
            <v>0</v>
          </cell>
          <cell r="AQ3613">
            <v>0</v>
          </cell>
          <cell r="AV3613">
            <v>16000000</v>
          </cell>
        </row>
        <row r="3614">
          <cell r="E3614" t="str">
            <v>D26001589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B26002185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Z25003250</v>
          </cell>
          <cell r="AP3616">
            <v>0</v>
          </cell>
          <cell r="AQ3616">
            <v>0</v>
          </cell>
          <cell r="AV3616">
            <v>30000000</v>
          </cell>
        </row>
        <row r="3617">
          <cell r="E3617" t="str">
            <v>D25015849</v>
          </cell>
          <cell r="AP3617">
            <v>0</v>
          </cell>
          <cell r="AQ3617">
            <v>0</v>
          </cell>
          <cell r="AV3617">
            <v>6916800</v>
          </cell>
        </row>
        <row r="3618">
          <cell r="E3618">
            <v>250144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>
            <v>250144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>
            <v>250149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B25014405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B25015908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D25018315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D25018762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D25018851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B25016978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B25017020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D25019626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B26000278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B26000628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B26000074</v>
          </cell>
          <cell r="AP3631">
            <v>0</v>
          </cell>
          <cell r="AQ3631">
            <v>0</v>
          </cell>
          <cell r="AV3631">
            <v>1179500</v>
          </cell>
        </row>
        <row r="3632">
          <cell r="E3632" t="str">
            <v>B26000533</v>
          </cell>
          <cell r="AP3632">
            <v>0</v>
          </cell>
          <cell r="AQ3632">
            <v>0</v>
          </cell>
          <cell r="AV3632">
            <v>1152000</v>
          </cell>
        </row>
        <row r="3633">
          <cell r="E3633" t="str">
            <v>D26001597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D26002359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D25017597</v>
          </cell>
          <cell r="AP3635">
            <v>0</v>
          </cell>
          <cell r="AQ3635">
            <v>0</v>
          </cell>
          <cell r="AV3635">
            <v>15440000</v>
          </cell>
        </row>
        <row r="3636">
          <cell r="E3636" t="str">
            <v>D25019506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B26001471</v>
          </cell>
          <cell r="AP3637">
            <v>0</v>
          </cell>
          <cell r="AQ3637">
            <v>0</v>
          </cell>
          <cell r="AV3637">
            <v>42000000</v>
          </cell>
        </row>
        <row r="3638">
          <cell r="E3638" t="str">
            <v>B26001703</v>
          </cell>
          <cell r="AP3638">
            <v>0</v>
          </cell>
          <cell r="AQ3638">
            <v>0</v>
          </cell>
          <cell r="AV3638">
            <v>10000000</v>
          </cell>
        </row>
        <row r="3639">
          <cell r="E3639" t="str">
            <v>B26001703</v>
          </cell>
          <cell r="AP3639">
            <v>0</v>
          </cell>
          <cell r="AQ3639">
            <v>0</v>
          </cell>
          <cell r="AV3639">
            <v>8000000</v>
          </cell>
        </row>
        <row r="3640">
          <cell r="E3640" t="str">
            <v>T25001473</v>
          </cell>
          <cell r="AP3640">
            <v>0</v>
          </cell>
          <cell r="AQ3640">
            <v>0</v>
          </cell>
          <cell r="AV3640">
            <v>1700000</v>
          </cell>
        </row>
        <row r="3641">
          <cell r="E3641" t="str">
            <v>T25001831</v>
          </cell>
          <cell r="AP3641">
            <v>0</v>
          </cell>
          <cell r="AQ3641">
            <v>0</v>
          </cell>
          <cell r="AV3641">
            <v>2575000</v>
          </cell>
        </row>
        <row r="3642">
          <cell r="E3642" t="str">
            <v>D25019065</v>
          </cell>
          <cell r="AP3642">
            <v>0</v>
          </cell>
          <cell r="AQ3642">
            <v>0</v>
          </cell>
          <cell r="AV3642">
            <v>2700000</v>
          </cell>
        </row>
        <row r="3643">
          <cell r="E3643" t="str">
            <v>D25019213</v>
          </cell>
          <cell r="AP3643">
            <v>0</v>
          </cell>
          <cell r="AQ3643">
            <v>0</v>
          </cell>
          <cell r="AV3643">
            <v>1900000</v>
          </cell>
        </row>
        <row r="3644">
          <cell r="E3644" t="str">
            <v>D25019332</v>
          </cell>
          <cell r="AP3644">
            <v>0</v>
          </cell>
          <cell r="AQ3644">
            <v>0</v>
          </cell>
          <cell r="AV3644">
            <v>9800000</v>
          </cell>
        </row>
        <row r="3645">
          <cell r="E3645" t="str">
            <v>D25019445</v>
          </cell>
          <cell r="AP3645">
            <v>0</v>
          </cell>
          <cell r="AQ3645">
            <v>0</v>
          </cell>
          <cell r="AV3645">
            <v>5925000</v>
          </cell>
        </row>
        <row r="3646">
          <cell r="E3646" t="str">
            <v>D25019683</v>
          </cell>
          <cell r="AP3646">
            <v>0</v>
          </cell>
          <cell r="AQ3646">
            <v>0</v>
          </cell>
          <cell r="AV3646">
            <v>5400000</v>
          </cell>
        </row>
        <row r="3647">
          <cell r="E3647" t="str">
            <v>D26000422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B26000426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B26000457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B26000596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D26000936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D26001127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D26001360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B26001653</v>
          </cell>
          <cell r="AP3654">
            <v>0</v>
          </cell>
          <cell r="AQ3654">
            <v>0</v>
          </cell>
          <cell r="AV3654">
            <v>12000000</v>
          </cell>
        </row>
        <row r="3655">
          <cell r="E3655" t="str">
            <v>B26002014</v>
          </cell>
          <cell r="AP3655">
            <v>0</v>
          </cell>
          <cell r="AQ3655">
            <v>0</v>
          </cell>
          <cell r="AV3655">
            <v>33600000</v>
          </cell>
        </row>
        <row r="3656">
          <cell r="E3656" t="str">
            <v>D26002208</v>
          </cell>
          <cell r="AP3656">
            <v>0</v>
          </cell>
          <cell r="AQ3656">
            <v>0</v>
          </cell>
          <cell r="AV3656">
            <v>5600000</v>
          </cell>
        </row>
        <row r="3657">
          <cell r="E3657" t="str">
            <v>D26002314</v>
          </cell>
          <cell r="AP3657">
            <v>0</v>
          </cell>
          <cell r="AQ3657">
            <v>0</v>
          </cell>
          <cell r="AV3657">
            <v>75520000</v>
          </cell>
        </row>
        <row r="3658">
          <cell r="E3658" t="str">
            <v>D26002314</v>
          </cell>
          <cell r="AP3658">
            <v>0</v>
          </cell>
          <cell r="AQ3658">
            <v>0</v>
          </cell>
          <cell r="AV3658">
            <v>20480000</v>
          </cell>
        </row>
        <row r="3659">
          <cell r="E3659" t="str">
            <v>B26002232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D26002398</v>
          </cell>
          <cell r="AP3660">
            <v>0</v>
          </cell>
          <cell r="AQ3660">
            <v>0</v>
          </cell>
          <cell r="AV3660">
            <v>9520000</v>
          </cell>
        </row>
        <row r="3661">
          <cell r="E3661" t="str">
            <v>T25001873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D25019628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D25019721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B26000452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D26001889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B26001976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B26002260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B26001908</v>
          </cell>
          <cell r="AP3668">
            <v>0</v>
          </cell>
          <cell r="AQ3668">
            <v>0</v>
          </cell>
          <cell r="AV3668">
            <v>10000000</v>
          </cell>
        </row>
        <row r="3669">
          <cell r="E3669" t="str">
            <v>T25001857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D26002005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B25016933</v>
          </cell>
          <cell r="AP3671">
            <v>0</v>
          </cell>
          <cell r="AQ3671">
            <v>0</v>
          </cell>
          <cell r="AV3671">
            <v>980000</v>
          </cell>
        </row>
        <row r="3672">
          <cell r="E3672" t="str">
            <v>D26000881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D26000954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D26000956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B26001363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B26002106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B26002108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B26002109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B26000488</v>
          </cell>
          <cell r="AP3679">
            <v>0</v>
          </cell>
          <cell r="AQ3679">
            <v>0</v>
          </cell>
          <cell r="AV3679">
            <v>4330000</v>
          </cell>
        </row>
        <row r="3680">
          <cell r="E3680" t="str">
            <v>D26001734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D26001735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B25016727</v>
          </cell>
          <cell r="AP3682">
            <v>0</v>
          </cell>
          <cell r="AQ3682">
            <v>0</v>
          </cell>
          <cell r="AV3682">
            <v>3960000</v>
          </cell>
        </row>
        <row r="3683">
          <cell r="E3683" t="str">
            <v>B26000129</v>
          </cell>
          <cell r="AP3683">
            <v>0</v>
          </cell>
          <cell r="AQ3683">
            <v>0</v>
          </cell>
          <cell r="AV3683">
            <v>2160000</v>
          </cell>
        </row>
        <row r="3684">
          <cell r="E3684" t="str">
            <v>B26000158</v>
          </cell>
          <cell r="AP3684">
            <v>0</v>
          </cell>
          <cell r="AQ3684">
            <v>0</v>
          </cell>
          <cell r="AV3684">
            <v>18120000</v>
          </cell>
        </row>
        <row r="3685">
          <cell r="E3685" t="str">
            <v>D26000198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D26000503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D26000716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D26000724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B26001025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D26001525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D26001590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B26001732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B26002038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B26001832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B26000447</v>
          </cell>
          <cell r="AP3695">
            <v>0</v>
          </cell>
          <cell r="AQ3695">
            <v>0</v>
          </cell>
          <cell r="AV3695">
            <v>9930000</v>
          </cell>
        </row>
        <row r="3696">
          <cell r="E3696" t="str">
            <v>D26001937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B26001877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B26001919</v>
          </cell>
          <cell r="AP3698">
            <v>0</v>
          </cell>
          <cell r="AQ3698">
            <v>0</v>
          </cell>
          <cell r="AV3698">
            <v>3840000</v>
          </cell>
        </row>
        <row r="3699">
          <cell r="E3699" t="str">
            <v>B26002085</v>
          </cell>
          <cell r="AP3699">
            <v>0</v>
          </cell>
          <cell r="AQ3699">
            <v>0</v>
          </cell>
          <cell r="AV3699">
            <v>19200000</v>
          </cell>
        </row>
        <row r="3700">
          <cell r="E3700" t="str">
            <v>B26002147</v>
          </cell>
          <cell r="AP3700">
            <v>0</v>
          </cell>
          <cell r="AQ3700">
            <v>0</v>
          </cell>
          <cell r="AV3700">
            <v>14040000</v>
          </cell>
        </row>
        <row r="3701">
          <cell r="E3701" t="str">
            <v>B26002147</v>
          </cell>
          <cell r="AP3701">
            <v>0</v>
          </cell>
          <cell r="AQ3701">
            <v>0</v>
          </cell>
          <cell r="AV3701">
            <v>5160000</v>
          </cell>
        </row>
        <row r="3702">
          <cell r="E3702" t="str">
            <v>B25016334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B25016529</v>
          </cell>
          <cell r="AP3703">
            <v>0</v>
          </cell>
          <cell r="AQ3703">
            <v>0</v>
          </cell>
          <cell r="AV3703">
            <v>10000000</v>
          </cell>
        </row>
        <row r="3704">
          <cell r="E3704" t="str">
            <v>B25016529</v>
          </cell>
          <cell r="AP3704">
            <v>0</v>
          </cell>
          <cell r="AQ3704">
            <v>0</v>
          </cell>
          <cell r="AV3704">
            <v>10000000</v>
          </cell>
        </row>
        <row r="3705">
          <cell r="E3705" t="str">
            <v>B26000414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B26001424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B26002026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B26002098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B26001671</v>
          </cell>
          <cell r="AP3709">
            <v>0</v>
          </cell>
          <cell r="AQ3709">
            <v>0</v>
          </cell>
          <cell r="AV3709">
            <v>26380000</v>
          </cell>
        </row>
        <row r="3710">
          <cell r="E3710" t="str">
            <v>D25018644</v>
          </cell>
          <cell r="AP3710">
            <v>0</v>
          </cell>
          <cell r="AQ3710">
            <v>0</v>
          </cell>
          <cell r="AV3710">
            <v>10000000</v>
          </cell>
        </row>
        <row r="3711">
          <cell r="E3711" t="str">
            <v>D25018644</v>
          </cell>
          <cell r="AP3711">
            <v>0</v>
          </cell>
          <cell r="AQ3711">
            <v>0</v>
          </cell>
          <cell r="AV3711">
            <v>2760000</v>
          </cell>
        </row>
        <row r="3712">
          <cell r="E3712" t="str">
            <v>D25019241</v>
          </cell>
          <cell r="AP3712">
            <v>0</v>
          </cell>
          <cell r="AQ3712">
            <v>0</v>
          </cell>
          <cell r="AV3712">
            <v>7240000</v>
          </cell>
        </row>
        <row r="3713">
          <cell r="E3713" t="str">
            <v>B25017119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D26000410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B26001140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B26001505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B26002099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B26002119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D25016662</v>
          </cell>
          <cell r="AP3719">
            <v>0</v>
          </cell>
          <cell r="AQ3719">
            <v>0</v>
          </cell>
          <cell r="AV3719">
            <v>1125000</v>
          </cell>
        </row>
        <row r="3720">
          <cell r="E3720" t="str">
            <v>B25014446</v>
          </cell>
          <cell r="AP3720">
            <v>0</v>
          </cell>
          <cell r="AQ3720">
            <v>0</v>
          </cell>
          <cell r="AV3720">
            <v>4510000</v>
          </cell>
        </row>
        <row r="3721">
          <cell r="E3721" t="str">
            <v>B25014447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D25019693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D26000787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B26001474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B26002102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B26000338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B26000339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B26000340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B26001085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B26001133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D26000958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D26000959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D26001641</v>
          </cell>
          <cell r="AP3733">
            <v>0</v>
          </cell>
          <cell r="AQ3733">
            <v>0</v>
          </cell>
          <cell r="AV3733">
            <v>148000000</v>
          </cell>
        </row>
        <row r="3734">
          <cell r="E3734" t="str">
            <v>D26001997</v>
          </cell>
          <cell r="AP3734">
            <v>0</v>
          </cell>
          <cell r="AQ3734">
            <v>0</v>
          </cell>
          <cell r="AV3734">
            <v>152000000</v>
          </cell>
        </row>
        <row r="3735">
          <cell r="E3735" t="str">
            <v>D25019256</v>
          </cell>
          <cell r="AP3735">
            <v>0</v>
          </cell>
          <cell r="AQ3735">
            <v>0</v>
          </cell>
          <cell r="AV3735">
            <v>566500000</v>
          </cell>
        </row>
        <row r="3736">
          <cell r="E3736" t="str">
            <v>B25016895</v>
          </cell>
          <cell r="AP3736">
            <v>0</v>
          </cell>
          <cell r="AQ3736">
            <v>0</v>
          </cell>
          <cell r="AV3736">
            <v>103000000</v>
          </cell>
        </row>
        <row r="3737">
          <cell r="E3737" t="str">
            <v>D26000225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D26001335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D26002318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D26000248</v>
          </cell>
          <cell r="AP3740">
            <v>0</v>
          </cell>
          <cell r="AQ3740">
            <v>0</v>
          </cell>
          <cell r="AV3740">
            <v>94000000</v>
          </cell>
        </row>
        <row r="3741">
          <cell r="E3741" t="str">
            <v>D25017916</v>
          </cell>
          <cell r="AP3741">
            <v>0</v>
          </cell>
          <cell r="AQ3741">
            <v>0</v>
          </cell>
          <cell r="AV3741">
            <v>2125000</v>
          </cell>
        </row>
        <row r="3742">
          <cell r="E3742" t="str">
            <v>T25001762</v>
          </cell>
          <cell r="AP3742">
            <v>500</v>
          </cell>
          <cell r="AQ3742">
            <v>0</v>
          </cell>
          <cell r="AV3742">
            <v>823000</v>
          </cell>
        </row>
        <row r="3743">
          <cell r="E3743" t="str">
            <v>B25016635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T25001862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T26000045k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D26001958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D26001959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B26002222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D21000994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D25015293</v>
          </cell>
          <cell r="AP3750">
            <v>0</v>
          </cell>
          <cell r="AQ3750">
            <v>0</v>
          </cell>
          <cell r="AV3750">
            <v>47000000</v>
          </cell>
        </row>
        <row r="3751">
          <cell r="E3751" t="str">
            <v>D25015583</v>
          </cell>
          <cell r="AP3751">
            <v>0</v>
          </cell>
          <cell r="AQ3751">
            <v>0</v>
          </cell>
          <cell r="AV3751">
            <v>56150000</v>
          </cell>
        </row>
        <row r="3752">
          <cell r="E3752" t="str">
            <v>D25015583</v>
          </cell>
          <cell r="AP3752">
            <v>0</v>
          </cell>
          <cell r="AQ3752">
            <v>0</v>
          </cell>
          <cell r="AV3752">
            <v>50000</v>
          </cell>
        </row>
        <row r="3753">
          <cell r="E3753" t="str">
            <v>D25016141</v>
          </cell>
          <cell r="AP3753">
            <v>0</v>
          </cell>
          <cell r="AQ3753">
            <v>0</v>
          </cell>
          <cell r="AV3753">
            <v>4000000</v>
          </cell>
        </row>
        <row r="3754">
          <cell r="E3754" t="str">
            <v>T25001595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B25014837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B25015409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B25016067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D25018472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D25018888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B25016767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B25016768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B25016769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T25001878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D25019426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D25019525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B26000135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D26000138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D26000258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D26000379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D26000443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T26000091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D26001793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D26001799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B26002045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B26002046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D26002265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D26001260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B26001673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D26001812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B26000210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D26000907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D25019115</v>
          </cell>
          <cell r="AP3782">
            <v>0</v>
          </cell>
          <cell r="AQ3782">
            <v>0</v>
          </cell>
          <cell r="AV3782">
            <v>5520000</v>
          </cell>
        </row>
        <row r="3783">
          <cell r="E3783" t="str">
            <v>D25019212</v>
          </cell>
          <cell r="AP3783">
            <v>0</v>
          </cell>
          <cell r="AQ3783">
            <v>0</v>
          </cell>
          <cell r="AV3783">
            <v>63480000</v>
          </cell>
        </row>
        <row r="3784">
          <cell r="E3784" t="str">
            <v>B26002206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B26002207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B26000007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B26000094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B26000232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D26000652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B26000855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D26001047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B26001565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D25016822</v>
          </cell>
          <cell r="AP3793">
            <v>0</v>
          </cell>
          <cell r="AQ3793">
            <v>0</v>
          </cell>
          <cell r="AV3793">
            <v>1505000</v>
          </cell>
        </row>
        <row r="3794">
          <cell r="E3794" t="str">
            <v>D25016823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D25016917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B25014748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D25017496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D25017925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B25015850</v>
          </cell>
          <cell r="AP3799">
            <v>0</v>
          </cell>
          <cell r="AQ3799">
            <v>0</v>
          </cell>
          <cell r="AV3799">
            <v>3180000</v>
          </cell>
        </row>
        <row r="3800">
          <cell r="E3800" t="str">
            <v>B25015851</v>
          </cell>
          <cell r="AP3800">
            <v>0</v>
          </cell>
          <cell r="AQ3800">
            <v>0</v>
          </cell>
          <cell r="AV3800">
            <v>920000</v>
          </cell>
        </row>
        <row r="3801">
          <cell r="E3801" t="str">
            <v>B25016043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B25016050</v>
          </cell>
          <cell r="AP3802">
            <v>0</v>
          </cell>
          <cell r="AQ3802">
            <v>0</v>
          </cell>
          <cell r="AV3802">
            <v>675000</v>
          </cell>
        </row>
        <row r="3803">
          <cell r="E3803" t="str">
            <v>B25016074</v>
          </cell>
          <cell r="AP3803">
            <v>0</v>
          </cell>
          <cell r="AQ3803">
            <v>0</v>
          </cell>
          <cell r="AV3803">
            <v>3720000</v>
          </cell>
        </row>
        <row r="3804">
          <cell r="E3804" t="str">
            <v>B25016744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T25001872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D26000340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B26000589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B26000664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D26000767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D26001109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D26001346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B26001518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B26001871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T25001684</v>
          </cell>
          <cell r="AP3814">
            <v>0</v>
          </cell>
          <cell r="AQ3814">
            <v>0</v>
          </cell>
          <cell r="AV3814">
            <v>3520000</v>
          </cell>
        </row>
        <row r="3815">
          <cell r="E3815" t="str">
            <v>Z25003200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Z25003359</v>
          </cell>
          <cell r="AP3816">
            <v>0</v>
          </cell>
          <cell r="AQ3816">
            <v>0</v>
          </cell>
          <cell r="AV3816">
            <v>204000000</v>
          </cell>
        </row>
        <row r="3817">
          <cell r="E3817" t="str">
            <v>Z25003386</v>
          </cell>
          <cell r="AP3817">
            <v>0</v>
          </cell>
          <cell r="AQ3817">
            <v>0</v>
          </cell>
          <cell r="AV3817">
            <v>23662000</v>
          </cell>
        </row>
        <row r="3818">
          <cell r="E3818" t="str">
            <v>Z25003387</v>
          </cell>
          <cell r="AP3818">
            <v>0</v>
          </cell>
          <cell r="AQ3818">
            <v>0</v>
          </cell>
          <cell r="AV3818">
            <v>5400000</v>
          </cell>
        </row>
        <row r="3819">
          <cell r="E3819" t="str">
            <v>Z25003396</v>
          </cell>
          <cell r="AP3819">
            <v>0</v>
          </cell>
          <cell r="AQ3819">
            <v>0</v>
          </cell>
          <cell r="AV3819">
            <v>25600000</v>
          </cell>
        </row>
        <row r="3820">
          <cell r="E3820" t="str">
            <v>Z26000002</v>
          </cell>
          <cell r="AP3820">
            <v>0</v>
          </cell>
          <cell r="AQ3820">
            <v>0</v>
          </cell>
          <cell r="AV3820">
            <v>36000000</v>
          </cell>
        </row>
        <row r="3821">
          <cell r="E3821" t="str">
            <v>Z26000015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Z26000028</v>
          </cell>
          <cell r="AP3822">
            <v>0</v>
          </cell>
          <cell r="AQ3822">
            <v>0</v>
          </cell>
          <cell r="AV3822">
            <v>2700000</v>
          </cell>
        </row>
        <row r="3823">
          <cell r="E3823" t="str">
            <v>Z26000032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Z26000059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Z26000064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Z26000067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Z26000075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Z26000076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Z26000090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Z26000099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Z26000107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Z26000113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Z26000114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Z26000134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Z26000141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Z26000156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Z26000171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Z26000179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Z26000183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Z26000184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Z26000185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Z26000187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Z26000190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Z26000196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Z26000223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Z26000224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Z26000248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Z26000251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Z26000253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Z26000254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Z26000289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Z26000294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Z26000301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Z260006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Z26000327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Z26000328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Z26000336</v>
          </cell>
          <cell r="AP3857">
            <v>0</v>
          </cell>
          <cell r="AQ3857">
            <v>0</v>
          </cell>
          <cell r="AV3857">
            <v>10375000</v>
          </cell>
        </row>
        <row r="3858">
          <cell r="E3858" t="str">
            <v>Z26000344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Z26000354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Z26000367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Z26000375</v>
          </cell>
          <cell r="AP3861">
            <v>0</v>
          </cell>
          <cell r="AQ3861">
            <v>0</v>
          </cell>
          <cell r="AV3861">
            <v>14000000</v>
          </cell>
        </row>
        <row r="3862">
          <cell r="E3862" t="str">
            <v>Z26000376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Z26000379</v>
          </cell>
          <cell r="AP3863">
            <v>0</v>
          </cell>
          <cell r="AQ3863">
            <v>0</v>
          </cell>
          <cell r="AV3863">
            <v>54500000</v>
          </cell>
        </row>
        <row r="3864">
          <cell r="E3864" t="str">
            <v>Z26000394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Z26000397</v>
          </cell>
          <cell r="AP3865">
            <v>0</v>
          </cell>
          <cell r="AQ3865">
            <v>0</v>
          </cell>
          <cell r="AV3865">
            <v>60952500</v>
          </cell>
        </row>
        <row r="3866">
          <cell r="E3866" t="str">
            <v>Z26000398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Z26000399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Z26000400</v>
          </cell>
          <cell r="AP3868">
            <v>0</v>
          </cell>
          <cell r="AQ3868">
            <v>0</v>
          </cell>
          <cell r="AV3868">
            <v>29047500</v>
          </cell>
        </row>
        <row r="3869">
          <cell r="E3869" t="str">
            <v>Z26000400</v>
          </cell>
          <cell r="AP3869">
            <v>0</v>
          </cell>
          <cell r="AQ3869">
            <v>0</v>
          </cell>
          <cell r="AV3869">
            <v>7352500</v>
          </cell>
        </row>
        <row r="3870">
          <cell r="E3870" t="str">
            <v>Z260007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Z26000428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Z26000429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Z26000432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B26000613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B26001035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D26001531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B26001523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B26000797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B26001396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B26001970</v>
          </cell>
          <cell r="AP3880">
            <v>0</v>
          </cell>
          <cell r="AQ3880">
            <v>0</v>
          </cell>
          <cell r="AV3880">
            <v>1465000</v>
          </cell>
        </row>
        <row r="3881">
          <cell r="E3881" t="str">
            <v>D26002444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D26000187</v>
          </cell>
          <cell r="AP3882">
            <v>0</v>
          </cell>
          <cell r="AQ3882">
            <v>0</v>
          </cell>
          <cell r="AV3882">
            <v>38000000</v>
          </cell>
        </row>
        <row r="3883">
          <cell r="E3883" t="str">
            <v>D26001166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D26001903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D26000368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B26001617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D26002275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D26002319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D25017927</v>
          </cell>
          <cell r="AP3889">
            <v>0</v>
          </cell>
          <cell r="AQ3889">
            <v>0</v>
          </cell>
          <cell r="AV3889">
            <v>3120000</v>
          </cell>
        </row>
        <row r="3890">
          <cell r="E3890" t="str">
            <v>B26001933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B26001934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D25018875</v>
          </cell>
          <cell r="AP3892">
            <v>0</v>
          </cell>
          <cell r="AQ3892">
            <v>0</v>
          </cell>
          <cell r="AV3892">
            <v>7300000</v>
          </cell>
        </row>
        <row r="3893">
          <cell r="E3893" t="str">
            <v>B26000196</v>
          </cell>
          <cell r="AP3893">
            <v>0</v>
          </cell>
          <cell r="AQ3893">
            <v>0</v>
          </cell>
          <cell r="AV3893">
            <v>2675000</v>
          </cell>
        </row>
        <row r="3894">
          <cell r="E3894" t="str">
            <v>B26000236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B26001165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D25019027</v>
          </cell>
          <cell r="AP3896">
            <v>0</v>
          </cell>
          <cell r="AQ3896">
            <v>0</v>
          </cell>
          <cell r="AV3896">
            <v>14110000</v>
          </cell>
        </row>
        <row r="3897">
          <cell r="E3897" t="str">
            <v>D25019224</v>
          </cell>
          <cell r="AP3897">
            <v>0</v>
          </cell>
          <cell r="AQ3897">
            <v>0</v>
          </cell>
          <cell r="AV3897">
            <v>2625000</v>
          </cell>
        </row>
        <row r="3898">
          <cell r="E3898" t="str">
            <v>B25016888</v>
          </cell>
          <cell r="AP3898">
            <v>0</v>
          </cell>
          <cell r="AQ3898">
            <v>0</v>
          </cell>
          <cell r="AV3898">
            <v>3920000</v>
          </cell>
        </row>
        <row r="3899">
          <cell r="E3899" t="str">
            <v>B25016889</v>
          </cell>
          <cell r="AP3899">
            <v>0</v>
          </cell>
          <cell r="AQ3899">
            <v>0</v>
          </cell>
          <cell r="AV3899">
            <v>4957500</v>
          </cell>
        </row>
        <row r="3900">
          <cell r="E3900" t="str">
            <v>B25016891</v>
          </cell>
          <cell r="AP3900">
            <v>0</v>
          </cell>
          <cell r="AQ3900">
            <v>0</v>
          </cell>
          <cell r="AV3900">
            <v>10532000</v>
          </cell>
        </row>
        <row r="3901">
          <cell r="E3901" t="str">
            <v>B25016893</v>
          </cell>
          <cell r="AP3901">
            <v>0</v>
          </cell>
          <cell r="AQ3901">
            <v>0</v>
          </cell>
          <cell r="AV3901">
            <v>1355000</v>
          </cell>
        </row>
        <row r="3902">
          <cell r="E3902" t="str">
            <v>B25016900</v>
          </cell>
          <cell r="AP3902">
            <v>0</v>
          </cell>
          <cell r="AQ3902">
            <v>0</v>
          </cell>
          <cell r="AV3902">
            <v>408000</v>
          </cell>
        </row>
        <row r="3903">
          <cell r="E3903" t="str">
            <v>B26000098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B26000099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B26000100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B26000282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B26000283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B26000749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B26000750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B26000751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B26000752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B26000753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B26000988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D26001423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D26001424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B26001393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D26001847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D26001871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D26001906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D26001915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B26002073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B26002074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B26002075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B26002076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B26002077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T25001704</v>
          </cell>
          <cell r="AP3926">
            <v>0</v>
          </cell>
          <cell r="AQ3926">
            <v>0</v>
          </cell>
          <cell r="AV3926">
            <v>1000000</v>
          </cell>
        </row>
        <row r="3927">
          <cell r="E3927" t="str">
            <v>T25001810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T25001813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T26000127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T26000128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Z25003043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Z25003090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Z25003155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Z25003160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Z25003231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Z26000132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Z26000165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Z26000295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B25017064</v>
          </cell>
          <cell r="AP3939">
            <v>0</v>
          </cell>
          <cell r="AQ3939">
            <v>0</v>
          </cell>
          <cell r="AV3939">
            <v>127500</v>
          </cell>
        </row>
        <row r="3940">
          <cell r="E3940" t="str">
            <v>B25017065</v>
          </cell>
          <cell r="AP3940">
            <v>0</v>
          </cell>
          <cell r="AQ3940">
            <v>0</v>
          </cell>
          <cell r="AV3940">
            <v>705000</v>
          </cell>
        </row>
        <row r="3941">
          <cell r="E3941" t="str">
            <v>D25019700</v>
          </cell>
          <cell r="AP3941">
            <v>0</v>
          </cell>
          <cell r="AQ3941">
            <v>0</v>
          </cell>
          <cell r="AV3941">
            <v>3400000</v>
          </cell>
        </row>
        <row r="3942">
          <cell r="E3942" t="str">
            <v>D26000005</v>
          </cell>
          <cell r="AP3942">
            <v>0</v>
          </cell>
          <cell r="AQ3942">
            <v>0</v>
          </cell>
          <cell r="AV3942">
            <v>5100000</v>
          </cell>
        </row>
        <row r="3943">
          <cell r="E3943" t="str">
            <v>D26001014</v>
          </cell>
          <cell r="AP3943">
            <v>0</v>
          </cell>
          <cell r="AQ3943">
            <v>0</v>
          </cell>
          <cell r="AV3943">
            <v>7817500</v>
          </cell>
        </row>
        <row r="3944">
          <cell r="E3944" t="str">
            <v>B26001940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D25017673</v>
          </cell>
          <cell r="AP3945">
            <v>0</v>
          </cell>
          <cell r="AQ3945">
            <v>0</v>
          </cell>
          <cell r="AV3945">
            <v>3750000</v>
          </cell>
        </row>
        <row r="3946">
          <cell r="E3946" t="str">
            <v>B26001151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B26001152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B26000491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B26001583</v>
          </cell>
          <cell r="AP3949">
            <v>0</v>
          </cell>
          <cell r="AQ3949">
            <v>0</v>
          </cell>
          <cell r="AV3949">
            <v>9700000</v>
          </cell>
        </row>
        <row r="3950">
          <cell r="E3950" t="str">
            <v>B26001701</v>
          </cell>
          <cell r="AP3950">
            <v>0</v>
          </cell>
          <cell r="AQ3950">
            <v>0</v>
          </cell>
          <cell r="AV3950">
            <v>3680000</v>
          </cell>
        </row>
        <row r="3951">
          <cell r="E3951" t="str">
            <v>T26000039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B26000251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B26002025</v>
          </cell>
          <cell r="AP3953">
            <v>0</v>
          </cell>
          <cell r="AQ3953">
            <v>0</v>
          </cell>
          <cell r="AV3953">
            <v>855000</v>
          </cell>
        </row>
        <row r="3954">
          <cell r="E3954" t="str">
            <v>D25017355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D25017877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T25001788</v>
          </cell>
          <cell r="AP3956">
            <v>0</v>
          </cell>
          <cell r="AQ3956">
            <v>0</v>
          </cell>
          <cell r="AV3956">
            <v>10000</v>
          </cell>
        </row>
        <row r="3957">
          <cell r="E3957" t="str">
            <v>B26000020</v>
          </cell>
          <cell r="AP3957">
            <v>0</v>
          </cell>
          <cell r="AQ3957">
            <v>0</v>
          </cell>
          <cell r="AV3957">
            <v>9540000</v>
          </cell>
        </row>
        <row r="3958">
          <cell r="E3958" t="str">
            <v>D26000163</v>
          </cell>
          <cell r="AP3958">
            <v>0</v>
          </cell>
          <cell r="AQ3958">
            <v>0</v>
          </cell>
          <cell r="AV3958">
            <v>12600000</v>
          </cell>
        </row>
        <row r="3959">
          <cell r="E3959" t="str">
            <v>B26000199</v>
          </cell>
          <cell r="AP3959">
            <v>0</v>
          </cell>
          <cell r="AQ3959">
            <v>0</v>
          </cell>
          <cell r="AV3959">
            <v>5600000</v>
          </cell>
        </row>
        <row r="3960">
          <cell r="E3960" t="str">
            <v>B26000279</v>
          </cell>
          <cell r="AP3960">
            <v>0</v>
          </cell>
          <cell r="AQ3960">
            <v>0</v>
          </cell>
          <cell r="AV3960">
            <v>3570000</v>
          </cell>
        </row>
        <row r="3961">
          <cell r="E3961" t="str">
            <v>D26000286</v>
          </cell>
          <cell r="AP3961">
            <v>0</v>
          </cell>
          <cell r="AQ3961">
            <v>0</v>
          </cell>
          <cell r="AV3961">
            <v>9900000</v>
          </cell>
        </row>
        <row r="3962">
          <cell r="E3962" t="str">
            <v>D26000287</v>
          </cell>
          <cell r="AP3962">
            <v>0</v>
          </cell>
          <cell r="AQ3962">
            <v>0</v>
          </cell>
          <cell r="AV3962">
            <v>1980000</v>
          </cell>
        </row>
        <row r="3963">
          <cell r="E3963" t="str">
            <v>D26000295</v>
          </cell>
          <cell r="AP3963">
            <v>0</v>
          </cell>
          <cell r="AQ3963">
            <v>0</v>
          </cell>
          <cell r="AV3963">
            <v>5550000</v>
          </cell>
        </row>
        <row r="3964">
          <cell r="E3964" t="str">
            <v>B26000368</v>
          </cell>
          <cell r="AP3964">
            <v>0</v>
          </cell>
          <cell r="AQ3964">
            <v>0</v>
          </cell>
          <cell r="AV3964">
            <v>3450000</v>
          </cell>
        </row>
        <row r="3965">
          <cell r="E3965" t="str">
            <v>B26000477</v>
          </cell>
          <cell r="AP3965">
            <v>0</v>
          </cell>
          <cell r="AQ3965">
            <v>0</v>
          </cell>
          <cell r="AV3965">
            <v>3450000</v>
          </cell>
        </row>
        <row r="3966">
          <cell r="E3966" t="str">
            <v>B26000506</v>
          </cell>
          <cell r="AP3966">
            <v>0</v>
          </cell>
          <cell r="AQ3966">
            <v>0</v>
          </cell>
          <cell r="AV3966">
            <v>4800000</v>
          </cell>
        </row>
        <row r="3967">
          <cell r="E3967" t="str">
            <v>D26000803</v>
          </cell>
          <cell r="AP3967">
            <v>0</v>
          </cell>
          <cell r="AQ3967">
            <v>0</v>
          </cell>
          <cell r="AV3967">
            <v>9230000</v>
          </cell>
        </row>
        <row r="3968">
          <cell r="E3968" t="str">
            <v>D26000856</v>
          </cell>
          <cell r="AP3968">
            <v>0</v>
          </cell>
          <cell r="AQ3968">
            <v>0</v>
          </cell>
          <cell r="AV3968">
            <v>3630000</v>
          </cell>
        </row>
        <row r="3969">
          <cell r="E3969" t="str">
            <v>D26000856</v>
          </cell>
          <cell r="AP3969">
            <v>0</v>
          </cell>
          <cell r="AQ3969">
            <v>0</v>
          </cell>
          <cell r="AV3969">
            <v>10000</v>
          </cell>
        </row>
        <row r="3970">
          <cell r="E3970" t="str">
            <v>B26000936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D26001023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D26001089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D26001213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D26001282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B26001392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D26001449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B26001503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D26001783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D26001784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D26001992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B26002034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B26002035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B26002122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D26002338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D26002339</v>
          </cell>
          <cell r="AP3985">
            <v>0</v>
          </cell>
          <cell r="AQ3985">
            <v>0</v>
          </cell>
          <cell r="AV3985">
            <v>4240000</v>
          </cell>
        </row>
        <row r="3986">
          <cell r="E3986" t="str">
            <v>D26002352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D26001707</v>
          </cell>
          <cell r="AP3987">
            <v>0</v>
          </cell>
          <cell r="AQ3987">
            <v>0</v>
          </cell>
          <cell r="AV3987">
            <v>1480000</v>
          </cell>
        </row>
        <row r="3988">
          <cell r="E3988" t="str">
            <v>B26000256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B26000257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D26000318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D26000480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B26000619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D26000685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D26000693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B26002018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B26002161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B26002162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B26002169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Z26000252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C26000126</v>
          </cell>
          <cell r="AP4000">
            <v>0</v>
          </cell>
          <cell r="AQ4000">
            <v>0</v>
          </cell>
          <cell r="AV4000">
            <v>860000</v>
          </cell>
        </row>
        <row r="4001">
          <cell r="E4001" t="str">
            <v>D25015709</v>
          </cell>
          <cell r="AP4001">
            <v>0</v>
          </cell>
          <cell r="AQ4001">
            <v>0</v>
          </cell>
          <cell r="AV4001">
            <v>10000000</v>
          </cell>
        </row>
        <row r="4002">
          <cell r="E4002" t="str">
            <v>B25014743</v>
          </cell>
          <cell r="AP4002">
            <v>0</v>
          </cell>
          <cell r="AQ4002">
            <v>0</v>
          </cell>
          <cell r="AV4002">
            <v>13060000</v>
          </cell>
        </row>
        <row r="4003">
          <cell r="E4003" t="str">
            <v>D25017479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D25018020</v>
          </cell>
          <cell r="AP4004">
            <v>0</v>
          </cell>
          <cell r="AQ4004">
            <v>0</v>
          </cell>
          <cell r="AV4004">
            <v>7400000</v>
          </cell>
        </row>
        <row r="4005">
          <cell r="E4005" t="str">
            <v>D25018021</v>
          </cell>
          <cell r="AP4005">
            <v>0</v>
          </cell>
          <cell r="AQ4005">
            <v>0</v>
          </cell>
          <cell r="AV4005">
            <v>17700000</v>
          </cell>
        </row>
        <row r="4006">
          <cell r="E4006" t="str">
            <v>D25018022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B25015872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B25015919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B25015920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B25015979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B25016020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B25016321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B25016322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B25016356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B25016719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T25001870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B25016949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D25019456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B25017120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D25019687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D26000526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D26000793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D26000794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B26000762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B26000763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B26000789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B26001310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B26001316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D26001513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B26001625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B26001648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D26001764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D26001893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D26002056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B26002063</v>
          </cell>
          <cell r="AP4035">
            <v>0</v>
          </cell>
          <cell r="AQ4035">
            <v>0</v>
          </cell>
          <cell r="AV4035">
            <v>8400000</v>
          </cell>
        </row>
        <row r="4036">
          <cell r="E4036" t="str">
            <v>D26002258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B26002199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B26002241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D26002155</v>
          </cell>
          <cell r="AP4039">
            <v>0</v>
          </cell>
          <cell r="AQ4039">
            <v>0</v>
          </cell>
          <cell r="AV4039">
            <v>18250000</v>
          </cell>
        </row>
        <row r="4040">
          <cell r="E4040" t="str">
            <v>T26000085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D26001736</v>
          </cell>
          <cell r="AP4041">
            <v>0</v>
          </cell>
          <cell r="AQ4041">
            <v>0</v>
          </cell>
          <cell r="AV4041">
            <v>13600000</v>
          </cell>
        </row>
        <row r="4042">
          <cell r="E4042" t="str">
            <v>B26002044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T25001809</v>
          </cell>
          <cell r="AP4043">
            <v>0</v>
          </cell>
          <cell r="AQ4043">
            <v>0</v>
          </cell>
          <cell r="AV4043">
            <v>5100000</v>
          </cell>
        </row>
        <row r="4044">
          <cell r="E4044" t="str">
            <v>D25018352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B26000071</v>
          </cell>
          <cell r="AP4045">
            <v>0</v>
          </cell>
          <cell r="AQ4045">
            <v>0</v>
          </cell>
          <cell r="AV4045">
            <v>8700000</v>
          </cell>
        </row>
        <row r="4046">
          <cell r="E4046" t="str">
            <v>D26000107</v>
          </cell>
          <cell r="AP4046">
            <v>0</v>
          </cell>
          <cell r="AQ4046">
            <v>0</v>
          </cell>
          <cell r="AV4046">
            <v>5700000</v>
          </cell>
        </row>
        <row r="4047">
          <cell r="E4047" t="str">
            <v>B26000208</v>
          </cell>
          <cell r="AP4047">
            <v>0</v>
          </cell>
          <cell r="AQ4047">
            <v>0</v>
          </cell>
          <cell r="AV4047">
            <v>30230000</v>
          </cell>
        </row>
        <row r="4048">
          <cell r="E4048" t="str">
            <v>D26000269</v>
          </cell>
          <cell r="AP4048">
            <v>0</v>
          </cell>
          <cell r="AQ4048">
            <v>0</v>
          </cell>
          <cell r="AV4048">
            <v>137500000</v>
          </cell>
        </row>
        <row r="4049">
          <cell r="E4049" t="str">
            <v>D26000433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D26000434</v>
          </cell>
          <cell r="AP4050">
            <v>0</v>
          </cell>
          <cell r="AQ4050">
            <v>0</v>
          </cell>
          <cell r="AV4050">
            <v>26700000</v>
          </cell>
        </row>
        <row r="4051">
          <cell r="E4051" t="str">
            <v>D26000478</v>
          </cell>
          <cell r="AP4051">
            <v>0</v>
          </cell>
          <cell r="AQ4051">
            <v>0</v>
          </cell>
          <cell r="AV4051">
            <v>960000</v>
          </cell>
        </row>
        <row r="4052">
          <cell r="E4052" t="str">
            <v>D26000479</v>
          </cell>
          <cell r="AP4052">
            <v>0</v>
          </cell>
          <cell r="AQ4052">
            <v>0</v>
          </cell>
          <cell r="AV4052">
            <v>240000</v>
          </cell>
        </row>
        <row r="4053">
          <cell r="E4053" t="str">
            <v>D26000530</v>
          </cell>
          <cell r="AP4053">
            <v>0</v>
          </cell>
          <cell r="AQ4053">
            <v>0</v>
          </cell>
          <cell r="AV4053">
            <v>15160000</v>
          </cell>
        </row>
        <row r="4054">
          <cell r="E4054" t="str">
            <v>D26000576</v>
          </cell>
          <cell r="AP4054">
            <v>0</v>
          </cell>
          <cell r="AQ4054">
            <v>0</v>
          </cell>
          <cell r="AV4054">
            <v>13600000</v>
          </cell>
        </row>
        <row r="4055">
          <cell r="E4055" t="str">
            <v>B26000654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D26000717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D26000720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D26000740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D26000967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D26000968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B26001048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D26001069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B26001108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D26001173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B26001171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D26001725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D26001726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D26001728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B26001713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D26001891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B26001884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D26002178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B26002273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D26000001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B26000904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D25018828</v>
          </cell>
          <cell r="AP4076">
            <v>0</v>
          </cell>
          <cell r="AQ4076">
            <v>0</v>
          </cell>
          <cell r="AV4076">
            <v>12620000</v>
          </cell>
        </row>
        <row r="4077">
          <cell r="E4077" t="str">
            <v>D25018922</v>
          </cell>
          <cell r="AP4077">
            <v>0</v>
          </cell>
          <cell r="AQ4077">
            <v>0</v>
          </cell>
          <cell r="AV4077">
            <v>18300000</v>
          </cell>
        </row>
        <row r="4078">
          <cell r="E4078" t="str">
            <v>B25017069</v>
          </cell>
          <cell r="AP4078">
            <v>0</v>
          </cell>
          <cell r="AQ4078">
            <v>0</v>
          </cell>
          <cell r="AV4078">
            <v>4080000</v>
          </cell>
        </row>
        <row r="4079">
          <cell r="E4079" t="str">
            <v>D26000058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B26000793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D26000841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B26002220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D25016708</v>
          </cell>
          <cell r="AP4083">
            <v>0</v>
          </cell>
          <cell r="AQ4083">
            <v>0</v>
          </cell>
          <cell r="AV4083">
            <v>19000000</v>
          </cell>
        </row>
        <row r="4084">
          <cell r="E4084" t="str">
            <v>D25016757</v>
          </cell>
          <cell r="AP4084">
            <v>0</v>
          </cell>
          <cell r="AQ4084">
            <v>0</v>
          </cell>
          <cell r="AV4084">
            <v>21820000</v>
          </cell>
        </row>
        <row r="4085">
          <cell r="E4085" t="str">
            <v>D25016775</v>
          </cell>
          <cell r="AP4085">
            <v>0</v>
          </cell>
          <cell r="AQ4085">
            <v>0</v>
          </cell>
          <cell r="AV4085">
            <v>33750000</v>
          </cell>
        </row>
        <row r="4086">
          <cell r="E4086" t="str">
            <v>D25016810</v>
          </cell>
          <cell r="AP4086">
            <v>0</v>
          </cell>
          <cell r="AQ4086">
            <v>0</v>
          </cell>
          <cell r="AV4086">
            <v>63432000</v>
          </cell>
        </row>
        <row r="4087">
          <cell r="E4087" t="str">
            <v>D25017225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D25017226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B25015513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B25015514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B25015515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D25018069</v>
          </cell>
          <cell r="AP4092">
            <v>0</v>
          </cell>
          <cell r="AQ4092">
            <v>0</v>
          </cell>
          <cell r="AV4092">
            <v>11964000</v>
          </cell>
        </row>
        <row r="4093">
          <cell r="E4093" t="str">
            <v>D25018069</v>
          </cell>
          <cell r="AP4093">
            <v>0</v>
          </cell>
          <cell r="AQ4093">
            <v>0</v>
          </cell>
          <cell r="AV4093">
            <v>300000000</v>
          </cell>
        </row>
        <row r="4094">
          <cell r="E4094" t="str">
            <v>B25015835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B25016212</v>
          </cell>
          <cell r="AP4095">
            <v>0</v>
          </cell>
          <cell r="AQ4095">
            <v>0</v>
          </cell>
          <cell r="AV4095">
            <v>21614000</v>
          </cell>
        </row>
        <row r="4096">
          <cell r="E4096" t="str">
            <v>B25016213</v>
          </cell>
          <cell r="AP4096">
            <v>0</v>
          </cell>
          <cell r="AQ4096">
            <v>0</v>
          </cell>
          <cell r="AV4096">
            <v>49260000</v>
          </cell>
        </row>
        <row r="4097">
          <cell r="E4097" t="str">
            <v>B25016214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D25018682</v>
          </cell>
          <cell r="AP4098">
            <v>0</v>
          </cell>
          <cell r="AQ4098">
            <v>0</v>
          </cell>
          <cell r="AV4098">
            <v>29160000</v>
          </cell>
        </row>
        <row r="4099">
          <cell r="E4099" t="str">
            <v>D25018981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D25018982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B25016652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D25019404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D25019412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B25016948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B26002130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B26002131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B26002144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D26002290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B26002175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D26002298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D26002306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B26002265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B26002266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D26002471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T26000166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B26000518</v>
          </cell>
          <cell r="AP4116">
            <v>0</v>
          </cell>
          <cell r="AQ4116">
            <v>0</v>
          </cell>
          <cell r="AV4116">
            <v>16800000</v>
          </cell>
        </row>
        <row r="4117">
          <cell r="E4117" t="str">
            <v>B26001491</v>
          </cell>
          <cell r="AP4117">
            <v>0</v>
          </cell>
          <cell r="AQ4117">
            <v>0</v>
          </cell>
          <cell r="AV4117">
            <v>55500000</v>
          </cell>
        </row>
        <row r="4118">
          <cell r="E4118" t="str">
            <v>B26001513</v>
          </cell>
          <cell r="AP4118">
            <v>0</v>
          </cell>
          <cell r="AQ4118">
            <v>0</v>
          </cell>
          <cell r="AV4118">
            <v>55860000</v>
          </cell>
        </row>
        <row r="4119">
          <cell r="E4119" t="str">
            <v>D26001987</v>
          </cell>
          <cell r="AP4119">
            <v>0</v>
          </cell>
          <cell r="AQ4119">
            <v>0</v>
          </cell>
          <cell r="AV4119">
            <v>66000000</v>
          </cell>
        </row>
        <row r="4120">
          <cell r="E4120" t="str">
            <v>D26000290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D26000359</v>
          </cell>
          <cell r="AP4121">
            <v>0</v>
          </cell>
          <cell r="AQ4121">
            <v>0</v>
          </cell>
          <cell r="AV4121">
            <v>5571000</v>
          </cell>
        </row>
        <row r="4122">
          <cell r="E4122" t="str">
            <v>T26000051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D26001215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B26002036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B26002037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Z25002766</v>
          </cell>
          <cell r="AP4126">
            <v>0</v>
          </cell>
          <cell r="AQ4126">
            <v>0</v>
          </cell>
          <cell r="AV4126">
            <v>38916887</v>
          </cell>
        </row>
        <row r="4127">
          <cell r="E4127" t="str">
            <v>Z25002766</v>
          </cell>
          <cell r="AP4127">
            <v>16083113</v>
          </cell>
          <cell r="AQ4127">
            <v>0</v>
          </cell>
          <cell r="AV4127">
            <v>0</v>
          </cell>
        </row>
        <row r="4128">
          <cell r="E4128" t="str">
            <v>Z25002859</v>
          </cell>
          <cell r="AP4128">
            <v>0</v>
          </cell>
          <cell r="AQ4128">
            <v>0</v>
          </cell>
          <cell r="AV4128">
            <v>8175000</v>
          </cell>
        </row>
        <row r="4129">
          <cell r="E4129" t="str">
            <v>T25001721k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T25001773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Z25003134</v>
          </cell>
          <cell r="AP4131">
            <v>0</v>
          </cell>
          <cell r="AQ4131">
            <v>0</v>
          </cell>
          <cell r="AV4131">
            <v>6300000</v>
          </cell>
        </row>
        <row r="4132">
          <cell r="E4132" t="str">
            <v>Z25003135</v>
          </cell>
          <cell r="AP4132">
            <v>0</v>
          </cell>
          <cell r="AQ4132">
            <v>0</v>
          </cell>
          <cell r="AV4132">
            <v>4680000</v>
          </cell>
        </row>
        <row r="4133">
          <cell r="E4133" t="str">
            <v>Z25003187</v>
          </cell>
          <cell r="AP4133">
            <v>0</v>
          </cell>
          <cell r="AQ4133">
            <v>0</v>
          </cell>
          <cell r="AV4133">
            <v>5520000</v>
          </cell>
        </row>
        <row r="4134">
          <cell r="E4134" t="str">
            <v>Z25003220</v>
          </cell>
          <cell r="AP4134">
            <v>0</v>
          </cell>
          <cell r="AQ4134">
            <v>0</v>
          </cell>
          <cell r="AV4134">
            <v>16102500</v>
          </cell>
        </row>
        <row r="4135">
          <cell r="E4135" t="str">
            <v>Z25003223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Z25003225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Z25003233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Z25003234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Z25003308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Z25003317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Z25003335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Z25003373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Z25003389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Z25003390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Z25003391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Z26000120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Z26000255</v>
          </cell>
          <cell r="AP4147">
            <v>0</v>
          </cell>
          <cell r="AQ4147">
            <v>0</v>
          </cell>
          <cell r="AV4147">
            <v>131000000</v>
          </cell>
        </row>
        <row r="4148">
          <cell r="E4148" t="str">
            <v>Z26000271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Z26000310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Z26000319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Z26000326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Z26000330</v>
          </cell>
          <cell r="AP4152">
            <v>0</v>
          </cell>
          <cell r="AQ4152">
            <v>0</v>
          </cell>
          <cell r="AV4152">
            <v>3222000</v>
          </cell>
        </row>
        <row r="4153">
          <cell r="E4153" t="str">
            <v>Z26000368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Z26000371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Z26000387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Z26000388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Z26000438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D25019524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D26000308</v>
          </cell>
          <cell r="AP4159">
            <v>0</v>
          </cell>
          <cell r="AQ4159">
            <v>0</v>
          </cell>
          <cell r="AV4159">
            <v>23340000</v>
          </cell>
        </row>
        <row r="4160">
          <cell r="E4160" t="str">
            <v>D26000335</v>
          </cell>
          <cell r="AP4160">
            <v>0</v>
          </cell>
          <cell r="AQ4160">
            <v>0</v>
          </cell>
          <cell r="AV4160">
            <v>5700000</v>
          </cell>
        </row>
        <row r="4161">
          <cell r="E4161" t="str">
            <v>D26000356</v>
          </cell>
          <cell r="AP4161">
            <v>0</v>
          </cell>
          <cell r="AQ4161">
            <v>0</v>
          </cell>
          <cell r="AV4161">
            <v>9100000</v>
          </cell>
        </row>
        <row r="4162">
          <cell r="E4162" t="str">
            <v>B26000542</v>
          </cell>
          <cell r="AP4162">
            <v>0</v>
          </cell>
          <cell r="AQ4162">
            <v>0</v>
          </cell>
          <cell r="AV4162">
            <v>18000000</v>
          </cell>
        </row>
        <row r="4163">
          <cell r="E4163" t="str">
            <v>D26000567</v>
          </cell>
          <cell r="AP4163">
            <v>0</v>
          </cell>
          <cell r="AQ4163">
            <v>0</v>
          </cell>
          <cell r="AV4163">
            <v>54600000</v>
          </cell>
        </row>
        <row r="4164">
          <cell r="E4164" t="str">
            <v>D26000580</v>
          </cell>
          <cell r="AP4164">
            <v>0</v>
          </cell>
          <cell r="AQ4164">
            <v>0</v>
          </cell>
          <cell r="AV4164">
            <v>9100000</v>
          </cell>
        </row>
        <row r="4165">
          <cell r="E4165" t="str">
            <v>B26000785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D26000902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D26000903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D26001077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D26001170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B26001441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B26001442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D26001593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D26001729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B26001739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D26002046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D26002068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D26002434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D26002439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D26000294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D25007848</v>
          </cell>
          <cell r="AP4180">
            <v>13754000</v>
          </cell>
          <cell r="AQ4180">
            <v>0</v>
          </cell>
          <cell r="AV4180">
            <v>0</v>
          </cell>
        </row>
        <row r="4181">
          <cell r="E4181" t="str">
            <v>D25018088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D25018089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D25018111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D25018518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D26002343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D26002344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D26002345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D26001840</v>
          </cell>
          <cell r="AP4188">
            <v>0</v>
          </cell>
          <cell r="AQ4188">
            <v>0</v>
          </cell>
          <cell r="AV4188">
            <v>4200000</v>
          </cell>
        </row>
        <row r="4189">
          <cell r="E4189" t="str">
            <v>D25018397</v>
          </cell>
          <cell r="AP4189">
            <v>0</v>
          </cell>
          <cell r="AQ4189">
            <v>0</v>
          </cell>
          <cell r="AV4189">
            <v>1900000</v>
          </cell>
        </row>
        <row r="4190">
          <cell r="E4190" t="str">
            <v>B25016387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B25016784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B26000121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T26000009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B26001639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D26002196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T26000151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C26000122</v>
          </cell>
          <cell r="AP4197">
            <v>0</v>
          </cell>
          <cell r="AQ4197">
            <v>0</v>
          </cell>
          <cell r="AV4197">
            <v>40000</v>
          </cell>
        </row>
        <row r="4198">
          <cell r="E4198" t="str">
            <v>C26000094</v>
          </cell>
          <cell r="AP4198">
            <v>0</v>
          </cell>
          <cell r="AQ4198">
            <v>0</v>
          </cell>
          <cell r="AV4198">
            <v>490000</v>
          </cell>
        </row>
        <row r="4199">
          <cell r="E4199" t="str">
            <v>C26000110</v>
          </cell>
          <cell r="AP4199">
            <v>0</v>
          </cell>
          <cell r="AQ4199">
            <v>0</v>
          </cell>
          <cell r="AV4199">
            <v>10000</v>
          </cell>
        </row>
        <row r="4200">
          <cell r="E4200" t="str">
            <v>C26000107</v>
          </cell>
          <cell r="AP4200">
            <v>0</v>
          </cell>
          <cell r="AQ4200">
            <v>0</v>
          </cell>
          <cell r="AV4200">
            <v>375000</v>
          </cell>
        </row>
        <row r="4201">
          <cell r="E4201" t="str">
            <v>C26000125</v>
          </cell>
          <cell r="AP4201">
            <v>0</v>
          </cell>
          <cell r="AQ4201">
            <v>0</v>
          </cell>
          <cell r="AV4201">
            <v>1060000</v>
          </cell>
        </row>
        <row r="4202">
          <cell r="E4202" t="str">
            <v>C26000104</v>
          </cell>
          <cell r="AP4202">
            <v>0</v>
          </cell>
          <cell r="AQ4202">
            <v>0</v>
          </cell>
          <cell r="AV4202">
            <v>183500</v>
          </cell>
        </row>
        <row r="4203">
          <cell r="E4203" t="str">
            <v>C26000112</v>
          </cell>
          <cell r="AP4203">
            <v>0</v>
          </cell>
          <cell r="AQ4203">
            <v>0</v>
          </cell>
          <cell r="AV4203">
            <v>36000</v>
          </cell>
        </row>
        <row r="4204">
          <cell r="E4204" t="str">
            <v>M26000034</v>
          </cell>
          <cell r="AP4204">
            <v>0</v>
          </cell>
          <cell r="AQ4204">
            <v>0</v>
          </cell>
          <cell r="AV4204">
            <v>275000</v>
          </cell>
        </row>
        <row r="4205">
          <cell r="E4205" t="str">
            <v>C26000101</v>
          </cell>
          <cell r="AP4205">
            <v>0</v>
          </cell>
          <cell r="AQ4205">
            <v>0</v>
          </cell>
          <cell r="AV4205">
            <v>120000</v>
          </cell>
        </row>
        <row r="4206">
          <cell r="E4206" t="str">
            <v>C26000121</v>
          </cell>
          <cell r="AP4206">
            <v>0</v>
          </cell>
          <cell r="AQ4206">
            <v>0</v>
          </cell>
          <cell r="AV4206">
            <v>48500</v>
          </cell>
        </row>
        <row r="4207">
          <cell r="E4207" t="str">
            <v>C26000136</v>
          </cell>
          <cell r="AP4207">
            <v>0</v>
          </cell>
          <cell r="AQ4207">
            <v>0</v>
          </cell>
          <cell r="AV4207">
            <v>80000</v>
          </cell>
        </row>
        <row r="4208">
          <cell r="E4208" t="str">
            <v>C26000097</v>
          </cell>
          <cell r="AP4208">
            <v>0</v>
          </cell>
          <cell r="AQ4208">
            <v>0</v>
          </cell>
          <cell r="AV4208">
            <v>107000</v>
          </cell>
        </row>
        <row r="4209">
          <cell r="E4209" t="str">
            <v>D26001905</v>
          </cell>
          <cell r="AP4209">
            <v>0</v>
          </cell>
          <cell r="AQ4209">
            <v>0</v>
          </cell>
          <cell r="AV4209">
            <v>65000</v>
          </cell>
        </row>
        <row r="4210">
          <cell r="E4210" t="str">
            <v>C26000099</v>
          </cell>
          <cell r="AP4210">
            <v>0</v>
          </cell>
          <cell r="AQ4210">
            <v>0</v>
          </cell>
          <cell r="AV4210">
            <v>300000</v>
          </cell>
        </row>
        <row r="4211">
          <cell r="E4211" t="str">
            <v>Z25001658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D25016592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D25016592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D25016593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B25014498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D25016986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B25014854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B25014854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B25014854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B25015007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B25015128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B25015128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D25017390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D25017390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D25017390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D25017390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D25017390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D25017390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D25017390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D25017390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D25017391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D25017398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D25017735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D25017735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D25017735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D25017752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D25017752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B25015422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B25015422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B25015422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B25015422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B25015422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B25015422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B25015561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D25018029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D25018029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D25018029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D25018065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D25018103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D25018268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D25018268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D25018268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D25018268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D25018268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B25015876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B25016042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B25016058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B25016058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B25016073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B25016323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B25016323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B25016323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B25016323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B25016368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B25016611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D25019062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D25019062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D25019062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D25019153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D25019210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D25019264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D25019264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D25019264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D25019268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D25019268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D25019269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D25019356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D25019356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D25019394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D25019394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D25019517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D25019517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D25019595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D25019595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D25019595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D25019596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D25019596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D25019596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D25019596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B25017086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B25017135</v>
          </cell>
          <cell r="AP4291">
            <v>0</v>
          </cell>
          <cell r="AQ4291">
            <v>15445000</v>
          </cell>
          <cell r="AV4291">
            <v>0</v>
          </cell>
        </row>
        <row r="4292">
          <cell r="E4292" t="str">
            <v>D26000080</v>
          </cell>
          <cell r="AP4292">
            <v>0</v>
          </cell>
          <cell r="AQ4292">
            <v>25125000</v>
          </cell>
          <cell r="AV4292">
            <v>0</v>
          </cell>
        </row>
        <row r="4293">
          <cell r="E4293" t="str">
            <v>D26000080</v>
          </cell>
          <cell r="AP4293">
            <v>0</v>
          </cell>
          <cell r="AQ4293">
            <v>100000000</v>
          </cell>
          <cell r="AV4293">
            <v>0</v>
          </cell>
        </row>
        <row r="4294">
          <cell r="E4294" t="str">
            <v>D26000080</v>
          </cell>
          <cell r="AP4294">
            <v>0</v>
          </cell>
          <cell r="AQ4294">
            <v>100000000</v>
          </cell>
          <cell r="AV4294">
            <v>0</v>
          </cell>
        </row>
        <row r="4295">
          <cell r="E4295" t="str">
            <v>D26000080</v>
          </cell>
          <cell r="AP4295">
            <v>0</v>
          </cell>
          <cell r="AQ4295">
            <v>150000000</v>
          </cell>
          <cell r="AV4295">
            <v>0</v>
          </cell>
        </row>
        <row r="4296">
          <cell r="E4296" t="str">
            <v>D26000080</v>
          </cell>
          <cell r="AP4296">
            <v>0</v>
          </cell>
          <cell r="AQ4296">
            <v>250000000</v>
          </cell>
          <cell r="AV4296">
            <v>0</v>
          </cell>
        </row>
        <row r="4297">
          <cell r="E4297" t="str">
            <v>D26000080</v>
          </cell>
          <cell r="AP4297">
            <v>0</v>
          </cell>
          <cell r="AQ4297">
            <v>74950000</v>
          </cell>
          <cell r="AV4297">
            <v>0</v>
          </cell>
        </row>
        <row r="4298">
          <cell r="E4298" t="str">
            <v>D26000081</v>
          </cell>
          <cell r="AP4298">
            <v>0</v>
          </cell>
          <cell r="AQ4298">
            <v>125050000</v>
          </cell>
          <cell r="AV4298">
            <v>0</v>
          </cell>
        </row>
        <row r="4299">
          <cell r="E4299" t="str">
            <v>D26000081</v>
          </cell>
          <cell r="AP4299">
            <v>0</v>
          </cell>
          <cell r="AQ4299">
            <v>93625000</v>
          </cell>
          <cell r="AV4299">
            <v>0</v>
          </cell>
        </row>
        <row r="4300">
          <cell r="E4300" t="str">
            <v>D26000083</v>
          </cell>
          <cell r="AP4300">
            <v>0</v>
          </cell>
          <cell r="AQ4300">
            <v>56375000</v>
          </cell>
          <cell r="AV4300">
            <v>0</v>
          </cell>
        </row>
        <row r="4301">
          <cell r="E4301" t="str">
            <v>D26000083</v>
          </cell>
          <cell r="AP4301">
            <v>0</v>
          </cell>
          <cell r="AQ4301">
            <v>55305000</v>
          </cell>
          <cell r="AV4301">
            <v>0</v>
          </cell>
        </row>
        <row r="4302">
          <cell r="E4302" t="str">
            <v>D26000536</v>
          </cell>
          <cell r="AP4302">
            <v>0</v>
          </cell>
          <cell r="AQ4302">
            <v>92400000</v>
          </cell>
          <cell r="AV4302">
            <v>0</v>
          </cell>
        </row>
        <row r="4303">
          <cell r="E4303" t="str">
            <v>D26000583</v>
          </cell>
          <cell r="AP4303">
            <v>0</v>
          </cell>
          <cell r="AQ4303">
            <v>94695000</v>
          </cell>
          <cell r="AV4303">
            <v>0</v>
          </cell>
        </row>
        <row r="4304">
          <cell r="E4304" t="str">
            <v>D26001285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D26001475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D26001494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D26001508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D26001675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D26001676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D26001730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D26001770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D26001802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D26002025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D26002430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D26002443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D25007908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D25015340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D25010159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B26001143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B26001906</v>
          </cell>
          <cell r="AP4320">
            <v>0</v>
          </cell>
          <cell r="AQ4320">
            <v>0</v>
          </cell>
          <cell r="AV4320">
            <v>1032000</v>
          </cell>
        </row>
        <row r="4321">
          <cell r="E4321" t="str">
            <v>B26002170</v>
          </cell>
          <cell r="AP4321">
            <v>0</v>
          </cell>
          <cell r="AQ4321">
            <v>0</v>
          </cell>
          <cell r="AV4321">
            <v>553500</v>
          </cell>
        </row>
        <row r="4322">
          <cell r="E4322" t="str">
            <v>L26000005</v>
          </cell>
          <cell r="AP4322">
            <v>0</v>
          </cell>
          <cell r="AQ4322">
            <v>0</v>
          </cell>
          <cell r="AV4322">
            <v>1547000</v>
          </cell>
        </row>
        <row r="4323">
          <cell r="E4323" t="str">
            <v>D26001791</v>
          </cell>
          <cell r="AP4323">
            <v>0</v>
          </cell>
          <cell r="AQ4323">
            <v>0</v>
          </cell>
          <cell r="AV4323">
            <v>17500000</v>
          </cell>
        </row>
        <row r="4324">
          <cell r="E4324" t="str">
            <v>D26001792</v>
          </cell>
          <cell r="AP4324">
            <v>0</v>
          </cell>
          <cell r="AQ4324">
            <v>0</v>
          </cell>
          <cell r="AV4324">
            <v>73300000</v>
          </cell>
        </row>
        <row r="4325">
          <cell r="E4325" t="str">
            <v>T26000123</v>
          </cell>
          <cell r="AP4325">
            <v>0</v>
          </cell>
          <cell r="AQ4325">
            <v>0</v>
          </cell>
          <cell r="AV4325">
            <v>21250000</v>
          </cell>
        </row>
        <row r="4326">
          <cell r="E4326" t="str">
            <v>T26000135</v>
          </cell>
          <cell r="AP4326">
            <v>0</v>
          </cell>
          <cell r="AQ4326">
            <v>0</v>
          </cell>
          <cell r="AV4326">
            <v>930000</v>
          </cell>
        </row>
        <row r="4327">
          <cell r="E4327" t="str">
            <v>T26000136k</v>
          </cell>
          <cell r="AP4327">
            <v>0</v>
          </cell>
          <cell r="AQ4327">
            <v>0</v>
          </cell>
          <cell r="AV4327">
            <v>2880000</v>
          </cell>
        </row>
        <row r="4328">
          <cell r="E4328" t="str">
            <v>B26002198</v>
          </cell>
          <cell r="AP4328">
            <v>0</v>
          </cell>
          <cell r="AQ4328">
            <v>0</v>
          </cell>
          <cell r="AV4328">
            <v>8000000</v>
          </cell>
        </row>
        <row r="4329">
          <cell r="E4329" t="str">
            <v>B26002226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B26001586</v>
          </cell>
          <cell r="AP4330">
            <v>0</v>
          </cell>
          <cell r="AQ4330">
            <v>0</v>
          </cell>
          <cell r="AV4330">
            <v>1000000</v>
          </cell>
        </row>
        <row r="4331">
          <cell r="E4331" t="str">
            <v>B26001586</v>
          </cell>
          <cell r="AP4331">
            <v>0</v>
          </cell>
          <cell r="AQ4331">
            <v>0</v>
          </cell>
          <cell r="AV4331">
            <v>1000000</v>
          </cell>
        </row>
        <row r="4332">
          <cell r="E4332" t="str">
            <v>B26001586</v>
          </cell>
          <cell r="AP4332">
            <v>0</v>
          </cell>
          <cell r="AQ4332">
            <v>0</v>
          </cell>
          <cell r="AV4332">
            <v>1920000</v>
          </cell>
        </row>
        <row r="4333">
          <cell r="E4333" t="str">
            <v>D24016641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B26001691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A26000136</v>
          </cell>
          <cell r="AP4335">
            <v>0</v>
          </cell>
          <cell r="AQ4335">
            <v>0</v>
          </cell>
          <cell r="AV4335">
            <v>48057.5</v>
          </cell>
        </row>
        <row r="4336">
          <cell r="E4336" t="str">
            <v>A26000136</v>
          </cell>
          <cell r="AP4336">
            <v>0</v>
          </cell>
          <cell r="AQ4336">
            <v>0</v>
          </cell>
          <cell r="AV4336">
            <v>12442.5</v>
          </cell>
        </row>
        <row r="4337">
          <cell r="E4337" t="str">
            <v>A26000158</v>
          </cell>
          <cell r="AP4337">
            <v>0</v>
          </cell>
          <cell r="AQ4337">
            <v>0</v>
          </cell>
          <cell r="AV4337">
            <v>21761.525000000001</v>
          </cell>
        </row>
        <row r="4338">
          <cell r="E4338" t="str">
            <v>A26000158</v>
          </cell>
          <cell r="AP4338">
            <v>0</v>
          </cell>
          <cell r="AQ4338">
            <v>0</v>
          </cell>
          <cell r="AV4338">
            <v>6473.4749999999985</v>
          </cell>
        </row>
        <row r="4339">
          <cell r="E4339" t="str">
            <v>A26000161</v>
          </cell>
          <cell r="AP4339">
            <v>0</v>
          </cell>
          <cell r="AQ4339">
            <v>0</v>
          </cell>
          <cell r="AV4339">
            <v>38021.589999999997</v>
          </cell>
        </row>
        <row r="4340">
          <cell r="E4340" t="str">
            <v>A26000161</v>
          </cell>
          <cell r="AP4340">
            <v>0</v>
          </cell>
          <cell r="AQ4340">
            <v>0</v>
          </cell>
          <cell r="AV4340">
            <v>10164.410000000003</v>
          </cell>
        </row>
        <row r="4341">
          <cell r="E4341" t="str">
            <v>A26000162</v>
          </cell>
          <cell r="AP4341">
            <v>0</v>
          </cell>
          <cell r="AQ4341">
            <v>0</v>
          </cell>
          <cell r="AV4341">
            <v>223771.5</v>
          </cell>
        </row>
        <row r="4342">
          <cell r="E4342" t="str">
            <v>A26000162</v>
          </cell>
          <cell r="AP4342">
            <v>0</v>
          </cell>
          <cell r="AQ4342">
            <v>0</v>
          </cell>
          <cell r="AV4342">
            <v>52328.5</v>
          </cell>
        </row>
        <row r="4343">
          <cell r="E4343" t="str">
            <v>A26000164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A26000167</v>
          </cell>
          <cell r="AP4344">
            <v>0</v>
          </cell>
          <cell r="AQ4344">
            <v>0</v>
          </cell>
          <cell r="AV4344">
            <v>23856.075000000001</v>
          </cell>
        </row>
        <row r="4345">
          <cell r="E4345" t="str">
            <v>A26000167</v>
          </cell>
          <cell r="AP4345">
            <v>0</v>
          </cell>
          <cell r="AQ4345">
            <v>0</v>
          </cell>
          <cell r="AV4345">
            <v>6948.9249999999993</v>
          </cell>
        </row>
        <row r="4346">
          <cell r="E4346" t="str">
            <v>A26000171</v>
          </cell>
          <cell r="AP4346">
            <v>0</v>
          </cell>
          <cell r="AQ4346">
            <v>0</v>
          </cell>
          <cell r="AV4346">
            <v>247950.92</v>
          </cell>
        </row>
        <row r="4347">
          <cell r="E4347" t="str">
            <v>A26000171</v>
          </cell>
          <cell r="AP4347">
            <v>0</v>
          </cell>
          <cell r="AQ4347">
            <v>0</v>
          </cell>
          <cell r="AV4347">
            <v>57817.079999999987</v>
          </cell>
        </row>
        <row r="4348">
          <cell r="E4348" t="str">
            <v>A26000172</v>
          </cell>
          <cell r="AP4348">
            <v>0</v>
          </cell>
          <cell r="AQ4348">
            <v>0</v>
          </cell>
          <cell r="AV4348">
            <v>300194.05</v>
          </cell>
        </row>
        <row r="4349">
          <cell r="E4349" t="str">
            <v>A26000172</v>
          </cell>
          <cell r="AP4349">
            <v>0</v>
          </cell>
          <cell r="AQ4349">
            <v>0</v>
          </cell>
          <cell r="AV4349">
            <v>69675.950000000012</v>
          </cell>
        </row>
        <row r="4350">
          <cell r="E4350" t="str">
            <v>A26000173</v>
          </cell>
          <cell r="AP4350">
            <v>0</v>
          </cell>
          <cell r="AQ4350">
            <v>0</v>
          </cell>
          <cell r="AV4350">
            <v>143216.9</v>
          </cell>
        </row>
        <row r="4351">
          <cell r="E4351" t="str">
            <v>A26000173</v>
          </cell>
          <cell r="AP4351">
            <v>0</v>
          </cell>
          <cell r="AQ4351">
            <v>0</v>
          </cell>
          <cell r="AV4351">
            <v>34043.100000000006</v>
          </cell>
        </row>
        <row r="4352">
          <cell r="E4352" t="str">
            <v>A26000174</v>
          </cell>
          <cell r="AP4352">
            <v>0</v>
          </cell>
          <cell r="AQ4352">
            <v>0</v>
          </cell>
          <cell r="AV4352">
            <v>391188.8</v>
          </cell>
        </row>
        <row r="4353">
          <cell r="E4353" t="str">
            <v>A26000174</v>
          </cell>
          <cell r="AP4353">
            <v>0</v>
          </cell>
          <cell r="AQ4353">
            <v>0</v>
          </cell>
          <cell r="AV4353">
            <v>90331.200000000012</v>
          </cell>
        </row>
        <row r="4354">
          <cell r="E4354" t="str">
            <v>A26000176</v>
          </cell>
          <cell r="AP4354">
            <v>0</v>
          </cell>
          <cell r="AQ4354">
            <v>0</v>
          </cell>
          <cell r="AV4354">
            <v>37503.25</v>
          </cell>
        </row>
        <row r="4355">
          <cell r="E4355" t="str">
            <v>A26000176</v>
          </cell>
          <cell r="AP4355">
            <v>0</v>
          </cell>
          <cell r="AQ4355">
            <v>0</v>
          </cell>
          <cell r="AV4355">
            <v>10046.75</v>
          </cell>
        </row>
        <row r="4356">
          <cell r="E4356" t="str">
            <v>A26000177</v>
          </cell>
          <cell r="AP4356">
            <v>0</v>
          </cell>
          <cell r="AQ4356">
            <v>0</v>
          </cell>
          <cell r="AV4356">
            <v>141065.29999999999</v>
          </cell>
        </row>
        <row r="4357">
          <cell r="E4357" t="str">
            <v>A26000177</v>
          </cell>
          <cell r="AP4357">
            <v>0</v>
          </cell>
          <cell r="AQ4357">
            <v>0</v>
          </cell>
          <cell r="AV4357">
            <v>33554.700000000012</v>
          </cell>
        </row>
        <row r="4358">
          <cell r="E4358" t="str">
            <v>A26000178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A26000179</v>
          </cell>
          <cell r="AP4359">
            <v>0</v>
          </cell>
          <cell r="AQ4359">
            <v>0</v>
          </cell>
          <cell r="AV4359">
            <v>63624</v>
          </cell>
        </row>
        <row r="4360">
          <cell r="E4360" t="str">
            <v>A26000179</v>
          </cell>
          <cell r="AP4360">
            <v>0</v>
          </cell>
          <cell r="AQ4360">
            <v>0</v>
          </cell>
          <cell r="AV4360">
            <v>15976</v>
          </cell>
        </row>
        <row r="4361">
          <cell r="E4361" t="str">
            <v>A26000180</v>
          </cell>
          <cell r="AP4361">
            <v>0</v>
          </cell>
          <cell r="AQ4361">
            <v>0</v>
          </cell>
          <cell r="AV4361">
            <v>26327.154999999999</v>
          </cell>
        </row>
        <row r="4362">
          <cell r="E4362" t="str">
            <v>A26000180</v>
          </cell>
          <cell r="AP4362">
            <v>0</v>
          </cell>
          <cell r="AQ4362">
            <v>0</v>
          </cell>
          <cell r="AV4362">
            <v>7509.8450000000012</v>
          </cell>
        </row>
        <row r="4363">
          <cell r="E4363" t="str">
            <v>A26000181</v>
          </cell>
          <cell r="AP4363">
            <v>0</v>
          </cell>
          <cell r="AQ4363">
            <v>0</v>
          </cell>
          <cell r="AV4363">
            <v>29615.68</v>
          </cell>
        </row>
        <row r="4364">
          <cell r="E4364" t="str">
            <v>A26000181</v>
          </cell>
          <cell r="AP4364">
            <v>0</v>
          </cell>
          <cell r="AQ4364">
            <v>0</v>
          </cell>
          <cell r="AV4364">
            <v>8256.32</v>
          </cell>
        </row>
        <row r="4365">
          <cell r="E4365" t="str">
            <v>A26000182</v>
          </cell>
          <cell r="AP4365">
            <v>0</v>
          </cell>
          <cell r="AQ4365">
            <v>0</v>
          </cell>
          <cell r="AV4365">
            <v>65223.03</v>
          </cell>
        </row>
        <row r="4366">
          <cell r="E4366" t="str">
            <v>A26000182</v>
          </cell>
          <cell r="AP4366">
            <v>0</v>
          </cell>
          <cell r="AQ4366">
            <v>0</v>
          </cell>
          <cell r="AV4366">
            <v>16338.970000000001</v>
          </cell>
        </row>
        <row r="4367">
          <cell r="E4367" t="str">
            <v>A26000185</v>
          </cell>
          <cell r="AP4367">
            <v>0</v>
          </cell>
          <cell r="AQ4367">
            <v>0</v>
          </cell>
          <cell r="AV4367">
            <v>48057.5</v>
          </cell>
        </row>
        <row r="4368">
          <cell r="E4368" t="str">
            <v>A26000185</v>
          </cell>
          <cell r="AP4368">
            <v>0</v>
          </cell>
          <cell r="AQ4368">
            <v>0</v>
          </cell>
          <cell r="AV4368">
            <v>12442.5</v>
          </cell>
        </row>
        <row r="4369">
          <cell r="E4369" t="str">
            <v>A26000186</v>
          </cell>
          <cell r="AP4369">
            <v>0</v>
          </cell>
          <cell r="AQ4369">
            <v>0</v>
          </cell>
          <cell r="AV4369">
            <v>29092.45</v>
          </cell>
        </row>
        <row r="4370">
          <cell r="E4370" t="str">
            <v>A26000186</v>
          </cell>
          <cell r="AP4370">
            <v>0</v>
          </cell>
          <cell r="AQ4370">
            <v>0</v>
          </cell>
          <cell r="AV4370">
            <v>8137.5499999999993</v>
          </cell>
        </row>
        <row r="4371">
          <cell r="E4371" t="str">
            <v>A26000187</v>
          </cell>
          <cell r="AP4371">
            <v>0</v>
          </cell>
          <cell r="AQ4371">
            <v>0</v>
          </cell>
          <cell r="AV4371">
            <v>136635.77499999999</v>
          </cell>
        </row>
        <row r="4372">
          <cell r="E4372" t="str">
            <v>A26000187</v>
          </cell>
          <cell r="AP4372">
            <v>0</v>
          </cell>
          <cell r="AQ4372">
            <v>0</v>
          </cell>
          <cell r="AV4372">
            <v>32549.225000000006</v>
          </cell>
        </row>
        <row r="4373">
          <cell r="E4373" t="str">
            <v>A26000189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A26000190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A26000191</v>
          </cell>
          <cell r="AP4375">
            <v>0</v>
          </cell>
          <cell r="AQ4375">
            <v>0</v>
          </cell>
          <cell r="AV4375">
            <v>43230.255000000005</v>
          </cell>
        </row>
        <row r="4376">
          <cell r="E4376" t="str">
            <v>A26000191</v>
          </cell>
          <cell r="AP4376">
            <v>0</v>
          </cell>
          <cell r="AQ4376">
            <v>0</v>
          </cell>
          <cell r="AV4376">
            <v>11346.744999999995</v>
          </cell>
        </row>
        <row r="4377">
          <cell r="E4377" t="str">
            <v>A26000192</v>
          </cell>
          <cell r="AP4377">
            <v>0</v>
          </cell>
          <cell r="AQ4377">
            <v>0</v>
          </cell>
          <cell r="AV4377">
            <v>140046.54999999999</v>
          </cell>
        </row>
        <row r="4378">
          <cell r="E4378" t="str">
            <v>A26000192</v>
          </cell>
          <cell r="AP4378">
            <v>0</v>
          </cell>
          <cell r="AQ4378">
            <v>0</v>
          </cell>
          <cell r="AV4378">
            <v>33323.450000000012</v>
          </cell>
        </row>
        <row r="4379">
          <cell r="E4379" t="str">
            <v>A26000193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A26000199</v>
          </cell>
          <cell r="AP4380">
            <v>0</v>
          </cell>
          <cell r="AQ4380">
            <v>0</v>
          </cell>
          <cell r="AV4380">
            <v>702612.52500000002</v>
          </cell>
        </row>
        <row r="4381">
          <cell r="E4381" t="str">
            <v>A26000199</v>
          </cell>
          <cell r="AP4381">
            <v>0</v>
          </cell>
          <cell r="AQ4381">
            <v>0</v>
          </cell>
          <cell r="AV4381">
            <v>161022.47499999998</v>
          </cell>
        </row>
        <row r="4382">
          <cell r="E4382" t="str">
            <v>A26000200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A26000201</v>
          </cell>
          <cell r="AP4383">
            <v>0</v>
          </cell>
          <cell r="AQ4383">
            <v>0</v>
          </cell>
          <cell r="AV4383">
            <v>34328.824999999997</v>
          </cell>
        </row>
        <row r="4384">
          <cell r="E4384" t="str">
            <v>A26000201</v>
          </cell>
          <cell r="AP4384">
            <v>0</v>
          </cell>
          <cell r="AQ4384">
            <v>0</v>
          </cell>
          <cell r="AV4384">
            <v>9326.1750000000029</v>
          </cell>
        </row>
        <row r="4385">
          <cell r="E4385" t="str">
            <v>A26000202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A26000203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A26000204</v>
          </cell>
          <cell r="AP4387">
            <v>0</v>
          </cell>
          <cell r="AQ4387">
            <v>0</v>
          </cell>
          <cell r="AV4387">
            <v>63624</v>
          </cell>
        </row>
        <row r="4388">
          <cell r="E4388" t="str">
            <v>A26000204</v>
          </cell>
          <cell r="AP4388">
            <v>0</v>
          </cell>
          <cell r="AQ4388">
            <v>0</v>
          </cell>
          <cell r="AV4388">
            <v>15976</v>
          </cell>
        </row>
        <row r="4389">
          <cell r="E4389" t="str">
            <v>A26000205</v>
          </cell>
          <cell r="AP4389">
            <v>0</v>
          </cell>
          <cell r="AQ4389">
            <v>0</v>
          </cell>
          <cell r="AV4389">
            <v>72553.955000000002</v>
          </cell>
        </row>
        <row r="4390">
          <cell r="E4390" t="str">
            <v>A26000205</v>
          </cell>
          <cell r="AP4390">
            <v>0</v>
          </cell>
          <cell r="AQ4390">
            <v>0</v>
          </cell>
          <cell r="AV4390">
            <v>18003.044999999998</v>
          </cell>
        </row>
        <row r="4391">
          <cell r="E4391" t="str">
            <v>A26000206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A26000207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A26000209</v>
          </cell>
          <cell r="AP4393">
            <v>0</v>
          </cell>
          <cell r="AQ4393">
            <v>0</v>
          </cell>
          <cell r="AV4393">
            <v>111798.65</v>
          </cell>
        </row>
        <row r="4394">
          <cell r="E4394" t="str">
            <v>A26000209</v>
          </cell>
          <cell r="AP4394">
            <v>0</v>
          </cell>
          <cell r="AQ4394">
            <v>0</v>
          </cell>
          <cell r="AV4394">
            <v>26911.350000000006</v>
          </cell>
        </row>
        <row r="4395">
          <cell r="E4395" t="str">
            <v>A26000210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A26000213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A26000214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A26000215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A26000216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A26000217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A26000218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A26000219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A26000220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A26000221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A26000222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A26000223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A26000227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A26000228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A26000229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A26000230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A26000231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A26000236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A26000237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A26000238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A26000239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A26000240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A26000241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A26000242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A26000243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A26000244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A26000246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A26000247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A26000248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A26000249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A26000252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A26000253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A26000254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A26000255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A26000256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A25002320</v>
          </cell>
          <cell r="AP4430">
            <v>54000</v>
          </cell>
          <cell r="AQ4430">
            <v>0</v>
          </cell>
          <cell r="AV4430">
            <v>0</v>
          </cell>
        </row>
        <row r="4431">
          <cell r="E4431" t="str">
            <v>A26000014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A26000060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A26000118</v>
          </cell>
          <cell r="AP4433">
            <v>0</v>
          </cell>
          <cell r="AQ4433">
            <v>0</v>
          </cell>
          <cell r="AV4433">
            <v>42000.625</v>
          </cell>
        </row>
        <row r="4434">
          <cell r="E4434" t="str">
            <v>A26000118</v>
          </cell>
          <cell r="AP4434">
            <v>0</v>
          </cell>
          <cell r="AQ4434">
            <v>0</v>
          </cell>
          <cell r="AV4434">
            <v>11374.375</v>
          </cell>
        </row>
        <row r="4435">
          <cell r="E4435" t="str">
            <v>A26000143</v>
          </cell>
          <cell r="AP4435">
            <v>0</v>
          </cell>
          <cell r="AQ4435">
            <v>0</v>
          </cell>
          <cell r="AV4435">
            <v>132160</v>
          </cell>
        </row>
        <row r="4436">
          <cell r="E4436" t="str">
            <v>A26000143</v>
          </cell>
          <cell r="AP4436">
            <v>0</v>
          </cell>
          <cell r="AQ4436">
            <v>0</v>
          </cell>
          <cell r="AV4436">
            <v>31840</v>
          </cell>
        </row>
        <row r="4437">
          <cell r="E4437" t="str">
            <v>A26000175</v>
          </cell>
          <cell r="AP4437">
            <v>0</v>
          </cell>
          <cell r="AQ4437">
            <v>0</v>
          </cell>
          <cell r="AV4437">
            <v>19078.75</v>
          </cell>
        </row>
        <row r="4438">
          <cell r="E4438" t="str">
            <v>A26000175</v>
          </cell>
          <cell r="AP4438">
            <v>0</v>
          </cell>
          <cell r="AQ4438">
            <v>0</v>
          </cell>
          <cell r="AV4438">
            <v>6171.25</v>
          </cell>
        </row>
        <row r="4439">
          <cell r="E4439" t="str">
            <v>A26000183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A26000184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A26000188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A26000194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A26000195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A26000196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A26000197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A26000198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A26000208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A26000211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A26000212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A26000224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A26000225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A26000226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A26000232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A26000233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A26000234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A26000235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A26000245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A26000250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A26000251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A26000258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D26000155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B26000336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B26000155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D26002229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B25015869</v>
          </cell>
          <cell r="AP4465">
            <v>0</v>
          </cell>
          <cell r="AQ4465">
            <v>0</v>
          </cell>
          <cell r="AV4465">
            <v>4432500</v>
          </cell>
        </row>
        <row r="4466">
          <cell r="E4466" t="str">
            <v>B25016602</v>
          </cell>
          <cell r="AP4466">
            <v>0</v>
          </cell>
          <cell r="AQ4466">
            <v>0</v>
          </cell>
          <cell r="AV4466">
            <v>3530000</v>
          </cell>
        </row>
        <row r="4467">
          <cell r="E4467" t="str">
            <v>D26000826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T26000090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B26001266</v>
          </cell>
          <cell r="AP4469">
            <v>0</v>
          </cell>
          <cell r="AQ4469">
            <v>0</v>
          </cell>
          <cell r="AV4469">
            <v>2037500</v>
          </cell>
        </row>
        <row r="4470">
          <cell r="E4470" t="str">
            <v>D26002468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T25001846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B26000627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B26001731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D26001894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B26002295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B26002299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D25019021</v>
          </cell>
          <cell r="AP4477">
            <v>0</v>
          </cell>
          <cell r="AQ4477">
            <v>0</v>
          </cell>
          <cell r="AV4477">
            <v>9000000</v>
          </cell>
        </row>
        <row r="4478">
          <cell r="E4478" t="str">
            <v>D25019021</v>
          </cell>
          <cell r="AP4478">
            <v>0</v>
          </cell>
          <cell r="AQ4478">
            <v>0</v>
          </cell>
          <cell r="AV4478">
            <v>10000000</v>
          </cell>
        </row>
        <row r="4479">
          <cell r="E4479" t="str">
            <v>D25016703</v>
          </cell>
          <cell r="AP4479">
            <v>0</v>
          </cell>
          <cell r="AQ4479">
            <v>0</v>
          </cell>
          <cell r="AV4479">
            <v>285218900</v>
          </cell>
        </row>
        <row r="4480">
          <cell r="E4480" t="str">
            <v>B25016707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B25016708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B26000051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D26000324</v>
          </cell>
          <cell r="AP4483">
            <v>0</v>
          </cell>
          <cell r="AQ4483">
            <v>0</v>
          </cell>
          <cell r="AV4483">
            <v>15920000</v>
          </cell>
        </row>
        <row r="4484">
          <cell r="E4484" t="str">
            <v>D26000607</v>
          </cell>
          <cell r="AP4484">
            <v>0</v>
          </cell>
          <cell r="AQ4484">
            <v>0</v>
          </cell>
          <cell r="AV4484">
            <v>13310000</v>
          </cell>
        </row>
        <row r="4485">
          <cell r="E4485" t="str">
            <v>D26001548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D26002084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D26002093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B25015031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D25017570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D25017851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B25015708</v>
          </cell>
          <cell r="AP4491">
            <v>0</v>
          </cell>
          <cell r="AQ4491">
            <v>0</v>
          </cell>
          <cell r="AV4491">
            <v>64680000</v>
          </cell>
        </row>
        <row r="4492">
          <cell r="E4492" t="str">
            <v>D25018202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D25018246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D25018677</v>
          </cell>
          <cell r="AP4494">
            <v>0</v>
          </cell>
          <cell r="AQ4494">
            <v>111650000</v>
          </cell>
          <cell r="AV4494">
            <v>0</v>
          </cell>
        </row>
        <row r="4495">
          <cell r="E4495" t="str">
            <v>D25018814</v>
          </cell>
          <cell r="AP4495">
            <v>0</v>
          </cell>
          <cell r="AQ4495">
            <v>184800000</v>
          </cell>
          <cell r="AV4495">
            <v>0</v>
          </cell>
        </row>
        <row r="4496">
          <cell r="E4496" t="str">
            <v>D25018815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D25018817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D25019193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D25019219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D26000116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B26000296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D26001342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D26001717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D26001786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D26001823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D26001842</v>
          </cell>
          <cell r="AP4506">
            <v>0</v>
          </cell>
          <cell r="AQ4506">
            <v>0</v>
          </cell>
          <cell r="AV4506">
            <v>6750000</v>
          </cell>
        </row>
        <row r="4507">
          <cell r="E4507" t="str">
            <v>D26001909</v>
          </cell>
          <cell r="AP4507">
            <v>0</v>
          </cell>
          <cell r="AQ4507">
            <v>36450000</v>
          </cell>
          <cell r="AV4507">
            <v>0</v>
          </cell>
        </row>
        <row r="4508">
          <cell r="E4508" t="str">
            <v>D26001974</v>
          </cell>
          <cell r="AP4508">
            <v>0</v>
          </cell>
          <cell r="AQ4508">
            <v>0</v>
          </cell>
          <cell r="AV4508">
            <v>46200000</v>
          </cell>
        </row>
        <row r="4509">
          <cell r="E4509" t="str">
            <v>B26001928</v>
          </cell>
          <cell r="AP4509">
            <v>0</v>
          </cell>
          <cell r="AQ4509">
            <v>0</v>
          </cell>
          <cell r="AV4509">
            <v>13500000</v>
          </cell>
        </row>
        <row r="4510">
          <cell r="E4510" t="str">
            <v>D26002040</v>
          </cell>
          <cell r="AP4510">
            <v>0</v>
          </cell>
          <cell r="AQ4510">
            <v>0</v>
          </cell>
          <cell r="AV4510">
            <v>263000000</v>
          </cell>
        </row>
        <row r="4511">
          <cell r="E4511" t="str">
            <v>D26002044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B26002279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D25013126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D25018753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D25018896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D25018897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D25018897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D25019002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B25016680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D25019416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D25019602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D25019603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B26000026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B26000026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D26000082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B26001378</v>
          </cell>
          <cell r="AP4527">
            <v>0</v>
          </cell>
          <cell r="AQ4527">
            <v>0</v>
          </cell>
          <cell r="AV4527">
            <v>133000000</v>
          </cell>
        </row>
        <row r="4528">
          <cell r="E4528" t="str">
            <v>D26001502</v>
          </cell>
          <cell r="AP4528">
            <v>0</v>
          </cell>
          <cell r="AQ4528">
            <v>61125000</v>
          </cell>
          <cell r="AV4528">
            <v>0</v>
          </cell>
        </row>
        <row r="4529">
          <cell r="E4529" t="str">
            <v>B26001421</v>
          </cell>
          <cell r="AP4529">
            <v>0</v>
          </cell>
          <cell r="AQ4529">
            <v>8400000</v>
          </cell>
          <cell r="AV4529">
            <v>0</v>
          </cell>
        </row>
        <row r="4530">
          <cell r="E4530" t="str">
            <v>B26001422</v>
          </cell>
          <cell r="AP4530">
            <v>0</v>
          </cell>
          <cell r="AQ4530">
            <v>30475000</v>
          </cell>
          <cell r="AV4530">
            <v>0</v>
          </cell>
        </row>
        <row r="4531">
          <cell r="E4531" t="str">
            <v>B26001422</v>
          </cell>
          <cell r="AP4531">
            <v>0</v>
          </cell>
          <cell r="AQ4531">
            <v>13025000</v>
          </cell>
          <cell r="AV4531">
            <v>0</v>
          </cell>
        </row>
        <row r="4532">
          <cell r="E4532" t="str">
            <v>B26001426</v>
          </cell>
          <cell r="AP4532">
            <v>0</v>
          </cell>
          <cell r="AQ4532">
            <v>186975000</v>
          </cell>
          <cell r="AV4532">
            <v>0</v>
          </cell>
        </row>
        <row r="4533">
          <cell r="E4533" t="str">
            <v>B26001426</v>
          </cell>
          <cell r="AP4533">
            <v>0</v>
          </cell>
          <cell r="AQ4533">
            <v>64025000</v>
          </cell>
          <cell r="AV4533">
            <v>0</v>
          </cell>
        </row>
        <row r="4534">
          <cell r="E4534" t="str">
            <v>D26001606</v>
          </cell>
          <cell r="AP4534">
            <v>0</v>
          </cell>
          <cell r="AQ4534">
            <v>0</v>
          </cell>
          <cell r="AV4534">
            <v>156000000</v>
          </cell>
        </row>
        <row r="4535">
          <cell r="E4535" t="str">
            <v>D26001722</v>
          </cell>
          <cell r="AP4535">
            <v>0</v>
          </cell>
          <cell r="AQ4535">
            <v>0</v>
          </cell>
          <cell r="AV4535">
            <v>357000000</v>
          </cell>
        </row>
        <row r="4536">
          <cell r="E4536" t="str">
            <v>D26001761</v>
          </cell>
          <cell r="AP4536">
            <v>0</v>
          </cell>
          <cell r="AQ4536">
            <v>47625000</v>
          </cell>
          <cell r="AV4536">
            <v>0</v>
          </cell>
        </row>
        <row r="4537">
          <cell r="E4537" t="str">
            <v>D26001814</v>
          </cell>
          <cell r="AP4537">
            <v>0</v>
          </cell>
          <cell r="AQ4537">
            <v>81500000</v>
          </cell>
          <cell r="AV4537">
            <v>0</v>
          </cell>
        </row>
        <row r="4538">
          <cell r="E4538" t="str">
            <v>D26001898</v>
          </cell>
          <cell r="AP4538">
            <v>0</v>
          </cell>
          <cell r="AQ4538">
            <v>0</v>
          </cell>
          <cell r="AV4538">
            <v>187000000</v>
          </cell>
        </row>
        <row r="4539">
          <cell r="E4539" t="str">
            <v>D26001950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D26001991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B26001957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D26002108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D26002138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B26002136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D26002304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D26002390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D26002391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D26002392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D26002442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B26000217</v>
          </cell>
          <cell r="AP4550">
            <v>0</v>
          </cell>
          <cell r="AQ4550">
            <v>0</v>
          </cell>
          <cell r="AV4550">
            <v>3985000</v>
          </cell>
        </row>
        <row r="4551">
          <cell r="E4551" t="str">
            <v>B26000603</v>
          </cell>
          <cell r="AP4551">
            <v>0</v>
          </cell>
          <cell r="AQ4551">
            <v>0</v>
          </cell>
          <cell r="AV4551">
            <v>2607500</v>
          </cell>
        </row>
        <row r="4552">
          <cell r="E4552" t="str">
            <v>D26000728</v>
          </cell>
          <cell r="AP4552">
            <v>0</v>
          </cell>
          <cell r="AQ4552">
            <v>0</v>
          </cell>
          <cell r="AV4552">
            <v>730000</v>
          </cell>
        </row>
        <row r="4553">
          <cell r="E4553" t="str">
            <v>D26001022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T26000070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B26001697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T26000120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T26000121k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D26002377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T25001688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B25016829</v>
          </cell>
          <cell r="AP4560">
            <v>0</v>
          </cell>
          <cell r="AQ4560">
            <v>0</v>
          </cell>
          <cell r="AV4560">
            <v>8690000</v>
          </cell>
        </row>
        <row r="4561">
          <cell r="E4561" t="str">
            <v>B25016830</v>
          </cell>
          <cell r="AP4561">
            <v>0</v>
          </cell>
          <cell r="AQ4561">
            <v>0</v>
          </cell>
          <cell r="AV4561">
            <v>2760000</v>
          </cell>
        </row>
        <row r="4562">
          <cell r="E4562" t="str">
            <v>D25019556</v>
          </cell>
          <cell r="AP4562">
            <v>0</v>
          </cell>
          <cell r="AQ4562">
            <v>0</v>
          </cell>
          <cell r="AV4562">
            <v>3400000</v>
          </cell>
        </row>
        <row r="4563">
          <cell r="E4563" t="str">
            <v>D25019558</v>
          </cell>
          <cell r="AP4563">
            <v>0</v>
          </cell>
          <cell r="AQ4563">
            <v>0</v>
          </cell>
          <cell r="AV4563">
            <v>8545000</v>
          </cell>
        </row>
        <row r="4564">
          <cell r="E4564" t="str">
            <v>D25019566</v>
          </cell>
          <cell r="AP4564">
            <v>0</v>
          </cell>
          <cell r="AQ4564">
            <v>0</v>
          </cell>
          <cell r="AV4564">
            <v>855000</v>
          </cell>
        </row>
        <row r="4565">
          <cell r="E4565" t="str">
            <v>D25019571</v>
          </cell>
          <cell r="AP4565">
            <v>0</v>
          </cell>
          <cell r="AQ4565">
            <v>0</v>
          </cell>
          <cell r="AV4565">
            <v>3300000</v>
          </cell>
        </row>
        <row r="4566">
          <cell r="E4566" t="str">
            <v>D25019672</v>
          </cell>
          <cell r="AP4566">
            <v>0</v>
          </cell>
          <cell r="AQ4566">
            <v>0</v>
          </cell>
          <cell r="AV4566">
            <v>3500000</v>
          </cell>
        </row>
        <row r="4567">
          <cell r="E4567" t="str">
            <v>D25019688</v>
          </cell>
          <cell r="AP4567">
            <v>0</v>
          </cell>
          <cell r="AQ4567">
            <v>0</v>
          </cell>
          <cell r="AV4567">
            <v>5535000</v>
          </cell>
        </row>
        <row r="4568">
          <cell r="E4568" t="str">
            <v>B26000656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B26000673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B26000674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B26000675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B26000692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B26001193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B26001719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B26001720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B26001721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B26001823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B25016204</v>
          </cell>
          <cell r="AP4578">
            <v>0</v>
          </cell>
          <cell r="AQ4578">
            <v>0</v>
          </cell>
          <cell r="AV4578">
            <v>10600000</v>
          </cell>
        </row>
        <row r="4579">
          <cell r="E4579" t="str">
            <v>B25016569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B25016864</v>
          </cell>
          <cell r="AP4580">
            <v>0</v>
          </cell>
          <cell r="AQ4580">
            <v>0</v>
          </cell>
          <cell r="AV4580">
            <v>7315000</v>
          </cell>
        </row>
        <row r="4581">
          <cell r="E4581" t="str">
            <v>B25016879</v>
          </cell>
          <cell r="AP4581">
            <v>0</v>
          </cell>
          <cell r="AQ4581">
            <v>0</v>
          </cell>
          <cell r="AV4581">
            <v>11685000</v>
          </cell>
        </row>
        <row r="4582">
          <cell r="E4582" t="str">
            <v>B25016879</v>
          </cell>
          <cell r="AP4582">
            <v>0</v>
          </cell>
          <cell r="AQ4582">
            <v>0</v>
          </cell>
          <cell r="AV4582">
            <v>38315000</v>
          </cell>
        </row>
        <row r="4583">
          <cell r="E4583" t="str">
            <v>D26000118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D26000455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D26000456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B26002080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B26002081</v>
          </cell>
          <cell r="AP4587">
            <v>0</v>
          </cell>
          <cell r="AQ4587">
            <v>0</v>
          </cell>
          <cell r="AV4587">
            <v>9900000</v>
          </cell>
        </row>
        <row r="4588">
          <cell r="E4588" t="str">
            <v>B26002082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B26002083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D26000605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D26000834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D26001066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D26001545</v>
          </cell>
          <cell r="AP4593">
            <v>0</v>
          </cell>
          <cell r="AQ4593">
            <v>0</v>
          </cell>
          <cell r="AV4593">
            <v>4200000</v>
          </cell>
        </row>
        <row r="4594">
          <cell r="E4594" t="str">
            <v>B26001756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D26001848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B26002221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T25001572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D26000847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D26001198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B26001883</v>
          </cell>
          <cell r="AP4600">
            <v>0</v>
          </cell>
          <cell r="AQ4600">
            <v>0</v>
          </cell>
          <cell r="AV4600">
            <v>5700000</v>
          </cell>
        </row>
        <row r="4601">
          <cell r="E4601" t="str">
            <v>D26002228</v>
          </cell>
          <cell r="AP4601">
            <v>0</v>
          </cell>
          <cell r="AQ4601">
            <v>0</v>
          </cell>
          <cell r="AV4601">
            <v>2100000</v>
          </cell>
        </row>
        <row r="4602">
          <cell r="E4602" t="str">
            <v>B25016111</v>
          </cell>
          <cell r="AP4602">
            <v>0</v>
          </cell>
          <cell r="AQ4602">
            <v>0</v>
          </cell>
          <cell r="AV4602">
            <v>3100000</v>
          </cell>
        </row>
        <row r="4603">
          <cell r="E4603" t="str">
            <v>B25016220</v>
          </cell>
          <cell r="AP4603">
            <v>0</v>
          </cell>
          <cell r="AQ4603">
            <v>0</v>
          </cell>
          <cell r="AV4603">
            <v>2150000</v>
          </cell>
        </row>
        <row r="4604">
          <cell r="E4604" t="str">
            <v>B25016230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D25018668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T25001414</v>
          </cell>
          <cell r="AP4606">
            <v>1316250</v>
          </cell>
          <cell r="AQ4606">
            <v>0</v>
          </cell>
          <cell r="AV4606">
            <v>0</v>
          </cell>
        </row>
        <row r="4607">
          <cell r="E4607" t="str">
            <v>T25001414</v>
          </cell>
          <cell r="AP4607">
            <v>0</v>
          </cell>
          <cell r="AQ4607">
            <v>0</v>
          </cell>
          <cell r="AV4607">
            <v>383750</v>
          </cell>
        </row>
        <row r="4608">
          <cell r="E4608" t="str">
            <v>D25014916</v>
          </cell>
          <cell r="AP4608">
            <v>5695000</v>
          </cell>
          <cell r="AQ4608">
            <v>0</v>
          </cell>
          <cell r="AV4608">
            <v>0</v>
          </cell>
        </row>
        <row r="4609">
          <cell r="E4609" t="str">
            <v>D25014916</v>
          </cell>
          <cell r="AP4609">
            <v>0</v>
          </cell>
          <cell r="AQ4609">
            <v>0</v>
          </cell>
          <cell r="AV4609">
            <v>1105000</v>
          </cell>
        </row>
        <row r="4610">
          <cell r="E4610" t="str">
            <v>B26001420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B26001979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B25016555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D26000024</v>
          </cell>
          <cell r="AP4613">
            <v>0</v>
          </cell>
          <cell r="AQ4613">
            <v>0</v>
          </cell>
          <cell r="AV4613">
            <v>4000000</v>
          </cell>
        </row>
        <row r="4614">
          <cell r="E4614" t="str">
            <v>B26000460</v>
          </cell>
          <cell r="AP4614">
            <v>0</v>
          </cell>
          <cell r="AQ4614">
            <v>0</v>
          </cell>
          <cell r="AV4614">
            <v>20800000</v>
          </cell>
        </row>
        <row r="4615">
          <cell r="E4615" t="str">
            <v>B26000469</v>
          </cell>
          <cell r="AP4615">
            <v>0</v>
          </cell>
          <cell r="AQ4615">
            <v>0</v>
          </cell>
          <cell r="AV4615">
            <v>2250000</v>
          </cell>
        </row>
        <row r="4616">
          <cell r="E4616" t="str">
            <v>B26000484</v>
          </cell>
          <cell r="AP4616">
            <v>0</v>
          </cell>
          <cell r="AQ4616">
            <v>0</v>
          </cell>
          <cell r="AV4616">
            <v>14750000</v>
          </cell>
        </row>
        <row r="4617">
          <cell r="E4617" t="str">
            <v>D26000736</v>
          </cell>
          <cell r="AP4617">
            <v>3120000</v>
          </cell>
          <cell r="AQ4617">
            <v>0</v>
          </cell>
          <cell r="AV4617">
            <v>0</v>
          </cell>
        </row>
        <row r="4618">
          <cell r="E4618" t="str">
            <v>D26000807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D26000979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D26001218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B26001254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D26001412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B26001544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B26001771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D26002214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B25015299</v>
          </cell>
          <cell r="AP4626">
            <v>0</v>
          </cell>
          <cell r="AQ4626">
            <v>0</v>
          </cell>
          <cell r="AV4626">
            <v>3339000</v>
          </cell>
        </row>
        <row r="4627">
          <cell r="E4627" t="str">
            <v>L25000055</v>
          </cell>
          <cell r="AP4627">
            <v>0</v>
          </cell>
          <cell r="AQ4627">
            <v>0</v>
          </cell>
          <cell r="AV4627">
            <v>1206000</v>
          </cell>
        </row>
        <row r="4628">
          <cell r="E4628" t="str">
            <v>B25016854</v>
          </cell>
          <cell r="AP4628">
            <v>0</v>
          </cell>
          <cell r="AQ4628">
            <v>0</v>
          </cell>
          <cell r="AV4628">
            <v>1700000</v>
          </cell>
        </row>
        <row r="4629">
          <cell r="E4629" t="str">
            <v>D25019472</v>
          </cell>
          <cell r="AP4629">
            <v>0</v>
          </cell>
          <cell r="AQ4629">
            <v>0</v>
          </cell>
          <cell r="AV4629">
            <v>1240000</v>
          </cell>
        </row>
        <row r="4630">
          <cell r="E4630" t="str">
            <v>D26000075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D26000140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B26000899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B26000935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B26002154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B26000128</v>
          </cell>
          <cell r="AP4635">
            <v>0</v>
          </cell>
          <cell r="AQ4635">
            <v>0</v>
          </cell>
          <cell r="AV4635">
            <v>572500</v>
          </cell>
        </row>
        <row r="4636">
          <cell r="E4636" t="str">
            <v>D26000267</v>
          </cell>
          <cell r="AP4636">
            <v>0</v>
          </cell>
          <cell r="AQ4636">
            <v>0</v>
          </cell>
          <cell r="AV4636">
            <v>3427500</v>
          </cell>
        </row>
        <row r="4637">
          <cell r="E4637" t="str">
            <v>D26000267</v>
          </cell>
          <cell r="AP4637">
            <v>0</v>
          </cell>
          <cell r="AQ4637">
            <v>0</v>
          </cell>
          <cell r="AV4637">
            <v>3172500</v>
          </cell>
        </row>
        <row r="4638">
          <cell r="E4638" t="str">
            <v>B26001353</v>
          </cell>
          <cell r="AP4638">
            <v>0</v>
          </cell>
          <cell r="AQ4638">
            <v>0</v>
          </cell>
          <cell r="AV4638">
            <v>6020000</v>
          </cell>
        </row>
        <row r="4639">
          <cell r="E4639" t="str">
            <v>D26001460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D26001461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B26000669</v>
          </cell>
          <cell r="AP4641">
            <v>0</v>
          </cell>
          <cell r="AQ4641">
            <v>0</v>
          </cell>
          <cell r="AV4641">
            <v>13500000</v>
          </cell>
        </row>
        <row r="4642">
          <cell r="E4642" t="str">
            <v>B26001598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D25016298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D25016299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D25016434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B25014206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D25016491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D25016604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D25016638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D25016644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D25016648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D25016717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B25014496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B25014496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B25014521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B25014584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B25014584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B25014662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B25014786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B25014786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B25014787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B25014840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B25014879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B25014883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B25014884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D25017290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D25017291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B25015055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B25015056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B25015062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D25017388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D25017569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D25017569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D25017576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D25017578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B25015257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B25015259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B25015354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D25017763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D25017810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D25017866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D25017867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D25017990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B25015598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D25018031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D25018033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D25018260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D25018263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B25015923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B25016082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B25016108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B25016108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B25016109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B25016109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B25016109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B25016135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D25018533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D25018535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D25018566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D25018589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D25018600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D25018624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D25018624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D25018652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B25016253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B25016254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B25016329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B25016366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B25016462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B25016463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B25016463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B25016463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B25016463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B25016467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D25018945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B25016583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D25019041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D25019047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D25019074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D25019354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B25016951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B25016968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B25016976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B25017051</v>
          </cell>
          <cell r="AP4724">
            <v>0</v>
          </cell>
          <cell r="AQ4724">
            <v>91800000</v>
          </cell>
          <cell r="AV4724">
            <v>0</v>
          </cell>
        </row>
        <row r="4725">
          <cell r="E4725" t="str">
            <v>D25019669</v>
          </cell>
          <cell r="AP4725">
            <v>0</v>
          </cell>
          <cell r="AQ4725">
            <v>15500000</v>
          </cell>
          <cell r="AV4725">
            <v>0</v>
          </cell>
        </row>
        <row r="4726">
          <cell r="E4726" t="str">
            <v>B25017144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B26000011</v>
          </cell>
          <cell r="AP4727">
            <v>0</v>
          </cell>
          <cell r="AQ4727">
            <v>20345000</v>
          </cell>
          <cell r="AV4727">
            <v>0</v>
          </cell>
        </row>
        <row r="4728">
          <cell r="E4728" t="str">
            <v>D26000003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D26000004</v>
          </cell>
          <cell r="AP4729">
            <v>0</v>
          </cell>
          <cell r="AQ4729">
            <v>29250000</v>
          </cell>
          <cell r="AV4729">
            <v>0</v>
          </cell>
        </row>
        <row r="4730">
          <cell r="E4730" t="str">
            <v>D26000038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D26000043</v>
          </cell>
          <cell r="AP4731">
            <v>0</v>
          </cell>
          <cell r="AQ4731">
            <v>3150000</v>
          </cell>
          <cell r="AV4731">
            <v>0</v>
          </cell>
        </row>
        <row r="4732">
          <cell r="E4732" t="str">
            <v>B26000223</v>
          </cell>
          <cell r="AP4732">
            <v>0</v>
          </cell>
          <cell r="AQ4732">
            <v>39315000</v>
          </cell>
          <cell r="AV4732">
            <v>0</v>
          </cell>
        </row>
        <row r="4733">
          <cell r="E4733" t="str">
            <v>D26000251</v>
          </cell>
          <cell r="AP4733">
            <v>0</v>
          </cell>
          <cell r="AQ4733">
            <v>48100000</v>
          </cell>
          <cell r="AV4733">
            <v>0</v>
          </cell>
        </row>
        <row r="4734">
          <cell r="E4734" t="str">
            <v>D26000296</v>
          </cell>
          <cell r="AP4734">
            <v>0</v>
          </cell>
          <cell r="AQ4734">
            <v>98000000</v>
          </cell>
          <cell r="AV4734">
            <v>0</v>
          </cell>
        </row>
        <row r="4735">
          <cell r="E4735" t="str">
            <v>D26000305</v>
          </cell>
          <cell r="AP4735">
            <v>0</v>
          </cell>
          <cell r="AQ4735">
            <v>72000000</v>
          </cell>
          <cell r="AV4735">
            <v>0</v>
          </cell>
        </row>
        <row r="4736">
          <cell r="E4736" t="str">
            <v>D26000307</v>
          </cell>
          <cell r="AP4736">
            <v>0</v>
          </cell>
          <cell r="AQ4736">
            <v>164322000</v>
          </cell>
          <cell r="AV4736">
            <v>0</v>
          </cell>
        </row>
        <row r="4737">
          <cell r="E4737" t="str">
            <v>D26000320</v>
          </cell>
          <cell r="AP4737">
            <v>0</v>
          </cell>
          <cell r="AQ4737">
            <v>28300000</v>
          </cell>
          <cell r="AV4737">
            <v>0</v>
          </cell>
        </row>
        <row r="4738">
          <cell r="E4738" t="str">
            <v>D26000328</v>
          </cell>
          <cell r="AP4738">
            <v>0</v>
          </cell>
          <cell r="AQ4738">
            <v>29540000</v>
          </cell>
          <cell r="AV4738">
            <v>0</v>
          </cell>
        </row>
        <row r="4739">
          <cell r="E4739" t="str">
            <v>D26000458</v>
          </cell>
          <cell r="AP4739">
            <v>0</v>
          </cell>
          <cell r="AQ4739">
            <v>42000000</v>
          </cell>
          <cell r="AV4739">
            <v>0</v>
          </cell>
        </row>
        <row r="4740">
          <cell r="E4740" t="str">
            <v>D26000465</v>
          </cell>
          <cell r="AP4740">
            <v>0</v>
          </cell>
          <cell r="AQ4740">
            <v>28800000</v>
          </cell>
          <cell r="AV4740">
            <v>0</v>
          </cell>
        </row>
        <row r="4741">
          <cell r="E4741" t="str">
            <v>D26000468</v>
          </cell>
          <cell r="AP4741">
            <v>0</v>
          </cell>
          <cell r="AQ4741">
            <v>49500000</v>
          </cell>
          <cell r="AV4741">
            <v>0</v>
          </cell>
        </row>
        <row r="4742">
          <cell r="E4742" t="str">
            <v>B26000576</v>
          </cell>
          <cell r="AP4742">
            <v>0</v>
          </cell>
          <cell r="AQ4742">
            <v>16000000</v>
          </cell>
          <cell r="AV4742">
            <v>0</v>
          </cell>
        </row>
        <row r="4743">
          <cell r="E4743" t="str">
            <v>B26000577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D26000677</v>
          </cell>
          <cell r="AP4744">
            <v>0</v>
          </cell>
          <cell r="AQ4744">
            <v>33250000</v>
          </cell>
          <cell r="AV4744">
            <v>0</v>
          </cell>
        </row>
        <row r="4745">
          <cell r="E4745" t="str">
            <v>D26000726</v>
          </cell>
          <cell r="AP4745">
            <v>0</v>
          </cell>
          <cell r="AQ4745">
            <v>57000000</v>
          </cell>
          <cell r="AV4745">
            <v>0</v>
          </cell>
        </row>
        <row r="4746">
          <cell r="E4746" t="str">
            <v>D26000727</v>
          </cell>
          <cell r="AP4746">
            <v>0</v>
          </cell>
          <cell r="AQ4746">
            <v>7750000</v>
          </cell>
          <cell r="AV4746">
            <v>0</v>
          </cell>
        </row>
        <row r="4747">
          <cell r="E4747" t="str">
            <v>D26000777</v>
          </cell>
          <cell r="AP4747">
            <v>0</v>
          </cell>
          <cell r="AQ4747">
            <v>10600000</v>
          </cell>
          <cell r="AV4747">
            <v>0</v>
          </cell>
        </row>
        <row r="4748">
          <cell r="E4748" t="str">
            <v>B26000792</v>
          </cell>
          <cell r="AP4748">
            <v>0</v>
          </cell>
          <cell r="AQ4748">
            <v>128000000</v>
          </cell>
          <cell r="AV4748">
            <v>0</v>
          </cell>
        </row>
        <row r="4749">
          <cell r="E4749" t="str">
            <v>D26000871</v>
          </cell>
          <cell r="AP4749">
            <v>0</v>
          </cell>
          <cell r="AQ4749">
            <v>17925000</v>
          </cell>
          <cell r="AV4749">
            <v>0</v>
          </cell>
        </row>
        <row r="4750">
          <cell r="E4750" t="str">
            <v>D26000986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B26001097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D26001331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B26001276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B26001349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B26001401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D26001429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D26001430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D26001447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D26001485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D26001493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D26001512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B26001493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D26001600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D26001604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D26001623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D26001635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B26001573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D26001672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B26001616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D26001798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D26001809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B26001711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B26001716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D26001860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D26002016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D26002021</v>
          </cell>
          <cell r="AP4776">
            <v>0</v>
          </cell>
          <cell r="AQ4776">
            <v>65500000</v>
          </cell>
          <cell r="AV4776">
            <v>0</v>
          </cell>
        </row>
        <row r="4777">
          <cell r="E4777" t="str">
            <v>B26001953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D26002116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D26002118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B26002006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D26002186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D26002187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D26002188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D26002212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D26002362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B26002192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D26002435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D26002436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D26002481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B26001758</v>
          </cell>
          <cell r="AP4790">
            <v>0</v>
          </cell>
          <cell r="AQ4790">
            <v>0</v>
          </cell>
          <cell r="AV4790">
            <v>1700000</v>
          </cell>
        </row>
        <row r="4791">
          <cell r="E4791" t="str">
            <v>T26000132</v>
          </cell>
          <cell r="AP4791">
            <v>0</v>
          </cell>
          <cell r="AQ4791">
            <v>0</v>
          </cell>
          <cell r="AV4791">
            <v>16200000</v>
          </cell>
        </row>
        <row r="4792">
          <cell r="E4792" t="str">
            <v>B25016062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D26000533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B26000504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D26000915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D26001269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B25016000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D25019017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B26001286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B26001659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B26001681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T25001791</v>
          </cell>
          <cell r="AP4802">
            <v>0</v>
          </cell>
          <cell r="AQ4802">
            <v>0</v>
          </cell>
          <cell r="AV4802">
            <v>2145000</v>
          </cell>
        </row>
        <row r="4803">
          <cell r="E4803" t="str">
            <v>T25001792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D25019371</v>
          </cell>
          <cell r="AP4804">
            <v>0</v>
          </cell>
          <cell r="AQ4804">
            <v>0</v>
          </cell>
          <cell r="AV4804">
            <v>16800000</v>
          </cell>
        </row>
        <row r="4805">
          <cell r="E4805" t="str">
            <v>D25019371</v>
          </cell>
          <cell r="AP4805">
            <v>0</v>
          </cell>
          <cell r="AQ4805">
            <v>0</v>
          </cell>
          <cell r="AV4805">
            <v>38530000</v>
          </cell>
        </row>
        <row r="4806">
          <cell r="E4806" t="str">
            <v>B26000361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B26000362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B26000836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B26000839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B26000854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B26000877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B26001354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B26001995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D26002110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D25018432</v>
          </cell>
          <cell r="AP4815">
            <v>0</v>
          </cell>
          <cell r="AQ4815">
            <v>0</v>
          </cell>
          <cell r="AV4815">
            <v>9500000</v>
          </cell>
        </row>
        <row r="4816">
          <cell r="E4816" t="str">
            <v>D25018496</v>
          </cell>
          <cell r="AP4816">
            <v>0</v>
          </cell>
          <cell r="AQ4816">
            <v>0</v>
          </cell>
          <cell r="AV4816">
            <v>236400000</v>
          </cell>
        </row>
        <row r="4817">
          <cell r="E4817" t="str">
            <v>B25016226</v>
          </cell>
          <cell r="AP4817">
            <v>0</v>
          </cell>
          <cell r="AQ4817">
            <v>0</v>
          </cell>
          <cell r="AV4817">
            <v>39560000</v>
          </cell>
        </row>
        <row r="4818">
          <cell r="E4818" t="str">
            <v>D25019206</v>
          </cell>
          <cell r="AP4818">
            <v>0</v>
          </cell>
          <cell r="AQ4818">
            <v>0</v>
          </cell>
          <cell r="AV4818">
            <v>8100000</v>
          </cell>
        </row>
        <row r="4819">
          <cell r="E4819" t="str">
            <v>D26000264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T26000018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D26000694</v>
          </cell>
          <cell r="AP4821">
            <v>0</v>
          </cell>
          <cell r="AQ4821">
            <v>0</v>
          </cell>
          <cell r="AV4821">
            <v>46880000</v>
          </cell>
        </row>
        <row r="4822">
          <cell r="E4822" t="str">
            <v>D26000809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D26001112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D26001375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D26001541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B26001476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D26001642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D26001720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D26001760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D26001973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D26002221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B25016849</v>
          </cell>
          <cell r="AP4832">
            <v>0</v>
          </cell>
          <cell r="AQ4832">
            <v>0</v>
          </cell>
          <cell r="AV4832">
            <v>27860000</v>
          </cell>
        </row>
        <row r="4833">
          <cell r="E4833" t="str">
            <v>B25016967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B25016969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B26000544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D26000948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D26001106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B26001700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D25019098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B26000599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D26000627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D25018704</v>
          </cell>
          <cell r="AP4842">
            <v>0</v>
          </cell>
          <cell r="AQ4842">
            <v>0</v>
          </cell>
          <cell r="AV4842">
            <v>6000000</v>
          </cell>
        </row>
        <row r="4843">
          <cell r="E4843" t="str">
            <v>D25018704</v>
          </cell>
          <cell r="AP4843">
            <v>0</v>
          </cell>
          <cell r="AQ4843">
            <v>0</v>
          </cell>
          <cell r="AV4843">
            <v>10000000</v>
          </cell>
        </row>
        <row r="4844">
          <cell r="E4844" t="str">
            <v>D25018704</v>
          </cell>
          <cell r="AP4844">
            <v>0</v>
          </cell>
          <cell r="AQ4844">
            <v>0</v>
          </cell>
          <cell r="AV4844">
            <v>6210000</v>
          </cell>
        </row>
        <row r="4845">
          <cell r="E4845" t="str">
            <v>D25018704</v>
          </cell>
          <cell r="AP4845">
            <v>0</v>
          </cell>
          <cell r="AQ4845">
            <v>0</v>
          </cell>
          <cell r="AV4845">
            <v>5400000</v>
          </cell>
        </row>
        <row r="4846">
          <cell r="E4846" t="str">
            <v>D25018755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D25018858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D25019061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D25019278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D25019454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D25019594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D25019702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D26000214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D26000467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D26000635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D26000799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D26000943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D26000944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D26000964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D26001117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B26001287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B26001508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B26001757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B26002091</v>
          </cell>
          <cell r="AP4864">
            <v>0</v>
          </cell>
          <cell r="AQ4864">
            <v>0</v>
          </cell>
          <cell r="AV4864">
            <v>9520000</v>
          </cell>
        </row>
        <row r="4865">
          <cell r="E4865" t="str">
            <v>D26002152</v>
          </cell>
          <cell r="AP4865">
            <v>0</v>
          </cell>
          <cell r="AQ4865">
            <v>0</v>
          </cell>
          <cell r="AV4865">
            <v>10710000</v>
          </cell>
        </row>
        <row r="4866">
          <cell r="E4866" t="str">
            <v>D26002153</v>
          </cell>
          <cell r="AP4866">
            <v>0</v>
          </cell>
          <cell r="AQ4866">
            <v>0</v>
          </cell>
          <cell r="AV4866">
            <v>33040000</v>
          </cell>
        </row>
        <row r="4867">
          <cell r="E4867" t="str">
            <v>D26002153</v>
          </cell>
          <cell r="AP4867">
            <v>0</v>
          </cell>
          <cell r="AQ4867">
            <v>0</v>
          </cell>
          <cell r="AV4867">
            <v>33600000</v>
          </cell>
        </row>
        <row r="4868">
          <cell r="E4868" t="str">
            <v>D26002153</v>
          </cell>
          <cell r="AP4868">
            <v>0</v>
          </cell>
          <cell r="AQ4868">
            <v>0</v>
          </cell>
          <cell r="AV4868">
            <v>33600000</v>
          </cell>
        </row>
        <row r="4869">
          <cell r="E4869" t="str">
            <v>B26002181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B26002229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B25015633</v>
          </cell>
          <cell r="AP4871">
            <v>0</v>
          </cell>
          <cell r="AQ4871">
            <v>0</v>
          </cell>
          <cell r="AV4871">
            <v>152500000</v>
          </cell>
        </row>
        <row r="4872">
          <cell r="E4872" t="str">
            <v>B26002237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D26002453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T25001860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D25019154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D25016913</v>
          </cell>
          <cell r="AP4876">
            <v>0</v>
          </cell>
          <cell r="AQ4876">
            <v>0</v>
          </cell>
          <cell r="AV4876">
            <v>7660000</v>
          </cell>
        </row>
        <row r="4877">
          <cell r="E4877" t="str">
            <v>D25019342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B25016964</v>
          </cell>
          <cell r="AP4878">
            <v>0</v>
          </cell>
          <cell r="AQ4878">
            <v>0</v>
          </cell>
          <cell r="AV4878">
            <v>2195000</v>
          </cell>
        </row>
        <row r="4879">
          <cell r="E4879" t="str">
            <v>D26000178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D26000333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D26000883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B26001109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B26001281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B26001456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D26001907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B25016656</v>
          </cell>
          <cell r="AP4886">
            <v>0</v>
          </cell>
          <cell r="AQ4886">
            <v>0</v>
          </cell>
          <cell r="AV4886">
            <v>153800000</v>
          </cell>
        </row>
        <row r="4887">
          <cell r="E4887" t="str">
            <v>B26001695</v>
          </cell>
          <cell r="AP4887">
            <v>0</v>
          </cell>
          <cell r="AQ4887">
            <v>0</v>
          </cell>
          <cell r="AV4887">
            <v>8200000</v>
          </cell>
        </row>
        <row r="4888">
          <cell r="E4888" t="str">
            <v>B26002126</v>
          </cell>
          <cell r="AP4888">
            <v>0</v>
          </cell>
          <cell r="AQ4888">
            <v>0</v>
          </cell>
          <cell r="AV4888">
            <v>16370000</v>
          </cell>
        </row>
        <row r="4889">
          <cell r="E4889" t="str">
            <v>D26000164</v>
          </cell>
          <cell r="AP4889">
            <v>0</v>
          </cell>
          <cell r="AQ4889">
            <v>0</v>
          </cell>
          <cell r="AV4889">
            <v>1640000</v>
          </cell>
        </row>
        <row r="4890">
          <cell r="E4890" t="str">
            <v>B26000788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D26001696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B26001688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B25016398</v>
          </cell>
          <cell r="AP4893">
            <v>0</v>
          </cell>
          <cell r="AQ4893">
            <v>0</v>
          </cell>
          <cell r="AV4893">
            <v>8078750</v>
          </cell>
        </row>
        <row r="4894">
          <cell r="E4894" t="str">
            <v>D26000838</v>
          </cell>
          <cell r="AP4894">
            <v>0</v>
          </cell>
          <cell r="AQ4894">
            <v>0</v>
          </cell>
          <cell r="AV4894">
            <v>421250</v>
          </cell>
        </row>
        <row r="4895">
          <cell r="E4895" t="str">
            <v>D26000845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D26001389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B26001366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B26001400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B26001764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D26001886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B26001947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B26002002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D26002317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D26002403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B26002294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D25019562</v>
          </cell>
          <cell r="AP4906">
            <v>0</v>
          </cell>
          <cell r="AQ4906">
            <v>0</v>
          </cell>
          <cell r="AV4906">
            <v>5000000</v>
          </cell>
        </row>
        <row r="4907">
          <cell r="E4907" t="str">
            <v>D25019562</v>
          </cell>
          <cell r="AP4907">
            <v>0</v>
          </cell>
          <cell r="AQ4907">
            <v>0</v>
          </cell>
          <cell r="AV4907">
            <v>14354500</v>
          </cell>
        </row>
        <row r="4908">
          <cell r="E4908" t="str">
            <v>D26001926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B26002183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D25016614</v>
          </cell>
          <cell r="AP4910">
            <v>0</v>
          </cell>
          <cell r="AQ4910">
            <v>0</v>
          </cell>
          <cell r="AV4910">
            <v>960000</v>
          </cell>
        </row>
        <row r="4911">
          <cell r="E4911" t="str">
            <v>B25016902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B26000061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B26001376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T25001374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B26001362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D25017742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B26001076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D26001567</v>
          </cell>
          <cell r="AP4918">
            <v>0</v>
          </cell>
          <cell r="AQ4918">
            <v>0</v>
          </cell>
          <cell r="AV4918">
            <v>15000000</v>
          </cell>
        </row>
        <row r="4919">
          <cell r="E4919" t="str">
            <v>B26001592</v>
          </cell>
          <cell r="AP4919">
            <v>0</v>
          </cell>
          <cell r="AQ4919">
            <v>0</v>
          </cell>
          <cell r="AV4919">
            <v>4840000</v>
          </cell>
        </row>
        <row r="4920">
          <cell r="E4920" t="str">
            <v>B26001593</v>
          </cell>
          <cell r="AP4920">
            <v>0</v>
          </cell>
          <cell r="AQ4920">
            <v>0</v>
          </cell>
          <cell r="AV4920">
            <v>906500</v>
          </cell>
        </row>
        <row r="4921">
          <cell r="E4921" t="str">
            <v>B26000310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D26001175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D26001615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D26002248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B25017060</v>
          </cell>
          <cell r="AP4925">
            <v>0</v>
          </cell>
          <cell r="AQ4925">
            <v>0</v>
          </cell>
          <cell r="AV4925">
            <v>17520000</v>
          </cell>
        </row>
        <row r="4926">
          <cell r="E4926" t="str">
            <v>D26001639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B26001956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D26001476</v>
          </cell>
          <cell r="AP4928">
            <v>0</v>
          </cell>
          <cell r="AQ4928">
            <v>0</v>
          </cell>
          <cell r="AV4928">
            <v>382450000</v>
          </cell>
        </row>
        <row r="4929">
          <cell r="E4929" t="str">
            <v>D26001558</v>
          </cell>
          <cell r="AP4929">
            <v>0</v>
          </cell>
          <cell r="AQ4929">
            <v>0</v>
          </cell>
          <cell r="AV4929">
            <v>117550000</v>
          </cell>
        </row>
        <row r="4930">
          <cell r="E4930" t="str">
            <v>D26001558</v>
          </cell>
          <cell r="AP4930">
            <v>0</v>
          </cell>
          <cell r="AQ4930">
            <v>0</v>
          </cell>
          <cell r="AV4930">
            <v>150000000</v>
          </cell>
        </row>
        <row r="4931">
          <cell r="E4931" t="str">
            <v>D26001558</v>
          </cell>
          <cell r="AP4931">
            <v>0</v>
          </cell>
          <cell r="AQ4931">
            <v>0</v>
          </cell>
          <cell r="AV4931">
            <v>158000000</v>
          </cell>
        </row>
        <row r="4932">
          <cell r="E4932" t="str">
            <v>D26001558</v>
          </cell>
          <cell r="AP4932">
            <v>0</v>
          </cell>
          <cell r="AQ4932">
            <v>0</v>
          </cell>
          <cell r="AV4932">
            <v>211950000</v>
          </cell>
        </row>
        <row r="4933">
          <cell r="E4933" t="str">
            <v>D26001970</v>
          </cell>
          <cell r="AP4933">
            <v>0</v>
          </cell>
          <cell r="AQ4933">
            <v>0</v>
          </cell>
          <cell r="AV4933">
            <v>88050000</v>
          </cell>
        </row>
        <row r="4934">
          <cell r="E4934" t="str">
            <v>D26001970</v>
          </cell>
          <cell r="AP4934">
            <v>0</v>
          </cell>
          <cell r="AQ4934">
            <v>0</v>
          </cell>
          <cell r="AV4934">
            <v>166950000</v>
          </cell>
        </row>
        <row r="4935">
          <cell r="E4935" t="str">
            <v>D26002001</v>
          </cell>
          <cell r="AP4935">
            <v>0</v>
          </cell>
          <cell r="AQ4935">
            <v>0</v>
          </cell>
          <cell r="AV4935">
            <v>259050000</v>
          </cell>
        </row>
        <row r="4936">
          <cell r="E4936" t="str">
            <v>D26002001</v>
          </cell>
          <cell r="AP4936">
            <v>0</v>
          </cell>
          <cell r="AQ4936">
            <v>0</v>
          </cell>
          <cell r="AV4936">
            <v>123450000</v>
          </cell>
        </row>
        <row r="4937">
          <cell r="E4937" t="str">
            <v>B26001959</v>
          </cell>
          <cell r="AP4937">
            <v>0</v>
          </cell>
          <cell r="AQ4937">
            <v>0</v>
          </cell>
          <cell r="AV4937">
            <v>50000000</v>
          </cell>
        </row>
        <row r="4938">
          <cell r="E4938" t="str">
            <v>B26001959</v>
          </cell>
          <cell r="AP4938">
            <v>0</v>
          </cell>
          <cell r="AQ4938">
            <v>0</v>
          </cell>
          <cell r="AV4938">
            <v>311750000</v>
          </cell>
        </row>
        <row r="4939">
          <cell r="E4939" t="str">
            <v>D26002445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B26002127</v>
          </cell>
          <cell r="AP4940">
            <v>0</v>
          </cell>
          <cell r="AQ4940">
            <v>0</v>
          </cell>
          <cell r="AV4940">
            <v>2540000</v>
          </cell>
        </row>
        <row r="4941">
          <cell r="E4941" t="str">
            <v>Z25003229</v>
          </cell>
          <cell r="AP4941">
            <v>0</v>
          </cell>
          <cell r="AQ4941">
            <v>0</v>
          </cell>
          <cell r="AV4941">
            <v>6400000</v>
          </cell>
        </row>
        <row r="4942">
          <cell r="E4942" t="str">
            <v>Z25003285</v>
          </cell>
          <cell r="AP4942">
            <v>0</v>
          </cell>
          <cell r="AQ4942">
            <v>0</v>
          </cell>
          <cell r="AV4942">
            <v>2076000</v>
          </cell>
        </row>
        <row r="4943">
          <cell r="E4943" t="str">
            <v>Z25003370</v>
          </cell>
          <cell r="AP4943">
            <v>0</v>
          </cell>
          <cell r="AQ4943">
            <v>0</v>
          </cell>
          <cell r="AV4943">
            <v>6420000</v>
          </cell>
        </row>
        <row r="4944">
          <cell r="E4944" t="str">
            <v>Z26000191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Z26000193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Z26000275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Z26000300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Z26000303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Z26000381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Z26000382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Z26000419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Z26000420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Z26000423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D25016711</v>
          </cell>
          <cell r="AP4954">
            <v>0</v>
          </cell>
          <cell r="AQ4954">
            <v>0</v>
          </cell>
          <cell r="AV4954">
            <v>11670000</v>
          </cell>
        </row>
        <row r="4955">
          <cell r="E4955" t="str">
            <v>T25001656</v>
          </cell>
          <cell r="AP4955">
            <v>0</v>
          </cell>
          <cell r="AQ4955">
            <v>0</v>
          </cell>
          <cell r="AV4955">
            <v>2460000</v>
          </cell>
        </row>
        <row r="4956">
          <cell r="E4956" t="str">
            <v>D26001941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D26001942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D26000260</v>
          </cell>
          <cell r="AP4958">
            <v>0</v>
          </cell>
          <cell r="AQ4958">
            <v>0</v>
          </cell>
          <cell r="AV4958">
            <v>14440000</v>
          </cell>
        </row>
        <row r="4959">
          <cell r="E4959" t="str">
            <v>D26001820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B26002306</v>
          </cell>
          <cell r="AP4960">
            <v>0</v>
          </cell>
          <cell r="AQ4960">
            <v>0</v>
          </cell>
          <cell r="AV4960">
            <v>16368000</v>
          </cell>
        </row>
        <row r="4961">
          <cell r="E4961" t="str">
            <v>B25016661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B25016985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B26001785</v>
          </cell>
          <cell r="AP4963">
            <v>0</v>
          </cell>
          <cell r="AQ4963">
            <v>0</v>
          </cell>
          <cell r="AV4963">
            <v>15000000</v>
          </cell>
        </row>
        <row r="4964">
          <cell r="E4964" t="str">
            <v>B25016543</v>
          </cell>
          <cell r="AP4964">
            <v>0</v>
          </cell>
          <cell r="AQ4964">
            <v>0</v>
          </cell>
          <cell r="AV4964">
            <v>7625000</v>
          </cell>
        </row>
        <row r="4965">
          <cell r="E4965" t="str">
            <v>D25019191</v>
          </cell>
          <cell r="AP4965">
            <v>0</v>
          </cell>
          <cell r="AQ4965">
            <v>0</v>
          </cell>
          <cell r="AV4965">
            <v>64680000</v>
          </cell>
        </row>
        <row r="4966">
          <cell r="E4966" t="str">
            <v>B25016735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D26000512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D26001892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D26002177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D26002354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B26001672</v>
          </cell>
          <cell r="AP4971">
            <v>0</v>
          </cell>
          <cell r="AQ4971">
            <v>0</v>
          </cell>
          <cell r="AV4971">
            <v>3000000</v>
          </cell>
        </row>
        <row r="4972">
          <cell r="E4972" t="str">
            <v>D26000141</v>
          </cell>
          <cell r="AP4972">
            <v>0</v>
          </cell>
          <cell r="AQ4972">
            <v>0</v>
          </cell>
          <cell r="AV4972">
            <v>5312500</v>
          </cell>
        </row>
        <row r="4973">
          <cell r="E4973" t="str">
            <v>D26000195</v>
          </cell>
          <cell r="AP4973">
            <v>0</v>
          </cell>
          <cell r="AQ4973">
            <v>0</v>
          </cell>
          <cell r="AV4973">
            <v>5312500</v>
          </cell>
        </row>
        <row r="4974">
          <cell r="E4974" t="str">
            <v>B26002274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>
            <v>250199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B25016627</v>
          </cell>
          <cell r="AP4976">
            <v>0</v>
          </cell>
          <cell r="AQ4976">
            <v>0</v>
          </cell>
          <cell r="AV4976">
            <v>136770000</v>
          </cell>
        </row>
        <row r="4977">
          <cell r="E4977" t="str">
            <v>B25016628</v>
          </cell>
          <cell r="AP4977">
            <v>0</v>
          </cell>
          <cell r="AQ4977">
            <v>0</v>
          </cell>
          <cell r="AV4977">
            <v>240550000</v>
          </cell>
        </row>
        <row r="4978">
          <cell r="E4978" t="str">
            <v>B25016628</v>
          </cell>
          <cell r="AP4978">
            <v>0</v>
          </cell>
          <cell r="AQ4978">
            <v>0</v>
          </cell>
          <cell r="AV4978">
            <v>100000000</v>
          </cell>
        </row>
        <row r="4979">
          <cell r="E4979" t="str">
            <v>D26000424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D26000425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D26000426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B26000562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D26000644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D26000658</v>
          </cell>
          <cell r="AP4984">
            <v>0</v>
          </cell>
          <cell r="AQ4984">
            <v>0</v>
          </cell>
          <cell r="AV4984">
            <v>79000000</v>
          </cell>
        </row>
        <row r="4985">
          <cell r="E4985" t="str">
            <v>D26000659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D26000668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D26000829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D26001193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D26001204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D26001295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D26001479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D26002013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D26002216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D26002217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D26002218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D26002219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D26002226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D26002242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D26002282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D26002431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T25001836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T25001236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D26001993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T25000648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R25000130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B25016710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B25016919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>
            <v>260002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D26000076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D26000108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B26000201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D26000836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B26000929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D26001388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B26001991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B25017113</v>
          </cell>
          <cell r="AP5016">
            <v>0</v>
          </cell>
          <cell r="AQ5016">
            <v>0</v>
          </cell>
          <cell r="AV5016">
            <v>1100000</v>
          </cell>
        </row>
        <row r="5017">
          <cell r="E5017" t="str">
            <v>D26000059</v>
          </cell>
          <cell r="AP5017">
            <v>0</v>
          </cell>
          <cell r="AQ5017">
            <v>0</v>
          </cell>
          <cell r="AV5017">
            <v>1600000</v>
          </cell>
        </row>
        <row r="5018">
          <cell r="E5018" t="str">
            <v>D26001185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D26001186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D26001693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B26001742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B26002196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T25001640</v>
          </cell>
          <cell r="AP5023">
            <v>0</v>
          </cell>
          <cell r="AQ5023">
            <v>0</v>
          </cell>
          <cell r="AV5023">
            <v>2500000</v>
          </cell>
        </row>
        <row r="5024">
          <cell r="E5024" t="str">
            <v>T25001640</v>
          </cell>
          <cell r="AP5024">
            <v>0</v>
          </cell>
          <cell r="AQ5024">
            <v>0</v>
          </cell>
          <cell r="AV5024">
            <v>680000</v>
          </cell>
        </row>
        <row r="5025">
          <cell r="E5025" t="str">
            <v>D25019122</v>
          </cell>
          <cell r="AP5025">
            <v>0</v>
          </cell>
          <cell r="AQ5025">
            <v>0</v>
          </cell>
          <cell r="AV5025">
            <v>1320000</v>
          </cell>
        </row>
        <row r="5026">
          <cell r="E5026" t="str">
            <v>D26000103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B26000774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T26000047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T26000109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D26000714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D26000715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T26000036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B26000960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B26001297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B26002268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C26000123</v>
          </cell>
          <cell r="AP5036">
            <v>0</v>
          </cell>
          <cell r="AQ5036">
            <v>0</v>
          </cell>
          <cell r="AV5036">
            <v>275000</v>
          </cell>
        </row>
        <row r="5037">
          <cell r="E5037" t="str">
            <v>T25001726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T25001727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T25001891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T25001499k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D25016324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B25014290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T25001642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B25014665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D25017559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D25017560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T25001743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B25015759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B25015760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B25016494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B25016495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B26000065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B26000407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B26000801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B26000802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T26000052k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T26000053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B26000919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B26001531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B26001532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B26001539</v>
          </cell>
          <cell r="AP5061">
            <v>0</v>
          </cell>
          <cell r="AQ5061">
            <v>0</v>
          </cell>
          <cell r="AV5061">
            <v>1350000</v>
          </cell>
        </row>
        <row r="5062">
          <cell r="E5062" t="str">
            <v>B26001543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B25016130</v>
          </cell>
          <cell r="AP5063">
            <v>0</v>
          </cell>
          <cell r="AQ5063">
            <v>0</v>
          </cell>
          <cell r="AV5063">
            <v>2597800</v>
          </cell>
        </row>
        <row r="5064">
          <cell r="E5064" t="str">
            <v>D25019283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D26001180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B26001811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B26001868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B26001920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D25015072</v>
          </cell>
          <cell r="AP5069">
            <v>0</v>
          </cell>
          <cell r="AQ5069">
            <v>0</v>
          </cell>
          <cell r="AV5069">
            <v>3680000</v>
          </cell>
        </row>
        <row r="5070">
          <cell r="E5070" t="str">
            <v>T25001501</v>
          </cell>
          <cell r="AP5070">
            <v>0</v>
          </cell>
          <cell r="AQ5070">
            <v>0</v>
          </cell>
          <cell r="AV5070">
            <v>1320000</v>
          </cell>
        </row>
        <row r="5071">
          <cell r="E5071" t="str">
            <v>B25015134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D25017600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B25015240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D25018399</v>
          </cell>
          <cell r="AP5074">
            <v>0</v>
          </cell>
          <cell r="AQ5074">
            <v>0</v>
          </cell>
          <cell r="AV5074">
            <v>19200000</v>
          </cell>
        </row>
        <row r="5075">
          <cell r="E5075" t="str">
            <v>B25016041</v>
          </cell>
          <cell r="AP5075">
            <v>0</v>
          </cell>
          <cell r="AQ5075">
            <v>0</v>
          </cell>
          <cell r="AV5075">
            <v>6200000</v>
          </cell>
        </row>
        <row r="5076">
          <cell r="E5076" t="str">
            <v>D25018626</v>
          </cell>
          <cell r="AP5076">
            <v>0</v>
          </cell>
          <cell r="AQ5076">
            <v>0</v>
          </cell>
          <cell r="AV5076">
            <v>8100000</v>
          </cell>
        </row>
        <row r="5077">
          <cell r="E5077" t="str">
            <v>D25018819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D25018822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B25016573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D25019089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D25019270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D25019287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D25019324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B25017028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B25017059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D25019673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D25019680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D26000202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D26000682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B26000700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D26000778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B26000791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B26001170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B26001181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B26001220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D26001819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D26001838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D26001897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B26001899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D26002405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D26002406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B26000546</v>
          </cell>
          <cell r="AP5102">
            <v>0</v>
          </cell>
          <cell r="AQ5102">
            <v>0</v>
          </cell>
          <cell r="AV5102">
            <v>9240000</v>
          </cell>
        </row>
        <row r="5103">
          <cell r="E5103" t="str">
            <v>D26000254</v>
          </cell>
          <cell r="AP5103">
            <v>0</v>
          </cell>
          <cell r="AQ5103">
            <v>0</v>
          </cell>
          <cell r="AV5103">
            <v>1725000</v>
          </cell>
        </row>
        <row r="5104">
          <cell r="E5104" t="str">
            <v>D26000255</v>
          </cell>
          <cell r="AP5104">
            <v>0</v>
          </cell>
          <cell r="AQ5104">
            <v>0</v>
          </cell>
          <cell r="AV5104">
            <v>900000</v>
          </cell>
        </row>
        <row r="5105">
          <cell r="E5105" t="str">
            <v>D26000398</v>
          </cell>
          <cell r="AP5105">
            <v>0</v>
          </cell>
          <cell r="AQ5105">
            <v>0</v>
          </cell>
          <cell r="AV5105">
            <v>1302000</v>
          </cell>
        </row>
        <row r="5106">
          <cell r="E5106" t="str">
            <v>D26000983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B26001256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D26002170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D26002171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D26000511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D26000510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B26000601</v>
          </cell>
          <cell r="AP5112">
            <v>0</v>
          </cell>
          <cell r="AQ5112">
            <v>0</v>
          </cell>
          <cell r="AV5112">
            <v>6212000</v>
          </cell>
        </row>
        <row r="5113">
          <cell r="E5113" t="str">
            <v>B26000601</v>
          </cell>
          <cell r="AP5113">
            <v>0</v>
          </cell>
          <cell r="AQ5113">
            <v>0</v>
          </cell>
          <cell r="AV5113">
            <v>500</v>
          </cell>
        </row>
        <row r="5114">
          <cell r="E5114" t="str">
            <v>D26000753</v>
          </cell>
          <cell r="AP5114">
            <v>0</v>
          </cell>
          <cell r="AQ5114">
            <v>0</v>
          </cell>
          <cell r="AV5114">
            <v>2360000</v>
          </cell>
        </row>
        <row r="5115">
          <cell r="E5115" t="str">
            <v>B26001215</v>
          </cell>
          <cell r="AP5115">
            <v>0</v>
          </cell>
          <cell r="AQ5115">
            <v>0</v>
          </cell>
          <cell r="AV5115">
            <v>750000</v>
          </cell>
        </row>
        <row r="5116">
          <cell r="E5116" t="str">
            <v>B26001432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B26001602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B26002174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T25001747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T25001819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D25019551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D25016451</v>
          </cell>
          <cell r="AP5122">
            <v>0</v>
          </cell>
          <cell r="AQ5122">
            <v>0</v>
          </cell>
          <cell r="AV5122">
            <v>10000000</v>
          </cell>
        </row>
        <row r="5123">
          <cell r="E5123" t="str">
            <v>D25016452</v>
          </cell>
          <cell r="AP5123">
            <v>0</v>
          </cell>
          <cell r="AQ5123">
            <v>0</v>
          </cell>
          <cell r="AV5123">
            <v>30000000</v>
          </cell>
        </row>
        <row r="5124">
          <cell r="E5124" t="str">
            <v>D25016452</v>
          </cell>
          <cell r="AP5124">
            <v>0</v>
          </cell>
          <cell r="AQ5124">
            <v>0</v>
          </cell>
          <cell r="AV5124">
            <v>16690000</v>
          </cell>
        </row>
        <row r="5125">
          <cell r="E5125" t="str">
            <v>B25014976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B25015475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B25015792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B25015921</v>
          </cell>
          <cell r="AP5128">
            <v>0</v>
          </cell>
          <cell r="AQ5128">
            <v>0</v>
          </cell>
          <cell r="AV5128">
            <v>918000</v>
          </cell>
        </row>
        <row r="5129">
          <cell r="E5129" t="str">
            <v>D25018359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D25018773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D25018786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D25018825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B25016551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B25016634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D25019495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D25019498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D25019501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B26000318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B26000392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B26000453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D26000518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D26000923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B26001212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B26001213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D26001294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D26001396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B26001431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B26001451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D26001721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B26001878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B26001879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D26001980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D26002007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D26002008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D26002009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B26001921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D26002465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D26002466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D25015935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D25015936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D25016102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D25016279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D25016279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D25016337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D25016338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D25016835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D25016835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D25016876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D25016876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D25016896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D25016896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D25016967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D25016967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D25016970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D25017010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D25017050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D25017050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D25017174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D25017174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D25017175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D25017175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D25017274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D25017274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D25017375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D25017375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D25017431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D25017432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D25017461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D25017566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D25017566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D25017567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D25017567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D25017731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D25017731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B25015348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B25015349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B25015350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D25018068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D25018081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D25018081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D25018082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D25018082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D25018134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D25018134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D25018377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D25018377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D25018418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D25018428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B25016088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B25016088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B25016088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D25018512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D25018512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D25018512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D25018513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D25018574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B25016181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B25016181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B25016194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B25016194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D25018679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D25018679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D25018679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D25018700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D25018700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B25016422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B25016422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B25016422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T25001856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B25016444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D25019031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D25019031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D25019031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D25019031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D25019032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D25019113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D25019125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D25019125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D25019125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D25019136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D25019232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D25019232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D25019232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D25019232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D25019232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D25019464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D25019542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D25019542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D25019542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D25019543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D25019589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D25019589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D25019590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D25019590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D25019591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D25019591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D25019591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D25019600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D25019608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D25019608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D26000006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D26000068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T26000024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D26000463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D26000494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D26000523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D26000523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D26000523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D26000523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D26000616</v>
          </cell>
          <cell r="AP5270">
            <v>0</v>
          </cell>
          <cell r="AQ5270">
            <v>449225000</v>
          </cell>
          <cell r="AV5270">
            <v>0</v>
          </cell>
        </row>
        <row r="5271">
          <cell r="E5271" t="str">
            <v>D26000617</v>
          </cell>
          <cell r="AP5271">
            <v>0</v>
          </cell>
          <cell r="AQ5271">
            <v>449225000</v>
          </cell>
          <cell r="AV5271">
            <v>0</v>
          </cell>
        </row>
        <row r="5272">
          <cell r="E5272" t="str">
            <v>D26000618</v>
          </cell>
          <cell r="AP5272">
            <v>0</v>
          </cell>
          <cell r="AQ5272">
            <v>422800000</v>
          </cell>
          <cell r="AV5272">
            <v>0</v>
          </cell>
        </row>
        <row r="5273">
          <cell r="E5273" t="str">
            <v>D26000746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B26000786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B26000787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D26000842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D26000995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D26000996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D26001094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D26001095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D26001096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B26001106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B26001107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D26001336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D26001372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D26001495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D26001496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D26001517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D26001542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D26001618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D26001619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D26001688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D26001689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D26001718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D26001743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D26001744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B26001717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D26001888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D26001899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B26001866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D26001983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D26002034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D26002035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D26002122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D26002123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D26002148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D26002149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D26002150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D26002166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D26002207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T26000150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D26002240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D26002284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D26002340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D26002341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D26002346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B26002213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B26002214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D26002428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D26002194</v>
          </cell>
          <cell r="AP5320">
            <v>0</v>
          </cell>
          <cell r="AQ5320">
            <v>0</v>
          </cell>
          <cell r="AV5320">
            <v>2992500</v>
          </cell>
        </row>
        <row r="5321">
          <cell r="E5321" t="str">
            <v>D26002195</v>
          </cell>
          <cell r="AP5321">
            <v>0</v>
          </cell>
          <cell r="AQ5321">
            <v>0</v>
          </cell>
          <cell r="AV5321">
            <v>920000</v>
          </cell>
        </row>
        <row r="5322">
          <cell r="E5322" t="str">
            <v>D26002409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B25016794</v>
          </cell>
          <cell r="AP5323">
            <v>0</v>
          </cell>
          <cell r="AQ5323">
            <v>0</v>
          </cell>
          <cell r="AV5323">
            <v>2900000</v>
          </cell>
        </row>
        <row r="5324">
          <cell r="E5324" t="str">
            <v>B25016794</v>
          </cell>
          <cell r="AP5324">
            <v>0</v>
          </cell>
          <cell r="AQ5324">
            <v>0</v>
          </cell>
          <cell r="AV5324">
            <v>2500000</v>
          </cell>
        </row>
        <row r="5325">
          <cell r="E5325" t="str">
            <v>B25016794</v>
          </cell>
          <cell r="AP5325">
            <v>0</v>
          </cell>
          <cell r="AQ5325">
            <v>0</v>
          </cell>
          <cell r="AV5325">
            <v>2000000</v>
          </cell>
        </row>
        <row r="5326">
          <cell r="E5326" t="str">
            <v>D26000007</v>
          </cell>
          <cell r="AP5326">
            <v>0</v>
          </cell>
          <cell r="AQ5326">
            <v>0</v>
          </cell>
          <cell r="AV5326">
            <v>2800000</v>
          </cell>
        </row>
        <row r="5327">
          <cell r="E5327" t="str">
            <v>D26001145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T26000071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B26002171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B26001314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B26001315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T25001879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D26000261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B26001237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T26000042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D26001211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D26001976</v>
          </cell>
          <cell r="AP5337">
            <v>0</v>
          </cell>
          <cell r="AQ5337">
            <v>0</v>
          </cell>
          <cell r="AV5337">
            <v>1730000</v>
          </cell>
        </row>
        <row r="5338">
          <cell r="E5338" t="str">
            <v>D26001553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B26001652</v>
          </cell>
          <cell r="AP5339">
            <v>0</v>
          </cell>
          <cell r="AQ5339">
            <v>0</v>
          </cell>
          <cell r="AV5339">
            <v>1300000</v>
          </cell>
        </row>
        <row r="5340">
          <cell r="E5340" t="str">
            <v>B26000286</v>
          </cell>
          <cell r="AP5340">
            <v>0</v>
          </cell>
          <cell r="AQ5340">
            <v>0</v>
          </cell>
          <cell r="AV5340">
            <v>11350000</v>
          </cell>
        </row>
        <row r="5341">
          <cell r="E5341" t="str">
            <v>B26000287</v>
          </cell>
          <cell r="AP5341">
            <v>0</v>
          </cell>
          <cell r="AQ5341">
            <v>0</v>
          </cell>
          <cell r="AV5341">
            <v>1800000</v>
          </cell>
        </row>
        <row r="5342">
          <cell r="E5342" t="str">
            <v>D26001189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B26001457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D26002395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D26002396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B26000473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D26001005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B26001395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B26001556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B26001678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D26001834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B26001826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D26002065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B26002059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D26002329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B26002197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D26000582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B26000779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D23006230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N25000011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B26001332</v>
          </cell>
          <cell r="AP5361">
            <v>4680000</v>
          </cell>
          <cell r="AQ5361">
            <v>0</v>
          </cell>
          <cell r="AV5361">
            <v>0</v>
          </cell>
        </row>
        <row r="5362">
          <cell r="E5362" t="str">
            <v>B26001727</v>
          </cell>
          <cell r="AP5362">
            <v>0</v>
          </cell>
          <cell r="AQ5362">
            <v>0</v>
          </cell>
          <cell r="AV5362">
            <v>14100000</v>
          </cell>
        </row>
        <row r="5363">
          <cell r="E5363" t="str">
            <v>D26002322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D26001425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D26001918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D26001948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D25016305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D25016859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D25016929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D25017131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D25017131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D25017316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D25017317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B25015252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D25017823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D25018074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D25018188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D25018562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D25018905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D25019034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D25019035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D25019085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B25016745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D25019216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D25019236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D25019237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D25019267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D25019347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D25019451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D25019451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D25019452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D25019483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D25019486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D25019487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B26000130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D26000445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D26000474</v>
          </cell>
          <cell r="AP5397">
            <v>0</v>
          </cell>
          <cell r="AQ5397">
            <v>81000000</v>
          </cell>
          <cell r="AV5397">
            <v>0</v>
          </cell>
        </row>
        <row r="5398">
          <cell r="E5398" t="str">
            <v>D26000498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D26000499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D26000519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B26000598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D26000741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D26001098</v>
          </cell>
          <cell r="AP5403">
            <v>0</v>
          </cell>
          <cell r="AQ5403">
            <v>93140000</v>
          </cell>
          <cell r="AV5403">
            <v>0</v>
          </cell>
        </row>
        <row r="5404">
          <cell r="E5404" t="str">
            <v>D26001099</v>
          </cell>
          <cell r="AP5404">
            <v>0</v>
          </cell>
          <cell r="AQ5404">
            <v>119625000</v>
          </cell>
          <cell r="AV5404">
            <v>0</v>
          </cell>
        </row>
        <row r="5405">
          <cell r="E5405" t="str">
            <v>D26001116</v>
          </cell>
          <cell r="AP5405">
            <v>0</v>
          </cell>
          <cell r="AQ5405">
            <v>7500000</v>
          </cell>
          <cell r="AV5405">
            <v>0</v>
          </cell>
        </row>
        <row r="5406">
          <cell r="E5406" t="str">
            <v>B26001236</v>
          </cell>
          <cell r="AP5406">
            <v>0</v>
          </cell>
          <cell r="AQ5406">
            <v>140000000</v>
          </cell>
          <cell r="AV5406">
            <v>0</v>
          </cell>
        </row>
        <row r="5407">
          <cell r="E5407" t="str">
            <v>D26001366</v>
          </cell>
          <cell r="AP5407">
            <v>0</v>
          </cell>
          <cell r="AQ5407">
            <v>29040000</v>
          </cell>
          <cell r="AV5407">
            <v>0</v>
          </cell>
        </row>
        <row r="5408">
          <cell r="E5408" t="str">
            <v>T26000097</v>
          </cell>
          <cell r="AP5408">
            <v>0</v>
          </cell>
          <cell r="AQ5408">
            <v>11750000</v>
          </cell>
          <cell r="AV5408">
            <v>0</v>
          </cell>
        </row>
        <row r="5409">
          <cell r="E5409" t="str">
            <v>D26001501</v>
          </cell>
          <cell r="AP5409">
            <v>0</v>
          </cell>
          <cell r="AQ5409">
            <v>90125000</v>
          </cell>
          <cell r="AV5409">
            <v>0</v>
          </cell>
        </row>
        <row r="5410">
          <cell r="E5410" t="str">
            <v>D26001501</v>
          </cell>
          <cell r="AP5410">
            <v>0</v>
          </cell>
          <cell r="AQ5410">
            <v>11750000</v>
          </cell>
          <cell r="AV5410">
            <v>0</v>
          </cell>
        </row>
        <row r="5411">
          <cell r="E5411" t="str">
            <v>B26001449</v>
          </cell>
          <cell r="AP5411">
            <v>0</v>
          </cell>
          <cell r="AQ5411">
            <v>45600000</v>
          </cell>
          <cell r="AV5411">
            <v>0</v>
          </cell>
        </row>
        <row r="5412">
          <cell r="E5412" t="str">
            <v>D26001526</v>
          </cell>
          <cell r="AP5412">
            <v>0</v>
          </cell>
          <cell r="AQ5412">
            <v>121800000</v>
          </cell>
          <cell r="AV5412">
            <v>0</v>
          </cell>
        </row>
        <row r="5413">
          <cell r="E5413" t="str">
            <v>D26001591</v>
          </cell>
          <cell r="AP5413">
            <v>0</v>
          </cell>
          <cell r="AQ5413">
            <v>81600000</v>
          </cell>
          <cell r="AV5413">
            <v>0</v>
          </cell>
        </row>
        <row r="5414">
          <cell r="E5414" t="str">
            <v>D26001815</v>
          </cell>
          <cell r="AP5414">
            <v>13171175</v>
          </cell>
          <cell r="AQ5414">
            <v>0</v>
          </cell>
          <cell r="AV5414">
            <v>0</v>
          </cell>
        </row>
        <row r="5415">
          <cell r="E5415" t="str">
            <v>D26001863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B26001824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D26002175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D26002203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D26002206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B26002231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D26002450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B26001816</v>
          </cell>
          <cell r="AP5422">
            <v>0</v>
          </cell>
          <cell r="AQ5422">
            <v>0</v>
          </cell>
          <cell r="AV5422">
            <v>2502500</v>
          </cell>
        </row>
        <row r="5423">
          <cell r="E5423" t="str">
            <v>B26001817</v>
          </cell>
          <cell r="AP5423">
            <v>0</v>
          </cell>
          <cell r="AQ5423">
            <v>0</v>
          </cell>
          <cell r="AV5423">
            <v>3620000</v>
          </cell>
        </row>
        <row r="5424">
          <cell r="E5424" t="str">
            <v>B26001818</v>
          </cell>
          <cell r="AP5424">
            <v>0</v>
          </cell>
          <cell r="AQ5424">
            <v>0</v>
          </cell>
          <cell r="AV5424">
            <v>540000</v>
          </cell>
        </row>
        <row r="5425">
          <cell r="E5425" t="str">
            <v>D26001833</v>
          </cell>
          <cell r="AP5425">
            <v>0</v>
          </cell>
          <cell r="AQ5425">
            <v>0</v>
          </cell>
          <cell r="AV5425">
            <v>31834000</v>
          </cell>
        </row>
        <row r="5426">
          <cell r="E5426" t="str">
            <v>D25017323</v>
          </cell>
          <cell r="AP5426">
            <v>0</v>
          </cell>
          <cell r="AQ5426">
            <v>0</v>
          </cell>
          <cell r="AV5426">
            <v>4000000</v>
          </cell>
        </row>
        <row r="5427">
          <cell r="E5427" t="str">
            <v>D25017324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B25015963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D25018569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B25017002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B25017003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B25017004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B25017041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B25017046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D26001049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D26001050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B26001138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Z25002988</v>
          </cell>
          <cell r="AP5438">
            <v>0</v>
          </cell>
          <cell r="AQ5438">
            <v>0</v>
          </cell>
          <cell r="AV5438">
            <v>200000000</v>
          </cell>
        </row>
        <row r="5439">
          <cell r="E5439" t="str">
            <v>Z25002988</v>
          </cell>
          <cell r="AP5439">
            <v>0</v>
          </cell>
          <cell r="AQ5439">
            <v>0</v>
          </cell>
          <cell r="AV5439">
            <v>156250000</v>
          </cell>
        </row>
        <row r="5440">
          <cell r="E5440" t="str">
            <v>Z25002989</v>
          </cell>
          <cell r="AP5440">
            <v>0</v>
          </cell>
          <cell r="AQ5440">
            <v>0</v>
          </cell>
          <cell r="AV5440">
            <v>43750000</v>
          </cell>
        </row>
        <row r="5441">
          <cell r="E5441" t="str">
            <v>Z25002989</v>
          </cell>
          <cell r="AP5441">
            <v>0</v>
          </cell>
          <cell r="AQ5441">
            <v>0</v>
          </cell>
          <cell r="AV5441">
            <v>65540000</v>
          </cell>
        </row>
        <row r="5442">
          <cell r="E5442" t="str">
            <v>T25001736</v>
          </cell>
          <cell r="AP5442">
            <v>0</v>
          </cell>
          <cell r="AQ5442">
            <v>0</v>
          </cell>
          <cell r="AV5442">
            <v>25600000</v>
          </cell>
        </row>
        <row r="5443">
          <cell r="E5443" t="str">
            <v>Z25003036</v>
          </cell>
          <cell r="AP5443">
            <v>0</v>
          </cell>
          <cell r="AQ5443">
            <v>0</v>
          </cell>
          <cell r="AV5443">
            <v>2800000</v>
          </cell>
        </row>
        <row r="5444">
          <cell r="E5444" t="str">
            <v>T25001770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Z25003067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Z25003068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Z25003076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Z25003078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Z25003080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Z25003085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Z25003119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Z25003173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Z25003188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Z25003189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Z25003270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Z25003281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Z25003330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Z25003350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Z25003351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Z26000022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Z26000166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Z26000168</v>
          </cell>
          <cell r="AP5462">
            <v>0</v>
          </cell>
          <cell r="AQ5462">
            <v>0</v>
          </cell>
          <cell r="AV5462">
            <v>262934000</v>
          </cell>
        </row>
        <row r="5463">
          <cell r="E5463" t="str">
            <v>Z26000195</v>
          </cell>
          <cell r="AP5463">
            <v>0</v>
          </cell>
          <cell r="AQ5463">
            <v>0</v>
          </cell>
          <cell r="AV5463">
            <v>111526000</v>
          </cell>
        </row>
        <row r="5464">
          <cell r="E5464" t="str">
            <v>Z26000195</v>
          </cell>
          <cell r="AP5464">
            <v>0</v>
          </cell>
          <cell r="AQ5464">
            <v>0</v>
          </cell>
          <cell r="AV5464">
            <v>422474000</v>
          </cell>
        </row>
        <row r="5465">
          <cell r="E5465" t="str">
            <v>Z26000212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Z26000213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Z26000221</v>
          </cell>
          <cell r="AP5467">
            <v>0</v>
          </cell>
          <cell r="AQ5467">
            <v>0</v>
          </cell>
          <cell r="AV5467">
            <v>237526000</v>
          </cell>
        </row>
        <row r="5468">
          <cell r="E5468" t="str">
            <v>Z26000221</v>
          </cell>
          <cell r="AP5468">
            <v>0</v>
          </cell>
          <cell r="AQ5468">
            <v>0</v>
          </cell>
          <cell r="AV5468">
            <v>350000000</v>
          </cell>
        </row>
        <row r="5469">
          <cell r="E5469" t="str">
            <v>Z26000221</v>
          </cell>
          <cell r="AP5469">
            <v>0</v>
          </cell>
          <cell r="AQ5469">
            <v>0</v>
          </cell>
          <cell r="AV5469">
            <v>168474000</v>
          </cell>
        </row>
        <row r="5470">
          <cell r="E5470" t="str">
            <v>Z26000222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Z26000242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Z26000245</v>
          </cell>
          <cell r="AP5472">
            <v>0</v>
          </cell>
          <cell r="AQ5472">
            <v>0</v>
          </cell>
          <cell r="AV5472">
            <v>100526000</v>
          </cell>
        </row>
        <row r="5473">
          <cell r="E5473" t="str">
            <v>Z26000245</v>
          </cell>
          <cell r="AP5473">
            <v>0</v>
          </cell>
          <cell r="AQ5473">
            <v>0</v>
          </cell>
          <cell r="AV5473">
            <v>138000000</v>
          </cell>
        </row>
        <row r="5474">
          <cell r="E5474" t="str">
            <v>Z26000245</v>
          </cell>
          <cell r="AP5474">
            <v>0</v>
          </cell>
          <cell r="AQ5474">
            <v>0</v>
          </cell>
          <cell r="AV5474">
            <v>211474000</v>
          </cell>
        </row>
        <row r="5475">
          <cell r="E5475" t="str">
            <v>Z26000273</v>
          </cell>
          <cell r="AP5475">
            <v>0</v>
          </cell>
          <cell r="AQ5475">
            <v>0</v>
          </cell>
          <cell r="AV5475">
            <v>230126000</v>
          </cell>
        </row>
        <row r="5476">
          <cell r="E5476" t="str">
            <v>Z26000273</v>
          </cell>
          <cell r="AP5476">
            <v>0</v>
          </cell>
          <cell r="AQ5476">
            <v>0</v>
          </cell>
          <cell r="AV5476">
            <v>500000000</v>
          </cell>
        </row>
        <row r="5477">
          <cell r="E5477" t="str">
            <v>Z26000273</v>
          </cell>
          <cell r="AP5477">
            <v>0</v>
          </cell>
          <cell r="AQ5477">
            <v>0</v>
          </cell>
          <cell r="AV5477">
            <v>25874000</v>
          </cell>
        </row>
        <row r="5478">
          <cell r="E5478" t="str">
            <v>Z26000306</v>
          </cell>
          <cell r="AP5478">
            <v>0</v>
          </cell>
          <cell r="AQ5478">
            <v>0</v>
          </cell>
          <cell r="AV5478">
            <v>666000000</v>
          </cell>
        </row>
        <row r="5479">
          <cell r="E5479" t="str">
            <v>Z26000317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Z26000318</v>
          </cell>
          <cell r="AP5480">
            <v>0</v>
          </cell>
          <cell r="AQ5480">
            <v>0</v>
          </cell>
          <cell r="AV5480">
            <v>308126000</v>
          </cell>
        </row>
        <row r="5481">
          <cell r="E5481" t="str">
            <v>Z26000321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Z26000348</v>
          </cell>
          <cell r="AP5482">
            <v>0</v>
          </cell>
          <cell r="AQ5482">
            <v>0</v>
          </cell>
          <cell r="AV5482">
            <v>131000000</v>
          </cell>
        </row>
        <row r="5483">
          <cell r="E5483" t="str">
            <v>Z26000369</v>
          </cell>
          <cell r="AP5483">
            <v>0</v>
          </cell>
          <cell r="AQ5483">
            <v>0</v>
          </cell>
          <cell r="AV5483">
            <v>262000000</v>
          </cell>
        </row>
        <row r="5484">
          <cell r="E5484" t="str">
            <v>Z26000407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Z26000408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Z26000409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Z26000410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Z26000426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Z26000434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B26000712</v>
          </cell>
          <cell r="AP5490">
            <v>0</v>
          </cell>
          <cell r="AQ5490">
            <v>0</v>
          </cell>
          <cell r="AV5490">
            <v>5700500</v>
          </cell>
        </row>
        <row r="5491">
          <cell r="E5491" t="str">
            <v>B26000742</v>
          </cell>
          <cell r="AP5491">
            <v>0</v>
          </cell>
          <cell r="AQ5491">
            <v>0</v>
          </cell>
          <cell r="AV5491">
            <v>6500000</v>
          </cell>
        </row>
        <row r="5492">
          <cell r="E5492" t="str">
            <v>D26001315</v>
          </cell>
          <cell r="AP5492">
            <v>0</v>
          </cell>
          <cell r="AQ5492">
            <v>0</v>
          </cell>
          <cell r="AV5492">
            <v>1260000</v>
          </cell>
        </row>
        <row r="5493">
          <cell r="E5493" t="str">
            <v>D26001316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B26001819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B26002172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T25001740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D25019087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T25001790</v>
          </cell>
          <cell r="AP5498">
            <v>0</v>
          </cell>
          <cell r="AQ5498">
            <v>0</v>
          </cell>
          <cell r="AV5498">
            <v>1440000</v>
          </cell>
        </row>
        <row r="5499">
          <cell r="E5499" t="str">
            <v>T25001884</v>
          </cell>
          <cell r="AP5499">
            <v>0</v>
          </cell>
          <cell r="AQ5499">
            <v>0</v>
          </cell>
          <cell r="AV5499">
            <v>900000</v>
          </cell>
        </row>
        <row r="5500">
          <cell r="E5500" t="str">
            <v>B25017000</v>
          </cell>
          <cell r="AP5500">
            <v>0</v>
          </cell>
          <cell r="AQ5500">
            <v>0</v>
          </cell>
          <cell r="AV5500">
            <v>1560000</v>
          </cell>
        </row>
        <row r="5501">
          <cell r="E5501" t="str">
            <v>D26000418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D26000444</v>
          </cell>
          <cell r="AP5502">
            <v>0</v>
          </cell>
          <cell r="AQ5502">
            <v>0</v>
          </cell>
          <cell r="AV5502">
            <v>35625000</v>
          </cell>
        </row>
        <row r="5503">
          <cell r="E5503" t="str">
            <v>D26000446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B26001667</v>
          </cell>
          <cell r="AP5504">
            <v>0</v>
          </cell>
          <cell r="AQ5504">
            <v>0</v>
          </cell>
          <cell r="AV5504">
            <v>2460000</v>
          </cell>
        </row>
        <row r="5505">
          <cell r="E5505" t="str">
            <v>D26002247</v>
          </cell>
          <cell r="AP5505">
            <v>0</v>
          </cell>
          <cell r="AQ5505">
            <v>0</v>
          </cell>
          <cell r="AV5505">
            <v>1275000</v>
          </cell>
        </row>
        <row r="5506">
          <cell r="E5506" t="str">
            <v>B26001185</v>
          </cell>
          <cell r="AP5506">
            <v>0</v>
          </cell>
          <cell r="AQ5506">
            <v>0</v>
          </cell>
          <cell r="AV5506">
            <v>25000000</v>
          </cell>
        </row>
        <row r="5507">
          <cell r="E5507" t="str">
            <v>D26001515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B26001685</v>
          </cell>
          <cell r="AP5508">
            <v>0</v>
          </cell>
          <cell r="AQ5508">
            <v>0</v>
          </cell>
          <cell r="AV5508">
            <v>0</v>
          </cell>
        </row>
        <row r="5509">
          <cell r="E5509" t="str">
            <v>B26001773</v>
          </cell>
          <cell r="AP5509">
            <v>0</v>
          </cell>
          <cell r="AQ5509">
            <v>0</v>
          </cell>
          <cell r="AV5509">
            <v>8512500</v>
          </cell>
        </row>
        <row r="5510">
          <cell r="E5510" t="str">
            <v>B26001793</v>
          </cell>
          <cell r="AP5510">
            <v>0</v>
          </cell>
          <cell r="AQ5510">
            <v>0</v>
          </cell>
          <cell r="AV5510">
            <v>285000</v>
          </cell>
        </row>
        <row r="5511">
          <cell r="E5511" t="str">
            <v>B25016264</v>
          </cell>
          <cell r="AP5511">
            <v>0</v>
          </cell>
          <cell r="AQ5511">
            <v>0</v>
          </cell>
          <cell r="AV5511">
            <v>12984000</v>
          </cell>
        </row>
        <row r="5512">
          <cell r="E5512" t="str">
            <v>B25016264</v>
          </cell>
          <cell r="AP5512">
            <v>0</v>
          </cell>
          <cell r="AQ5512">
            <v>0</v>
          </cell>
          <cell r="AV5512">
            <v>15000000</v>
          </cell>
        </row>
        <row r="5513">
          <cell r="E5513" t="str">
            <v>B25016264</v>
          </cell>
          <cell r="AP5513">
            <v>0</v>
          </cell>
          <cell r="AQ5513">
            <v>0</v>
          </cell>
          <cell r="AV5513">
            <v>20000000</v>
          </cell>
        </row>
        <row r="5514">
          <cell r="E5514" t="str">
            <v>D25019138</v>
          </cell>
          <cell r="AP5514">
            <v>0</v>
          </cell>
          <cell r="AQ5514">
            <v>0</v>
          </cell>
          <cell r="AV5514">
            <v>2016000</v>
          </cell>
        </row>
        <row r="5515">
          <cell r="E5515" t="str">
            <v>B25016971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B26000358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D26000464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B26001357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B26001358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B26001360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B26001403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D26002455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D26000348</v>
          </cell>
          <cell r="AP5523">
            <v>0</v>
          </cell>
          <cell r="AQ5523">
            <v>0</v>
          </cell>
          <cell r="AV5523">
            <v>1580000</v>
          </cell>
        </row>
        <row r="5524">
          <cell r="E5524" t="str">
            <v>B26001074</v>
          </cell>
          <cell r="AP5524">
            <v>0</v>
          </cell>
          <cell r="AQ5524">
            <v>0</v>
          </cell>
          <cell r="AV5524">
            <v>395000</v>
          </cell>
        </row>
        <row r="5525">
          <cell r="E5525" t="str">
            <v>B26001833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B26001835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B26001965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B26001990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D26002168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D26002293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B25015653</v>
          </cell>
          <cell r="AP5531">
            <v>0</v>
          </cell>
          <cell r="AQ5531">
            <v>0</v>
          </cell>
          <cell r="AV5531">
            <v>5760000</v>
          </cell>
        </row>
        <row r="5532">
          <cell r="E5532" t="str">
            <v>D26001506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D26002326</v>
          </cell>
          <cell r="AP5533">
            <v>0</v>
          </cell>
          <cell r="AQ5533">
            <v>0</v>
          </cell>
          <cell r="AV5533">
            <v>3650000</v>
          </cell>
        </row>
        <row r="5534">
          <cell r="E5534" t="str">
            <v>D25019337</v>
          </cell>
          <cell r="AP5534">
            <v>0</v>
          </cell>
          <cell r="AQ5534">
            <v>0</v>
          </cell>
          <cell r="AV5534">
            <v>9700000</v>
          </cell>
        </row>
        <row r="5535">
          <cell r="E5535" t="str">
            <v>D25019338</v>
          </cell>
          <cell r="AP5535">
            <v>0</v>
          </cell>
          <cell r="AQ5535">
            <v>0</v>
          </cell>
          <cell r="AV5535">
            <v>2415000</v>
          </cell>
        </row>
        <row r="5536">
          <cell r="E5536" t="str">
            <v>B25016943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B25017062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B25017083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D26001261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D26001329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B26001269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B26001809</v>
          </cell>
          <cell r="AP5542">
            <v>0</v>
          </cell>
          <cell r="AQ5542">
            <v>0</v>
          </cell>
          <cell r="AV5542">
            <v>1525000</v>
          </cell>
        </row>
        <row r="5543">
          <cell r="E5543" t="str">
            <v>B26001810</v>
          </cell>
          <cell r="AP5543">
            <v>0</v>
          </cell>
          <cell r="AQ5543">
            <v>0</v>
          </cell>
          <cell r="AV5543">
            <v>3275000</v>
          </cell>
        </row>
        <row r="5544">
          <cell r="E5544" t="str">
            <v>D26001954</v>
          </cell>
          <cell r="AP5544">
            <v>0</v>
          </cell>
          <cell r="AQ5544">
            <v>0</v>
          </cell>
          <cell r="AV5544">
            <v>1835000</v>
          </cell>
        </row>
        <row r="5545">
          <cell r="E5545" t="str">
            <v>D26001637</v>
          </cell>
          <cell r="AP5545">
            <v>0</v>
          </cell>
          <cell r="AQ5545">
            <v>0</v>
          </cell>
          <cell r="AV5545">
            <v>21628800</v>
          </cell>
        </row>
        <row r="5546">
          <cell r="E5546" t="str">
            <v>D26001638</v>
          </cell>
          <cell r="AP5546">
            <v>0</v>
          </cell>
          <cell r="AQ5546">
            <v>0</v>
          </cell>
          <cell r="AV5546">
            <v>8026000</v>
          </cell>
        </row>
        <row r="5547">
          <cell r="E5547" t="str">
            <v>D26001661</v>
          </cell>
          <cell r="AP5547">
            <v>0</v>
          </cell>
          <cell r="AQ5547">
            <v>0</v>
          </cell>
          <cell r="AV5547">
            <v>4424000</v>
          </cell>
        </row>
        <row r="5548">
          <cell r="E5548" t="str">
            <v>D26001662</v>
          </cell>
          <cell r="AP5548">
            <v>0</v>
          </cell>
          <cell r="AQ5548">
            <v>0</v>
          </cell>
          <cell r="AV5548">
            <v>1960000</v>
          </cell>
        </row>
        <row r="5549">
          <cell r="E5549" t="str">
            <v>D26001827</v>
          </cell>
          <cell r="AP5549">
            <v>0</v>
          </cell>
          <cell r="AQ5549">
            <v>0</v>
          </cell>
          <cell r="AV5549">
            <v>32025000</v>
          </cell>
        </row>
        <row r="5550">
          <cell r="E5550" t="str">
            <v>D26001828</v>
          </cell>
          <cell r="AP5550">
            <v>0</v>
          </cell>
          <cell r="AQ5550">
            <v>0</v>
          </cell>
          <cell r="AV5550">
            <v>537500</v>
          </cell>
        </row>
        <row r="5551">
          <cell r="E5551" t="str">
            <v>D26001829</v>
          </cell>
          <cell r="AP5551">
            <v>0</v>
          </cell>
          <cell r="AQ5551">
            <v>0</v>
          </cell>
          <cell r="AV5551">
            <v>1600000</v>
          </cell>
        </row>
        <row r="5552">
          <cell r="E5552" t="str">
            <v>D26001830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D26001830</v>
          </cell>
          <cell r="AP5553">
            <v>0</v>
          </cell>
          <cell r="AQ5553">
            <v>0</v>
          </cell>
          <cell r="AV5553">
            <v>2688000</v>
          </cell>
        </row>
        <row r="5554">
          <cell r="E5554" t="str">
            <v>D26002011</v>
          </cell>
          <cell r="AP5554">
            <v>0</v>
          </cell>
          <cell r="AQ5554">
            <v>0</v>
          </cell>
          <cell r="AV5554">
            <v>5920000</v>
          </cell>
        </row>
        <row r="5555">
          <cell r="E5555" t="str">
            <v>B26001895</v>
          </cell>
          <cell r="AP5555">
            <v>0</v>
          </cell>
          <cell r="AQ5555">
            <v>0</v>
          </cell>
          <cell r="AV5555">
            <v>6680000</v>
          </cell>
        </row>
        <row r="5556">
          <cell r="E5556" t="str">
            <v>D26002279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D26002280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D26002289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D26000097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B26000169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B26000708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B26000709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B26000710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B26000711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D26000965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B26001160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D26001236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D26001569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B26001606</v>
          </cell>
          <cell r="AP5569">
            <v>0</v>
          </cell>
          <cell r="AQ5569">
            <v>0</v>
          </cell>
          <cell r="AV5569">
            <v>7720000</v>
          </cell>
        </row>
        <row r="5570">
          <cell r="E5570" t="str">
            <v>D26001724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B26001845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D26002070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D26002071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B26002096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B26002269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>
            <v>250204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D26000039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D26000561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D26001910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B26001618</v>
          </cell>
          <cell r="AP5580">
            <v>0</v>
          </cell>
          <cell r="AQ5580">
            <v>0</v>
          </cell>
          <cell r="AV5580">
            <v>4380000</v>
          </cell>
        </row>
        <row r="5581">
          <cell r="E5581" t="str">
            <v>D26002402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D26002267</v>
          </cell>
          <cell r="AP5582">
            <v>0</v>
          </cell>
          <cell r="AQ5582">
            <v>0</v>
          </cell>
          <cell r="AV5582">
            <v>220000000</v>
          </cell>
        </row>
        <row r="5583">
          <cell r="E5583" t="str">
            <v>D26000280</v>
          </cell>
          <cell r="AP5583">
            <v>0</v>
          </cell>
          <cell r="AQ5583">
            <v>0</v>
          </cell>
          <cell r="AV5583">
            <v>50000000</v>
          </cell>
        </row>
        <row r="5584">
          <cell r="E5584" t="str">
            <v>D25016938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D25017234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D25019460</v>
          </cell>
          <cell r="AP5586">
            <v>0</v>
          </cell>
          <cell r="AQ5586">
            <v>0</v>
          </cell>
          <cell r="AV5586">
            <v>16100000</v>
          </cell>
        </row>
        <row r="5587">
          <cell r="E5587" t="str">
            <v>D25019460</v>
          </cell>
          <cell r="AP5587">
            <v>0</v>
          </cell>
          <cell r="AQ5587">
            <v>0</v>
          </cell>
          <cell r="AV5587">
            <v>10000000</v>
          </cell>
        </row>
        <row r="5588">
          <cell r="E5588" t="str">
            <v>D26000110</v>
          </cell>
          <cell r="AP5588">
            <v>0</v>
          </cell>
          <cell r="AQ5588">
            <v>0</v>
          </cell>
          <cell r="AV5588">
            <v>23400000</v>
          </cell>
        </row>
        <row r="5589">
          <cell r="E5589" t="str">
            <v>D26000405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D26002334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B26001893</v>
          </cell>
          <cell r="AP5591">
            <v>0</v>
          </cell>
          <cell r="AQ5591">
            <v>0</v>
          </cell>
          <cell r="AV5591">
            <v>1762500</v>
          </cell>
        </row>
        <row r="5592">
          <cell r="E5592" t="str">
            <v>D25018958</v>
          </cell>
          <cell r="AP5592">
            <v>0</v>
          </cell>
          <cell r="AQ5592">
            <v>0</v>
          </cell>
          <cell r="AV5592">
            <v>10000000</v>
          </cell>
        </row>
        <row r="5593">
          <cell r="E5593" t="str">
            <v>B26000514</v>
          </cell>
          <cell r="AP5593">
            <v>0</v>
          </cell>
          <cell r="AQ5593">
            <v>0</v>
          </cell>
          <cell r="AV5593">
            <v>2366000</v>
          </cell>
        </row>
        <row r="5594">
          <cell r="E5594" t="str">
            <v>B26000981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B26001490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D26001622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D26001651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B26001873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Z25003238</v>
          </cell>
          <cell r="AP5599">
            <v>0</v>
          </cell>
          <cell r="AQ5599">
            <v>0</v>
          </cell>
          <cell r="AV5599">
            <v>30000000</v>
          </cell>
        </row>
        <row r="5600">
          <cell r="E5600" t="str">
            <v>Z25003238</v>
          </cell>
          <cell r="AP5600">
            <v>0</v>
          </cell>
          <cell r="AQ5600">
            <v>0</v>
          </cell>
          <cell r="AV5600">
            <v>28100000</v>
          </cell>
        </row>
        <row r="5601">
          <cell r="E5601" t="str">
            <v>Z25003293</v>
          </cell>
          <cell r="AP5601">
            <v>0</v>
          </cell>
          <cell r="AQ5601">
            <v>0</v>
          </cell>
          <cell r="AV5601">
            <v>8437500</v>
          </cell>
        </row>
        <row r="5602">
          <cell r="E5602" t="str">
            <v>Z25003299</v>
          </cell>
          <cell r="AP5602">
            <v>0</v>
          </cell>
          <cell r="AQ5602">
            <v>0</v>
          </cell>
          <cell r="AV5602">
            <v>3462500</v>
          </cell>
        </row>
        <row r="5603">
          <cell r="E5603" t="str">
            <v>Z25003361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Z25003362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Z25003367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Z26000048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D26002459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B26000300</v>
          </cell>
          <cell r="AP5608">
            <v>0</v>
          </cell>
          <cell r="AQ5608">
            <v>0</v>
          </cell>
          <cell r="AV5608">
            <v>2830000</v>
          </cell>
        </row>
        <row r="5609">
          <cell r="E5609" t="str">
            <v>D26000454</v>
          </cell>
          <cell r="AP5609">
            <v>0</v>
          </cell>
          <cell r="AQ5609">
            <v>0</v>
          </cell>
          <cell r="AV5609">
            <v>1300000</v>
          </cell>
        </row>
        <row r="5610">
          <cell r="E5610" t="str">
            <v>D26000686</v>
          </cell>
          <cell r="AP5610">
            <v>0</v>
          </cell>
          <cell r="AQ5610">
            <v>0</v>
          </cell>
          <cell r="AV5610">
            <v>1100000</v>
          </cell>
        </row>
        <row r="5611">
          <cell r="E5611" t="str">
            <v>D26000688</v>
          </cell>
          <cell r="AP5611">
            <v>0</v>
          </cell>
          <cell r="AQ5611">
            <v>0</v>
          </cell>
          <cell r="AV5611">
            <v>1320000</v>
          </cell>
        </row>
        <row r="5612">
          <cell r="E5612" t="str">
            <v>B25017125</v>
          </cell>
          <cell r="AP5612">
            <v>0</v>
          </cell>
          <cell r="AQ5612">
            <v>0</v>
          </cell>
          <cell r="AV5612">
            <v>1350000</v>
          </cell>
        </row>
        <row r="5613">
          <cell r="E5613" t="str">
            <v>B26000086</v>
          </cell>
          <cell r="AP5613">
            <v>0</v>
          </cell>
          <cell r="AQ5613">
            <v>0</v>
          </cell>
          <cell r="AV5613">
            <v>1680000</v>
          </cell>
        </row>
        <row r="5614">
          <cell r="E5614" t="str">
            <v>D26000063</v>
          </cell>
          <cell r="AP5614">
            <v>0</v>
          </cell>
          <cell r="AQ5614">
            <v>0</v>
          </cell>
          <cell r="AV5614">
            <v>2016000</v>
          </cell>
        </row>
        <row r="5615">
          <cell r="E5615" t="str">
            <v>D26000077</v>
          </cell>
          <cell r="AP5615">
            <v>0</v>
          </cell>
          <cell r="AQ5615">
            <v>0</v>
          </cell>
          <cell r="AV5615">
            <v>3360000</v>
          </cell>
        </row>
        <row r="5616">
          <cell r="E5616" t="str">
            <v>D26000274</v>
          </cell>
          <cell r="AP5616">
            <v>0</v>
          </cell>
          <cell r="AQ5616">
            <v>0</v>
          </cell>
          <cell r="AV5616">
            <v>3170000</v>
          </cell>
        </row>
        <row r="5617">
          <cell r="E5617" t="str">
            <v>B26000399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D26000415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B26000470</v>
          </cell>
          <cell r="AP5619">
            <v>0</v>
          </cell>
          <cell r="AQ5619">
            <v>0</v>
          </cell>
          <cell r="AV5619">
            <v>0</v>
          </cell>
        </row>
        <row r="5620">
          <cell r="E5620" t="str">
            <v>D26000645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D26000927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D26000940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D26000976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B26000992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D26001052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B26001050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N26000011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D26001235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D26001612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D26001663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D26001664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D26001789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D26001790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B26002028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D26002197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T26000117</v>
          </cell>
          <cell r="AP5636">
            <v>0</v>
          </cell>
          <cell r="AQ5636">
            <v>0</v>
          </cell>
          <cell r="AV5636">
            <v>5200000</v>
          </cell>
        </row>
        <row r="5637">
          <cell r="E5637" t="str">
            <v>T26000118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C26000116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D26000021</v>
          </cell>
          <cell r="AP5639">
            <v>0</v>
          </cell>
          <cell r="AQ5639">
            <v>0</v>
          </cell>
          <cell r="AV5639">
            <v>35190000</v>
          </cell>
        </row>
        <row r="5640">
          <cell r="E5640" t="str">
            <v>D26000378</v>
          </cell>
          <cell r="AP5640">
            <v>0</v>
          </cell>
          <cell r="AQ5640">
            <v>0</v>
          </cell>
          <cell r="AV5640">
            <v>129255000</v>
          </cell>
        </row>
        <row r="5641">
          <cell r="E5641" t="str">
            <v>D26000397</v>
          </cell>
          <cell r="AP5641">
            <v>0</v>
          </cell>
          <cell r="AQ5641">
            <v>0</v>
          </cell>
          <cell r="AV5641">
            <v>19200000</v>
          </cell>
        </row>
        <row r="5642">
          <cell r="E5642" t="str">
            <v>D26000406</v>
          </cell>
          <cell r="AP5642">
            <v>0</v>
          </cell>
          <cell r="AQ5642">
            <v>0</v>
          </cell>
          <cell r="AV5642">
            <v>2190000</v>
          </cell>
        </row>
        <row r="5643">
          <cell r="E5643" t="str">
            <v>B26000416</v>
          </cell>
          <cell r="AP5643">
            <v>0</v>
          </cell>
          <cell r="AQ5643">
            <v>0</v>
          </cell>
          <cell r="AV5643">
            <v>11850000</v>
          </cell>
        </row>
        <row r="5644">
          <cell r="E5644" t="str">
            <v>D26000599</v>
          </cell>
          <cell r="AP5644">
            <v>0</v>
          </cell>
          <cell r="AQ5644">
            <v>0</v>
          </cell>
          <cell r="AV5644">
            <v>118600000</v>
          </cell>
        </row>
        <row r="5645">
          <cell r="E5645" t="str">
            <v>D26000600</v>
          </cell>
          <cell r="AP5645">
            <v>0</v>
          </cell>
          <cell r="AQ5645">
            <v>0</v>
          </cell>
          <cell r="AV5645">
            <v>21100000</v>
          </cell>
        </row>
        <row r="5646">
          <cell r="E5646" t="str">
            <v>D26000656</v>
          </cell>
          <cell r="AP5646">
            <v>0</v>
          </cell>
          <cell r="AQ5646">
            <v>0</v>
          </cell>
          <cell r="AV5646">
            <v>3760000</v>
          </cell>
        </row>
        <row r="5647">
          <cell r="E5647" t="str">
            <v>D26000731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D26000781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D26000782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D26000817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B26000975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D26001060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B26001069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D26001263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D26001654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B26001674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D26001998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B26001982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Z26000053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Z26000056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Z26000124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T26000043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Z26000135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Z26000161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Z26000200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Z26000205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Z26000282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Z26000390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T25001673</v>
          </cell>
          <cell r="AP5669">
            <v>0</v>
          </cell>
          <cell r="AQ5669">
            <v>0</v>
          </cell>
          <cell r="AV5669">
            <v>4000000</v>
          </cell>
        </row>
        <row r="5670">
          <cell r="E5670" t="str">
            <v>T26000103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B26001499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T26000142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B25016958</v>
          </cell>
          <cell r="AP5673">
            <v>0</v>
          </cell>
          <cell r="AQ5673">
            <v>0</v>
          </cell>
          <cell r="AV5673">
            <v>490000</v>
          </cell>
        </row>
        <row r="5674">
          <cell r="E5674" t="str">
            <v>D25019518</v>
          </cell>
          <cell r="AP5674">
            <v>0</v>
          </cell>
          <cell r="AQ5674">
            <v>0</v>
          </cell>
          <cell r="AV5674">
            <v>5272000</v>
          </cell>
        </row>
        <row r="5675">
          <cell r="E5675" t="str">
            <v>D25013643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T26000057K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B26002256</v>
          </cell>
          <cell r="AP5677">
            <v>0</v>
          </cell>
          <cell r="AQ5677">
            <v>0</v>
          </cell>
          <cell r="AV5677">
            <v>2237000</v>
          </cell>
        </row>
        <row r="5678">
          <cell r="E5678" t="str">
            <v>B26002257</v>
          </cell>
          <cell r="AP5678">
            <v>0</v>
          </cell>
          <cell r="AQ5678">
            <v>0</v>
          </cell>
          <cell r="AV5678">
            <v>2656000</v>
          </cell>
        </row>
        <row r="5679">
          <cell r="E5679" t="str">
            <v>T26000167</v>
          </cell>
          <cell r="AP5679">
            <v>0</v>
          </cell>
          <cell r="AQ5679">
            <v>0</v>
          </cell>
          <cell r="AV5679">
            <v>500000</v>
          </cell>
        </row>
        <row r="5680">
          <cell r="E5680" t="str">
            <v>D25018530</v>
          </cell>
          <cell r="AP5680">
            <v>0</v>
          </cell>
          <cell r="AQ5680">
            <v>0</v>
          </cell>
          <cell r="AV5680">
            <v>136975000</v>
          </cell>
        </row>
        <row r="5681">
          <cell r="E5681" t="str">
            <v>B25016279</v>
          </cell>
          <cell r="AP5681">
            <v>0</v>
          </cell>
          <cell r="AQ5681">
            <v>0</v>
          </cell>
          <cell r="AV5681">
            <v>3200000</v>
          </cell>
        </row>
        <row r="5682">
          <cell r="E5682" t="str">
            <v>B25016808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B25016809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B25016868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B25016886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D26000185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D26000550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D26001076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D26001626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D26001627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D26001931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B25017103</v>
          </cell>
          <cell r="AP5692">
            <v>0</v>
          </cell>
          <cell r="AQ5692">
            <v>0</v>
          </cell>
          <cell r="AV5692">
            <v>9900000</v>
          </cell>
        </row>
        <row r="5693">
          <cell r="E5693" t="str">
            <v>B26000302</v>
          </cell>
          <cell r="AP5693">
            <v>0</v>
          </cell>
          <cell r="AQ5693">
            <v>0</v>
          </cell>
          <cell r="AV5693">
            <v>1850000</v>
          </cell>
        </row>
        <row r="5694">
          <cell r="E5694">
            <v>260004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B26000343</v>
          </cell>
          <cell r="AP5695">
            <v>0</v>
          </cell>
          <cell r="AQ5695">
            <v>0</v>
          </cell>
          <cell r="AV5695">
            <v>4200000</v>
          </cell>
        </row>
        <row r="5696">
          <cell r="E5696" t="str">
            <v>B26000349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B26000609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D26000820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B26000770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B26000771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B26000939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B26000942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B26001166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D26001234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D26001345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B26001512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B26001558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D26001701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B26001708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D26001767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D26002278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D26002407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D26002408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B26002283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D26002448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D26000581</v>
          </cell>
          <cell r="AP5716">
            <v>0</v>
          </cell>
          <cell r="AQ5716">
            <v>0</v>
          </cell>
          <cell r="AV5716">
            <v>1500000</v>
          </cell>
        </row>
        <row r="5717">
          <cell r="E5717" t="str">
            <v>D26001070</v>
          </cell>
          <cell r="AP5717">
            <v>0</v>
          </cell>
          <cell r="AQ5717">
            <v>0</v>
          </cell>
          <cell r="AV5717">
            <v>4200000</v>
          </cell>
        </row>
        <row r="5718">
          <cell r="E5718" t="str">
            <v>D26001700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B26001922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D26002386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D26000482</v>
          </cell>
          <cell r="AP5721">
            <v>0</v>
          </cell>
          <cell r="AQ5721">
            <v>0</v>
          </cell>
          <cell r="AV5721">
            <v>1350000</v>
          </cell>
        </row>
        <row r="5722">
          <cell r="E5722" t="str">
            <v>D26000495</v>
          </cell>
          <cell r="AP5722">
            <v>0</v>
          </cell>
          <cell r="AQ5722">
            <v>0</v>
          </cell>
          <cell r="AV5722">
            <v>2100000</v>
          </cell>
        </row>
        <row r="5723">
          <cell r="E5723" t="str">
            <v>B26000552</v>
          </cell>
          <cell r="AP5723">
            <v>0</v>
          </cell>
          <cell r="AQ5723">
            <v>0</v>
          </cell>
          <cell r="AV5723">
            <v>1710000</v>
          </cell>
        </row>
        <row r="5724">
          <cell r="E5724" t="str">
            <v>B26000592</v>
          </cell>
          <cell r="AP5724">
            <v>0</v>
          </cell>
          <cell r="AQ5724">
            <v>0</v>
          </cell>
          <cell r="AV5724">
            <v>2640000</v>
          </cell>
        </row>
        <row r="5725">
          <cell r="E5725" t="str">
            <v>B26000672</v>
          </cell>
          <cell r="AP5725">
            <v>0</v>
          </cell>
          <cell r="AQ5725">
            <v>0</v>
          </cell>
          <cell r="AV5725">
            <v>537500</v>
          </cell>
        </row>
        <row r="5726">
          <cell r="E5726" t="str">
            <v>D26000703</v>
          </cell>
          <cell r="AP5726">
            <v>0</v>
          </cell>
          <cell r="AQ5726">
            <v>0</v>
          </cell>
          <cell r="AV5726">
            <v>14140000</v>
          </cell>
        </row>
        <row r="5727">
          <cell r="E5727" t="str">
            <v>B26000873</v>
          </cell>
          <cell r="AP5727">
            <v>0</v>
          </cell>
          <cell r="AQ5727">
            <v>0</v>
          </cell>
          <cell r="AV5727">
            <v>1800000</v>
          </cell>
        </row>
        <row r="5728">
          <cell r="E5728" t="str">
            <v>D26001176</v>
          </cell>
          <cell r="AP5728">
            <v>0</v>
          </cell>
          <cell r="AQ5728">
            <v>0</v>
          </cell>
          <cell r="AV5728">
            <v>2000000</v>
          </cell>
        </row>
        <row r="5729">
          <cell r="E5729" t="str">
            <v>B26001293</v>
          </cell>
          <cell r="AP5729">
            <v>0</v>
          </cell>
          <cell r="AQ5729">
            <v>0</v>
          </cell>
          <cell r="AV5729">
            <v>11899000</v>
          </cell>
        </row>
        <row r="5730">
          <cell r="E5730" t="str">
            <v>B26001321</v>
          </cell>
          <cell r="AP5730">
            <v>0</v>
          </cell>
          <cell r="AQ5730">
            <v>0</v>
          </cell>
          <cell r="AV5730">
            <v>1416000</v>
          </cell>
        </row>
        <row r="5731">
          <cell r="E5731" t="str">
            <v>D26001398</v>
          </cell>
          <cell r="AP5731">
            <v>0</v>
          </cell>
          <cell r="AQ5731">
            <v>0</v>
          </cell>
          <cell r="AV5731">
            <v>2700000</v>
          </cell>
        </row>
        <row r="5732">
          <cell r="E5732" t="str">
            <v>D26001785</v>
          </cell>
          <cell r="AP5732">
            <v>0</v>
          </cell>
          <cell r="AQ5732">
            <v>0</v>
          </cell>
          <cell r="AV5732">
            <v>0</v>
          </cell>
        </row>
        <row r="5733">
          <cell r="E5733" t="str">
            <v>D26001914</v>
          </cell>
          <cell r="AP5733">
            <v>0</v>
          </cell>
          <cell r="AQ5733">
            <v>0</v>
          </cell>
          <cell r="AV5733">
            <v>33000000</v>
          </cell>
        </row>
        <row r="5734">
          <cell r="E5734" t="str">
            <v>D26002015</v>
          </cell>
          <cell r="AP5734">
            <v>0</v>
          </cell>
          <cell r="AQ5734">
            <v>0</v>
          </cell>
          <cell r="AV5734">
            <v>5340000</v>
          </cell>
        </row>
        <row r="5735">
          <cell r="E5735" t="str">
            <v>D26002054</v>
          </cell>
          <cell r="AP5735">
            <v>0</v>
          </cell>
          <cell r="AQ5735">
            <v>0</v>
          </cell>
          <cell r="AV5735">
            <v>79000000</v>
          </cell>
        </row>
        <row r="5736">
          <cell r="E5736" t="str">
            <v>D26002184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B26002211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B26002230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D25015100</v>
          </cell>
          <cell r="AP5739">
            <v>0</v>
          </cell>
          <cell r="AQ5739">
            <v>0</v>
          </cell>
          <cell r="AV5739">
            <v>57000000</v>
          </cell>
        </row>
        <row r="5740">
          <cell r="E5740" t="str">
            <v>D25016428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D25016444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B25014380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B25014914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B25014915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B25014916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B25014917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B25014921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D25017196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B25016405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B25016539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B25016540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D25019392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D25019402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B26000529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B26000530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B26000643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D26000729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D26001356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D25017901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D25017901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D25017902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B25015794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B25015795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D25018558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D25018559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D25018559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D25018583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D25019033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D25019033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D25019048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D25019050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D25019084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D25019084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B25016734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D25019255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B25016980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B25016990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B25016991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B25016991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B25017032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D25019592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D25019597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B26000133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B26000462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D26000538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D26000723</v>
          </cell>
          <cell r="AP5786">
            <v>0</v>
          </cell>
          <cell r="AQ5786">
            <v>73888000</v>
          </cell>
          <cell r="AV5786">
            <v>0</v>
          </cell>
        </row>
        <row r="5787">
          <cell r="E5787" t="str">
            <v>D26000739</v>
          </cell>
          <cell r="AP5787">
            <v>0</v>
          </cell>
          <cell r="AQ5787">
            <v>6112000</v>
          </cell>
          <cell r="AV5787">
            <v>0</v>
          </cell>
        </row>
        <row r="5788">
          <cell r="E5788" t="str">
            <v>D26000739</v>
          </cell>
          <cell r="AP5788">
            <v>0</v>
          </cell>
          <cell r="AQ5788">
            <v>29588000</v>
          </cell>
          <cell r="AV5788">
            <v>0</v>
          </cell>
        </row>
        <row r="5789">
          <cell r="E5789" t="str">
            <v>B26000959</v>
          </cell>
          <cell r="AP5789">
            <v>0</v>
          </cell>
          <cell r="AQ5789">
            <v>50460000</v>
          </cell>
          <cell r="AV5789">
            <v>0</v>
          </cell>
        </row>
        <row r="5790">
          <cell r="E5790" t="str">
            <v>B26001021</v>
          </cell>
          <cell r="AP5790">
            <v>0</v>
          </cell>
          <cell r="AQ5790">
            <v>4952000</v>
          </cell>
          <cell r="AV5790">
            <v>0</v>
          </cell>
        </row>
        <row r="5791">
          <cell r="E5791" t="str">
            <v>B26001021</v>
          </cell>
          <cell r="AP5791">
            <v>0</v>
          </cell>
          <cell r="AQ5791">
            <v>25160000</v>
          </cell>
          <cell r="AV5791">
            <v>0</v>
          </cell>
        </row>
        <row r="5792">
          <cell r="E5792" t="str">
            <v>D26001118</v>
          </cell>
          <cell r="AP5792">
            <v>0</v>
          </cell>
          <cell r="AQ5792">
            <v>5800000</v>
          </cell>
          <cell r="AV5792">
            <v>0</v>
          </cell>
        </row>
        <row r="5793">
          <cell r="E5793" t="str">
            <v>D26001135</v>
          </cell>
          <cell r="AP5793">
            <v>0</v>
          </cell>
          <cell r="AQ5793">
            <v>25057000</v>
          </cell>
          <cell r="AV5793">
            <v>0</v>
          </cell>
        </row>
        <row r="5794">
          <cell r="E5794" t="str">
            <v>D26001136</v>
          </cell>
          <cell r="AP5794">
            <v>0</v>
          </cell>
          <cell r="AQ5794">
            <v>18983000</v>
          </cell>
          <cell r="AV5794">
            <v>0</v>
          </cell>
        </row>
        <row r="5795">
          <cell r="E5795" t="str">
            <v>D26001136</v>
          </cell>
          <cell r="AP5795">
            <v>0</v>
          </cell>
          <cell r="AQ5795">
            <v>27617000</v>
          </cell>
          <cell r="AV5795">
            <v>0</v>
          </cell>
        </row>
        <row r="5796">
          <cell r="E5796" t="str">
            <v>D26001241</v>
          </cell>
          <cell r="AP5796">
            <v>0</v>
          </cell>
          <cell r="AQ5796">
            <v>12825000</v>
          </cell>
          <cell r="AV5796">
            <v>0</v>
          </cell>
        </row>
        <row r="5797">
          <cell r="E5797" t="str">
            <v>B26001419</v>
          </cell>
          <cell r="AP5797">
            <v>0</v>
          </cell>
          <cell r="AQ5797">
            <v>45440000</v>
          </cell>
          <cell r="AV5797">
            <v>0</v>
          </cell>
        </row>
        <row r="5798">
          <cell r="E5798" t="str">
            <v>D26001572</v>
          </cell>
          <cell r="AP5798">
            <v>0</v>
          </cell>
          <cell r="AQ5798">
            <v>1440000</v>
          </cell>
          <cell r="AV5798">
            <v>0</v>
          </cell>
        </row>
        <row r="5799">
          <cell r="E5799" t="str">
            <v>D26001922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D26001923</v>
          </cell>
          <cell r="AP5800">
            <v>0</v>
          </cell>
          <cell r="AQ5800">
            <v>0</v>
          </cell>
          <cell r="AV5800">
            <v>6720000</v>
          </cell>
        </row>
        <row r="5801">
          <cell r="E5801" t="str">
            <v>D26001955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D26001956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D26002114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D26002176</v>
          </cell>
          <cell r="AP5804">
            <v>0</v>
          </cell>
          <cell r="AQ5804">
            <v>0</v>
          </cell>
          <cell r="AV5804">
            <v>4830000</v>
          </cell>
        </row>
        <row r="5805">
          <cell r="E5805" t="str">
            <v>B26002095</v>
          </cell>
          <cell r="AP5805">
            <v>0</v>
          </cell>
          <cell r="AQ5805">
            <v>0</v>
          </cell>
          <cell r="AV5805">
            <v>3220000</v>
          </cell>
        </row>
        <row r="5806">
          <cell r="E5806" t="str">
            <v>B26002191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B25016162</v>
          </cell>
          <cell r="AP5807">
            <v>0</v>
          </cell>
          <cell r="AQ5807">
            <v>0</v>
          </cell>
          <cell r="AV5807">
            <v>1680000</v>
          </cell>
        </row>
        <row r="5808">
          <cell r="E5808" t="str">
            <v>D25019352</v>
          </cell>
          <cell r="AP5808">
            <v>0</v>
          </cell>
          <cell r="AQ5808">
            <v>0</v>
          </cell>
          <cell r="AV5808">
            <v>820000</v>
          </cell>
        </row>
        <row r="5809">
          <cell r="E5809" t="str">
            <v>B26000741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D26000835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D26001063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D26001561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B26001477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Z26000034</v>
          </cell>
          <cell r="AP5814">
            <v>0</v>
          </cell>
          <cell r="AQ5814">
            <v>0</v>
          </cell>
          <cell r="AV5814">
            <v>5000000</v>
          </cell>
        </row>
        <row r="5815">
          <cell r="E5815" t="str">
            <v>Z26000035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Z26000233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T25001440</v>
          </cell>
          <cell r="AP5817">
            <v>0</v>
          </cell>
          <cell r="AQ5817">
            <v>0</v>
          </cell>
          <cell r="AV5817">
            <v>1000000</v>
          </cell>
        </row>
        <row r="5818">
          <cell r="E5818" t="str">
            <v>D25015258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D26001097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B26001740</v>
          </cell>
          <cell r="AP5820">
            <v>0</v>
          </cell>
          <cell r="AQ5820">
            <v>0</v>
          </cell>
          <cell r="AV5820">
            <v>25000000</v>
          </cell>
        </row>
        <row r="5821">
          <cell r="E5821" t="str">
            <v>D26002446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D25018019</v>
          </cell>
          <cell r="AP5822">
            <v>0</v>
          </cell>
          <cell r="AQ5822">
            <v>0</v>
          </cell>
          <cell r="AV5822">
            <v>1605000</v>
          </cell>
        </row>
        <row r="5823">
          <cell r="E5823" t="str">
            <v>D26000073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T26000014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D26000577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D26000578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D26002204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D25016645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B26000353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D26000430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B26001962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T25001626K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T25001835k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T25001866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D26000548</v>
          </cell>
          <cell r="AP5835">
            <v>0</v>
          </cell>
          <cell r="AQ5835">
            <v>0</v>
          </cell>
          <cell r="AV5835">
            <v>10830000</v>
          </cell>
        </row>
        <row r="5836">
          <cell r="E5836" t="str">
            <v>D26001402</v>
          </cell>
          <cell r="AP5836">
            <v>0</v>
          </cell>
          <cell r="AQ5836">
            <v>0</v>
          </cell>
          <cell r="AV5836">
            <v>5700000</v>
          </cell>
        </row>
        <row r="5837">
          <cell r="E5837" t="str">
            <v>B26002275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D26000176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T25001548</v>
          </cell>
          <cell r="AP5839">
            <v>0</v>
          </cell>
          <cell r="AQ5839">
            <v>0</v>
          </cell>
          <cell r="AV5839">
            <v>4800000</v>
          </cell>
        </row>
        <row r="5840">
          <cell r="E5840" t="str">
            <v>D26001668</v>
          </cell>
          <cell r="AP5840">
            <v>0</v>
          </cell>
          <cell r="AQ5840">
            <v>0</v>
          </cell>
          <cell r="AV5840">
            <v>16000</v>
          </cell>
        </row>
        <row r="5841">
          <cell r="E5841" t="str">
            <v>B26001683</v>
          </cell>
          <cell r="AP5841">
            <v>0</v>
          </cell>
          <cell r="AQ5841">
            <v>0</v>
          </cell>
          <cell r="AV5841">
            <v>840000</v>
          </cell>
        </row>
        <row r="5842">
          <cell r="E5842" t="str">
            <v>B26001684</v>
          </cell>
          <cell r="AP5842">
            <v>0</v>
          </cell>
          <cell r="AQ5842">
            <v>0</v>
          </cell>
          <cell r="AV5842">
            <v>31150000</v>
          </cell>
        </row>
        <row r="5843">
          <cell r="E5843" t="str">
            <v>B26001942</v>
          </cell>
          <cell r="AP5843">
            <v>0</v>
          </cell>
          <cell r="AQ5843">
            <v>0</v>
          </cell>
          <cell r="AV5843">
            <v>13302000</v>
          </cell>
        </row>
        <row r="5844">
          <cell r="E5844" t="str">
            <v>B26001958</v>
          </cell>
          <cell r="AP5844">
            <v>0</v>
          </cell>
          <cell r="AQ5844">
            <v>0</v>
          </cell>
          <cell r="AV5844">
            <v>2440000</v>
          </cell>
        </row>
        <row r="5845">
          <cell r="E5845" t="str">
            <v>B26002057</v>
          </cell>
          <cell r="AP5845">
            <v>0</v>
          </cell>
          <cell r="AQ5845">
            <v>0</v>
          </cell>
          <cell r="AV5845">
            <v>9900000</v>
          </cell>
        </row>
        <row r="5846">
          <cell r="E5846" t="str">
            <v>B26002058</v>
          </cell>
          <cell r="AP5846">
            <v>0</v>
          </cell>
          <cell r="AQ5846">
            <v>0</v>
          </cell>
          <cell r="AV5846">
            <v>2250000</v>
          </cell>
        </row>
        <row r="5847">
          <cell r="E5847" t="str">
            <v>B26001416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B26001417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B26002184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B25016307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B26001192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D26000909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D26001243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D26001714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B26001657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D26001835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B26001907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D26002106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B26002056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D25016353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D26002077</v>
          </cell>
          <cell r="AP5861">
            <v>0</v>
          </cell>
          <cell r="AQ5861">
            <v>0</v>
          </cell>
          <cell r="AV5861">
            <v>6580000</v>
          </cell>
        </row>
        <row r="5862">
          <cell r="E5862" t="str">
            <v>B26001966</v>
          </cell>
          <cell r="AP5862">
            <v>0</v>
          </cell>
          <cell r="AQ5862">
            <v>0</v>
          </cell>
          <cell r="AV5862">
            <v>6840000</v>
          </cell>
        </row>
        <row r="5863">
          <cell r="E5863" t="str">
            <v>B26001849</v>
          </cell>
          <cell r="AP5863">
            <v>0</v>
          </cell>
          <cell r="AQ5863">
            <v>0</v>
          </cell>
          <cell r="AV5863">
            <v>66500000</v>
          </cell>
        </row>
        <row r="5864">
          <cell r="E5864" t="str">
            <v>B26000376</v>
          </cell>
          <cell r="AP5864">
            <v>0</v>
          </cell>
          <cell r="AQ5864">
            <v>0</v>
          </cell>
          <cell r="AV5864">
            <v>4400000</v>
          </cell>
        </row>
        <row r="5865">
          <cell r="E5865" t="str">
            <v>B26000378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D26001960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T26000133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D26002078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B26001626</v>
          </cell>
          <cell r="AP5869">
            <v>0</v>
          </cell>
          <cell r="AQ5869">
            <v>0</v>
          </cell>
          <cell r="AV5869">
            <v>22927500</v>
          </cell>
        </row>
        <row r="5870">
          <cell r="E5870" t="str">
            <v>D26002376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D26002462</v>
          </cell>
          <cell r="AP5871">
            <v>0</v>
          </cell>
          <cell r="AQ5871">
            <v>0</v>
          </cell>
          <cell r="AV5871">
            <v>0</v>
          </cell>
        </row>
        <row r="5872">
          <cell r="E5872" t="str">
            <v>B25017061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D25019695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B26000088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B26000142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B26000148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D26000796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B26001064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N26000014</v>
          </cell>
          <cell r="AP5879">
            <v>0</v>
          </cell>
          <cell r="AQ5879">
            <v>0</v>
          </cell>
          <cell r="AV5879">
            <v>34200000</v>
          </cell>
        </row>
        <row r="5880">
          <cell r="E5880" t="str">
            <v>B26001528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B26001529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D26001681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D26001813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D26002136</v>
          </cell>
          <cell r="AP5884">
            <v>0</v>
          </cell>
          <cell r="AQ5884">
            <v>0</v>
          </cell>
          <cell r="AV5884">
            <v>12600000</v>
          </cell>
        </row>
        <row r="5885">
          <cell r="E5885" t="str">
            <v>D26002259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B25014251</v>
          </cell>
          <cell r="AP5886">
            <v>0</v>
          </cell>
          <cell r="AQ5886">
            <v>0</v>
          </cell>
          <cell r="AV5886">
            <v>9000000</v>
          </cell>
        </row>
        <row r="5887">
          <cell r="E5887" t="str">
            <v>D25018333</v>
          </cell>
          <cell r="AP5887">
            <v>0</v>
          </cell>
          <cell r="AQ5887">
            <v>0</v>
          </cell>
          <cell r="AV5887">
            <v>12280000</v>
          </cell>
        </row>
        <row r="5888">
          <cell r="E5888" t="str">
            <v>D25018347</v>
          </cell>
          <cell r="AP5888">
            <v>0</v>
          </cell>
          <cell r="AQ5888">
            <v>0</v>
          </cell>
          <cell r="AV5888">
            <v>9600000</v>
          </cell>
        </row>
        <row r="5889">
          <cell r="E5889" t="str">
            <v>B25016257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D25018742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D25018743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D26000026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D26000027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D26000216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D26000217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D26000218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B26000559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B26000560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B26000569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B26000570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D26001528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B26002039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D26001240</v>
          </cell>
          <cell r="AP5903">
            <v>0</v>
          </cell>
          <cell r="AQ5903">
            <v>0</v>
          </cell>
          <cell r="AV5903">
            <v>8545000</v>
          </cell>
        </row>
        <row r="5904">
          <cell r="E5904" t="str">
            <v>D26001246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B26002200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D25016746</v>
          </cell>
          <cell r="AP5906">
            <v>0</v>
          </cell>
          <cell r="AQ5906">
            <v>82122000</v>
          </cell>
          <cell r="AV5906">
            <v>0</v>
          </cell>
        </row>
        <row r="5907">
          <cell r="E5907" t="str">
            <v>B25015472</v>
          </cell>
          <cell r="AP5907">
            <v>0</v>
          </cell>
          <cell r="AQ5907">
            <v>35100000</v>
          </cell>
          <cell r="AV5907">
            <v>0</v>
          </cell>
        </row>
        <row r="5908">
          <cell r="E5908" t="str">
            <v>D25018132</v>
          </cell>
          <cell r="AP5908">
            <v>0</v>
          </cell>
          <cell r="AQ5908">
            <v>140325000</v>
          </cell>
          <cell r="AV5908">
            <v>0</v>
          </cell>
        </row>
        <row r="5909">
          <cell r="E5909" t="str">
            <v>D25018308</v>
          </cell>
          <cell r="AP5909">
            <v>0</v>
          </cell>
          <cell r="AQ5909">
            <v>54000000</v>
          </cell>
          <cell r="AV5909">
            <v>0</v>
          </cell>
        </row>
        <row r="5910">
          <cell r="E5910" t="str">
            <v>B25016700</v>
          </cell>
          <cell r="AP5910">
            <v>0</v>
          </cell>
          <cell r="AQ5910">
            <v>163000000</v>
          </cell>
          <cell r="AV5910">
            <v>0</v>
          </cell>
        </row>
        <row r="5911">
          <cell r="E5911" t="str">
            <v>B26000038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B26000298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B26000593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D26000625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B26001110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B26001139</v>
          </cell>
          <cell r="AP5916">
            <v>0</v>
          </cell>
          <cell r="AQ5916">
            <v>0</v>
          </cell>
          <cell r="AV5916">
            <v>46200000</v>
          </cell>
        </row>
        <row r="5917">
          <cell r="E5917" t="str">
            <v>B26001693</v>
          </cell>
          <cell r="AP5917">
            <v>0</v>
          </cell>
          <cell r="AQ5917">
            <v>0</v>
          </cell>
          <cell r="AV5917">
            <v>218000000</v>
          </cell>
        </row>
        <row r="5918">
          <cell r="E5918" t="str">
            <v>B26001694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D26001787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D26002030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D26002041</v>
          </cell>
          <cell r="AP5921">
            <v>0</v>
          </cell>
          <cell r="AQ5921">
            <v>0</v>
          </cell>
          <cell r="AV5921">
            <v>264000000</v>
          </cell>
        </row>
        <row r="5922">
          <cell r="E5922" t="str">
            <v>D26002361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B26002289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D26001616</v>
          </cell>
          <cell r="AP5924">
            <v>0</v>
          </cell>
          <cell r="AQ5924">
            <v>0</v>
          </cell>
          <cell r="AV5924">
            <v>840000</v>
          </cell>
        </row>
        <row r="5925">
          <cell r="E5925" t="str">
            <v>B25013470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B25013470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B25013470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B25013565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D25016726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D26001851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D26001852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D26001885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B26001338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D26001400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D26001407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B26001661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B26000014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D26000120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B26000227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D26000343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D26000597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D26000646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D26000663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B26000631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D26000774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B26000805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B26000817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B26000921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D26001125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B26001300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B26001312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D26001536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D26001656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D26001657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D26001659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>
            <v>260010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B26001679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B26001769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B26001770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B26001776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B26001941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D26002075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D26002076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D26002133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B26002264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B26002280</v>
          </cell>
          <cell r="AP5966">
            <v>0</v>
          </cell>
          <cell r="AQ5966">
            <v>0</v>
          </cell>
          <cell r="AV5966">
            <v>0</v>
          </cell>
        </row>
        <row r="5967">
          <cell r="E5967" t="str">
            <v>B26002305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B25015944</v>
          </cell>
          <cell r="AP5968">
            <v>0</v>
          </cell>
          <cell r="AQ5968">
            <v>0</v>
          </cell>
          <cell r="AV5968">
            <v>600000</v>
          </cell>
        </row>
        <row r="5969">
          <cell r="E5969" t="str">
            <v>D25018649</v>
          </cell>
          <cell r="AP5969">
            <v>0</v>
          </cell>
          <cell r="AQ5969">
            <v>0</v>
          </cell>
          <cell r="AV5969">
            <v>4900000</v>
          </cell>
        </row>
        <row r="5970">
          <cell r="E5970" t="str">
            <v>D25018860</v>
          </cell>
          <cell r="AP5970">
            <v>0</v>
          </cell>
          <cell r="AQ5970">
            <v>0</v>
          </cell>
          <cell r="AV5970">
            <v>1050000</v>
          </cell>
        </row>
        <row r="5971">
          <cell r="E5971" t="str">
            <v>D25018944</v>
          </cell>
          <cell r="AP5971">
            <v>0</v>
          </cell>
          <cell r="AQ5971">
            <v>0</v>
          </cell>
          <cell r="AV5971">
            <v>102000000</v>
          </cell>
        </row>
        <row r="5972">
          <cell r="E5972" t="str">
            <v>B26000235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D26000347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B26000494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D26001795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Z26000004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Z26000047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Z26000216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Z26000304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Z26000305</v>
          </cell>
          <cell r="AP5980">
            <v>0</v>
          </cell>
          <cell r="AQ5980">
            <v>0</v>
          </cell>
          <cell r="AV5980">
            <v>4950000</v>
          </cell>
        </row>
        <row r="5981">
          <cell r="E5981" t="str">
            <v>Z26000322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Z26000345</v>
          </cell>
          <cell r="AP5982">
            <v>0</v>
          </cell>
          <cell r="AQ5982">
            <v>0</v>
          </cell>
          <cell r="AV5982">
            <v>66000000</v>
          </cell>
        </row>
        <row r="5983">
          <cell r="E5983" t="str">
            <v>Z26000352</v>
          </cell>
          <cell r="AP5983">
            <v>0</v>
          </cell>
          <cell r="AQ5983">
            <v>0</v>
          </cell>
          <cell r="AV5983">
            <v>66000000</v>
          </cell>
        </row>
        <row r="5984">
          <cell r="E5984" t="str">
            <v>B25015036</v>
          </cell>
          <cell r="AP5984">
            <v>0</v>
          </cell>
          <cell r="AQ5984">
            <v>0</v>
          </cell>
          <cell r="AV5984">
            <v>61295000</v>
          </cell>
        </row>
        <row r="5985">
          <cell r="E5985" t="str">
            <v>B25016263</v>
          </cell>
          <cell r="AP5985">
            <v>0</v>
          </cell>
          <cell r="AQ5985">
            <v>0</v>
          </cell>
          <cell r="AV5985">
            <v>9984000</v>
          </cell>
        </row>
        <row r="5986">
          <cell r="E5986" t="str">
            <v>D25018727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D25019314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B26000352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D26000420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D26000897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D26000972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D26000997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N26000008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B26001351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B26001352</v>
          </cell>
          <cell r="AP5995">
            <v>0</v>
          </cell>
          <cell r="AQ5995">
            <v>0</v>
          </cell>
          <cell r="AV5995">
            <v>9900000</v>
          </cell>
        </row>
        <row r="5996">
          <cell r="E5996" t="str">
            <v>B26001387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D26001456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B26001960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D26002438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B26002050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D26002191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D26001008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D26001441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D26001442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B25015874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D25018812</v>
          </cell>
          <cell r="AP6006">
            <v>0</v>
          </cell>
          <cell r="AQ6006">
            <v>0</v>
          </cell>
          <cell r="AV6006">
            <v>46200000</v>
          </cell>
        </row>
        <row r="6007">
          <cell r="E6007" t="str">
            <v>D25018857</v>
          </cell>
          <cell r="AP6007">
            <v>0</v>
          </cell>
          <cell r="AQ6007">
            <v>0</v>
          </cell>
          <cell r="AV6007">
            <v>23280000</v>
          </cell>
        </row>
        <row r="6008">
          <cell r="E6008" t="str">
            <v>B25016481</v>
          </cell>
          <cell r="AP6008">
            <v>0</v>
          </cell>
          <cell r="AQ6008">
            <v>0</v>
          </cell>
          <cell r="AV6008">
            <v>7000000</v>
          </cell>
        </row>
        <row r="6009">
          <cell r="E6009" t="str">
            <v>D25018898</v>
          </cell>
          <cell r="AP6009">
            <v>0</v>
          </cell>
          <cell r="AQ6009">
            <v>0</v>
          </cell>
          <cell r="AV6009">
            <v>15400000</v>
          </cell>
        </row>
        <row r="6010">
          <cell r="E6010" t="str">
            <v>D25018899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D25019102</v>
          </cell>
          <cell r="AP6011">
            <v>0</v>
          </cell>
          <cell r="AQ6011">
            <v>0</v>
          </cell>
          <cell r="AV6011">
            <v>8120000</v>
          </cell>
        </row>
        <row r="6012">
          <cell r="E6012" t="str">
            <v>B25016867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B25016939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B25017058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D25019659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D26000131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D26000206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D26000263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D26000283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D26000297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D26000394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D26000407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D26000450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B26000616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D26000636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D26000821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T26000041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B26000970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B26000998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B26001226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D26001330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B26001270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B26001405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D26001530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B26001696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D26001919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D26001921</v>
          </cell>
          <cell r="AP6037">
            <v>0</v>
          </cell>
          <cell r="AQ6037">
            <v>0</v>
          </cell>
          <cell r="AV6037">
            <v>0</v>
          </cell>
        </row>
        <row r="6038">
          <cell r="E6038" t="str">
            <v>B26001981</v>
          </cell>
          <cell r="AP6038">
            <v>0</v>
          </cell>
          <cell r="AQ6038">
            <v>0</v>
          </cell>
          <cell r="AV6038">
            <v>0</v>
          </cell>
        </row>
        <row r="6039">
          <cell r="E6039" t="str">
            <v>B26002093</v>
          </cell>
          <cell r="AP6039">
            <v>0</v>
          </cell>
          <cell r="AQ6039">
            <v>0</v>
          </cell>
          <cell r="AV6039">
            <v>0</v>
          </cell>
        </row>
        <row r="6040">
          <cell r="E6040" t="str">
            <v>D26002244</v>
          </cell>
          <cell r="AP6040">
            <v>0</v>
          </cell>
          <cell r="AQ6040">
            <v>0</v>
          </cell>
          <cell r="AV6040">
            <v>0</v>
          </cell>
        </row>
        <row r="6041">
          <cell r="E6041" t="str">
            <v>B26002255</v>
          </cell>
          <cell r="AP6041">
            <v>0</v>
          </cell>
          <cell r="AQ6041">
            <v>0</v>
          </cell>
          <cell r="AV6041">
            <v>0</v>
          </cell>
        </row>
        <row r="6042">
          <cell r="E6042" t="str">
            <v>D25017964</v>
          </cell>
          <cell r="AP6042">
            <v>0</v>
          </cell>
          <cell r="AQ6042">
            <v>0</v>
          </cell>
          <cell r="AV6042">
            <v>775450</v>
          </cell>
        </row>
        <row r="6043">
          <cell r="E6043" t="str">
            <v>B25015793</v>
          </cell>
          <cell r="AP6043">
            <v>0</v>
          </cell>
          <cell r="AQ6043">
            <v>0</v>
          </cell>
          <cell r="AV6043">
            <v>824550</v>
          </cell>
        </row>
        <row r="6044">
          <cell r="E6044" t="str">
            <v>B25015793</v>
          </cell>
          <cell r="AP6044">
            <v>0</v>
          </cell>
          <cell r="AQ6044">
            <v>0</v>
          </cell>
          <cell r="AV6044">
            <v>1000000</v>
          </cell>
        </row>
        <row r="6045">
          <cell r="E6045" t="str">
            <v>B25015793</v>
          </cell>
          <cell r="AP6045">
            <v>0</v>
          </cell>
          <cell r="AQ6045">
            <v>0</v>
          </cell>
          <cell r="AV6045">
            <v>1600000</v>
          </cell>
        </row>
        <row r="6046">
          <cell r="E6046" t="str">
            <v>B25015793</v>
          </cell>
          <cell r="AP6046">
            <v>0</v>
          </cell>
          <cell r="AQ6046">
            <v>0</v>
          </cell>
          <cell r="AV6046">
            <v>1350000</v>
          </cell>
        </row>
        <row r="6047">
          <cell r="E6047" t="str">
            <v>B25015793</v>
          </cell>
          <cell r="AP6047">
            <v>0</v>
          </cell>
          <cell r="AQ6047">
            <v>0</v>
          </cell>
          <cell r="AV6047">
            <v>1800000</v>
          </cell>
        </row>
        <row r="6048">
          <cell r="E6048" t="str">
            <v>B25015793</v>
          </cell>
          <cell r="AP6048">
            <v>0</v>
          </cell>
          <cell r="AQ6048">
            <v>0</v>
          </cell>
          <cell r="AV6048">
            <v>1050000</v>
          </cell>
        </row>
        <row r="6049">
          <cell r="E6049" t="str">
            <v>B25015793</v>
          </cell>
          <cell r="AP6049">
            <v>0</v>
          </cell>
          <cell r="AQ6049">
            <v>0</v>
          </cell>
          <cell r="AV6049">
            <v>915450</v>
          </cell>
        </row>
        <row r="6050">
          <cell r="E6050" t="str">
            <v>D25018854</v>
          </cell>
          <cell r="AP6050">
            <v>0</v>
          </cell>
          <cell r="AQ6050">
            <v>0</v>
          </cell>
          <cell r="AV6050">
            <v>134550</v>
          </cell>
        </row>
        <row r="6051">
          <cell r="E6051" t="str">
            <v>D25019145</v>
          </cell>
          <cell r="AP6051">
            <v>0</v>
          </cell>
          <cell r="AQ6051">
            <v>0</v>
          </cell>
          <cell r="AV6051">
            <v>0</v>
          </cell>
        </row>
        <row r="6052">
          <cell r="E6052" t="str">
            <v>D25019146</v>
          </cell>
          <cell r="AP6052">
            <v>0</v>
          </cell>
          <cell r="AQ6052">
            <v>0</v>
          </cell>
          <cell r="AV6052">
            <v>0</v>
          </cell>
        </row>
        <row r="6053">
          <cell r="E6053" t="str">
            <v>D25019147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B26000081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B26000082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B26000083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D26000675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D26001080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D26001081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D26001123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D26002250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D26002251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D26002252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D26002271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D25019432</v>
          </cell>
          <cell r="AP6065">
            <v>0</v>
          </cell>
          <cell r="AQ6065">
            <v>0</v>
          </cell>
          <cell r="AV6065">
            <v>0</v>
          </cell>
        </row>
        <row r="6066">
          <cell r="E6066" t="str">
            <v>D25019433</v>
          </cell>
          <cell r="AP6066">
            <v>0</v>
          </cell>
          <cell r="AQ6066">
            <v>0</v>
          </cell>
          <cell r="AV6066">
            <v>5000000</v>
          </cell>
        </row>
        <row r="6067">
          <cell r="E6067" t="str">
            <v>D25019434</v>
          </cell>
          <cell r="AP6067">
            <v>0</v>
          </cell>
          <cell r="AQ6067">
            <v>0</v>
          </cell>
          <cell r="AV6067">
            <v>8000000</v>
          </cell>
        </row>
        <row r="6068">
          <cell r="E6068" t="str">
            <v>D25019435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D25019436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D25019437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N25000086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D26001162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C26000102</v>
          </cell>
          <cell r="AP6073">
            <v>0</v>
          </cell>
          <cell r="AQ6073">
            <v>0</v>
          </cell>
          <cell r="AV6073">
            <v>430000</v>
          </cell>
        </row>
        <row r="6074">
          <cell r="E6074" t="str">
            <v>B26002032</v>
          </cell>
          <cell r="AP6074">
            <v>0</v>
          </cell>
          <cell r="AQ6074">
            <v>0</v>
          </cell>
          <cell r="AV6074">
            <v>3720000</v>
          </cell>
        </row>
        <row r="6075">
          <cell r="E6075" t="str">
            <v>B26002033</v>
          </cell>
          <cell r="AP6075">
            <v>0</v>
          </cell>
          <cell r="AQ6075">
            <v>0</v>
          </cell>
          <cell r="AV6075">
            <v>4150000</v>
          </cell>
        </row>
        <row r="6076">
          <cell r="E6076" t="str">
            <v>D25019441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D26001723</v>
          </cell>
          <cell r="AP6077">
            <v>0</v>
          </cell>
          <cell r="AQ6077">
            <v>0</v>
          </cell>
          <cell r="AV6077">
            <v>0</v>
          </cell>
        </row>
        <row r="6078">
          <cell r="E6078" t="str">
            <v>B26001157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D26002312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D26002313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T25001816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T25001874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D25019329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B25016559</v>
          </cell>
          <cell r="AP6084">
            <v>0</v>
          </cell>
          <cell r="AQ6084">
            <v>0</v>
          </cell>
          <cell r="AV6084">
            <v>15019400</v>
          </cell>
        </row>
        <row r="6085">
          <cell r="E6085" t="str">
            <v>B25016560</v>
          </cell>
          <cell r="AP6085">
            <v>0</v>
          </cell>
          <cell r="AQ6085">
            <v>0</v>
          </cell>
          <cell r="AV6085">
            <v>8100000</v>
          </cell>
        </row>
        <row r="6086">
          <cell r="E6086" t="str">
            <v>D25019022</v>
          </cell>
          <cell r="AP6086">
            <v>0</v>
          </cell>
          <cell r="AQ6086">
            <v>0</v>
          </cell>
          <cell r="AV6086">
            <v>6880600</v>
          </cell>
        </row>
        <row r="6087">
          <cell r="E6087" t="str">
            <v>D25019022</v>
          </cell>
          <cell r="AP6087">
            <v>0</v>
          </cell>
          <cell r="AQ6087">
            <v>0</v>
          </cell>
          <cell r="AV6087">
            <v>20000000</v>
          </cell>
        </row>
        <row r="6088">
          <cell r="E6088" t="str">
            <v>D25019022</v>
          </cell>
          <cell r="AP6088">
            <v>0</v>
          </cell>
          <cell r="AQ6088">
            <v>0</v>
          </cell>
          <cell r="AV6088">
            <v>9012400</v>
          </cell>
        </row>
        <row r="6089">
          <cell r="E6089" t="str">
            <v>D25019023</v>
          </cell>
          <cell r="AP6089">
            <v>0</v>
          </cell>
          <cell r="AQ6089">
            <v>0</v>
          </cell>
          <cell r="AV6089">
            <v>10987600</v>
          </cell>
        </row>
        <row r="6090">
          <cell r="E6090" t="str">
            <v>B25017023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B25017024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B25017025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B25017030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B26000120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D26000204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D26000205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D26000213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D26000598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D26000610</v>
          </cell>
          <cell r="AP6099">
            <v>0</v>
          </cell>
          <cell r="AQ6099">
            <v>0</v>
          </cell>
          <cell r="AV6099">
            <v>0</v>
          </cell>
        </row>
        <row r="6100">
          <cell r="E6100" t="str">
            <v>B26000874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D26000932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B26000954</v>
          </cell>
          <cell r="AP6102">
            <v>0</v>
          </cell>
          <cell r="AQ6102">
            <v>0</v>
          </cell>
          <cell r="AV6102">
            <v>0</v>
          </cell>
        </row>
        <row r="6103">
          <cell r="E6103" t="str">
            <v>B26000991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B26001002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D26001576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D26001577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D26001578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B26001971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B26002092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B26002251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D25018241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T25001801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D25018357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D25018506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D25018510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D25018591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D25018731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D25018924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B25016525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B25016620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B25016759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D25019439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B25016915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B25016952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D25019470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D25019473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D25019553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D25019584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D25019681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B26000160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D26000049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D26000128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D26000313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D26000329</v>
          </cell>
          <cell r="AP6134">
            <v>0</v>
          </cell>
          <cell r="AQ6134">
            <v>0</v>
          </cell>
          <cell r="AV6134">
            <v>0</v>
          </cell>
        </row>
        <row r="6135">
          <cell r="E6135" t="str">
            <v>D26000360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D26000409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D26000453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B26000420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B26000458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B26000480</v>
          </cell>
          <cell r="AP6140">
            <v>0</v>
          </cell>
          <cell r="AQ6140">
            <v>0</v>
          </cell>
          <cell r="AV6140">
            <v>0</v>
          </cell>
        </row>
        <row r="6141">
          <cell r="E6141" t="str">
            <v>B26000481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B26000493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D26000483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D26000487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B26000629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B26000834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B26000898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D26001267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B26001257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D26001332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D26001391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B26001487</v>
          </cell>
          <cell r="AP6152">
            <v>0</v>
          </cell>
          <cell r="AQ6152">
            <v>8400000</v>
          </cell>
          <cell r="AV6152">
            <v>0</v>
          </cell>
        </row>
        <row r="6153">
          <cell r="E6153" t="str">
            <v>D26001598</v>
          </cell>
          <cell r="AP6153">
            <v>0</v>
          </cell>
          <cell r="AQ6153">
            <v>10773000</v>
          </cell>
          <cell r="AV6153">
            <v>0</v>
          </cell>
        </row>
        <row r="6154">
          <cell r="E6154" t="str">
            <v>D26001599</v>
          </cell>
          <cell r="AP6154">
            <v>0</v>
          </cell>
          <cell r="AQ6154">
            <v>13250000</v>
          </cell>
          <cell r="AV6154">
            <v>0</v>
          </cell>
        </row>
        <row r="6155">
          <cell r="E6155" t="str">
            <v>D26001697</v>
          </cell>
          <cell r="AP6155">
            <v>0</v>
          </cell>
          <cell r="AQ6155">
            <v>10575000</v>
          </cell>
          <cell r="AV6155">
            <v>0</v>
          </cell>
        </row>
        <row r="6156">
          <cell r="E6156" t="str">
            <v>B26001612</v>
          </cell>
          <cell r="AP6156">
            <v>0</v>
          </cell>
          <cell r="AQ6156">
            <v>10080000</v>
          </cell>
          <cell r="AV6156">
            <v>0</v>
          </cell>
        </row>
        <row r="6157">
          <cell r="E6157" t="str">
            <v>D26001821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D26001821</v>
          </cell>
          <cell r="AP6158">
            <v>0</v>
          </cell>
          <cell r="AQ6158">
            <v>16290000</v>
          </cell>
          <cell r="AV6158">
            <v>0</v>
          </cell>
        </row>
        <row r="6159">
          <cell r="E6159" t="str">
            <v>B26001911</v>
          </cell>
          <cell r="AP6159">
            <v>0</v>
          </cell>
          <cell r="AQ6159">
            <v>13250000</v>
          </cell>
          <cell r="AV6159">
            <v>0</v>
          </cell>
        </row>
        <row r="6160">
          <cell r="E6160" t="str">
            <v>D26002027</v>
          </cell>
          <cell r="AP6160">
            <v>0</v>
          </cell>
          <cell r="AQ6160">
            <v>1875000</v>
          </cell>
          <cell r="AV6160">
            <v>0</v>
          </cell>
        </row>
        <row r="6161">
          <cell r="E6161" t="str">
            <v>D26002092</v>
          </cell>
          <cell r="AP6161">
            <v>0</v>
          </cell>
          <cell r="AQ6161">
            <v>3080000</v>
          </cell>
          <cell r="AV6161">
            <v>0</v>
          </cell>
        </row>
        <row r="6162">
          <cell r="E6162" t="str">
            <v>B26001987</v>
          </cell>
          <cell r="AP6162">
            <v>0</v>
          </cell>
          <cell r="AQ6162">
            <v>7095000</v>
          </cell>
          <cell r="AV6162">
            <v>0</v>
          </cell>
        </row>
        <row r="6163">
          <cell r="E6163" t="str">
            <v>B26001987</v>
          </cell>
          <cell r="AP6163">
            <v>0</v>
          </cell>
          <cell r="AQ6163">
            <v>225000</v>
          </cell>
          <cell r="AV6163">
            <v>0</v>
          </cell>
        </row>
        <row r="6164">
          <cell r="E6164" t="str">
            <v>B26001988</v>
          </cell>
          <cell r="AP6164">
            <v>0</v>
          </cell>
          <cell r="AQ6164">
            <v>5700000</v>
          </cell>
          <cell r="AV6164">
            <v>0</v>
          </cell>
        </row>
        <row r="6165">
          <cell r="E6165" t="str">
            <v>B26002049</v>
          </cell>
          <cell r="AP6165">
            <v>0</v>
          </cell>
          <cell r="AQ6165">
            <v>0</v>
          </cell>
          <cell r="AV6165">
            <v>62000</v>
          </cell>
        </row>
        <row r="6166">
          <cell r="E6166" t="str">
            <v>B26002049</v>
          </cell>
          <cell r="AP6166">
            <v>0</v>
          </cell>
          <cell r="AQ6166">
            <v>1638000</v>
          </cell>
          <cell r="AV6166">
            <v>0</v>
          </cell>
        </row>
        <row r="6167">
          <cell r="E6167" t="str">
            <v>B26002049</v>
          </cell>
          <cell r="AP6167">
            <v>0</v>
          </cell>
          <cell r="AQ6167">
            <v>0</v>
          </cell>
          <cell r="AV6167">
            <v>10000</v>
          </cell>
        </row>
        <row r="6168">
          <cell r="E6168" t="str">
            <v>D26002199</v>
          </cell>
          <cell r="AP6168">
            <v>0</v>
          </cell>
          <cell r="AQ6168">
            <v>14000000</v>
          </cell>
          <cell r="AV6168">
            <v>0</v>
          </cell>
        </row>
        <row r="6169">
          <cell r="E6169" t="str">
            <v>B26002120</v>
          </cell>
          <cell r="AP6169">
            <v>0</v>
          </cell>
          <cell r="AQ6169">
            <v>2900000</v>
          </cell>
          <cell r="AV6169">
            <v>0</v>
          </cell>
        </row>
        <row r="6170">
          <cell r="E6170" t="str">
            <v>B26002155</v>
          </cell>
          <cell r="AP6170">
            <v>0</v>
          </cell>
          <cell r="AQ6170">
            <v>36000000</v>
          </cell>
          <cell r="AV6170">
            <v>0</v>
          </cell>
        </row>
        <row r="6171">
          <cell r="E6171" t="str">
            <v>D26002305</v>
          </cell>
          <cell r="AP6171">
            <v>0</v>
          </cell>
          <cell r="AQ6171">
            <v>2720000</v>
          </cell>
          <cell r="AV6171">
            <v>0</v>
          </cell>
        </row>
        <row r="6172">
          <cell r="E6172" t="str">
            <v>D26002337</v>
          </cell>
          <cell r="AP6172">
            <v>0</v>
          </cell>
          <cell r="AQ6172">
            <v>15250000</v>
          </cell>
          <cell r="AV6172">
            <v>0</v>
          </cell>
        </row>
        <row r="6173">
          <cell r="E6173" t="str">
            <v>D26002482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B26000360</v>
          </cell>
          <cell r="AP6174">
            <v>0</v>
          </cell>
          <cell r="AQ6174">
            <v>0</v>
          </cell>
          <cell r="AV6174">
            <v>1035000</v>
          </cell>
        </row>
        <row r="6175">
          <cell r="E6175" t="str">
            <v>D26000441</v>
          </cell>
          <cell r="AP6175">
            <v>0</v>
          </cell>
          <cell r="AQ6175">
            <v>0</v>
          </cell>
          <cell r="AV6175">
            <v>1175000</v>
          </cell>
        </row>
        <row r="6176">
          <cell r="E6176" t="str">
            <v>T25001880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B26000964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B26000965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D26002347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B26001570</v>
          </cell>
          <cell r="AP6180">
            <v>0</v>
          </cell>
          <cell r="AQ6180">
            <v>0</v>
          </cell>
          <cell r="AV6180">
            <v>5400000</v>
          </cell>
        </row>
        <row r="6181">
          <cell r="E6181" t="str">
            <v>B26001932</v>
          </cell>
          <cell r="AP6181">
            <v>0</v>
          </cell>
          <cell r="AQ6181">
            <v>0</v>
          </cell>
          <cell r="AV6181">
            <v>4300000</v>
          </cell>
        </row>
        <row r="6182">
          <cell r="E6182" t="str">
            <v>T26000145</v>
          </cell>
          <cell r="AP6182">
            <v>0</v>
          </cell>
          <cell r="AQ6182">
            <v>0</v>
          </cell>
          <cell r="AV6182">
            <v>650000</v>
          </cell>
        </row>
        <row r="6183">
          <cell r="E6183" t="str">
            <v>B26001149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D26001262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D26001395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D26001803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D26001804</v>
          </cell>
          <cell r="AP6187">
            <v>0</v>
          </cell>
          <cell r="AQ6187">
            <v>0</v>
          </cell>
          <cell r="AV6187">
            <v>4387500</v>
          </cell>
        </row>
        <row r="6188">
          <cell r="E6188" t="str">
            <v>D26001979</v>
          </cell>
          <cell r="AP6188">
            <v>0</v>
          </cell>
          <cell r="AQ6188">
            <v>0</v>
          </cell>
          <cell r="AV6188">
            <v>3070000</v>
          </cell>
        </row>
        <row r="6189">
          <cell r="E6189" t="str">
            <v>B26002009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B26001600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B26001601</v>
          </cell>
          <cell r="AP6191">
            <v>0</v>
          </cell>
          <cell r="AQ6191">
            <v>0</v>
          </cell>
          <cell r="AV6191">
            <v>0</v>
          </cell>
        </row>
        <row r="6192">
          <cell r="E6192" t="str">
            <v>B26000703</v>
          </cell>
          <cell r="AP6192">
            <v>0</v>
          </cell>
          <cell r="AQ6192">
            <v>0</v>
          </cell>
          <cell r="AV6192">
            <v>0</v>
          </cell>
        </row>
        <row r="6193">
          <cell r="E6193" t="str">
            <v>B26001737</v>
          </cell>
          <cell r="AP6193">
            <v>0</v>
          </cell>
          <cell r="AQ6193">
            <v>0</v>
          </cell>
          <cell r="AV6193">
            <v>2000000</v>
          </cell>
        </row>
        <row r="6194">
          <cell r="E6194" t="str">
            <v>B25012562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D25018138</v>
          </cell>
          <cell r="AP6195">
            <v>0</v>
          </cell>
          <cell r="AQ6195">
            <v>0</v>
          </cell>
          <cell r="AV6195">
            <v>232885000</v>
          </cell>
        </row>
        <row r="6196">
          <cell r="E6196" t="str">
            <v>D26000414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D26000734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D26000978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D26001284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B25012496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B25014117</v>
          </cell>
          <cell r="AP6201">
            <v>0</v>
          </cell>
          <cell r="AQ6201">
            <v>0</v>
          </cell>
          <cell r="AV6201">
            <v>6500000</v>
          </cell>
        </row>
        <row r="6202">
          <cell r="E6202" t="str">
            <v>B25015370</v>
          </cell>
          <cell r="AP6202">
            <v>0</v>
          </cell>
          <cell r="AQ6202">
            <v>0</v>
          </cell>
          <cell r="AV6202">
            <v>6732800</v>
          </cell>
        </row>
        <row r="6203">
          <cell r="E6203" t="str">
            <v>D25017825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B25015450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D25017977</v>
          </cell>
          <cell r="AP6205">
            <v>0</v>
          </cell>
          <cell r="AQ6205">
            <v>0</v>
          </cell>
          <cell r="AV6205">
            <v>5600000</v>
          </cell>
        </row>
        <row r="6206">
          <cell r="E6206" t="str">
            <v>D25018108</v>
          </cell>
          <cell r="AP6206">
            <v>0</v>
          </cell>
          <cell r="AQ6206">
            <v>0</v>
          </cell>
          <cell r="AV6206">
            <v>3600000</v>
          </cell>
        </row>
        <row r="6207">
          <cell r="E6207" t="str">
            <v>D25018601</v>
          </cell>
          <cell r="AP6207">
            <v>0</v>
          </cell>
          <cell r="AQ6207">
            <v>0</v>
          </cell>
          <cell r="AV6207">
            <v>1750000</v>
          </cell>
        </row>
        <row r="6208">
          <cell r="E6208" t="str">
            <v>B25016277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B25016377</v>
          </cell>
          <cell r="AP6209">
            <v>0</v>
          </cell>
          <cell r="AQ6209">
            <v>0</v>
          </cell>
          <cell r="AV6209">
            <v>2720000</v>
          </cell>
        </row>
        <row r="6210">
          <cell r="E6210" t="str">
            <v>D25018972</v>
          </cell>
          <cell r="AP6210">
            <v>0</v>
          </cell>
          <cell r="AQ6210">
            <v>0</v>
          </cell>
          <cell r="AV6210">
            <v>2000000</v>
          </cell>
        </row>
        <row r="6211">
          <cell r="E6211" t="str">
            <v>D25019208</v>
          </cell>
          <cell r="AP6211">
            <v>0</v>
          </cell>
          <cell r="AQ6211">
            <v>0</v>
          </cell>
          <cell r="AV6211">
            <v>5760000</v>
          </cell>
        </row>
        <row r="6212">
          <cell r="E6212" t="str">
            <v>B25016844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B25017048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B26000009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D26000119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B26000200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D26000281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D26000374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D26000759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D26000773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D26000980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B26001098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B26001931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D26002026</v>
          </cell>
          <cell r="AP6224">
            <v>0</v>
          </cell>
          <cell r="AQ6224">
            <v>0</v>
          </cell>
          <cell r="AV6224">
            <v>15350000</v>
          </cell>
        </row>
        <row r="6225">
          <cell r="E6225" t="str">
            <v>D26002064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B26002304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D25015979</v>
          </cell>
          <cell r="AP6227">
            <v>0</v>
          </cell>
          <cell r="AQ6227">
            <v>0</v>
          </cell>
          <cell r="AV6227">
            <v>6000000</v>
          </cell>
        </row>
        <row r="6228">
          <cell r="E6228" t="str">
            <v>B26000375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B26000622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B26000775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B26001262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T26000105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D25016981</v>
          </cell>
          <cell r="AP6233">
            <v>0</v>
          </cell>
          <cell r="AQ6233">
            <v>0</v>
          </cell>
          <cell r="AV6233">
            <v>912000000</v>
          </cell>
        </row>
        <row r="6234">
          <cell r="E6234" t="str">
            <v>D25016983</v>
          </cell>
          <cell r="AP6234">
            <v>0</v>
          </cell>
          <cell r="AQ6234">
            <v>0</v>
          </cell>
          <cell r="AV6234">
            <v>54400000</v>
          </cell>
        </row>
        <row r="6235">
          <cell r="E6235" t="str">
            <v>D25017237</v>
          </cell>
          <cell r="AP6235">
            <v>0</v>
          </cell>
          <cell r="AQ6235">
            <v>0</v>
          </cell>
          <cell r="AV6235">
            <v>10850000</v>
          </cell>
        </row>
        <row r="6236">
          <cell r="E6236" t="str">
            <v>D25017247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B25015169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D25018067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D25018084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B25016237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D25019227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D25019279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D26001292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D26001420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D26001523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D26001981</v>
          </cell>
          <cell r="AP6246">
            <v>0</v>
          </cell>
          <cell r="AQ6246">
            <v>0</v>
          </cell>
          <cell r="AV6246">
            <v>0</v>
          </cell>
        </row>
        <row r="6247">
          <cell r="E6247" t="str">
            <v>D26002085</v>
          </cell>
          <cell r="AP6247">
            <v>0</v>
          </cell>
          <cell r="AQ6247">
            <v>0</v>
          </cell>
          <cell r="AV6247">
            <v>0</v>
          </cell>
        </row>
        <row r="6248">
          <cell r="E6248" t="str">
            <v>D26002140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B26002067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D26002422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D25018655</v>
          </cell>
          <cell r="AP6251">
            <v>0</v>
          </cell>
          <cell r="AQ6251">
            <v>0</v>
          </cell>
          <cell r="AV6251">
            <v>1265000</v>
          </cell>
        </row>
        <row r="6252">
          <cell r="E6252" t="str">
            <v>B26000006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D26002333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B26001702</v>
          </cell>
          <cell r="AP6254">
            <v>0</v>
          </cell>
          <cell r="AQ6254">
            <v>0</v>
          </cell>
          <cell r="AV6254">
            <v>3750000</v>
          </cell>
        </row>
        <row r="6255">
          <cell r="E6255" t="str">
            <v>B26001309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D26000429</v>
          </cell>
          <cell r="AP6256">
            <v>0</v>
          </cell>
          <cell r="AQ6256">
            <v>0</v>
          </cell>
          <cell r="AV6256">
            <v>0</v>
          </cell>
        </row>
        <row r="6257">
          <cell r="E6257" t="str">
            <v>B26001839</v>
          </cell>
          <cell r="AP6257">
            <v>0</v>
          </cell>
          <cell r="AQ6257">
            <v>0</v>
          </cell>
          <cell r="AV6257">
            <v>650000</v>
          </cell>
        </row>
        <row r="6258">
          <cell r="E6258" t="str">
            <v>B26001865</v>
          </cell>
          <cell r="AP6258">
            <v>0</v>
          </cell>
          <cell r="AQ6258">
            <v>0</v>
          </cell>
          <cell r="AV6258">
            <v>1220000</v>
          </cell>
        </row>
        <row r="6259">
          <cell r="E6259" t="str">
            <v>B26001978</v>
          </cell>
          <cell r="AP6259">
            <v>0</v>
          </cell>
          <cell r="AQ6259">
            <v>0</v>
          </cell>
          <cell r="AV6259">
            <v>1203000</v>
          </cell>
        </row>
        <row r="6260">
          <cell r="E6260" t="str">
            <v>B26002227</v>
          </cell>
          <cell r="AP6260">
            <v>0</v>
          </cell>
          <cell r="AQ6260">
            <v>0</v>
          </cell>
          <cell r="AV6260">
            <v>1300000</v>
          </cell>
        </row>
        <row r="6261">
          <cell r="E6261" t="str">
            <v>B26002249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B25014885</v>
          </cell>
          <cell r="AP6262">
            <v>0</v>
          </cell>
          <cell r="AQ6262">
            <v>0</v>
          </cell>
          <cell r="AV6262">
            <v>7339825</v>
          </cell>
        </row>
        <row r="6263">
          <cell r="E6263" t="str">
            <v>B25014906</v>
          </cell>
          <cell r="AP6263">
            <v>0</v>
          </cell>
          <cell r="AQ6263">
            <v>0</v>
          </cell>
          <cell r="AV6263">
            <v>39050000</v>
          </cell>
        </row>
        <row r="6264">
          <cell r="E6264" t="str">
            <v>D25017502</v>
          </cell>
          <cell r="AP6264">
            <v>0</v>
          </cell>
          <cell r="AQ6264">
            <v>0</v>
          </cell>
          <cell r="AV6264">
            <v>32000000</v>
          </cell>
        </row>
        <row r="6265">
          <cell r="E6265" t="str">
            <v>B25015265</v>
          </cell>
          <cell r="AP6265">
            <v>0</v>
          </cell>
          <cell r="AQ6265">
            <v>0</v>
          </cell>
          <cell r="AV6265">
            <v>23310000</v>
          </cell>
        </row>
        <row r="6266">
          <cell r="E6266" t="str">
            <v>B25015320</v>
          </cell>
          <cell r="AP6266">
            <v>0</v>
          </cell>
          <cell r="AQ6266">
            <v>0</v>
          </cell>
          <cell r="AV6266">
            <v>97125000</v>
          </cell>
        </row>
        <row r="6267">
          <cell r="E6267" t="str">
            <v>D25017811</v>
          </cell>
          <cell r="AP6267">
            <v>0</v>
          </cell>
          <cell r="AQ6267">
            <v>0</v>
          </cell>
          <cell r="AV6267">
            <v>42000000</v>
          </cell>
        </row>
        <row r="6268">
          <cell r="E6268" t="str">
            <v>D25017841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B25015718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B25015859</v>
          </cell>
          <cell r="AP6270">
            <v>0</v>
          </cell>
          <cell r="AQ6270">
            <v>0</v>
          </cell>
          <cell r="AV6270">
            <v>1175175</v>
          </cell>
        </row>
        <row r="6271">
          <cell r="E6271" t="str">
            <v>D25018274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B25016836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B25016874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B26000337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D26000722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D26000854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B26001867</v>
          </cell>
          <cell r="AP6277">
            <v>0</v>
          </cell>
          <cell r="AQ6277">
            <v>0</v>
          </cell>
          <cell r="AV6277">
            <v>188000000</v>
          </cell>
        </row>
        <row r="6278">
          <cell r="E6278" t="str">
            <v>D26001994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B26001975</v>
          </cell>
          <cell r="AP6279">
            <v>0</v>
          </cell>
          <cell r="AQ6279">
            <v>0</v>
          </cell>
          <cell r="AV6279">
            <v>0</v>
          </cell>
        </row>
        <row r="6280">
          <cell r="E6280" t="str">
            <v>D26002104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D26002112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D26002201</v>
          </cell>
          <cell r="AP6282">
            <v>0</v>
          </cell>
          <cell r="AQ6282">
            <v>0</v>
          </cell>
          <cell r="AV6282">
            <v>0</v>
          </cell>
        </row>
        <row r="6283">
          <cell r="E6283" t="str">
            <v>D26002215</v>
          </cell>
          <cell r="AP6283">
            <v>0</v>
          </cell>
          <cell r="AQ6283">
            <v>0</v>
          </cell>
          <cell r="AV6283">
            <v>0</v>
          </cell>
        </row>
        <row r="6284">
          <cell r="E6284" t="str">
            <v>D26002411</v>
          </cell>
          <cell r="AP6284">
            <v>0</v>
          </cell>
          <cell r="AQ6284">
            <v>0</v>
          </cell>
          <cell r="AV6284">
            <v>0</v>
          </cell>
        </row>
        <row r="6285">
          <cell r="E6285" t="str">
            <v>D26000362</v>
          </cell>
          <cell r="AP6285">
            <v>0</v>
          </cell>
          <cell r="AQ6285">
            <v>0</v>
          </cell>
          <cell r="AV6285">
            <v>0</v>
          </cell>
        </row>
        <row r="6286">
          <cell r="E6286" t="str">
            <v>D26000822</v>
          </cell>
          <cell r="AP6286">
            <v>0</v>
          </cell>
          <cell r="AQ6286">
            <v>0</v>
          </cell>
          <cell r="AV6286">
            <v>0</v>
          </cell>
        </row>
        <row r="6287">
          <cell r="E6287" t="str">
            <v>B26001799</v>
          </cell>
          <cell r="AP6287">
            <v>0</v>
          </cell>
          <cell r="AQ6287">
            <v>0</v>
          </cell>
          <cell r="AV6287">
            <v>1430000</v>
          </cell>
        </row>
        <row r="6288">
          <cell r="E6288" t="str">
            <v>B26001800</v>
          </cell>
          <cell r="AP6288">
            <v>0</v>
          </cell>
          <cell r="AQ6288">
            <v>0</v>
          </cell>
          <cell r="AV6288">
            <v>540000</v>
          </cell>
        </row>
        <row r="6289">
          <cell r="E6289" t="str">
            <v>B26001862</v>
          </cell>
          <cell r="AP6289">
            <v>0</v>
          </cell>
          <cell r="AQ6289">
            <v>0</v>
          </cell>
          <cell r="AV6289">
            <v>1140000</v>
          </cell>
        </row>
        <row r="6290">
          <cell r="E6290" t="str">
            <v>B26002078</v>
          </cell>
          <cell r="AP6290">
            <v>0</v>
          </cell>
          <cell r="AQ6290">
            <v>0</v>
          </cell>
          <cell r="AV6290">
            <v>3000000</v>
          </cell>
        </row>
        <row r="6291">
          <cell r="E6291" t="str">
            <v>B25016188</v>
          </cell>
          <cell r="AP6291">
            <v>0</v>
          </cell>
          <cell r="AQ6291">
            <v>0</v>
          </cell>
          <cell r="AV6291">
            <v>8560000</v>
          </cell>
        </row>
        <row r="6292">
          <cell r="E6292" t="str">
            <v>B26000859</v>
          </cell>
          <cell r="AP6292">
            <v>0</v>
          </cell>
          <cell r="AQ6292">
            <v>0</v>
          </cell>
          <cell r="AV6292">
            <v>0</v>
          </cell>
        </row>
        <row r="6293">
          <cell r="E6293" t="str">
            <v>T25001868</v>
          </cell>
          <cell r="AP6293">
            <v>0</v>
          </cell>
          <cell r="AQ6293">
            <v>0</v>
          </cell>
          <cell r="AV6293">
            <v>0</v>
          </cell>
        </row>
        <row r="6294">
          <cell r="E6294" t="str">
            <v>D25018771</v>
          </cell>
          <cell r="AP6294">
            <v>0</v>
          </cell>
          <cell r="AQ6294">
            <v>0</v>
          </cell>
          <cell r="AV6294">
            <v>0</v>
          </cell>
        </row>
        <row r="6295">
          <cell r="E6295" t="str">
            <v>T26000066k</v>
          </cell>
          <cell r="AP6295">
            <v>0</v>
          </cell>
          <cell r="AQ6295">
            <v>0</v>
          </cell>
          <cell r="AV6295">
            <v>0</v>
          </cell>
        </row>
        <row r="6296">
          <cell r="E6296" t="str">
            <v>B26001273</v>
          </cell>
          <cell r="AP6296">
            <v>0</v>
          </cell>
          <cell r="AQ6296">
            <v>0</v>
          </cell>
          <cell r="AV6296">
            <v>0</v>
          </cell>
        </row>
        <row r="6297">
          <cell r="E6297" t="str">
            <v>B26001831</v>
          </cell>
          <cell r="AP6297">
            <v>0</v>
          </cell>
          <cell r="AQ6297">
            <v>0</v>
          </cell>
          <cell r="AV6297">
            <v>0</v>
          </cell>
        </row>
        <row r="6298">
          <cell r="E6298" t="str">
            <v>D26002132</v>
          </cell>
          <cell r="AP6298">
            <v>0</v>
          </cell>
          <cell r="AQ6298">
            <v>0</v>
          </cell>
          <cell r="AV6298">
            <v>9000000</v>
          </cell>
        </row>
        <row r="6299">
          <cell r="E6299" t="str">
            <v>T25001818</v>
          </cell>
          <cell r="AP6299">
            <v>0</v>
          </cell>
          <cell r="AQ6299">
            <v>0</v>
          </cell>
          <cell r="AV6299">
            <v>0</v>
          </cell>
        </row>
        <row r="6300">
          <cell r="E6300" t="str">
            <v>D26001692</v>
          </cell>
          <cell r="AP6300">
            <v>0</v>
          </cell>
          <cell r="AQ6300">
            <v>0</v>
          </cell>
          <cell r="AV6300">
            <v>40000000</v>
          </cell>
        </row>
        <row r="6301">
          <cell r="E6301" t="str">
            <v>D26001692</v>
          </cell>
          <cell r="AP6301">
            <v>0</v>
          </cell>
          <cell r="AQ6301">
            <v>0</v>
          </cell>
          <cell r="AV6301">
            <v>100000000</v>
          </cell>
        </row>
        <row r="6302">
          <cell r="E6302" t="str">
            <v>D26001692</v>
          </cell>
          <cell r="AP6302">
            <v>0</v>
          </cell>
          <cell r="AQ6302">
            <v>0</v>
          </cell>
          <cell r="AV6302">
            <v>40500000</v>
          </cell>
        </row>
        <row r="6303">
          <cell r="E6303" t="str">
            <v>B26001944</v>
          </cell>
          <cell r="AP6303">
            <v>0</v>
          </cell>
          <cell r="AQ6303">
            <v>0</v>
          </cell>
          <cell r="AV6303">
            <v>0</v>
          </cell>
        </row>
        <row r="6304">
          <cell r="E6304" t="str">
            <v>B26001963</v>
          </cell>
          <cell r="AP6304">
            <v>0</v>
          </cell>
          <cell r="AQ6304">
            <v>0</v>
          </cell>
          <cell r="AV6304">
            <v>0</v>
          </cell>
        </row>
        <row r="6305">
          <cell r="E6305" t="str">
            <v>B26002179</v>
          </cell>
          <cell r="AP6305">
            <v>0</v>
          </cell>
          <cell r="AQ6305">
            <v>0</v>
          </cell>
          <cell r="AV6305">
            <v>0</v>
          </cell>
        </row>
        <row r="6306">
          <cell r="E6306" t="str">
            <v>D26002451</v>
          </cell>
          <cell r="AP6306">
            <v>0</v>
          </cell>
          <cell r="AQ6306">
            <v>0</v>
          </cell>
          <cell r="AV6306">
            <v>0</v>
          </cell>
        </row>
        <row r="6307">
          <cell r="E6307" t="str">
            <v>B26000454</v>
          </cell>
          <cell r="AP6307">
            <v>0</v>
          </cell>
          <cell r="AQ6307">
            <v>0</v>
          </cell>
          <cell r="AV6307">
            <v>0</v>
          </cell>
        </row>
        <row r="6308">
          <cell r="E6308" t="str">
            <v>D26002463</v>
          </cell>
          <cell r="AP6308">
            <v>0</v>
          </cell>
          <cell r="AQ6308">
            <v>0</v>
          </cell>
          <cell r="AV6308">
            <v>0</v>
          </cell>
        </row>
        <row r="6309">
          <cell r="E6309" t="str">
            <v>T25001515k</v>
          </cell>
          <cell r="AP6309">
            <v>0</v>
          </cell>
          <cell r="AQ6309">
            <v>0</v>
          </cell>
          <cell r="AV6309">
            <v>0</v>
          </cell>
        </row>
        <row r="6310">
          <cell r="E6310" t="str">
            <v>T25001519K</v>
          </cell>
          <cell r="AP6310">
            <v>0</v>
          </cell>
          <cell r="AQ6310">
            <v>0</v>
          </cell>
          <cell r="AV6310">
            <v>0</v>
          </cell>
        </row>
        <row r="6311">
          <cell r="E6311" t="str">
            <v>D26001011</v>
          </cell>
          <cell r="AP6311">
            <v>0</v>
          </cell>
          <cell r="AQ6311">
            <v>0</v>
          </cell>
          <cell r="AV6311">
            <v>9800000</v>
          </cell>
        </row>
        <row r="6312">
          <cell r="E6312" t="str">
            <v>D26001011</v>
          </cell>
          <cell r="AP6312">
            <v>0</v>
          </cell>
          <cell r="AQ6312">
            <v>0</v>
          </cell>
          <cell r="AV6312">
            <v>20000000</v>
          </cell>
        </row>
        <row r="6313">
          <cell r="E6313" t="str">
            <v>B26001009</v>
          </cell>
          <cell r="AP6313">
            <v>0</v>
          </cell>
          <cell r="AQ6313">
            <v>0</v>
          </cell>
          <cell r="AV6313">
            <v>2880000</v>
          </cell>
        </row>
        <row r="6314">
          <cell r="E6314" t="str">
            <v>D26002285</v>
          </cell>
          <cell r="AP6314">
            <v>0</v>
          </cell>
          <cell r="AQ6314">
            <v>0</v>
          </cell>
          <cell r="AV6314">
            <v>0</v>
          </cell>
        </row>
        <row r="6315">
          <cell r="E6315" t="str">
            <v>D26002296</v>
          </cell>
          <cell r="AP6315">
            <v>0</v>
          </cell>
          <cell r="AQ6315">
            <v>0</v>
          </cell>
          <cell r="AV6315">
            <v>0</v>
          </cell>
        </row>
        <row r="6316">
          <cell r="E6316" t="str">
            <v>B26000739</v>
          </cell>
          <cell r="AP6316">
            <v>0</v>
          </cell>
          <cell r="AQ6316">
            <v>0</v>
          </cell>
          <cell r="AV6316">
            <v>20830000</v>
          </cell>
        </row>
        <row r="6317">
          <cell r="E6317" t="str">
            <v>B26001298</v>
          </cell>
          <cell r="AP6317">
            <v>0</v>
          </cell>
          <cell r="AQ6317">
            <v>0</v>
          </cell>
          <cell r="AV6317">
            <v>0</v>
          </cell>
        </row>
        <row r="6318">
          <cell r="E6318" t="str">
            <v>D26001646</v>
          </cell>
          <cell r="AP6318">
            <v>0</v>
          </cell>
          <cell r="AQ6318">
            <v>0</v>
          </cell>
          <cell r="AV6318">
            <v>0</v>
          </cell>
        </row>
        <row r="6319">
          <cell r="E6319" t="str">
            <v>B25013109</v>
          </cell>
          <cell r="AP6319">
            <v>0</v>
          </cell>
          <cell r="AQ6319">
            <v>0</v>
          </cell>
          <cell r="AV6319">
            <v>12735000</v>
          </cell>
        </row>
        <row r="6320">
          <cell r="E6320" t="str">
            <v>B25013109</v>
          </cell>
          <cell r="AP6320">
            <v>0</v>
          </cell>
          <cell r="AQ6320">
            <v>0</v>
          </cell>
          <cell r="AV6320">
            <v>10000000</v>
          </cell>
        </row>
        <row r="6321">
          <cell r="E6321" t="str">
            <v>B25013109</v>
          </cell>
          <cell r="AP6321">
            <v>0</v>
          </cell>
          <cell r="AQ6321">
            <v>0</v>
          </cell>
          <cell r="AV6321">
            <v>10000000</v>
          </cell>
        </row>
        <row r="6322">
          <cell r="E6322" t="str">
            <v>D25015675</v>
          </cell>
          <cell r="AP6322">
            <v>0</v>
          </cell>
          <cell r="AQ6322">
            <v>0</v>
          </cell>
          <cell r="AV6322">
            <v>0</v>
          </cell>
        </row>
        <row r="6323">
          <cell r="E6323" t="str">
            <v>B25014895</v>
          </cell>
          <cell r="AP6323">
            <v>0</v>
          </cell>
          <cell r="AQ6323">
            <v>0</v>
          </cell>
          <cell r="AV6323">
            <v>0</v>
          </cell>
        </row>
        <row r="6324">
          <cell r="E6324" t="str">
            <v>D25017233</v>
          </cell>
          <cell r="AP6324">
            <v>0</v>
          </cell>
          <cell r="AQ6324">
            <v>0</v>
          </cell>
          <cell r="AV6324">
            <v>0</v>
          </cell>
        </row>
        <row r="6325">
          <cell r="E6325" t="str">
            <v>B25015497</v>
          </cell>
          <cell r="AP6325">
            <v>0</v>
          </cell>
          <cell r="AQ6325">
            <v>0</v>
          </cell>
          <cell r="AV6325">
            <v>0</v>
          </cell>
        </row>
        <row r="6326">
          <cell r="E6326" t="str">
            <v>B25015498</v>
          </cell>
          <cell r="AP6326">
            <v>0</v>
          </cell>
          <cell r="AQ6326">
            <v>0</v>
          </cell>
          <cell r="AV6326">
            <v>0</v>
          </cell>
        </row>
        <row r="6327">
          <cell r="E6327" t="str">
            <v>B25015508</v>
          </cell>
          <cell r="AP6327">
            <v>0</v>
          </cell>
          <cell r="AQ6327">
            <v>0</v>
          </cell>
          <cell r="AV6327">
            <v>0</v>
          </cell>
        </row>
        <row r="6328">
          <cell r="E6328" t="str">
            <v>B25015667</v>
          </cell>
          <cell r="AP6328">
            <v>0</v>
          </cell>
          <cell r="AQ6328">
            <v>0</v>
          </cell>
          <cell r="AV6328">
            <v>0</v>
          </cell>
        </row>
        <row r="6329">
          <cell r="E6329" t="str">
            <v>B25015981</v>
          </cell>
          <cell r="AP6329">
            <v>0</v>
          </cell>
          <cell r="AQ6329">
            <v>0</v>
          </cell>
          <cell r="AV6329">
            <v>0</v>
          </cell>
        </row>
        <row r="6330">
          <cell r="E6330" t="str">
            <v>T25001821</v>
          </cell>
          <cell r="AP6330">
            <v>0</v>
          </cell>
          <cell r="AQ6330">
            <v>0</v>
          </cell>
          <cell r="AV6330">
            <v>0</v>
          </cell>
        </row>
        <row r="6331">
          <cell r="E6331" t="str">
            <v>D25018765</v>
          </cell>
          <cell r="AP6331">
            <v>0</v>
          </cell>
          <cell r="AQ6331">
            <v>0</v>
          </cell>
          <cell r="AV6331">
            <v>0</v>
          </cell>
        </row>
        <row r="6332">
          <cell r="E6332" t="str">
            <v>B25016753</v>
          </cell>
          <cell r="AP6332">
            <v>0</v>
          </cell>
          <cell r="AQ6332">
            <v>0</v>
          </cell>
          <cell r="AV6332">
            <v>0</v>
          </cell>
        </row>
        <row r="6333">
          <cell r="E6333" t="str">
            <v>T25001877</v>
          </cell>
          <cell r="AP6333">
            <v>0</v>
          </cell>
          <cell r="AQ6333">
            <v>0</v>
          </cell>
          <cell r="AV6333">
            <v>0</v>
          </cell>
        </row>
        <row r="6334">
          <cell r="E6334" t="str">
            <v>B25016907</v>
          </cell>
          <cell r="AP6334">
            <v>0</v>
          </cell>
          <cell r="AQ6334">
            <v>0</v>
          </cell>
          <cell r="AV6334">
            <v>0</v>
          </cell>
        </row>
        <row r="6335">
          <cell r="E6335" t="str">
            <v>B25016909</v>
          </cell>
          <cell r="AP6335">
            <v>0</v>
          </cell>
          <cell r="AQ6335">
            <v>0</v>
          </cell>
          <cell r="AV6335">
            <v>0</v>
          </cell>
        </row>
        <row r="6336">
          <cell r="E6336" t="str">
            <v>D26000033</v>
          </cell>
          <cell r="AP6336">
            <v>0</v>
          </cell>
          <cell r="AQ6336">
            <v>0</v>
          </cell>
          <cell r="AV6336">
            <v>0</v>
          </cell>
        </row>
        <row r="6337">
          <cell r="E6337" t="str">
            <v>D26000041</v>
          </cell>
          <cell r="AP6337">
            <v>0</v>
          </cell>
          <cell r="AQ6337">
            <v>0</v>
          </cell>
          <cell r="AV6337">
            <v>0</v>
          </cell>
        </row>
        <row r="6338">
          <cell r="E6338" t="str">
            <v>D26000042</v>
          </cell>
          <cell r="AP6338">
            <v>0</v>
          </cell>
          <cell r="AQ6338">
            <v>0</v>
          </cell>
          <cell r="AV6338">
            <v>0</v>
          </cell>
        </row>
        <row r="6339">
          <cell r="E6339" t="str">
            <v>B26000271</v>
          </cell>
          <cell r="AP6339">
            <v>0</v>
          </cell>
          <cell r="AQ6339">
            <v>0</v>
          </cell>
          <cell r="AV6339">
            <v>0</v>
          </cell>
        </row>
        <row r="6340">
          <cell r="E6340" t="str">
            <v>B26000335</v>
          </cell>
          <cell r="AP6340">
            <v>0</v>
          </cell>
          <cell r="AQ6340">
            <v>0</v>
          </cell>
          <cell r="AV6340">
            <v>0</v>
          </cell>
        </row>
        <row r="6341">
          <cell r="E6341" t="str">
            <v>D26000591</v>
          </cell>
          <cell r="AP6341">
            <v>0</v>
          </cell>
          <cell r="AQ6341">
            <v>0</v>
          </cell>
          <cell r="AV6341">
            <v>0</v>
          </cell>
        </row>
        <row r="6342">
          <cell r="E6342" t="str">
            <v>D26000816</v>
          </cell>
          <cell r="AP6342">
            <v>0</v>
          </cell>
          <cell r="AQ6342">
            <v>0</v>
          </cell>
          <cell r="AV6342">
            <v>0</v>
          </cell>
        </row>
        <row r="6343">
          <cell r="E6343" t="str">
            <v>D26000831</v>
          </cell>
          <cell r="AP6343">
            <v>0</v>
          </cell>
          <cell r="AQ6343">
            <v>0</v>
          </cell>
          <cell r="AV6343">
            <v>0</v>
          </cell>
        </row>
        <row r="6344">
          <cell r="E6344" t="str">
            <v>B26001161</v>
          </cell>
          <cell r="AP6344">
            <v>0</v>
          </cell>
          <cell r="AQ6344">
            <v>0</v>
          </cell>
          <cell r="AV6344">
            <v>0</v>
          </cell>
        </row>
        <row r="6345">
          <cell r="E6345" t="str">
            <v>D26001238</v>
          </cell>
          <cell r="AP6345">
            <v>0</v>
          </cell>
          <cell r="AQ6345">
            <v>0</v>
          </cell>
          <cell r="AV6345">
            <v>0</v>
          </cell>
        </row>
        <row r="6346">
          <cell r="E6346" t="str">
            <v>D26001378</v>
          </cell>
          <cell r="AP6346">
            <v>0</v>
          </cell>
          <cell r="AQ6346">
            <v>0</v>
          </cell>
          <cell r="AV6346">
            <v>0</v>
          </cell>
        </row>
        <row r="6347">
          <cell r="E6347" t="str">
            <v>D26001908</v>
          </cell>
          <cell r="AP6347">
            <v>0</v>
          </cell>
          <cell r="AQ6347">
            <v>0</v>
          </cell>
          <cell r="AV6347">
            <v>0</v>
          </cell>
        </row>
        <row r="6348">
          <cell r="E6348" t="str">
            <v>B26001950</v>
          </cell>
          <cell r="AP6348">
            <v>0</v>
          </cell>
          <cell r="AQ6348">
            <v>0</v>
          </cell>
          <cell r="AV6348">
            <v>0</v>
          </cell>
        </row>
        <row r="6349">
          <cell r="E6349" t="str">
            <v>D26002060</v>
          </cell>
          <cell r="AP6349">
            <v>0</v>
          </cell>
          <cell r="AQ6349">
            <v>0</v>
          </cell>
          <cell r="AV6349">
            <v>0</v>
          </cell>
        </row>
        <row r="6350">
          <cell r="E6350" t="str">
            <v>D25018155</v>
          </cell>
          <cell r="AP6350">
            <v>0</v>
          </cell>
          <cell r="AQ6350">
            <v>0</v>
          </cell>
          <cell r="AV6350">
            <v>0</v>
          </cell>
        </row>
        <row r="6351">
          <cell r="E6351" t="str">
            <v>B25015911</v>
          </cell>
          <cell r="AP6351">
            <v>0</v>
          </cell>
          <cell r="AQ6351">
            <v>0</v>
          </cell>
          <cell r="AV6351">
            <v>0</v>
          </cell>
        </row>
        <row r="6352">
          <cell r="E6352" t="str">
            <v>B25016190</v>
          </cell>
          <cell r="AP6352">
            <v>0</v>
          </cell>
          <cell r="AQ6352">
            <v>0</v>
          </cell>
          <cell r="AV6352">
            <v>0</v>
          </cell>
        </row>
        <row r="6353">
          <cell r="E6353" t="str">
            <v>D26000593</v>
          </cell>
          <cell r="AP6353">
            <v>0</v>
          </cell>
          <cell r="AQ6353">
            <v>0</v>
          </cell>
          <cell r="AV6353">
            <v>0</v>
          </cell>
        </row>
        <row r="6354">
          <cell r="E6354" t="str">
            <v>D26000732</v>
          </cell>
          <cell r="AP6354">
            <v>0</v>
          </cell>
          <cell r="AQ6354">
            <v>0</v>
          </cell>
          <cell r="AV6354">
            <v>0</v>
          </cell>
        </row>
        <row r="6355">
          <cell r="E6355" t="str">
            <v>B26000718</v>
          </cell>
          <cell r="AP6355">
            <v>0</v>
          </cell>
          <cell r="AQ6355">
            <v>0</v>
          </cell>
          <cell r="AV6355">
            <v>0</v>
          </cell>
        </row>
        <row r="6356">
          <cell r="E6356" t="str">
            <v>D26001206</v>
          </cell>
          <cell r="AP6356">
            <v>0</v>
          </cell>
          <cell r="AQ6356">
            <v>0</v>
          </cell>
          <cell r="AV6356">
            <v>0</v>
          </cell>
        </row>
        <row r="6357">
          <cell r="E6357" t="str">
            <v>B26001142</v>
          </cell>
          <cell r="AP6357">
            <v>0</v>
          </cell>
          <cell r="AQ6357">
            <v>0</v>
          </cell>
          <cell r="AV6357">
            <v>0</v>
          </cell>
        </row>
        <row r="6358">
          <cell r="E6358" t="str">
            <v>B26001158</v>
          </cell>
          <cell r="AP6358">
            <v>0</v>
          </cell>
          <cell r="AQ6358">
            <v>0</v>
          </cell>
          <cell r="AV6358">
            <v>0</v>
          </cell>
        </row>
        <row r="6359">
          <cell r="E6359" t="str">
            <v>D26001411</v>
          </cell>
          <cell r="AP6359">
            <v>0</v>
          </cell>
          <cell r="AQ6359">
            <v>0</v>
          </cell>
          <cell r="AV6359">
            <v>0</v>
          </cell>
        </row>
        <row r="6360">
          <cell r="E6360" t="str">
            <v>D26001470</v>
          </cell>
          <cell r="AP6360">
            <v>0</v>
          </cell>
          <cell r="AQ6360">
            <v>0</v>
          </cell>
          <cell r="AV6360">
            <v>0</v>
          </cell>
        </row>
        <row r="6361">
          <cell r="E6361" t="str">
            <v>D26000488</v>
          </cell>
          <cell r="AP6361">
            <v>0</v>
          </cell>
          <cell r="AQ6361">
            <v>0</v>
          </cell>
          <cell r="AV6361">
            <v>0</v>
          </cell>
        </row>
        <row r="6362">
          <cell r="E6362" t="str">
            <v>D26000489</v>
          </cell>
          <cell r="AP6362">
            <v>0</v>
          </cell>
          <cell r="AQ6362">
            <v>0</v>
          </cell>
          <cell r="AV6362">
            <v>0</v>
          </cell>
        </row>
        <row r="6363">
          <cell r="E6363" t="str">
            <v>D25018575</v>
          </cell>
          <cell r="AP6363">
            <v>0</v>
          </cell>
          <cell r="AQ6363">
            <v>0</v>
          </cell>
          <cell r="AV6363">
            <v>6500000</v>
          </cell>
        </row>
        <row r="6364">
          <cell r="E6364" t="str">
            <v>D25019428</v>
          </cell>
          <cell r="AP6364">
            <v>0</v>
          </cell>
          <cell r="AQ6364">
            <v>0</v>
          </cell>
          <cell r="AV6364">
            <v>0</v>
          </cell>
        </row>
        <row r="6365">
          <cell r="E6365" t="str">
            <v>B25016970</v>
          </cell>
          <cell r="AP6365">
            <v>0</v>
          </cell>
          <cell r="AQ6365">
            <v>0</v>
          </cell>
          <cell r="AV6365">
            <v>0</v>
          </cell>
        </row>
        <row r="6366">
          <cell r="E6366" t="str">
            <v>B26000386</v>
          </cell>
          <cell r="AP6366">
            <v>0</v>
          </cell>
          <cell r="AQ6366">
            <v>0</v>
          </cell>
          <cell r="AV6366">
            <v>21592800</v>
          </cell>
        </row>
        <row r="6367">
          <cell r="E6367" t="str">
            <v>B26000388</v>
          </cell>
          <cell r="AP6367">
            <v>0</v>
          </cell>
          <cell r="AQ6367">
            <v>0</v>
          </cell>
          <cell r="AV6367">
            <v>0</v>
          </cell>
        </row>
        <row r="6368">
          <cell r="E6368" t="str">
            <v>B26000443</v>
          </cell>
          <cell r="AP6368">
            <v>0</v>
          </cell>
          <cell r="AQ6368">
            <v>0</v>
          </cell>
          <cell r="AV6368">
            <v>0</v>
          </cell>
        </row>
        <row r="6369">
          <cell r="E6369" t="str">
            <v>B26000476</v>
          </cell>
          <cell r="AP6369">
            <v>0</v>
          </cell>
          <cell r="AQ6369">
            <v>0</v>
          </cell>
          <cell r="AV6369">
            <v>0</v>
          </cell>
        </row>
        <row r="6370">
          <cell r="E6370" t="str">
            <v>B26001014</v>
          </cell>
          <cell r="AP6370">
            <v>0</v>
          </cell>
          <cell r="AQ6370">
            <v>0</v>
          </cell>
          <cell r="AV6370">
            <v>0</v>
          </cell>
        </row>
        <row r="6371">
          <cell r="E6371" t="str">
            <v>B26001027</v>
          </cell>
          <cell r="AP6371">
            <v>0</v>
          </cell>
          <cell r="AQ6371">
            <v>0</v>
          </cell>
          <cell r="AV6371">
            <v>0</v>
          </cell>
        </row>
        <row r="6372">
          <cell r="E6372" t="str">
            <v>T26000101</v>
          </cell>
          <cell r="AP6372">
            <v>0</v>
          </cell>
          <cell r="AQ6372">
            <v>0</v>
          </cell>
          <cell r="AV6372">
            <v>0</v>
          </cell>
        </row>
        <row r="6373">
          <cell r="E6373" t="str">
            <v>B26001926</v>
          </cell>
          <cell r="AP6373">
            <v>0</v>
          </cell>
          <cell r="AQ6373">
            <v>0</v>
          </cell>
          <cell r="AV6373">
            <v>0</v>
          </cell>
        </row>
        <row r="6374">
          <cell r="E6374" t="str">
            <v>B26001927</v>
          </cell>
          <cell r="AP6374">
            <v>0</v>
          </cell>
          <cell r="AQ6374">
            <v>0</v>
          </cell>
          <cell r="AV6374">
            <v>0</v>
          </cell>
        </row>
        <row r="6375">
          <cell r="E6375" t="str">
            <v>B26001994</v>
          </cell>
          <cell r="AP6375">
            <v>0</v>
          </cell>
          <cell r="AQ6375">
            <v>0</v>
          </cell>
          <cell r="AV6375">
            <v>0</v>
          </cell>
        </row>
        <row r="6376">
          <cell r="E6376" t="str">
            <v>B25014153</v>
          </cell>
          <cell r="AP6376">
            <v>0</v>
          </cell>
          <cell r="AQ6376">
            <v>0</v>
          </cell>
          <cell r="AV6376">
            <v>175700000</v>
          </cell>
        </row>
        <row r="6377">
          <cell r="E6377" t="str">
            <v>B25014153</v>
          </cell>
          <cell r="AP6377">
            <v>0</v>
          </cell>
          <cell r="AQ6377">
            <v>0</v>
          </cell>
          <cell r="AV6377">
            <v>150000000</v>
          </cell>
        </row>
        <row r="6378">
          <cell r="E6378" t="str">
            <v>B25014241</v>
          </cell>
          <cell r="AP6378">
            <v>0</v>
          </cell>
          <cell r="AQ6378">
            <v>0</v>
          </cell>
          <cell r="AV6378">
            <v>0</v>
          </cell>
        </row>
        <row r="6379">
          <cell r="E6379" t="str">
            <v>B25014610</v>
          </cell>
          <cell r="AP6379">
            <v>0</v>
          </cell>
          <cell r="AQ6379">
            <v>0</v>
          </cell>
          <cell r="AV6379">
            <v>0</v>
          </cell>
        </row>
        <row r="6380">
          <cell r="E6380" t="str">
            <v>B25015061</v>
          </cell>
          <cell r="AP6380">
            <v>0</v>
          </cell>
          <cell r="AQ6380">
            <v>0</v>
          </cell>
          <cell r="AV6380">
            <v>0</v>
          </cell>
        </row>
        <row r="6381">
          <cell r="E6381" t="str">
            <v>B25015063</v>
          </cell>
          <cell r="AP6381">
            <v>0</v>
          </cell>
          <cell r="AQ6381">
            <v>0</v>
          </cell>
          <cell r="AV6381">
            <v>0</v>
          </cell>
        </row>
        <row r="6382">
          <cell r="E6382" t="str">
            <v>D25017643</v>
          </cell>
          <cell r="AP6382">
            <v>0</v>
          </cell>
          <cell r="AQ6382">
            <v>0</v>
          </cell>
          <cell r="AV6382">
            <v>0</v>
          </cell>
        </row>
        <row r="6383">
          <cell r="E6383" t="str">
            <v>B25015410</v>
          </cell>
          <cell r="AP6383">
            <v>0</v>
          </cell>
          <cell r="AQ6383">
            <v>0</v>
          </cell>
          <cell r="AV6383">
            <v>0</v>
          </cell>
        </row>
        <row r="6384">
          <cell r="E6384" t="str">
            <v>B25015462</v>
          </cell>
          <cell r="AP6384">
            <v>0</v>
          </cell>
          <cell r="AQ6384">
            <v>0</v>
          </cell>
          <cell r="AV6384">
            <v>0</v>
          </cell>
        </row>
        <row r="6385">
          <cell r="E6385" t="str">
            <v>D25018207</v>
          </cell>
          <cell r="AP6385">
            <v>0</v>
          </cell>
          <cell r="AQ6385">
            <v>0</v>
          </cell>
          <cell r="AV6385">
            <v>0</v>
          </cell>
        </row>
        <row r="6386">
          <cell r="E6386" t="str">
            <v>D25019018</v>
          </cell>
          <cell r="AP6386">
            <v>0</v>
          </cell>
          <cell r="AQ6386">
            <v>0</v>
          </cell>
          <cell r="AV6386">
            <v>0</v>
          </cell>
        </row>
        <row r="6387">
          <cell r="E6387" t="str">
            <v>D25019607</v>
          </cell>
          <cell r="AP6387">
            <v>0</v>
          </cell>
          <cell r="AQ6387">
            <v>0</v>
          </cell>
          <cell r="AV6387">
            <v>0</v>
          </cell>
        </row>
        <row r="6388">
          <cell r="E6388" t="str">
            <v>B26000124</v>
          </cell>
          <cell r="AP6388">
            <v>0</v>
          </cell>
          <cell r="AQ6388">
            <v>0</v>
          </cell>
          <cell r="AV6388">
            <v>0</v>
          </cell>
        </row>
        <row r="6389">
          <cell r="E6389" t="str">
            <v>B26000372</v>
          </cell>
          <cell r="AP6389">
            <v>0</v>
          </cell>
          <cell r="AQ6389">
            <v>0</v>
          </cell>
          <cell r="AV6389">
            <v>0</v>
          </cell>
        </row>
        <row r="6390">
          <cell r="E6390" t="str">
            <v>B26000495</v>
          </cell>
          <cell r="AP6390">
            <v>0</v>
          </cell>
          <cell r="AQ6390">
            <v>0</v>
          </cell>
          <cell r="AV6390">
            <v>0</v>
          </cell>
        </row>
        <row r="6391">
          <cell r="E6391" t="str">
            <v>B26001120</v>
          </cell>
          <cell r="AP6391">
            <v>0</v>
          </cell>
          <cell r="AQ6391">
            <v>0</v>
          </cell>
          <cell r="AV6391">
            <v>0</v>
          </cell>
        </row>
        <row r="6392">
          <cell r="E6392" t="str">
            <v>B26001210</v>
          </cell>
          <cell r="AP6392">
            <v>0</v>
          </cell>
          <cell r="AQ6392">
            <v>0</v>
          </cell>
          <cell r="AV6392">
            <v>0</v>
          </cell>
        </row>
        <row r="6393">
          <cell r="E6393" t="str">
            <v>B26001520</v>
          </cell>
          <cell r="AP6393">
            <v>0</v>
          </cell>
          <cell r="AQ6393">
            <v>0</v>
          </cell>
          <cell r="AV6393">
            <v>0</v>
          </cell>
        </row>
        <row r="6394">
          <cell r="E6394" t="str">
            <v>B26001579</v>
          </cell>
          <cell r="AP6394">
            <v>0</v>
          </cell>
          <cell r="AQ6394">
            <v>0</v>
          </cell>
          <cell r="AV6394">
            <v>0</v>
          </cell>
        </row>
        <row r="6395">
          <cell r="E6395" t="str">
            <v>D26002023</v>
          </cell>
          <cell r="AP6395">
            <v>0</v>
          </cell>
          <cell r="AQ6395">
            <v>0</v>
          </cell>
          <cell r="AV6395">
            <v>66500000</v>
          </cell>
        </row>
        <row r="6396">
          <cell r="E6396" t="str">
            <v>Z26000256</v>
          </cell>
          <cell r="AP6396">
            <v>0</v>
          </cell>
          <cell r="AQ6396">
            <v>0</v>
          </cell>
          <cell r="AV6396">
            <v>12300000</v>
          </cell>
        </row>
        <row r="6397">
          <cell r="E6397" t="str">
            <v>Z26000259</v>
          </cell>
          <cell r="AP6397">
            <v>0</v>
          </cell>
          <cell r="AQ6397">
            <v>0</v>
          </cell>
          <cell r="AV6397">
            <v>3375000</v>
          </cell>
        </row>
        <row r="6398">
          <cell r="E6398" t="str">
            <v>Z26000260</v>
          </cell>
          <cell r="AP6398">
            <v>0</v>
          </cell>
          <cell r="AQ6398">
            <v>0</v>
          </cell>
          <cell r="AV6398">
            <v>21000000</v>
          </cell>
        </row>
        <row r="6399">
          <cell r="E6399" t="str">
            <v>Z26000272</v>
          </cell>
          <cell r="AP6399">
            <v>0</v>
          </cell>
          <cell r="AQ6399">
            <v>0</v>
          </cell>
          <cell r="AV6399">
            <v>14000000</v>
          </cell>
        </row>
        <row r="6400">
          <cell r="E6400" t="str">
            <v>Z26000274</v>
          </cell>
          <cell r="AP6400">
            <v>0</v>
          </cell>
          <cell r="AQ6400">
            <v>0</v>
          </cell>
          <cell r="AV6400">
            <v>5400000</v>
          </cell>
        </row>
        <row r="6401">
          <cell r="E6401" t="str">
            <v>Z26000287</v>
          </cell>
          <cell r="AP6401">
            <v>0</v>
          </cell>
          <cell r="AQ6401">
            <v>0</v>
          </cell>
          <cell r="AV6401">
            <v>2820000</v>
          </cell>
        </row>
        <row r="6402">
          <cell r="E6402" t="str">
            <v>Z26000291</v>
          </cell>
          <cell r="AP6402">
            <v>0</v>
          </cell>
          <cell r="AQ6402">
            <v>0</v>
          </cell>
          <cell r="AV6402">
            <v>0</v>
          </cell>
        </row>
        <row r="6403">
          <cell r="E6403" t="str">
            <v>Z26000320</v>
          </cell>
          <cell r="AP6403">
            <v>0</v>
          </cell>
          <cell r="AQ6403">
            <v>0</v>
          </cell>
          <cell r="AV6403">
            <v>6000000</v>
          </cell>
        </row>
        <row r="6404">
          <cell r="E6404" t="str">
            <v>Z26000370</v>
          </cell>
          <cell r="AP6404">
            <v>0</v>
          </cell>
          <cell r="AQ6404">
            <v>0</v>
          </cell>
          <cell r="AV6404">
            <v>0</v>
          </cell>
        </row>
        <row r="6405">
          <cell r="E6405" t="str">
            <v>Z26000378</v>
          </cell>
          <cell r="AP6405">
            <v>0</v>
          </cell>
          <cell r="AQ6405">
            <v>0</v>
          </cell>
          <cell r="AV6405">
            <v>0</v>
          </cell>
        </row>
        <row r="6406">
          <cell r="E6406" t="str">
            <v>Z26000385</v>
          </cell>
          <cell r="AP6406">
            <v>0</v>
          </cell>
          <cell r="AQ6406">
            <v>0</v>
          </cell>
          <cell r="AV6406">
            <v>28000000</v>
          </cell>
        </row>
        <row r="6407">
          <cell r="E6407" t="str">
            <v>D25018261</v>
          </cell>
          <cell r="AP6407">
            <v>0</v>
          </cell>
          <cell r="AQ6407">
            <v>0</v>
          </cell>
          <cell r="AV6407">
            <v>5250000</v>
          </cell>
        </row>
        <row r="6408">
          <cell r="E6408" t="str">
            <v>B25015917</v>
          </cell>
          <cell r="AP6408">
            <v>0</v>
          </cell>
          <cell r="AQ6408">
            <v>0</v>
          </cell>
          <cell r="AV6408">
            <v>59450000</v>
          </cell>
        </row>
        <row r="6409">
          <cell r="E6409" t="str">
            <v>T25001814</v>
          </cell>
          <cell r="AP6409">
            <v>0</v>
          </cell>
          <cell r="AQ6409">
            <v>0</v>
          </cell>
          <cell r="AV6409">
            <v>3680000</v>
          </cell>
        </row>
        <row r="6410">
          <cell r="E6410" t="str">
            <v>B25016522</v>
          </cell>
          <cell r="AP6410">
            <v>0</v>
          </cell>
          <cell r="AQ6410">
            <v>0</v>
          </cell>
          <cell r="AV6410">
            <v>34650000</v>
          </cell>
        </row>
        <row r="6411">
          <cell r="E6411" t="str">
            <v>D25018976</v>
          </cell>
          <cell r="AP6411">
            <v>0</v>
          </cell>
          <cell r="AQ6411">
            <v>0</v>
          </cell>
          <cell r="AV6411">
            <v>32280000</v>
          </cell>
        </row>
        <row r="6412">
          <cell r="E6412" t="str">
            <v>D25018977</v>
          </cell>
          <cell r="AP6412">
            <v>0</v>
          </cell>
          <cell r="AQ6412">
            <v>0</v>
          </cell>
          <cell r="AV6412">
            <v>13980000</v>
          </cell>
        </row>
        <row r="6413">
          <cell r="E6413" t="str">
            <v>D25019447</v>
          </cell>
          <cell r="AP6413">
            <v>0</v>
          </cell>
          <cell r="AQ6413">
            <v>0</v>
          </cell>
          <cell r="AV6413">
            <v>0</v>
          </cell>
        </row>
        <row r="6414">
          <cell r="E6414" t="str">
            <v>D26000051</v>
          </cell>
          <cell r="AP6414">
            <v>0</v>
          </cell>
          <cell r="AQ6414">
            <v>0</v>
          </cell>
          <cell r="AV6414">
            <v>0</v>
          </cell>
        </row>
        <row r="6415">
          <cell r="E6415" t="str">
            <v>D26000052</v>
          </cell>
          <cell r="AP6415">
            <v>0</v>
          </cell>
          <cell r="AQ6415">
            <v>0</v>
          </cell>
          <cell r="AV6415">
            <v>0</v>
          </cell>
        </row>
        <row r="6416">
          <cell r="E6416" t="str">
            <v>D26000069</v>
          </cell>
          <cell r="AP6416">
            <v>0</v>
          </cell>
          <cell r="AQ6416">
            <v>0</v>
          </cell>
          <cell r="AV6416">
            <v>0</v>
          </cell>
        </row>
        <row r="6417">
          <cell r="E6417" t="str">
            <v>B26000725</v>
          </cell>
          <cell r="AP6417">
            <v>0</v>
          </cell>
          <cell r="AQ6417">
            <v>0</v>
          </cell>
          <cell r="AV6417">
            <v>0</v>
          </cell>
        </row>
        <row r="6418">
          <cell r="E6418" t="str">
            <v>B26000727</v>
          </cell>
          <cell r="AP6418">
            <v>0</v>
          </cell>
          <cell r="AQ6418">
            <v>0</v>
          </cell>
          <cell r="AV6418">
            <v>0</v>
          </cell>
        </row>
        <row r="6419">
          <cell r="E6419" t="str">
            <v>B26000891</v>
          </cell>
          <cell r="AP6419">
            <v>0</v>
          </cell>
          <cell r="AQ6419">
            <v>0</v>
          </cell>
          <cell r="AV6419">
            <v>0</v>
          </cell>
        </row>
        <row r="6420">
          <cell r="E6420" t="str">
            <v>B26000892</v>
          </cell>
          <cell r="AP6420">
            <v>0</v>
          </cell>
          <cell r="AQ6420">
            <v>0</v>
          </cell>
          <cell r="AV6420">
            <v>0</v>
          </cell>
        </row>
        <row r="6421">
          <cell r="E6421" t="str">
            <v>B26000893</v>
          </cell>
          <cell r="AP6421">
            <v>0</v>
          </cell>
          <cell r="AQ6421">
            <v>0</v>
          </cell>
          <cell r="AV6421">
            <v>0</v>
          </cell>
        </row>
        <row r="6422">
          <cell r="E6422" t="str">
            <v>B26000923</v>
          </cell>
          <cell r="AP6422">
            <v>0</v>
          </cell>
          <cell r="AQ6422">
            <v>0</v>
          </cell>
          <cell r="AV6422">
            <v>0</v>
          </cell>
        </row>
        <row r="6423">
          <cell r="E6423" t="str">
            <v>B26000945</v>
          </cell>
          <cell r="AP6423">
            <v>0</v>
          </cell>
          <cell r="AQ6423">
            <v>0</v>
          </cell>
          <cell r="AV6423">
            <v>0</v>
          </cell>
        </row>
        <row r="6424">
          <cell r="E6424" t="str">
            <v>B26001018</v>
          </cell>
          <cell r="AP6424">
            <v>0</v>
          </cell>
          <cell r="AQ6424">
            <v>0</v>
          </cell>
          <cell r="AV6424">
            <v>0</v>
          </cell>
        </row>
        <row r="6425">
          <cell r="E6425" t="str">
            <v>B26001594</v>
          </cell>
          <cell r="AP6425">
            <v>0</v>
          </cell>
          <cell r="AQ6425">
            <v>0</v>
          </cell>
          <cell r="AV6425">
            <v>0</v>
          </cell>
        </row>
        <row r="6426">
          <cell r="E6426" t="str">
            <v>B26001302</v>
          </cell>
          <cell r="AP6426">
            <v>0</v>
          </cell>
          <cell r="AQ6426">
            <v>0</v>
          </cell>
          <cell r="AV6426">
            <v>0</v>
          </cell>
        </row>
        <row r="6427">
          <cell r="E6427" t="str">
            <v>B25015947</v>
          </cell>
          <cell r="AP6427">
            <v>0</v>
          </cell>
          <cell r="AQ6427">
            <v>0</v>
          </cell>
          <cell r="AV6427">
            <v>48420000</v>
          </cell>
        </row>
        <row r="6428">
          <cell r="E6428" t="str">
            <v>B25016358</v>
          </cell>
          <cell r="AP6428">
            <v>0</v>
          </cell>
          <cell r="AQ6428">
            <v>0</v>
          </cell>
          <cell r="AV6428">
            <v>14400000</v>
          </cell>
        </row>
        <row r="6429">
          <cell r="E6429" t="str">
            <v>D25018892</v>
          </cell>
          <cell r="AP6429">
            <v>0</v>
          </cell>
          <cell r="AQ6429">
            <v>0</v>
          </cell>
          <cell r="AV6429">
            <v>0</v>
          </cell>
        </row>
        <row r="6430">
          <cell r="E6430" t="str">
            <v>D25019646</v>
          </cell>
          <cell r="AP6430">
            <v>0</v>
          </cell>
          <cell r="AQ6430">
            <v>0</v>
          </cell>
          <cell r="AV6430">
            <v>0</v>
          </cell>
        </row>
        <row r="6431">
          <cell r="E6431" t="str">
            <v>D26000087</v>
          </cell>
          <cell r="AP6431">
            <v>0</v>
          </cell>
          <cell r="AQ6431">
            <v>0</v>
          </cell>
          <cell r="AV6431">
            <v>0</v>
          </cell>
        </row>
        <row r="6432">
          <cell r="E6432" t="str">
            <v>D26000404</v>
          </cell>
          <cell r="AP6432">
            <v>0</v>
          </cell>
          <cell r="AQ6432">
            <v>0</v>
          </cell>
          <cell r="AV6432">
            <v>0</v>
          </cell>
        </row>
        <row r="6433">
          <cell r="E6433" t="str">
            <v>B26000928</v>
          </cell>
          <cell r="AP6433">
            <v>0</v>
          </cell>
          <cell r="AQ6433">
            <v>0</v>
          </cell>
          <cell r="AV6433">
            <v>0</v>
          </cell>
        </row>
        <row r="6434">
          <cell r="E6434" t="str">
            <v>D26001385</v>
          </cell>
          <cell r="AP6434">
            <v>0</v>
          </cell>
          <cell r="AQ6434">
            <v>0</v>
          </cell>
          <cell r="AV6434">
            <v>0</v>
          </cell>
        </row>
        <row r="6435">
          <cell r="E6435" t="str">
            <v>D26001436</v>
          </cell>
          <cell r="AP6435">
            <v>0</v>
          </cell>
          <cell r="AQ6435">
            <v>0</v>
          </cell>
          <cell r="AV6435">
            <v>0</v>
          </cell>
        </row>
        <row r="6436">
          <cell r="E6436" t="str">
            <v>D26001488</v>
          </cell>
          <cell r="AP6436">
            <v>0</v>
          </cell>
          <cell r="AQ6436">
            <v>0</v>
          </cell>
          <cell r="AV6436">
            <v>0</v>
          </cell>
        </row>
        <row r="6437">
          <cell r="E6437" t="str">
            <v>D26001503</v>
          </cell>
          <cell r="AP6437">
            <v>0</v>
          </cell>
          <cell r="AQ6437">
            <v>0</v>
          </cell>
          <cell r="AV6437">
            <v>0</v>
          </cell>
        </row>
        <row r="6438">
          <cell r="E6438" t="str">
            <v>D26001505</v>
          </cell>
          <cell r="AP6438">
            <v>0</v>
          </cell>
          <cell r="AQ6438">
            <v>0</v>
          </cell>
          <cell r="AV6438">
            <v>0</v>
          </cell>
        </row>
        <row r="6439">
          <cell r="E6439" t="str">
            <v>D26001527</v>
          </cell>
          <cell r="AP6439">
            <v>0</v>
          </cell>
          <cell r="AQ6439">
            <v>0</v>
          </cell>
          <cell r="AV6439">
            <v>0</v>
          </cell>
        </row>
        <row r="6440">
          <cell r="E6440" t="str">
            <v>D26001816</v>
          </cell>
          <cell r="AP6440">
            <v>0</v>
          </cell>
          <cell r="AQ6440">
            <v>0</v>
          </cell>
          <cell r="AV6440">
            <v>0</v>
          </cell>
        </row>
        <row r="6441">
          <cell r="E6441" t="str">
            <v>D26001831</v>
          </cell>
          <cell r="AP6441">
            <v>0</v>
          </cell>
          <cell r="AQ6441">
            <v>0</v>
          </cell>
          <cell r="AV6441">
            <v>0</v>
          </cell>
        </row>
        <row r="6442">
          <cell r="E6442" t="str">
            <v>D26001913</v>
          </cell>
          <cell r="AP6442">
            <v>0</v>
          </cell>
          <cell r="AQ6442">
            <v>0</v>
          </cell>
          <cell r="AV6442">
            <v>0</v>
          </cell>
        </row>
        <row r="6443">
          <cell r="E6443" t="str">
            <v>B26001886</v>
          </cell>
          <cell r="AP6443">
            <v>0</v>
          </cell>
          <cell r="AQ6443">
            <v>0</v>
          </cell>
          <cell r="AV6443">
            <v>50625000</v>
          </cell>
        </row>
        <row r="6444">
          <cell r="E6444" t="str">
            <v>D26002179</v>
          </cell>
          <cell r="AP6444">
            <v>0</v>
          </cell>
          <cell r="AQ6444">
            <v>0</v>
          </cell>
          <cell r="AV6444">
            <v>0</v>
          </cell>
        </row>
        <row r="6445">
          <cell r="E6445" t="str">
            <v>D26002179</v>
          </cell>
          <cell r="AP6445">
            <v>0</v>
          </cell>
          <cell r="AQ6445">
            <v>0</v>
          </cell>
          <cell r="AV6445">
            <v>19000000</v>
          </cell>
        </row>
        <row r="6446">
          <cell r="E6446" t="str">
            <v>D26002222</v>
          </cell>
          <cell r="AP6446">
            <v>0</v>
          </cell>
          <cell r="AQ6446">
            <v>0</v>
          </cell>
          <cell r="AV6446">
            <v>0</v>
          </cell>
        </row>
        <row r="6447">
          <cell r="E6447" t="str">
            <v>D26002449</v>
          </cell>
          <cell r="AP6447">
            <v>0</v>
          </cell>
          <cell r="AQ6447">
            <v>0</v>
          </cell>
          <cell r="AV6447">
            <v>0</v>
          </cell>
        </row>
        <row r="6448">
          <cell r="E6448" t="str">
            <v>D25018536</v>
          </cell>
          <cell r="AP6448">
            <v>0</v>
          </cell>
          <cell r="AQ6448">
            <v>0</v>
          </cell>
          <cell r="AV6448">
            <v>8200000</v>
          </cell>
        </row>
        <row r="6449">
          <cell r="E6449" t="str">
            <v>D25018614</v>
          </cell>
          <cell r="AP6449">
            <v>0</v>
          </cell>
          <cell r="AQ6449">
            <v>0</v>
          </cell>
          <cell r="AV6449">
            <v>2640000</v>
          </cell>
        </row>
        <row r="6450">
          <cell r="E6450" t="str">
            <v>B25016376</v>
          </cell>
          <cell r="AP6450">
            <v>0</v>
          </cell>
          <cell r="AQ6450">
            <v>0</v>
          </cell>
          <cell r="AV6450">
            <v>9500000</v>
          </cell>
        </row>
        <row r="6451">
          <cell r="E6451" t="str">
            <v>B25016743</v>
          </cell>
          <cell r="AP6451">
            <v>0</v>
          </cell>
          <cell r="AQ6451">
            <v>0</v>
          </cell>
          <cell r="AV6451">
            <v>8210000</v>
          </cell>
        </row>
        <row r="6452">
          <cell r="E6452" t="str">
            <v>B25017013</v>
          </cell>
          <cell r="AP6452">
            <v>0</v>
          </cell>
          <cell r="AQ6452">
            <v>0</v>
          </cell>
          <cell r="AV6452">
            <v>1410000</v>
          </cell>
        </row>
        <row r="6453">
          <cell r="E6453" t="str">
            <v>B25017043</v>
          </cell>
          <cell r="AP6453">
            <v>0</v>
          </cell>
          <cell r="AQ6453">
            <v>0</v>
          </cell>
          <cell r="AV6453">
            <v>7730000</v>
          </cell>
        </row>
        <row r="6454">
          <cell r="E6454" t="str">
            <v>D25019635</v>
          </cell>
          <cell r="AP6454">
            <v>0</v>
          </cell>
          <cell r="AQ6454">
            <v>0</v>
          </cell>
          <cell r="AV6454">
            <v>0</v>
          </cell>
        </row>
        <row r="6455">
          <cell r="E6455" t="str">
            <v>D26000172</v>
          </cell>
          <cell r="AP6455">
            <v>0</v>
          </cell>
          <cell r="AQ6455">
            <v>0</v>
          </cell>
          <cell r="AV6455">
            <v>0</v>
          </cell>
        </row>
        <row r="6456">
          <cell r="E6456" t="str">
            <v>D26000199</v>
          </cell>
          <cell r="AP6456">
            <v>0</v>
          </cell>
          <cell r="AQ6456">
            <v>0</v>
          </cell>
          <cell r="AV6456">
            <v>0</v>
          </cell>
        </row>
        <row r="6457">
          <cell r="E6457" t="str">
            <v>B26000195</v>
          </cell>
          <cell r="AP6457">
            <v>0</v>
          </cell>
          <cell r="AQ6457">
            <v>0</v>
          </cell>
          <cell r="AV6457">
            <v>0</v>
          </cell>
        </row>
        <row r="6458">
          <cell r="E6458" t="str">
            <v>D26000221</v>
          </cell>
          <cell r="AP6458">
            <v>0</v>
          </cell>
          <cell r="AQ6458">
            <v>0</v>
          </cell>
          <cell r="AV6458">
            <v>0</v>
          </cell>
        </row>
        <row r="6459">
          <cell r="E6459" t="str">
            <v>B26000519</v>
          </cell>
          <cell r="AP6459">
            <v>0</v>
          </cell>
          <cell r="AQ6459">
            <v>0</v>
          </cell>
          <cell r="AV6459">
            <v>0</v>
          </cell>
        </row>
        <row r="6460">
          <cell r="E6460" t="str">
            <v>B26000520</v>
          </cell>
          <cell r="AP6460">
            <v>0</v>
          </cell>
          <cell r="AQ6460">
            <v>0</v>
          </cell>
          <cell r="AV6460">
            <v>0</v>
          </cell>
        </row>
        <row r="6461">
          <cell r="E6461" t="str">
            <v>B26000822</v>
          </cell>
          <cell r="AP6461">
            <v>0</v>
          </cell>
          <cell r="AQ6461">
            <v>0</v>
          </cell>
          <cell r="AV6461">
            <v>0</v>
          </cell>
        </row>
        <row r="6462">
          <cell r="E6462" t="str">
            <v>B26000833</v>
          </cell>
          <cell r="AP6462">
            <v>0</v>
          </cell>
          <cell r="AQ6462">
            <v>0</v>
          </cell>
          <cell r="AV6462">
            <v>0</v>
          </cell>
        </row>
        <row r="6463">
          <cell r="E6463" t="str">
            <v>B26000880</v>
          </cell>
          <cell r="AP6463">
            <v>0</v>
          </cell>
          <cell r="AQ6463">
            <v>0</v>
          </cell>
          <cell r="AV6463">
            <v>0</v>
          </cell>
        </row>
        <row r="6464">
          <cell r="E6464" t="str">
            <v>D26000985</v>
          </cell>
          <cell r="AP6464">
            <v>0</v>
          </cell>
          <cell r="AQ6464">
            <v>0</v>
          </cell>
          <cell r="AV6464">
            <v>0</v>
          </cell>
        </row>
        <row r="6465">
          <cell r="E6465" t="str">
            <v>B26000990</v>
          </cell>
          <cell r="AP6465">
            <v>0</v>
          </cell>
          <cell r="AQ6465">
            <v>0</v>
          </cell>
          <cell r="AV6465">
            <v>0</v>
          </cell>
        </row>
        <row r="6466">
          <cell r="E6466" t="str">
            <v>D26001048</v>
          </cell>
          <cell r="AP6466">
            <v>0</v>
          </cell>
          <cell r="AQ6466">
            <v>0</v>
          </cell>
          <cell r="AV6466">
            <v>0</v>
          </cell>
        </row>
        <row r="6467">
          <cell r="E6467" t="str">
            <v>D26001208</v>
          </cell>
          <cell r="AP6467">
            <v>0</v>
          </cell>
          <cell r="AQ6467">
            <v>0</v>
          </cell>
          <cell r="AV6467">
            <v>0</v>
          </cell>
        </row>
        <row r="6468">
          <cell r="E6468" t="str">
            <v>D26001271</v>
          </cell>
          <cell r="AP6468">
            <v>0</v>
          </cell>
          <cell r="AQ6468">
            <v>0</v>
          </cell>
          <cell r="AV6468">
            <v>0</v>
          </cell>
        </row>
        <row r="6469">
          <cell r="E6469" t="str">
            <v>D26001278</v>
          </cell>
          <cell r="AP6469">
            <v>0</v>
          </cell>
          <cell r="AQ6469">
            <v>0</v>
          </cell>
          <cell r="AV6469">
            <v>0</v>
          </cell>
        </row>
        <row r="6470">
          <cell r="E6470" t="str">
            <v>B26001235</v>
          </cell>
          <cell r="AP6470">
            <v>0</v>
          </cell>
          <cell r="AQ6470">
            <v>0</v>
          </cell>
          <cell r="AV6470">
            <v>0</v>
          </cell>
        </row>
        <row r="6471">
          <cell r="E6471" t="str">
            <v>D26001374</v>
          </cell>
          <cell r="AP6471">
            <v>0</v>
          </cell>
          <cell r="AQ6471">
            <v>0</v>
          </cell>
          <cell r="AV6471">
            <v>0</v>
          </cell>
        </row>
        <row r="6472">
          <cell r="E6472" t="str">
            <v>B26001631</v>
          </cell>
          <cell r="AP6472">
            <v>0</v>
          </cell>
          <cell r="AQ6472">
            <v>0</v>
          </cell>
          <cell r="AV6472">
            <v>0</v>
          </cell>
        </row>
        <row r="6473">
          <cell r="E6473" t="str">
            <v>D26001788</v>
          </cell>
          <cell r="AP6473">
            <v>0</v>
          </cell>
          <cell r="AQ6473">
            <v>0</v>
          </cell>
          <cell r="AV6473">
            <v>0</v>
          </cell>
        </row>
        <row r="6474">
          <cell r="E6474" t="str">
            <v>B26001829</v>
          </cell>
          <cell r="AP6474">
            <v>0</v>
          </cell>
          <cell r="AQ6474">
            <v>0</v>
          </cell>
          <cell r="AV6474">
            <v>0</v>
          </cell>
        </row>
        <row r="6475">
          <cell r="E6475" t="str">
            <v>B26001836</v>
          </cell>
          <cell r="AP6475">
            <v>0</v>
          </cell>
          <cell r="AQ6475">
            <v>0</v>
          </cell>
          <cell r="AV6475">
            <v>0</v>
          </cell>
        </row>
        <row r="6476">
          <cell r="E6476" t="str">
            <v>B26001837</v>
          </cell>
          <cell r="AP6476">
            <v>0</v>
          </cell>
          <cell r="AQ6476">
            <v>0</v>
          </cell>
          <cell r="AV6476">
            <v>0</v>
          </cell>
        </row>
        <row r="6477">
          <cell r="E6477" t="str">
            <v>D26001944</v>
          </cell>
          <cell r="AP6477">
            <v>0</v>
          </cell>
          <cell r="AQ6477">
            <v>0</v>
          </cell>
          <cell r="AV6477">
            <v>0</v>
          </cell>
        </row>
        <row r="6478">
          <cell r="E6478" t="str">
            <v>B26001905</v>
          </cell>
          <cell r="AP6478">
            <v>0</v>
          </cell>
          <cell r="AQ6478">
            <v>0</v>
          </cell>
          <cell r="AV6478">
            <v>0</v>
          </cell>
        </row>
        <row r="6479">
          <cell r="E6479" t="str">
            <v>D26002147</v>
          </cell>
          <cell r="AP6479">
            <v>0</v>
          </cell>
          <cell r="AQ6479">
            <v>0</v>
          </cell>
          <cell r="AV6479">
            <v>0</v>
          </cell>
        </row>
        <row r="6480">
          <cell r="E6480" t="str">
            <v>B26002158</v>
          </cell>
          <cell r="AP6480">
            <v>0</v>
          </cell>
          <cell r="AQ6480">
            <v>0</v>
          </cell>
          <cell r="AV6480">
            <v>0</v>
          </cell>
        </row>
        <row r="6481">
          <cell r="E6481" t="str">
            <v>B26002160</v>
          </cell>
          <cell r="AP6481">
            <v>0</v>
          </cell>
          <cell r="AQ6481">
            <v>0</v>
          </cell>
          <cell r="AV6481">
            <v>11300000</v>
          </cell>
        </row>
        <row r="6482">
          <cell r="E6482" t="str">
            <v>D26002307</v>
          </cell>
          <cell r="AP6482">
            <v>0</v>
          </cell>
          <cell r="AQ6482">
            <v>0</v>
          </cell>
          <cell r="AV6482">
            <v>0</v>
          </cell>
        </row>
        <row r="6483">
          <cell r="E6483" t="str">
            <v>B25016192</v>
          </cell>
          <cell r="AP6483">
            <v>0</v>
          </cell>
          <cell r="AQ6483">
            <v>0</v>
          </cell>
          <cell r="AV6483">
            <v>0</v>
          </cell>
        </row>
        <row r="6484">
          <cell r="E6484" t="str">
            <v>T26000003</v>
          </cell>
          <cell r="AP6484">
            <v>0</v>
          </cell>
          <cell r="AQ6484">
            <v>0</v>
          </cell>
          <cell r="AV6484">
            <v>0</v>
          </cell>
        </row>
        <row r="6485">
          <cell r="E6485" t="str">
            <v>D25017244</v>
          </cell>
          <cell r="AP6485">
            <v>0</v>
          </cell>
          <cell r="AQ6485">
            <v>0</v>
          </cell>
          <cell r="AV6485">
            <v>7875000</v>
          </cell>
        </row>
        <row r="6486">
          <cell r="E6486" t="str">
            <v>B25015130</v>
          </cell>
          <cell r="AP6486">
            <v>0</v>
          </cell>
          <cell r="AQ6486">
            <v>0</v>
          </cell>
          <cell r="AV6486">
            <v>0</v>
          </cell>
        </row>
        <row r="6487">
          <cell r="E6487" t="str">
            <v>B25015305</v>
          </cell>
          <cell r="AP6487">
            <v>0</v>
          </cell>
          <cell r="AQ6487">
            <v>0</v>
          </cell>
          <cell r="AV6487">
            <v>0</v>
          </cell>
        </row>
        <row r="6488">
          <cell r="E6488" t="str">
            <v>D25018115</v>
          </cell>
          <cell r="AP6488">
            <v>0</v>
          </cell>
          <cell r="AQ6488">
            <v>0</v>
          </cell>
          <cell r="AV6488">
            <v>0</v>
          </cell>
        </row>
        <row r="6489">
          <cell r="E6489" t="str">
            <v>D25018171</v>
          </cell>
          <cell r="AP6489">
            <v>0</v>
          </cell>
          <cell r="AQ6489">
            <v>0</v>
          </cell>
          <cell r="AV6489">
            <v>0</v>
          </cell>
        </row>
        <row r="6490">
          <cell r="E6490" t="str">
            <v>D25018568</v>
          </cell>
          <cell r="AP6490">
            <v>0</v>
          </cell>
          <cell r="AQ6490">
            <v>0</v>
          </cell>
          <cell r="AV6490">
            <v>0</v>
          </cell>
        </row>
        <row r="6491">
          <cell r="E6491" t="str">
            <v>D25019184</v>
          </cell>
          <cell r="AP6491">
            <v>0</v>
          </cell>
          <cell r="AQ6491">
            <v>0</v>
          </cell>
          <cell r="AV6491">
            <v>0</v>
          </cell>
        </row>
        <row r="6492">
          <cell r="E6492" t="str">
            <v>D25019476</v>
          </cell>
          <cell r="AP6492">
            <v>0</v>
          </cell>
          <cell r="AQ6492">
            <v>0</v>
          </cell>
          <cell r="AV6492">
            <v>0</v>
          </cell>
        </row>
        <row r="6493">
          <cell r="E6493" t="str">
            <v>D25019477</v>
          </cell>
          <cell r="AP6493">
            <v>0</v>
          </cell>
          <cell r="AQ6493">
            <v>0</v>
          </cell>
          <cell r="AV6493">
            <v>0</v>
          </cell>
        </row>
        <row r="6494">
          <cell r="E6494" t="str">
            <v>B25017143</v>
          </cell>
          <cell r="AP6494">
            <v>0</v>
          </cell>
          <cell r="AQ6494">
            <v>0</v>
          </cell>
          <cell r="AV6494">
            <v>0</v>
          </cell>
        </row>
        <row r="6495">
          <cell r="E6495" t="str">
            <v>D26000064</v>
          </cell>
          <cell r="AP6495">
            <v>0</v>
          </cell>
          <cell r="AQ6495">
            <v>0</v>
          </cell>
          <cell r="AV6495">
            <v>0</v>
          </cell>
        </row>
        <row r="6496">
          <cell r="E6496" t="str">
            <v>D26000065</v>
          </cell>
          <cell r="AP6496">
            <v>0</v>
          </cell>
          <cell r="AQ6496">
            <v>0</v>
          </cell>
          <cell r="AV6496">
            <v>0</v>
          </cell>
        </row>
        <row r="6497">
          <cell r="E6497" t="str">
            <v>D26002003</v>
          </cell>
          <cell r="AP6497">
            <v>0</v>
          </cell>
          <cell r="AQ6497">
            <v>0</v>
          </cell>
          <cell r="AV6497">
            <v>0</v>
          </cell>
        </row>
        <row r="6498">
          <cell r="E6498" t="str">
            <v>D26002039</v>
          </cell>
          <cell r="AP6498">
            <v>0</v>
          </cell>
          <cell r="AQ6498">
            <v>0</v>
          </cell>
          <cell r="AV6498">
            <v>0</v>
          </cell>
        </row>
        <row r="6499">
          <cell r="E6499" t="str">
            <v>T25001776</v>
          </cell>
          <cell r="AP6499">
            <v>0</v>
          </cell>
          <cell r="AQ6499">
            <v>0</v>
          </cell>
          <cell r="AV6499">
            <v>0</v>
          </cell>
        </row>
        <row r="6500">
          <cell r="E6500" t="str">
            <v>D26001920</v>
          </cell>
          <cell r="AP6500">
            <v>0</v>
          </cell>
          <cell r="AQ6500">
            <v>0</v>
          </cell>
          <cell r="AV6500">
            <v>12319000</v>
          </cell>
        </row>
        <row r="6501">
          <cell r="E6501" t="str">
            <v>Z25003112</v>
          </cell>
          <cell r="AP6501">
            <v>0</v>
          </cell>
          <cell r="AQ6501">
            <v>0</v>
          </cell>
          <cell r="AV6501">
            <v>23250000</v>
          </cell>
        </row>
        <row r="6502">
          <cell r="E6502" t="str">
            <v>Z26000017</v>
          </cell>
          <cell r="AP6502">
            <v>0</v>
          </cell>
          <cell r="AQ6502">
            <v>0</v>
          </cell>
          <cell r="AV6502">
            <v>0</v>
          </cell>
        </row>
        <row r="6503">
          <cell r="E6503" t="str">
            <v>Z26000181</v>
          </cell>
          <cell r="AP6503">
            <v>0</v>
          </cell>
          <cell r="AQ6503">
            <v>0</v>
          </cell>
          <cell r="AV6503">
            <v>8100000</v>
          </cell>
        </row>
        <row r="6504">
          <cell r="E6504" t="str">
            <v>Z26000182</v>
          </cell>
          <cell r="AP6504">
            <v>0</v>
          </cell>
          <cell r="AQ6504">
            <v>0</v>
          </cell>
          <cell r="AV6504">
            <v>5400000</v>
          </cell>
        </row>
        <row r="6505">
          <cell r="E6505" t="str">
            <v>Z26000298</v>
          </cell>
          <cell r="AP6505">
            <v>0</v>
          </cell>
          <cell r="AQ6505">
            <v>0</v>
          </cell>
          <cell r="AV6505">
            <v>7560000</v>
          </cell>
        </row>
        <row r="6506">
          <cell r="E6506" t="str">
            <v>Z26000389</v>
          </cell>
          <cell r="AP6506">
            <v>0</v>
          </cell>
          <cell r="AQ6506">
            <v>0</v>
          </cell>
          <cell r="AV6506">
            <v>0</v>
          </cell>
        </row>
        <row r="6507">
          <cell r="E6507" t="str">
            <v>B26000379</v>
          </cell>
          <cell r="AP6507">
            <v>0</v>
          </cell>
          <cell r="AQ6507">
            <v>0</v>
          </cell>
          <cell r="AV6507">
            <v>0</v>
          </cell>
        </row>
        <row r="6508">
          <cell r="E6508" t="str">
            <v>B26000451</v>
          </cell>
          <cell r="AP6508">
            <v>0</v>
          </cell>
          <cell r="AQ6508">
            <v>0</v>
          </cell>
          <cell r="AV6508">
            <v>0</v>
          </cell>
        </row>
        <row r="6509">
          <cell r="E6509" t="str">
            <v>B26000456</v>
          </cell>
          <cell r="AP6509">
            <v>0</v>
          </cell>
          <cell r="AQ6509">
            <v>0</v>
          </cell>
          <cell r="AV6509">
            <v>0</v>
          </cell>
        </row>
        <row r="6510">
          <cell r="E6510" t="str">
            <v>B26000707</v>
          </cell>
          <cell r="AP6510">
            <v>0</v>
          </cell>
          <cell r="AQ6510">
            <v>0</v>
          </cell>
          <cell r="AV6510">
            <v>0</v>
          </cell>
        </row>
        <row r="6511">
          <cell r="E6511" t="str">
            <v>B26001462</v>
          </cell>
          <cell r="AP6511">
            <v>0</v>
          </cell>
          <cell r="AQ6511">
            <v>0</v>
          </cell>
          <cell r="AV6511">
            <v>0</v>
          </cell>
        </row>
        <row r="6512">
          <cell r="E6512" t="str">
            <v>D26001560</v>
          </cell>
          <cell r="AP6512">
            <v>0</v>
          </cell>
          <cell r="AQ6512">
            <v>0</v>
          </cell>
          <cell r="AV6512">
            <v>0</v>
          </cell>
        </row>
        <row r="6513">
          <cell r="E6513" t="str">
            <v>D26002417</v>
          </cell>
          <cell r="AP6513">
            <v>0</v>
          </cell>
          <cell r="AQ6513">
            <v>0</v>
          </cell>
          <cell r="AV6513">
            <v>0</v>
          </cell>
        </row>
        <row r="6514">
          <cell r="E6514" t="str">
            <v>D26002418</v>
          </cell>
          <cell r="AP6514">
            <v>0</v>
          </cell>
          <cell r="AQ6514">
            <v>0</v>
          </cell>
          <cell r="AV6514">
            <v>0</v>
          </cell>
        </row>
        <row r="6515">
          <cell r="E6515" t="str">
            <v>D26002419</v>
          </cell>
          <cell r="AP6515">
            <v>0</v>
          </cell>
          <cell r="AQ6515">
            <v>0</v>
          </cell>
          <cell r="AV6515">
            <v>0</v>
          </cell>
        </row>
        <row r="6516">
          <cell r="E6516" t="str">
            <v>Z25003241</v>
          </cell>
          <cell r="AP6516">
            <v>0</v>
          </cell>
          <cell r="AQ6516">
            <v>0</v>
          </cell>
          <cell r="AV6516">
            <v>0</v>
          </cell>
        </row>
        <row r="6517">
          <cell r="E6517" t="str">
            <v>Z26000025</v>
          </cell>
          <cell r="AP6517">
            <v>0</v>
          </cell>
          <cell r="AQ6517">
            <v>0</v>
          </cell>
          <cell r="AV6517">
            <v>0</v>
          </cell>
        </row>
        <row r="6518">
          <cell r="E6518" t="str">
            <v>Z26000237</v>
          </cell>
          <cell r="AP6518">
            <v>0</v>
          </cell>
          <cell r="AQ6518">
            <v>0</v>
          </cell>
          <cell r="AV6518">
            <v>0</v>
          </cell>
        </row>
        <row r="6519">
          <cell r="E6519" t="str">
            <v>Z26000392</v>
          </cell>
          <cell r="AP6519">
            <v>0</v>
          </cell>
          <cell r="AQ6519">
            <v>0</v>
          </cell>
          <cell r="AV6519">
            <v>0</v>
          </cell>
        </row>
        <row r="6520">
          <cell r="E6520" t="str">
            <v>T26000156</v>
          </cell>
          <cell r="AP6520">
            <v>0</v>
          </cell>
          <cell r="AQ6520">
            <v>0</v>
          </cell>
          <cell r="AV6520">
            <v>0</v>
          </cell>
        </row>
        <row r="6521">
          <cell r="E6521" t="str">
            <v>T26000157</v>
          </cell>
          <cell r="AP6521">
            <v>0</v>
          </cell>
          <cell r="AQ6521">
            <v>0</v>
          </cell>
          <cell r="AV6521">
            <v>0</v>
          </cell>
        </row>
        <row r="6522">
          <cell r="E6522" t="str">
            <v>D25016736</v>
          </cell>
          <cell r="AP6522">
            <v>0</v>
          </cell>
          <cell r="AQ6522">
            <v>0</v>
          </cell>
          <cell r="AV6522">
            <v>0</v>
          </cell>
        </row>
        <row r="6523">
          <cell r="E6523" t="str">
            <v>D25016855</v>
          </cell>
          <cell r="AP6523">
            <v>0</v>
          </cell>
          <cell r="AQ6523">
            <v>0</v>
          </cell>
          <cell r="AV6523">
            <v>0</v>
          </cell>
        </row>
        <row r="6524">
          <cell r="E6524" t="str">
            <v>B25014592</v>
          </cell>
          <cell r="AP6524">
            <v>0</v>
          </cell>
          <cell r="AQ6524">
            <v>0</v>
          </cell>
          <cell r="AV6524">
            <v>0</v>
          </cell>
        </row>
        <row r="6525">
          <cell r="E6525" t="str">
            <v>D25016987</v>
          </cell>
          <cell r="AP6525">
            <v>0</v>
          </cell>
          <cell r="AQ6525">
            <v>0</v>
          </cell>
          <cell r="AV6525">
            <v>0</v>
          </cell>
        </row>
        <row r="6526">
          <cell r="E6526" t="str">
            <v>B25015156</v>
          </cell>
          <cell r="AP6526">
            <v>0</v>
          </cell>
          <cell r="AQ6526">
            <v>0</v>
          </cell>
          <cell r="AV6526">
            <v>0</v>
          </cell>
        </row>
        <row r="6527">
          <cell r="E6527" t="str">
            <v>D25017582</v>
          </cell>
          <cell r="AP6527">
            <v>0</v>
          </cell>
          <cell r="AQ6527">
            <v>0</v>
          </cell>
          <cell r="AV6527">
            <v>0</v>
          </cell>
        </row>
        <row r="6528">
          <cell r="E6528" t="str">
            <v>B25015225</v>
          </cell>
          <cell r="AP6528">
            <v>0</v>
          </cell>
          <cell r="AQ6528">
            <v>0</v>
          </cell>
          <cell r="AV6528">
            <v>0</v>
          </cell>
        </row>
        <row r="6529">
          <cell r="E6529" t="str">
            <v>D25017837</v>
          </cell>
          <cell r="AP6529">
            <v>0</v>
          </cell>
          <cell r="AQ6529">
            <v>0</v>
          </cell>
          <cell r="AV6529">
            <v>0</v>
          </cell>
        </row>
        <row r="6530">
          <cell r="E6530" t="str">
            <v>D25018210</v>
          </cell>
          <cell r="AP6530">
            <v>0</v>
          </cell>
          <cell r="AQ6530">
            <v>0</v>
          </cell>
          <cell r="AV6530">
            <v>0</v>
          </cell>
        </row>
        <row r="6531">
          <cell r="E6531" t="str">
            <v>B25016202</v>
          </cell>
          <cell r="AP6531">
            <v>0</v>
          </cell>
          <cell r="AQ6531">
            <v>0</v>
          </cell>
          <cell r="AV6531">
            <v>0</v>
          </cell>
        </row>
        <row r="6532">
          <cell r="E6532" t="str">
            <v>D25018685</v>
          </cell>
          <cell r="AP6532">
            <v>0</v>
          </cell>
          <cell r="AQ6532">
            <v>0</v>
          </cell>
          <cell r="AV6532">
            <v>0</v>
          </cell>
        </row>
        <row r="6533">
          <cell r="E6533" t="str">
            <v>D25018685</v>
          </cell>
          <cell r="AP6533">
            <v>0</v>
          </cell>
          <cell r="AQ6533">
            <v>0</v>
          </cell>
          <cell r="AV6533">
            <v>0</v>
          </cell>
        </row>
        <row r="6534">
          <cell r="E6534" t="str">
            <v>D25018685</v>
          </cell>
          <cell r="AP6534">
            <v>0</v>
          </cell>
          <cell r="AQ6534">
            <v>0</v>
          </cell>
          <cell r="AV6534">
            <v>0</v>
          </cell>
        </row>
        <row r="6535">
          <cell r="E6535" t="str">
            <v>D25018686</v>
          </cell>
          <cell r="AP6535">
            <v>0</v>
          </cell>
          <cell r="AQ6535">
            <v>0</v>
          </cell>
          <cell r="AV6535">
            <v>0</v>
          </cell>
        </row>
        <row r="6536">
          <cell r="E6536" t="str">
            <v>D25018979</v>
          </cell>
          <cell r="AP6536">
            <v>0</v>
          </cell>
          <cell r="AQ6536">
            <v>0</v>
          </cell>
          <cell r="AV6536">
            <v>0</v>
          </cell>
        </row>
        <row r="6537">
          <cell r="E6537" t="str">
            <v>B25016581</v>
          </cell>
          <cell r="AP6537">
            <v>0</v>
          </cell>
          <cell r="AQ6537">
            <v>0</v>
          </cell>
          <cell r="AV6537">
            <v>0</v>
          </cell>
        </row>
        <row r="6538">
          <cell r="E6538" t="str">
            <v>B25016605</v>
          </cell>
          <cell r="AP6538">
            <v>0</v>
          </cell>
          <cell r="AQ6538">
            <v>0</v>
          </cell>
          <cell r="AV6538">
            <v>0</v>
          </cell>
        </row>
        <row r="6539">
          <cell r="E6539" t="str">
            <v>D25019309</v>
          </cell>
          <cell r="AP6539">
            <v>0</v>
          </cell>
          <cell r="AQ6539">
            <v>0</v>
          </cell>
          <cell r="AV6539">
            <v>0</v>
          </cell>
        </row>
        <row r="6540">
          <cell r="E6540" t="str">
            <v>B25016921</v>
          </cell>
          <cell r="AP6540">
            <v>0</v>
          </cell>
          <cell r="AQ6540">
            <v>0</v>
          </cell>
          <cell r="AV6540">
            <v>0</v>
          </cell>
        </row>
        <row r="6541">
          <cell r="E6541" t="str">
            <v>B25016989</v>
          </cell>
          <cell r="AP6541">
            <v>0</v>
          </cell>
          <cell r="AQ6541">
            <v>0</v>
          </cell>
          <cell r="AV6541">
            <v>0</v>
          </cell>
        </row>
        <row r="6542">
          <cell r="E6542" t="str">
            <v>D25019644</v>
          </cell>
          <cell r="AP6542">
            <v>0</v>
          </cell>
          <cell r="AQ6542">
            <v>0</v>
          </cell>
          <cell r="AV6542">
            <v>0</v>
          </cell>
        </row>
        <row r="6543">
          <cell r="E6543" t="str">
            <v>B26000063</v>
          </cell>
          <cell r="AP6543">
            <v>0</v>
          </cell>
          <cell r="AQ6543">
            <v>0</v>
          </cell>
          <cell r="AV6543">
            <v>0</v>
          </cell>
        </row>
        <row r="6544">
          <cell r="E6544" t="str">
            <v>B26000309</v>
          </cell>
          <cell r="AP6544">
            <v>0</v>
          </cell>
          <cell r="AQ6544">
            <v>0</v>
          </cell>
          <cell r="AV6544">
            <v>0</v>
          </cell>
        </row>
        <row r="6545">
          <cell r="E6545" t="str">
            <v>B26000320</v>
          </cell>
          <cell r="AP6545">
            <v>0</v>
          </cell>
          <cell r="AQ6545">
            <v>0</v>
          </cell>
          <cell r="AV6545">
            <v>0</v>
          </cell>
        </row>
        <row r="6546">
          <cell r="E6546" t="str">
            <v>B26000492</v>
          </cell>
          <cell r="AP6546">
            <v>0</v>
          </cell>
          <cell r="AQ6546">
            <v>0</v>
          </cell>
          <cell r="AV6546">
            <v>0</v>
          </cell>
        </row>
        <row r="6547">
          <cell r="E6547" t="str">
            <v>B26000604</v>
          </cell>
          <cell r="AP6547">
            <v>0</v>
          </cell>
          <cell r="AQ6547">
            <v>0</v>
          </cell>
          <cell r="AV6547">
            <v>0</v>
          </cell>
        </row>
        <row r="6548">
          <cell r="E6548" t="str">
            <v>B26000732</v>
          </cell>
          <cell r="AP6548">
            <v>0</v>
          </cell>
          <cell r="AQ6548">
            <v>45240000</v>
          </cell>
          <cell r="AV6548">
            <v>0</v>
          </cell>
        </row>
        <row r="6549">
          <cell r="E6549" t="str">
            <v>B26001066</v>
          </cell>
          <cell r="AP6549">
            <v>0</v>
          </cell>
          <cell r="AQ6549">
            <v>14400000</v>
          </cell>
          <cell r="AV6549">
            <v>0</v>
          </cell>
        </row>
        <row r="6550">
          <cell r="E6550" t="str">
            <v>B26001148</v>
          </cell>
          <cell r="AP6550">
            <v>0</v>
          </cell>
          <cell r="AQ6550">
            <v>134375000</v>
          </cell>
          <cell r="AV6550">
            <v>0</v>
          </cell>
        </row>
        <row r="6551">
          <cell r="E6551" t="str">
            <v>B26001443</v>
          </cell>
          <cell r="AP6551">
            <v>0</v>
          </cell>
          <cell r="AQ6551">
            <v>20375000</v>
          </cell>
          <cell r="AV6551">
            <v>0</v>
          </cell>
        </row>
        <row r="6552">
          <cell r="E6552" t="str">
            <v>B26001443</v>
          </cell>
          <cell r="AP6552">
            <v>0</v>
          </cell>
          <cell r="AQ6552">
            <v>112125000</v>
          </cell>
          <cell r="AV6552">
            <v>0</v>
          </cell>
        </row>
        <row r="6553">
          <cell r="E6553" t="str">
            <v>B26001448</v>
          </cell>
          <cell r="AP6553">
            <v>0</v>
          </cell>
          <cell r="AQ6553">
            <v>20375000</v>
          </cell>
          <cell r="AV6553">
            <v>0</v>
          </cell>
        </row>
        <row r="6554">
          <cell r="E6554" t="str">
            <v>B26001465</v>
          </cell>
          <cell r="AP6554">
            <v>0</v>
          </cell>
          <cell r="AQ6554">
            <v>0</v>
          </cell>
          <cell r="AV6554">
            <v>132000000</v>
          </cell>
        </row>
        <row r="6555">
          <cell r="E6555" t="str">
            <v>B26001750</v>
          </cell>
          <cell r="AP6555">
            <v>0</v>
          </cell>
          <cell r="AQ6555">
            <v>27280000</v>
          </cell>
          <cell r="AV6555">
            <v>0</v>
          </cell>
        </row>
        <row r="6556">
          <cell r="E6556" t="str">
            <v>D26002090</v>
          </cell>
          <cell r="AP6556">
            <v>0</v>
          </cell>
          <cell r="AQ6556">
            <v>0</v>
          </cell>
          <cell r="AV6556">
            <v>0</v>
          </cell>
        </row>
        <row r="6557">
          <cell r="E6557" t="str">
            <v>D26002117</v>
          </cell>
          <cell r="AP6557">
            <v>0</v>
          </cell>
          <cell r="AQ6557">
            <v>0</v>
          </cell>
          <cell r="AV6557">
            <v>0</v>
          </cell>
        </row>
        <row r="6558">
          <cell r="E6558" t="str">
            <v>D26002129</v>
          </cell>
          <cell r="AP6558">
            <v>0</v>
          </cell>
          <cell r="AQ6558">
            <v>0</v>
          </cell>
          <cell r="AV6558">
            <v>0</v>
          </cell>
        </row>
        <row r="6559">
          <cell r="E6559" t="str">
            <v>D26002141</v>
          </cell>
          <cell r="AP6559">
            <v>0</v>
          </cell>
          <cell r="AQ6559">
            <v>0</v>
          </cell>
          <cell r="AV6559">
            <v>0</v>
          </cell>
        </row>
        <row r="6560">
          <cell r="E6560" t="str">
            <v>B26002079</v>
          </cell>
          <cell r="AP6560">
            <v>0</v>
          </cell>
          <cell r="AQ6560">
            <v>0</v>
          </cell>
          <cell r="AV6560">
            <v>0</v>
          </cell>
        </row>
        <row r="6561">
          <cell r="E6561" t="str">
            <v>D26002287</v>
          </cell>
          <cell r="AP6561">
            <v>0</v>
          </cell>
          <cell r="AQ6561">
            <v>0</v>
          </cell>
          <cell r="AV6561">
            <v>0</v>
          </cell>
        </row>
        <row r="6562">
          <cell r="E6562" t="str">
            <v>D26002288</v>
          </cell>
          <cell r="AP6562">
            <v>0</v>
          </cell>
          <cell r="AQ6562">
            <v>0</v>
          </cell>
          <cell r="AV6562">
            <v>0</v>
          </cell>
        </row>
        <row r="6563">
          <cell r="E6563" t="str">
            <v>B26002177</v>
          </cell>
          <cell r="AP6563">
            <v>0</v>
          </cell>
          <cell r="AQ6563">
            <v>0</v>
          </cell>
          <cell r="AV6563">
            <v>0</v>
          </cell>
        </row>
        <row r="6564">
          <cell r="E6564" t="str">
            <v>D26002321</v>
          </cell>
          <cell r="AP6564">
            <v>0</v>
          </cell>
          <cell r="AQ6564">
            <v>0</v>
          </cell>
          <cell r="AV6564">
            <v>0</v>
          </cell>
        </row>
        <row r="6565">
          <cell r="E6565" t="str">
            <v>D26002327</v>
          </cell>
          <cell r="AP6565">
            <v>0</v>
          </cell>
          <cell r="AQ6565">
            <v>0</v>
          </cell>
          <cell r="AV6565">
            <v>0</v>
          </cell>
        </row>
        <row r="6566">
          <cell r="E6566" t="str">
            <v>B26002203</v>
          </cell>
          <cell r="AP6566">
            <v>0</v>
          </cell>
          <cell r="AQ6566">
            <v>0</v>
          </cell>
          <cell r="AV6566">
            <v>0</v>
          </cell>
        </row>
        <row r="6567">
          <cell r="E6567" t="str">
            <v>B26002235</v>
          </cell>
          <cell r="AP6567">
            <v>0</v>
          </cell>
          <cell r="AQ6567">
            <v>0</v>
          </cell>
          <cell r="AV6567">
            <v>0</v>
          </cell>
        </row>
        <row r="6568">
          <cell r="E6568" t="str">
            <v>D26000278</v>
          </cell>
          <cell r="AP6568">
            <v>0</v>
          </cell>
          <cell r="AQ6568">
            <v>0</v>
          </cell>
          <cell r="AV6568">
            <v>0</v>
          </cell>
        </row>
        <row r="6569">
          <cell r="E6569" t="str">
            <v>D26000279</v>
          </cell>
          <cell r="AP6569">
            <v>0</v>
          </cell>
          <cell r="AQ6569">
            <v>0</v>
          </cell>
          <cell r="AV6569">
            <v>0</v>
          </cell>
        </row>
        <row r="6570">
          <cell r="E6570" t="str">
            <v>D26000894</v>
          </cell>
          <cell r="AP6570">
            <v>0</v>
          </cell>
          <cell r="AQ6570">
            <v>0</v>
          </cell>
          <cell r="AV6570">
            <v>0</v>
          </cell>
        </row>
        <row r="6571">
          <cell r="E6571" t="str">
            <v>B26001850</v>
          </cell>
          <cell r="AP6571">
            <v>0</v>
          </cell>
          <cell r="AQ6571">
            <v>0</v>
          </cell>
          <cell r="AV6571">
            <v>0</v>
          </cell>
        </row>
        <row r="6572">
          <cell r="E6572" t="str">
            <v>D26001986</v>
          </cell>
          <cell r="AP6572">
            <v>0</v>
          </cell>
          <cell r="AQ6572">
            <v>0</v>
          </cell>
          <cell r="AV6572">
            <v>0</v>
          </cell>
        </row>
        <row r="6573">
          <cell r="E6573" t="str">
            <v>B26002208</v>
          </cell>
          <cell r="AP6573">
            <v>0</v>
          </cell>
          <cell r="AQ6573">
            <v>0</v>
          </cell>
          <cell r="AV6573">
            <v>0</v>
          </cell>
        </row>
        <row r="6574">
          <cell r="E6574" t="str">
            <v>T26000162</v>
          </cell>
          <cell r="AP6574">
            <v>0</v>
          </cell>
          <cell r="AQ6574">
            <v>0</v>
          </cell>
          <cell r="AV6574">
            <v>0</v>
          </cell>
        </row>
        <row r="6575">
          <cell r="E6575" t="str">
            <v>D26001666</v>
          </cell>
          <cell r="AP6575">
            <v>0</v>
          </cell>
          <cell r="AQ6575">
            <v>0</v>
          </cell>
          <cell r="AV6575">
            <v>0</v>
          </cell>
        </row>
        <row r="6576">
          <cell r="E6576" t="str">
            <v>B26001949</v>
          </cell>
          <cell r="AP6576">
            <v>0</v>
          </cell>
          <cell r="AQ6576">
            <v>0</v>
          </cell>
          <cell r="AV6576">
            <v>1870000</v>
          </cell>
        </row>
        <row r="6577">
          <cell r="E6577" t="str">
            <v>D26002086</v>
          </cell>
          <cell r="AP6577">
            <v>0</v>
          </cell>
          <cell r="AQ6577">
            <v>0</v>
          </cell>
          <cell r="AV6577">
            <v>8255000</v>
          </cell>
        </row>
        <row r="6578">
          <cell r="E6578" t="str">
            <v>R25000016</v>
          </cell>
          <cell r="AP6578">
            <v>0</v>
          </cell>
          <cell r="AQ6578">
            <v>0</v>
          </cell>
          <cell r="AV6578">
            <v>0</v>
          </cell>
        </row>
        <row r="6579">
          <cell r="E6579" t="str">
            <v>T25001692</v>
          </cell>
          <cell r="AP6579">
            <v>0</v>
          </cell>
          <cell r="AQ6579">
            <v>0</v>
          </cell>
          <cell r="AV6579">
            <v>2000000</v>
          </cell>
        </row>
        <row r="6580">
          <cell r="E6580" t="str">
            <v>B26000594</v>
          </cell>
          <cell r="AP6580">
            <v>0</v>
          </cell>
          <cell r="AQ6580">
            <v>0</v>
          </cell>
          <cell r="AV6580">
            <v>0</v>
          </cell>
        </row>
        <row r="6581">
          <cell r="E6581" t="str">
            <v>B26000595</v>
          </cell>
          <cell r="AP6581">
            <v>0</v>
          </cell>
          <cell r="AQ6581">
            <v>0</v>
          </cell>
          <cell r="AV6581">
            <v>0</v>
          </cell>
        </row>
        <row r="6582">
          <cell r="E6582" t="str">
            <v>D26000651</v>
          </cell>
          <cell r="AP6582">
            <v>0</v>
          </cell>
          <cell r="AQ6582">
            <v>0</v>
          </cell>
          <cell r="AV6582">
            <v>0</v>
          </cell>
        </row>
        <row r="6583">
          <cell r="E6583" t="str">
            <v>T25001865</v>
          </cell>
          <cell r="AP6583">
            <v>0</v>
          </cell>
          <cell r="AQ6583">
            <v>0</v>
          </cell>
          <cell r="AV6583">
            <v>0</v>
          </cell>
        </row>
        <row r="6584">
          <cell r="E6584" t="str">
            <v>T25001353</v>
          </cell>
          <cell r="AP6584">
            <v>0</v>
          </cell>
          <cell r="AQ6584">
            <v>0</v>
          </cell>
          <cell r="AV6584">
            <v>4400000</v>
          </cell>
        </row>
        <row r="6585">
          <cell r="E6585" t="str">
            <v>D26000819</v>
          </cell>
          <cell r="AP6585">
            <v>0</v>
          </cell>
          <cell r="AQ6585">
            <v>0</v>
          </cell>
          <cell r="AV6585">
            <v>2250000</v>
          </cell>
        </row>
        <row r="6586">
          <cell r="E6586" t="str">
            <v>D26001152</v>
          </cell>
          <cell r="AP6586">
            <v>0</v>
          </cell>
          <cell r="AQ6586">
            <v>0</v>
          </cell>
          <cell r="AV6586">
            <v>1710000</v>
          </cell>
        </row>
        <row r="6587">
          <cell r="E6587" t="str">
            <v>D26001634</v>
          </cell>
          <cell r="AP6587">
            <v>0</v>
          </cell>
          <cell r="AQ6587">
            <v>0</v>
          </cell>
          <cell r="AV6587">
            <v>20850000</v>
          </cell>
        </row>
        <row r="6588">
          <cell r="E6588" t="str">
            <v>B26002023</v>
          </cell>
          <cell r="AP6588">
            <v>0</v>
          </cell>
          <cell r="AQ6588">
            <v>0</v>
          </cell>
          <cell r="AV6588">
            <v>9300000</v>
          </cell>
        </row>
        <row r="6589">
          <cell r="E6589" t="str">
            <v>D26002325</v>
          </cell>
          <cell r="AP6589">
            <v>0</v>
          </cell>
          <cell r="AQ6589">
            <v>0</v>
          </cell>
          <cell r="AV6589">
            <v>19600000</v>
          </cell>
        </row>
        <row r="6590">
          <cell r="E6590" t="str">
            <v>B26002233</v>
          </cell>
          <cell r="AP6590">
            <v>0</v>
          </cell>
          <cell r="AQ6590">
            <v>0</v>
          </cell>
          <cell r="AV6590">
            <v>0</v>
          </cell>
        </row>
        <row r="6591">
          <cell r="E6591" t="str">
            <v>B26002236</v>
          </cell>
          <cell r="AP6591">
            <v>0</v>
          </cell>
          <cell r="AQ6591">
            <v>0</v>
          </cell>
          <cell r="AV6591">
            <v>0</v>
          </cell>
        </row>
        <row r="6592">
          <cell r="E6592" t="str">
            <v>T25001625</v>
          </cell>
          <cell r="AP6592">
            <v>0</v>
          </cell>
          <cell r="AQ6592">
            <v>0</v>
          </cell>
          <cell r="AV6592">
            <v>1880000</v>
          </cell>
        </row>
        <row r="6593">
          <cell r="E6593" t="str">
            <v>D25019383</v>
          </cell>
          <cell r="AP6593">
            <v>0</v>
          </cell>
          <cell r="AQ6593">
            <v>0</v>
          </cell>
          <cell r="AV6593">
            <v>0</v>
          </cell>
        </row>
        <row r="6594">
          <cell r="E6594" t="str">
            <v>B26002149</v>
          </cell>
          <cell r="AP6594">
            <v>0</v>
          </cell>
          <cell r="AQ6594">
            <v>0</v>
          </cell>
          <cell r="AV6594">
            <v>5490000</v>
          </cell>
        </row>
        <row r="6595">
          <cell r="E6595" t="str">
            <v>B26002284</v>
          </cell>
          <cell r="AP6595">
            <v>0</v>
          </cell>
          <cell r="AQ6595">
            <v>0</v>
          </cell>
          <cell r="AV6595">
            <v>0</v>
          </cell>
        </row>
        <row r="6596">
          <cell r="E6596" t="str">
            <v>T26000088k</v>
          </cell>
          <cell r="AP6596">
            <v>0</v>
          </cell>
          <cell r="AQ6596">
            <v>0</v>
          </cell>
          <cell r="AV6596">
            <v>0</v>
          </cell>
        </row>
        <row r="6597">
          <cell r="E6597" t="str">
            <v>B26001517</v>
          </cell>
          <cell r="AP6597">
            <v>0</v>
          </cell>
          <cell r="AQ6597">
            <v>0</v>
          </cell>
          <cell r="AV6597">
            <v>0</v>
          </cell>
        </row>
        <row r="6598">
          <cell r="E6598" t="str">
            <v>D26001837</v>
          </cell>
          <cell r="AP6598">
            <v>0</v>
          </cell>
          <cell r="AQ6598">
            <v>0</v>
          </cell>
          <cell r="AV6598">
            <v>10400000</v>
          </cell>
        </row>
        <row r="6599">
          <cell r="E6599" t="str">
            <v>B26002042</v>
          </cell>
          <cell r="AP6599">
            <v>0</v>
          </cell>
          <cell r="AQ6599">
            <v>0</v>
          </cell>
          <cell r="AV6599">
            <v>33600000</v>
          </cell>
        </row>
        <row r="6600">
          <cell r="E6600" t="str">
            <v>D25018177</v>
          </cell>
          <cell r="AP6600">
            <v>0</v>
          </cell>
          <cell r="AQ6600">
            <v>0</v>
          </cell>
          <cell r="AV6600">
            <v>1840000</v>
          </cell>
        </row>
        <row r="6601">
          <cell r="E6601" t="str">
            <v>D25018834</v>
          </cell>
          <cell r="AP6601">
            <v>0</v>
          </cell>
          <cell r="AQ6601">
            <v>0</v>
          </cell>
          <cell r="AV6601">
            <v>4660000</v>
          </cell>
        </row>
        <row r="6602">
          <cell r="E6602" t="str">
            <v>D26000282</v>
          </cell>
          <cell r="AP6602">
            <v>0</v>
          </cell>
          <cell r="AQ6602">
            <v>0</v>
          </cell>
          <cell r="AV6602">
            <v>0</v>
          </cell>
        </row>
        <row r="6603">
          <cell r="E6603" t="str">
            <v>B26001778</v>
          </cell>
          <cell r="AP6603">
            <v>0</v>
          </cell>
          <cell r="AQ6603">
            <v>0</v>
          </cell>
          <cell r="AV6603">
            <v>2340000</v>
          </cell>
        </row>
        <row r="6604">
          <cell r="E6604" t="str">
            <v>B26001783</v>
          </cell>
          <cell r="AP6604">
            <v>0</v>
          </cell>
          <cell r="AQ6604">
            <v>0</v>
          </cell>
          <cell r="AV6604">
            <v>1040000</v>
          </cell>
        </row>
        <row r="6605">
          <cell r="E6605" t="str">
            <v>B26000043</v>
          </cell>
          <cell r="AP6605">
            <v>0</v>
          </cell>
          <cell r="AQ6605">
            <v>0</v>
          </cell>
          <cell r="AV6605">
            <v>0</v>
          </cell>
        </row>
        <row r="6606">
          <cell r="E6606" t="str">
            <v>B26000045</v>
          </cell>
          <cell r="AP6606">
            <v>0</v>
          </cell>
          <cell r="AQ6606">
            <v>0</v>
          </cell>
          <cell r="AV6606">
            <v>0</v>
          </cell>
        </row>
        <row r="6607">
          <cell r="E6607" t="str">
            <v>C26000008</v>
          </cell>
          <cell r="AP6607">
            <v>0</v>
          </cell>
          <cell r="AQ6607">
            <v>0</v>
          </cell>
          <cell r="AV6607">
            <v>0</v>
          </cell>
        </row>
        <row r="6608">
          <cell r="E6608" t="str">
            <v>B26000446</v>
          </cell>
          <cell r="AP6608">
            <v>0</v>
          </cell>
          <cell r="AQ6608">
            <v>0</v>
          </cell>
          <cell r="AV6608">
            <v>0</v>
          </cell>
        </row>
        <row r="6609">
          <cell r="E6609" t="str">
            <v>D26000516</v>
          </cell>
          <cell r="AP6609">
            <v>0</v>
          </cell>
          <cell r="AQ6609">
            <v>0</v>
          </cell>
          <cell r="AV6609">
            <v>0</v>
          </cell>
        </row>
        <row r="6610">
          <cell r="E6610" t="str">
            <v>B26000246</v>
          </cell>
          <cell r="AP6610">
            <v>0</v>
          </cell>
          <cell r="AQ6610">
            <v>0</v>
          </cell>
          <cell r="AV6610">
            <v>0</v>
          </cell>
        </row>
        <row r="6611">
          <cell r="E6611" t="str">
            <v>B26000247</v>
          </cell>
          <cell r="AP6611">
            <v>0</v>
          </cell>
          <cell r="AQ6611">
            <v>0</v>
          </cell>
          <cell r="AV6611">
            <v>4680000</v>
          </cell>
        </row>
        <row r="6612">
          <cell r="E6612" t="str">
            <v>D26001546</v>
          </cell>
          <cell r="AP6612">
            <v>0</v>
          </cell>
          <cell r="AQ6612">
            <v>0</v>
          </cell>
          <cell r="AV6612">
            <v>0</v>
          </cell>
        </row>
        <row r="6613">
          <cell r="E6613" t="str">
            <v>B25014156</v>
          </cell>
          <cell r="AP6613">
            <v>0</v>
          </cell>
          <cell r="AQ6613">
            <v>0</v>
          </cell>
          <cell r="AV6613">
            <v>1920000</v>
          </cell>
        </row>
        <row r="6614">
          <cell r="E6614" t="str">
            <v>D25018044</v>
          </cell>
          <cell r="AP6614">
            <v>0</v>
          </cell>
          <cell r="AQ6614">
            <v>0</v>
          </cell>
          <cell r="AV6614">
            <v>9608400</v>
          </cell>
        </row>
        <row r="6615">
          <cell r="E6615" t="str">
            <v>B25015992</v>
          </cell>
          <cell r="AP6615">
            <v>0</v>
          </cell>
          <cell r="AQ6615">
            <v>0</v>
          </cell>
          <cell r="AV6615">
            <v>8471600</v>
          </cell>
        </row>
        <row r="6616">
          <cell r="E6616" t="str">
            <v>B25015992</v>
          </cell>
          <cell r="AP6616">
            <v>0</v>
          </cell>
          <cell r="AQ6616">
            <v>0</v>
          </cell>
          <cell r="AV6616">
            <v>1199900</v>
          </cell>
        </row>
        <row r="6617">
          <cell r="E6617" t="str">
            <v>B25016085</v>
          </cell>
          <cell r="AP6617">
            <v>0</v>
          </cell>
          <cell r="AQ6617">
            <v>0</v>
          </cell>
          <cell r="AV6617">
            <v>4087500</v>
          </cell>
        </row>
        <row r="6618">
          <cell r="E6618" t="str">
            <v>D25018873</v>
          </cell>
          <cell r="AP6618">
            <v>0</v>
          </cell>
          <cell r="AQ6618">
            <v>0</v>
          </cell>
          <cell r="AV6618">
            <v>14712600</v>
          </cell>
        </row>
        <row r="6619">
          <cell r="E6619" t="str">
            <v>D25018889</v>
          </cell>
          <cell r="AP6619">
            <v>0</v>
          </cell>
          <cell r="AQ6619">
            <v>0</v>
          </cell>
          <cell r="AV6619">
            <v>0</v>
          </cell>
        </row>
        <row r="6620">
          <cell r="E6620" t="str">
            <v>D25019527</v>
          </cell>
          <cell r="AP6620">
            <v>0</v>
          </cell>
          <cell r="AQ6620">
            <v>0</v>
          </cell>
          <cell r="AV6620">
            <v>0</v>
          </cell>
        </row>
        <row r="6621">
          <cell r="E6621" t="str">
            <v>D25019528</v>
          </cell>
          <cell r="AP6621">
            <v>0</v>
          </cell>
          <cell r="AQ6621">
            <v>0</v>
          </cell>
          <cell r="AV6621">
            <v>0</v>
          </cell>
        </row>
        <row r="6622">
          <cell r="E6622" t="str">
            <v>D25019529</v>
          </cell>
          <cell r="AP6622">
            <v>0</v>
          </cell>
          <cell r="AQ6622">
            <v>0</v>
          </cell>
          <cell r="AV6622">
            <v>0</v>
          </cell>
        </row>
        <row r="6623">
          <cell r="E6623" t="str">
            <v>B26001458</v>
          </cell>
          <cell r="AP6623">
            <v>0</v>
          </cell>
          <cell r="AQ6623">
            <v>0</v>
          </cell>
          <cell r="AV6623">
            <v>19400000</v>
          </cell>
        </row>
        <row r="6624">
          <cell r="E6624" t="str">
            <v>B25015024</v>
          </cell>
          <cell r="AP6624">
            <v>0</v>
          </cell>
          <cell r="AQ6624">
            <v>0</v>
          </cell>
          <cell r="AV6624">
            <v>37550000</v>
          </cell>
        </row>
        <row r="6625">
          <cell r="E6625">
            <v>250197</v>
          </cell>
          <cell r="AP6625">
            <v>0</v>
          </cell>
          <cell r="AQ6625">
            <v>0</v>
          </cell>
          <cell r="AV6625">
            <v>0</v>
          </cell>
        </row>
        <row r="6626">
          <cell r="E6626">
            <v>250198</v>
          </cell>
          <cell r="AP6626">
            <v>0</v>
          </cell>
          <cell r="AQ6626">
            <v>0</v>
          </cell>
          <cell r="AV6626">
            <v>0</v>
          </cell>
        </row>
        <row r="6627">
          <cell r="E6627" t="str">
            <v>D25018478</v>
          </cell>
          <cell r="AP6627">
            <v>0</v>
          </cell>
          <cell r="AQ6627">
            <v>0</v>
          </cell>
          <cell r="AV6627">
            <v>96000000</v>
          </cell>
        </row>
        <row r="6628">
          <cell r="E6628" t="str">
            <v>D26000491</v>
          </cell>
          <cell r="AP6628">
            <v>0</v>
          </cell>
          <cell r="AQ6628">
            <v>0</v>
          </cell>
          <cell r="AV6628">
            <v>0</v>
          </cell>
        </row>
        <row r="6629">
          <cell r="E6629" t="str">
            <v>D26000947</v>
          </cell>
          <cell r="AP6629">
            <v>0</v>
          </cell>
          <cell r="AQ6629">
            <v>0</v>
          </cell>
          <cell r="AV6629">
            <v>0</v>
          </cell>
        </row>
        <row r="6630">
          <cell r="E6630" t="str">
            <v>D26000987</v>
          </cell>
          <cell r="AP6630">
            <v>0</v>
          </cell>
          <cell r="AQ6630">
            <v>0</v>
          </cell>
          <cell r="AV6630">
            <v>0</v>
          </cell>
        </row>
        <row r="6631">
          <cell r="E6631" t="str">
            <v>D26001963</v>
          </cell>
          <cell r="AP6631">
            <v>0</v>
          </cell>
          <cell r="AQ6631">
            <v>0</v>
          </cell>
          <cell r="AV6631">
            <v>0</v>
          </cell>
        </row>
        <row r="6632">
          <cell r="E6632" t="str">
            <v>B26001280</v>
          </cell>
          <cell r="AP6632">
            <v>0</v>
          </cell>
          <cell r="AQ6632">
            <v>0</v>
          </cell>
          <cell r="AV6632">
            <v>0</v>
          </cell>
        </row>
        <row r="6633">
          <cell r="E6633" t="str">
            <v>B26000884</v>
          </cell>
          <cell r="AP6633">
            <v>0</v>
          </cell>
          <cell r="AQ6633">
            <v>0</v>
          </cell>
          <cell r="AV6633">
            <v>0</v>
          </cell>
        </row>
        <row r="6634">
          <cell r="E6634" t="str">
            <v>B26001284</v>
          </cell>
          <cell r="AP6634">
            <v>0</v>
          </cell>
          <cell r="AQ6634">
            <v>0</v>
          </cell>
          <cell r="AV6634">
            <v>0</v>
          </cell>
        </row>
        <row r="6635">
          <cell r="E6635" t="str">
            <v>B26000116</v>
          </cell>
          <cell r="AP6635">
            <v>0</v>
          </cell>
          <cell r="AQ6635">
            <v>0</v>
          </cell>
          <cell r="AV6635">
            <v>1665000</v>
          </cell>
        </row>
        <row r="6636">
          <cell r="E6636" t="str">
            <v>B26000168</v>
          </cell>
          <cell r="AP6636">
            <v>0</v>
          </cell>
          <cell r="AQ6636">
            <v>0</v>
          </cell>
          <cell r="AV6636">
            <v>0</v>
          </cell>
        </row>
        <row r="6637">
          <cell r="E6637" t="str">
            <v>B26000499</v>
          </cell>
          <cell r="AP6637">
            <v>0</v>
          </cell>
          <cell r="AQ6637">
            <v>0</v>
          </cell>
          <cell r="AV6637">
            <v>0</v>
          </cell>
        </row>
        <row r="6638">
          <cell r="E6638" t="str">
            <v>B26000500</v>
          </cell>
          <cell r="AP6638">
            <v>0</v>
          </cell>
          <cell r="AQ6638">
            <v>0</v>
          </cell>
          <cell r="AV6638">
            <v>0</v>
          </cell>
        </row>
        <row r="6639">
          <cell r="E6639" t="str">
            <v>B26000507</v>
          </cell>
          <cell r="AP6639">
            <v>0</v>
          </cell>
          <cell r="AQ6639">
            <v>0</v>
          </cell>
          <cell r="AV6639">
            <v>0</v>
          </cell>
        </row>
        <row r="6640">
          <cell r="E6640" t="str">
            <v>B26000890</v>
          </cell>
          <cell r="AP6640">
            <v>0</v>
          </cell>
          <cell r="AQ6640">
            <v>0</v>
          </cell>
          <cell r="AV6640">
            <v>0</v>
          </cell>
        </row>
        <row r="6641">
          <cell r="E6641" t="str">
            <v>D26001435</v>
          </cell>
          <cell r="AP6641">
            <v>0</v>
          </cell>
          <cell r="AQ6641">
            <v>0</v>
          </cell>
          <cell r="AV6641">
            <v>0</v>
          </cell>
        </row>
        <row r="6642">
          <cell r="E6642" t="str">
            <v>D26001660</v>
          </cell>
          <cell r="AP6642">
            <v>0</v>
          </cell>
          <cell r="AQ6642">
            <v>0</v>
          </cell>
          <cell r="AV6642">
            <v>0</v>
          </cell>
        </row>
        <row r="6643">
          <cell r="E6643" t="str">
            <v>B26001842</v>
          </cell>
          <cell r="AP6643">
            <v>0</v>
          </cell>
          <cell r="AQ6643">
            <v>0</v>
          </cell>
          <cell r="AV6643">
            <v>0</v>
          </cell>
        </row>
        <row r="6644">
          <cell r="E6644" t="str">
            <v>B26001999</v>
          </cell>
          <cell r="AP6644">
            <v>0</v>
          </cell>
          <cell r="AQ6644">
            <v>0</v>
          </cell>
          <cell r="AV6644">
            <v>0</v>
          </cell>
        </row>
        <row r="6645">
          <cell r="E6645" t="str">
            <v>D26000785</v>
          </cell>
          <cell r="AP6645">
            <v>0</v>
          </cell>
          <cell r="AQ6645">
            <v>0</v>
          </cell>
          <cell r="AV6645">
            <v>0</v>
          </cell>
        </row>
        <row r="6646">
          <cell r="E6646" t="str">
            <v>B25014926</v>
          </cell>
          <cell r="AP6646">
            <v>0</v>
          </cell>
          <cell r="AQ6646">
            <v>0</v>
          </cell>
          <cell r="AV6646">
            <v>10000000</v>
          </cell>
        </row>
        <row r="6647">
          <cell r="E6647" t="str">
            <v>B25015763</v>
          </cell>
          <cell r="AP6647">
            <v>0</v>
          </cell>
          <cell r="AQ6647">
            <v>0</v>
          </cell>
          <cell r="AV6647">
            <v>0</v>
          </cell>
        </row>
        <row r="6648">
          <cell r="E6648" t="str">
            <v>B25015927</v>
          </cell>
          <cell r="AP6648">
            <v>0</v>
          </cell>
          <cell r="AQ6648">
            <v>0</v>
          </cell>
          <cell r="AV6648">
            <v>5000000</v>
          </cell>
        </row>
        <row r="6649">
          <cell r="E6649" t="str">
            <v>D25018368</v>
          </cell>
          <cell r="AP6649">
            <v>0</v>
          </cell>
          <cell r="AQ6649">
            <v>0</v>
          </cell>
          <cell r="AV6649">
            <v>8155000</v>
          </cell>
        </row>
        <row r="6650">
          <cell r="E6650" t="str">
            <v>D25019001</v>
          </cell>
          <cell r="AP6650">
            <v>0</v>
          </cell>
          <cell r="AQ6650">
            <v>0</v>
          </cell>
          <cell r="AV6650">
            <v>0</v>
          </cell>
        </row>
        <row r="6651">
          <cell r="E6651" t="str">
            <v>D25019019</v>
          </cell>
          <cell r="AP6651">
            <v>0</v>
          </cell>
          <cell r="AQ6651">
            <v>0</v>
          </cell>
          <cell r="AV6651">
            <v>0</v>
          </cell>
        </row>
        <row r="6652">
          <cell r="E6652" t="str">
            <v>D25019440</v>
          </cell>
          <cell r="AP6652">
            <v>0</v>
          </cell>
          <cell r="AQ6652">
            <v>0</v>
          </cell>
          <cell r="AV6652">
            <v>0</v>
          </cell>
        </row>
        <row r="6653">
          <cell r="E6653" t="str">
            <v>B25016982</v>
          </cell>
          <cell r="AP6653">
            <v>0</v>
          </cell>
          <cell r="AQ6653">
            <v>0</v>
          </cell>
          <cell r="AV6653">
            <v>0</v>
          </cell>
        </row>
        <row r="6654">
          <cell r="E6654" t="str">
            <v>D25019587</v>
          </cell>
          <cell r="AP6654">
            <v>0</v>
          </cell>
          <cell r="AQ6654">
            <v>0</v>
          </cell>
          <cell r="AV6654">
            <v>0</v>
          </cell>
        </row>
        <row r="6655">
          <cell r="E6655" t="str">
            <v>B26000022</v>
          </cell>
          <cell r="AP6655">
            <v>0</v>
          </cell>
          <cell r="AQ6655">
            <v>0</v>
          </cell>
          <cell r="AV6655">
            <v>0</v>
          </cell>
        </row>
        <row r="6656">
          <cell r="E6656" t="str">
            <v>D26000091</v>
          </cell>
          <cell r="AP6656">
            <v>0</v>
          </cell>
          <cell r="AQ6656">
            <v>0</v>
          </cell>
          <cell r="AV6656">
            <v>0</v>
          </cell>
        </row>
        <row r="6657">
          <cell r="E6657" t="str">
            <v>B26000175</v>
          </cell>
          <cell r="AP6657">
            <v>0</v>
          </cell>
          <cell r="AQ6657">
            <v>0</v>
          </cell>
          <cell r="AV6657">
            <v>0</v>
          </cell>
        </row>
        <row r="6658">
          <cell r="E6658" t="str">
            <v>D26000626</v>
          </cell>
          <cell r="AP6658">
            <v>0</v>
          </cell>
          <cell r="AQ6658">
            <v>0</v>
          </cell>
          <cell r="AV6658">
            <v>0</v>
          </cell>
        </row>
        <row r="6659">
          <cell r="E6659" t="str">
            <v>D26001467</v>
          </cell>
          <cell r="AP6659">
            <v>0</v>
          </cell>
          <cell r="AQ6659">
            <v>0</v>
          </cell>
          <cell r="AV6659">
            <v>0</v>
          </cell>
        </row>
        <row r="6660">
          <cell r="E6660" t="str">
            <v>B26001668</v>
          </cell>
          <cell r="AP6660">
            <v>0</v>
          </cell>
          <cell r="AQ6660">
            <v>0</v>
          </cell>
          <cell r="AV6660">
            <v>0</v>
          </cell>
        </row>
        <row r="6661">
          <cell r="E6661" t="str">
            <v>B26001796</v>
          </cell>
          <cell r="AP6661">
            <v>0</v>
          </cell>
          <cell r="AQ6661">
            <v>0</v>
          </cell>
          <cell r="AV6661">
            <v>0</v>
          </cell>
        </row>
        <row r="6662">
          <cell r="E6662" t="str">
            <v>D26002427</v>
          </cell>
          <cell r="AP6662">
            <v>0</v>
          </cell>
          <cell r="AQ6662">
            <v>0</v>
          </cell>
          <cell r="AV6662">
            <v>0</v>
          </cell>
        </row>
        <row r="6663">
          <cell r="E6663" t="str">
            <v>Z25003133</v>
          </cell>
          <cell r="AP6663">
            <v>0</v>
          </cell>
          <cell r="AQ6663">
            <v>0</v>
          </cell>
          <cell r="AV6663">
            <v>0</v>
          </cell>
        </row>
        <row r="6664">
          <cell r="E6664" t="str">
            <v>Z25003175</v>
          </cell>
          <cell r="AP6664">
            <v>0</v>
          </cell>
          <cell r="AQ6664">
            <v>0</v>
          </cell>
          <cell r="AV6664">
            <v>0</v>
          </cell>
        </row>
        <row r="6665">
          <cell r="E6665" t="str">
            <v>Z25003313</v>
          </cell>
          <cell r="AP6665">
            <v>0</v>
          </cell>
          <cell r="AQ6665">
            <v>0</v>
          </cell>
          <cell r="AV6665">
            <v>0</v>
          </cell>
        </row>
        <row r="6666">
          <cell r="E6666" t="str">
            <v>Z26000010</v>
          </cell>
          <cell r="AP6666">
            <v>0</v>
          </cell>
          <cell r="AQ6666">
            <v>0</v>
          </cell>
          <cell r="AV6666">
            <v>0</v>
          </cell>
        </row>
        <row r="6667">
          <cell r="E6667" t="str">
            <v>Z26000013</v>
          </cell>
          <cell r="AP6667">
            <v>0</v>
          </cell>
          <cell r="AQ6667">
            <v>0</v>
          </cell>
          <cell r="AV6667">
            <v>0</v>
          </cell>
        </row>
        <row r="6668">
          <cell r="E6668" t="str">
            <v>Z26000149</v>
          </cell>
          <cell r="AP6668">
            <v>0</v>
          </cell>
          <cell r="AQ6668">
            <v>0</v>
          </cell>
          <cell r="AV6668">
            <v>0</v>
          </cell>
        </row>
        <row r="6669">
          <cell r="E6669" t="str">
            <v>Z26000172</v>
          </cell>
          <cell r="AP6669">
            <v>0</v>
          </cell>
          <cell r="AQ6669">
            <v>0</v>
          </cell>
          <cell r="AV6669">
            <v>0</v>
          </cell>
        </row>
        <row r="6670">
          <cell r="E6670" t="str">
            <v>Z26000186</v>
          </cell>
          <cell r="AP6670">
            <v>0</v>
          </cell>
          <cell r="AQ6670">
            <v>0</v>
          </cell>
          <cell r="AV6670">
            <v>0</v>
          </cell>
        </row>
        <row r="6671">
          <cell r="E6671" t="str">
            <v>Z26000189</v>
          </cell>
          <cell r="AP6671">
            <v>0</v>
          </cell>
          <cell r="AQ6671">
            <v>0</v>
          </cell>
          <cell r="AV6671">
            <v>0</v>
          </cell>
        </row>
        <row r="6672">
          <cell r="E6672" t="str">
            <v>Z26000201</v>
          </cell>
          <cell r="AP6672">
            <v>0</v>
          </cell>
          <cell r="AQ6672">
            <v>0</v>
          </cell>
          <cell r="AV6672">
            <v>0</v>
          </cell>
        </row>
        <row r="6673">
          <cell r="E6673" t="str">
            <v>Z26000307</v>
          </cell>
          <cell r="AP6673">
            <v>0</v>
          </cell>
          <cell r="AQ6673">
            <v>0</v>
          </cell>
          <cell r="AV6673">
            <v>0</v>
          </cell>
        </row>
        <row r="6674">
          <cell r="E6674" t="str">
            <v>Z26000309</v>
          </cell>
          <cell r="AP6674">
            <v>0</v>
          </cell>
          <cell r="AQ6674">
            <v>0</v>
          </cell>
          <cell r="AV6674">
            <v>0</v>
          </cell>
        </row>
        <row r="6675">
          <cell r="E6675" t="str">
            <v>Z26000337</v>
          </cell>
          <cell r="AP6675">
            <v>0</v>
          </cell>
          <cell r="AQ6675">
            <v>0</v>
          </cell>
          <cell r="AV6675">
            <v>0</v>
          </cell>
        </row>
        <row r="6676">
          <cell r="E6676" t="str">
            <v>Z26000386</v>
          </cell>
          <cell r="AP6676">
            <v>0</v>
          </cell>
          <cell r="AQ6676">
            <v>0</v>
          </cell>
          <cell r="AV6676">
            <v>0</v>
          </cell>
        </row>
        <row r="6677">
          <cell r="E6677" t="str">
            <v>D26000891</v>
          </cell>
          <cell r="AP6677">
            <v>0</v>
          </cell>
          <cell r="AQ6677">
            <v>0</v>
          </cell>
          <cell r="AV6677">
            <v>0</v>
          </cell>
        </row>
        <row r="6678">
          <cell r="E6678" t="str">
            <v>D26000892</v>
          </cell>
          <cell r="AP6678">
            <v>0</v>
          </cell>
          <cell r="AQ6678">
            <v>0</v>
          </cell>
          <cell r="AV6678">
            <v>0</v>
          </cell>
        </row>
        <row r="6679">
          <cell r="E6679" t="str">
            <v>D26000893</v>
          </cell>
          <cell r="AP6679">
            <v>0</v>
          </cell>
          <cell r="AQ6679">
            <v>0</v>
          </cell>
          <cell r="AV6679">
            <v>0</v>
          </cell>
        </row>
        <row r="6680">
          <cell r="E6680" t="str">
            <v>B26002212</v>
          </cell>
          <cell r="AP6680">
            <v>0</v>
          </cell>
          <cell r="AQ6680">
            <v>0</v>
          </cell>
          <cell r="AV6680">
            <v>0</v>
          </cell>
        </row>
        <row r="6681">
          <cell r="E6681" t="str">
            <v>B26002281</v>
          </cell>
          <cell r="AP6681">
            <v>0</v>
          </cell>
          <cell r="AQ6681">
            <v>0</v>
          </cell>
          <cell r="AV6681">
            <v>0</v>
          </cell>
        </row>
        <row r="6682">
          <cell r="E6682" t="str">
            <v>D25017659</v>
          </cell>
          <cell r="AP6682">
            <v>0</v>
          </cell>
          <cell r="AQ6682">
            <v>0</v>
          </cell>
          <cell r="AV6682">
            <v>0</v>
          </cell>
        </row>
        <row r="6683">
          <cell r="E6683" t="str">
            <v>D25018842</v>
          </cell>
          <cell r="AP6683">
            <v>0</v>
          </cell>
          <cell r="AQ6683">
            <v>0</v>
          </cell>
          <cell r="AV6683">
            <v>0</v>
          </cell>
        </row>
        <row r="6684">
          <cell r="E6684" t="str">
            <v>B25015526</v>
          </cell>
          <cell r="AP6684">
            <v>0</v>
          </cell>
          <cell r="AQ6684">
            <v>0</v>
          </cell>
          <cell r="AV6684">
            <v>2180000</v>
          </cell>
        </row>
        <row r="6685">
          <cell r="E6685" t="str">
            <v>D25019103</v>
          </cell>
          <cell r="AP6685">
            <v>0</v>
          </cell>
          <cell r="AQ6685">
            <v>0</v>
          </cell>
          <cell r="AV6685">
            <v>0</v>
          </cell>
        </row>
        <row r="6686">
          <cell r="E6686" t="str">
            <v>B26000114</v>
          </cell>
          <cell r="AP6686">
            <v>0</v>
          </cell>
          <cell r="AQ6686">
            <v>0</v>
          </cell>
          <cell r="AV6686">
            <v>0</v>
          </cell>
        </row>
        <row r="6687">
          <cell r="E6687" t="str">
            <v>D26000123</v>
          </cell>
          <cell r="AP6687">
            <v>0</v>
          </cell>
          <cell r="AQ6687">
            <v>0</v>
          </cell>
          <cell r="AV6687">
            <v>0</v>
          </cell>
        </row>
        <row r="6688">
          <cell r="E6688" t="str">
            <v>B26001621</v>
          </cell>
          <cell r="AP6688">
            <v>0</v>
          </cell>
          <cell r="AQ6688">
            <v>0</v>
          </cell>
          <cell r="AV6688">
            <v>0</v>
          </cell>
        </row>
        <row r="6689">
          <cell r="E6689" t="str">
            <v>B26001622</v>
          </cell>
          <cell r="AP6689">
            <v>0</v>
          </cell>
          <cell r="AQ6689">
            <v>0</v>
          </cell>
          <cell r="AV6689">
            <v>0</v>
          </cell>
        </row>
        <row r="6690">
          <cell r="E6690" t="str">
            <v>B26001666</v>
          </cell>
          <cell r="AP6690">
            <v>0</v>
          </cell>
          <cell r="AQ6690">
            <v>0</v>
          </cell>
          <cell r="AV6690">
            <v>0</v>
          </cell>
        </row>
        <row r="6691">
          <cell r="E6691" t="str">
            <v>B25016981</v>
          </cell>
          <cell r="AP6691">
            <v>0</v>
          </cell>
          <cell r="AQ6691">
            <v>0</v>
          </cell>
          <cell r="AV6691">
            <v>0</v>
          </cell>
        </row>
        <row r="6692">
          <cell r="E6692" t="str">
            <v>B25016983</v>
          </cell>
          <cell r="AP6692">
            <v>0</v>
          </cell>
          <cell r="AQ6692">
            <v>0</v>
          </cell>
          <cell r="AV6692">
            <v>4525000</v>
          </cell>
        </row>
        <row r="6693">
          <cell r="E6693" t="str">
            <v>B26000189</v>
          </cell>
          <cell r="AP6693">
            <v>0</v>
          </cell>
          <cell r="AQ6693">
            <v>0</v>
          </cell>
          <cell r="AV6693">
            <v>475000</v>
          </cell>
        </row>
        <row r="6694">
          <cell r="E6694" t="str">
            <v>T26000019</v>
          </cell>
          <cell r="AP6694">
            <v>0</v>
          </cell>
          <cell r="AQ6694">
            <v>0</v>
          </cell>
          <cell r="AV6694">
            <v>0</v>
          </cell>
        </row>
        <row r="6695">
          <cell r="E6695" t="str">
            <v>D26000364</v>
          </cell>
          <cell r="AP6695">
            <v>0</v>
          </cell>
          <cell r="AQ6695">
            <v>0</v>
          </cell>
          <cell r="AV6695">
            <v>0</v>
          </cell>
        </row>
        <row r="6696">
          <cell r="E6696" t="str">
            <v>B26001172</v>
          </cell>
          <cell r="AP6696">
            <v>0</v>
          </cell>
          <cell r="AQ6696">
            <v>0</v>
          </cell>
          <cell r="AV6696">
            <v>0</v>
          </cell>
        </row>
        <row r="6697">
          <cell r="E6697" t="str">
            <v>B26001176</v>
          </cell>
          <cell r="AP6697">
            <v>0</v>
          </cell>
          <cell r="AQ6697">
            <v>0</v>
          </cell>
          <cell r="AV6697">
            <v>0</v>
          </cell>
        </row>
        <row r="6698">
          <cell r="E6698" t="str">
            <v>B26001460</v>
          </cell>
          <cell r="AP6698">
            <v>0</v>
          </cell>
          <cell r="AQ6698">
            <v>0</v>
          </cell>
          <cell r="AV6698">
            <v>0</v>
          </cell>
        </row>
        <row r="6699">
          <cell r="E6699" t="str">
            <v>D26001601</v>
          </cell>
          <cell r="AP6699">
            <v>0</v>
          </cell>
          <cell r="AQ6699">
            <v>0</v>
          </cell>
          <cell r="AV6699">
            <v>0</v>
          </cell>
        </row>
        <row r="6700">
          <cell r="E6700" t="str">
            <v>D26001602</v>
          </cell>
          <cell r="AP6700">
            <v>0</v>
          </cell>
          <cell r="AQ6700">
            <v>0</v>
          </cell>
          <cell r="AV6700">
            <v>0</v>
          </cell>
        </row>
        <row r="6701">
          <cell r="E6701" t="str">
            <v>D26002151</v>
          </cell>
          <cell r="AP6701">
            <v>0</v>
          </cell>
          <cell r="AQ6701">
            <v>0</v>
          </cell>
          <cell r="AV6701">
            <v>0</v>
          </cell>
        </row>
        <row r="6702">
          <cell r="E6702" t="str">
            <v>D25018476</v>
          </cell>
          <cell r="AP6702">
            <v>0</v>
          </cell>
          <cell r="AQ6702">
            <v>0</v>
          </cell>
          <cell r="AV6702">
            <v>5968000</v>
          </cell>
        </row>
        <row r="6703">
          <cell r="E6703" t="str">
            <v>D25018846</v>
          </cell>
          <cell r="AP6703">
            <v>0</v>
          </cell>
          <cell r="AQ6703">
            <v>0</v>
          </cell>
          <cell r="AV6703">
            <v>1510000</v>
          </cell>
        </row>
        <row r="6704">
          <cell r="E6704" t="str">
            <v>D25019341</v>
          </cell>
          <cell r="AP6704">
            <v>0</v>
          </cell>
          <cell r="AQ6704">
            <v>0</v>
          </cell>
          <cell r="AV6704">
            <v>0</v>
          </cell>
        </row>
        <row r="6705">
          <cell r="E6705" t="str">
            <v>B26000385</v>
          </cell>
          <cell r="AP6705">
            <v>0</v>
          </cell>
          <cell r="AQ6705">
            <v>0</v>
          </cell>
          <cell r="AV6705">
            <v>0</v>
          </cell>
        </row>
        <row r="6706">
          <cell r="E6706" t="str">
            <v>D26000832</v>
          </cell>
          <cell r="AP6706">
            <v>0</v>
          </cell>
          <cell r="AQ6706">
            <v>0</v>
          </cell>
          <cell r="AV6706">
            <v>0</v>
          </cell>
        </row>
        <row r="6707">
          <cell r="E6707" t="str">
            <v>T26000146</v>
          </cell>
          <cell r="AP6707">
            <v>0</v>
          </cell>
          <cell r="AQ6707">
            <v>0</v>
          </cell>
          <cell r="AV6707">
            <v>0</v>
          </cell>
        </row>
        <row r="6708">
          <cell r="E6708" t="str">
            <v>B26002248</v>
          </cell>
          <cell r="AP6708">
            <v>0</v>
          </cell>
          <cell r="AQ6708">
            <v>0</v>
          </cell>
          <cell r="AV6708">
            <v>0</v>
          </cell>
        </row>
        <row r="6709">
          <cell r="E6709" t="str">
            <v>D26000057</v>
          </cell>
          <cell r="AP6709">
            <v>0</v>
          </cell>
          <cell r="AQ6709">
            <v>0</v>
          </cell>
          <cell r="AV6709">
            <v>8400000</v>
          </cell>
        </row>
        <row r="6710">
          <cell r="E6710" t="str">
            <v>D26001564</v>
          </cell>
          <cell r="AP6710">
            <v>0</v>
          </cell>
          <cell r="AQ6710">
            <v>0</v>
          </cell>
          <cell r="AV6710">
            <v>0</v>
          </cell>
        </row>
        <row r="6711">
          <cell r="E6711" t="str">
            <v>D25013787</v>
          </cell>
          <cell r="AP6711">
            <v>0</v>
          </cell>
          <cell r="AQ6711">
            <v>0</v>
          </cell>
          <cell r="AV6711">
            <v>4380000</v>
          </cell>
        </row>
        <row r="6712">
          <cell r="E6712" t="str">
            <v>B25013655</v>
          </cell>
          <cell r="AP6712">
            <v>0</v>
          </cell>
          <cell r="AQ6712">
            <v>0</v>
          </cell>
          <cell r="AV6712">
            <v>13200000</v>
          </cell>
        </row>
        <row r="6713">
          <cell r="E6713" t="str">
            <v>B25014606</v>
          </cell>
          <cell r="AP6713">
            <v>0</v>
          </cell>
          <cell r="AQ6713">
            <v>0</v>
          </cell>
          <cell r="AV6713">
            <v>860000</v>
          </cell>
        </row>
        <row r="6714">
          <cell r="E6714" t="str">
            <v>B25014698</v>
          </cell>
          <cell r="AP6714">
            <v>0</v>
          </cell>
          <cell r="AQ6714">
            <v>0</v>
          </cell>
          <cell r="AV6714">
            <v>3210000</v>
          </cell>
        </row>
        <row r="6715">
          <cell r="E6715" t="str">
            <v>D25017436</v>
          </cell>
          <cell r="AP6715">
            <v>0</v>
          </cell>
          <cell r="AQ6715">
            <v>0</v>
          </cell>
          <cell r="AV6715">
            <v>2105000</v>
          </cell>
        </row>
        <row r="6716">
          <cell r="E6716" t="str">
            <v>B25015576</v>
          </cell>
          <cell r="AP6716">
            <v>0</v>
          </cell>
          <cell r="AQ6716">
            <v>0</v>
          </cell>
          <cell r="AV6716">
            <v>0</v>
          </cell>
        </row>
        <row r="6717">
          <cell r="E6717" t="str">
            <v>D25018180</v>
          </cell>
          <cell r="AP6717">
            <v>0</v>
          </cell>
          <cell r="AQ6717">
            <v>0</v>
          </cell>
          <cell r="AV6717">
            <v>0</v>
          </cell>
        </row>
        <row r="6718">
          <cell r="E6718" t="str">
            <v>B25016094</v>
          </cell>
          <cell r="AP6718">
            <v>0</v>
          </cell>
          <cell r="AQ6718">
            <v>0</v>
          </cell>
          <cell r="AV6718">
            <v>0</v>
          </cell>
        </row>
        <row r="6719">
          <cell r="E6719" t="str">
            <v>B26000433</v>
          </cell>
          <cell r="AP6719">
            <v>0</v>
          </cell>
          <cell r="AQ6719">
            <v>0</v>
          </cell>
          <cell r="AV6719">
            <v>0</v>
          </cell>
        </row>
        <row r="6720">
          <cell r="E6720" t="str">
            <v>B26000689</v>
          </cell>
          <cell r="AP6720">
            <v>0</v>
          </cell>
          <cell r="AQ6720">
            <v>0</v>
          </cell>
          <cell r="AV6720">
            <v>0</v>
          </cell>
        </row>
        <row r="6721">
          <cell r="E6721" t="str">
            <v>B26000818</v>
          </cell>
          <cell r="AP6721">
            <v>0</v>
          </cell>
          <cell r="AQ6721">
            <v>0</v>
          </cell>
          <cell r="AV6721">
            <v>0</v>
          </cell>
        </row>
        <row r="6722">
          <cell r="E6722" t="str">
            <v>B26000934</v>
          </cell>
          <cell r="AP6722">
            <v>0</v>
          </cell>
          <cell r="AQ6722">
            <v>0</v>
          </cell>
          <cell r="AV6722">
            <v>0</v>
          </cell>
        </row>
        <row r="6723">
          <cell r="E6723" t="str">
            <v>B26001429</v>
          </cell>
          <cell r="AP6723">
            <v>0</v>
          </cell>
          <cell r="AQ6723">
            <v>0</v>
          </cell>
          <cell r="AV6723">
            <v>0</v>
          </cell>
        </row>
        <row r="6724">
          <cell r="E6724" t="str">
            <v>B26001660</v>
          </cell>
          <cell r="AP6724">
            <v>0</v>
          </cell>
          <cell r="AQ6724">
            <v>0</v>
          </cell>
          <cell r="AV6724">
            <v>0</v>
          </cell>
        </row>
        <row r="6725">
          <cell r="E6725" t="str">
            <v>D25018239</v>
          </cell>
          <cell r="AP6725">
            <v>0</v>
          </cell>
          <cell r="AQ6725">
            <v>0</v>
          </cell>
          <cell r="AV6725">
            <v>15500</v>
          </cell>
        </row>
        <row r="6726">
          <cell r="E6726" t="str">
            <v>D25019128</v>
          </cell>
          <cell r="AP6726">
            <v>0</v>
          </cell>
          <cell r="AQ6726">
            <v>0</v>
          </cell>
          <cell r="AV6726">
            <v>900000</v>
          </cell>
        </row>
        <row r="6727">
          <cell r="E6727" t="str">
            <v>D25019142</v>
          </cell>
          <cell r="AP6727">
            <v>0</v>
          </cell>
          <cell r="AQ6727">
            <v>0</v>
          </cell>
          <cell r="AV6727">
            <v>4880000</v>
          </cell>
        </row>
        <row r="6728">
          <cell r="E6728" t="str">
            <v>D25019143</v>
          </cell>
          <cell r="AP6728">
            <v>0</v>
          </cell>
          <cell r="AQ6728">
            <v>0</v>
          </cell>
          <cell r="AV6728">
            <v>1570000</v>
          </cell>
        </row>
        <row r="6729">
          <cell r="E6729" t="str">
            <v>B25016823</v>
          </cell>
          <cell r="AP6729">
            <v>0</v>
          </cell>
          <cell r="AQ6729">
            <v>0</v>
          </cell>
          <cell r="AV6729">
            <v>1187500</v>
          </cell>
        </row>
        <row r="6730">
          <cell r="E6730" t="str">
            <v>B25016925</v>
          </cell>
          <cell r="AP6730">
            <v>0</v>
          </cell>
          <cell r="AQ6730">
            <v>0</v>
          </cell>
          <cell r="AV6730">
            <v>740000</v>
          </cell>
        </row>
        <row r="6731">
          <cell r="E6731" t="str">
            <v>D26000268</v>
          </cell>
          <cell r="AP6731">
            <v>0</v>
          </cell>
          <cell r="AQ6731">
            <v>0</v>
          </cell>
          <cell r="AV6731">
            <v>2502500</v>
          </cell>
        </row>
        <row r="6732">
          <cell r="E6732" t="str">
            <v>D26000275</v>
          </cell>
          <cell r="AP6732">
            <v>0</v>
          </cell>
          <cell r="AQ6732">
            <v>0</v>
          </cell>
          <cell r="AV6732">
            <v>0</v>
          </cell>
        </row>
        <row r="6733">
          <cell r="E6733" t="str">
            <v>D26000355</v>
          </cell>
          <cell r="AP6733">
            <v>0</v>
          </cell>
          <cell r="AQ6733">
            <v>0</v>
          </cell>
          <cell r="AV6733">
            <v>0</v>
          </cell>
        </row>
        <row r="6734">
          <cell r="E6734" t="str">
            <v>D26000788</v>
          </cell>
          <cell r="AP6734">
            <v>0</v>
          </cell>
          <cell r="AQ6734">
            <v>0</v>
          </cell>
          <cell r="AV6734">
            <v>0</v>
          </cell>
        </row>
        <row r="6735">
          <cell r="E6735" t="str">
            <v>D26001044</v>
          </cell>
          <cell r="AP6735">
            <v>0</v>
          </cell>
          <cell r="AQ6735">
            <v>0</v>
          </cell>
          <cell r="AV6735">
            <v>0</v>
          </cell>
        </row>
        <row r="6736">
          <cell r="E6736" t="str">
            <v>D26001231</v>
          </cell>
          <cell r="AP6736">
            <v>0</v>
          </cell>
          <cell r="AQ6736">
            <v>0</v>
          </cell>
          <cell r="AV6736">
            <v>0</v>
          </cell>
        </row>
        <row r="6737">
          <cell r="E6737" t="str">
            <v>D26001274</v>
          </cell>
          <cell r="AP6737">
            <v>0</v>
          </cell>
          <cell r="AQ6737">
            <v>0</v>
          </cell>
          <cell r="AV6737">
            <v>0</v>
          </cell>
        </row>
        <row r="6738">
          <cell r="E6738" t="str">
            <v>D26001280</v>
          </cell>
          <cell r="AP6738">
            <v>0</v>
          </cell>
          <cell r="AQ6738">
            <v>0</v>
          </cell>
          <cell r="AV6738">
            <v>0</v>
          </cell>
        </row>
        <row r="6739">
          <cell r="E6739" t="str">
            <v>B26001232</v>
          </cell>
          <cell r="AP6739">
            <v>0</v>
          </cell>
          <cell r="AQ6739">
            <v>0</v>
          </cell>
          <cell r="AV6739">
            <v>0</v>
          </cell>
        </row>
        <row r="6740">
          <cell r="E6740" t="str">
            <v>D26001779</v>
          </cell>
          <cell r="AP6740">
            <v>0</v>
          </cell>
          <cell r="AQ6740">
            <v>0</v>
          </cell>
          <cell r="AV6740">
            <v>0</v>
          </cell>
        </row>
        <row r="6741">
          <cell r="E6741" t="str">
            <v>D26001782</v>
          </cell>
          <cell r="AP6741">
            <v>0</v>
          </cell>
          <cell r="AQ6741">
            <v>0</v>
          </cell>
          <cell r="AV6741">
            <v>0</v>
          </cell>
        </row>
        <row r="6742">
          <cell r="E6742" t="str">
            <v>B26001945</v>
          </cell>
          <cell r="AP6742">
            <v>0</v>
          </cell>
          <cell r="AQ6742">
            <v>0</v>
          </cell>
          <cell r="AV6742">
            <v>0</v>
          </cell>
        </row>
        <row r="6743">
          <cell r="E6743" t="str">
            <v>B26002019</v>
          </cell>
          <cell r="AP6743">
            <v>0</v>
          </cell>
          <cell r="AQ6743">
            <v>0</v>
          </cell>
          <cell r="AV6743">
            <v>0</v>
          </cell>
        </row>
        <row r="6744">
          <cell r="E6744" t="str">
            <v>D26002429</v>
          </cell>
          <cell r="AP6744">
            <v>0</v>
          </cell>
          <cell r="AQ6744">
            <v>0</v>
          </cell>
          <cell r="AV6744">
            <v>0</v>
          </cell>
        </row>
        <row r="6745">
          <cell r="E6745" t="str">
            <v>B25016320</v>
          </cell>
          <cell r="AP6745">
            <v>0</v>
          </cell>
          <cell r="AQ6745">
            <v>0</v>
          </cell>
          <cell r="AV6745">
            <v>0</v>
          </cell>
        </row>
        <row r="6746">
          <cell r="E6746" t="str">
            <v>B26001603</v>
          </cell>
          <cell r="AP6746">
            <v>0</v>
          </cell>
          <cell r="AQ6746">
            <v>0</v>
          </cell>
          <cell r="AV6746">
            <v>1978000</v>
          </cell>
        </row>
        <row r="6747">
          <cell r="E6747" t="str">
            <v>B26001436</v>
          </cell>
          <cell r="AP6747">
            <v>0</v>
          </cell>
          <cell r="AQ6747">
            <v>0</v>
          </cell>
          <cell r="AV6747">
            <v>0</v>
          </cell>
        </row>
        <row r="6748">
          <cell r="E6748" t="str">
            <v>D26002262</v>
          </cell>
          <cell r="AP6748">
            <v>0</v>
          </cell>
          <cell r="AQ6748">
            <v>0</v>
          </cell>
          <cell r="AV6748">
            <v>0</v>
          </cell>
        </row>
        <row r="6749">
          <cell r="E6749" t="str">
            <v>D25018732</v>
          </cell>
          <cell r="AP6749">
            <v>0</v>
          </cell>
          <cell r="AQ6749">
            <v>0</v>
          </cell>
          <cell r="AV6749">
            <v>1062500</v>
          </cell>
        </row>
        <row r="6750">
          <cell r="E6750" t="str">
            <v>B26000254</v>
          </cell>
          <cell r="AP6750">
            <v>0</v>
          </cell>
          <cell r="AQ6750">
            <v>0</v>
          </cell>
          <cell r="AV6750">
            <v>1800000</v>
          </cell>
        </row>
        <row r="6751">
          <cell r="E6751" t="str">
            <v>B26000255</v>
          </cell>
          <cell r="AP6751">
            <v>0</v>
          </cell>
          <cell r="AQ6751">
            <v>0</v>
          </cell>
          <cell r="AV6751">
            <v>680000</v>
          </cell>
        </row>
        <row r="6752">
          <cell r="E6752" t="str">
            <v>T26000046</v>
          </cell>
          <cell r="AP6752">
            <v>0</v>
          </cell>
          <cell r="AQ6752">
            <v>0</v>
          </cell>
          <cell r="AV6752">
            <v>0</v>
          </cell>
        </row>
        <row r="6753">
          <cell r="E6753" t="str">
            <v>D26001104</v>
          </cell>
          <cell r="AP6753">
            <v>0</v>
          </cell>
          <cell r="AQ6753">
            <v>0</v>
          </cell>
          <cell r="AV6753">
            <v>0</v>
          </cell>
        </row>
        <row r="6754">
          <cell r="E6754" t="str">
            <v>D26001105</v>
          </cell>
          <cell r="AP6754">
            <v>0</v>
          </cell>
          <cell r="AQ6754">
            <v>0</v>
          </cell>
          <cell r="AV6754">
            <v>0</v>
          </cell>
        </row>
        <row r="6755">
          <cell r="E6755" t="str">
            <v>B26002157</v>
          </cell>
          <cell r="AP6755">
            <v>0</v>
          </cell>
          <cell r="AQ6755">
            <v>0</v>
          </cell>
          <cell r="AV6755">
            <v>0</v>
          </cell>
        </row>
        <row r="6756">
          <cell r="E6756" t="str">
            <v>D25019640</v>
          </cell>
          <cell r="AP6756">
            <v>0</v>
          </cell>
          <cell r="AQ6756">
            <v>0</v>
          </cell>
          <cell r="AV6756">
            <v>0</v>
          </cell>
        </row>
        <row r="6757">
          <cell r="E6757" t="str">
            <v>D25019720</v>
          </cell>
          <cell r="AP6757">
            <v>0</v>
          </cell>
          <cell r="AQ6757">
            <v>0</v>
          </cell>
          <cell r="AV6757">
            <v>0</v>
          </cell>
        </row>
        <row r="6758">
          <cell r="E6758" t="str">
            <v>T25001900</v>
          </cell>
          <cell r="AP6758">
            <v>0</v>
          </cell>
          <cell r="AQ6758">
            <v>0</v>
          </cell>
          <cell r="AV6758">
            <v>0</v>
          </cell>
        </row>
        <row r="6759">
          <cell r="E6759" t="str">
            <v>T25001901</v>
          </cell>
          <cell r="AP6759">
            <v>0</v>
          </cell>
          <cell r="AQ6759">
            <v>0</v>
          </cell>
          <cell r="AV6759">
            <v>0</v>
          </cell>
        </row>
        <row r="6760">
          <cell r="E6760" t="str">
            <v>D26000325</v>
          </cell>
          <cell r="AP6760">
            <v>0</v>
          </cell>
          <cell r="AQ6760">
            <v>0</v>
          </cell>
          <cell r="AV6760">
            <v>0</v>
          </cell>
        </row>
        <row r="6761">
          <cell r="E6761" t="str">
            <v>D26000877</v>
          </cell>
          <cell r="AP6761">
            <v>0</v>
          </cell>
          <cell r="AQ6761">
            <v>0</v>
          </cell>
          <cell r="AV6761">
            <v>0</v>
          </cell>
        </row>
        <row r="6762">
          <cell r="E6762" t="str">
            <v>B26000163</v>
          </cell>
          <cell r="AP6762">
            <v>0</v>
          </cell>
          <cell r="AQ6762">
            <v>0</v>
          </cell>
          <cell r="AV6762">
            <v>0</v>
          </cell>
        </row>
        <row r="6763">
          <cell r="E6763" t="str">
            <v>B26000164</v>
          </cell>
          <cell r="AP6763">
            <v>0</v>
          </cell>
          <cell r="AQ6763">
            <v>0</v>
          </cell>
          <cell r="AV6763">
            <v>0</v>
          </cell>
        </row>
        <row r="6764">
          <cell r="E6764" t="str">
            <v>B26001386</v>
          </cell>
          <cell r="AP6764">
            <v>0</v>
          </cell>
          <cell r="AQ6764">
            <v>0</v>
          </cell>
          <cell r="AV6764">
            <v>0</v>
          </cell>
        </row>
        <row r="6765">
          <cell r="E6765" t="str">
            <v>B26002267</v>
          </cell>
          <cell r="AP6765">
            <v>0</v>
          </cell>
          <cell r="AQ6765">
            <v>0</v>
          </cell>
          <cell r="AV6765">
            <v>0</v>
          </cell>
        </row>
        <row r="6766">
          <cell r="E6766" t="str">
            <v>B26001972</v>
          </cell>
          <cell r="AP6766">
            <v>0</v>
          </cell>
          <cell r="AQ6766">
            <v>0</v>
          </cell>
          <cell r="AV6766">
            <v>3600000</v>
          </cell>
        </row>
        <row r="6767">
          <cell r="E6767" t="str">
            <v>B26001973</v>
          </cell>
          <cell r="AP6767">
            <v>0</v>
          </cell>
          <cell r="AQ6767">
            <v>0</v>
          </cell>
          <cell r="AV6767">
            <v>875000</v>
          </cell>
        </row>
        <row r="6768">
          <cell r="E6768" t="str">
            <v>B25016817</v>
          </cell>
          <cell r="AP6768">
            <v>0</v>
          </cell>
          <cell r="AQ6768">
            <v>0</v>
          </cell>
          <cell r="AV6768">
            <v>2603000</v>
          </cell>
        </row>
        <row r="6769">
          <cell r="E6769" t="str">
            <v>B25016821</v>
          </cell>
          <cell r="AP6769">
            <v>0</v>
          </cell>
          <cell r="AQ6769">
            <v>0</v>
          </cell>
          <cell r="AV6769">
            <v>540000</v>
          </cell>
        </row>
        <row r="6770">
          <cell r="E6770" t="str">
            <v>B25016835</v>
          </cell>
          <cell r="AP6770">
            <v>0</v>
          </cell>
          <cell r="AQ6770">
            <v>0</v>
          </cell>
          <cell r="AV6770">
            <v>0</v>
          </cell>
        </row>
        <row r="6771">
          <cell r="E6771" t="str">
            <v>N25000087</v>
          </cell>
          <cell r="AP6771">
            <v>0</v>
          </cell>
          <cell r="AQ6771">
            <v>0</v>
          </cell>
          <cell r="AV6771">
            <v>0</v>
          </cell>
        </row>
        <row r="6772">
          <cell r="E6772" t="str">
            <v>D25019685</v>
          </cell>
          <cell r="AP6772">
            <v>0</v>
          </cell>
          <cell r="AQ6772">
            <v>0</v>
          </cell>
          <cell r="AV6772">
            <v>0</v>
          </cell>
        </row>
        <row r="6773">
          <cell r="E6773" t="str">
            <v>B26000305</v>
          </cell>
          <cell r="AP6773">
            <v>0</v>
          </cell>
          <cell r="AQ6773">
            <v>0</v>
          </cell>
          <cell r="AV6773">
            <v>0</v>
          </cell>
        </row>
        <row r="6774">
          <cell r="E6774" t="str">
            <v>D26000342</v>
          </cell>
          <cell r="AP6774">
            <v>0</v>
          </cell>
          <cell r="AQ6774">
            <v>0</v>
          </cell>
          <cell r="AV6774">
            <v>0</v>
          </cell>
        </row>
        <row r="6775">
          <cell r="E6775" t="str">
            <v>B26001263</v>
          </cell>
          <cell r="AP6775">
            <v>0</v>
          </cell>
          <cell r="AQ6775">
            <v>0</v>
          </cell>
          <cell r="AV6775">
            <v>0</v>
          </cell>
        </row>
        <row r="6776">
          <cell r="E6776" t="str">
            <v>B26002094</v>
          </cell>
          <cell r="AP6776">
            <v>0</v>
          </cell>
          <cell r="AQ6776">
            <v>0</v>
          </cell>
          <cell r="AV6776">
            <v>0</v>
          </cell>
        </row>
        <row r="6777">
          <cell r="E6777" t="str">
            <v>B25010943</v>
          </cell>
          <cell r="AP6777">
            <v>0</v>
          </cell>
          <cell r="AQ6777">
            <v>0</v>
          </cell>
          <cell r="AV6777">
            <v>0</v>
          </cell>
        </row>
        <row r="6778">
          <cell r="E6778" t="str">
            <v>D25017776</v>
          </cell>
          <cell r="AP6778">
            <v>0</v>
          </cell>
          <cell r="AQ6778">
            <v>0</v>
          </cell>
          <cell r="AV6778">
            <v>3750000</v>
          </cell>
        </row>
        <row r="6779">
          <cell r="E6779" t="str">
            <v>D25018243</v>
          </cell>
          <cell r="AP6779">
            <v>0</v>
          </cell>
          <cell r="AQ6779">
            <v>0</v>
          </cell>
          <cell r="AV6779">
            <v>3250000</v>
          </cell>
        </row>
        <row r="6780">
          <cell r="E6780" t="str">
            <v>D25018571</v>
          </cell>
          <cell r="AP6780">
            <v>0</v>
          </cell>
          <cell r="AQ6780">
            <v>0</v>
          </cell>
          <cell r="AV6780">
            <v>0</v>
          </cell>
        </row>
        <row r="6781">
          <cell r="E6781" t="str">
            <v>B25016168</v>
          </cell>
          <cell r="AP6781">
            <v>0</v>
          </cell>
          <cell r="AQ6781">
            <v>0</v>
          </cell>
          <cell r="AV6781">
            <v>0</v>
          </cell>
        </row>
        <row r="6782">
          <cell r="E6782" t="str">
            <v>T25001842</v>
          </cell>
          <cell r="AP6782">
            <v>0</v>
          </cell>
          <cell r="AQ6782">
            <v>0</v>
          </cell>
          <cell r="AV6782">
            <v>0</v>
          </cell>
        </row>
        <row r="6783">
          <cell r="E6783" t="str">
            <v>D25018833</v>
          </cell>
          <cell r="AP6783">
            <v>0</v>
          </cell>
          <cell r="AQ6783">
            <v>0</v>
          </cell>
          <cell r="AV6783">
            <v>0</v>
          </cell>
        </row>
        <row r="6784">
          <cell r="E6784" t="str">
            <v>D25019627</v>
          </cell>
          <cell r="AP6784">
            <v>0</v>
          </cell>
          <cell r="AQ6784">
            <v>0</v>
          </cell>
          <cell r="AV6784">
            <v>0</v>
          </cell>
        </row>
        <row r="6785">
          <cell r="E6785" t="str">
            <v>B26002261</v>
          </cell>
          <cell r="AP6785">
            <v>0</v>
          </cell>
          <cell r="AQ6785">
            <v>0</v>
          </cell>
          <cell r="AV6785">
            <v>0</v>
          </cell>
        </row>
        <row r="6786">
          <cell r="E6786" t="str">
            <v>D25019118</v>
          </cell>
          <cell r="AP6786">
            <v>0</v>
          </cell>
          <cell r="AQ6786">
            <v>0</v>
          </cell>
          <cell r="AV6786">
            <v>5800000</v>
          </cell>
        </row>
        <row r="6787">
          <cell r="E6787" t="str">
            <v>D25019140</v>
          </cell>
          <cell r="AP6787">
            <v>0</v>
          </cell>
          <cell r="AQ6787">
            <v>0</v>
          </cell>
          <cell r="AV6787">
            <v>250000</v>
          </cell>
        </row>
        <row r="6788">
          <cell r="E6788" t="str">
            <v>D26000402</v>
          </cell>
          <cell r="AP6788">
            <v>0</v>
          </cell>
          <cell r="AQ6788">
            <v>0</v>
          </cell>
          <cell r="AV6788">
            <v>0</v>
          </cell>
        </row>
        <row r="6789">
          <cell r="E6789" t="str">
            <v>D26000403</v>
          </cell>
          <cell r="AP6789">
            <v>0</v>
          </cell>
          <cell r="AQ6789">
            <v>0</v>
          </cell>
          <cell r="AV6789">
            <v>0</v>
          </cell>
        </row>
        <row r="6790">
          <cell r="E6790" t="str">
            <v>D25018300</v>
          </cell>
          <cell r="AP6790">
            <v>500</v>
          </cell>
          <cell r="AQ6790">
            <v>0</v>
          </cell>
          <cell r="AV6790">
            <v>6357000</v>
          </cell>
        </row>
        <row r="6791">
          <cell r="E6791" t="str">
            <v>B25016008</v>
          </cell>
          <cell r="AP6791">
            <v>0</v>
          </cell>
          <cell r="AQ6791">
            <v>0</v>
          </cell>
          <cell r="AV6791">
            <v>3250000</v>
          </cell>
        </row>
        <row r="6792">
          <cell r="E6792" t="str">
            <v>B26000092</v>
          </cell>
          <cell r="AP6792">
            <v>0</v>
          </cell>
          <cell r="AQ6792">
            <v>0</v>
          </cell>
          <cell r="AV6792">
            <v>0</v>
          </cell>
        </row>
        <row r="6793">
          <cell r="E6793" t="str">
            <v>B26000272</v>
          </cell>
          <cell r="AP6793">
            <v>0</v>
          </cell>
          <cell r="AQ6793">
            <v>0</v>
          </cell>
          <cell r="AV6793">
            <v>0</v>
          </cell>
        </row>
        <row r="6794">
          <cell r="E6794" t="str">
            <v>B26000607</v>
          </cell>
          <cell r="AP6794">
            <v>0</v>
          </cell>
          <cell r="AQ6794">
            <v>0</v>
          </cell>
          <cell r="AV6794">
            <v>0</v>
          </cell>
        </row>
        <row r="6795">
          <cell r="E6795" t="str">
            <v>T26000038</v>
          </cell>
          <cell r="AP6795">
            <v>0</v>
          </cell>
          <cell r="AQ6795">
            <v>0</v>
          </cell>
          <cell r="AV6795">
            <v>0</v>
          </cell>
        </row>
        <row r="6796">
          <cell r="E6796" t="str">
            <v>D26001347</v>
          </cell>
          <cell r="AP6796">
            <v>0</v>
          </cell>
          <cell r="AQ6796">
            <v>0</v>
          </cell>
          <cell r="AV6796">
            <v>0</v>
          </cell>
        </row>
        <row r="6797">
          <cell r="E6797" t="str">
            <v>D26002161</v>
          </cell>
          <cell r="AP6797">
            <v>0</v>
          </cell>
          <cell r="AQ6797">
            <v>0</v>
          </cell>
          <cell r="AV6797">
            <v>0</v>
          </cell>
        </row>
        <row r="6798">
          <cell r="E6798" t="str">
            <v>D26002162</v>
          </cell>
          <cell r="AP6798">
            <v>0</v>
          </cell>
          <cell r="AQ6798">
            <v>0</v>
          </cell>
          <cell r="AV6798">
            <v>2670000</v>
          </cell>
        </row>
        <row r="6799">
          <cell r="E6799" t="str">
            <v>B26002285</v>
          </cell>
          <cell r="AP6799">
            <v>0</v>
          </cell>
          <cell r="AQ6799">
            <v>0</v>
          </cell>
          <cell r="AV6799">
            <v>0</v>
          </cell>
        </row>
        <row r="6800">
          <cell r="E6800" t="str">
            <v>D26002470</v>
          </cell>
          <cell r="AP6800">
            <v>0</v>
          </cell>
          <cell r="AQ6800">
            <v>0</v>
          </cell>
          <cell r="AV6800">
            <v>0</v>
          </cell>
        </row>
        <row r="6801">
          <cell r="E6801" t="str">
            <v>Z26000263</v>
          </cell>
          <cell r="AP6801">
            <v>0</v>
          </cell>
          <cell r="AQ6801">
            <v>0</v>
          </cell>
          <cell r="AV6801">
            <v>0</v>
          </cell>
        </row>
        <row r="6802">
          <cell r="E6802" t="str">
            <v>Z26000265</v>
          </cell>
          <cell r="AP6802">
            <v>0</v>
          </cell>
          <cell r="AQ6802">
            <v>0</v>
          </cell>
          <cell r="AV6802">
            <v>0</v>
          </cell>
        </row>
        <row r="6803">
          <cell r="E6803" t="str">
            <v>Z26000343</v>
          </cell>
          <cell r="AP6803">
            <v>0</v>
          </cell>
          <cell r="AQ6803">
            <v>0</v>
          </cell>
          <cell r="AV6803">
            <v>138280000</v>
          </cell>
        </row>
        <row r="6804">
          <cell r="E6804" t="str">
            <v>T25001586</v>
          </cell>
          <cell r="AP6804">
            <v>0</v>
          </cell>
          <cell r="AQ6804">
            <v>0</v>
          </cell>
          <cell r="AV6804">
            <v>0</v>
          </cell>
        </row>
        <row r="6805">
          <cell r="E6805" t="str">
            <v>D25016178</v>
          </cell>
          <cell r="AP6805">
            <v>0</v>
          </cell>
          <cell r="AQ6805">
            <v>0</v>
          </cell>
          <cell r="AV6805">
            <v>30000000</v>
          </cell>
        </row>
        <row r="6806">
          <cell r="E6806" t="str">
            <v>D25016178</v>
          </cell>
          <cell r="AP6806">
            <v>0</v>
          </cell>
          <cell r="AQ6806">
            <v>0</v>
          </cell>
          <cell r="AV6806">
            <v>20000000</v>
          </cell>
        </row>
        <row r="6807">
          <cell r="E6807" t="str">
            <v>D25016178</v>
          </cell>
          <cell r="AP6807">
            <v>0</v>
          </cell>
          <cell r="AQ6807">
            <v>0</v>
          </cell>
          <cell r="AV6807">
            <v>20000000</v>
          </cell>
        </row>
        <row r="6808">
          <cell r="E6808" t="str">
            <v>D25016178</v>
          </cell>
          <cell r="AP6808">
            <v>0</v>
          </cell>
          <cell r="AQ6808">
            <v>0</v>
          </cell>
          <cell r="AV6808">
            <v>20000000</v>
          </cell>
        </row>
        <row r="6809">
          <cell r="E6809" t="str">
            <v>D25018900</v>
          </cell>
          <cell r="AP6809">
            <v>0</v>
          </cell>
          <cell r="AQ6809">
            <v>0</v>
          </cell>
          <cell r="AV6809">
            <v>0</v>
          </cell>
        </row>
        <row r="6810">
          <cell r="E6810" t="str">
            <v>D25018997</v>
          </cell>
          <cell r="AP6810">
            <v>0</v>
          </cell>
          <cell r="AQ6810">
            <v>0</v>
          </cell>
          <cell r="AV6810">
            <v>0</v>
          </cell>
        </row>
        <row r="6811">
          <cell r="E6811" t="str">
            <v>D25018998</v>
          </cell>
          <cell r="AP6811">
            <v>0</v>
          </cell>
          <cell r="AQ6811">
            <v>0</v>
          </cell>
          <cell r="AV6811">
            <v>0</v>
          </cell>
        </row>
        <row r="6812">
          <cell r="E6812" t="str">
            <v>D25019266</v>
          </cell>
          <cell r="AP6812">
            <v>0</v>
          </cell>
          <cell r="AQ6812">
            <v>0</v>
          </cell>
          <cell r="AV6812">
            <v>0</v>
          </cell>
        </row>
        <row r="6813">
          <cell r="E6813" t="str">
            <v>D26001677</v>
          </cell>
          <cell r="AP6813">
            <v>0</v>
          </cell>
          <cell r="AQ6813">
            <v>0</v>
          </cell>
          <cell r="AV6813">
            <v>5287500</v>
          </cell>
        </row>
        <row r="6814">
          <cell r="E6814" t="str">
            <v>D26001678</v>
          </cell>
          <cell r="AP6814">
            <v>0</v>
          </cell>
          <cell r="AQ6814">
            <v>0</v>
          </cell>
          <cell r="AV6814">
            <v>0</v>
          </cell>
        </row>
        <row r="6815">
          <cell r="E6815" t="str">
            <v>D26001679</v>
          </cell>
          <cell r="AP6815">
            <v>0</v>
          </cell>
          <cell r="AQ6815">
            <v>0</v>
          </cell>
          <cell r="AV6815">
            <v>0</v>
          </cell>
        </row>
        <row r="6816">
          <cell r="E6816" t="str">
            <v>D26001680</v>
          </cell>
          <cell r="AP6816">
            <v>0</v>
          </cell>
          <cell r="AQ6816">
            <v>0</v>
          </cell>
          <cell r="AV6816">
            <v>0</v>
          </cell>
        </row>
        <row r="6817">
          <cell r="E6817" t="str">
            <v>T26000108</v>
          </cell>
          <cell r="AP6817">
            <v>0</v>
          </cell>
          <cell r="AQ6817">
            <v>0</v>
          </cell>
          <cell r="AV6817">
            <v>0</v>
          </cell>
        </row>
        <row r="6818">
          <cell r="E6818" t="str">
            <v>B26001615</v>
          </cell>
          <cell r="AP6818">
            <v>0</v>
          </cell>
          <cell r="AQ6818">
            <v>0</v>
          </cell>
          <cell r="AV6818">
            <v>11450000</v>
          </cell>
        </row>
        <row r="6819">
          <cell r="E6819" t="str">
            <v>D26000273</v>
          </cell>
          <cell r="AP6819">
            <v>0</v>
          </cell>
          <cell r="AQ6819">
            <v>0</v>
          </cell>
          <cell r="AV6819">
            <v>0</v>
          </cell>
        </row>
        <row r="6820">
          <cell r="E6820" t="str">
            <v>B26000330</v>
          </cell>
          <cell r="AP6820">
            <v>0</v>
          </cell>
          <cell r="AQ6820">
            <v>0</v>
          </cell>
          <cell r="AV6820">
            <v>0</v>
          </cell>
        </row>
        <row r="6821">
          <cell r="E6821" t="str">
            <v>B26000475</v>
          </cell>
          <cell r="AP6821">
            <v>0</v>
          </cell>
          <cell r="AQ6821">
            <v>0</v>
          </cell>
          <cell r="AV6821">
            <v>0</v>
          </cell>
        </row>
        <row r="6822">
          <cell r="E6822" t="str">
            <v>D26001658</v>
          </cell>
          <cell r="AP6822">
            <v>0</v>
          </cell>
          <cell r="AQ6822">
            <v>0</v>
          </cell>
          <cell r="AV6822">
            <v>0</v>
          </cell>
        </row>
        <row r="6823">
          <cell r="E6823" t="str">
            <v>D25013475</v>
          </cell>
          <cell r="AP6823">
            <v>0</v>
          </cell>
          <cell r="AQ6823">
            <v>0</v>
          </cell>
          <cell r="AV6823">
            <v>4000000</v>
          </cell>
        </row>
        <row r="6824">
          <cell r="E6824" t="str">
            <v>B25012121</v>
          </cell>
          <cell r="AP6824">
            <v>0</v>
          </cell>
          <cell r="AQ6824">
            <v>0</v>
          </cell>
          <cell r="AV6824">
            <v>0</v>
          </cell>
        </row>
        <row r="6825">
          <cell r="E6825" t="str">
            <v>B25016643</v>
          </cell>
          <cell r="AP6825">
            <v>0</v>
          </cell>
          <cell r="AQ6825">
            <v>0</v>
          </cell>
          <cell r="AV6825">
            <v>5100000</v>
          </cell>
        </row>
        <row r="6826">
          <cell r="E6826" t="str">
            <v>D25019413</v>
          </cell>
          <cell r="AP6826">
            <v>0</v>
          </cell>
          <cell r="AQ6826">
            <v>0</v>
          </cell>
          <cell r="AV6826">
            <v>1965000</v>
          </cell>
        </row>
        <row r="6827">
          <cell r="E6827" t="str">
            <v>D25019414</v>
          </cell>
          <cell r="AP6827">
            <v>0</v>
          </cell>
          <cell r="AQ6827">
            <v>0</v>
          </cell>
          <cell r="AV6827">
            <v>0</v>
          </cell>
        </row>
        <row r="6828">
          <cell r="E6828" t="str">
            <v>D25019415</v>
          </cell>
          <cell r="AP6828">
            <v>0</v>
          </cell>
          <cell r="AQ6828">
            <v>0</v>
          </cell>
          <cell r="AV6828">
            <v>0</v>
          </cell>
        </row>
        <row r="6829">
          <cell r="E6829" t="str">
            <v>B26000258</v>
          </cell>
          <cell r="AP6829">
            <v>0</v>
          </cell>
          <cell r="AQ6829">
            <v>0</v>
          </cell>
          <cell r="AV6829">
            <v>0</v>
          </cell>
        </row>
        <row r="6830">
          <cell r="E6830" t="str">
            <v>B26000259</v>
          </cell>
          <cell r="AP6830">
            <v>0</v>
          </cell>
          <cell r="AQ6830">
            <v>0</v>
          </cell>
          <cell r="AV6830">
            <v>0</v>
          </cell>
        </row>
        <row r="6831">
          <cell r="E6831" t="str">
            <v>D26000417</v>
          </cell>
          <cell r="AP6831">
            <v>0</v>
          </cell>
          <cell r="AQ6831">
            <v>0</v>
          </cell>
          <cell r="AV6831">
            <v>0</v>
          </cell>
        </row>
        <row r="6832">
          <cell r="E6832" t="str">
            <v>D26000895</v>
          </cell>
          <cell r="AP6832">
            <v>0</v>
          </cell>
          <cell r="AQ6832">
            <v>0</v>
          </cell>
          <cell r="AV6832">
            <v>0</v>
          </cell>
        </row>
        <row r="6833">
          <cell r="E6833" t="str">
            <v>B26001318</v>
          </cell>
          <cell r="AP6833">
            <v>0</v>
          </cell>
          <cell r="AQ6833">
            <v>0</v>
          </cell>
          <cell r="AV6833">
            <v>0</v>
          </cell>
        </row>
        <row r="6834">
          <cell r="E6834" t="str">
            <v>B26001322</v>
          </cell>
          <cell r="AP6834">
            <v>0</v>
          </cell>
          <cell r="AQ6834">
            <v>0</v>
          </cell>
          <cell r="AV6834">
            <v>0</v>
          </cell>
        </row>
        <row r="6835">
          <cell r="E6835" t="str">
            <v>B26002103</v>
          </cell>
          <cell r="AP6835">
            <v>0</v>
          </cell>
          <cell r="AQ6835">
            <v>0</v>
          </cell>
          <cell r="AV6835">
            <v>0</v>
          </cell>
        </row>
        <row r="6836">
          <cell r="E6836" t="str">
            <v>B26002105</v>
          </cell>
          <cell r="AP6836">
            <v>0</v>
          </cell>
          <cell r="AQ6836">
            <v>0</v>
          </cell>
          <cell r="AV6836">
            <v>0</v>
          </cell>
        </row>
        <row r="6837">
          <cell r="E6837" t="str">
            <v>B25015291</v>
          </cell>
          <cell r="AP6837">
            <v>0</v>
          </cell>
          <cell r="AQ6837">
            <v>0</v>
          </cell>
          <cell r="AV6837">
            <v>0</v>
          </cell>
        </row>
        <row r="6838">
          <cell r="E6838" t="str">
            <v>D25018254</v>
          </cell>
          <cell r="AP6838">
            <v>0</v>
          </cell>
          <cell r="AQ6838">
            <v>0</v>
          </cell>
          <cell r="AV6838">
            <v>0</v>
          </cell>
        </row>
        <row r="6839">
          <cell r="E6839" t="str">
            <v>D25019042</v>
          </cell>
          <cell r="AP6839">
            <v>0</v>
          </cell>
          <cell r="AQ6839">
            <v>0</v>
          </cell>
          <cell r="AV6839">
            <v>0</v>
          </cell>
        </row>
        <row r="6840">
          <cell r="E6840" t="str">
            <v>B26002182</v>
          </cell>
          <cell r="AP6840">
            <v>0</v>
          </cell>
          <cell r="AQ6840">
            <v>0</v>
          </cell>
          <cell r="AV6840">
            <v>0</v>
          </cell>
        </row>
        <row r="6841">
          <cell r="E6841" t="str">
            <v>D26002294</v>
          </cell>
          <cell r="AP6841">
            <v>0</v>
          </cell>
          <cell r="AQ6841">
            <v>0</v>
          </cell>
          <cell r="AV6841">
            <v>0</v>
          </cell>
        </row>
        <row r="6842">
          <cell r="E6842" t="str">
            <v>D25019668</v>
          </cell>
          <cell r="AP6842">
            <v>0</v>
          </cell>
          <cell r="AQ6842">
            <v>0</v>
          </cell>
          <cell r="AV6842">
            <v>0</v>
          </cell>
        </row>
        <row r="6843">
          <cell r="E6843" t="str">
            <v>B26000242</v>
          </cell>
          <cell r="AP6843">
            <v>0</v>
          </cell>
          <cell r="AQ6843">
            <v>0</v>
          </cell>
          <cell r="AV6843">
            <v>900000</v>
          </cell>
        </row>
        <row r="6844">
          <cell r="E6844" t="str">
            <v>B26000243</v>
          </cell>
          <cell r="AP6844">
            <v>0</v>
          </cell>
          <cell r="AQ6844">
            <v>0</v>
          </cell>
          <cell r="AV6844">
            <v>2990000</v>
          </cell>
        </row>
        <row r="6845">
          <cell r="E6845" t="str">
            <v>D26000301</v>
          </cell>
          <cell r="AP6845">
            <v>0</v>
          </cell>
          <cell r="AQ6845">
            <v>0</v>
          </cell>
          <cell r="AV6845">
            <v>960000</v>
          </cell>
        </row>
        <row r="6846">
          <cell r="E6846" t="str">
            <v>D26001064</v>
          </cell>
          <cell r="AP6846">
            <v>0</v>
          </cell>
          <cell r="AQ6846">
            <v>0</v>
          </cell>
          <cell r="AV6846">
            <v>0</v>
          </cell>
        </row>
        <row r="6847">
          <cell r="E6847" t="str">
            <v>D26001223</v>
          </cell>
          <cell r="AP6847">
            <v>0</v>
          </cell>
          <cell r="AQ6847">
            <v>0</v>
          </cell>
          <cell r="AV6847">
            <v>0</v>
          </cell>
        </row>
        <row r="6848">
          <cell r="E6848" t="str">
            <v>B26001371</v>
          </cell>
          <cell r="AP6848">
            <v>0</v>
          </cell>
          <cell r="AQ6848">
            <v>0</v>
          </cell>
          <cell r="AV6848">
            <v>0</v>
          </cell>
        </row>
        <row r="6849">
          <cell r="E6849" t="str">
            <v>B26002252</v>
          </cell>
          <cell r="AP6849">
            <v>0</v>
          </cell>
          <cell r="AQ6849">
            <v>0</v>
          </cell>
          <cell r="AV6849">
            <v>0</v>
          </cell>
        </row>
        <row r="6850">
          <cell r="E6850" t="str">
            <v>B26002253</v>
          </cell>
          <cell r="AP6850">
            <v>0</v>
          </cell>
          <cell r="AQ6850">
            <v>0</v>
          </cell>
          <cell r="AV6850">
            <v>0</v>
          </cell>
        </row>
        <row r="6851">
          <cell r="E6851" t="str">
            <v>D26001749</v>
          </cell>
          <cell r="AP6851">
            <v>0</v>
          </cell>
          <cell r="AQ6851">
            <v>0</v>
          </cell>
          <cell r="AV6851">
            <v>17800000</v>
          </cell>
        </row>
        <row r="6852">
          <cell r="E6852" t="str">
            <v>D26002096</v>
          </cell>
          <cell r="AP6852">
            <v>0</v>
          </cell>
          <cell r="AQ6852">
            <v>0</v>
          </cell>
          <cell r="AV6852">
            <v>5340000</v>
          </cell>
        </row>
        <row r="6853">
          <cell r="E6853" t="str">
            <v>T26000026</v>
          </cell>
          <cell r="AP6853">
            <v>0</v>
          </cell>
          <cell r="AQ6853">
            <v>0</v>
          </cell>
          <cell r="AV6853">
            <v>0</v>
          </cell>
        </row>
        <row r="6854">
          <cell r="E6854" t="str">
            <v>T26000027</v>
          </cell>
          <cell r="AP6854">
            <v>0</v>
          </cell>
          <cell r="AQ6854">
            <v>0</v>
          </cell>
          <cell r="AV6854">
            <v>0</v>
          </cell>
        </row>
        <row r="6855">
          <cell r="E6855" t="str">
            <v>T26000076</v>
          </cell>
          <cell r="AP6855">
            <v>0</v>
          </cell>
          <cell r="AQ6855">
            <v>0</v>
          </cell>
          <cell r="AV6855">
            <v>0</v>
          </cell>
        </row>
        <row r="6856">
          <cell r="E6856" t="str">
            <v>B26001736</v>
          </cell>
          <cell r="AP6856">
            <v>0</v>
          </cell>
          <cell r="AQ6856">
            <v>0</v>
          </cell>
          <cell r="AV6856">
            <v>0</v>
          </cell>
        </row>
        <row r="6857">
          <cell r="E6857" t="str">
            <v>B25016736</v>
          </cell>
          <cell r="AP6857">
            <v>0</v>
          </cell>
          <cell r="AQ6857">
            <v>0</v>
          </cell>
          <cell r="AV6857">
            <v>5480000</v>
          </cell>
        </row>
        <row r="6858">
          <cell r="E6858" t="str">
            <v>D26000346</v>
          </cell>
          <cell r="AP6858">
            <v>0</v>
          </cell>
          <cell r="AQ6858">
            <v>0</v>
          </cell>
          <cell r="AV6858">
            <v>0</v>
          </cell>
        </row>
        <row r="6859">
          <cell r="E6859" t="str">
            <v>D26000534</v>
          </cell>
          <cell r="AP6859">
            <v>0</v>
          </cell>
          <cell r="AQ6859">
            <v>0</v>
          </cell>
          <cell r="AV6859">
            <v>0</v>
          </cell>
        </row>
        <row r="6860">
          <cell r="E6860" t="str">
            <v>B26001022</v>
          </cell>
          <cell r="AP6860">
            <v>0</v>
          </cell>
          <cell r="AQ6860">
            <v>0</v>
          </cell>
          <cell r="AV6860">
            <v>0</v>
          </cell>
        </row>
        <row r="6861">
          <cell r="E6861" t="str">
            <v>D26001563</v>
          </cell>
          <cell r="AP6861">
            <v>0</v>
          </cell>
          <cell r="AQ6861">
            <v>0</v>
          </cell>
          <cell r="AV6861">
            <v>0</v>
          </cell>
        </row>
        <row r="6862">
          <cell r="E6862" t="str">
            <v>D26001570</v>
          </cell>
          <cell r="AP6862">
            <v>0</v>
          </cell>
          <cell r="AQ6862">
            <v>0</v>
          </cell>
          <cell r="AV6862">
            <v>0</v>
          </cell>
        </row>
        <row r="6863">
          <cell r="E6863" t="str">
            <v>D26001586</v>
          </cell>
          <cell r="AP6863">
            <v>0</v>
          </cell>
          <cell r="AQ6863">
            <v>0</v>
          </cell>
          <cell r="AV6863">
            <v>0</v>
          </cell>
        </row>
        <row r="6864">
          <cell r="E6864" t="str">
            <v>D26001864</v>
          </cell>
          <cell r="AP6864">
            <v>0</v>
          </cell>
          <cell r="AQ6864">
            <v>0</v>
          </cell>
          <cell r="AV6864">
            <v>0</v>
          </cell>
        </row>
        <row r="6865">
          <cell r="E6865" t="str">
            <v>D26002353</v>
          </cell>
          <cell r="AP6865">
            <v>0</v>
          </cell>
          <cell r="AQ6865">
            <v>0</v>
          </cell>
          <cell r="AV6865">
            <v>0</v>
          </cell>
        </row>
        <row r="6866">
          <cell r="E6866" t="str">
            <v>D25019389</v>
          </cell>
          <cell r="AP6866">
            <v>0</v>
          </cell>
          <cell r="AQ6866">
            <v>0</v>
          </cell>
          <cell r="AV6866">
            <v>6400000</v>
          </cell>
        </row>
        <row r="6867">
          <cell r="E6867" t="str">
            <v>D25019522</v>
          </cell>
          <cell r="AP6867">
            <v>0</v>
          </cell>
          <cell r="AQ6867">
            <v>0</v>
          </cell>
          <cell r="AV6867">
            <v>1375000</v>
          </cell>
        </row>
        <row r="6868">
          <cell r="E6868" t="str">
            <v>B26000228</v>
          </cell>
          <cell r="AP6868">
            <v>0</v>
          </cell>
          <cell r="AQ6868">
            <v>0</v>
          </cell>
          <cell r="AV6868">
            <v>0</v>
          </cell>
        </row>
        <row r="6869">
          <cell r="E6869" t="str">
            <v>D26000408</v>
          </cell>
          <cell r="AP6869">
            <v>0</v>
          </cell>
          <cell r="AQ6869">
            <v>0</v>
          </cell>
          <cell r="AV6869">
            <v>0</v>
          </cell>
        </row>
        <row r="6870">
          <cell r="E6870" t="str">
            <v>N26000010</v>
          </cell>
          <cell r="AP6870">
            <v>0</v>
          </cell>
          <cell r="AQ6870">
            <v>0</v>
          </cell>
          <cell r="AV6870">
            <v>0</v>
          </cell>
        </row>
        <row r="6871">
          <cell r="E6871" t="str">
            <v>B26001056</v>
          </cell>
          <cell r="AP6871">
            <v>0</v>
          </cell>
          <cell r="AQ6871">
            <v>0</v>
          </cell>
          <cell r="AV6871">
            <v>0</v>
          </cell>
        </row>
        <row r="6872">
          <cell r="E6872" t="str">
            <v>D26001762</v>
          </cell>
          <cell r="AP6872">
            <v>0</v>
          </cell>
          <cell r="AQ6872">
            <v>0</v>
          </cell>
          <cell r="AV6872">
            <v>0</v>
          </cell>
        </row>
        <row r="6873">
          <cell r="E6873" t="str">
            <v>B26002088</v>
          </cell>
          <cell r="AP6873">
            <v>0</v>
          </cell>
          <cell r="AQ6873">
            <v>0</v>
          </cell>
          <cell r="AV6873">
            <v>0</v>
          </cell>
        </row>
        <row r="6874">
          <cell r="E6874" t="str">
            <v>B25017056</v>
          </cell>
          <cell r="AP6874">
            <v>0</v>
          </cell>
          <cell r="AQ6874">
            <v>0</v>
          </cell>
          <cell r="AV6874">
            <v>1200000</v>
          </cell>
        </row>
        <row r="6875">
          <cell r="E6875" t="str">
            <v>D26000311</v>
          </cell>
          <cell r="AP6875">
            <v>0</v>
          </cell>
          <cell r="AQ6875">
            <v>0</v>
          </cell>
          <cell r="AV6875">
            <v>0</v>
          </cell>
        </row>
        <row r="6876">
          <cell r="E6876" t="str">
            <v>D26000621</v>
          </cell>
          <cell r="AP6876">
            <v>0</v>
          </cell>
          <cell r="AQ6876">
            <v>0</v>
          </cell>
          <cell r="AV6876">
            <v>0</v>
          </cell>
        </row>
        <row r="6877">
          <cell r="E6877" t="str">
            <v>D26000622</v>
          </cell>
          <cell r="AP6877">
            <v>0</v>
          </cell>
          <cell r="AQ6877">
            <v>0</v>
          </cell>
          <cell r="AV6877">
            <v>0</v>
          </cell>
        </row>
        <row r="6878">
          <cell r="E6878" t="str">
            <v>B26000676</v>
          </cell>
          <cell r="AP6878">
            <v>0</v>
          </cell>
          <cell r="AQ6878">
            <v>0</v>
          </cell>
          <cell r="AV6878">
            <v>0</v>
          </cell>
        </row>
        <row r="6879">
          <cell r="E6879" t="str">
            <v>D26000679</v>
          </cell>
          <cell r="AP6879">
            <v>0</v>
          </cell>
          <cell r="AQ6879">
            <v>0</v>
          </cell>
          <cell r="AV6879">
            <v>0</v>
          </cell>
        </row>
        <row r="6880">
          <cell r="E6880" t="str">
            <v>D26000763</v>
          </cell>
          <cell r="AP6880">
            <v>0</v>
          </cell>
          <cell r="AQ6880">
            <v>0</v>
          </cell>
          <cell r="AV6880">
            <v>0</v>
          </cell>
        </row>
        <row r="6881">
          <cell r="E6881" t="str">
            <v>D26000982</v>
          </cell>
          <cell r="AP6881">
            <v>0</v>
          </cell>
          <cell r="AQ6881">
            <v>0</v>
          </cell>
          <cell r="AV6881">
            <v>0</v>
          </cell>
        </row>
        <row r="6882">
          <cell r="E6882" t="str">
            <v>D26001092</v>
          </cell>
          <cell r="AP6882">
            <v>0</v>
          </cell>
          <cell r="AQ6882">
            <v>0</v>
          </cell>
          <cell r="AV6882">
            <v>0</v>
          </cell>
        </row>
        <row r="6883">
          <cell r="E6883" t="str">
            <v>B26001079</v>
          </cell>
          <cell r="AP6883">
            <v>0</v>
          </cell>
          <cell r="AQ6883">
            <v>0</v>
          </cell>
          <cell r="AV6883">
            <v>0</v>
          </cell>
        </row>
        <row r="6884">
          <cell r="E6884" t="str">
            <v>B26001204</v>
          </cell>
          <cell r="AP6884">
            <v>0</v>
          </cell>
          <cell r="AQ6884">
            <v>0</v>
          </cell>
          <cell r="AV6884">
            <v>0</v>
          </cell>
        </row>
        <row r="6885">
          <cell r="E6885" t="str">
            <v>D26001279</v>
          </cell>
          <cell r="AP6885">
            <v>0</v>
          </cell>
          <cell r="AQ6885">
            <v>0</v>
          </cell>
          <cell r="AV6885">
            <v>0</v>
          </cell>
        </row>
        <row r="6886">
          <cell r="E6886" t="str">
            <v>D26001390</v>
          </cell>
          <cell r="AP6886">
            <v>0</v>
          </cell>
          <cell r="AQ6886">
            <v>0</v>
          </cell>
          <cell r="AV6886">
            <v>0</v>
          </cell>
        </row>
        <row r="6887">
          <cell r="E6887" t="str">
            <v>D26001463</v>
          </cell>
          <cell r="AP6887">
            <v>0</v>
          </cell>
          <cell r="AQ6887">
            <v>0</v>
          </cell>
          <cell r="AV6887">
            <v>0</v>
          </cell>
        </row>
        <row r="6888">
          <cell r="E6888" t="str">
            <v>B26001447</v>
          </cell>
          <cell r="AP6888">
            <v>0</v>
          </cell>
          <cell r="AQ6888">
            <v>0</v>
          </cell>
          <cell r="AV6888">
            <v>0</v>
          </cell>
        </row>
        <row r="6889">
          <cell r="E6889" t="str">
            <v>D26001532</v>
          </cell>
          <cell r="AP6889">
            <v>0</v>
          </cell>
          <cell r="AQ6889">
            <v>0</v>
          </cell>
          <cell r="AV6889">
            <v>0</v>
          </cell>
        </row>
        <row r="6890">
          <cell r="E6890" t="str">
            <v>D26001698</v>
          </cell>
          <cell r="AP6890">
            <v>0</v>
          </cell>
          <cell r="AQ6890">
            <v>1440000</v>
          </cell>
          <cell r="AV6890">
            <v>0</v>
          </cell>
        </row>
        <row r="6891">
          <cell r="E6891" t="str">
            <v>D26001699</v>
          </cell>
          <cell r="AP6891">
            <v>0</v>
          </cell>
          <cell r="AQ6891">
            <v>839500</v>
          </cell>
          <cell r="AV6891">
            <v>0</v>
          </cell>
        </row>
        <row r="6892">
          <cell r="E6892" t="str">
            <v>B26001644</v>
          </cell>
          <cell r="AP6892">
            <v>0</v>
          </cell>
          <cell r="AQ6892">
            <v>1647000</v>
          </cell>
          <cell r="AV6892">
            <v>0</v>
          </cell>
        </row>
        <row r="6893">
          <cell r="E6893" t="str">
            <v>B26001743</v>
          </cell>
          <cell r="AP6893">
            <v>0</v>
          </cell>
          <cell r="AQ6893">
            <v>3869500</v>
          </cell>
          <cell r="AV6893">
            <v>0</v>
          </cell>
        </row>
        <row r="6894">
          <cell r="E6894" t="str">
            <v>B26001744</v>
          </cell>
          <cell r="AP6894">
            <v>0</v>
          </cell>
          <cell r="AQ6894">
            <v>986500</v>
          </cell>
          <cell r="AV6894">
            <v>0</v>
          </cell>
        </row>
        <row r="6895">
          <cell r="E6895" t="str">
            <v>D26001925</v>
          </cell>
          <cell r="AP6895">
            <v>0</v>
          </cell>
          <cell r="AQ6895">
            <v>510000</v>
          </cell>
          <cell r="AV6895">
            <v>0</v>
          </cell>
        </row>
        <row r="6896">
          <cell r="E6896" t="str">
            <v>B26002086</v>
          </cell>
          <cell r="AP6896">
            <v>0</v>
          </cell>
          <cell r="AQ6896">
            <v>1676000</v>
          </cell>
          <cell r="AV6896">
            <v>0</v>
          </cell>
        </row>
        <row r="6897">
          <cell r="E6897" t="str">
            <v>B26002087</v>
          </cell>
          <cell r="AP6897">
            <v>0</v>
          </cell>
          <cell r="AQ6897">
            <v>1884000</v>
          </cell>
          <cell r="AV6897">
            <v>0</v>
          </cell>
        </row>
        <row r="6898">
          <cell r="E6898" t="str">
            <v>B25015512</v>
          </cell>
          <cell r="AP6898">
            <v>0</v>
          </cell>
          <cell r="AQ6898">
            <v>0</v>
          </cell>
          <cell r="AV6898">
            <v>137700000</v>
          </cell>
        </row>
        <row r="6899">
          <cell r="E6899" t="str">
            <v>B25015575</v>
          </cell>
          <cell r="AP6899">
            <v>0</v>
          </cell>
          <cell r="AQ6899">
            <v>0</v>
          </cell>
          <cell r="AV6899">
            <v>140000000</v>
          </cell>
        </row>
        <row r="6900">
          <cell r="E6900" t="str">
            <v>B25015575</v>
          </cell>
          <cell r="AP6900">
            <v>0</v>
          </cell>
          <cell r="AQ6900">
            <v>0</v>
          </cell>
          <cell r="AV6900">
            <v>135400000</v>
          </cell>
        </row>
        <row r="6901">
          <cell r="E6901" t="str">
            <v>D25018433</v>
          </cell>
          <cell r="AP6901">
            <v>0</v>
          </cell>
          <cell r="AQ6901">
            <v>0</v>
          </cell>
          <cell r="AV6901">
            <v>117000000</v>
          </cell>
        </row>
        <row r="6902">
          <cell r="E6902" t="str">
            <v>D25018433</v>
          </cell>
          <cell r="AP6902">
            <v>0</v>
          </cell>
          <cell r="AQ6902">
            <v>0</v>
          </cell>
          <cell r="AV6902">
            <v>100000000</v>
          </cell>
        </row>
        <row r="6903">
          <cell r="E6903" t="str">
            <v>D25018433</v>
          </cell>
          <cell r="AP6903">
            <v>0</v>
          </cell>
          <cell r="AQ6903">
            <v>0</v>
          </cell>
          <cell r="AV6903">
            <v>100000000</v>
          </cell>
        </row>
        <row r="6904">
          <cell r="E6904" t="str">
            <v>T25001825</v>
          </cell>
          <cell r="AP6904">
            <v>0</v>
          </cell>
          <cell r="AQ6904">
            <v>0</v>
          </cell>
          <cell r="AV6904">
            <v>0</v>
          </cell>
        </row>
        <row r="6905">
          <cell r="E6905" t="str">
            <v>T25001840</v>
          </cell>
          <cell r="AP6905">
            <v>0</v>
          </cell>
          <cell r="AQ6905">
            <v>0</v>
          </cell>
          <cell r="AV6905">
            <v>0</v>
          </cell>
        </row>
        <row r="6906">
          <cell r="E6906" t="str">
            <v>B25016195</v>
          </cell>
          <cell r="AP6906">
            <v>0</v>
          </cell>
          <cell r="AQ6906">
            <v>0</v>
          </cell>
          <cell r="AV6906">
            <v>0</v>
          </cell>
        </row>
        <row r="6907">
          <cell r="E6907" t="str">
            <v>D25018882</v>
          </cell>
          <cell r="AP6907">
            <v>0</v>
          </cell>
          <cell r="AQ6907">
            <v>0</v>
          </cell>
          <cell r="AV6907">
            <v>0</v>
          </cell>
        </row>
        <row r="6908">
          <cell r="E6908" t="str">
            <v>D25019123</v>
          </cell>
          <cell r="AP6908">
            <v>0</v>
          </cell>
          <cell r="AQ6908">
            <v>0</v>
          </cell>
          <cell r="AV6908">
            <v>0</v>
          </cell>
        </row>
        <row r="6909">
          <cell r="E6909" t="str">
            <v>D26000372</v>
          </cell>
          <cell r="AP6909">
            <v>0</v>
          </cell>
          <cell r="AQ6909">
            <v>0</v>
          </cell>
          <cell r="AV6909">
            <v>0</v>
          </cell>
        </row>
        <row r="6910">
          <cell r="E6910" t="str">
            <v>D26000562</v>
          </cell>
          <cell r="AP6910">
            <v>0</v>
          </cell>
          <cell r="AQ6910">
            <v>0</v>
          </cell>
          <cell r="AV6910">
            <v>0</v>
          </cell>
        </row>
        <row r="6911">
          <cell r="E6911" t="str">
            <v>D26000795</v>
          </cell>
          <cell r="AP6911">
            <v>0</v>
          </cell>
          <cell r="AQ6911">
            <v>0</v>
          </cell>
          <cell r="AV6911">
            <v>0</v>
          </cell>
        </row>
        <row r="6912">
          <cell r="E6912" t="str">
            <v>D26001163</v>
          </cell>
          <cell r="AP6912">
            <v>0</v>
          </cell>
          <cell r="AQ6912">
            <v>0</v>
          </cell>
          <cell r="AV6912">
            <v>0</v>
          </cell>
        </row>
        <row r="6913">
          <cell r="E6913" t="str">
            <v>D26001164</v>
          </cell>
          <cell r="AP6913">
            <v>0</v>
          </cell>
          <cell r="AQ6913">
            <v>0</v>
          </cell>
          <cell r="AV6913">
            <v>0</v>
          </cell>
        </row>
        <row r="6914">
          <cell r="E6914" t="str">
            <v>D26001731</v>
          </cell>
          <cell r="AP6914">
            <v>0</v>
          </cell>
          <cell r="AQ6914">
            <v>0</v>
          </cell>
          <cell r="AV6914">
            <v>0</v>
          </cell>
        </row>
        <row r="6915">
          <cell r="E6915" t="str">
            <v>D26001755</v>
          </cell>
          <cell r="AP6915">
            <v>0</v>
          </cell>
          <cell r="AQ6915">
            <v>0</v>
          </cell>
          <cell r="AV6915">
            <v>0</v>
          </cell>
        </row>
        <row r="6916">
          <cell r="E6916" t="str">
            <v>B26001805</v>
          </cell>
          <cell r="AP6916">
            <v>0</v>
          </cell>
          <cell r="AQ6916">
            <v>0</v>
          </cell>
          <cell r="AV6916">
            <v>0</v>
          </cell>
        </row>
        <row r="6917">
          <cell r="E6917" t="str">
            <v>D26002032</v>
          </cell>
          <cell r="AP6917">
            <v>0</v>
          </cell>
          <cell r="AQ6917">
            <v>0</v>
          </cell>
          <cell r="AV6917">
            <v>0</v>
          </cell>
        </row>
        <row r="6918">
          <cell r="E6918" t="str">
            <v>D26002266</v>
          </cell>
          <cell r="AP6918">
            <v>0</v>
          </cell>
          <cell r="AQ6918">
            <v>0</v>
          </cell>
          <cell r="AV6918">
            <v>0</v>
          </cell>
        </row>
        <row r="6919">
          <cell r="E6919" t="str">
            <v>D26002328</v>
          </cell>
          <cell r="AP6919">
            <v>0</v>
          </cell>
          <cell r="AQ6919">
            <v>0</v>
          </cell>
          <cell r="AV6919">
            <v>0</v>
          </cell>
        </row>
        <row r="6920">
          <cell r="E6920" t="str">
            <v>D25016147</v>
          </cell>
          <cell r="AP6920">
            <v>0</v>
          </cell>
          <cell r="AQ6920">
            <v>0</v>
          </cell>
          <cell r="AV6920">
            <v>308125000</v>
          </cell>
        </row>
        <row r="6921">
          <cell r="E6921" t="str">
            <v>D25016147</v>
          </cell>
          <cell r="AP6921">
            <v>0</v>
          </cell>
          <cell r="AQ6921">
            <v>0</v>
          </cell>
          <cell r="AV6921">
            <v>200000000</v>
          </cell>
        </row>
        <row r="6922">
          <cell r="E6922" t="str">
            <v>D25018869</v>
          </cell>
          <cell r="AP6922">
            <v>0</v>
          </cell>
          <cell r="AQ6922">
            <v>0</v>
          </cell>
          <cell r="AV6922">
            <v>172500000</v>
          </cell>
        </row>
        <row r="6923">
          <cell r="E6923" t="str">
            <v>Z25003266</v>
          </cell>
          <cell r="AP6923">
            <v>0</v>
          </cell>
          <cell r="AQ6923">
            <v>0</v>
          </cell>
          <cell r="AV6923">
            <v>0</v>
          </cell>
        </row>
        <row r="6924">
          <cell r="E6924" t="str">
            <v>D26000365</v>
          </cell>
          <cell r="AP6924">
            <v>0</v>
          </cell>
          <cell r="AQ6924">
            <v>0</v>
          </cell>
          <cell r="AV6924">
            <v>0</v>
          </cell>
        </row>
        <row r="6925">
          <cell r="E6925" t="str">
            <v>Z26000203</v>
          </cell>
          <cell r="AP6925">
            <v>0</v>
          </cell>
          <cell r="AQ6925">
            <v>0</v>
          </cell>
          <cell r="AV6925">
            <v>0</v>
          </cell>
        </row>
        <row r="6926">
          <cell r="E6926" t="str">
            <v>Z26000312</v>
          </cell>
          <cell r="AP6926">
            <v>0</v>
          </cell>
          <cell r="AQ6926">
            <v>0</v>
          </cell>
          <cell r="AV6926">
            <v>0</v>
          </cell>
        </row>
        <row r="6927">
          <cell r="E6927" t="str">
            <v>D26001870</v>
          </cell>
          <cell r="AP6927">
            <v>0</v>
          </cell>
          <cell r="AQ6927">
            <v>0</v>
          </cell>
          <cell r="AV6927">
            <v>0</v>
          </cell>
        </row>
        <row r="6928">
          <cell r="E6928" t="str">
            <v>Z26000338</v>
          </cell>
          <cell r="AP6928">
            <v>0</v>
          </cell>
          <cell r="AQ6928">
            <v>0</v>
          </cell>
          <cell r="AV6928">
            <v>0</v>
          </cell>
        </row>
        <row r="6929">
          <cell r="E6929" t="str">
            <v>Z26000357</v>
          </cell>
          <cell r="AP6929">
            <v>0</v>
          </cell>
          <cell r="AQ6929">
            <v>0</v>
          </cell>
          <cell r="AV6929">
            <v>0</v>
          </cell>
        </row>
        <row r="6930">
          <cell r="E6930" t="str">
            <v>D26002245</v>
          </cell>
          <cell r="AP6930">
            <v>0</v>
          </cell>
          <cell r="AQ6930">
            <v>0</v>
          </cell>
          <cell r="AV6930">
            <v>0</v>
          </cell>
        </row>
        <row r="6931">
          <cell r="E6931" t="str">
            <v>D25016427</v>
          </cell>
          <cell r="AP6931">
            <v>0</v>
          </cell>
          <cell r="AQ6931">
            <v>0</v>
          </cell>
          <cell r="AV6931">
            <v>0</v>
          </cell>
        </row>
        <row r="6932">
          <cell r="E6932" t="str">
            <v>D25016464</v>
          </cell>
          <cell r="AP6932">
            <v>0</v>
          </cell>
          <cell r="AQ6932">
            <v>0</v>
          </cell>
          <cell r="AV6932">
            <v>0</v>
          </cell>
        </row>
        <row r="6933">
          <cell r="E6933" t="str">
            <v>D25016539</v>
          </cell>
          <cell r="AP6933">
            <v>0</v>
          </cell>
          <cell r="AQ6933">
            <v>0</v>
          </cell>
          <cell r="AV6933">
            <v>0</v>
          </cell>
        </row>
        <row r="6934">
          <cell r="E6934" t="str">
            <v>D25016812</v>
          </cell>
          <cell r="AP6934">
            <v>0</v>
          </cell>
          <cell r="AQ6934">
            <v>0</v>
          </cell>
          <cell r="AV6934">
            <v>0</v>
          </cell>
        </row>
        <row r="6935">
          <cell r="E6935" t="str">
            <v>D25017107</v>
          </cell>
          <cell r="AP6935">
            <v>0</v>
          </cell>
          <cell r="AQ6935">
            <v>0</v>
          </cell>
          <cell r="AV6935">
            <v>0</v>
          </cell>
        </row>
        <row r="6936">
          <cell r="E6936" t="str">
            <v>D25017315</v>
          </cell>
          <cell r="AP6936">
            <v>0</v>
          </cell>
          <cell r="AQ6936">
            <v>0</v>
          </cell>
          <cell r="AV6936">
            <v>0</v>
          </cell>
        </row>
        <row r="6937">
          <cell r="E6937" t="str">
            <v>D25017698</v>
          </cell>
          <cell r="AP6937">
            <v>0</v>
          </cell>
          <cell r="AQ6937">
            <v>0</v>
          </cell>
          <cell r="AV6937">
            <v>0</v>
          </cell>
        </row>
        <row r="6938">
          <cell r="E6938" t="str">
            <v>D25018251</v>
          </cell>
          <cell r="AP6938">
            <v>0</v>
          </cell>
          <cell r="AQ6938">
            <v>0</v>
          </cell>
          <cell r="AV6938">
            <v>0</v>
          </cell>
        </row>
        <row r="6939">
          <cell r="E6939" t="str">
            <v>D25018302</v>
          </cell>
          <cell r="AP6939">
            <v>0</v>
          </cell>
          <cell r="AQ6939">
            <v>0</v>
          </cell>
          <cell r="AV6939">
            <v>0</v>
          </cell>
        </row>
        <row r="6940">
          <cell r="E6940" t="str">
            <v>D25018453</v>
          </cell>
          <cell r="AP6940">
            <v>0</v>
          </cell>
          <cell r="AQ6940">
            <v>0</v>
          </cell>
          <cell r="AV6940">
            <v>0</v>
          </cell>
        </row>
        <row r="6941">
          <cell r="E6941" t="str">
            <v>D25018491</v>
          </cell>
          <cell r="AP6941">
            <v>0</v>
          </cell>
          <cell r="AQ6941">
            <v>0</v>
          </cell>
          <cell r="AV6941">
            <v>0</v>
          </cell>
        </row>
        <row r="6942">
          <cell r="E6942" t="str">
            <v>D25019005</v>
          </cell>
          <cell r="AP6942">
            <v>0</v>
          </cell>
          <cell r="AQ6942">
            <v>0</v>
          </cell>
          <cell r="AV6942">
            <v>0</v>
          </cell>
        </row>
        <row r="6943">
          <cell r="E6943" t="str">
            <v>D26000062</v>
          </cell>
          <cell r="AP6943">
            <v>0</v>
          </cell>
          <cell r="AQ6943">
            <v>0</v>
          </cell>
          <cell r="AV6943">
            <v>0</v>
          </cell>
        </row>
        <row r="6944">
          <cell r="E6944" t="str">
            <v>B26000565</v>
          </cell>
          <cell r="AP6944">
            <v>0</v>
          </cell>
          <cell r="AQ6944">
            <v>0</v>
          </cell>
          <cell r="AV6944">
            <v>0</v>
          </cell>
        </row>
        <row r="6945">
          <cell r="E6945" t="str">
            <v>D26000552</v>
          </cell>
          <cell r="AP6945">
            <v>0</v>
          </cell>
          <cell r="AQ6945">
            <v>0</v>
          </cell>
          <cell r="AV6945">
            <v>0</v>
          </cell>
        </row>
        <row r="6946">
          <cell r="E6946" t="str">
            <v>D26000595</v>
          </cell>
          <cell r="AP6946">
            <v>0</v>
          </cell>
          <cell r="AQ6946">
            <v>0</v>
          </cell>
          <cell r="AV6946">
            <v>0</v>
          </cell>
        </row>
        <row r="6947">
          <cell r="E6947" t="str">
            <v>D26000710</v>
          </cell>
          <cell r="AP6947">
            <v>0</v>
          </cell>
          <cell r="AQ6947">
            <v>0</v>
          </cell>
          <cell r="AV6947">
            <v>0</v>
          </cell>
        </row>
        <row r="6948">
          <cell r="E6948" t="str">
            <v>D26000721</v>
          </cell>
          <cell r="AP6948">
            <v>0</v>
          </cell>
          <cell r="AQ6948">
            <v>0</v>
          </cell>
          <cell r="AV6948">
            <v>0</v>
          </cell>
        </row>
        <row r="6949">
          <cell r="E6949" t="str">
            <v>D26000951</v>
          </cell>
          <cell r="AP6949">
            <v>0</v>
          </cell>
          <cell r="AQ6949">
            <v>0</v>
          </cell>
          <cell r="AV6949">
            <v>0</v>
          </cell>
        </row>
        <row r="6950">
          <cell r="E6950" t="str">
            <v>D26001083</v>
          </cell>
          <cell r="AP6950">
            <v>0</v>
          </cell>
          <cell r="AQ6950">
            <v>0</v>
          </cell>
          <cell r="AV6950">
            <v>0</v>
          </cell>
        </row>
        <row r="6951">
          <cell r="E6951" t="str">
            <v>D26001088</v>
          </cell>
          <cell r="AP6951">
            <v>0</v>
          </cell>
          <cell r="AQ6951">
            <v>0</v>
          </cell>
          <cell r="AV6951">
            <v>0</v>
          </cell>
        </row>
        <row r="6952">
          <cell r="E6952" t="str">
            <v>D26001122</v>
          </cell>
          <cell r="AP6952">
            <v>0</v>
          </cell>
          <cell r="AQ6952">
            <v>0</v>
          </cell>
          <cell r="AV6952">
            <v>0</v>
          </cell>
        </row>
        <row r="6953">
          <cell r="E6953" t="str">
            <v>D26001377</v>
          </cell>
          <cell r="AP6953">
            <v>0</v>
          </cell>
          <cell r="AQ6953">
            <v>0</v>
          </cell>
          <cell r="AV6953">
            <v>0</v>
          </cell>
        </row>
        <row r="6954">
          <cell r="E6954" t="str">
            <v>D26001477</v>
          </cell>
          <cell r="AP6954">
            <v>0</v>
          </cell>
          <cell r="AQ6954">
            <v>0</v>
          </cell>
          <cell r="AV6954">
            <v>0</v>
          </cell>
        </row>
        <row r="6955">
          <cell r="E6955" t="str">
            <v>D26001497</v>
          </cell>
          <cell r="AP6955">
            <v>0</v>
          </cell>
          <cell r="AQ6955">
            <v>0</v>
          </cell>
          <cell r="AV6955">
            <v>0</v>
          </cell>
        </row>
        <row r="6956">
          <cell r="E6956" t="str">
            <v>D26001499</v>
          </cell>
          <cell r="AP6956">
            <v>0</v>
          </cell>
          <cell r="AQ6956">
            <v>0</v>
          </cell>
          <cell r="AV6956">
            <v>0</v>
          </cell>
        </row>
        <row r="6957">
          <cell r="E6957" t="str">
            <v>D26001746</v>
          </cell>
          <cell r="AP6957">
            <v>0</v>
          </cell>
          <cell r="AQ6957">
            <v>0</v>
          </cell>
          <cell r="AV6957">
            <v>0</v>
          </cell>
        </row>
        <row r="6958">
          <cell r="E6958" t="str">
            <v>B26001715</v>
          </cell>
          <cell r="AP6958">
            <v>0</v>
          </cell>
          <cell r="AQ6958">
            <v>0</v>
          </cell>
          <cell r="AV6958">
            <v>0</v>
          </cell>
        </row>
        <row r="6959">
          <cell r="E6959" t="str">
            <v>D26001861</v>
          </cell>
          <cell r="AP6959">
            <v>0</v>
          </cell>
          <cell r="AQ6959">
            <v>0</v>
          </cell>
          <cell r="AV6959">
            <v>0</v>
          </cell>
        </row>
        <row r="6960">
          <cell r="E6960" t="str">
            <v>D26001877</v>
          </cell>
          <cell r="AP6960">
            <v>0</v>
          </cell>
          <cell r="AQ6960">
            <v>0</v>
          </cell>
          <cell r="AV6960">
            <v>0</v>
          </cell>
        </row>
        <row r="6961">
          <cell r="E6961" t="str">
            <v>B26001801</v>
          </cell>
          <cell r="AP6961">
            <v>0</v>
          </cell>
          <cell r="AQ6961">
            <v>0</v>
          </cell>
          <cell r="AV6961">
            <v>0</v>
          </cell>
        </row>
        <row r="6962">
          <cell r="E6962" t="str">
            <v>B26001900</v>
          </cell>
          <cell r="AP6962">
            <v>0</v>
          </cell>
          <cell r="AQ6962">
            <v>0</v>
          </cell>
          <cell r="AV6962">
            <v>0</v>
          </cell>
        </row>
        <row r="6963">
          <cell r="E6963" t="str">
            <v>D26002095</v>
          </cell>
          <cell r="AP6963">
            <v>0</v>
          </cell>
          <cell r="AQ6963">
            <v>0</v>
          </cell>
          <cell r="AV6963">
            <v>0</v>
          </cell>
        </row>
        <row r="6964">
          <cell r="E6964" t="str">
            <v>D26002324</v>
          </cell>
          <cell r="AP6964">
            <v>0</v>
          </cell>
          <cell r="AQ6964">
            <v>0</v>
          </cell>
          <cell r="AV6964">
            <v>0</v>
          </cell>
        </row>
        <row r="6965">
          <cell r="E6965" t="str">
            <v>B26002216</v>
          </cell>
          <cell r="AP6965">
            <v>0</v>
          </cell>
          <cell r="AQ6965">
            <v>0</v>
          </cell>
          <cell r="AV6965">
            <v>0</v>
          </cell>
        </row>
        <row r="6966">
          <cell r="E6966" t="str">
            <v>B26002277</v>
          </cell>
          <cell r="AP6966">
            <v>0</v>
          </cell>
          <cell r="AQ6966">
            <v>0</v>
          </cell>
          <cell r="AV6966">
            <v>0</v>
          </cell>
        </row>
        <row r="6967">
          <cell r="E6967" t="str">
            <v>B26002159</v>
          </cell>
          <cell r="AP6967">
            <v>0</v>
          </cell>
          <cell r="AQ6967">
            <v>0</v>
          </cell>
          <cell r="AV6967">
            <v>1075000</v>
          </cell>
        </row>
        <row r="6968">
          <cell r="E6968" t="str">
            <v>B26001760</v>
          </cell>
          <cell r="AP6968">
            <v>0</v>
          </cell>
          <cell r="AQ6968">
            <v>0</v>
          </cell>
          <cell r="AV6968">
            <v>27250000</v>
          </cell>
        </row>
        <row r="6969">
          <cell r="E6969" t="str">
            <v>B26001760</v>
          </cell>
          <cell r="AP6969">
            <v>250000</v>
          </cell>
          <cell r="AQ6969">
            <v>0</v>
          </cell>
          <cell r="AV6969">
            <v>0</v>
          </cell>
        </row>
        <row r="6970">
          <cell r="E6970" t="str">
            <v>D26002010</v>
          </cell>
          <cell r="AP6970">
            <v>0</v>
          </cell>
          <cell r="AQ6970">
            <v>0</v>
          </cell>
          <cell r="AV6970">
            <v>0</v>
          </cell>
        </row>
        <row r="6971">
          <cell r="E6971" t="str">
            <v>D26002173</v>
          </cell>
          <cell r="AP6971">
            <v>0</v>
          </cell>
          <cell r="AQ6971">
            <v>0</v>
          </cell>
          <cell r="AV6971">
            <v>4682500</v>
          </cell>
        </row>
        <row r="6972">
          <cell r="E6972" t="str">
            <v>D26002174</v>
          </cell>
          <cell r="AP6972">
            <v>0</v>
          </cell>
          <cell r="AQ6972">
            <v>0</v>
          </cell>
          <cell r="AV6972">
            <v>1950000</v>
          </cell>
        </row>
        <row r="6973">
          <cell r="E6973" t="str">
            <v>N26000020</v>
          </cell>
          <cell r="AP6973">
            <v>0</v>
          </cell>
          <cell r="AQ6973">
            <v>0</v>
          </cell>
          <cell r="AV6973">
            <v>0</v>
          </cell>
        </row>
        <row r="6974">
          <cell r="E6974" t="str">
            <v>B26002276</v>
          </cell>
          <cell r="AP6974">
            <v>0</v>
          </cell>
          <cell r="AQ6974">
            <v>0</v>
          </cell>
          <cell r="AV6974">
            <v>0</v>
          </cell>
        </row>
        <row r="6975">
          <cell r="E6975" t="str">
            <v>B26000219</v>
          </cell>
          <cell r="AP6975">
            <v>0</v>
          </cell>
          <cell r="AQ6975">
            <v>0</v>
          </cell>
          <cell r="AV6975">
            <v>6800000</v>
          </cell>
        </row>
        <row r="6976">
          <cell r="E6976" t="str">
            <v>B26000485</v>
          </cell>
          <cell r="AP6976">
            <v>0</v>
          </cell>
          <cell r="AQ6976">
            <v>0</v>
          </cell>
          <cell r="AV6976">
            <v>4087000</v>
          </cell>
        </row>
        <row r="6977">
          <cell r="E6977" t="str">
            <v>B26000584</v>
          </cell>
          <cell r="AP6977">
            <v>0</v>
          </cell>
          <cell r="AQ6977">
            <v>0</v>
          </cell>
          <cell r="AV6977">
            <v>4950000</v>
          </cell>
        </row>
        <row r="6978">
          <cell r="E6978" t="str">
            <v>D26000684</v>
          </cell>
          <cell r="AP6978">
            <v>0</v>
          </cell>
          <cell r="AQ6978">
            <v>0</v>
          </cell>
          <cell r="AV6978">
            <v>4400000</v>
          </cell>
        </row>
        <row r="6979">
          <cell r="E6979" t="str">
            <v>D26000804</v>
          </cell>
          <cell r="AP6979">
            <v>0</v>
          </cell>
          <cell r="AQ6979">
            <v>0</v>
          </cell>
          <cell r="AV6979">
            <v>3560000</v>
          </cell>
        </row>
        <row r="6980">
          <cell r="E6980" t="str">
            <v>B26000976</v>
          </cell>
          <cell r="AP6980">
            <v>0</v>
          </cell>
          <cell r="AQ6980">
            <v>0</v>
          </cell>
          <cell r="AV6980">
            <v>0</v>
          </cell>
        </row>
        <row r="6981">
          <cell r="E6981" t="str">
            <v>D26001640</v>
          </cell>
          <cell r="AP6981">
            <v>0</v>
          </cell>
          <cell r="AQ6981">
            <v>0</v>
          </cell>
          <cell r="AV6981">
            <v>0</v>
          </cell>
        </row>
        <row r="6982">
          <cell r="E6982" t="str">
            <v>B26001677</v>
          </cell>
          <cell r="AP6982">
            <v>0</v>
          </cell>
          <cell r="AQ6982">
            <v>0</v>
          </cell>
          <cell r="AV6982">
            <v>0</v>
          </cell>
        </row>
        <row r="6983">
          <cell r="E6983" t="str">
            <v>B26000814</v>
          </cell>
          <cell r="AP6983">
            <v>0</v>
          </cell>
          <cell r="AQ6983">
            <v>0</v>
          </cell>
          <cell r="AV6983">
            <v>0</v>
          </cell>
        </row>
        <row r="6984">
          <cell r="E6984" t="str">
            <v>D26001220</v>
          </cell>
          <cell r="AP6984">
            <v>0</v>
          </cell>
          <cell r="AQ6984">
            <v>0</v>
          </cell>
          <cell r="AV6984">
            <v>0</v>
          </cell>
        </row>
        <row r="6985">
          <cell r="E6985" t="str">
            <v>D26001575</v>
          </cell>
          <cell r="AP6985">
            <v>0</v>
          </cell>
          <cell r="AQ6985">
            <v>0</v>
          </cell>
          <cell r="AV6985">
            <v>0</v>
          </cell>
        </row>
        <row r="6986">
          <cell r="E6986" t="str">
            <v>B26001946</v>
          </cell>
          <cell r="AP6986">
            <v>0</v>
          </cell>
          <cell r="AQ6986">
            <v>0</v>
          </cell>
          <cell r="AV6986">
            <v>0</v>
          </cell>
        </row>
        <row r="6987">
          <cell r="E6987" t="str">
            <v>B26002070</v>
          </cell>
          <cell r="AP6987">
            <v>0</v>
          </cell>
          <cell r="AQ6987">
            <v>0</v>
          </cell>
          <cell r="AV6987">
            <v>0</v>
          </cell>
        </row>
        <row r="6988">
          <cell r="E6988" t="str">
            <v>D26002200</v>
          </cell>
          <cell r="AP6988">
            <v>0</v>
          </cell>
          <cell r="AQ6988">
            <v>0</v>
          </cell>
          <cell r="AV6988">
            <v>0</v>
          </cell>
        </row>
        <row r="6989">
          <cell r="E6989" t="str">
            <v>B26001792</v>
          </cell>
          <cell r="AP6989">
            <v>0</v>
          </cell>
          <cell r="AQ6989">
            <v>0</v>
          </cell>
          <cell r="AV6989">
            <v>600000</v>
          </cell>
        </row>
        <row r="6990">
          <cell r="E6990" t="str">
            <v>D26001911</v>
          </cell>
          <cell r="AP6990">
            <v>0</v>
          </cell>
          <cell r="AQ6990">
            <v>0</v>
          </cell>
          <cell r="AV6990">
            <v>1275000</v>
          </cell>
        </row>
        <row r="6991">
          <cell r="E6991" t="str">
            <v>B25015974</v>
          </cell>
          <cell r="AP6991">
            <v>0</v>
          </cell>
          <cell r="AQ6991">
            <v>0</v>
          </cell>
          <cell r="AV6991">
            <v>95500000</v>
          </cell>
        </row>
        <row r="6992">
          <cell r="E6992" t="str">
            <v>D26000725</v>
          </cell>
          <cell r="AP6992">
            <v>0</v>
          </cell>
          <cell r="AQ6992">
            <v>0</v>
          </cell>
          <cell r="AV6992">
            <v>3346000</v>
          </cell>
        </row>
        <row r="6993">
          <cell r="E6993" t="str">
            <v>D26001408</v>
          </cell>
          <cell r="AP6993">
            <v>0</v>
          </cell>
          <cell r="AQ6993">
            <v>0</v>
          </cell>
          <cell r="AV6993">
            <v>3235000</v>
          </cell>
        </row>
        <row r="6994">
          <cell r="E6994" t="str">
            <v>D26001653</v>
          </cell>
          <cell r="AP6994">
            <v>0</v>
          </cell>
          <cell r="AQ6994">
            <v>0</v>
          </cell>
          <cell r="AV6994">
            <v>93419000</v>
          </cell>
        </row>
        <row r="6995">
          <cell r="E6995" t="str">
            <v>D26001653</v>
          </cell>
          <cell r="AP6995">
            <v>0</v>
          </cell>
          <cell r="AQ6995">
            <v>0</v>
          </cell>
          <cell r="AV6995">
            <v>50000000</v>
          </cell>
        </row>
        <row r="6996">
          <cell r="E6996" t="str">
            <v>D26002452</v>
          </cell>
          <cell r="AP6996">
            <v>0</v>
          </cell>
          <cell r="AQ6996">
            <v>0</v>
          </cell>
          <cell r="AV6996">
            <v>0</v>
          </cell>
        </row>
        <row r="6997">
          <cell r="E6997" t="str">
            <v>D26002454</v>
          </cell>
          <cell r="AP6997">
            <v>0</v>
          </cell>
          <cell r="AQ6997">
            <v>0</v>
          </cell>
          <cell r="AV6997">
            <v>0</v>
          </cell>
        </row>
        <row r="6998">
          <cell r="E6998" t="str">
            <v>B26001772</v>
          </cell>
          <cell r="AP6998">
            <v>0</v>
          </cell>
          <cell r="AQ6998">
            <v>0</v>
          </cell>
          <cell r="AV6998">
            <v>0</v>
          </cell>
        </row>
        <row r="6999">
          <cell r="E6999" t="str">
            <v>B26001806</v>
          </cell>
          <cell r="AP6999">
            <v>0</v>
          </cell>
          <cell r="AQ6999">
            <v>0</v>
          </cell>
          <cell r="AV6999">
            <v>31200000</v>
          </cell>
        </row>
        <row r="7000">
          <cell r="E7000" t="str">
            <v>N26000017</v>
          </cell>
          <cell r="AP7000">
            <v>0</v>
          </cell>
          <cell r="AQ7000">
            <v>0</v>
          </cell>
          <cell r="AV7000">
            <v>0</v>
          </cell>
        </row>
        <row r="7001">
          <cell r="E7001" t="str">
            <v>D26001652</v>
          </cell>
          <cell r="AP7001">
            <v>0</v>
          </cell>
          <cell r="AQ7001">
            <v>0</v>
          </cell>
          <cell r="AV7001">
            <v>660000</v>
          </cell>
        </row>
        <row r="7002">
          <cell r="E7002" t="str">
            <v>B26001627</v>
          </cell>
          <cell r="AP7002">
            <v>0</v>
          </cell>
          <cell r="AQ7002">
            <v>0</v>
          </cell>
          <cell r="AV7002">
            <v>8910000</v>
          </cell>
        </row>
        <row r="7003">
          <cell r="E7003" t="str">
            <v>B26000016</v>
          </cell>
          <cell r="AP7003">
            <v>0</v>
          </cell>
          <cell r="AQ7003">
            <v>0</v>
          </cell>
          <cell r="AV7003">
            <v>0</v>
          </cell>
        </row>
        <row r="7004">
          <cell r="E7004" t="str">
            <v>B25016667</v>
          </cell>
          <cell r="AP7004">
            <v>0</v>
          </cell>
          <cell r="AQ7004">
            <v>0</v>
          </cell>
          <cell r="AV7004">
            <v>7560000</v>
          </cell>
        </row>
        <row r="7005">
          <cell r="E7005" t="str">
            <v>D26002099</v>
          </cell>
          <cell r="AP7005">
            <v>0</v>
          </cell>
          <cell r="AQ7005">
            <v>0</v>
          </cell>
          <cell r="AV7005">
            <v>165500</v>
          </cell>
        </row>
        <row r="7006">
          <cell r="E7006" t="str">
            <v>D25017411</v>
          </cell>
          <cell r="AP7006">
            <v>0</v>
          </cell>
          <cell r="AQ7006">
            <v>0</v>
          </cell>
          <cell r="AV7006">
            <v>345000</v>
          </cell>
        </row>
        <row r="7007">
          <cell r="E7007" t="str">
            <v>D25017419</v>
          </cell>
          <cell r="AP7007">
            <v>0</v>
          </cell>
          <cell r="AQ7007">
            <v>0</v>
          </cell>
          <cell r="AV7007">
            <v>3330000</v>
          </cell>
        </row>
        <row r="7008">
          <cell r="E7008" t="str">
            <v>D25017766</v>
          </cell>
          <cell r="AP7008">
            <v>0</v>
          </cell>
          <cell r="AQ7008">
            <v>0</v>
          </cell>
          <cell r="AV7008">
            <v>300000</v>
          </cell>
        </row>
        <row r="7009">
          <cell r="E7009" t="str">
            <v>D25017998</v>
          </cell>
          <cell r="AP7009">
            <v>0</v>
          </cell>
          <cell r="AQ7009">
            <v>0</v>
          </cell>
          <cell r="AV7009">
            <v>1415000</v>
          </cell>
        </row>
        <row r="7010">
          <cell r="E7010" t="str">
            <v>D25018321</v>
          </cell>
          <cell r="AP7010">
            <v>0</v>
          </cell>
          <cell r="AQ7010">
            <v>0</v>
          </cell>
          <cell r="AV7010">
            <v>3237500</v>
          </cell>
        </row>
        <row r="7011">
          <cell r="E7011" t="str">
            <v>D25018366</v>
          </cell>
          <cell r="AP7011">
            <v>0</v>
          </cell>
          <cell r="AQ7011">
            <v>0</v>
          </cell>
          <cell r="AV7011">
            <v>3618000</v>
          </cell>
        </row>
        <row r="7012">
          <cell r="E7012" t="str">
            <v>T25001824</v>
          </cell>
          <cell r="AP7012">
            <v>0</v>
          </cell>
          <cell r="AQ7012">
            <v>0</v>
          </cell>
          <cell r="AV7012">
            <v>2250000</v>
          </cell>
        </row>
        <row r="7013">
          <cell r="E7013" t="str">
            <v>B25016167</v>
          </cell>
          <cell r="AP7013">
            <v>0</v>
          </cell>
          <cell r="AQ7013">
            <v>0</v>
          </cell>
          <cell r="AV7013">
            <v>3072500</v>
          </cell>
        </row>
        <row r="7014">
          <cell r="E7014" t="str">
            <v>B25016275</v>
          </cell>
          <cell r="AP7014">
            <v>0</v>
          </cell>
          <cell r="AQ7014">
            <v>0</v>
          </cell>
          <cell r="AV7014">
            <v>1492000</v>
          </cell>
        </row>
        <row r="7015">
          <cell r="E7015" t="str">
            <v>B25016275</v>
          </cell>
          <cell r="AP7015">
            <v>0</v>
          </cell>
          <cell r="AQ7015">
            <v>0</v>
          </cell>
          <cell r="AV7015">
            <v>4538000</v>
          </cell>
        </row>
        <row r="7016">
          <cell r="E7016" t="str">
            <v>B25016313</v>
          </cell>
          <cell r="AP7016">
            <v>0</v>
          </cell>
          <cell r="AQ7016">
            <v>0</v>
          </cell>
          <cell r="AV7016">
            <v>3400000</v>
          </cell>
        </row>
        <row r="7017">
          <cell r="E7017" t="str">
            <v>B25016456</v>
          </cell>
          <cell r="AP7017">
            <v>0</v>
          </cell>
          <cell r="AQ7017">
            <v>0</v>
          </cell>
          <cell r="AV7017">
            <v>3366000</v>
          </cell>
        </row>
        <row r="7018">
          <cell r="E7018" t="str">
            <v>B25016558</v>
          </cell>
          <cell r="AP7018">
            <v>0</v>
          </cell>
          <cell r="AQ7018">
            <v>0</v>
          </cell>
          <cell r="AV7018">
            <v>10000000</v>
          </cell>
        </row>
        <row r="7019">
          <cell r="E7019" t="str">
            <v>B25016558</v>
          </cell>
          <cell r="AP7019">
            <v>0</v>
          </cell>
          <cell r="AQ7019">
            <v>0</v>
          </cell>
          <cell r="AV7019">
            <v>2240000</v>
          </cell>
        </row>
        <row r="7020">
          <cell r="E7020" t="str">
            <v>B25016603</v>
          </cell>
          <cell r="AP7020">
            <v>0</v>
          </cell>
          <cell r="AQ7020">
            <v>0</v>
          </cell>
          <cell r="AV7020">
            <v>0</v>
          </cell>
        </row>
        <row r="7021">
          <cell r="E7021" t="str">
            <v>B25016604</v>
          </cell>
          <cell r="AP7021">
            <v>0</v>
          </cell>
          <cell r="AQ7021">
            <v>0</v>
          </cell>
          <cell r="AV7021">
            <v>292000</v>
          </cell>
        </row>
        <row r="7022">
          <cell r="E7022" t="str">
            <v>D25019192</v>
          </cell>
          <cell r="AP7022">
            <v>0</v>
          </cell>
          <cell r="AQ7022">
            <v>0</v>
          </cell>
          <cell r="AV7022">
            <v>8160000</v>
          </cell>
        </row>
        <row r="7023">
          <cell r="E7023" t="str">
            <v>B25016783</v>
          </cell>
          <cell r="AP7023">
            <v>0</v>
          </cell>
          <cell r="AQ7023">
            <v>0</v>
          </cell>
          <cell r="AV7023">
            <v>0</v>
          </cell>
        </row>
        <row r="7024">
          <cell r="E7024" t="str">
            <v>D25019403</v>
          </cell>
          <cell r="AP7024">
            <v>0</v>
          </cell>
          <cell r="AQ7024">
            <v>0</v>
          </cell>
          <cell r="AV7024">
            <v>0</v>
          </cell>
        </row>
        <row r="7025">
          <cell r="E7025" t="str">
            <v>D25019424</v>
          </cell>
          <cell r="AP7025">
            <v>0</v>
          </cell>
          <cell r="AQ7025">
            <v>0</v>
          </cell>
          <cell r="AV7025">
            <v>1960000</v>
          </cell>
        </row>
        <row r="7026">
          <cell r="E7026" t="str">
            <v>B25016960</v>
          </cell>
          <cell r="AP7026">
            <v>0</v>
          </cell>
          <cell r="AQ7026">
            <v>0</v>
          </cell>
          <cell r="AV7026">
            <v>0</v>
          </cell>
        </row>
        <row r="7027">
          <cell r="E7027" t="str">
            <v>D26000276</v>
          </cell>
          <cell r="AP7027">
            <v>0</v>
          </cell>
          <cell r="AQ7027">
            <v>0</v>
          </cell>
          <cell r="AV7027">
            <v>0</v>
          </cell>
        </row>
        <row r="7028">
          <cell r="E7028" t="str">
            <v>D26000277</v>
          </cell>
          <cell r="AP7028">
            <v>0</v>
          </cell>
          <cell r="AQ7028">
            <v>0</v>
          </cell>
          <cell r="AV7028">
            <v>3720000</v>
          </cell>
        </row>
        <row r="7029">
          <cell r="E7029" t="str">
            <v>B26000405</v>
          </cell>
          <cell r="AP7029">
            <v>0</v>
          </cell>
          <cell r="AQ7029">
            <v>0</v>
          </cell>
          <cell r="AV7029">
            <v>2976000</v>
          </cell>
        </row>
        <row r="7030">
          <cell r="E7030" t="str">
            <v>D26001002</v>
          </cell>
          <cell r="AP7030">
            <v>0</v>
          </cell>
          <cell r="AQ7030">
            <v>0</v>
          </cell>
          <cell r="AV7030">
            <v>0</v>
          </cell>
        </row>
        <row r="7031">
          <cell r="E7031" t="str">
            <v>D26001158</v>
          </cell>
          <cell r="AP7031">
            <v>0</v>
          </cell>
          <cell r="AQ7031">
            <v>0</v>
          </cell>
          <cell r="AV7031">
            <v>0</v>
          </cell>
        </row>
        <row r="7032">
          <cell r="E7032" t="str">
            <v>D26001159</v>
          </cell>
          <cell r="AP7032">
            <v>0</v>
          </cell>
          <cell r="AQ7032">
            <v>0</v>
          </cell>
          <cell r="AV7032">
            <v>0</v>
          </cell>
        </row>
        <row r="7033">
          <cell r="E7033" t="str">
            <v>D26001418</v>
          </cell>
          <cell r="AP7033">
            <v>0</v>
          </cell>
          <cell r="AQ7033">
            <v>0</v>
          </cell>
          <cell r="AV7033">
            <v>0</v>
          </cell>
        </row>
        <row r="7034">
          <cell r="E7034" t="str">
            <v>B26001370</v>
          </cell>
          <cell r="AP7034">
            <v>0</v>
          </cell>
          <cell r="AQ7034">
            <v>0</v>
          </cell>
          <cell r="AV7034">
            <v>0</v>
          </cell>
        </row>
        <row r="7035">
          <cell r="E7035" t="str">
            <v>D26001439</v>
          </cell>
          <cell r="AP7035">
            <v>0</v>
          </cell>
          <cell r="AQ7035">
            <v>0</v>
          </cell>
          <cell r="AV7035">
            <v>0</v>
          </cell>
        </row>
        <row r="7036">
          <cell r="E7036" t="str">
            <v>B26001690</v>
          </cell>
          <cell r="AP7036">
            <v>0</v>
          </cell>
          <cell r="AQ7036">
            <v>0</v>
          </cell>
          <cell r="AV7036">
            <v>0</v>
          </cell>
        </row>
        <row r="7037">
          <cell r="E7037" t="str">
            <v>D26001776</v>
          </cell>
          <cell r="AP7037">
            <v>0</v>
          </cell>
          <cell r="AQ7037">
            <v>0</v>
          </cell>
          <cell r="AV7037">
            <v>0</v>
          </cell>
        </row>
        <row r="7038">
          <cell r="E7038" t="str">
            <v>B26001814</v>
          </cell>
          <cell r="AP7038">
            <v>0</v>
          </cell>
          <cell r="AQ7038">
            <v>0</v>
          </cell>
          <cell r="AV7038">
            <v>0</v>
          </cell>
        </row>
        <row r="7039">
          <cell r="E7039" t="str">
            <v>D26001916</v>
          </cell>
          <cell r="AP7039">
            <v>0</v>
          </cell>
          <cell r="AQ7039">
            <v>0</v>
          </cell>
          <cell r="AV7039">
            <v>0</v>
          </cell>
        </row>
        <row r="7040">
          <cell r="E7040" t="str">
            <v>B26002064</v>
          </cell>
          <cell r="AP7040">
            <v>0</v>
          </cell>
          <cell r="AQ7040">
            <v>0</v>
          </cell>
          <cell r="AV7040">
            <v>0</v>
          </cell>
        </row>
        <row r="7041">
          <cell r="E7041" t="str">
            <v>T26000153</v>
          </cell>
          <cell r="AP7041">
            <v>0</v>
          </cell>
          <cell r="AQ7041">
            <v>0</v>
          </cell>
          <cell r="AV7041">
            <v>0</v>
          </cell>
        </row>
        <row r="7042">
          <cell r="E7042" t="str">
            <v>B26002242</v>
          </cell>
          <cell r="AP7042">
            <v>0</v>
          </cell>
          <cell r="AQ7042">
            <v>0</v>
          </cell>
          <cell r="AV7042">
            <v>0</v>
          </cell>
        </row>
        <row r="7043">
          <cell r="E7043" t="str">
            <v>B26002243</v>
          </cell>
          <cell r="AP7043">
            <v>0</v>
          </cell>
          <cell r="AQ7043">
            <v>0</v>
          </cell>
          <cell r="AV7043">
            <v>0</v>
          </cell>
        </row>
        <row r="7044">
          <cell r="E7044" t="str">
            <v>B25013621</v>
          </cell>
          <cell r="AP7044">
            <v>0</v>
          </cell>
          <cell r="AQ7044">
            <v>0</v>
          </cell>
          <cell r="AV7044">
            <v>19400000</v>
          </cell>
        </row>
        <row r="7045">
          <cell r="E7045" t="str">
            <v>D25017834</v>
          </cell>
          <cell r="AP7045">
            <v>0</v>
          </cell>
          <cell r="AQ7045">
            <v>0</v>
          </cell>
          <cell r="AV7045">
            <v>600000</v>
          </cell>
        </row>
        <row r="7046">
          <cell r="E7046" t="str">
            <v>D25017834</v>
          </cell>
          <cell r="AP7046">
            <v>0</v>
          </cell>
          <cell r="AQ7046">
            <v>0</v>
          </cell>
          <cell r="AV7046">
            <v>20000000</v>
          </cell>
        </row>
        <row r="7047">
          <cell r="E7047" t="str">
            <v>D26001853</v>
          </cell>
          <cell r="AP7047">
            <v>0</v>
          </cell>
          <cell r="AQ7047">
            <v>0</v>
          </cell>
          <cell r="AV7047">
            <v>7360000</v>
          </cell>
        </row>
        <row r="7048">
          <cell r="E7048" t="str">
            <v>D26000505</v>
          </cell>
          <cell r="AP7048">
            <v>0</v>
          </cell>
          <cell r="AQ7048">
            <v>0</v>
          </cell>
          <cell r="AV7048">
            <v>33387500</v>
          </cell>
        </row>
        <row r="7049">
          <cell r="E7049" t="str">
            <v>D26001027</v>
          </cell>
          <cell r="AP7049">
            <v>0</v>
          </cell>
          <cell r="AQ7049">
            <v>0</v>
          </cell>
          <cell r="AV7049">
            <v>0</v>
          </cell>
        </row>
        <row r="7050">
          <cell r="E7050" t="str">
            <v>B26002188</v>
          </cell>
          <cell r="AP7050">
            <v>0</v>
          </cell>
          <cell r="AQ7050">
            <v>0</v>
          </cell>
          <cell r="AV7050">
            <v>0</v>
          </cell>
        </row>
        <row r="7051">
          <cell r="E7051" t="str">
            <v>R25000105</v>
          </cell>
          <cell r="AP7051">
            <v>0</v>
          </cell>
          <cell r="AQ7051">
            <v>0</v>
          </cell>
          <cell r="AV7051">
            <v>0</v>
          </cell>
        </row>
        <row r="7052">
          <cell r="E7052" t="str">
            <v>B26000187</v>
          </cell>
          <cell r="AP7052">
            <v>0</v>
          </cell>
          <cell r="AQ7052">
            <v>0</v>
          </cell>
          <cell r="AV7052">
            <v>3672000</v>
          </cell>
        </row>
        <row r="7053">
          <cell r="E7053" t="str">
            <v>B26000188</v>
          </cell>
          <cell r="AP7053">
            <v>0</v>
          </cell>
          <cell r="AQ7053">
            <v>0</v>
          </cell>
          <cell r="AV7053">
            <v>29805000</v>
          </cell>
        </row>
        <row r="7054">
          <cell r="E7054" t="str">
            <v>B26001397</v>
          </cell>
          <cell r="AP7054">
            <v>0</v>
          </cell>
          <cell r="AQ7054">
            <v>0</v>
          </cell>
          <cell r="AV7054">
            <v>0</v>
          </cell>
        </row>
        <row r="7055">
          <cell r="E7055" t="str">
            <v>B26001398</v>
          </cell>
          <cell r="AP7055">
            <v>0</v>
          </cell>
          <cell r="AQ7055">
            <v>0</v>
          </cell>
          <cell r="AV7055">
            <v>0</v>
          </cell>
        </row>
        <row r="7056">
          <cell r="E7056" t="str">
            <v>D26002134</v>
          </cell>
          <cell r="AP7056">
            <v>0</v>
          </cell>
          <cell r="AQ7056">
            <v>0</v>
          </cell>
          <cell r="AV7056">
            <v>0</v>
          </cell>
        </row>
        <row r="7057">
          <cell r="E7057" t="str">
            <v>D26002232</v>
          </cell>
          <cell r="AP7057">
            <v>0</v>
          </cell>
          <cell r="AQ7057">
            <v>0</v>
          </cell>
          <cell r="AV7057">
            <v>0</v>
          </cell>
        </row>
        <row r="7058">
          <cell r="E7058" t="str">
            <v>D26002234</v>
          </cell>
          <cell r="AP7058">
            <v>0</v>
          </cell>
          <cell r="AQ7058">
            <v>0</v>
          </cell>
          <cell r="AV7058">
            <v>0</v>
          </cell>
        </row>
        <row r="7059">
          <cell r="E7059" t="str">
            <v>D26002006</v>
          </cell>
          <cell r="AP7059">
            <v>0</v>
          </cell>
          <cell r="AQ7059">
            <v>0</v>
          </cell>
          <cell r="AV7059">
            <v>0</v>
          </cell>
        </row>
        <row r="7060">
          <cell r="E7060" t="str">
            <v>D26002004</v>
          </cell>
          <cell r="AP7060">
            <v>0</v>
          </cell>
          <cell r="AQ7060">
            <v>0</v>
          </cell>
          <cell r="AV7060">
            <v>0</v>
          </cell>
        </row>
        <row r="7061">
          <cell r="E7061" t="str">
            <v>T26000170</v>
          </cell>
          <cell r="AP7061">
            <v>0</v>
          </cell>
          <cell r="AQ7061">
            <v>0</v>
          </cell>
          <cell r="AV7061">
            <v>0</v>
          </cell>
        </row>
        <row r="7062">
          <cell r="E7062" t="str">
            <v>D26001373</v>
          </cell>
          <cell r="AP7062">
            <v>0</v>
          </cell>
          <cell r="AQ7062">
            <v>0</v>
          </cell>
          <cell r="AV7062">
            <v>27880000</v>
          </cell>
        </row>
        <row r="7063">
          <cell r="E7063" t="str">
            <v>D26001876</v>
          </cell>
          <cell r="AP7063">
            <v>0</v>
          </cell>
          <cell r="AQ7063">
            <v>0</v>
          </cell>
          <cell r="AV7063">
            <v>14630000</v>
          </cell>
        </row>
        <row r="7064">
          <cell r="E7064" t="str">
            <v>B26002190</v>
          </cell>
          <cell r="AP7064">
            <v>0</v>
          </cell>
          <cell r="AQ7064">
            <v>0</v>
          </cell>
          <cell r="AV7064">
            <v>0</v>
          </cell>
        </row>
        <row r="7065">
          <cell r="E7065" t="str">
            <v>D26001702</v>
          </cell>
          <cell r="AP7065">
            <v>0</v>
          </cell>
          <cell r="AQ7065">
            <v>0</v>
          </cell>
          <cell r="AV7065">
            <v>8600000</v>
          </cell>
        </row>
        <row r="7066">
          <cell r="E7066" t="str">
            <v>B26001597</v>
          </cell>
          <cell r="AP7066">
            <v>0</v>
          </cell>
          <cell r="AQ7066">
            <v>0</v>
          </cell>
          <cell r="AV7066">
            <v>9200000</v>
          </cell>
        </row>
        <row r="7067">
          <cell r="E7067" t="str">
            <v>D26002024</v>
          </cell>
          <cell r="AP7067">
            <v>0</v>
          </cell>
          <cell r="AQ7067">
            <v>0</v>
          </cell>
          <cell r="AV7067">
            <v>7750000</v>
          </cell>
        </row>
        <row r="7068">
          <cell r="E7068" t="str">
            <v>D26002351</v>
          </cell>
          <cell r="AP7068">
            <v>0</v>
          </cell>
          <cell r="AQ7068">
            <v>0</v>
          </cell>
          <cell r="AV7068">
            <v>22300000</v>
          </cell>
        </row>
        <row r="7069">
          <cell r="E7069" t="str">
            <v>D25019612</v>
          </cell>
          <cell r="AP7069">
            <v>0</v>
          </cell>
          <cell r="AQ7069">
            <v>0</v>
          </cell>
          <cell r="AV7069">
            <v>6030000</v>
          </cell>
        </row>
        <row r="7070">
          <cell r="E7070" t="str">
            <v>D25019613</v>
          </cell>
          <cell r="AP7070">
            <v>0</v>
          </cell>
          <cell r="AQ7070">
            <v>0</v>
          </cell>
          <cell r="AV7070">
            <v>6030000</v>
          </cell>
        </row>
        <row r="7071">
          <cell r="E7071" t="str">
            <v>B26000807</v>
          </cell>
          <cell r="AP7071">
            <v>0</v>
          </cell>
          <cell r="AQ7071">
            <v>0</v>
          </cell>
          <cell r="AV7071">
            <v>0</v>
          </cell>
        </row>
        <row r="7072">
          <cell r="E7072" t="str">
            <v>B26000838</v>
          </cell>
          <cell r="AP7072">
            <v>0</v>
          </cell>
          <cell r="AQ7072">
            <v>0</v>
          </cell>
          <cell r="AV7072">
            <v>0</v>
          </cell>
        </row>
        <row r="7073">
          <cell r="E7073" t="str">
            <v>B26001071</v>
          </cell>
          <cell r="AP7073">
            <v>0</v>
          </cell>
          <cell r="AQ7073">
            <v>0</v>
          </cell>
          <cell r="AV7073">
            <v>0</v>
          </cell>
        </row>
        <row r="7074">
          <cell r="E7074" t="str">
            <v>B26001072</v>
          </cell>
          <cell r="AP7074">
            <v>0</v>
          </cell>
          <cell r="AQ7074">
            <v>0</v>
          </cell>
          <cell r="AV7074">
            <v>0</v>
          </cell>
        </row>
        <row r="7075">
          <cell r="E7075" t="str">
            <v>D26001584</v>
          </cell>
          <cell r="AP7075">
            <v>0</v>
          </cell>
          <cell r="AQ7075">
            <v>0</v>
          </cell>
          <cell r="AV7075">
            <v>0</v>
          </cell>
        </row>
        <row r="7076">
          <cell r="E7076" t="str">
            <v>D26001585</v>
          </cell>
          <cell r="AP7076">
            <v>0</v>
          </cell>
          <cell r="AQ7076">
            <v>0</v>
          </cell>
          <cell r="AV7076">
            <v>0</v>
          </cell>
        </row>
        <row r="7077">
          <cell r="E7077" t="str">
            <v>D26001614</v>
          </cell>
          <cell r="AP7077">
            <v>0</v>
          </cell>
          <cell r="AQ7077">
            <v>0</v>
          </cell>
          <cell r="AV7077">
            <v>0</v>
          </cell>
        </row>
        <row r="7078">
          <cell r="E7078" t="str">
            <v>T26000114</v>
          </cell>
          <cell r="AP7078">
            <v>0</v>
          </cell>
          <cell r="AQ7078">
            <v>0</v>
          </cell>
          <cell r="AV7078">
            <v>1940000</v>
          </cell>
        </row>
        <row r="7079">
          <cell r="E7079" t="str">
            <v>D25018570</v>
          </cell>
          <cell r="AP7079">
            <v>0</v>
          </cell>
          <cell r="AQ7079">
            <v>0</v>
          </cell>
          <cell r="AV7079">
            <v>14900000</v>
          </cell>
        </row>
        <row r="7080">
          <cell r="E7080" t="str">
            <v>D25018687</v>
          </cell>
          <cell r="AP7080">
            <v>0</v>
          </cell>
          <cell r="AQ7080">
            <v>0</v>
          </cell>
          <cell r="AV7080">
            <v>0</v>
          </cell>
        </row>
        <row r="7081">
          <cell r="E7081" t="str">
            <v>B25016269</v>
          </cell>
          <cell r="AP7081">
            <v>0</v>
          </cell>
          <cell r="AQ7081">
            <v>0</v>
          </cell>
          <cell r="AV7081">
            <v>0</v>
          </cell>
        </row>
        <row r="7082">
          <cell r="E7082" t="str">
            <v>D25018993</v>
          </cell>
          <cell r="AP7082">
            <v>0</v>
          </cell>
          <cell r="AQ7082">
            <v>0</v>
          </cell>
          <cell r="AV7082">
            <v>0</v>
          </cell>
        </row>
        <row r="7083">
          <cell r="E7083" t="str">
            <v>T25001505</v>
          </cell>
          <cell r="AP7083">
            <v>0</v>
          </cell>
          <cell r="AQ7083">
            <v>0</v>
          </cell>
          <cell r="AV7083">
            <v>0</v>
          </cell>
        </row>
        <row r="7084">
          <cell r="E7084" t="str">
            <v>D26000048</v>
          </cell>
          <cell r="AP7084">
            <v>0</v>
          </cell>
          <cell r="AQ7084">
            <v>0</v>
          </cell>
          <cell r="AV7084">
            <v>0</v>
          </cell>
        </row>
        <row r="7085">
          <cell r="E7085" t="str">
            <v>B26001784</v>
          </cell>
          <cell r="AP7085">
            <v>0</v>
          </cell>
          <cell r="AQ7085">
            <v>0</v>
          </cell>
          <cell r="AV7085">
            <v>0</v>
          </cell>
        </row>
        <row r="7086">
          <cell r="E7086" t="str">
            <v>B26001961</v>
          </cell>
          <cell r="AP7086">
            <v>0</v>
          </cell>
          <cell r="AQ7086">
            <v>0</v>
          </cell>
          <cell r="AV7086">
            <v>5160000</v>
          </cell>
        </row>
        <row r="7087">
          <cell r="E7087" t="str">
            <v>D26002139</v>
          </cell>
          <cell r="AP7087">
            <v>0</v>
          </cell>
          <cell r="AQ7087">
            <v>0</v>
          </cell>
          <cell r="AV7087">
            <v>3200000</v>
          </cell>
        </row>
        <row r="7088">
          <cell r="E7088" t="str">
            <v>B26000141</v>
          </cell>
          <cell r="AP7088">
            <v>0</v>
          </cell>
          <cell r="AQ7088">
            <v>0</v>
          </cell>
          <cell r="AV7088">
            <v>4680000</v>
          </cell>
        </row>
        <row r="7089">
          <cell r="E7089" t="str">
            <v>T26000013</v>
          </cell>
          <cell r="AP7089">
            <v>0</v>
          </cell>
          <cell r="AQ7089">
            <v>0</v>
          </cell>
          <cell r="AV7089">
            <v>0</v>
          </cell>
        </row>
        <row r="7090">
          <cell r="E7090" t="str">
            <v>D26001489</v>
          </cell>
          <cell r="AP7090">
            <v>0</v>
          </cell>
          <cell r="AQ7090">
            <v>0</v>
          </cell>
          <cell r="AV7090">
            <v>0</v>
          </cell>
        </row>
        <row r="7091">
          <cell r="E7091" t="str">
            <v>B26002186</v>
          </cell>
          <cell r="AP7091">
            <v>0</v>
          </cell>
          <cell r="AQ7091">
            <v>0</v>
          </cell>
          <cell r="AV7091">
            <v>0</v>
          </cell>
        </row>
        <row r="7092">
          <cell r="E7092" t="str">
            <v>B26001205</v>
          </cell>
          <cell r="AP7092">
            <v>0</v>
          </cell>
          <cell r="AQ7092">
            <v>0</v>
          </cell>
          <cell r="AV7092">
            <v>0</v>
          </cell>
        </row>
        <row r="7093">
          <cell r="E7093" t="str">
            <v>B26001876</v>
          </cell>
          <cell r="AP7093">
            <v>0</v>
          </cell>
          <cell r="AQ7093">
            <v>0</v>
          </cell>
          <cell r="AV7093">
            <v>0</v>
          </cell>
        </row>
        <row r="7094">
          <cell r="E7094" t="str">
            <v>T25001864</v>
          </cell>
          <cell r="AP7094">
            <v>0</v>
          </cell>
          <cell r="AQ7094">
            <v>0</v>
          </cell>
          <cell r="AV7094">
            <v>0</v>
          </cell>
        </row>
        <row r="7095">
          <cell r="E7095" t="str">
            <v>D25019346</v>
          </cell>
          <cell r="AP7095">
            <v>0</v>
          </cell>
          <cell r="AQ7095">
            <v>0</v>
          </cell>
          <cell r="AV7095">
            <v>3705000</v>
          </cell>
        </row>
        <row r="7096">
          <cell r="E7096" t="str">
            <v>B26000220</v>
          </cell>
          <cell r="AP7096">
            <v>0</v>
          </cell>
          <cell r="AQ7096">
            <v>0</v>
          </cell>
          <cell r="AV7096">
            <v>4415000</v>
          </cell>
        </row>
        <row r="7097">
          <cell r="E7097" t="str">
            <v>B26000221</v>
          </cell>
          <cell r="AP7097">
            <v>0</v>
          </cell>
          <cell r="AQ7097">
            <v>0</v>
          </cell>
          <cell r="AV7097">
            <v>0</v>
          </cell>
        </row>
        <row r="7098">
          <cell r="E7098" t="str">
            <v>B26000931</v>
          </cell>
          <cell r="AP7098">
            <v>0</v>
          </cell>
          <cell r="AQ7098">
            <v>0</v>
          </cell>
          <cell r="AV7098">
            <v>0</v>
          </cell>
        </row>
        <row r="7099">
          <cell r="E7099" t="str">
            <v>B26000932</v>
          </cell>
          <cell r="AP7099">
            <v>0</v>
          </cell>
          <cell r="AQ7099">
            <v>0</v>
          </cell>
          <cell r="AV7099">
            <v>0</v>
          </cell>
        </row>
        <row r="7100">
          <cell r="E7100" t="str">
            <v>D26001259</v>
          </cell>
          <cell r="AP7100">
            <v>0</v>
          </cell>
          <cell r="AQ7100">
            <v>0</v>
          </cell>
          <cell r="AV7100">
            <v>0</v>
          </cell>
        </row>
        <row r="7101">
          <cell r="E7101" t="str">
            <v>B26001890</v>
          </cell>
          <cell r="AP7101">
            <v>0</v>
          </cell>
          <cell r="AQ7101">
            <v>0</v>
          </cell>
          <cell r="AV7101">
            <v>0</v>
          </cell>
        </row>
        <row r="7102">
          <cell r="E7102" t="str">
            <v>B26001506</v>
          </cell>
          <cell r="AP7102">
            <v>0</v>
          </cell>
          <cell r="AQ7102">
            <v>0</v>
          </cell>
          <cell r="AV7102">
            <v>0</v>
          </cell>
        </row>
        <row r="7103">
          <cell r="E7103" t="str">
            <v>B26001507</v>
          </cell>
          <cell r="AP7103">
            <v>0</v>
          </cell>
          <cell r="AQ7103">
            <v>0</v>
          </cell>
          <cell r="AV7103">
            <v>0</v>
          </cell>
        </row>
        <row r="7104">
          <cell r="E7104" t="str">
            <v>D26001750</v>
          </cell>
          <cell r="AP7104">
            <v>0</v>
          </cell>
          <cell r="AQ7104">
            <v>0</v>
          </cell>
          <cell r="AV7104">
            <v>0</v>
          </cell>
        </row>
        <row r="7105">
          <cell r="E7105" t="str">
            <v>B26001894</v>
          </cell>
          <cell r="AP7105">
            <v>0</v>
          </cell>
          <cell r="AQ7105">
            <v>0</v>
          </cell>
          <cell r="AV7105">
            <v>5240000</v>
          </cell>
        </row>
        <row r="7106">
          <cell r="E7106" t="str">
            <v>D25019133</v>
          </cell>
          <cell r="AP7106">
            <v>0</v>
          </cell>
          <cell r="AQ7106">
            <v>0</v>
          </cell>
          <cell r="AV7106">
            <v>900000</v>
          </cell>
        </row>
        <row r="7107">
          <cell r="E7107" t="str">
            <v>B25016733</v>
          </cell>
          <cell r="AP7107">
            <v>0</v>
          </cell>
          <cell r="AQ7107">
            <v>0</v>
          </cell>
          <cell r="AV7107">
            <v>1375000</v>
          </cell>
        </row>
        <row r="7108">
          <cell r="E7108" t="str">
            <v>D25019444</v>
          </cell>
          <cell r="AP7108">
            <v>0</v>
          </cell>
          <cell r="AQ7108">
            <v>0</v>
          </cell>
          <cell r="AV7108">
            <v>3208800</v>
          </cell>
        </row>
        <row r="7109">
          <cell r="E7109" t="str">
            <v>B25016945</v>
          </cell>
          <cell r="AP7109">
            <v>0</v>
          </cell>
          <cell r="AQ7109">
            <v>0</v>
          </cell>
          <cell r="AV7109">
            <v>1350000</v>
          </cell>
        </row>
        <row r="7110">
          <cell r="E7110" t="str">
            <v>B25017122</v>
          </cell>
          <cell r="AP7110">
            <v>0</v>
          </cell>
          <cell r="AQ7110">
            <v>0</v>
          </cell>
          <cell r="AV7110">
            <v>1350000</v>
          </cell>
        </row>
        <row r="7111">
          <cell r="E7111" t="str">
            <v>B26000035</v>
          </cell>
          <cell r="AP7111">
            <v>0</v>
          </cell>
          <cell r="AQ7111">
            <v>0</v>
          </cell>
          <cell r="AV7111">
            <v>1687500</v>
          </cell>
        </row>
        <row r="7112">
          <cell r="E7112" t="str">
            <v>D26000341</v>
          </cell>
          <cell r="AP7112">
            <v>0</v>
          </cell>
          <cell r="AQ7112">
            <v>0</v>
          </cell>
          <cell r="AV7112">
            <v>0</v>
          </cell>
        </row>
        <row r="7113">
          <cell r="E7113" t="str">
            <v>D26000357</v>
          </cell>
          <cell r="AP7113">
            <v>0</v>
          </cell>
          <cell r="AQ7113">
            <v>0</v>
          </cell>
          <cell r="AV7113">
            <v>0</v>
          </cell>
        </row>
        <row r="7114">
          <cell r="E7114" t="str">
            <v>D26000366</v>
          </cell>
          <cell r="AP7114">
            <v>0</v>
          </cell>
          <cell r="AQ7114">
            <v>0</v>
          </cell>
          <cell r="AV7114">
            <v>0</v>
          </cell>
        </row>
        <row r="7115">
          <cell r="E7115" t="str">
            <v>D26000517</v>
          </cell>
          <cell r="AP7115">
            <v>0</v>
          </cell>
          <cell r="AQ7115">
            <v>0</v>
          </cell>
          <cell r="AV7115">
            <v>0</v>
          </cell>
        </row>
        <row r="7116">
          <cell r="E7116" t="str">
            <v>B26000611</v>
          </cell>
          <cell r="AP7116">
            <v>0</v>
          </cell>
          <cell r="AQ7116">
            <v>0</v>
          </cell>
          <cell r="AV7116">
            <v>0</v>
          </cell>
        </row>
        <row r="7117">
          <cell r="E7117" t="str">
            <v>B26000612</v>
          </cell>
          <cell r="AP7117">
            <v>0</v>
          </cell>
          <cell r="AQ7117">
            <v>0</v>
          </cell>
          <cell r="AV7117">
            <v>0</v>
          </cell>
        </row>
        <row r="7118">
          <cell r="E7118" t="str">
            <v>D26000792</v>
          </cell>
          <cell r="AP7118">
            <v>0</v>
          </cell>
          <cell r="AQ7118">
            <v>0</v>
          </cell>
          <cell r="AV7118">
            <v>0</v>
          </cell>
        </row>
        <row r="7119">
          <cell r="E7119" t="str">
            <v>D26000813</v>
          </cell>
          <cell r="AP7119">
            <v>0</v>
          </cell>
          <cell r="AQ7119">
            <v>0</v>
          </cell>
          <cell r="AV7119">
            <v>0</v>
          </cell>
        </row>
        <row r="7120">
          <cell r="E7120" t="str">
            <v>D26000815</v>
          </cell>
          <cell r="AP7120">
            <v>0</v>
          </cell>
          <cell r="AQ7120">
            <v>0</v>
          </cell>
          <cell r="AV7120">
            <v>0</v>
          </cell>
        </row>
        <row r="7121">
          <cell r="E7121" t="str">
            <v>B26000922</v>
          </cell>
          <cell r="AP7121">
            <v>0</v>
          </cell>
          <cell r="AQ7121">
            <v>0</v>
          </cell>
          <cell r="AV7121">
            <v>0</v>
          </cell>
        </row>
        <row r="7122">
          <cell r="E7122" t="str">
            <v>D26000949</v>
          </cell>
          <cell r="AP7122">
            <v>0</v>
          </cell>
          <cell r="AQ7122">
            <v>0</v>
          </cell>
          <cell r="AV7122">
            <v>0</v>
          </cell>
        </row>
        <row r="7123">
          <cell r="E7123" t="str">
            <v>D26001054</v>
          </cell>
          <cell r="AP7123">
            <v>0</v>
          </cell>
          <cell r="AQ7123">
            <v>0</v>
          </cell>
          <cell r="AV7123">
            <v>0</v>
          </cell>
        </row>
        <row r="7124">
          <cell r="E7124" t="str">
            <v>B26001005</v>
          </cell>
          <cell r="AP7124">
            <v>0</v>
          </cell>
          <cell r="AQ7124">
            <v>0</v>
          </cell>
          <cell r="AV7124">
            <v>0</v>
          </cell>
        </row>
        <row r="7125">
          <cell r="E7125" t="str">
            <v>D26001288</v>
          </cell>
          <cell r="AP7125">
            <v>0</v>
          </cell>
          <cell r="AQ7125">
            <v>0</v>
          </cell>
          <cell r="AV7125">
            <v>0</v>
          </cell>
        </row>
        <row r="7126">
          <cell r="E7126" t="str">
            <v>B26001504</v>
          </cell>
          <cell r="AP7126">
            <v>0</v>
          </cell>
          <cell r="AQ7126">
            <v>0</v>
          </cell>
          <cell r="AV7126">
            <v>0</v>
          </cell>
        </row>
        <row r="7127">
          <cell r="E7127" t="str">
            <v>D26001650</v>
          </cell>
          <cell r="AP7127">
            <v>0</v>
          </cell>
          <cell r="AQ7127">
            <v>0</v>
          </cell>
          <cell r="AV7127">
            <v>0</v>
          </cell>
        </row>
        <row r="7128">
          <cell r="E7128" t="str">
            <v>B26002015</v>
          </cell>
          <cell r="AP7128">
            <v>0</v>
          </cell>
          <cell r="AQ7128">
            <v>0</v>
          </cell>
          <cell r="AV7128">
            <v>0</v>
          </cell>
        </row>
        <row r="7129">
          <cell r="E7129" t="str">
            <v>B26002017</v>
          </cell>
          <cell r="AP7129">
            <v>0</v>
          </cell>
          <cell r="AQ7129">
            <v>0</v>
          </cell>
          <cell r="AV7129">
            <v>0</v>
          </cell>
        </row>
        <row r="7130">
          <cell r="E7130" t="str">
            <v>D26002209</v>
          </cell>
          <cell r="AP7130">
            <v>0</v>
          </cell>
          <cell r="AQ7130">
            <v>0</v>
          </cell>
          <cell r="AV7130">
            <v>0</v>
          </cell>
        </row>
        <row r="7131">
          <cell r="E7131" t="str">
            <v>D26002223</v>
          </cell>
          <cell r="AP7131">
            <v>0</v>
          </cell>
          <cell r="AQ7131">
            <v>0</v>
          </cell>
          <cell r="AV7131">
            <v>0</v>
          </cell>
        </row>
        <row r="7132">
          <cell r="E7132" t="str">
            <v>D26002224</v>
          </cell>
          <cell r="AP7132">
            <v>0</v>
          </cell>
          <cell r="AQ7132">
            <v>0</v>
          </cell>
          <cell r="AV7132">
            <v>0</v>
          </cell>
        </row>
        <row r="7133">
          <cell r="E7133" t="str">
            <v>B26001861</v>
          </cell>
          <cell r="AP7133">
            <v>0</v>
          </cell>
          <cell r="AQ7133">
            <v>0</v>
          </cell>
          <cell r="AV7133">
            <v>0</v>
          </cell>
        </row>
        <row r="7134">
          <cell r="E7134" t="str">
            <v>D26002360</v>
          </cell>
          <cell r="AP7134">
            <v>0</v>
          </cell>
          <cell r="AQ7134">
            <v>0</v>
          </cell>
          <cell r="AV7134">
            <v>5500000</v>
          </cell>
        </row>
        <row r="7135">
          <cell r="E7135" t="str">
            <v>B25015546</v>
          </cell>
          <cell r="AP7135">
            <v>0</v>
          </cell>
          <cell r="AQ7135">
            <v>0</v>
          </cell>
          <cell r="AV7135">
            <v>24275000</v>
          </cell>
        </row>
        <row r="7136">
          <cell r="E7136" t="str">
            <v>B25015825</v>
          </cell>
          <cell r="AP7136">
            <v>0</v>
          </cell>
          <cell r="AQ7136">
            <v>0</v>
          </cell>
          <cell r="AV7136">
            <v>37035000</v>
          </cell>
        </row>
        <row r="7137">
          <cell r="E7137" t="str">
            <v>B25015827</v>
          </cell>
          <cell r="AP7137">
            <v>0</v>
          </cell>
          <cell r="AQ7137">
            <v>0</v>
          </cell>
          <cell r="AV7137">
            <v>6475000</v>
          </cell>
        </row>
        <row r="7138">
          <cell r="E7138" t="str">
            <v>D25018339</v>
          </cell>
          <cell r="AP7138">
            <v>0</v>
          </cell>
          <cell r="AQ7138">
            <v>0</v>
          </cell>
          <cell r="AV7138">
            <v>1750000</v>
          </cell>
        </row>
        <row r="7139">
          <cell r="E7139" t="str">
            <v>B25016280</v>
          </cell>
          <cell r="AP7139">
            <v>0</v>
          </cell>
          <cell r="AQ7139">
            <v>0</v>
          </cell>
          <cell r="AV7139">
            <v>0</v>
          </cell>
        </row>
        <row r="7140">
          <cell r="E7140" t="str">
            <v>B25016282</v>
          </cell>
          <cell r="AP7140">
            <v>0</v>
          </cell>
          <cell r="AQ7140">
            <v>0</v>
          </cell>
          <cell r="AV7140">
            <v>0</v>
          </cell>
        </row>
        <row r="7141">
          <cell r="E7141" t="str">
            <v>B25016415</v>
          </cell>
          <cell r="AP7141">
            <v>0</v>
          </cell>
          <cell r="AQ7141">
            <v>0</v>
          </cell>
          <cell r="AV7141">
            <v>0</v>
          </cell>
        </row>
        <row r="7142">
          <cell r="E7142" t="str">
            <v>B25016517</v>
          </cell>
          <cell r="AP7142">
            <v>0</v>
          </cell>
          <cell r="AQ7142">
            <v>0</v>
          </cell>
          <cell r="AV7142">
            <v>0</v>
          </cell>
        </row>
        <row r="7143">
          <cell r="E7143" t="str">
            <v>D25019007</v>
          </cell>
          <cell r="AP7143">
            <v>0</v>
          </cell>
          <cell r="AQ7143">
            <v>0</v>
          </cell>
          <cell r="AV7143">
            <v>0</v>
          </cell>
        </row>
        <row r="7144">
          <cell r="E7144" t="str">
            <v>B25016730</v>
          </cell>
          <cell r="AP7144">
            <v>0</v>
          </cell>
          <cell r="AQ7144">
            <v>0</v>
          </cell>
          <cell r="AV7144">
            <v>0</v>
          </cell>
        </row>
        <row r="7145">
          <cell r="E7145" t="str">
            <v>D25019344</v>
          </cell>
          <cell r="AP7145">
            <v>0</v>
          </cell>
          <cell r="AQ7145">
            <v>0</v>
          </cell>
          <cell r="AV7145">
            <v>0</v>
          </cell>
        </row>
        <row r="7146">
          <cell r="E7146" t="str">
            <v>D25019545</v>
          </cell>
          <cell r="AP7146">
            <v>0</v>
          </cell>
          <cell r="AQ7146">
            <v>0</v>
          </cell>
          <cell r="AV7146">
            <v>0</v>
          </cell>
        </row>
        <row r="7147">
          <cell r="E7147" t="str">
            <v>D25019705</v>
          </cell>
          <cell r="AP7147">
            <v>0</v>
          </cell>
          <cell r="AQ7147">
            <v>0</v>
          </cell>
          <cell r="AV7147">
            <v>0</v>
          </cell>
        </row>
        <row r="7148">
          <cell r="E7148" t="str">
            <v>B26000112</v>
          </cell>
          <cell r="AP7148">
            <v>0</v>
          </cell>
          <cell r="AQ7148">
            <v>0</v>
          </cell>
          <cell r="AV7148">
            <v>0</v>
          </cell>
        </row>
        <row r="7149">
          <cell r="E7149" t="str">
            <v>D26000018</v>
          </cell>
          <cell r="AP7149">
            <v>0</v>
          </cell>
          <cell r="AQ7149">
            <v>0</v>
          </cell>
          <cell r="AV7149">
            <v>0</v>
          </cell>
        </row>
        <row r="7150">
          <cell r="E7150" t="str">
            <v>D26000046</v>
          </cell>
          <cell r="AP7150">
            <v>0</v>
          </cell>
          <cell r="AQ7150">
            <v>0</v>
          </cell>
          <cell r="AV7150">
            <v>0</v>
          </cell>
        </row>
        <row r="7151">
          <cell r="E7151" t="str">
            <v>B26000270</v>
          </cell>
          <cell r="AP7151">
            <v>0</v>
          </cell>
          <cell r="AQ7151">
            <v>0</v>
          </cell>
          <cell r="AV7151">
            <v>14925000</v>
          </cell>
        </row>
        <row r="7152">
          <cell r="E7152" t="str">
            <v>B26000441</v>
          </cell>
          <cell r="AP7152">
            <v>0</v>
          </cell>
          <cell r="AQ7152">
            <v>0</v>
          </cell>
          <cell r="AV7152">
            <v>0</v>
          </cell>
        </row>
        <row r="7153">
          <cell r="E7153" t="str">
            <v>B26000501</v>
          </cell>
          <cell r="AP7153">
            <v>0</v>
          </cell>
          <cell r="AQ7153">
            <v>0</v>
          </cell>
          <cell r="AV7153">
            <v>0</v>
          </cell>
        </row>
        <row r="7154">
          <cell r="E7154" t="str">
            <v>B26000886</v>
          </cell>
          <cell r="AP7154">
            <v>0</v>
          </cell>
          <cell r="AQ7154">
            <v>0</v>
          </cell>
          <cell r="AV7154">
            <v>0</v>
          </cell>
        </row>
        <row r="7155">
          <cell r="E7155" t="str">
            <v>B26000973</v>
          </cell>
          <cell r="AP7155">
            <v>0</v>
          </cell>
          <cell r="AQ7155">
            <v>0</v>
          </cell>
          <cell r="AV7155">
            <v>0</v>
          </cell>
        </row>
        <row r="7156">
          <cell r="E7156" t="str">
            <v>B26001640</v>
          </cell>
          <cell r="AP7156">
            <v>0</v>
          </cell>
          <cell r="AQ7156">
            <v>0</v>
          </cell>
          <cell r="AV7156">
            <v>656000000</v>
          </cell>
        </row>
        <row r="7157">
          <cell r="E7157" t="str">
            <v>B26001641</v>
          </cell>
          <cell r="AP7157">
            <v>0</v>
          </cell>
          <cell r="AQ7157">
            <v>0</v>
          </cell>
          <cell r="AV7157">
            <v>0</v>
          </cell>
        </row>
        <row r="7158">
          <cell r="E7158" t="str">
            <v>B26001662</v>
          </cell>
          <cell r="AP7158">
            <v>0</v>
          </cell>
          <cell r="AQ7158">
            <v>0</v>
          </cell>
          <cell r="AV7158">
            <v>0</v>
          </cell>
        </row>
        <row r="7159">
          <cell r="E7159" t="str">
            <v>B26001663</v>
          </cell>
          <cell r="AP7159">
            <v>0</v>
          </cell>
          <cell r="AQ7159">
            <v>0</v>
          </cell>
          <cell r="AV7159">
            <v>0</v>
          </cell>
        </row>
        <row r="7160">
          <cell r="E7160" t="str">
            <v>D26001966</v>
          </cell>
          <cell r="AP7160">
            <v>0</v>
          </cell>
          <cell r="AQ7160">
            <v>0</v>
          </cell>
          <cell r="AV7160">
            <v>0</v>
          </cell>
        </row>
        <row r="7161">
          <cell r="E7161" t="str">
            <v>D26001984</v>
          </cell>
          <cell r="AP7161">
            <v>0</v>
          </cell>
          <cell r="AQ7161">
            <v>0</v>
          </cell>
          <cell r="AV7161">
            <v>131000000</v>
          </cell>
        </row>
        <row r="7162">
          <cell r="E7162" t="str">
            <v>D26002018</v>
          </cell>
          <cell r="AP7162">
            <v>0</v>
          </cell>
          <cell r="AQ7162">
            <v>0</v>
          </cell>
          <cell r="AV7162">
            <v>0</v>
          </cell>
        </row>
        <row r="7163">
          <cell r="E7163" t="str">
            <v>B26002011</v>
          </cell>
          <cell r="AP7163">
            <v>0</v>
          </cell>
          <cell r="AQ7163">
            <v>0</v>
          </cell>
          <cell r="AV7163">
            <v>0</v>
          </cell>
        </row>
        <row r="7164">
          <cell r="E7164" t="str">
            <v>B26002012</v>
          </cell>
          <cell r="AP7164">
            <v>0</v>
          </cell>
          <cell r="AQ7164">
            <v>0</v>
          </cell>
          <cell r="AV7164">
            <v>10237500</v>
          </cell>
        </row>
        <row r="7165">
          <cell r="E7165" t="str">
            <v>D26002169</v>
          </cell>
          <cell r="AP7165">
            <v>0</v>
          </cell>
          <cell r="AQ7165">
            <v>0</v>
          </cell>
          <cell r="AV7165">
            <v>71762500</v>
          </cell>
        </row>
        <row r="7166">
          <cell r="E7166" t="str">
            <v>D26002169</v>
          </cell>
          <cell r="AP7166">
            <v>0</v>
          </cell>
          <cell r="AQ7166">
            <v>0</v>
          </cell>
          <cell r="AV7166">
            <v>321489250</v>
          </cell>
        </row>
        <row r="7167">
          <cell r="E7167" t="str">
            <v>D26002169</v>
          </cell>
          <cell r="AP7167">
            <v>0</v>
          </cell>
          <cell r="AQ7167">
            <v>0</v>
          </cell>
          <cell r="AV7167">
            <v>83510750</v>
          </cell>
        </row>
        <row r="7168">
          <cell r="E7168" t="str">
            <v>D26002169</v>
          </cell>
          <cell r="AP7168">
            <v>0</v>
          </cell>
          <cell r="AQ7168">
            <v>0</v>
          </cell>
          <cell r="AV7168">
            <v>218000000</v>
          </cell>
        </row>
        <row r="7169">
          <cell r="E7169" t="str">
            <v>D26002169</v>
          </cell>
          <cell r="AP7169">
            <v>0</v>
          </cell>
          <cell r="AQ7169">
            <v>0</v>
          </cell>
          <cell r="AV7169">
            <v>10237500</v>
          </cell>
        </row>
        <row r="7170">
          <cell r="E7170" t="str">
            <v>D26002225</v>
          </cell>
          <cell r="AP7170">
            <v>0</v>
          </cell>
          <cell r="AQ7170">
            <v>0</v>
          </cell>
          <cell r="AV7170">
            <v>218000000</v>
          </cell>
        </row>
        <row r="7171">
          <cell r="E7171" t="str">
            <v>D26002268</v>
          </cell>
          <cell r="AP7171">
            <v>0</v>
          </cell>
          <cell r="AQ7171">
            <v>0</v>
          </cell>
          <cell r="AV7171">
            <v>20735000</v>
          </cell>
        </row>
        <row r="7172">
          <cell r="E7172" t="str">
            <v>D26002269</v>
          </cell>
          <cell r="AP7172">
            <v>0</v>
          </cell>
          <cell r="AQ7172">
            <v>0</v>
          </cell>
          <cell r="AV7172">
            <v>0</v>
          </cell>
        </row>
        <row r="7173">
          <cell r="E7173" t="str">
            <v>D26002368</v>
          </cell>
          <cell r="AP7173">
            <v>0</v>
          </cell>
          <cell r="AQ7173">
            <v>0</v>
          </cell>
          <cell r="AV7173">
            <v>0</v>
          </cell>
        </row>
        <row r="7174">
          <cell r="E7174" t="str">
            <v>D26002486</v>
          </cell>
          <cell r="AP7174">
            <v>0</v>
          </cell>
          <cell r="AQ7174">
            <v>0</v>
          </cell>
          <cell r="AV7174">
            <v>0</v>
          </cell>
        </row>
        <row r="7175">
          <cell r="E7175" t="str">
            <v>D25018748</v>
          </cell>
          <cell r="AP7175">
            <v>0</v>
          </cell>
          <cell r="AQ7175">
            <v>0</v>
          </cell>
          <cell r="AV7175">
            <v>3300000</v>
          </cell>
        </row>
        <row r="7176">
          <cell r="E7176" t="str">
            <v>D26001459</v>
          </cell>
          <cell r="AP7176">
            <v>0</v>
          </cell>
          <cell r="AQ7176">
            <v>0</v>
          </cell>
          <cell r="AV7176">
            <v>0</v>
          </cell>
        </row>
        <row r="7177">
          <cell r="E7177" t="str">
            <v>D25018467</v>
          </cell>
          <cell r="AP7177">
            <v>0</v>
          </cell>
          <cell r="AQ7177">
            <v>38746000</v>
          </cell>
          <cell r="AV7177">
            <v>0</v>
          </cell>
        </row>
        <row r="7178">
          <cell r="E7178" t="str">
            <v>D25018615</v>
          </cell>
          <cell r="AP7178">
            <v>0</v>
          </cell>
          <cell r="AQ7178">
            <v>27750000</v>
          </cell>
          <cell r="AV7178">
            <v>0</v>
          </cell>
        </row>
        <row r="7179">
          <cell r="E7179" t="str">
            <v>D25018949</v>
          </cell>
          <cell r="AP7179">
            <v>0</v>
          </cell>
          <cell r="AQ7179">
            <v>19000000</v>
          </cell>
          <cell r="AV7179">
            <v>0</v>
          </cell>
        </row>
        <row r="7180">
          <cell r="E7180" t="str">
            <v>B25016579</v>
          </cell>
          <cell r="AP7180">
            <v>0</v>
          </cell>
          <cell r="AQ7180">
            <v>64504000</v>
          </cell>
          <cell r="AV7180">
            <v>0</v>
          </cell>
        </row>
        <row r="7181">
          <cell r="E7181" t="str">
            <v>B25016579</v>
          </cell>
          <cell r="AP7181">
            <v>0</v>
          </cell>
          <cell r="AQ7181">
            <v>24086000</v>
          </cell>
          <cell r="AV7181">
            <v>0</v>
          </cell>
        </row>
        <row r="7182">
          <cell r="E7182" t="str">
            <v>D25019137</v>
          </cell>
          <cell r="AP7182">
            <v>0</v>
          </cell>
          <cell r="AQ7182">
            <v>92910000</v>
          </cell>
          <cell r="AV7182">
            <v>0</v>
          </cell>
        </row>
        <row r="7183">
          <cell r="E7183" t="str">
            <v>D25019183</v>
          </cell>
          <cell r="AP7183">
            <v>0</v>
          </cell>
          <cell r="AQ7183">
            <v>38000000</v>
          </cell>
          <cell r="AV7183">
            <v>0</v>
          </cell>
        </row>
        <row r="7184">
          <cell r="E7184" t="str">
            <v>D26000910</v>
          </cell>
          <cell r="AP7184">
            <v>0</v>
          </cell>
          <cell r="AQ7184">
            <v>0</v>
          </cell>
          <cell r="AV7184">
            <v>0</v>
          </cell>
        </row>
        <row r="7185">
          <cell r="E7185" t="str">
            <v>B26001311</v>
          </cell>
          <cell r="AP7185">
            <v>0</v>
          </cell>
          <cell r="AQ7185">
            <v>0</v>
          </cell>
          <cell r="AV7185">
            <v>0</v>
          </cell>
        </row>
        <row r="7186">
          <cell r="E7186" t="str">
            <v>B26001500</v>
          </cell>
          <cell r="AP7186">
            <v>0</v>
          </cell>
          <cell r="AQ7186">
            <v>0</v>
          </cell>
          <cell r="AV7186">
            <v>133000000</v>
          </cell>
        </row>
        <row r="7187">
          <cell r="E7187" t="str">
            <v>D26001748</v>
          </cell>
          <cell r="AP7187">
            <v>0</v>
          </cell>
          <cell r="AQ7187">
            <v>0</v>
          </cell>
          <cell r="AV7187">
            <v>0</v>
          </cell>
        </row>
        <row r="7188">
          <cell r="E7188" t="str">
            <v>D26001753</v>
          </cell>
          <cell r="AP7188">
            <v>0</v>
          </cell>
          <cell r="AQ7188">
            <v>0</v>
          </cell>
          <cell r="AV7188">
            <v>19000000</v>
          </cell>
        </row>
        <row r="7189">
          <cell r="E7189" t="str">
            <v>D26001754</v>
          </cell>
          <cell r="AP7189">
            <v>0</v>
          </cell>
          <cell r="AQ7189">
            <v>0</v>
          </cell>
          <cell r="AV7189">
            <v>0</v>
          </cell>
        </row>
        <row r="7190">
          <cell r="E7190" t="str">
            <v>D26001873</v>
          </cell>
          <cell r="AP7190">
            <v>0</v>
          </cell>
          <cell r="AQ7190">
            <v>0</v>
          </cell>
          <cell r="AV7190">
            <v>0</v>
          </cell>
        </row>
        <row r="7191">
          <cell r="E7191" t="str">
            <v>D26001874</v>
          </cell>
          <cell r="AP7191">
            <v>0</v>
          </cell>
          <cell r="AQ7191">
            <v>0</v>
          </cell>
          <cell r="AV7191">
            <v>0</v>
          </cell>
        </row>
        <row r="7192">
          <cell r="E7192" t="str">
            <v>D26002029</v>
          </cell>
          <cell r="AP7192">
            <v>0</v>
          </cell>
          <cell r="AQ7192">
            <v>0</v>
          </cell>
          <cell r="AV7192">
            <v>79000000</v>
          </cell>
        </row>
        <row r="7193">
          <cell r="E7193" t="str">
            <v>D26002261</v>
          </cell>
          <cell r="AP7193">
            <v>0</v>
          </cell>
          <cell r="AQ7193">
            <v>0</v>
          </cell>
          <cell r="AV7193">
            <v>0</v>
          </cell>
        </row>
        <row r="7194">
          <cell r="E7194" t="str">
            <v>B26002189</v>
          </cell>
          <cell r="AP7194">
            <v>0</v>
          </cell>
          <cell r="AQ7194">
            <v>0</v>
          </cell>
          <cell r="AV7194">
            <v>0</v>
          </cell>
        </row>
        <row r="7195">
          <cell r="E7195" t="str">
            <v>B26002234</v>
          </cell>
          <cell r="AP7195">
            <v>0</v>
          </cell>
          <cell r="AQ7195">
            <v>0</v>
          </cell>
          <cell r="AV7195">
            <v>0</v>
          </cell>
        </row>
        <row r="7196">
          <cell r="E7196" t="str">
            <v>D26002397</v>
          </cell>
          <cell r="AP7196">
            <v>0</v>
          </cell>
          <cell r="AQ7196">
            <v>0</v>
          </cell>
          <cell r="AV7196">
            <v>0</v>
          </cell>
        </row>
        <row r="7197">
          <cell r="E7197" t="str">
            <v>Z25003334</v>
          </cell>
          <cell r="AP7197">
            <v>0</v>
          </cell>
          <cell r="AQ7197">
            <v>0</v>
          </cell>
          <cell r="AV7197">
            <v>5600000</v>
          </cell>
        </row>
        <row r="7198">
          <cell r="E7198" t="str">
            <v>D26000428</v>
          </cell>
          <cell r="AP7198">
            <v>0</v>
          </cell>
          <cell r="AQ7198">
            <v>0</v>
          </cell>
          <cell r="AV7198">
            <v>7700000</v>
          </cell>
        </row>
        <row r="7199">
          <cell r="E7199" t="str">
            <v>D26001452</v>
          </cell>
          <cell r="AP7199">
            <v>0</v>
          </cell>
          <cell r="AQ7199">
            <v>0</v>
          </cell>
          <cell r="AV7199">
            <v>0</v>
          </cell>
        </row>
        <row r="7200">
          <cell r="E7200" t="str">
            <v>Z26000238</v>
          </cell>
          <cell r="AP7200">
            <v>0</v>
          </cell>
          <cell r="AQ7200">
            <v>0</v>
          </cell>
          <cell r="AV7200">
            <v>0</v>
          </cell>
        </row>
        <row r="7201">
          <cell r="E7201" t="str">
            <v>Z26000244</v>
          </cell>
          <cell r="AP7201">
            <v>0</v>
          </cell>
          <cell r="AQ7201">
            <v>0</v>
          </cell>
          <cell r="AV7201">
            <v>0</v>
          </cell>
        </row>
        <row r="7202">
          <cell r="E7202" t="str">
            <v>T26000144</v>
          </cell>
          <cell r="AP7202">
            <v>0</v>
          </cell>
          <cell r="AQ7202">
            <v>0</v>
          </cell>
          <cell r="AV7202">
            <v>3456000</v>
          </cell>
        </row>
        <row r="7203">
          <cell r="E7203" t="str">
            <v>B25016725</v>
          </cell>
          <cell r="AP7203">
            <v>0</v>
          </cell>
          <cell r="AQ7203">
            <v>0</v>
          </cell>
          <cell r="AV7203">
            <v>3702000</v>
          </cell>
        </row>
        <row r="7204">
          <cell r="E7204" t="str">
            <v>D25019252</v>
          </cell>
          <cell r="AP7204">
            <v>0</v>
          </cell>
          <cell r="AQ7204">
            <v>0</v>
          </cell>
          <cell r="AV7204">
            <v>425000</v>
          </cell>
        </row>
        <row r="7205">
          <cell r="E7205" t="str">
            <v>B25014613</v>
          </cell>
          <cell r="AP7205">
            <v>0</v>
          </cell>
          <cell r="AQ7205">
            <v>0</v>
          </cell>
          <cell r="AV7205">
            <v>3400000</v>
          </cell>
        </row>
        <row r="7206">
          <cell r="E7206" t="str">
            <v>B25015210</v>
          </cell>
          <cell r="AP7206">
            <v>0</v>
          </cell>
          <cell r="AQ7206">
            <v>0</v>
          </cell>
          <cell r="AV7206">
            <v>7150000</v>
          </cell>
        </row>
        <row r="7207">
          <cell r="E7207" t="str">
            <v>B25015806</v>
          </cell>
          <cell r="AP7207">
            <v>0</v>
          </cell>
          <cell r="AQ7207">
            <v>0</v>
          </cell>
          <cell r="AV7207">
            <v>2450000</v>
          </cell>
        </row>
        <row r="7208">
          <cell r="E7208" t="str">
            <v>B25015910</v>
          </cell>
          <cell r="AP7208">
            <v>0</v>
          </cell>
          <cell r="AQ7208">
            <v>0</v>
          </cell>
          <cell r="AV7208">
            <v>4560000</v>
          </cell>
        </row>
        <row r="7209">
          <cell r="E7209" t="str">
            <v>T25001806</v>
          </cell>
          <cell r="AP7209">
            <v>0</v>
          </cell>
          <cell r="AQ7209">
            <v>0</v>
          </cell>
          <cell r="AV7209">
            <v>3875000</v>
          </cell>
        </row>
        <row r="7210">
          <cell r="E7210" t="str">
            <v>D25018398</v>
          </cell>
          <cell r="AP7210">
            <v>0</v>
          </cell>
          <cell r="AQ7210">
            <v>0</v>
          </cell>
          <cell r="AV7210">
            <v>5312500</v>
          </cell>
        </row>
        <row r="7211">
          <cell r="E7211" t="str">
            <v>T25001820</v>
          </cell>
          <cell r="AP7211">
            <v>0</v>
          </cell>
          <cell r="AQ7211">
            <v>0</v>
          </cell>
          <cell r="AV7211">
            <v>6520000</v>
          </cell>
        </row>
        <row r="7212">
          <cell r="E7212" t="str">
            <v>D25018620</v>
          </cell>
          <cell r="AP7212">
            <v>0</v>
          </cell>
          <cell r="AQ7212">
            <v>0</v>
          </cell>
          <cell r="AV7212">
            <v>5400000</v>
          </cell>
        </row>
        <row r="7213">
          <cell r="E7213" t="str">
            <v>D25018908</v>
          </cell>
          <cell r="AP7213">
            <v>0</v>
          </cell>
          <cell r="AQ7213">
            <v>0</v>
          </cell>
          <cell r="AV7213">
            <v>2355000</v>
          </cell>
        </row>
        <row r="7214">
          <cell r="E7214" t="str">
            <v>B25017094</v>
          </cell>
          <cell r="AP7214">
            <v>0</v>
          </cell>
          <cell r="AQ7214">
            <v>0</v>
          </cell>
          <cell r="AV7214">
            <v>18000000</v>
          </cell>
        </row>
        <row r="7215">
          <cell r="E7215" t="str">
            <v>D26000236</v>
          </cell>
          <cell r="AP7215">
            <v>0</v>
          </cell>
          <cell r="AQ7215">
            <v>0</v>
          </cell>
          <cell r="AV7215">
            <v>3200000</v>
          </cell>
        </row>
        <row r="7216">
          <cell r="E7216" t="str">
            <v>D26000484</v>
          </cell>
          <cell r="AP7216">
            <v>0</v>
          </cell>
          <cell r="AQ7216">
            <v>0</v>
          </cell>
          <cell r="AV7216">
            <v>1800000</v>
          </cell>
        </row>
        <row r="7217">
          <cell r="E7217" t="str">
            <v>B26000798</v>
          </cell>
          <cell r="AP7217">
            <v>0</v>
          </cell>
          <cell r="AQ7217">
            <v>0</v>
          </cell>
          <cell r="AV7217">
            <v>2460000</v>
          </cell>
        </row>
        <row r="7218">
          <cell r="E7218" t="str">
            <v>B26001036</v>
          </cell>
          <cell r="AP7218">
            <v>0</v>
          </cell>
          <cell r="AQ7218">
            <v>0</v>
          </cell>
          <cell r="AV7218">
            <v>10800000</v>
          </cell>
        </row>
        <row r="7219">
          <cell r="E7219" t="str">
            <v>B26001058</v>
          </cell>
          <cell r="AP7219">
            <v>0</v>
          </cell>
          <cell r="AQ7219">
            <v>0</v>
          </cell>
          <cell r="AV7219">
            <v>3060000</v>
          </cell>
        </row>
        <row r="7220">
          <cell r="E7220" t="str">
            <v>T26000082</v>
          </cell>
          <cell r="AP7220">
            <v>0</v>
          </cell>
          <cell r="AQ7220">
            <v>0</v>
          </cell>
          <cell r="AV7220">
            <v>700000</v>
          </cell>
        </row>
        <row r="7221">
          <cell r="E7221" t="str">
            <v>D26001957</v>
          </cell>
          <cell r="AP7221">
            <v>0</v>
          </cell>
          <cell r="AQ7221">
            <v>0</v>
          </cell>
          <cell r="AV7221">
            <v>0</v>
          </cell>
        </row>
        <row r="7222">
          <cell r="E7222" t="str">
            <v>B26002053</v>
          </cell>
          <cell r="AP7222">
            <v>0</v>
          </cell>
          <cell r="AQ7222">
            <v>0</v>
          </cell>
          <cell r="AV7222">
            <v>1350000</v>
          </cell>
        </row>
        <row r="7223">
          <cell r="E7223" t="str">
            <v>B26001646</v>
          </cell>
          <cell r="AP7223">
            <v>0</v>
          </cell>
          <cell r="AQ7223">
            <v>0</v>
          </cell>
          <cell r="AV7223">
            <v>15200</v>
          </cell>
        </row>
        <row r="7224">
          <cell r="E7224" t="str">
            <v>B26001647</v>
          </cell>
          <cell r="AP7224">
            <v>0</v>
          </cell>
          <cell r="AQ7224">
            <v>0</v>
          </cell>
          <cell r="AV7224">
            <v>58000</v>
          </cell>
        </row>
        <row r="7225">
          <cell r="E7225" t="str">
            <v>B26001860</v>
          </cell>
          <cell r="AP7225">
            <v>0</v>
          </cell>
          <cell r="AQ7225">
            <v>0</v>
          </cell>
          <cell r="AV7225">
            <v>1270000</v>
          </cell>
        </row>
        <row r="7226">
          <cell r="E7226" t="str">
            <v>D25019446</v>
          </cell>
          <cell r="AP7226">
            <v>0</v>
          </cell>
          <cell r="AQ7226">
            <v>0</v>
          </cell>
          <cell r="AV7226">
            <v>0</v>
          </cell>
        </row>
        <row r="7227">
          <cell r="E7227" t="str">
            <v>B25017027</v>
          </cell>
          <cell r="AP7227">
            <v>0</v>
          </cell>
          <cell r="AQ7227">
            <v>0</v>
          </cell>
          <cell r="AV7227">
            <v>0</v>
          </cell>
        </row>
        <row r="7228">
          <cell r="E7228" t="str">
            <v>D25019588</v>
          </cell>
          <cell r="AP7228">
            <v>0</v>
          </cell>
          <cell r="AQ7228">
            <v>0</v>
          </cell>
          <cell r="AV7228">
            <v>0</v>
          </cell>
        </row>
        <row r="7229">
          <cell r="E7229" t="str">
            <v>B26000422</v>
          </cell>
          <cell r="AP7229">
            <v>0</v>
          </cell>
          <cell r="AQ7229">
            <v>0</v>
          </cell>
          <cell r="AV7229">
            <v>0</v>
          </cell>
        </row>
        <row r="7230">
          <cell r="E7230" t="str">
            <v>B26000424</v>
          </cell>
          <cell r="AP7230">
            <v>0</v>
          </cell>
          <cell r="AQ7230">
            <v>0</v>
          </cell>
          <cell r="AV7230">
            <v>0</v>
          </cell>
        </row>
        <row r="7231">
          <cell r="E7231" t="str">
            <v>D26001155</v>
          </cell>
          <cell r="AP7231">
            <v>0</v>
          </cell>
          <cell r="AQ7231">
            <v>0</v>
          </cell>
          <cell r="AV7231">
            <v>0</v>
          </cell>
        </row>
        <row r="7232">
          <cell r="E7232" t="str">
            <v>D26001207</v>
          </cell>
          <cell r="AP7232">
            <v>0</v>
          </cell>
          <cell r="AQ7232">
            <v>0</v>
          </cell>
          <cell r="AV7232">
            <v>0</v>
          </cell>
        </row>
        <row r="7233">
          <cell r="E7233" t="str">
            <v>D26001364</v>
          </cell>
          <cell r="AP7233">
            <v>0</v>
          </cell>
          <cell r="AQ7233">
            <v>0</v>
          </cell>
          <cell r="AV7233">
            <v>0</v>
          </cell>
        </row>
        <row r="7234">
          <cell r="E7234" t="str">
            <v>B26001541</v>
          </cell>
          <cell r="AP7234">
            <v>0</v>
          </cell>
          <cell r="AQ7234">
            <v>0</v>
          </cell>
          <cell r="AV7234">
            <v>0</v>
          </cell>
        </row>
        <row r="7235">
          <cell r="E7235" t="str">
            <v>B26001636</v>
          </cell>
          <cell r="AP7235">
            <v>0</v>
          </cell>
          <cell r="AQ7235">
            <v>0</v>
          </cell>
          <cell r="AV7235">
            <v>0</v>
          </cell>
        </row>
        <row r="7236">
          <cell r="E7236" t="str">
            <v>B26001637</v>
          </cell>
          <cell r="AP7236">
            <v>0</v>
          </cell>
          <cell r="AQ7236">
            <v>0</v>
          </cell>
          <cell r="AV7236">
            <v>0</v>
          </cell>
        </row>
        <row r="7237">
          <cell r="E7237" t="str">
            <v>D26001739</v>
          </cell>
          <cell r="AP7237">
            <v>0</v>
          </cell>
          <cell r="AQ7237">
            <v>0</v>
          </cell>
          <cell r="AV7237">
            <v>0</v>
          </cell>
        </row>
        <row r="7238">
          <cell r="E7238" t="str">
            <v>B26001723</v>
          </cell>
          <cell r="AP7238">
            <v>0</v>
          </cell>
          <cell r="AQ7238">
            <v>0</v>
          </cell>
          <cell r="AV7238">
            <v>0</v>
          </cell>
        </row>
        <row r="7239">
          <cell r="E7239" t="str">
            <v>D26001844</v>
          </cell>
          <cell r="AP7239">
            <v>0</v>
          </cell>
          <cell r="AQ7239">
            <v>0</v>
          </cell>
          <cell r="AV7239">
            <v>0</v>
          </cell>
        </row>
        <row r="7240">
          <cell r="E7240" t="str">
            <v>B26002084</v>
          </cell>
          <cell r="AP7240">
            <v>0</v>
          </cell>
          <cell r="AQ7240">
            <v>0</v>
          </cell>
          <cell r="AV7240">
            <v>0</v>
          </cell>
        </row>
        <row r="7241">
          <cell r="E7241" t="str">
            <v>D26002156</v>
          </cell>
          <cell r="AP7241">
            <v>0</v>
          </cell>
          <cell r="AQ7241">
            <v>0</v>
          </cell>
          <cell r="AV7241">
            <v>9750000</v>
          </cell>
        </row>
        <row r="7242">
          <cell r="E7242" t="str">
            <v>D26002469</v>
          </cell>
          <cell r="AP7242">
            <v>0</v>
          </cell>
          <cell r="AQ7242">
            <v>0</v>
          </cell>
          <cell r="AV7242">
            <v>0</v>
          </cell>
        </row>
        <row r="7243">
          <cell r="E7243" t="str">
            <v>D26001887</v>
          </cell>
          <cell r="AP7243">
            <v>0</v>
          </cell>
          <cell r="AQ7243">
            <v>0</v>
          </cell>
          <cell r="AV7243">
            <v>15380000</v>
          </cell>
        </row>
        <row r="7244">
          <cell r="E7244" t="str">
            <v>B26002258</v>
          </cell>
          <cell r="AP7244">
            <v>0</v>
          </cell>
          <cell r="AQ7244">
            <v>0</v>
          </cell>
          <cell r="AV7244">
            <v>0</v>
          </cell>
        </row>
        <row r="7245">
          <cell r="E7245" t="str">
            <v>C26000098</v>
          </cell>
          <cell r="AP7245">
            <v>0</v>
          </cell>
          <cell r="AQ7245">
            <v>0</v>
          </cell>
          <cell r="AV7245">
            <v>0</v>
          </cell>
        </row>
        <row r="7246">
          <cell r="E7246" t="str">
            <v>M26000025</v>
          </cell>
          <cell r="AP7246">
            <v>0</v>
          </cell>
          <cell r="AQ7246">
            <v>0</v>
          </cell>
          <cell r="AV7246">
            <v>0</v>
          </cell>
        </row>
        <row r="7247">
          <cell r="E7247" t="str">
            <v>T25001650K</v>
          </cell>
          <cell r="AP7247">
            <v>0</v>
          </cell>
          <cell r="AQ7247">
            <v>0</v>
          </cell>
          <cell r="AV7247">
            <v>0</v>
          </cell>
        </row>
        <row r="7248">
          <cell r="E7248" t="str">
            <v>T25001664</v>
          </cell>
          <cell r="AP7248">
            <v>0</v>
          </cell>
          <cell r="AQ7248">
            <v>0</v>
          </cell>
          <cell r="AV7248">
            <v>4360000</v>
          </cell>
        </row>
        <row r="7249">
          <cell r="E7249" t="str">
            <v>D25017969</v>
          </cell>
          <cell r="AP7249">
            <v>0</v>
          </cell>
          <cell r="AQ7249">
            <v>0</v>
          </cell>
          <cell r="AV7249">
            <v>3640000</v>
          </cell>
        </row>
        <row r="7250">
          <cell r="E7250" t="str">
            <v>D25017969</v>
          </cell>
          <cell r="AP7250">
            <v>0</v>
          </cell>
          <cell r="AQ7250">
            <v>0</v>
          </cell>
          <cell r="AV7250">
            <v>4000000</v>
          </cell>
        </row>
        <row r="7251">
          <cell r="E7251" t="str">
            <v>B26000483</v>
          </cell>
          <cell r="AP7251">
            <v>0</v>
          </cell>
          <cell r="AQ7251">
            <v>0</v>
          </cell>
          <cell r="AV7251">
            <v>0</v>
          </cell>
        </row>
        <row r="7252">
          <cell r="E7252" t="str">
            <v>B26000849</v>
          </cell>
          <cell r="AP7252">
            <v>0</v>
          </cell>
          <cell r="AQ7252">
            <v>0</v>
          </cell>
          <cell r="AV7252">
            <v>0</v>
          </cell>
        </row>
        <row r="7253">
          <cell r="E7253" t="str">
            <v>B26001718</v>
          </cell>
          <cell r="AP7253">
            <v>0</v>
          </cell>
          <cell r="AQ7253">
            <v>0</v>
          </cell>
          <cell r="AV7253">
            <v>0</v>
          </cell>
        </row>
        <row r="7254">
          <cell r="E7254" t="str">
            <v>D26002373</v>
          </cell>
          <cell r="AP7254">
            <v>0</v>
          </cell>
          <cell r="AQ7254">
            <v>0</v>
          </cell>
          <cell r="AV7254">
            <v>0</v>
          </cell>
        </row>
        <row r="7255">
          <cell r="E7255" t="str">
            <v>B25015014</v>
          </cell>
          <cell r="AP7255">
            <v>0</v>
          </cell>
          <cell r="AQ7255">
            <v>0</v>
          </cell>
          <cell r="AV7255">
            <v>0</v>
          </cell>
        </row>
        <row r="7256">
          <cell r="E7256" t="str">
            <v>D25017847</v>
          </cell>
          <cell r="AP7256">
            <v>0</v>
          </cell>
          <cell r="AQ7256">
            <v>0</v>
          </cell>
          <cell r="AV7256">
            <v>0</v>
          </cell>
        </row>
        <row r="7257">
          <cell r="E7257" t="str">
            <v>B25015804</v>
          </cell>
          <cell r="AP7257">
            <v>0</v>
          </cell>
          <cell r="AQ7257">
            <v>0</v>
          </cell>
          <cell r="AV7257">
            <v>0</v>
          </cell>
        </row>
        <row r="7258">
          <cell r="E7258" t="str">
            <v>B25016077</v>
          </cell>
          <cell r="AP7258">
            <v>0</v>
          </cell>
          <cell r="AQ7258">
            <v>0</v>
          </cell>
          <cell r="AV7258">
            <v>920000</v>
          </cell>
        </row>
        <row r="7259">
          <cell r="E7259" t="str">
            <v>D25018581</v>
          </cell>
          <cell r="AP7259">
            <v>0</v>
          </cell>
          <cell r="AQ7259">
            <v>0</v>
          </cell>
          <cell r="AV7259">
            <v>1496000</v>
          </cell>
        </row>
        <row r="7260">
          <cell r="E7260" t="str">
            <v>D25018724</v>
          </cell>
          <cell r="AP7260">
            <v>0</v>
          </cell>
          <cell r="AQ7260">
            <v>0</v>
          </cell>
          <cell r="AV7260">
            <v>1062500</v>
          </cell>
        </row>
        <row r="7261">
          <cell r="E7261" t="str">
            <v>D25018766</v>
          </cell>
          <cell r="AP7261">
            <v>0</v>
          </cell>
          <cell r="AQ7261">
            <v>0</v>
          </cell>
          <cell r="AV7261">
            <v>12240000</v>
          </cell>
        </row>
        <row r="7262">
          <cell r="E7262" t="str">
            <v>B25016403</v>
          </cell>
          <cell r="AP7262">
            <v>0</v>
          </cell>
          <cell r="AQ7262">
            <v>0</v>
          </cell>
          <cell r="AV7262">
            <v>1600000</v>
          </cell>
        </row>
        <row r="7263">
          <cell r="E7263" t="str">
            <v>B25016449</v>
          </cell>
          <cell r="AP7263">
            <v>0</v>
          </cell>
          <cell r="AQ7263">
            <v>0</v>
          </cell>
          <cell r="AV7263">
            <v>920000</v>
          </cell>
        </row>
        <row r="7264">
          <cell r="E7264" t="str">
            <v>D25018941</v>
          </cell>
          <cell r="AP7264">
            <v>0</v>
          </cell>
          <cell r="AQ7264">
            <v>0</v>
          </cell>
          <cell r="AV7264">
            <v>0</v>
          </cell>
        </row>
        <row r="7265">
          <cell r="E7265" t="str">
            <v>D25018968</v>
          </cell>
          <cell r="AP7265">
            <v>0</v>
          </cell>
          <cell r="AQ7265">
            <v>0</v>
          </cell>
          <cell r="AV7265">
            <v>0</v>
          </cell>
        </row>
        <row r="7266">
          <cell r="E7266" t="str">
            <v>D25019405</v>
          </cell>
          <cell r="AP7266">
            <v>0</v>
          </cell>
          <cell r="AQ7266">
            <v>0</v>
          </cell>
          <cell r="AV7266">
            <v>0</v>
          </cell>
        </row>
        <row r="7267">
          <cell r="E7267" t="str">
            <v>D25019406</v>
          </cell>
          <cell r="AP7267">
            <v>0</v>
          </cell>
          <cell r="AQ7267">
            <v>0</v>
          </cell>
          <cell r="AV7267">
            <v>0</v>
          </cell>
        </row>
        <row r="7268">
          <cell r="E7268" t="str">
            <v>B26000104</v>
          </cell>
          <cell r="AP7268">
            <v>0</v>
          </cell>
          <cell r="AQ7268">
            <v>0</v>
          </cell>
          <cell r="AV7268">
            <v>0</v>
          </cell>
        </row>
        <row r="7269">
          <cell r="E7269" t="str">
            <v>B26000105</v>
          </cell>
          <cell r="AP7269">
            <v>0</v>
          </cell>
          <cell r="AQ7269">
            <v>0</v>
          </cell>
          <cell r="AV7269">
            <v>0</v>
          </cell>
        </row>
        <row r="7270">
          <cell r="E7270" t="str">
            <v>B26000265</v>
          </cell>
          <cell r="AP7270">
            <v>0</v>
          </cell>
          <cell r="AQ7270">
            <v>0</v>
          </cell>
          <cell r="AV7270">
            <v>0</v>
          </cell>
        </row>
        <row r="7271">
          <cell r="E7271" t="str">
            <v>B26000266</v>
          </cell>
          <cell r="AP7271">
            <v>0</v>
          </cell>
          <cell r="AQ7271">
            <v>0</v>
          </cell>
          <cell r="AV7271">
            <v>0</v>
          </cell>
        </row>
        <row r="7272">
          <cell r="E7272" t="str">
            <v>D26000312</v>
          </cell>
          <cell r="AP7272">
            <v>0</v>
          </cell>
          <cell r="AQ7272">
            <v>0</v>
          </cell>
          <cell r="AV7272">
            <v>0</v>
          </cell>
        </row>
        <row r="7273">
          <cell r="E7273" t="str">
            <v>B26000396</v>
          </cell>
          <cell r="AP7273">
            <v>0</v>
          </cell>
          <cell r="AQ7273">
            <v>0</v>
          </cell>
          <cell r="AV7273">
            <v>0</v>
          </cell>
        </row>
        <row r="7274">
          <cell r="E7274" t="str">
            <v>D26000509</v>
          </cell>
          <cell r="AP7274">
            <v>0</v>
          </cell>
          <cell r="AQ7274">
            <v>0</v>
          </cell>
          <cell r="AV7274">
            <v>0</v>
          </cell>
        </row>
        <row r="7275">
          <cell r="E7275" t="str">
            <v>D26000564</v>
          </cell>
          <cell r="AP7275">
            <v>0</v>
          </cell>
          <cell r="AQ7275">
            <v>0</v>
          </cell>
          <cell r="AV7275">
            <v>0</v>
          </cell>
        </row>
        <row r="7276">
          <cell r="E7276" t="str">
            <v>D26000984</v>
          </cell>
          <cell r="AP7276">
            <v>0</v>
          </cell>
          <cell r="AQ7276">
            <v>0</v>
          </cell>
          <cell r="AV7276">
            <v>0</v>
          </cell>
        </row>
        <row r="7277">
          <cell r="E7277" t="str">
            <v>B26000961</v>
          </cell>
          <cell r="AP7277">
            <v>0</v>
          </cell>
          <cell r="AQ7277">
            <v>0</v>
          </cell>
          <cell r="AV7277">
            <v>0</v>
          </cell>
        </row>
        <row r="7278">
          <cell r="E7278" t="str">
            <v>D26001056</v>
          </cell>
          <cell r="AP7278">
            <v>0</v>
          </cell>
          <cell r="AQ7278">
            <v>0</v>
          </cell>
          <cell r="AV7278">
            <v>0</v>
          </cell>
        </row>
        <row r="7279">
          <cell r="E7279" t="str">
            <v>D26001312</v>
          </cell>
          <cell r="AP7279">
            <v>0</v>
          </cell>
          <cell r="AQ7279">
            <v>0</v>
          </cell>
          <cell r="AV7279">
            <v>0</v>
          </cell>
        </row>
        <row r="7280">
          <cell r="E7280" t="str">
            <v>B26001407</v>
          </cell>
          <cell r="AP7280">
            <v>0</v>
          </cell>
          <cell r="AQ7280">
            <v>0</v>
          </cell>
          <cell r="AV7280">
            <v>0</v>
          </cell>
        </row>
        <row r="7281">
          <cell r="E7281" t="str">
            <v>B26001408</v>
          </cell>
          <cell r="AP7281">
            <v>0</v>
          </cell>
          <cell r="AQ7281">
            <v>0</v>
          </cell>
          <cell r="AV7281">
            <v>0</v>
          </cell>
        </row>
        <row r="7282">
          <cell r="E7282" t="str">
            <v>B26001709</v>
          </cell>
          <cell r="AP7282">
            <v>0</v>
          </cell>
          <cell r="AQ7282">
            <v>0</v>
          </cell>
          <cell r="AV7282">
            <v>0</v>
          </cell>
        </row>
        <row r="7283">
          <cell r="E7283" t="str">
            <v>D26001768</v>
          </cell>
          <cell r="AP7283">
            <v>0</v>
          </cell>
          <cell r="AQ7283">
            <v>0</v>
          </cell>
          <cell r="AV7283">
            <v>0</v>
          </cell>
        </row>
        <row r="7284">
          <cell r="E7284" t="str">
            <v>B26001754</v>
          </cell>
          <cell r="AP7284">
            <v>0</v>
          </cell>
          <cell r="AQ7284">
            <v>0</v>
          </cell>
          <cell r="AV7284">
            <v>0</v>
          </cell>
        </row>
        <row r="7285">
          <cell r="E7285" t="str">
            <v>B26001755</v>
          </cell>
          <cell r="AP7285">
            <v>0</v>
          </cell>
          <cell r="AQ7285">
            <v>0</v>
          </cell>
          <cell r="AV7285">
            <v>0</v>
          </cell>
        </row>
        <row r="7286">
          <cell r="E7286" t="str">
            <v>D26001978</v>
          </cell>
          <cell r="AP7286">
            <v>0</v>
          </cell>
          <cell r="AQ7286">
            <v>0</v>
          </cell>
          <cell r="AV7286">
            <v>0</v>
          </cell>
        </row>
        <row r="7287">
          <cell r="E7287" t="str">
            <v>T26000140</v>
          </cell>
          <cell r="AP7287">
            <v>0</v>
          </cell>
          <cell r="AQ7287">
            <v>0</v>
          </cell>
          <cell r="AV7287">
            <v>0</v>
          </cell>
        </row>
        <row r="7288">
          <cell r="E7288" t="str">
            <v>B26001996</v>
          </cell>
          <cell r="AP7288">
            <v>0</v>
          </cell>
          <cell r="AQ7288">
            <v>0</v>
          </cell>
          <cell r="AV7288">
            <v>0</v>
          </cell>
        </row>
        <row r="7289">
          <cell r="E7289" t="str">
            <v>B26001997</v>
          </cell>
          <cell r="AP7289">
            <v>0</v>
          </cell>
          <cell r="AQ7289">
            <v>0</v>
          </cell>
          <cell r="AV7289">
            <v>0</v>
          </cell>
        </row>
        <row r="7290">
          <cell r="E7290" t="str">
            <v>D26002135</v>
          </cell>
          <cell r="AP7290">
            <v>0</v>
          </cell>
          <cell r="AQ7290">
            <v>0</v>
          </cell>
          <cell r="AV7290">
            <v>0</v>
          </cell>
        </row>
        <row r="7291">
          <cell r="E7291" t="str">
            <v>D26002379</v>
          </cell>
          <cell r="AP7291">
            <v>0</v>
          </cell>
          <cell r="AQ7291">
            <v>0</v>
          </cell>
          <cell r="AV7291">
            <v>0</v>
          </cell>
        </row>
        <row r="7292">
          <cell r="E7292" t="str">
            <v>D26002380</v>
          </cell>
          <cell r="AP7292">
            <v>0</v>
          </cell>
          <cell r="AQ7292">
            <v>0</v>
          </cell>
          <cell r="AV7292">
            <v>0</v>
          </cell>
        </row>
        <row r="7293">
          <cell r="E7293" t="str">
            <v>D26000747</v>
          </cell>
          <cell r="AP7293">
            <v>0</v>
          </cell>
          <cell r="AQ7293">
            <v>0</v>
          </cell>
          <cell r="AV7293">
            <v>6750000</v>
          </cell>
        </row>
        <row r="7294">
          <cell r="E7294" t="str">
            <v>D26000751</v>
          </cell>
          <cell r="AP7294">
            <v>0</v>
          </cell>
          <cell r="AQ7294">
            <v>0</v>
          </cell>
          <cell r="AV7294">
            <v>2845000</v>
          </cell>
        </row>
        <row r="7295">
          <cell r="E7295" t="str">
            <v>B26001530</v>
          </cell>
          <cell r="AP7295">
            <v>0</v>
          </cell>
          <cell r="AQ7295">
            <v>0</v>
          </cell>
          <cell r="AV7295">
            <v>0</v>
          </cell>
        </row>
        <row r="7296">
          <cell r="E7296" t="str">
            <v>B26001875</v>
          </cell>
          <cell r="AP7296">
            <v>0</v>
          </cell>
          <cell r="AQ7296">
            <v>0</v>
          </cell>
          <cell r="AV7296">
            <v>0</v>
          </cell>
        </row>
        <row r="7297">
          <cell r="E7297" t="str">
            <v>B26001093</v>
          </cell>
          <cell r="AP7297">
            <v>0</v>
          </cell>
          <cell r="AQ7297">
            <v>0</v>
          </cell>
          <cell r="AV7297">
            <v>0</v>
          </cell>
        </row>
        <row r="7298">
          <cell r="E7298" t="str">
            <v>B25016506</v>
          </cell>
          <cell r="AP7298">
            <v>0</v>
          </cell>
          <cell r="AQ7298">
            <v>0</v>
          </cell>
          <cell r="AV7298">
            <v>3400000</v>
          </cell>
        </row>
        <row r="7299">
          <cell r="E7299" t="str">
            <v>B26000861</v>
          </cell>
          <cell r="AP7299">
            <v>0</v>
          </cell>
          <cell r="AQ7299">
            <v>0</v>
          </cell>
          <cell r="AV7299">
            <v>0</v>
          </cell>
        </row>
        <row r="7300">
          <cell r="E7300" t="str">
            <v>B26000967</v>
          </cell>
          <cell r="AP7300">
            <v>0</v>
          </cell>
          <cell r="AQ7300">
            <v>0</v>
          </cell>
          <cell r="AV7300">
            <v>0</v>
          </cell>
        </row>
        <row r="7301">
          <cell r="E7301" t="str">
            <v>D26001363</v>
          </cell>
          <cell r="AP7301">
            <v>0</v>
          </cell>
          <cell r="AQ7301">
            <v>0</v>
          </cell>
          <cell r="AV7301">
            <v>0</v>
          </cell>
        </row>
        <row r="7302">
          <cell r="E7302" t="str">
            <v>C26000135</v>
          </cell>
          <cell r="AP7302">
            <v>0</v>
          </cell>
          <cell r="AQ7302">
            <v>0</v>
          </cell>
          <cell r="AV7302">
            <v>286000</v>
          </cell>
        </row>
        <row r="7303">
          <cell r="E7303" t="str">
            <v>B25016720</v>
          </cell>
          <cell r="AP7303">
            <v>0</v>
          </cell>
          <cell r="AQ7303">
            <v>0</v>
          </cell>
          <cell r="AV7303">
            <v>0</v>
          </cell>
        </row>
        <row r="7304">
          <cell r="E7304" t="str">
            <v>B26002178</v>
          </cell>
          <cell r="AP7304">
            <v>0</v>
          </cell>
          <cell r="AQ7304">
            <v>0</v>
          </cell>
          <cell r="AV7304">
            <v>0</v>
          </cell>
        </row>
        <row r="7305">
          <cell r="E7305" t="str">
            <v>D26002355</v>
          </cell>
          <cell r="AP7305">
            <v>0</v>
          </cell>
          <cell r="AQ7305">
            <v>0</v>
          </cell>
          <cell r="AV7305">
            <v>0</v>
          </cell>
        </row>
        <row r="7306">
          <cell r="E7306" t="str">
            <v>B25016527</v>
          </cell>
          <cell r="AP7306">
            <v>0</v>
          </cell>
          <cell r="AQ7306">
            <v>0</v>
          </cell>
          <cell r="AV7306">
            <v>3885000</v>
          </cell>
        </row>
        <row r="7307">
          <cell r="E7307" t="str">
            <v>D26000349</v>
          </cell>
          <cell r="AP7307">
            <v>0</v>
          </cell>
          <cell r="AQ7307">
            <v>0</v>
          </cell>
          <cell r="AV7307">
            <v>0</v>
          </cell>
        </row>
        <row r="7308">
          <cell r="E7308" t="str">
            <v>B26001364</v>
          </cell>
          <cell r="AP7308">
            <v>0</v>
          </cell>
          <cell r="AQ7308">
            <v>0</v>
          </cell>
          <cell r="AV7308">
            <v>0</v>
          </cell>
        </row>
        <row r="7309">
          <cell r="E7309" t="str">
            <v>T24000579</v>
          </cell>
          <cell r="AP7309">
            <v>0</v>
          </cell>
          <cell r="AQ7309">
            <v>0</v>
          </cell>
          <cell r="AV7309">
            <v>0</v>
          </cell>
        </row>
        <row r="7310">
          <cell r="E7310" t="str">
            <v>D26002378</v>
          </cell>
          <cell r="AP7310">
            <v>0</v>
          </cell>
          <cell r="AQ7310">
            <v>0</v>
          </cell>
          <cell r="AV7310">
            <v>0</v>
          </cell>
        </row>
        <row r="7311">
          <cell r="E7311" t="str">
            <v>T26000094</v>
          </cell>
          <cell r="AP7311">
            <v>0</v>
          </cell>
          <cell r="AQ7311">
            <v>0</v>
          </cell>
          <cell r="AV7311">
            <v>0</v>
          </cell>
        </row>
        <row r="7312">
          <cell r="E7312" t="str">
            <v>T26000095</v>
          </cell>
          <cell r="AP7312">
            <v>0</v>
          </cell>
          <cell r="AQ7312">
            <v>0</v>
          </cell>
          <cell r="AV7312">
            <v>0</v>
          </cell>
        </row>
        <row r="7313">
          <cell r="E7313" t="str">
            <v>B25016872</v>
          </cell>
          <cell r="AP7313">
            <v>0</v>
          </cell>
          <cell r="AQ7313">
            <v>0</v>
          </cell>
          <cell r="AV7313">
            <v>0</v>
          </cell>
        </row>
        <row r="7314">
          <cell r="E7314" t="str">
            <v>D25018456</v>
          </cell>
          <cell r="AP7314">
            <v>0</v>
          </cell>
          <cell r="AQ7314">
            <v>0</v>
          </cell>
          <cell r="AV7314">
            <v>900000</v>
          </cell>
        </row>
        <row r="7315">
          <cell r="E7315" t="str">
            <v>D25018691</v>
          </cell>
          <cell r="AP7315">
            <v>0</v>
          </cell>
          <cell r="AQ7315">
            <v>0</v>
          </cell>
          <cell r="AV7315">
            <v>1720000</v>
          </cell>
        </row>
        <row r="7316">
          <cell r="E7316" t="str">
            <v>D25019380</v>
          </cell>
          <cell r="AP7316">
            <v>0</v>
          </cell>
          <cell r="AQ7316">
            <v>0</v>
          </cell>
          <cell r="AV7316">
            <v>2733250</v>
          </cell>
        </row>
        <row r="7317">
          <cell r="E7317" t="str">
            <v>B25016924</v>
          </cell>
          <cell r="AP7317">
            <v>0</v>
          </cell>
          <cell r="AQ7317">
            <v>0</v>
          </cell>
          <cell r="AV7317">
            <v>0</v>
          </cell>
        </row>
        <row r="7318">
          <cell r="E7318" t="str">
            <v>D25019503</v>
          </cell>
          <cell r="AP7318">
            <v>0</v>
          </cell>
          <cell r="AQ7318">
            <v>0</v>
          </cell>
          <cell r="AV7318">
            <v>0</v>
          </cell>
        </row>
        <row r="7319">
          <cell r="E7319" t="str">
            <v>B25016963</v>
          </cell>
          <cell r="AP7319">
            <v>0</v>
          </cell>
          <cell r="AQ7319">
            <v>0</v>
          </cell>
          <cell r="AV7319">
            <v>0</v>
          </cell>
        </row>
        <row r="7320">
          <cell r="E7320" t="str">
            <v>B26000087</v>
          </cell>
          <cell r="AP7320">
            <v>0</v>
          </cell>
          <cell r="AQ7320">
            <v>0</v>
          </cell>
          <cell r="AV7320">
            <v>0</v>
          </cell>
        </row>
        <row r="7321">
          <cell r="E7321" t="str">
            <v>D26002198</v>
          </cell>
          <cell r="AP7321">
            <v>0</v>
          </cell>
          <cell r="AQ7321">
            <v>0</v>
          </cell>
          <cell r="AV7321">
            <v>0</v>
          </cell>
        </row>
        <row r="7322">
          <cell r="E7322" t="str">
            <v>B26002163</v>
          </cell>
          <cell r="AP7322">
            <v>0</v>
          </cell>
          <cell r="AQ7322">
            <v>0</v>
          </cell>
          <cell r="AV7322">
            <v>0</v>
          </cell>
        </row>
        <row r="7323">
          <cell r="E7323" t="str">
            <v>B26001571</v>
          </cell>
          <cell r="AP7323">
            <v>0</v>
          </cell>
          <cell r="AQ7323">
            <v>0</v>
          </cell>
          <cell r="AV7323">
            <v>0</v>
          </cell>
        </row>
        <row r="7324">
          <cell r="E7324" t="str">
            <v>B26001572</v>
          </cell>
          <cell r="AP7324">
            <v>0</v>
          </cell>
          <cell r="AQ7324">
            <v>0</v>
          </cell>
          <cell r="AV7324">
            <v>0</v>
          </cell>
        </row>
        <row r="7325">
          <cell r="E7325" t="str">
            <v>T26000115</v>
          </cell>
          <cell r="AP7325">
            <v>0</v>
          </cell>
          <cell r="AQ7325">
            <v>0</v>
          </cell>
          <cell r="AV7325">
            <v>3720000</v>
          </cell>
        </row>
        <row r="7326">
          <cell r="E7326" t="str">
            <v>B25016002</v>
          </cell>
          <cell r="AP7326">
            <v>0</v>
          </cell>
          <cell r="AQ7326">
            <v>0</v>
          </cell>
          <cell r="AV7326">
            <v>7551000</v>
          </cell>
        </row>
        <row r="7327">
          <cell r="E7327" t="str">
            <v>B25016440</v>
          </cell>
          <cell r="AP7327">
            <v>0</v>
          </cell>
          <cell r="AQ7327">
            <v>0</v>
          </cell>
          <cell r="AV7327">
            <v>0</v>
          </cell>
        </row>
        <row r="7328">
          <cell r="E7328" t="str">
            <v>D25019251</v>
          </cell>
          <cell r="AP7328">
            <v>0</v>
          </cell>
          <cell r="AQ7328">
            <v>0</v>
          </cell>
          <cell r="AV7328">
            <v>0</v>
          </cell>
        </row>
        <row r="7329">
          <cell r="E7329" t="str">
            <v>B25016920</v>
          </cell>
          <cell r="AP7329">
            <v>0</v>
          </cell>
          <cell r="AQ7329">
            <v>0</v>
          </cell>
          <cell r="AV7329">
            <v>0</v>
          </cell>
        </row>
        <row r="7330">
          <cell r="E7330" t="str">
            <v>B26000197</v>
          </cell>
          <cell r="AP7330">
            <v>0</v>
          </cell>
          <cell r="AQ7330">
            <v>0</v>
          </cell>
          <cell r="AV7330">
            <v>3300000</v>
          </cell>
        </row>
        <row r="7331">
          <cell r="E7331" t="str">
            <v>D26000285</v>
          </cell>
          <cell r="AP7331">
            <v>0</v>
          </cell>
          <cell r="AQ7331">
            <v>0</v>
          </cell>
          <cell r="AV7331">
            <v>0</v>
          </cell>
        </row>
        <row r="7332">
          <cell r="E7332" t="str">
            <v>D26000339</v>
          </cell>
          <cell r="AP7332">
            <v>0</v>
          </cell>
          <cell r="AQ7332">
            <v>0</v>
          </cell>
          <cell r="AV7332">
            <v>0</v>
          </cell>
        </row>
        <row r="7333">
          <cell r="E7333" t="str">
            <v>D26000436</v>
          </cell>
          <cell r="AP7333">
            <v>0</v>
          </cell>
          <cell r="AQ7333">
            <v>0</v>
          </cell>
          <cell r="AV7333">
            <v>0</v>
          </cell>
        </row>
        <row r="7334">
          <cell r="E7334" t="str">
            <v>B26000448</v>
          </cell>
          <cell r="AP7334">
            <v>0</v>
          </cell>
          <cell r="AQ7334">
            <v>0</v>
          </cell>
          <cell r="AV7334">
            <v>630000</v>
          </cell>
        </row>
        <row r="7335">
          <cell r="E7335" t="str">
            <v>B26000969</v>
          </cell>
          <cell r="AP7335">
            <v>0</v>
          </cell>
          <cell r="AQ7335">
            <v>0</v>
          </cell>
          <cell r="AV7335">
            <v>0</v>
          </cell>
        </row>
        <row r="7336">
          <cell r="E7336" t="str">
            <v>B26000989</v>
          </cell>
          <cell r="AP7336">
            <v>0</v>
          </cell>
          <cell r="AQ7336">
            <v>0</v>
          </cell>
          <cell r="AV7336">
            <v>0</v>
          </cell>
        </row>
        <row r="7337">
          <cell r="E7337" t="str">
            <v>B26001057</v>
          </cell>
          <cell r="AP7337">
            <v>0</v>
          </cell>
          <cell r="AQ7337">
            <v>0</v>
          </cell>
          <cell r="AV7337">
            <v>0</v>
          </cell>
        </row>
        <row r="7338">
          <cell r="E7338" t="str">
            <v>D26001086</v>
          </cell>
          <cell r="AP7338">
            <v>0</v>
          </cell>
          <cell r="AQ7338">
            <v>0</v>
          </cell>
          <cell r="AV7338">
            <v>0</v>
          </cell>
        </row>
        <row r="7339">
          <cell r="E7339" t="str">
            <v>D26001087</v>
          </cell>
          <cell r="AP7339">
            <v>0</v>
          </cell>
          <cell r="AQ7339">
            <v>0</v>
          </cell>
          <cell r="AV7339">
            <v>0</v>
          </cell>
        </row>
        <row r="7340">
          <cell r="E7340" t="str">
            <v>D26001226</v>
          </cell>
          <cell r="AP7340">
            <v>0</v>
          </cell>
          <cell r="AQ7340">
            <v>0</v>
          </cell>
          <cell r="AV7340">
            <v>0</v>
          </cell>
        </row>
        <row r="7341">
          <cell r="E7341" t="str">
            <v>D26001227</v>
          </cell>
          <cell r="AP7341">
            <v>0</v>
          </cell>
          <cell r="AQ7341">
            <v>0</v>
          </cell>
          <cell r="AV7341">
            <v>0</v>
          </cell>
        </row>
        <row r="7342">
          <cell r="E7342" t="str">
            <v>D26001387</v>
          </cell>
          <cell r="AP7342">
            <v>0</v>
          </cell>
          <cell r="AQ7342">
            <v>0</v>
          </cell>
          <cell r="AV7342">
            <v>0</v>
          </cell>
        </row>
        <row r="7343">
          <cell r="E7343" t="str">
            <v>D26001410</v>
          </cell>
          <cell r="AP7343">
            <v>0</v>
          </cell>
          <cell r="AQ7343">
            <v>0</v>
          </cell>
          <cell r="AV7343">
            <v>0</v>
          </cell>
        </row>
        <row r="7344">
          <cell r="E7344" t="str">
            <v>B26001391</v>
          </cell>
          <cell r="AP7344">
            <v>0</v>
          </cell>
          <cell r="AQ7344">
            <v>0</v>
          </cell>
          <cell r="AV7344">
            <v>0</v>
          </cell>
        </row>
        <row r="7345">
          <cell r="E7345" t="str">
            <v>D26001471</v>
          </cell>
          <cell r="AP7345">
            <v>0</v>
          </cell>
          <cell r="AQ7345">
            <v>0</v>
          </cell>
          <cell r="AV7345">
            <v>0</v>
          </cell>
        </row>
        <row r="7346">
          <cell r="E7346" t="str">
            <v>D26002048</v>
          </cell>
          <cell r="AP7346">
            <v>0</v>
          </cell>
          <cell r="AQ7346">
            <v>0</v>
          </cell>
          <cell r="AV7346">
            <v>0</v>
          </cell>
        </row>
        <row r="7347">
          <cell r="E7347" t="str">
            <v>B26002097</v>
          </cell>
          <cell r="AP7347">
            <v>0</v>
          </cell>
          <cell r="AQ7347">
            <v>0</v>
          </cell>
          <cell r="AV7347">
            <v>0</v>
          </cell>
        </row>
        <row r="7348">
          <cell r="E7348" t="str">
            <v>B26002146</v>
          </cell>
          <cell r="AP7348">
            <v>0</v>
          </cell>
          <cell r="AQ7348">
            <v>0</v>
          </cell>
          <cell r="AV7348">
            <v>0</v>
          </cell>
        </row>
        <row r="7349">
          <cell r="E7349" t="str">
            <v>B26002151</v>
          </cell>
          <cell r="AP7349">
            <v>0</v>
          </cell>
          <cell r="AQ7349">
            <v>0</v>
          </cell>
          <cell r="AV7349">
            <v>0</v>
          </cell>
        </row>
        <row r="7350">
          <cell r="E7350" t="str">
            <v>D26002246</v>
          </cell>
          <cell r="AP7350">
            <v>0</v>
          </cell>
          <cell r="AQ7350">
            <v>0</v>
          </cell>
          <cell r="AV7350">
            <v>0</v>
          </cell>
        </row>
        <row r="7351">
          <cell r="E7351" t="str">
            <v>D26002303</v>
          </cell>
          <cell r="AP7351">
            <v>0</v>
          </cell>
          <cell r="AQ7351">
            <v>0</v>
          </cell>
          <cell r="AV7351">
            <v>0</v>
          </cell>
        </row>
        <row r="7352">
          <cell r="E7352" t="str">
            <v>D26002363</v>
          </cell>
          <cell r="AP7352">
            <v>0</v>
          </cell>
          <cell r="AQ7352">
            <v>0</v>
          </cell>
          <cell r="AV7352">
            <v>0</v>
          </cell>
        </row>
        <row r="7353">
          <cell r="E7353" t="str">
            <v>B26002205</v>
          </cell>
          <cell r="AP7353">
            <v>0</v>
          </cell>
          <cell r="AQ7353">
            <v>0</v>
          </cell>
          <cell r="AV7353">
            <v>0</v>
          </cell>
        </row>
        <row r="7354">
          <cell r="E7354" t="str">
            <v>D25017696</v>
          </cell>
          <cell r="AP7354">
            <v>0</v>
          </cell>
          <cell r="AQ7354">
            <v>0</v>
          </cell>
          <cell r="AV7354">
            <v>5025000</v>
          </cell>
        </row>
        <row r="7355">
          <cell r="E7355" t="str">
            <v>D25017696</v>
          </cell>
          <cell r="AP7355">
            <v>975000</v>
          </cell>
          <cell r="AQ7355">
            <v>0</v>
          </cell>
          <cell r="AV7355">
            <v>0</v>
          </cell>
        </row>
        <row r="7356">
          <cell r="E7356" t="str">
            <v>D25017697</v>
          </cell>
          <cell r="AP7356">
            <v>0</v>
          </cell>
          <cell r="AQ7356">
            <v>0</v>
          </cell>
          <cell r="AV7356">
            <v>0</v>
          </cell>
        </row>
        <row r="7357">
          <cell r="E7357" t="str">
            <v>D26002415</v>
          </cell>
          <cell r="AP7357">
            <v>0</v>
          </cell>
          <cell r="AQ7357">
            <v>0</v>
          </cell>
          <cell r="AV7357">
            <v>0</v>
          </cell>
        </row>
        <row r="7358">
          <cell r="E7358" t="str">
            <v>D26002014</v>
          </cell>
          <cell r="AP7358">
            <v>0</v>
          </cell>
          <cell r="AQ7358">
            <v>0</v>
          </cell>
          <cell r="AV7358">
            <v>22800000</v>
          </cell>
        </row>
        <row r="7359">
          <cell r="E7359" t="str">
            <v>T26000168</v>
          </cell>
          <cell r="AP7359">
            <v>0</v>
          </cell>
          <cell r="AQ7359">
            <v>0</v>
          </cell>
          <cell r="AV7359">
            <v>4800000</v>
          </cell>
        </row>
        <row r="7360">
          <cell r="E7360" t="str">
            <v>D26000941</v>
          </cell>
          <cell r="AP7360">
            <v>0</v>
          </cell>
          <cell r="AQ7360">
            <v>0</v>
          </cell>
          <cell r="AV7360">
            <v>0</v>
          </cell>
        </row>
        <row r="7361">
          <cell r="E7361" t="str">
            <v>D26001067</v>
          </cell>
          <cell r="AP7361">
            <v>0</v>
          </cell>
          <cell r="AQ7361">
            <v>0</v>
          </cell>
          <cell r="AV7361">
            <v>0</v>
          </cell>
        </row>
        <row r="7362">
          <cell r="E7362" t="str">
            <v>B26002271</v>
          </cell>
          <cell r="AP7362">
            <v>0</v>
          </cell>
          <cell r="AQ7362">
            <v>0</v>
          </cell>
          <cell r="AV7362">
            <v>0</v>
          </cell>
        </row>
        <row r="7363">
          <cell r="E7363" t="str">
            <v>D26002483</v>
          </cell>
          <cell r="AP7363">
            <v>0</v>
          </cell>
          <cell r="AQ7363">
            <v>0</v>
          </cell>
          <cell r="AV7363">
            <v>0</v>
          </cell>
        </row>
        <row r="7364">
          <cell r="E7364" t="str">
            <v>D26001771</v>
          </cell>
          <cell r="AP7364">
            <v>0</v>
          </cell>
          <cell r="AQ7364">
            <v>0</v>
          </cell>
          <cell r="AV7364">
            <v>385000</v>
          </cell>
        </row>
        <row r="7365">
          <cell r="E7365" t="str">
            <v>B26001566</v>
          </cell>
          <cell r="AP7365">
            <v>0</v>
          </cell>
          <cell r="AQ7365">
            <v>0</v>
          </cell>
          <cell r="AV7365">
            <v>6120000</v>
          </cell>
        </row>
        <row r="7367">
          <cell r="E7367" t="str">
            <v>x</v>
          </cell>
          <cell r="AP7367" t="str">
            <v>x</v>
          </cell>
          <cell r="AQ7367" t="str">
            <v>x</v>
          </cell>
          <cell r="AV7367" t="str">
            <v>x</v>
          </cell>
        </row>
        <row r="7368">
          <cell r="AP7368">
            <v>91746088</v>
          </cell>
          <cell r="AQ7368">
            <v>10900117250</v>
          </cell>
          <cell r="AV7368">
            <v>56850845560.509995</v>
          </cell>
        </row>
        <row r="7369">
          <cell r="AQ7369">
            <v>10900117500</v>
          </cell>
        </row>
        <row r="7370">
          <cell r="AQ7370">
            <v>-250</v>
          </cell>
        </row>
        <row r="7371">
          <cell r="AQ7371">
            <v>0</v>
          </cell>
        </row>
        <row r="7373">
          <cell r="AP7373" t="str">
            <v>Jelita, UD</v>
          </cell>
          <cell r="AQ7373">
            <v>250</v>
          </cell>
        </row>
        <row r="7374">
          <cell r="AP7374" t="str">
            <v>Jelita, UD</v>
          </cell>
        </row>
        <row r="7375">
          <cell r="AP7375" t="str">
            <v>Sumber Berkat/Agus</v>
          </cell>
        </row>
        <row r="7376">
          <cell r="AP7376" t="str">
            <v>Subur Tani Agro Raya Sejahtera, CV (Asuransi MAG)</v>
          </cell>
        </row>
        <row r="7377">
          <cell r="AP7377" t="str">
            <v>Subur Tani Agro Raya Sejahtera, CV (Asuransi MAG)</v>
          </cell>
        </row>
        <row r="7378">
          <cell r="AP7378" t="str">
            <v>Subur Tani Agro Raya Sejahtera, CV (Asuransi MAG)</v>
          </cell>
        </row>
        <row r="7379">
          <cell r="AP7379" t="str">
            <v>Subur Tani Agro Raya Sejahtera, CV (Asuransi MAG)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activeCell="K12" sqref="K12"/>
    </sheetView>
  </sheetViews>
  <sheetFormatPr defaultRowHeight="15"/>
  <sheetData>
    <row r="1" spans="1:20" ht="25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3" t="s">
        <v>2</v>
      </c>
      <c r="N1" s="4" t="s">
        <v>3</v>
      </c>
      <c r="O1" s="2" t="s">
        <v>4</v>
      </c>
      <c r="P1" s="2" t="s">
        <v>4</v>
      </c>
      <c r="Q1" s="5" t="s">
        <v>5</v>
      </c>
      <c r="R1" s="5"/>
      <c r="S1" s="5"/>
      <c r="T1" s="4" t="s">
        <v>4</v>
      </c>
    </row>
    <row r="2" spans="1:20" ht="36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10"/>
      <c r="G2" s="11" t="s">
        <v>11</v>
      </c>
      <c r="H2" s="12" t="s">
        <v>12</v>
      </c>
      <c r="I2" s="13" t="s">
        <v>13</v>
      </c>
      <c r="J2" s="14" t="s">
        <v>14</v>
      </c>
      <c r="K2" s="14"/>
      <c r="L2" s="15" t="s">
        <v>15</v>
      </c>
      <c r="M2" s="16" t="s">
        <v>16</v>
      </c>
      <c r="N2" s="17" t="s">
        <v>17</v>
      </c>
      <c r="O2" s="15" t="s">
        <v>18</v>
      </c>
      <c r="P2" s="15" t="s">
        <v>19</v>
      </c>
      <c r="Q2" s="18" t="s">
        <v>20</v>
      </c>
      <c r="R2" s="18" t="s">
        <v>21</v>
      </c>
      <c r="S2" s="18" t="s">
        <v>2</v>
      </c>
      <c r="T2" s="17" t="s">
        <v>22</v>
      </c>
    </row>
    <row r="3" spans="1:20">
      <c r="A3" s="19" t="s">
        <v>23</v>
      </c>
      <c r="B3" s="20">
        <f>+E3+G3+H3+J3</f>
        <v>8671.1122749999995</v>
      </c>
      <c r="C3" s="21">
        <v>0.94</v>
      </c>
      <c r="D3" s="22">
        <f>+F3</f>
        <v>0.8666970351274802</v>
      </c>
      <c r="E3" s="20">
        <v>7515.2272999999996</v>
      </c>
      <c r="F3" s="23">
        <f t="shared" ref="F3" si="0">+E3/B3</f>
        <v>0.8666970351274802</v>
      </c>
      <c r="G3" s="20">
        <v>1139.354975</v>
      </c>
      <c r="H3" s="20">
        <v>16.53</v>
      </c>
      <c r="I3" s="23">
        <f t="shared" ref="I3" si="1">+(G3+H3)/B3</f>
        <v>0.13330296487251977</v>
      </c>
      <c r="J3" s="20">
        <v>0</v>
      </c>
      <c r="K3" s="23">
        <f t="shared" ref="K3" si="2">+J3/B3</f>
        <v>0</v>
      </c>
      <c r="L3" s="24">
        <v>0.7142857142857143</v>
      </c>
      <c r="M3" s="25">
        <v>0.7431180354356931</v>
      </c>
      <c r="N3" s="26"/>
      <c r="O3" s="26"/>
      <c r="P3" s="26"/>
      <c r="Q3" s="27"/>
      <c r="R3" s="27"/>
      <c r="S3" s="23">
        <v>1</v>
      </c>
      <c r="T3" s="28">
        <v>0</v>
      </c>
    </row>
    <row r="5" spans="1:20">
      <c r="A5" s="29" t="s">
        <v>24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20">
      <c r="A6" s="31" t="s">
        <v>6</v>
      </c>
      <c r="B6" s="32" t="s">
        <v>25</v>
      </c>
      <c r="C6" s="33"/>
      <c r="D6" s="33"/>
      <c r="E6" s="33"/>
      <c r="F6" s="33"/>
      <c r="G6" s="33"/>
      <c r="H6" s="34"/>
      <c r="I6" s="35" t="s">
        <v>8</v>
      </c>
      <c r="J6" s="36"/>
      <c r="K6" s="37" t="s">
        <v>26</v>
      </c>
      <c r="L6" s="37" t="s">
        <v>27</v>
      </c>
    </row>
    <row r="7" spans="1:20">
      <c r="A7" s="31"/>
      <c r="B7" s="38" t="s">
        <v>28</v>
      </c>
      <c r="C7" s="39"/>
      <c r="D7" s="39"/>
      <c r="E7" s="40"/>
      <c r="F7" s="41" t="s">
        <v>29</v>
      </c>
      <c r="G7" s="42"/>
      <c r="H7" s="43"/>
      <c r="I7" s="44" t="s">
        <v>30</v>
      </c>
      <c r="J7" s="45"/>
      <c r="K7" s="46" t="s">
        <v>31</v>
      </c>
      <c r="L7" s="46" t="s">
        <v>32</v>
      </c>
    </row>
    <row r="8" spans="1:20">
      <c r="A8" s="31"/>
      <c r="B8" s="47" t="s">
        <v>8</v>
      </c>
      <c r="C8" s="48" t="s">
        <v>2</v>
      </c>
      <c r="D8" s="48" t="s">
        <v>33</v>
      </c>
      <c r="E8" s="49" t="s">
        <v>34</v>
      </c>
      <c r="F8" s="48" t="s">
        <v>2</v>
      </c>
      <c r="G8" s="48" t="s">
        <v>33</v>
      </c>
      <c r="H8" s="49" t="s">
        <v>34</v>
      </c>
      <c r="I8" s="50" t="s">
        <v>33</v>
      </c>
      <c r="J8" s="50" t="s">
        <v>34</v>
      </c>
      <c r="K8" s="51" t="s">
        <v>35</v>
      </c>
      <c r="L8" s="51" t="s">
        <v>35</v>
      </c>
    </row>
    <row r="9" spans="1:20">
      <c r="A9" s="52" t="s">
        <v>23</v>
      </c>
      <c r="B9" s="53">
        <v>0.98</v>
      </c>
      <c r="C9" s="53">
        <f>+D9/(D9+E9)</f>
        <v>0.95747553454822099</v>
      </c>
      <c r="D9" s="54">
        <f>+G9</f>
        <v>6490.1670999999978</v>
      </c>
      <c r="E9" s="54">
        <f>+H9</f>
        <v>288.24849999999998</v>
      </c>
      <c r="F9" s="55">
        <f t="shared" ref="F9:F10" si="3">+G9/(G9+H9)</f>
        <v>0.95747553454822099</v>
      </c>
      <c r="G9" s="56">
        <v>6490.1670999999978</v>
      </c>
      <c r="H9" s="56">
        <v>288.24849999999998</v>
      </c>
      <c r="I9" s="57" t="s">
        <v>36</v>
      </c>
      <c r="J9" s="57" t="s">
        <v>37</v>
      </c>
      <c r="K9" s="58"/>
      <c r="L9" s="59">
        <v>0.57191780821917804</v>
      </c>
    </row>
    <row r="10" spans="1:20" hidden="1">
      <c r="A10" s="52" t="s">
        <v>38</v>
      </c>
      <c r="B10" s="53">
        <v>0.98</v>
      </c>
      <c r="C10" s="53">
        <f t="shared" ref="C10" si="4">+D10/(D10+E10)</f>
        <v>0.95747553454822099</v>
      </c>
      <c r="D10" s="54">
        <f>+D9+G10</f>
        <v>6490.1670999999978</v>
      </c>
      <c r="E10" s="54">
        <f>+E9+H10</f>
        <v>288.24849999999998</v>
      </c>
      <c r="F10" s="55" t="e">
        <f t="shared" si="3"/>
        <v>#DIV/0!</v>
      </c>
      <c r="G10" s="56"/>
      <c r="H10" s="56"/>
      <c r="I10" s="54"/>
      <c r="J10" s="54"/>
      <c r="K10" s="58"/>
      <c r="L10" s="58"/>
    </row>
    <row r="13" spans="1:20">
      <c r="A13" s="60" t="s">
        <v>39</v>
      </c>
      <c r="B13" s="60" t="s">
        <v>40</v>
      </c>
      <c r="C13" s="60" t="s">
        <v>41</v>
      </c>
      <c r="D13" s="60" t="s">
        <v>42</v>
      </c>
      <c r="E13" s="60" t="s">
        <v>43</v>
      </c>
      <c r="F13" s="60" t="s">
        <v>44</v>
      </c>
      <c r="G13" s="60" t="s">
        <v>45</v>
      </c>
      <c r="H13" s="60" t="s">
        <v>46</v>
      </c>
    </row>
    <row r="14" spans="1:20">
      <c r="A14" s="61">
        <v>1</v>
      </c>
      <c r="B14" s="62" t="s">
        <v>47</v>
      </c>
      <c r="C14" s="63">
        <v>387</v>
      </c>
      <c r="D14" s="64">
        <v>468</v>
      </c>
      <c r="E14" s="64">
        <v>609</v>
      </c>
      <c r="F14" s="64">
        <v>453</v>
      </c>
      <c r="G14" s="64">
        <v>438</v>
      </c>
      <c r="H14" s="64">
        <v>889</v>
      </c>
    </row>
    <row r="15" spans="1:20">
      <c r="A15" s="61"/>
      <c r="B15" s="62" t="s">
        <v>48</v>
      </c>
      <c r="C15" s="63">
        <v>357</v>
      </c>
      <c r="D15" s="64">
        <v>455</v>
      </c>
      <c r="E15" s="63">
        <v>562</v>
      </c>
      <c r="F15" s="64">
        <v>415</v>
      </c>
      <c r="G15" s="64">
        <v>415</v>
      </c>
      <c r="H15" s="64">
        <v>861</v>
      </c>
    </row>
    <row r="16" spans="1:20">
      <c r="A16" s="61"/>
      <c r="B16" s="62" t="s">
        <v>8</v>
      </c>
      <c r="C16" s="63">
        <v>30</v>
      </c>
      <c r="D16" s="63">
        <f>+D14-D15</f>
        <v>13</v>
      </c>
      <c r="E16" s="63">
        <f>+E14-E15</f>
        <v>47</v>
      </c>
      <c r="F16" s="63">
        <f>+F14-F15</f>
        <v>38</v>
      </c>
      <c r="G16" s="63">
        <f>+G14-G15</f>
        <v>23</v>
      </c>
      <c r="H16" s="63">
        <v>28</v>
      </c>
    </row>
    <row r="17" spans="1:8">
      <c r="A17" s="61"/>
      <c r="B17" s="65" t="s">
        <v>2</v>
      </c>
      <c r="C17" s="66">
        <f>C15/C14</f>
        <v>0.92248062015503873</v>
      </c>
      <c r="D17" s="66">
        <f t="shared" ref="D17:H17" si="5">D15/D14</f>
        <v>0.97222222222222221</v>
      </c>
      <c r="E17" s="66">
        <f t="shared" si="5"/>
        <v>0.92282430213464695</v>
      </c>
      <c r="F17" s="66">
        <f t="shared" si="5"/>
        <v>0.91611479028697573</v>
      </c>
      <c r="G17" s="66">
        <f t="shared" si="5"/>
        <v>0.94748858447488582</v>
      </c>
      <c r="H17" s="66">
        <f t="shared" si="5"/>
        <v>0.96850393700787396</v>
      </c>
    </row>
  </sheetData>
  <mergeCells count="12">
    <mergeCell ref="I7:J7"/>
    <mergeCell ref="A14:A17"/>
    <mergeCell ref="A1:K1"/>
    <mergeCell ref="Q1:S1"/>
    <mergeCell ref="E2:F2"/>
    <mergeCell ref="J2:K2"/>
    <mergeCell ref="A5:L5"/>
    <mergeCell ref="A6:A8"/>
    <mergeCell ref="B6:H6"/>
    <mergeCell ref="I6:J6"/>
    <mergeCell ref="B7:E7"/>
    <mergeCell ref="F7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2"/>
  <sheetViews>
    <sheetView topLeftCell="C1" zoomScale="80" zoomScaleNormal="80" workbookViewId="0">
      <pane ySplit="6" topLeftCell="A7" activePane="bottomLeft" state="frozen"/>
      <selection pane="bottomLeft" activeCell="AL11" sqref="AL11"/>
    </sheetView>
  </sheetViews>
  <sheetFormatPr defaultRowHeight="15"/>
  <cols>
    <col min="1" max="1" width="4.5703125" customWidth="1"/>
    <col min="2" max="2" width="27.7109375" customWidth="1"/>
    <col min="3" max="9" width="5.7109375" customWidth="1"/>
    <col min="10" max="10" width="5" customWidth="1"/>
    <col min="11" max="29" width="5.7109375" customWidth="1"/>
    <col min="30" max="30" width="5.85546875" customWidth="1"/>
    <col min="31" max="33" width="5.7109375" customWidth="1"/>
    <col min="34" max="34" width="11.140625" customWidth="1"/>
    <col min="35" max="37" width="5.7109375" customWidth="1"/>
    <col min="38" max="38" width="7" customWidth="1"/>
    <col min="39" max="39" width="5.7109375" customWidth="1"/>
    <col min="40" max="41" width="5.85546875" customWidth="1"/>
  </cols>
  <sheetData>
    <row r="1" spans="1:55" ht="15.75">
      <c r="A1" s="67" t="s">
        <v>49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</row>
    <row r="2" spans="1:55">
      <c r="A2" s="69" t="s">
        <v>50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</row>
    <row r="3" spans="1:55">
      <c r="A3" s="71"/>
      <c r="B3" s="72" t="s">
        <v>51</v>
      </c>
      <c r="C3" s="68" t="s">
        <v>52</v>
      </c>
      <c r="D3" s="73" t="s">
        <v>44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</row>
    <row r="4" spans="1:55">
      <c r="A4" s="72"/>
      <c r="B4" s="72" t="s">
        <v>53</v>
      </c>
      <c r="C4" s="68" t="s">
        <v>52</v>
      </c>
      <c r="D4" s="73" t="s">
        <v>54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</row>
    <row r="5" spans="1:55">
      <c r="A5" s="72"/>
      <c r="B5" s="72" t="s">
        <v>55</v>
      </c>
      <c r="C5" s="68" t="s">
        <v>52</v>
      </c>
      <c r="D5" s="73" t="s">
        <v>56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</row>
    <row r="6" spans="1:55" s="76" customFormat="1" ht="12.75" customHeight="1">
      <c r="A6" s="74" t="s">
        <v>57</v>
      </c>
      <c r="B6" s="74" t="s">
        <v>58</v>
      </c>
      <c r="C6" s="74">
        <v>1</v>
      </c>
      <c r="D6" s="74">
        <v>2</v>
      </c>
      <c r="E6" s="74">
        <v>3</v>
      </c>
      <c r="F6" s="74">
        <v>4</v>
      </c>
      <c r="G6" s="74">
        <v>5</v>
      </c>
      <c r="H6" s="74">
        <v>6</v>
      </c>
      <c r="I6" s="74">
        <v>7</v>
      </c>
      <c r="J6" s="74">
        <v>8</v>
      </c>
      <c r="K6" s="74">
        <v>9</v>
      </c>
      <c r="L6" s="74">
        <v>10</v>
      </c>
      <c r="M6" s="74">
        <v>11</v>
      </c>
      <c r="N6" s="74">
        <v>12</v>
      </c>
      <c r="O6" s="74">
        <v>13</v>
      </c>
      <c r="P6" s="74">
        <v>14</v>
      </c>
      <c r="Q6" s="74">
        <v>15</v>
      </c>
      <c r="R6" s="74">
        <v>16</v>
      </c>
      <c r="S6" s="74">
        <v>17</v>
      </c>
      <c r="T6" s="74">
        <v>18</v>
      </c>
      <c r="U6" s="74">
        <v>19</v>
      </c>
      <c r="V6" s="74">
        <v>20</v>
      </c>
      <c r="W6" s="74">
        <v>21</v>
      </c>
      <c r="X6" s="74">
        <v>22</v>
      </c>
      <c r="Y6" s="74">
        <v>23</v>
      </c>
      <c r="Z6" s="74">
        <v>24</v>
      </c>
      <c r="AA6" s="74">
        <v>25</v>
      </c>
      <c r="AB6" s="74">
        <v>26</v>
      </c>
      <c r="AC6" s="74">
        <v>27</v>
      </c>
      <c r="AD6" s="74">
        <v>28</v>
      </c>
      <c r="AE6" s="74">
        <v>29</v>
      </c>
      <c r="AF6" s="74">
        <v>30</v>
      </c>
      <c r="AG6" s="74">
        <v>31</v>
      </c>
      <c r="AH6" s="75" t="s">
        <v>59</v>
      </c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</row>
    <row r="7" spans="1:55" s="76" customFormat="1" ht="12.75" customHeight="1">
      <c r="A7" s="77">
        <v>1</v>
      </c>
      <c r="B7" s="78" t="s">
        <v>60</v>
      </c>
      <c r="C7" s="79"/>
      <c r="D7" s="79"/>
      <c r="E7" s="79"/>
      <c r="F7" s="79"/>
      <c r="G7" s="79" t="s">
        <v>61</v>
      </c>
      <c r="H7" s="79" t="s">
        <v>62</v>
      </c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 t="s">
        <v>63</v>
      </c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80"/>
      <c r="AI7" s="81" t="s">
        <v>64</v>
      </c>
      <c r="AJ7" s="82"/>
      <c r="AK7" s="82"/>
      <c r="AL7" s="83"/>
      <c r="AM7" s="82" t="s">
        <v>10</v>
      </c>
      <c r="AN7" s="82"/>
      <c r="AO7" s="82"/>
      <c r="AP7" s="83"/>
      <c r="AQ7" s="83"/>
      <c r="AR7" s="83"/>
      <c r="AS7" s="83"/>
      <c r="AT7" s="83"/>
      <c r="AU7" s="83"/>
      <c r="AV7" s="71"/>
      <c r="AW7" s="71"/>
      <c r="AX7" s="71"/>
      <c r="AY7" s="71"/>
      <c r="AZ7" s="71"/>
      <c r="BA7" s="71"/>
      <c r="BB7" s="71"/>
      <c r="BC7" s="71"/>
    </row>
    <row r="8" spans="1:55" s="76" customFormat="1" ht="12.95" customHeight="1">
      <c r="A8" s="77">
        <f>1+A7</f>
        <v>2</v>
      </c>
      <c r="B8" s="78" t="s">
        <v>65</v>
      </c>
      <c r="C8" s="79"/>
      <c r="D8" s="79"/>
      <c r="E8" s="79"/>
      <c r="F8" s="79"/>
      <c r="G8" s="79" t="s">
        <v>61</v>
      </c>
      <c r="H8" s="79"/>
      <c r="I8" s="79"/>
      <c r="J8" s="79" t="s">
        <v>61</v>
      </c>
      <c r="K8" s="79"/>
      <c r="L8" s="79" t="s">
        <v>61</v>
      </c>
      <c r="M8" s="79"/>
      <c r="N8" s="79" t="s">
        <v>61</v>
      </c>
      <c r="O8" s="79"/>
      <c r="P8" s="79" t="s">
        <v>62</v>
      </c>
      <c r="Q8" s="79"/>
      <c r="R8" s="79"/>
      <c r="S8" s="79"/>
      <c r="T8" s="79"/>
      <c r="U8" s="79" t="s">
        <v>61</v>
      </c>
      <c r="V8" s="79" t="s">
        <v>61</v>
      </c>
      <c r="W8" s="79"/>
      <c r="X8" s="79" t="s">
        <v>61</v>
      </c>
      <c r="Y8" s="79"/>
      <c r="Z8" s="79" t="s">
        <v>62</v>
      </c>
      <c r="AA8" s="79"/>
      <c r="AB8" s="79"/>
      <c r="AC8" s="79"/>
      <c r="AD8" s="79"/>
      <c r="AE8" s="84"/>
      <c r="AF8" s="79" t="s">
        <v>63</v>
      </c>
      <c r="AG8" s="79"/>
      <c r="AH8" s="85"/>
      <c r="AI8" s="86"/>
      <c r="AJ8" s="87"/>
      <c r="AK8" s="88"/>
      <c r="AL8" s="83"/>
      <c r="AM8" s="86"/>
      <c r="AN8" s="87"/>
      <c r="AO8" s="88"/>
      <c r="AP8" s="83"/>
      <c r="AQ8" s="83"/>
      <c r="AR8" s="83"/>
      <c r="AS8" s="83"/>
      <c r="AT8" s="83"/>
      <c r="AU8" s="83"/>
      <c r="AV8" s="71"/>
      <c r="AW8" s="71"/>
      <c r="AX8" s="71"/>
      <c r="AY8" s="71"/>
      <c r="AZ8" s="71"/>
      <c r="BA8" s="71"/>
      <c r="BB8" s="71"/>
      <c r="BC8" s="71"/>
    </row>
    <row r="9" spans="1:55" s="76" customFormat="1" ht="12.95" customHeight="1">
      <c r="A9" s="77">
        <f>1+A8</f>
        <v>3</v>
      </c>
      <c r="B9" s="78" t="s">
        <v>66</v>
      </c>
      <c r="C9" s="79"/>
      <c r="D9" s="79"/>
      <c r="E9" s="79" t="s">
        <v>61</v>
      </c>
      <c r="F9" s="79"/>
      <c r="G9" s="79" t="s">
        <v>61</v>
      </c>
      <c r="H9" s="79"/>
      <c r="I9" s="79"/>
      <c r="J9" s="79"/>
      <c r="K9" s="79" t="s">
        <v>61</v>
      </c>
      <c r="L9" s="79"/>
      <c r="M9" s="79"/>
      <c r="N9" s="79" t="s">
        <v>61</v>
      </c>
      <c r="O9" s="79"/>
      <c r="P9" s="79"/>
      <c r="Q9" s="79"/>
      <c r="R9" s="79"/>
      <c r="S9" s="79" t="s">
        <v>62</v>
      </c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0"/>
      <c r="AI9" s="80">
        <f>COUNTIF(C7:AG51,"T")</f>
        <v>131</v>
      </c>
      <c r="AJ9" s="80">
        <f>COUNTIF(C7:AG51,"TB")</f>
        <v>25</v>
      </c>
      <c r="AK9" s="80">
        <f>COUNTIF(C7:AG51,"B")</f>
        <v>108</v>
      </c>
      <c r="AL9" s="83"/>
      <c r="AM9" s="80">
        <f>COUNTIF(C64:AG91,"T")</f>
        <v>17</v>
      </c>
      <c r="AN9" s="80">
        <f>COUNTIF(C64:AG91,"TB")</f>
        <v>5</v>
      </c>
      <c r="AO9" s="80">
        <f>COUNTIF(C64:AG91,"B")</f>
        <v>34</v>
      </c>
      <c r="AP9" s="83"/>
      <c r="AQ9" s="83"/>
      <c r="AR9" s="83"/>
      <c r="AS9" s="83"/>
      <c r="AT9" s="83"/>
      <c r="AU9" s="83"/>
      <c r="AV9" s="71"/>
      <c r="AW9" s="71"/>
      <c r="AX9" s="71"/>
      <c r="AY9" s="71"/>
      <c r="AZ9" s="71"/>
      <c r="BA9" s="71"/>
      <c r="BB9" s="71"/>
      <c r="BC9" s="71"/>
    </row>
    <row r="10" spans="1:55" s="76" customFormat="1" ht="12.95" customHeight="1">
      <c r="A10" s="77">
        <f t="shared" ref="A10:A51" si="0">1+A9</f>
        <v>4</v>
      </c>
      <c r="B10" s="78" t="s">
        <v>67</v>
      </c>
      <c r="C10" s="79"/>
      <c r="D10" s="79" t="s">
        <v>61</v>
      </c>
      <c r="E10" s="79"/>
      <c r="F10" s="79"/>
      <c r="G10" s="79"/>
      <c r="H10" s="79" t="s">
        <v>62</v>
      </c>
      <c r="I10" s="79"/>
      <c r="J10" s="79"/>
      <c r="K10" s="79" t="s">
        <v>61</v>
      </c>
      <c r="L10" s="79" t="s">
        <v>62</v>
      </c>
      <c r="M10" s="79"/>
      <c r="N10" s="79"/>
      <c r="O10" s="79"/>
      <c r="P10" s="79" t="s">
        <v>61</v>
      </c>
      <c r="Q10" s="79"/>
      <c r="R10" s="79"/>
      <c r="S10" s="79"/>
      <c r="T10" s="79"/>
      <c r="U10" s="79"/>
      <c r="V10" s="79"/>
      <c r="W10" s="79" t="s">
        <v>68</v>
      </c>
      <c r="X10" s="79"/>
      <c r="Y10" s="89"/>
      <c r="Z10" s="79" t="s">
        <v>61</v>
      </c>
      <c r="AA10" s="79"/>
      <c r="AB10" s="79"/>
      <c r="AC10" s="79"/>
      <c r="AD10" s="79" t="s">
        <v>61</v>
      </c>
      <c r="AE10" s="79"/>
      <c r="AF10" s="79"/>
      <c r="AG10" s="79" t="s">
        <v>62</v>
      </c>
      <c r="AH10" s="80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71"/>
      <c r="AW10" s="71"/>
      <c r="AX10" s="71"/>
      <c r="AY10" s="71"/>
      <c r="AZ10" s="71"/>
      <c r="BA10" s="71"/>
      <c r="BB10" s="71"/>
      <c r="BC10" s="71"/>
    </row>
    <row r="11" spans="1:55" s="76" customFormat="1" ht="12.95" customHeight="1">
      <c r="A11" s="77">
        <f t="shared" si="0"/>
        <v>5</v>
      </c>
      <c r="B11" s="78" t="s">
        <v>69</v>
      </c>
      <c r="C11" s="79"/>
      <c r="D11" s="79"/>
      <c r="E11" s="79"/>
      <c r="F11" s="79"/>
      <c r="G11" s="79" t="s">
        <v>61</v>
      </c>
      <c r="H11" s="79"/>
      <c r="I11" s="79" t="s">
        <v>62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0"/>
      <c r="AI11" s="90" t="s">
        <v>61</v>
      </c>
      <c r="AJ11" s="90" t="s">
        <v>62</v>
      </c>
      <c r="AK11" s="83"/>
      <c r="AL11" s="91">
        <f>AJ12/AI12</f>
        <v>0.9662921348314607</v>
      </c>
      <c r="AM11" s="83"/>
      <c r="AN11" s="83"/>
      <c r="AO11" s="83"/>
      <c r="AP11" s="83"/>
      <c r="AQ11" s="83"/>
      <c r="AR11" s="83"/>
      <c r="AS11" s="83"/>
      <c r="AT11" s="83"/>
      <c r="AU11" s="83"/>
      <c r="AV11" s="71"/>
      <c r="AW11" s="71"/>
      <c r="AX11" s="71"/>
      <c r="AY11" s="71"/>
      <c r="AZ11" s="71"/>
      <c r="BA11" s="71"/>
      <c r="BB11" s="71"/>
      <c r="BC11" s="71"/>
    </row>
    <row r="12" spans="1:55" s="76" customFormat="1" ht="12.95" customHeight="1">
      <c r="A12" s="77">
        <f t="shared" si="0"/>
        <v>6</v>
      </c>
      <c r="B12" s="78" t="s">
        <v>70</v>
      </c>
      <c r="C12" s="79"/>
      <c r="D12" s="79"/>
      <c r="E12" s="79"/>
      <c r="F12" s="79"/>
      <c r="G12" s="79" t="s">
        <v>61</v>
      </c>
      <c r="H12" s="79" t="s">
        <v>62</v>
      </c>
      <c r="I12" s="79" t="s">
        <v>62</v>
      </c>
      <c r="J12" s="79"/>
      <c r="K12" s="79"/>
      <c r="L12" s="79"/>
      <c r="M12" s="79"/>
      <c r="N12" s="79" t="s">
        <v>61</v>
      </c>
      <c r="O12" s="79"/>
      <c r="P12" s="79" t="s">
        <v>62</v>
      </c>
      <c r="Q12" s="79"/>
      <c r="R12" s="79"/>
      <c r="S12" s="79"/>
      <c r="T12" s="79"/>
      <c r="U12" s="79" t="s">
        <v>61</v>
      </c>
      <c r="V12" s="79" t="s">
        <v>61</v>
      </c>
      <c r="W12" s="79" t="s">
        <v>62</v>
      </c>
      <c r="X12" s="79"/>
      <c r="Y12" s="79" t="s">
        <v>61</v>
      </c>
      <c r="Z12" s="79" t="s">
        <v>61</v>
      </c>
      <c r="AA12" s="79"/>
      <c r="AB12" s="79" t="s">
        <v>62</v>
      </c>
      <c r="AC12" s="79"/>
      <c r="AD12" s="79"/>
      <c r="AE12" s="79"/>
      <c r="AF12" s="79"/>
      <c r="AG12" s="79" t="s">
        <v>62</v>
      </c>
      <c r="AH12" s="80"/>
      <c r="AI12" s="83">
        <f>AI9+AJ9+AM9+AN9</f>
        <v>178</v>
      </c>
      <c r="AJ12" s="83">
        <f>AJ9+AK9+AN9+AO9</f>
        <v>172</v>
      </c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71"/>
      <c r="AW12" s="71"/>
      <c r="AX12" s="71"/>
      <c r="AY12" s="71"/>
      <c r="AZ12" s="71"/>
      <c r="BA12" s="71"/>
      <c r="BB12" s="71"/>
      <c r="BC12" s="71"/>
    </row>
    <row r="13" spans="1:55" s="76" customFormat="1" ht="12.95" customHeight="1">
      <c r="A13" s="77">
        <f t="shared" si="0"/>
        <v>7</v>
      </c>
      <c r="B13" s="78" t="s">
        <v>71</v>
      </c>
      <c r="C13" s="79"/>
      <c r="D13" s="79"/>
      <c r="E13" s="79"/>
      <c r="F13" s="79"/>
      <c r="G13" s="79" t="s">
        <v>63</v>
      </c>
      <c r="H13" s="79"/>
      <c r="I13" s="79"/>
      <c r="J13" s="79"/>
      <c r="K13" s="79" t="s">
        <v>62</v>
      </c>
      <c r="L13" s="79"/>
      <c r="M13" s="79"/>
      <c r="N13" s="79"/>
      <c r="O13" s="79"/>
      <c r="P13" s="79"/>
      <c r="Q13" s="79"/>
      <c r="R13" s="79"/>
      <c r="S13" s="79"/>
      <c r="T13" s="79"/>
      <c r="U13" s="79" t="s">
        <v>63</v>
      </c>
      <c r="V13" s="79"/>
      <c r="W13" s="79"/>
      <c r="X13" s="79"/>
      <c r="Y13" s="79"/>
      <c r="Z13" s="79"/>
      <c r="AA13" s="79"/>
      <c r="AB13" s="79"/>
      <c r="AC13" s="79" t="s">
        <v>61</v>
      </c>
      <c r="AD13" s="79"/>
      <c r="AE13" s="79"/>
      <c r="AF13" s="79"/>
      <c r="AG13" s="79"/>
      <c r="AH13" s="80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71"/>
      <c r="AW13" s="71"/>
      <c r="AX13" s="71"/>
      <c r="AY13" s="71"/>
      <c r="AZ13" s="71"/>
      <c r="BA13" s="71"/>
      <c r="BB13" s="71"/>
      <c r="BC13" s="71"/>
    </row>
    <row r="14" spans="1:55" s="76" customFormat="1" ht="12.95" customHeight="1">
      <c r="A14" s="77">
        <f t="shared" si="0"/>
        <v>8</v>
      </c>
      <c r="B14" s="78" t="s">
        <v>72</v>
      </c>
      <c r="C14" s="79"/>
      <c r="D14" s="79"/>
      <c r="E14" s="79"/>
      <c r="F14" s="79"/>
      <c r="G14" s="79"/>
      <c r="H14" s="79"/>
      <c r="I14" s="79" t="s">
        <v>61</v>
      </c>
      <c r="J14" s="79"/>
      <c r="K14" s="79"/>
      <c r="L14" s="79" t="s">
        <v>61</v>
      </c>
      <c r="M14" s="79"/>
      <c r="N14" s="79" t="s">
        <v>61</v>
      </c>
      <c r="O14" s="79"/>
      <c r="P14" s="79"/>
      <c r="Q14" s="79"/>
      <c r="R14" s="79"/>
      <c r="S14" s="79"/>
      <c r="T14" s="79"/>
      <c r="U14" s="79" t="s">
        <v>61</v>
      </c>
      <c r="V14" s="79" t="s">
        <v>61</v>
      </c>
      <c r="W14" s="79"/>
      <c r="X14" s="79" t="s">
        <v>61</v>
      </c>
      <c r="Y14" s="79"/>
      <c r="Z14" s="79" t="s">
        <v>62</v>
      </c>
      <c r="AA14" s="79"/>
      <c r="AB14" s="79" t="s">
        <v>61</v>
      </c>
      <c r="AC14" s="79"/>
      <c r="AD14" s="79" t="s">
        <v>62</v>
      </c>
      <c r="AE14" s="79"/>
      <c r="AF14" s="79" t="s">
        <v>62</v>
      </c>
      <c r="AG14" s="79"/>
      <c r="AH14" s="80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71"/>
      <c r="AW14" s="71"/>
      <c r="AX14" s="71"/>
      <c r="AY14" s="71"/>
      <c r="AZ14" s="71"/>
      <c r="BA14" s="71"/>
      <c r="BB14" s="71"/>
      <c r="BC14" s="71"/>
    </row>
    <row r="15" spans="1:55" s="76" customFormat="1" ht="12.95" customHeight="1">
      <c r="A15" s="77">
        <f t="shared" si="0"/>
        <v>9</v>
      </c>
      <c r="B15" s="78" t="s">
        <v>73</v>
      </c>
      <c r="C15" s="79"/>
      <c r="D15" s="79"/>
      <c r="E15" s="79"/>
      <c r="F15" s="79"/>
      <c r="G15" s="79" t="s">
        <v>61</v>
      </c>
      <c r="H15" s="79" t="s">
        <v>62</v>
      </c>
      <c r="I15" s="79"/>
      <c r="J15" s="79"/>
      <c r="K15" s="79" t="s">
        <v>61</v>
      </c>
      <c r="L15" s="79" t="s">
        <v>62</v>
      </c>
      <c r="M15" s="79"/>
      <c r="N15" s="79" t="s">
        <v>62</v>
      </c>
      <c r="O15" s="79"/>
      <c r="P15" s="79" t="s">
        <v>62</v>
      </c>
      <c r="Q15" s="79" t="s">
        <v>62</v>
      </c>
      <c r="R15" s="79"/>
      <c r="S15" s="79" t="s">
        <v>61</v>
      </c>
      <c r="T15" s="79"/>
      <c r="U15" s="79" t="s">
        <v>61</v>
      </c>
      <c r="V15" s="79" t="s">
        <v>62</v>
      </c>
      <c r="W15" s="79"/>
      <c r="X15" s="79" t="s">
        <v>61</v>
      </c>
      <c r="Y15" s="79" t="s">
        <v>61</v>
      </c>
      <c r="Z15" s="79"/>
      <c r="AA15" s="79"/>
      <c r="AB15" s="79" t="s">
        <v>62</v>
      </c>
      <c r="AC15" s="79" t="s">
        <v>62</v>
      </c>
      <c r="AD15" s="79"/>
      <c r="AE15" s="79"/>
      <c r="AF15" s="79"/>
      <c r="AG15" s="79"/>
      <c r="AH15" s="80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71"/>
      <c r="AW15" s="71"/>
      <c r="AX15" s="71"/>
      <c r="AY15" s="71"/>
      <c r="AZ15" s="71"/>
      <c r="BA15" s="71"/>
      <c r="BB15" s="71"/>
      <c r="BC15" s="71"/>
    </row>
    <row r="16" spans="1:55" s="76" customFormat="1" ht="12.95" customHeight="1">
      <c r="A16" s="77">
        <f t="shared" si="0"/>
        <v>10</v>
      </c>
      <c r="B16" s="78" t="s">
        <v>74</v>
      </c>
      <c r="C16" s="79"/>
      <c r="D16" s="79" t="s">
        <v>62</v>
      </c>
      <c r="E16" s="79"/>
      <c r="F16" s="79"/>
      <c r="G16" s="79"/>
      <c r="H16" s="79"/>
      <c r="I16" s="79"/>
      <c r="J16" s="79" t="s">
        <v>61</v>
      </c>
      <c r="K16" s="79"/>
      <c r="L16" s="79"/>
      <c r="M16" s="79"/>
      <c r="N16" s="79" t="s">
        <v>61</v>
      </c>
      <c r="O16" s="79"/>
      <c r="P16" s="79"/>
      <c r="Q16" s="79" t="s">
        <v>61</v>
      </c>
      <c r="R16" s="79"/>
      <c r="S16" s="79"/>
      <c r="T16" s="79"/>
      <c r="U16" s="79" t="s">
        <v>62</v>
      </c>
      <c r="V16" s="79"/>
      <c r="W16" s="79"/>
      <c r="X16" s="79" t="s">
        <v>61</v>
      </c>
      <c r="Y16" s="79"/>
      <c r="Z16" s="79"/>
      <c r="AA16" s="79"/>
      <c r="AB16" s="79"/>
      <c r="AC16" s="79" t="s">
        <v>62</v>
      </c>
      <c r="AD16" s="79"/>
      <c r="AE16" s="79"/>
      <c r="AF16" s="79"/>
      <c r="AG16" s="79"/>
      <c r="AH16" s="80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71"/>
      <c r="AW16" s="71"/>
      <c r="AX16" s="71"/>
      <c r="AY16" s="71"/>
      <c r="AZ16" s="71"/>
      <c r="BA16" s="71"/>
      <c r="BB16" s="71"/>
      <c r="BC16" s="71"/>
    </row>
    <row r="17" spans="1:55" s="76" customFormat="1" ht="12.95" customHeight="1">
      <c r="A17" s="77">
        <f t="shared" si="0"/>
        <v>11</v>
      </c>
      <c r="B17" s="78" t="s">
        <v>75</v>
      </c>
      <c r="C17" s="79"/>
      <c r="D17" s="79"/>
      <c r="E17" s="79" t="s">
        <v>61</v>
      </c>
      <c r="F17" s="79"/>
      <c r="G17" s="79" t="s">
        <v>62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 t="s">
        <v>62</v>
      </c>
      <c r="V17" s="79" t="s">
        <v>61</v>
      </c>
      <c r="W17" s="79" t="s">
        <v>62</v>
      </c>
      <c r="X17" s="79"/>
      <c r="Y17" s="79"/>
      <c r="Z17" s="79"/>
      <c r="AA17" s="79"/>
      <c r="AB17" s="79" t="s">
        <v>62</v>
      </c>
      <c r="AC17" s="79"/>
      <c r="AD17" s="79"/>
      <c r="AE17" s="79"/>
      <c r="AF17" s="79"/>
      <c r="AG17" s="79"/>
      <c r="AH17" s="80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71"/>
      <c r="AW17" s="71"/>
      <c r="AX17" s="71"/>
      <c r="AY17" s="71"/>
      <c r="AZ17" s="71"/>
      <c r="BA17" s="71"/>
      <c r="BB17" s="71"/>
      <c r="BC17" s="71"/>
    </row>
    <row r="18" spans="1:55" s="76" customFormat="1" ht="12.75" customHeight="1">
      <c r="A18" s="77">
        <f t="shared" si="0"/>
        <v>12</v>
      </c>
      <c r="B18" s="78" t="s">
        <v>76</v>
      </c>
      <c r="C18" s="79"/>
      <c r="D18" s="79"/>
      <c r="E18" s="79"/>
      <c r="F18" s="79"/>
      <c r="G18" s="79"/>
      <c r="H18" s="79"/>
      <c r="I18" s="79"/>
      <c r="J18" s="79"/>
      <c r="K18" s="79"/>
      <c r="L18" s="79" t="s">
        <v>61</v>
      </c>
      <c r="M18" s="79"/>
      <c r="N18" s="79"/>
      <c r="O18" s="79" t="s">
        <v>62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71"/>
      <c r="AW18" s="71"/>
      <c r="AX18" s="71"/>
      <c r="AY18" s="71"/>
      <c r="AZ18" s="71"/>
      <c r="BA18" s="71"/>
      <c r="BB18" s="71"/>
      <c r="BC18" s="71"/>
    </row>
    <row r="19" spans="1:55" s="76" customFormat="1" ht="12.95" customHeight="1">
      <c r="A19" s="77">
        <f t="shared" si="0"/>
        <v>13</v>
      </c>
      <c r="B19" s="78" t="s">
        <v>77</v>
      </c>
      <c r="C19" s="79"/>
      <c r="D19" s="79"/>
      <c r="E19" s="79"/>
      <c r="F19" s="79"/>
      <c r="G19" s="79" t="s">
        <v>63</v>
      </c>
      <c r="H19" s="79"/>
      <c r="I19" s="79"/>
      <c r="J19" s="79"/>
      <c r="K19" s="79"/>
      <c r="L19" s="79"/>
      <c r="M19" s="79"/>
      <c r="N19" s="79" t="s">
        <v>63</v>
      </c>
      <c r="O19" s="79"/>
      <c r="P19" s="79"/>
      <c r="Q19" s="79" t="s">
        <v>61</v>
      </c>
      <c r="R19" s="79"/>
      <c r="S19" s="79"/>
      <c r="T19" s="79"/>
      <c r="U19" s="79" t="s">
        <v>61</v>
      </c>
      <c r="V19" s="79"/>
      <c r="W19" s="79"/>
      <c r="X19" s="79"/>
      <c r="Y19" s="79"/>
      <c r="Z19" s="79"/>
      <c r="AA19" s="79"/>
      <c r="AB19" s="79" t="s">
        <v>61</v>
      </c>
      <c r="AC19" s="79" t="s">
        <v>62</v>
      </c>
      <c r="AD19" s="79"/>
      <c r="AE19" s="79"/>
      <c r="AF19" s="79"/>
      <c r="AG19" s="79"/>
      <c r="AH19" s="80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71"/>
      <c r="AW19" s="71"/>
      <c r="AX19" s="71"/>
      <c r="AY19" s="71"/>
      <c r="AZ19" s="71"/>
      <c r="BA19" s="71"/>
      <c r="BB19" s="71"/>
      <c r="BC19" s="71"/>
    </row>
    <row r="20" spans="1:55" s="76" customFormat="1" ht="12.95" customHeight="1">
      <c r="A20" s="77">
        <f t="shared" si="0"/>
        <v>14</v>
      </c>
      <c r="B20" s="78" t="s">
        <v>78</v>
      </c>
      <c r="C20" s="79"/>
      <c r="D20" s="79"/>
      <c r="E20" s="79"/>
      <c r="F20" s="79"/>
      <c r="G20" s="79" t="s">
        <v>61</v>
      </c>
      <c r="H20" s="79" t="s">
        <v>62</v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 t="s">
        <v>62</v>
      </c>
      <c r="T20" s="79"/>
      <c r="U20" s="79" t="s">
        <v>63</v>
      </c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71"/>
      <c r="AW20" s="71"/>
      <c r="AX20" s="71"/>
      <c r="AY20" s="71"/>
      <c r="AZ20" s="71"/>
      <c r="BA20" s="71"/>
      <c r="BB20" s="71"/>
      <c r="BC20" s="71"/>
    </row>
    <row r="21" spans="1:55" s="76" customFormat="1" ht="12.95" customHeight="1">
      <c r="A21" s="77">
        <f t="shared" si="0"/>
        <v>15</v>
      </c>
      <c r="B21" s="78" t="s">
        <v>79</v>
      </c>
      <c r="C21" s="79"/>
      <c r="D21" s="79"/>
      <c r="E21" s="79"/>
      <c r="F21" s="79"/>
      <c r="G21" s="79" t="s">
        <v>61</v>
      </c>
      <c r="H21" s="79"/>
      <c r="I21" s="79"/>
      <c r="J21" s="79" t="s">
        <v>62</v>
      </c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80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71"/>
      <c r="AW21" s="71"/>
      <c r="AX21" s="71"/>
      <c r="AY21" s="71"/>
      <c r="AZ21" s="71"/>
      <c r="BA21" s="71"/>
      <c r="BB21" s="71"/>
      <c r="BC21" s="71"/>
    </row>
    <row r="22" spans="1:55" s="76" customFormat="1" ht="12.95" customHeight="1">
      <c r="A22" s="77">
        <f t="shared" si="0"/>
        <v>16</v>
      </c>
      <c r="B22" s="78" t="s">
        <v>80</v>
      </c>
      <c r="C22" s="79"/>
      <c r="D22" s="79"/>
      <c r="E22" s="79"/>
      <c r="F22" s="79"/>
      <c r="G22" s="79"/>
      <c r="H22" s="79" t="s">
        <v>63</v>
      </c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 t="s">
        <v>61</v>
      </c>
      <c r="V22" s="79"/>
      <c r="W22" s="79"/>
      <c r="X22" s="79"/>
      <c r="Y22" s="79"/>
      <c r="Z22" s="79" t="s">
        <v>61</v>
      </c>
      <c r="AA22" s="79"/>
      <c r="AB22" s="79"/>
      <c r="AC22" s="79"/>
      <c r="AD22" s="79"/>
      <c r="AE22" s="79"/>
      <c r="AF22" s="79"/>
      <c r="AG22" s="79"/>
      <c r="AH22" s="80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71"/>
      <c r="AW22" s="71"/>
      <c r="AX22" s="71"/>
      <c r="AY22" s="71"/>
      <c r="AZ22" s="71"/>
      <c r="BA22" s="71"/>
      <c r="BB22" s="71"/>
      <c r="BC22" s="71"/>
    </row>
    <row r="23" spans="1:55" s="76" customFormat="1" ht="12.95" customHeight="1">
      <c r="A23" s="77">
        <f t="shared" si="0"/>
        <v>17</v>
      </c>
      <c r="B23" s="78" t="s">
        <v>81</v>
      </c>
      <c r="C23" s="79"/>
      <c r="D23" s="79"/>
      <c r="E23" s="79"/>
      <c r="F23" s="79"/>
      <c r="G23" s="79" t="s">
        <v>63</v>
      </c>
      <c r="H23" s="79"/>
      <c r="I23" s="79"/>
      <c r="J23" s="79"/>
      <c r="K23" s="79"/>
      <c r="L23" s="79"/>
      <c r="M23" s="79"/>
      <c r="N23" s="79" t="s">
        <v>62</v>
      </c>
      <c r="O23" s="79"/>
      <c r="P23" s="79"/>
      <c r="Q23" s="79"/>
      <c r="R23" s="79"/>
      <c r="S23" s="79"/>
      <c r="T23" s="79"/>
      <c r="U23" s="79"/>
      <c r="V23" s="79" t="s">
        <v>61</v>
      </c>
      <c r="W23" s="79" t="s">
        <v>62</v>
      </c>
      <c r="X23" s="79"/>
      <c r="Y23" s="79"/>
      <c r="Z23" s="79"/>
      <c r="AA23" s="79"/>
      <c r="AB23" s="79"/>
      <c r="AC23" s="79"/>
      <c r="AD23" s="79"/>
      <c r="AE23" s="79" t="s">
        <v>63</v>
      </c>
      <c r="AF23" s="79"/>
      <c r="AG23" s="79"/>
      <c r="AH23" s="80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71"/>
      <c r="AW23" s="71"/>
      <c r="AX23" s="71"/>
      <c r="AY23" s="71"/>
      <c r="AZ23" s="71"/>
      <c r="BA23" s="71"/>
      <c r="BB23" s="71"/>
      <c r="BC23" s="71"/>
    </row>
    <row r="24" spans="1:55" s="76" customFormat="1" ht="12.95" customHeight="1">
      <c r="A24" s="77">
        <f t="shared" si="0"/>
        <v>18</v>
      </c>
      <c r="B24" s="78" t="s">
        <v>82</v>
      </c>
      <c r="C24" s="79"/>
      <c r="D24" s="79"/>
      <c r="E24" s="79"/>
      <c r="F24" s="79"/>
      <c r="G24" s="79"/>
      <c r="H24" s="79" t="s">
        <v>61</v>
      </c>
      <c r="I24" s="79"/>
      <c r="J24" s="79"/>
      <c r="K24" s="79"/>
      <c r="L24" s="79" t="s">
        <v>61</v>
      </c>
      <c r="M24" s="79"/>
      <c r="N24" s="79"/>
      <c r="O24" s="79" t="s">
        <v>62</v>
      </c>
      <c r="P24" s="79" t="s">
        <v>61</v>
      </c>
      <c r="Q24" s="79"/>
      <c r="R24" s="79"/>
      <c r="S24" s="79"/>
      <c r="T24" s="79"/>
      <c r="U24" s="79"/>
      <c r="V24" s="79"/>
      <c r="W24" s="79" t="s">
        <v>62</v>
      </c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80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71"/>
      <c r="AW24" s="71"/>
      <c r="AX24" s="71"/>
      <c r="AY24" s="71"/>
      <c r="AZ24" s="71"/>
      <c r="BA24" s="71"/>
      <c r="BB24" s="71"/>
      <c r="BC24" s="71"/>
    </row>
    <row r="25" spans="1:55" s="76" customFormat="1" ht="12.75" customHeight="1">
      <c r="A25" s="77">
        <f t="shared" si="0"/>
        <v>19</v>
      </c>
      <c r="B25" s="78" t="s">
        <v>83</v>
      </c>
      <c r="C25" s="79"/>
      <c r="D25" s="79"/>
      <c r="E25" s="79"/>
      <c r="F25" s="79"/>
      <c r="G25" s="79"/>
      <c r="H25" s="79" t="s">
        <v>61</v>
      </c>
      <c r="I25" s="79"/>
      <c r="J25" s="79" t="s">
        <v>62</v>
      </c>
      <c r="K25" s="79"/>
      <c r="L25" s="79" t="s">
        <v>61</v>
      </c>
      <c r="M25" s="79"/>
      <c r="N25" s="79"/>
      <c r="O25" s="79"/>
      <c r="P25" s="79" t="s">
        <v>61</v>
      </c>
      <c r="Q25" s="79"/>
      <c r="R25" s="79"/>
      <c r="S25" s="79"/>
      <c r="T25" s="79"/>
      <c r="U25" s="79"/>
      <c r="V25" s="79" t="s">
        <v>61</v>
      </c>
      <c r="W25" s="79"/>
      <c r="X25" s="79" t="s">
        <v>62</v>
      </c>
      <c r="Y25" s="79"/>
      <c r="Z25" s="79"/>
      <c r="AA25" s="79"/>
      <c r="AB25" s="79"/>
      <c r="AC25" s="79"/>
      <c r="AD25" s="79"/>
      <c r="AE25" s="79"/>
      <c r="AF25" s="79"/>
      <c r="AG25" s="79"/>
      <c r="AH25" s="80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71"/>
      <c r="AW25" s="71"/>
      <c r="AX25" s="71"/>
      <c r="AY25" s="71"/>
      <c r="AZ25" s="71"/>
      <c r="BA25" s="71"/>
      <c r="BB25" s="71"/>
      <c r="BC25" s="71"/>
    </row>
    <row r="26" spans="1:55" s="76" customFormat="1" ht="12.75" customHeight="1">
      <c r="A26" s="77">
        <f t="shared" si="0"/>
        <v>20</v>
      </c>
      <c r="B26" s="78" t="s">
        <v>84</v>
      </c>
      <c r="C26" s="79"/>
      <c r="D26" s="79"/>
      <c r="E26" s="79"/>
      <c r="F26" s="79"/>
      <c r="G26" s="79" t="s">
        <v>61</v>
      </c>
      <c r="H26" s="79"/>
      <c r="I26" s="79"/>
      <c r="J26" s="79"/>
      <c r="K26" s="79"/>
      <c r="L26" s="79"/>
      <c r="M26" s="79"/>
      <c r="N26" s="79" t="s">
        <v>62</v>
      </c>
      <c r="O26" s="79"/>
      <c r="P26" s="79"/>
      <c r="Q26" s="79" t="s">
        <v>61</v>
      </c>
      <c r="R26" s="79"/>
      <c r="S26" s="79" t="s">
        <v>63</v>
      </c>
      <c r="T26" s="79"/>
      <c r="U26" s="79"/>
      <c r="V26" s="79"/>
      <c r="W26" s="79"/>
      <c r="X26" s="79" t="s">
        <v>61</v>
      </c>
      <c r="Y26" s="79"/>
      <c r="Z26" s="79"/>
      <c r="AA26" s="79"/>
      <c r="AB26" s="79" t="s">
        <v>62</v>
      </c>
      <c r="AC26" s="79"/>
      <c r="AD26" s="79"/>
      <c r="AE26" s="79"/>
      <c r="AF26" s="79"/>
      <c r="AG26" s="79"/>
      <c r="AH26" s="80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71"/>
      <c r="AW26" s="71"/>
      <c r="AX26" s="71"/>
      <c r="AY26" s="71"/>
      <c r="AZ26" s="71"/>
      <c r="BA26" s="71"/>
      <c r="BB26" s="71"/>
      <c r="BC26" s="71"/>
    </row>
    <row r="27" spans="1:55" s="76" customFormat="1" ht="12.95" customHeight="1">
      <c r="A27" s="77">
        <f t="shared" si="0"/>
        <v>21</v>
      </c>
      <c r="B27" s="78" t="s">
        <v>85</v>
      </c>
      <c r="C27" s="79"/>
      <c r="D27" s="79"/>
      <c r="E27" s="79"/>
      <c r="F27" s="79"/>
      <c r="G27" s="79" t="s">
        <v>61</v>
      </c>
      <c r="H27" s="79"/>
      <c r="I27" s="79"/>
      <c r="J27" s="79" t="s">
        <v>61</v>
      </c>
      <c r="K27" s="79"/>
      <c r="L27" s="79" t="s">
        <v>62</v>
      </c>
      <c r="M27" s="79"/>
      <c r="N27" s="79"/>
      <c r="O27" s="79"/>
      <c r="P27" s="79"/>
      <c r="Q27" s="79"/>
      <c r="R27" s="79"/>
      <c r="S27" s="79"/>
      <c r="T27" s="79"/>
      <c r="U27" s="79" t="s">
        <v>61</v>
      </c>
      <c r="V27" s="79"/>
      <c r="W27" s="79" t="s">
        <v>61</v>
      </c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80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71"/>
      <c r="AW27" s="71"/>
      <c r="AX27" s="71"/>
      <c r="AY27" s="71"/>
      <c r="AZ27" s="71"/>
      <c r="BA27" s="71"/>
      <c r="BB27" s="71"/>
      <c r="BC27" s="71"/>
    </row>
    <row r="28" spans="1:55" s="76" customFormat="1" ht="12.95" customHeight="1">
      <c r="A28" s="77">
        <f t="shared" si="0"/>
        <v>22</v>
      </c>
      <c r="B28" s="78" t="s">
        <v>86</v>
      </c>
      <c r="C28" s="79"/>
      <c r="D28" s="79"/>
      <c r="E28" s="79"/>
      <c r="F28" s="79"/>
      <c r="G28" s="79"/>
      <c r="H28" s="79"/>
      <c r="I28" s="79"/>
      <c r="J28" s="79" t="s">
        <v>63</v>
      </c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 t="s">
        <v>63</v>
      </c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80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71"/>
      <c r="AW28" s="71"/>
      <c r="AX28" s="71"/>
      <c r="AY28" s="71"/>
      <c r="AZ28" s="71"/>
      <c r="BA28" s="71"/>
      <c r="BB28" s="71"/>
      <c r="BC28" s="71"/>
    </row>
    <row r="29" spans="1:55" s="76" customFormat="1" ht="12.95" customHeight="1">
      <c r="A29" s="77">
        <f t="shared" si="0"/>
        <v>23</v>
      </c>
      <c r="B29" s="78" t="s">
        <v>87</v>
      </c>
      <c r="C29" s="79"/>
      <c r="D29" s="79"/>
      <c r="E29" s="79" t="s">
        <v>62</v>
      </c>
      <c r="F29" s="79"/>
      <c r="G29" s="79"/>
      <c r="H29" s="79" t="s">
        <v>61</v>
      </c>
      <c r="I29" s="79"/>
      <c r="J29" s="79"/>
      <c r="K29" s="79"/>
      <c r="L29" s="79"/>
      <c r="M29" s="79"/>
      <c r="N29" s="79"/>
      <c r="O29" s="79"/>
      <c r="P29" s="79" t="s">
        <v>61</v>
      </c>
      <c r="Q29" s="79"/>
      <c r="R29" s="79"/>
      <c r="S29" s="79" t="s">
        <v>61</v>
      </c>
      <c r="T29" s="79"/>
      <c r="U29" s="79" t="s">
        <v>61</v>
      </c>
      <c r="V29" s="79"/>
      <c r="W29" s="79" t="s">
        <v>61</v>
      </c>
      <c r="X29" s="79" t="s">
        <v>62</v>
      </c>
      <c r="Y29" s="79"/>
      <c r="Z29" s="79"/>
      <c r="AA29" s="79"/>
      <c r="AB29" s="79"/>
      <c r="AC29" s="79"/>
      <c r="AD29" s="79"/>
      <c r="AE29" s="79"/>
      <c r="AF29" s="79" t="s">
        <v>62</v>
      </c>
      <c r="AG29" s="79" t="s">
        <v>61</v>
      </c>
      <c r="AH29" s="80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71"/>
      <c r="AW29" s="71"/>
      <c r="AX29" s="71"/>
      <c r="AY29" s="71"/>
      <c r="AZ29" s="71"/>
      <c r="BA29" s="71"/>
      <c r="BB29" s="71"/>
      <c r="BC29" s="71"/>
    </row>
    <row r="30" spans="1:55" s="76" customFormat="1" ht="12.95" customHeight="1">
      <c r="A30" s="77">
        <f t="shared" si="0"/>
        <v>24</v>
      </c>
      <c r="B30" s="78" t="s">
        <v>88</v>
      </c>
      <c r="C30" s="79"/>
      <c r="D30" s="79"/>
      <c r="E30" s="79"/>
      <c r="F30" s="79"/>
      <c r="G30" s="79"/>
      <c r="H30" s="79" t="s">
        <v>61</v>
      </c>
      <c r="I30" s="79"/>
      <c r="J30" s="79"/>
      <c r="K30" s="79"/>
      <c r="L30" s="79" t="s">
        <v>62</v>
      </c>
      <c r="M30" s="79"/>
      <c r="N30" s="79"/>
      <c r="O30" s="79"/>
      <c r="P30" s="79"/>
      <c r="Q30" s="79" t="s">
        <v>61</v>
      </c>
      <c r="R30" s="79"/>
      <c r="S30" s="79" t="s">
        <v>61</v>
      </c>
      <c r="T30" s="79"/>
      <c r="U30" s="79" t="s">
        <v>62</v>
      </c>
      <c r="V30" s="79"/>
      <c r="W30" s="79"/>
      <c r="X30" s="79"/>
      <c r="Y30" s="79"/>
      <c r="Z30" s="79"/>
      <c r="AA30" s="79"/>
      <c r="AB30" s="79"/>
      <c r="AC30" s="79"/>
      <c r="AD30" s="79" t="s">
        <v>62</v>
      </c>
      <c r="AE30" s="79"/>
      <c r="AF30" s="79"/>
      <c r="AG30" s="79"/>
      <c r="AH30" s="80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71"/>
      <c r="AW30" s="71"/>
      <c r="AX30" s="71"/>
      <c r="AY30" s="71"/>
      <c r="AZ30" s="71"/>
      <c r="BA30" s="71"/>
      <c r="BB30" s="71"/>
      <c r="BC30" s="71"/>
    </row>
    <row r="31" spans="1:55" s="76" customFormat="1" ht="12.95" customHeight="1">
      <c r="A31" s="77">
        <f t="shared" si="0"/>
        <v>25</v>
      </c>
      <c r="B31" s="78" t="s">
        <v>89</v>
      </c>
      <c r="C31" s="79"/>
      <c r="D31" s="79"/>
      <c r="E31" s="79"/>
      <c r="F31" s="79"/>
      <c r="G31" s="79"/>
      <c r="H31" s="79"/>
      <c r="I31" s="79"/>
      <c r="J31" s="79"/>
      <c r="K31" s="79" t="s">
        <v>61</v>
      </c>
      <c r="L31" s="79" t="s">
        <v>62</v>
      </c>
      <c r="M31" s="79"/>
      <c r="N31" s="79"/>
      <c r="O31" s="79"/>
      <c r="P31" s="79"/>
      <c r="Q31" s="79"/>
      <c r="R31" s="79"/>
      <c r="S31" s="79"/>
      <c r="T31" s="79"/>
      <c r="U31" s="79" t="s">
        <v>61</v>
      </c>
      <c r="V31" s="79"/>
      <c r="W31" s="79"/>
      <c r="X31" s="79"/>
      <c r="Y31" s="79"/>
      <c r="Z31" s="79" t="s">
        <v>61</v>
      </c>
      <c r="AA31" s="79"/>
      <c r="AB31" s="79"/>
      <c r="AC31" s="79"/>
      <c r="AD31" s="79"/>
      <c r="AE31" s="79"/>
      <c r="AF31" s="79"/>
      <c r="AG31" s="79"/>
      <c r="AH31" s="80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71"/>
      <c r="AW31" s="71"/>
      <c r="AX31" s="71"/>
      <c r="AY31" s="71"/>
      <c r="AZ31" s="71"/>
      <c r="BA31" s="71"/>
      <c r="BB31" s="71"/>
      <c r="BC31" s="71"/>
    </row>
    <row r="32" spans="1:55" s="76" customFormat="1" ht="12.95" customHeight="1">
      <c r="A32" s="77">
        <f t="shared" si="0"/>
        <v>26</v>
      </c>
      <c r="B32" s="78" t="s">
        <v>90</v>
      </c>
      <c r="C32" s="79"/>
      <c r="D32" s="79"/>
      <c r="E32" s="79"/>
      <c r="F32" s="79"/>
      <c r="G32" s="79"/>
      <c r="H32" s="79" t="s">
        <v>61</v>
      </c>
      <c r="I32" s="79"/>
      <c r="J32" s="79"/>
      <c r="K32" s="79"/>
      <c r="L32" s="79" t="s">
        <v>61</v>
      </c>
      <c r="M32" s="79"/>
      <c r="N32" s="79" t="s">
        <v>61</v>
      </c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 t="s">
        <v>61</v>
      </c>
      <c r="AC32" s="79"/>
      <c r="AD32" s="79" t="s">
        <v>61</v>
      </c>
      <c r="AE32" s="79"/>
      <c r="AF32" s="79"/>
      <c r="AG32" s="79"/>
      <c r="AH32" s="80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71"/>
      <c r="AW32" s="71"/>
      <c r="AX32" s="71"/>
      <c r="AY32" s="71"/>
      <c r="AZ32" s="71"/>
      <c r="BA32" s="71"/>
      <c r="BB32" s="71"/>
      <c r="BC32" s="71"/>
    </row>
    <row r="33" spans="1:55" s="76" customFormat="1" ht="12.95" customHeight="1">
      <c r="A33" s="77">
        <f t="shared" si="0"/>
        <v>27</v>
      </c>
      <c r="B33" s="78" t="s">
        <v>91</v>
      </c>
      <c r="C33" s="79"/>
      <c r="D33" s="79"/>
      <c r="E33" s="79"/>
      <c r="F33" s="79"/>
      <c r="G33" s="79"/>
      <c r="H33" s="79" t="s">
        <v>61</v>
      </c>
      <c r="I33" s="79"/>
      <c r="J33" s="79"/>
      <c r="K33" s="79"/>
      <c r="L33" s="79" t="s">
        <v>61</v>
      </c>
      <c r="M33" s="79"/>
      <c r="N33" s="79"/>
      <c r="O33" s="79"/>
      <c r="P33" s="79"/>
      <c r="Q33" s="79"/>
      <c r="R33" s="79"/>
      <c r="S33" s="79"/>
      <c r="T33" s="79"/>
      <c r="U33" s="79" t="s">
        <v>61</v>
      </c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80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71"/>
      <c r="AW33" s="71"/>
      <c r="AX33" s="71"/>
      <c r="AY33" s="71"/>
      <c r="AZ33" s="71"/>
      <c r="BA33" s="71"/>
      <c r="BB33" s="71"/>
      <c r="BC33" s="71"/>
    </row>
    <row r="34" spans="1:55" s="76" customFormat="1" ht="12.95" customHeight="1">
      <c r="A34" s="77">
        <f t="shared" si="0"/>
        <v>28</v>
      </c>
      <c r="B34" s="78" t="s">
        <v>92</v>
      </c>
      <c r="C34" s="79"/>
      <c r="D34" s="79"/>
      <c r="E34" s="79"/>
      <c r="F34" s="79"/>
      <c r="G34" s="79"/>
      <c r="H34" s="79" t="s">
        <v>61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80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71"/>
      <c r="AW34" s="71"/>
      <c r="AX34" s="71"/>
      <c r="AY34" s="71"/>
      <c r="AZ34" s="71"/>
      <c r="BA34" s="71"/>
      <c r="BB34" s="71"/>
      <c r="BC34" s="71"/>
    </row>
    <row r="35" spans="1:55" s="76" customFormat="1" ht="12.95" customHeight="1">
      <c r="A35" s="77">
        <f t="shared" si="0"/>
        <v>29</v>
      </c>
      <c r="B35" s="78" t="s">
        <v>93</v>
      </c>
      <c r="C35" s="79"/>
      <c r="D35" s="79"/>
      <c r="E35" s="79"/>
      <c r="F35" s="79"/>
      <c r="G35" s="79" t="s">
        <v>62</v>
      </c>
      <c r="H35" s="79"/>
      <c r="I35" s="79"/>
      <c r="J35" s="79"/>
      <c r="K35" s="79" t="s">
        <v>62</v>
      </c>
      <c r="L35" s="79" t="s">
        <v>62</v>
      </c>
      <c r="M35" s="79"/>
      <c r="N35" s="79" t="s">
        <v>62</v>
      </c>
      <c r="O35" s="79"/>
      <c r="P35" s="79"/>
      <c r="Q35" s="79"/>
      <c r="R35" s="79"/>
      <c r="S35" s="79"/>
      <c r="T35" s="79"/>
      <c r="U35" s="79" t="s">
        <v>63</v>
      </c>
      <c r="V35" s="79"/>
      <c r="W35" s="79"/>
      <c r="X35" s="79"/>
      <c r="Y35" s="79"/>
      <c r="Z35" s="79" t="s">
        <v>61</v>
      </c>
      <c r="AA35" s="79"/>
      <c r="AB35" s="79" t="s">
        <v>62</v>
      </c>
      <c r="AC35" s="79"/>
      <c r="AD35" s="79"/>
      <c r="AE35" s="79" t="s">
        <v>68</v>
      </c>
      <c r="AF35" s="79" t="s">
        <v>62</v>
      </c>
      <c r="AG35" s="79"/>
      <c r="AH35" s="80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71"/>
      <c r="AW35" s="71"/>
      <c r="AX35" s="71"/>
      <c r="AY35" s="71"/>
      <c r="AZ35" s="71"/>
      <c r="BA35" s="71"/>
      <c r="BB35" s="71"/>
      <c r="BC35" s="71"/>
    </row>
    <row r="36" spans="1:55" s="76" customFormat="1" ht="12.75" customHeight="1">
      <c r="A36" s="77">
        <f t="shared" si="0"/>
        <v>30</v>
      </c>
      <c r="B36" s="78" t="s">
        <v>94</v>
      </c>
      <c r="C36" s="79"/>
      <c r="D36" s="79"/>
      <c r="E36" s="79"/>
      <c r="F36" s="79"/>
      <c r="G36" s="79"/>
      <c r="H36" s="79" t="s">
        <v>62</v>
      </c>
      <c r="I36" s="79" t="s">
        <v>62</v>
      </c>
      <c r="J36" s="79" t="s">
        <v>62</v>
      </c>
      <c r="K36" s="79" t="s">
        <v>62</v>
      </c>
      <c r="L36" s="79"/>
      <c r="M36" s="79"/>
      <c r="N36" s="79" t="s">
        <v>62</v>
      </c>
      <c r="O36" s="79"/>
      <c r="P36" s="79" t="s">
        <v>62</v>
      </c>
      <c r="Q36" s="79" t="s">
        <v>62</v>
      </c>
      <c r="R36" s="79"/>
      <c r="S36" s="79" t="s">
        <v>62</v>
      </c>
      <c r="T36" s="79"/>
      <c r="U36" s="79" t="s">
        <v>62</v>
      </c>
      <c r="V36" s="79" t="s">
        <v>63</v>
      </c>
      <c r="W36" s="79" t="s">
        <v>63</v>
      </c>
      <c r="X36" s="79" t="s">
        <v>61</v>
      </c>
      <c r="Y36" s="79" t="s">
        <v>62</v>
      </c>
      <c r="Z36" s="79"/>
      <c r="AA36" s="79"/>
      <c r="AB36" s="79" t="s">
        <v>62</v>
      </c>
      <c r="AC36" s="79" t="s">
        <v>62</v>
      </c>
      <c r="AD36" s="79" t="s">
        <v>62</v>
      </c>
      <c r="AE36" s="79" t="s">
        <v>63</v>
      </c>
      <c r="AF36" s="79"/>
      <c r="AG36" s="79" t="s">
        <v>62</v>
      </c>
      <c r="AH36" s="80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71"/>
      <c r="AW36" s="71"/>
      <c r="AX36" s="71"/>
      <c r="AY36" s="71"/>
      <c r="AZ36" s="71"/>
      <c r="BA36" s="71"/>
      <c r="BB36" s="71"/>
      <c r="BC36" s="71"/>
    </row>
    <row r="37" spans="1:55" s="76" customFormat="1" ht="12.95" customHeight="1">
      <c r="A37" s="77">
        <f t="shared" si="0"/>
        <v>31</v>
      </c>
      <c r="B37" s="78" t="s">
        <v>95</v>
      </c>
      <c r="C37" s="79"/>
      <c r="D37" s="79"/>
      <c r="E37" s="79"/>
      <c r="F37" s="79"/>
      <c r="G37" s="79" t="s">
        <v>63</v>
      </c>
      <c r="H37" s="79"/>
      <c r="I37" s="79"/>
      <c r="J37" s="79"/>
      <c r="K37" s="79"/>
      <c r="L37" s="79"/>
      <c r="M37" s="79"/>
      <c r="N37" s="79"/>
      <c r="O37" s="79"/>
      <c r="P37" s="79"/>
      <c r="Q37" s="79" t="s">
        <v>62</v>
      </c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0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71"/>
      <c r="AW37" s="71"/>
      <c r="AX37" s="71"/>
      <c r="AY37" s="71"/>
      <c r="AZ37" s="71"/>
      <c r="BA37" s="71"/>
      <c r="BB37" s="71"/>
      <c r="BC37" s="71"/>
    </row>
    <row r="38" spans="1:55" s="76" customFormat="1" ht="12.95" customHeight="1">
      <c r="A38" s="77">
        <f t="shared" si="0"/>
        <v>32</v>
      </c>
      <c r="B38" s="78" t="s">
        <v>96</v>
      </c>
      <c r="C38" s="79"/>
      <c r="D38" s="79"/>
      <c r="E38" s="79"/>
      <c r="F38" s="79"/>
      <c r="G38" s="79" t="s">
        <v>63</v>
      </c>
      <c r="H38" s="79"/>
      <c r="I38" s="79"/>
      <c r="J38" s="79"/>
      <c r="K38" s="79" t="s">
        <v>62</v>
      </c>
      <c r="L38" s="79"/>
      <c r="M38" s="79"/>
      <c r="N38" s="79"/>
      <c r="O38" s="79"/>
      <c r="P38" s="79" t="s">
        <v>62</v>
      </c>
      <c r="Q38" s="79"/>
      <c r="R38" s="79"/>
      <c r="S38" s="79" t="s">
        <v>63</v>
      </c>
      <c r="T38" s="79"/>
      <c r="U38" s="79" t="s">
        <v>62</v>
      </c>
      <c r="V38" s="79"/>
      <c r="W38" s="79"/>
      <c r="X38" s="79"/>
      <c r="Y38" s="79" t="s">
        <v>61</v>
      </c>
      <c r="Z38" s="79"/>
      <c r="AA38" s="79"/>
      <c r="AB38" s="79" t="s">
        <v>62</v>
      </c>
      <c r="AC38" s="79"/>
      <c r="AD38" s="79"/>
      <c r="AE38" s="79"/>
      <c r="AF38" s="79" t="s">
        <v>62</v>
      </c>
      <c r="AG38" s="79"/>
      <c r="AH38" s="80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71"/>
      <c r="AW38" s="71"/>
      <c r="AX38" s="71"/>
      <c r="AY38" s="71"/>
      <c r="AZ38" s="71"/>
      <c r="BA38" s="71"/>
      <c r="BB38" s="71"/>
      <c r="BC38" s="71"/>
    </row>
    <row r="39" spans="1:55" s="76" customFormat="1" ht="12.95" customHeight="1">
      <c r="A39" s="77">
        <f t="shared" si="0"/>
        <v>33</v>
      </c>
      <c r="B39" s="78" t="s">
        <v>97</v>
      </c>
      <c r="C39" s="79"/>
      <c r="D39" s="79"/>
      <c r="E39" s="79"/>
      <c r="F39" s="79"/>
      <c r="G39" s="79"/>
      <c r="H39" s="79" t="s">
        <v>61</v>
      </c>
      <c r="I39" s="79"/>
      <c r="J39" s="79"/>
      <c r="K39" s="79"/>
      <c r="L39" s="79" t="s">
        <v>61</v>
      </c>
      <c r="M39" s="79"/>
      <c r="N39" s="79" t="s">
        <v>62</v>
      </c>
      <c r="O39" s="79"/>
      <c r="P39" s="79"/>
      <c r="Q39" s="79" t="s">
        <v>61</v>
      </c>
      <c r="R39" s="79"/>
      <c r="S39" s="79"/>
      <c r="T39" s="79"/>
      <c r="U39" s="79" t="s">
        <v>63</v>
      </c>
      <c r="V39" s="79"/>
      <c r="W39" s="79" t="s">
        <v>61</v>
      </c>
      <c r="X39" s="79"/>
      <c r="Y39" s="79"/>
      <c r="Z39" s="79"/>
      <c r="AA39" s="79"/>
      <c r="AB39" s="79"/>
      <c r="AC39" s="79" t="s">
        <v>61</v>
      </c>
      <c r="AD39" s="79" t="s">
        <v>61</v>
      </c>
      <c r="AE39" s="79"/>
      <c r="AF39" s="79"/>
      <c r="AG39" s="79" t="s">
        <v>61</v>
      </c>
      <c r="AH39" s="80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71"/>
      <c r="AW39" s="71"/>
      <c r="AX39" s="71"/>
      <c r="AY39" s="71"/>
      <c r="AZ39" s="71"/>
      <c r="BA39" s="71"/>
      <c r="BB39" s="71"/>
      <c r="BC39" s="71"/>
    </row>
    <row r="40" spans="1:55" s="76" customFormat="1" ht="12.95" customHeight="1">
      <c r="A40" s="77">
        <f t="shared" si="0"/>
        <v>34</v>
      </c>
      <c r="B40" s="78" t="s">
        <v>98</v>
      </c>
      <c r="C40" s="79"/>
      <c r="D40" s="79"/>
      <c r="E40" s="79"/>
      <c r="F40" s="79"/>
      <c r="G40" s="79"/>
      <c r="H40" s="79"/>
      <c r="I40" s="79" t="s">
        <v>61</v>
      </c>
      <c r="J40" s="79"/>
      <c r="K40" s="79"/>
      <c r="L40" s="79" t="s">
        <v>62</v>
      </c>
      <c r="M40" s="79"/>
      <c r="N40" s="79"/>
      <c r="O40" s="79"/>
      <c r="P40" s="79" t="s">
        <v>61</v>
      </c>
      <c r="Q40" s="79"/>
      <c r="R40" s="79"/>
      <c r="S40" s="79" t="s">
        <v>61</v>
      </c>
      <c r="T40" s="79"/>
      <c r="U40" s="79" t="s">
        <v>68</v>
      </c>
      <c r="V40" s="79" t="s">
        <v>62</v>
      </c>
      <c r="W40" s="79"/>
      <c r="X40" s="79"/>
      <c r="Y40" s="79" t="s">
        <v>61</v>
      </c>
      <c r="Z40" s="79" t="s">
        <v>61</v>
      </c>
      <c r="AA40" s="79"/>
      <c r="AB40" s="79"/>
      <c r="AC40" s="79"/>
      <c r="AD40" s="79"/>
      <c r="AE40" s="79" t="s">
        <v>62</v>
      </c>
      <c r="AF40" s="79"/>
      <c r="AG40" s="79"/>
      <c r="AH40" s="80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71"/>
      <c r="AW40" s="71"/>
      <c r="AX40" s="71"/>
      <c r="AY40" s="71"/>
      <c r="AZ40" s="71"/>
      <c r="BA40" s="71"/>
      <c r="BB40" s="71"/>
      <c r="BC40" s="71"/>
    </row>
    <row r="41" spans="1:55" s="76" customFormat="1" ht="12.95" customHeight="1">
      <c r="A41" s="77">
        <f t="shared" si="0"/>
        <v>35</v>
      </c>
      <c r="B41" s="78" t="s">
        <v>99</v>
      </c>
      <c r="C41" s="79"/>
      <c r="D41" s="79"/>
      <c r="E41" s="79" t="s">
        <v>61</v>
      </c>
      <c r="F41" s="79"/>
      <c r="G41" s="79"/>
      <c r="H41" s="79"/>
      <c r="I41" s="79" t="s">
        <v>61</v>
      </c>
      <c r="J41" s="79" t="s">
        <v>62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80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71"/>
      <c r="AW41" s="71"/>
      <c r="AX41" s="71"/>
      <c r="AY41" s="71"/>
      <c r="AZ41" s="71"/>
      <c r="BA41" s="71"/>
      <c r="BB41" s="71"/>
      <c r="BC41" s="71"/>
    </row>
    <row r="42" spans="1:55" s="76" customFormat="1" ht="12.95" customHeight="1">
      <c r="A42" s="77">
        <f t="shared" si="0"/>
        <v>36</v>
      </c>
      <c r="B42" s="78" t="s">
        <v>100</v>
      </c>
      <c r="C42" s="79"/>
      <c r="D42" s="79"/>
      <c r="E42" s="79"/>
      <c r="F42" s="79"/>
      <c r="G42" s="79"/>
      <c r="H42" s="79"/>
      <c r="I42" s="79" t="s">
        <v>62</v>
      </c>
      <c r="J42" s="79"/>
      <c r="K42" s="79"/>
      <c r="L42" s="79"/>
      <c r="M42" s="79"/>
      <c r="N42" s="79" t="s">
        <v>61</v>
      </c>
      <c r="O42" s="79"/>
      <c r="P42" s="79" t="s">
        <v>62</v>
      </c>
      <c r="Q42" s="79"/>
      <c r="R42" s="79"/>
      <c r="S42" s="79"/>
      <c r="T42" s="79"/>
      <c r="U42" s="79" t="s">
        <v>62</v>
      </c>
      <c r="V42" s="79"/>
      <c r="W42" s="79"/>
      <c r="X42" s="79" t="s">
        <v>61</v>
      </c>
      <c r="Y42" s="79" t="s">
        <v>62</v>
      </c>
      <c r="Z42" s="79"/>
      <c r="AA42" s="79"/>
      <c r="AB42" s="79" t="s">
        <v>61</v>
      </c>
      <c r="AC42" s="79"/>
      <c r="AD42" s="79"/>
      <c r="AE42" s="79" t="s">
        <v>62</v>
      </c>
      <c r="AF42" s="79"/>
      <c r="AG42" s="79" t="s">
        <v>62</v>
      </c>
      <c r="AH42" s="80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71"/>
      <c r="AW42" s="71"/>
      <c r="AX42" s="71"/>
      <c r="AY42" s="71"/>
      <c r="AZ42" s="71"/>
      <c r="BA42" s="71"/>
      <c r="BB42" s="71"/>
      <c r="BC42" s="71"/>
    </row>
    <row r="43" spans="1:55" s="76" customFormat="1" ht="12.75" customHeight="1">
      <c r="A43" s="77">
        <f t="shared" si="0"/>
        <v>37</v>
      </c>
      <c r="B43" s="78" t="s">
        <v>101</v>
      </c>
      <c r="C43" s="79"/>
      <c r="D43" s="79"/>
      <c r="E43" s="79"/>
      <c r="F43" s="79"/>
      <c r="G43" s="79"/>
      <c r="H43" s="79" t="s">
        <v>61</v>
      </c>
      <c r="I43" s="79"/>
      <c r="J43" s="79" t="s">
        <v>62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71"/>
      <c r="AW43" s="71"/>
      <c r="AX43" s="71"/>
      <c r="AY43" s="71"/>
      <c r="AZ43" s="71"/>
      <c r="BA43" s="71"/>
      <c r="BB43" s="71"/>
      <c r="BC43" s="71"/>
    </row>
    <row r="44" spans="1:55" s="76" customFormat="1" ht="12.75" customHeight="1">
      <c r="A44" s="77">
        <f t="shared" si="0"/>
        <v>38</v>
      </c>
      <c r="B44" s="78" t="s">
        <v>102</v>
      </c>
      <c r="C44" s="79"/>
      <c r="D44" s="79"/>
      <c r="E44" s="79"/>
      <c r="F44" s="79"/>
      <c r="G44" s="79"/>
      <c r="H44" s="79" t="s">
        <v>62</v>
      </c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80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71"/>
      <c r="AW44" s="71"/>
      <c r="AX44" s="71"/>
      <c r="AY44" s="71"/>
      <c r="AZ44" s="71"/>
      <c r="BA44" s="71"/>
      <c r="BB44" s="71"/>
      <c r="BC44" s="71"/>
    </row>
    <row r="45" spans="1:55" s="76" customFormat="1" ht="12.75" customHeight="1">
      <c r="A45" s="77">
        <f t="shared" si="0"/>
        <v>39</v>
      </c>
      <c r="B45" s="78" t="s">
        <v>103</v>
      </c>
      <c r="C45" s="79"/>
      <c r="D45" s="79"/>
      <c r="E45" s="79"/>
      <c r="F45" s="79"/>
      <c r="G45" s="79" t="s">
        <v>61</v>
      </c>
      <c r="H45" s="79" t="s">
        <v>61</v>
      </c>
      <c r="I45" s="79"/>
      <c r="J45" s="79" t="s">
        <v>62</v>
      </c>
      <c r="K45" s="79"/>
      <c r="L45" s="79"/>
      <c r="M45" s="79"/>
      <c r="N45" s="79" t="s">
        <v>61</v>
      </c>
      <c r="O45" s="79"/>
      <c r="P45" s="79"/>
      <c r="Q45" s="79" t="s">
        <v>61</v>
      </c>
      <c r="R45" s="79"/>
      <c r="S45" s="79" t="s">
        <v>62</v>
      </c>
      <c r="T45" s="79"/>
      <c r="U45" s="79"/>
      <c r="V45" s="79" t="s">
        <v>61</v>
      </c>
      <c r="W45" s="79" t="s">
        <v>61</v>
      </c>
      <c r="X45" s="79"/>
      <c r="Y45" s="79" t="s">
        <v>62</v>
      </c>
      <c r="Z45" s="79"/>
      <c r="AA45" s="79"/>
      <c r="AB45" s="79"/>
      <c r="AC45" s="79"/>
      <c r="AD45" s="79"/>
      <c r="AE45" s="79"/>
      <c r="AF45" s="79"/>
      <c r="AG45" s="79"/>
      <c r="AH45" s="80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71"/>
      <c r="AW45" s="71"/>
      <c r="AX45" s="71"/>
      <c r="AY45" s="71"/>
      <c r="AZ45" s="71"/>
      <c r="BA45" s="71"/>
      <c r="BB45" s="71"/>
      <c r="BC45" s="71"/>
    </row>
    <row r="46" spans="1:55" s="76" customFormat="1" ht="12.95" customHeight="1">
      <c r="A46" s="77">
        <f t="shared" si="0"/>
        <v>40</v>
      </c>
      <c r="B46" s="78" t="s">
        <v>104</v>
      </c>
      <c r="C46" s="79"/>
      <c r="D46" s="92"/>
      <c r="E46" s="79"/>
      <c r="F46" s="79"/>
      <c r="G46" s="79" t="s">
        <v>61</v>
      </c>
      <c r="H46" s="79"/>
      <c r="I46" s="79" t="s">
        <v>62</v>
      </c>
      <c r="J46" s="79"/>
      <c r="K46" s="79"/>
      <c r="L46" s="79"/>
      <c r="M46" s="79"/>
      <c r="N46" s="79"/>
      <c r="O46" s="79"/>
      <c r="P46" s="79"/>
      <c r="Q46" s="79"/>
      <c r="R46" s="79"/>
      <c r="S46" s="79" t="s">
        <v>62</v>
      </c>
      <c r="T46" s="79"/>
      <c r="U46" s="79"/>
      <c r="V46" s="79" t="s">
        <v>61</v>
      </c>
      <c r="W46" s="79"/>
      <c r="X46" s="79" t="s">
        <v>63</v>
      </c>
      <c r="Y46" s="79"/>
      <c r="Z46" s="79"/>
      <c r="AA46" s="79"/>
      <c r="AB46" s="79"/>
      <c r="AC46" s="79" t="s">
        <v>61</v>
      </c>
      <c r="AD46" s="79"/>
      <c r="AE46" s="79"/>
      <c r="AF46" s="79" t="s">
        <v>63</v>
      </c>
      <c r="AG46" s="79"/>
      <c r="AH46" s="80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71"/>
      <c r="AW46" s="71"/>
      <c r="AX46" s="71"/>
      <c r="AY46" s="71"/>
      <c r="AZ46" s="71"/>
      <c r="BA46" s="71"/>
      <c r="BB46" s="71"/>
      <c r="BC46" s="71"/>
    </row>
    <row r="47" spans="1:55" s="76" customFormat="1" ht="12.95" customHeight="1">
      <c r="A47" s="77">
        <f t="shared" si="0"/>
        <v>41</v>
      </c>
      <c r="B47" s="78" t="s">
        <v>105</v>
      </c>
      <c r="C47" s="79"/>
      <c r="D47" s="79"/>
      <c r="E47" s="79"/>
      <c r="F47" s="79"/>
      <c r="G47" s="79"/>
      <c r="H47" s="79" t="s">
        <v>61</v>
      </c>
      <c r="I47" s="79"/>
      <c r="J47" s="79" t="s">
        <v>62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 t="s">
        <v>61</v>
      </c>
      <c r="W47" s="79"/>
      <c r="X47" s="79"/>
      <c r="Y47" s="79"/>
      <c r="Z47" s="79" t="s">
        <v>61</v>
      </c>
      <c r="AA47" s="79"/>
      <c r="AB47" s="79"/>
      <c r="AC47" s="79"/>
      <c r="AD47" s="79"/>
      <c r="AE47" s="79"/>
      <c r="AF47" s="79"/>
      <c r="AG47" s="79"/>
      <c r="AH47" s="80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71"/>
      <c r="AW47" s="71"/>
      <c r="AX47" s="71"/>
      <c r="AY47" s="71"/>
      <c r="AZ47" s="71"/>
      <c r="BA47" s="71"/>
      <c r="BB47" s="71"/>
      <c r="BC47" s="71"/>
    </row>
    <row r="48" spans="1:55" s="76" customFormat="1" ht="12.95" customHeight="1">
      <c r="A48" s="77">
        <f t="shared" si="0"/>
        <v>42</v>
      </c>
      <c r="B48" s="78" t="s">
        <v>106</v>
      </c>
      <c r="C48" s="79"/>
      <c r="D48" s="79"/>
      <c r="E48" s="79"/>
      <c r="F48" s="79"/>
      <c r="G48" s="79" t="s">
        <v>62</v>
      </c>
      <c r="H48" s="79"/>
      <c r="I48" s="79"/>
      <c r="J48" s="79" t="s">
        <v>62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 t="s">
        <v>61</v>
      </c>
      <c r="Z48" s="79"/>
      <c r="AA48" s="79"/>
      <c r="AB48" s="79"/>
      <c r="AC48" s="79"/>
      <c r="AD48" s="79"/>
      <c r="AE48" s="79" t="s">
        <v>62</v>
      </c>
      <c r="AF48" s="79"/>
      <c r="AG48" s="79"/>
      <c r="AH48" s="80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71"/>
      <c r="AW48" s="71"/>
      <c r="AX48" s="71"/>
      <c r="AY48" s="71"/>
      <c r="AZ48" s="71"/>
      <c r="BA48" s="71"/>
      <c r="BB48" s="71"/>
      <c r="BC48" s="71"/>
    </row>
    <row r="49" spans="1:16384" s="76" customFormat="1" ht="12.95" customHeight="1">
      <c r="A49" s="77">
        <f t="shared" si="0"/>
        <v>43</v>
      </c>
      <c r="B49" s="78" t="s">
        <v>107</v>
      </c>
      <c r="C49" s="79"/>
      <c r="D49" s="79"/>
      <c r="E49" s="79"/>
      <c r="F49" s="79"/>
      <c r="G49" s="79"/>
      <c r="H49" s="79" t="s">
        <v>61</v>
      </c>
      <c r="I49" s="79"/>
      <c r="J49" s="79" t="s">
        <v>61</v>
      </c>
      <c r="K49" s="79"/>
      <c r="L49" s="79"/>
      <c r="M49" s="79"/>
      <c r="N49" s="79"/>
      <c r="O49" s="79"/>
      <c r="P49" s="79"/>
      <c r="Q49" s="79"/>
      <c r="R49" s="79"/>
      <c r="S49" s="79" t="s">
        <v>62</v>
      </c>
      <c r="T49" s="79"/>
      <c r="U49" s="79"/>
      <c r="V49" s="79" t="s">
        <v>61</v>
      </c>
      <c r="W49" s="79"/>
      <c r="X49" s="79" t="s">
        <v>62</v>
      </c>
      <c r="Y49" s="79"/>
      <c r="Z49" s="79"/>
      <c r="AA49" s="79"/>
      <c r="AB49" s="79"/>
      <c r="AC49" s="79"/>
      <c r="AD49" s="79"/>
      <c r="AE49" s="79"/>
      <c r="AF49" s="79"/>
      <c r="AG49" s="79"/>
      <c r="AH49" s="80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71"/>
      <c r="AW49" s="71"/>
      <c r="AX49" s="71"/>
      <c r="AY49" s="71"/>
      <c r="AZ49" s="71"/>
      <c r="BA49" s="71"/>
      <c r="BB49" s="71"/>
      <c r="BC49" s="71"/>
    </row>
    <row r="50" spans="1:16384" s="76" customFormat="1" ht="12.75" customHeight="1">
      <c r="A50" s="77">
        <f t="shared" si="0"/>
        <v>44</v>
      </c>
      <c r="B50" s="78" t="s">
        <v>108</v>
      </c>
      <c r="C50" s="79"/>
      <c r="D50" s="79"/>
      <c r="E50" s="79"/>
      <c r="F50" s="79"/>
      <c r="G50" s="79" t="s">
        <v>61</v>
      </c>
      <c r="H50" s="79"/>
      <c r="I50" s="79" t="s">
        <v>62</v>
      </c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 t="s">
        <v>62</v>
      </c>
      <c r="V50" s="79"/>
      <c r="W50" s="79"/>
      <c r="X50" s="79"/>
      <c r="Y50" s="79" t="s">
        <v>61</v>
      </c>
      <c r="Z50" s="79"/>
      <c r="AA50" s="79"/>
      <c r="AB50" s="79"/>
      <c r="AC50" s="79"/>
      <c r="AD50" s="79" t="s">
        <v>62</v>
      </c>
      <c r="AE50" s="79"/>
      <c r="AF50" s="79"/>
      <c r="AG50" s="79"/>
      <c r="AH50" s="80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71"/>
      <c r="AW50" s="71"/>
      <c r="AX50" s="71"/>
      <c r="AY50" s="71"/>
      <c r="AZ50" s="71"/>
      <c r="BA50" s="71"/>
      <c r="BB50" s="71"/>
      <c r="BC50" s="71"/>
    </row>
    <row r="51" spans="1:16384" s="76" customFormat="1" ht="12.95" customHeight="1">
      <c r="A51" s="77">
        <f t="shared" si="0"/>
        <v>45</v>
      </c>
      <c r="B51" s="78" t="s">
        <v>109</v>
      </c>
      <c r="C51" s="79"/>
      <c r="D51" s="79"/>
      <c r="E51" s="79"/>
      <c r="F51" s="79"/>
      <c r="G51" s="79"/>
      <c r="H51" s="79" t="s">
        <v>61</v>
      </c>
      <c r="I51" s="79"/>
      <c r="J51" s="79" t="s">
        <v>63</v>
      </c>
      <c r="K51" s="79"/>
      <c r="L51" s="79"/>
      <c r="M51" s="79"/>
      <c r="N51" s="79"/>
      <c r="O51" s="79"/>
      <c r="P51" s="79"/>
      <c r="Q51" s="79" t="s">
        <v>61</v>
      </c>
      <c r="R51" s="79"/>
      <c r="S51" s="79" t="s">
        <v>61</v>
      </c>
      <c r="T51" s="79"/>
      <c r="U51" s="79" t="s">
        <v>63</v>
      </c>
      <c r="V51" s="79"/>
      <c r="W51" s="79"/>
      <c r="X51" s="79" t="s">
        <v>61</v>
      </c>
      <c r="Y51" s="79"/>
      <c r="Z51" s="79"/>
      <c r="AA51" s="79"/>
      <c r="AB51" s="79"/>
      <c r="AC51" s="79" t="s">
        <v>62</v>
      </c>
      <c r="AD51" s="79"/>
      <c r="AE51" s="79"/>
      <c r="AF51" s="79"/>
      <c r="AG51" s="79"/>
      <c r="AH51" s="80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71"/>
      <c r="AW51" s="71"/>
      <c r="AX51" s="71"/>
      <c r="AY51" s="71"/>
      <c r="AZ51" s="71"/>
      <c r="BA51" s="71"/>
      <c r="BB51" s="71"/>
      <c r="BC51" s="71"/>
    </row>
    <row r="52" spans="1:16384" s="84" customFormat="1" ht="15" customHeight="1">
      <c r="A52" s="93"/>
      <c r="B52" s="94" t="s">
        <v>110</v>
      </c>
      <c r="C52" s="92">
        <f t="shared" ref="C52:AG52" si="1">COUNTA(C7:C51)</f>
        <v>0</v>
      </c>
      <c r="D52" s="92">
        <f t="shared" si="1"/>
        <v>2</v>
      </c>
      <c r="E52" s="92">
        <f t="shared" si="1"/>
        <v>4</v>
      </c>
      <c r="F52" s="92">
        <f t="shared" si="1"/>
        <v>0</v>
      </c>
      <c r="G52" s="92">
        <f t="shared" si="1"/>
        <v>21</v>
      </c>
      <c r="H52" s="92">
        <f t="shared" si="1"/>
        <v>21</v>
      </c>
      <c r="I52" s="92">
        <f t="shared" si="1"/>
        <v>9</v>
      </c>
      <c r="J52" s="92">
        <f t="shared" si="1"/>
        <v>14</v>
      </c>
      <c r="K52" s="92">
        <f t="shared" si="1"/>
        <v>8</v>
      </c>
      <c r="L52" s="92">
        <f t="shared" si="1"/>
        <v>15</v>
      </c>
      <c r="M52" s="92">
        <f t="shared" si="1"/>
        <v>0</v>
      </c>
      <c r="N52" s="92">
        <f t="shared" si="1"/>
        <v>15</v>
      </c>
      <c r="O52" s="92">
        <f t="shared" si="1"/>
        <v>2</v>
      </c>
      <c r="P52" s="92">
        <f t="shared" si="1"/>
        <v>11</v>
      </c>
      <c r="Q52" s="92">
        <f t="shared" si="1"/>
        <v>10</v>
      </c>
      <c r="R52" s="92">
        <f t="shared" si="1"/>
        <v>0</v>
      </c>
      <c r="S52" s="92">
        <f t="shared" si="1"/>
        <v>13</v>
      </c>
      <c r="T52" s="92">
        <f t="shared" si="1"/>
        <v>0</v>
      </c>
      <c r="U52" s="92">
        <f t="shared" si="1"/>
        <v>24</v>
      </c>
      <c r="V52" s="92">
        <f t="shared" si="1"/>
        <v>14</v>
      </c>
      <c r="W52" s="92">
        <f t="shared" si="1"/>
        <v>10</v>
      </c>
      <c r="X52" s="92">
        <f t="shared" si="1"/>
        <v>12</v>
      </c>
      <c r="Y52" s="92">
        <f t="shared" si="1"/>
        <v>9</v>
      </c>
      <c r="Z52" s="92">
        <f t="shared" si="1"/>
        <v>9</v>
      </c>
      <c r="AA52" s="92">
        <f t="shared" si="1"/>
        <v>0</v>
      </c>
      <c r="AB52" s="92">
        <f t="shared" si="1"/>
        <v>11</v>
      </c>
      <c r="AC52" s="92">
        <f t="shared" si="1"/>
        <v>8</v>
      </c>
      <c r="AD52" s="92">
        <f t="shared" si="1"/>
        <v>7</v>
      </c>
      <c r="AE52" s="92">
        <f t="shared" si="1"/>
        <v>6</v>
      </c>
      <c r="AF52" s="92">
        <f t="shared" si="1"/>
        <v>6</v>
      </c>
      <c r="AG52" s="92">
        <f t="shared" si="1"/>
        <v>6</v>
      </c>
      <c r="AH52" s="79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</row>
    <row r="53" spans="1:16384">
      <c r="A53" s="68"/>
      <c r="B53" s="68"/>
      <c r="C53" s="68"/>
      <c r="D53" s="68"/>
      <c r="E53" s="68"/>
      <c r="F53" s="68" t="s">
        <v>111</v>
      </c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</row>
    <row r="54" spans="1:16384">
      <c r="A54" s="80" t="s">
        <v>63</v>
      </c>
      <c r="B54" s="96" t="s">
        <v>112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 t="s">
        <v>113</v>
      </c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</row>
    <row r="55" spans="1:16384">
      <c r="A55" s="80" t="s">
        <v>61</v>
      </c>
      <c r="B55" s="96" t="s">
        <v>114</v>
      </c>
      <c r="C55" s="68"/>
      <c r="D55" s="68"/>
      <c r="E55" s="68"/>
      <c r="F55" s="68"/>
      <c r="G55" s="68"/>
      <c r="H55" s="68"/>
      <c r="I55" s="68"/>
      <c r="J55" s="68"/>
      <c r="K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</row>
    <row r="56" spans="1:16384">
      <c r="A56" s="80" t="s">
        <v>62</v>
      </c>
      <c r="B56" s="96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</row>
    <row r="57" spans="1:16384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 t="s">
        <v>113</v>
      </c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</row>
    <row r="58" spans="1:16384" ht="15.75">
      <c r="A58" s="67" t="s">
        <v>49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</row>
    <row r="59" spans="1:16384">
      <c r="A59" s="69" t="s">
        <v>50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 t="s">
        <v>116</v>
      </c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 t="s">
        <v>116</v>
      </c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  <c r="CS59" s="69" t="s">
        <v>116</v>
      </c>
      <c r="CT59" s="69"/>
      <c r="CU59" s="69"/>
      <c r="CV59" s="69"/>
      <c r="CW59" s="69"/>
      <c r="CX59" s="69"/>
      <c r="CY59" s="69"/>
      <c r="CZ59" s="69"/>
      <c r="DA59" s="69"/>
      <c r="DB59" s="69"/>
      <c r="DC59" s="69"/>
      <c r="DD59" s="69"/>
      <c r="DE59" s="69"/>
      <c r="DF59" s="69"/>
      <c r="DG59" s="69"/>
      <c r="DH59" s="69"/>
      <c r="DI59" s="69"/>
      <c r="DJ59" s="69"/>
      <c r="DK59" s="69"/>
      <c r="DL59" s="69"/>
      <c r="DM59" s="69"/>
      <c r="DN59" s="69"/>
      <c r="DO59" s="69"/>
      <c r="DP59" s="69"/>
      <c r="DQ59" s="69"/>
      <c r="DR59" s="69"/>
      <c r="DS59" s="69"/>
      <c r="DT59" s="69"/>
      <c r="DU59" s="69"/>
      <c r="DV59" s="69"/>
      <c r="DW59" s="69"/>
      <c r="DX59" s="69"/>
      <c r="DY59" s="69" t="s">
        <v>116</v>
      </c>
      <c r="DZ59" s="69"/>
      <c r="EA59" s="69"/>
      <c r="EB59" s="69"/>
      <c r="EC59" s="69"/>
      <c r="ED59" s="69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9"/>
      <c r="EZ59" s="69"/>
      <c r="FA59" s="69"/>
      <c r="FB59" s="69"/>
      <c r="FC59" s="69"/>
      <c r="FD59" s="69"/>
      <c r="FE59" s="69" t="s">
        <v>116</v>
      </c>
      <c r="FF59" s="69"/>
      <c r="FG59" s="69"/>
      <c r="FH59" s="69"/>
      <c r="FI59" s="69"/>
      <c r="FJ59" s="69"/>
      <c r="FK59" s="69"/>
      <c r="FL59" s="69"/>
      <c r="FM59" s="69"/>
      <c r="FN59" s="69"/>
      <c r="FO59" s="69"/>
      <c r="FP59" s="69"/>
      <c r="FQ59" s="69"/>
      <c r="FR59" s="69"/>
      <c r="FS59" s="69"/>
      <c r="FT59" s="69"/>
      <c r="FU59" s="69"/>
      <c r="FV59" s="69"/>
      <c r="FW59" s="69"/>
      <c r="FX59" s="69"/>
      <c r="FY59" s="69"/>
      <c r="FZ59" s="69"/>
      <c r="GA59" s="69"/>
      <c r="GB59" s="69"/>
      <c r="GC59" s="69"/>
      <c r="GD59" s="69"/>
      <c r="GE59" s="69"/>
      <c r="GF59" s="69"/>
      <c r="GG59" s="69"/>
      <c r="GH59" s="69"/>
      <c r="GI59" s="69"/>
      <c r="GJ59" s="69"/>
      <c r="GK59" s="69" t="s">
        <v>116</v>
      </c>
      <c r="GL59" s="69"/>
      <c r="GM59" s="69"/>
      <c r="GN59" s="69"/>
      <c r="GO59" s="69"/>
      <c r="GP59" s="69"/>
      <c r="GQ59" s="69"/>
      <c r="GR59" s="69"/>
      <c r="GS59" s="69"/>
      <c r="GT59" s="69"/>
      <c r="GU59" s="69"/>
      <c r="GV59" s="69"/>
      <c r="GW59" s="69"/>
      <c r="GX59" s="69"/>
      <c r="GY59" s="69"/>
      <c r="GZ59" s="69"/>
      <c r="HA59" s="69"/>
      <c r="HB59" s="69"/>
      <c r="HC59" s="69"/>
      <c r="HD59" s="69"/>
      <c r="HE59" s="69"/>
      <c r="HF59" s="69"/>
      <c r="HG59" s="69"/>
      <c r="HH59" s="69"/>
      <c r="HI59" s="69"/>
      <c r="HJ59" s="69"/>
      <c r="HK59" s="69"/>
      <c r="HL59" s="69"/>
      <c r="HM59" s="69"/>
      <c r="HN59" s="69"/>
      <c r="HO59" s="69"/>
      <c r="HP59" s="69"/>
      <c r="HQ59" s="69" t="s">
        <v>116</v>
      </c>
      <c r="HR59" s="69"/>
      <c r="HS59" s="69"/>
      <c r="HT59" s="69"/>
      <c r="HU59" s="69"/>
      <c r="HV59" s="69"/>
      <c r="HW59" s="69"/>
      <c r="HX59" s="69"/>
      <c r="HY59" s="69"/>
      <c r="HZ59" s="69"/>
      <c r="IA59" s="69"/>
      <c r="IB59" s="69"/>
      <c r="IC59" s="69"/>
      <c r="ID59" s="69"/>
      <c r="IE59" s="69"/>
      <c r="IF59" s="69"/>
      <c r="IG59" s="69"/>
      <c r="IH59" s="69"/>
      <c r="II59" s="69"/>
      <c r="IJ59" s="69"/>
      <c r="IK59" s="69"/>
      <c r="IL59" s="69"/>
      <c r="IM59" s="69"/>
      <c r="IN59" s="69"/>
      <c r="IO59" s="69"/>
      <c r="IP59" s="69"/>
      <c r="IQ59" s="69"/>
      <c r="IR59" s="69"/>
      <c r="IS59" s="69"/>
      <c r="IT59" s="69"/>
      <c r="IU59" s="69"/>
      <c r="IV59" s="69"/>
      <c r="IW59" s="69" t="s">
        <v>116</v>
      </c>
      <c r="IX59" s="69"/>
      <c r="IY59" s="69"/>
      <c r="IZ59" s="69"/>
      <c r="JA59" s="69"/>
      <c r="JB59" s="69"/>
      <c r="JC59" s="69"/>
      <c r="JD59" s="69"/>
      <c r="JE59" s="69"/>
      <c r="JF59" s="69"/>
      <c r="JG59" s="69"/>
      <c r="JH59" s="69"/>
      <c r="JI59" s="69"/>
      <c r="JJ59" s="69"/>
      <c r="JK59" s="69"/>
      <c r="JL59" s="69"/>
      <c r="JM59" s="69"/>
      <c r="JN59" s="69"/>
      <c r="JO59" s="69"/>
      <c r="JP59" s="69"/>
      <c r="JQ59" s="69"/>
      <c r="JR59" s="69"/>
      <c r="JS59" s="69"/>
      <c r="JT59" s="69"/>
      <c r="JU59" s="69"/>
      <c r="JV59" s="69"/>
      <c r="JW59" s="69"/>
      <c r="JX59" s="69"/>
      <c r="JY59" s="69"/>
      <c r="JZ59" s="69"/>
      <c r="KA59" s="69"/>
      <c r="KB59" s="69"/>
      <c r="KC59" s="69" t="s">
        <v>116</v>
      </c>
      <c r="KD59" s="69"/>
      <c r="KE59" s="69"/>
      <c r="KF59" s="69"/>
      <c r="KG59" s="69"/>
      <c r="KH59" s="69"/>
      <c r="KI59" s="69"/>
      <c r="KJ59" s="69"/>
      <c r="KK59" s="69"/>
      <c r="KL59" s="69"/>
      <c r="KM59" s="69"/>
      <c r="KN59" s="69"/>
      <c r="KO59" s="69"/>
      <c r="KP59" s="69"/>
      <c r="KQ59" s="69"/>
      <c r="KR59" s="69"/>
      <c r="KS59" s="69"/>
      <c r="KT59" s="69"/>
      <c r="KU59" s="69"/>
      <c r="KV59" s="69"/>
      <c r="KW59" s="69"/>
      <c r="KX59" s="69"/>
      <c r="KY59" s="69"/>
      <c r="KZ59" s="69"/>
      <c r="LA59" s="69"/>
      <c r="LB59" s="69"/>
      <c r="LC59" s="69"/>
      <c r="LD59" s="69"/>
      <c r="LE59" s="69"/>
      <c r="LF59" s="69"/>
      <c r="LG59" s="69"/>
      <c r="LH59" s="69"/>
      <c r="LI59" s="69" t="s">
        <v>116</v>
      </c>
      <c r="LJ59" s="69"/>
      <c r="LK59" s="69"/>
      <c r="LL59" s="69"/>
      <c r="LM59" s="69"/>
      <c r="LN59" s="69"/>
      <c r="LO59" s="69"/>
      <c r="LP59" s="69"/>
      <c r="LQ59" s="69"/>
      <c r="LR59" s="69"/>
      <c r="LS59" s="69"/>
      <c r="LT59" s="69"/>
      <c r="LU59" s="69"/>
      <c r="LV59" s="69"/>
      <c r="LW59" s="69"/>
      <c r="LX59" s="69"/>
      <c r="LY59" s="69"/>
      <c r="LZ59" s="69"/>
      <c r="MA59" s="69"/>
      <c r="MB59" s="69"/>
      <c r="MC59" s="69"/>
      <c r="MD59" s="69"/>
      <c r="ME59" s="69"/>
      <c r="MF59" s="69"/>
      <c r="MG59" s="69"/>
      <c r="MH59" s="69"/>
      <c r="MI59" s="69"/>
      <c r="MJ59" s="69"/>
      <c r="MK59" s="69"/>
      <c r="ML59" s="69"/>
      <c r="MM59" s="69"/>
      <c r="MN59" s="69"/>
      <c r="MO59" s="69" t="s">
        <v>116</v>
      </c>
      <c r="MP59" s="69"/>
      <c r="MQ59" s="69"/>
      <c r="MR59" s="69"/>
      <c r="MS59" s="69"/>
      <c r="MT59" s="69"/>
      <c r="MU59" s="69"/>
      <c r="MV59" s="69"/>
      <c r="MW59" s="69"/>
      <c r="MX59" s="69"/>
      <c r="MY59" s="69"/>
      <c r="MZ59" s="69"/>
      <c r="NA59" s="69"/>
      <c r="NB59" s="69"/>
      <c r="NC59" s="69"/>
      <c r="ND59" s="69"/>
      <c r="NE59" s="69"/>
      <c r="NF59" s="69"/>
      <c r="NG59" s="69"/>
      <c r="NH59" s="69"/>
      <c r="NI59" s="69"/>
      <c r="NJ59" s="69"/>
      <c r="NK59" s="69"/>
      <c r="NL59" s="69"/>
      <c r="NM59" s="69"/>
      <c r="NN59" s="69"/>
      <c r="NO59" s="69"/>
      <c r="NP59" s="69"/>
      <c r="NQ59" s="69"/>
      <c r="NR59" s="69"/>
      <c r="NS59" s="69"/>
      <c r="NT59" s="69"/>
      <c r="NU59" s="69" t="s">
        <v>116</v>
      </c>
      <c r="NV59" s="69"/>
      <c r="NW59" s="69"/>
      <c r="NX59" s="69"/>
      <c r="NY59" s="69"/>
      <c r="NZ59" s="69"/>
      <c r="OA59" s="69"/>
      <c r="OB59" s="69"/>
      <c r="OC59" s="69"/>
      <c r="OD59" s="69"/>
      <c r="OE59" s="69"/>
      <c r="OF59" s="69"/>
      <c r="OG59" s="69"/>
      <c r="OH59" s="69"/>
      <c r="OI59" s="69"/>
      <c r="OJ59" s="69"/>
      <c r="OK59" s="69"/>
      <c r="OL59" s="69"/>
      <c r="OM59" s="69"/>
      <c r="ON59" s="69"/>
      <c r="OO59" s="69"/>
      <c r="OP59" s="69"/>
      <c r="OQ59" s="69"/>
      <c r="OR59" s="69"/>
      <c r="OS59" s="69"/>
      <c r="OT59" s="69"/>
      <c r="OU59" s="69"/>
      <c r="OV59" s="69"/>
      <c r="OW59" s="69"/>
      <c r="OX59" s="69"/>
      <c r="OY59" s="69"/>
      <c r="OZ59" s="69"/>
      <c r="PA59" s="69" t="s">
        <v>116</v>
      </c>
      <c r="PB59" s="69"/>
      <c r="PC59" s="69"/>
      <c r="PD59" s="69"/>
      <c r="PE59" s="69"/>
      <c r="PF59" s="69"/>
      <c r="PG59" s="69"/>
      <c r="PH59" s="69"/>
      <c r="PI59" s="69"/>
      <c r="PJ59" s="69"/>
      <c r="PK59" s="69"/>
      <c r="PL59" s="69"/>
      <c r="PM59" s="69"/>
      <c r="PN59" s="69"/>
      <c r="PO59" s="69"/>
      <c r="PP59" s="69"/>
      <c r="PQ59" s="69"/>
      <c r="PR59" s="69"/>
      <c r="PS59" s="69"/>
      <c r="PT59" s="69"/>
      <c r="PU59" s="69"/>
      <c r="PV59" s="69"/>
      <c r="PW59" s="69"/>
      <c r="PX59" s="69"/>
      <c r="PY59" s="69"/>
      <c r="PZ59" s="69"/>
      <c r="QA59" s="69"/>
      <c r="QB59" s="69"/>
      <c r="QC59" s="69"/>
      <c r="QD59" s="69"/>
      <c r="QE59" s="69"/>
      <c r="QF59" s="69"/>
      <c r="QG59" s="69" t="s">
        <v>116</v>
      </c>
      <c r="QH59" s="69"/>
      <c r="QI59" s="69"/>
      <c r="QJ59" s="69"/>
      <c r="QK59" s="69"/>
      <c r="QL59" s="69"/>
      <c r="QM59" s="69"/>
      <c r="QN59" s="69"/>
      <c r="QO59" s="69"/>
      <c r="QP59" s="69"/>
      <c r="QQ59" s="69"/>
      <c r="QR59" s="69"/>
      <c r="QS59" s="69"/>
      <c r="QT59" s="69"/>
      <c r="QU59" s="69"/>
      <c r="QV59" s="69"/>
      <c r="QW59" s="69"/>
      <c r="QX59" s="69"/>
      <c r="QY59" s="69"/>
      <c r="QZ59" s="69"/>
      <c r="RA59" s="69"/>
      <c r="RB59" s="69"/>
      <c r="RC59" s="69"/>
      <c r="RD59" s="69"/>
      <c r="RE59" s="69"/>
      <c r="RF59" s="69"/>
      <c r="RG59" s="69"/>
      <c r="RH59" s="69"/>
      <c r="RI59" s="69"/>
      <c r="RJ59" s="69"/>
      <c r="RK59" s="69"/>
      <c r="RL59" s="69"/>
      <c r="RM59" s="69" t="s">
        <v>116</v>
      </c>
      <c r="RN59" s="69"/>
      <c r="RO59" s="69"/>
      <c r="RP59" s="69"/>
      <c r="RQ59" s="69"/>
      <c r="RR59" s="69"/>
      <c r="RS59" s="69"/>
      <c r="RT59" s="69"/>
      <c r="RU59" s="69"/>
      <c r="RV59" s="69"/>
      <c r="RW59" s="69"/>
      <c r="RX59" s="69"/>
      <c r="RY59" s="69"/>
      <c r="RZ59" s="69"/>
      <c r="SA59" s="69"/>
      <c r="SB59" s="69"/>
      <c r="SC59" s="69"/>
      <c r="SD59" s="69"/>
      <c r="SE59" s="69"/>
      <c r="SF59" s="69"/>
      <c r="SG59" s="69"/>
      <c r="SH59" s="69"/>
      <c r="SI59" s="69"/>
      <c r="SJ59" s="69"/>
      <c r="SK59" s="69"/>
      <c r="SL59" s="69"/>
      <c r="SM59" s="69"/>
      <c r="SN59" s="69"/>
      <c r="SO59" s="69"/>
      <c r="SP59" s="69"/>
      <c r="SQ59" s="69"/>
      <c r="SR59" s="69"/>
      <c r="SS59" s="69" t="s">
        <v>116</v>
      </c>
      <c r="ST59" s="69"/>
      <c r="SU59" s="69"/>
      <c r="SV59" s="69"/>
      <c r="SW59" s="69"/>
      <c r="SX59" s="69"/>
      <c r="SY59" s="69"/>
      <c r="SZ59" s="69"/>
      <c r="TA59" s="69"/>
      <c r="TB59" s="69"/>
      <c r="TC59" s="69"/>
      <c r="TD59" s="69"/>
      <c r="TE59" s="69"/>
      <c r="TF59" s="69"/>
      <c r="TG59" s="69"/>
      <c r="TH59" s="69"/>
      <c r="TI59" s="69"/>
      <c r="TJ59" s="69"/>
      <c r="TK59" s="69"/>
      <c r="TL59" s="69"/>
      <c r="TM59" s="69"/>
      <c r="TN59" s="69"/>
      <c r="TO59" s="69"/>
      <c r="TP59" s="69"/>
      <c r="TQ59" s="69"/>
      <c r="TR59" s="69"/>
      <c r="TS59" s="69"/>
      <c r="TT59" s="69"/>
      <c r="TU59" s="69"/>
      <c r="TV59" s="69"/>
      <c r="TW59" s="69"/>
      <c r="TX59" s="69"/>
      <c r="TY59" s="69" t="s">
        <v>116</v>
      </c>
      <c r="TZ59" s="69"/>
      <c r="UA59" s="69"/>
      <c r="UB59" s="69"/>
      <c r="UC59" s="69"/>
      <c r="UD59" s="69"/>
      <c r="UE59" s="69"/>
      <c r="UF59" s="69"/>
      <c r="UG59" s="69"/>
      <c r="UH59" s="69"/>
      <c r="UI59" s="69"/>
      <c r="UJ59" s="69"/>
      <c r="UK59" s="69"/>
      <c r="UL59" s="69"/>
      <c r="UM59" s="69"/>
      <c r="UN59" s="69"/>
      <c r="UO59" s="69"/>
      <c r="UP59" s="69"/>
      <c r="UQ59" s="69"/>
      <c r="UR59" s="69"/>
      <c r="US59" s="69"/>
      <c r="UT59" s="69"/>
      <c r="UU59" s="69"/>
      <c r="UV59" s="69"/>
      <c r="UW59" s="69"/>
      <c r="UX59" s="69"/>
      <c r="UY59" s="69"/>
      <c r="UZ59" s="69"/>
      <c r="VA59" s="69"/>
      <c r="VB59" s="69"/>
      <c r="VC59" s="69"/>
      <c r="VD59" s="69"/>
      <c r="VE59" s="69" t="s">
        <v>116</v>
      </c>
      <c r="VF59" s="69"/>
      <c r="VG59" s="69"/>
      <c r="VH59" s="69"/>
      <c r="VI59" s="69"/>
      <c r="VJ59" s="69"/>
      <c r="VK59" s="69"/>
      <c r="VL59" s="69"/>
      <c r="VM59" s="69"/>
      <c r="VN59" s="69"/>
      <c r="VO59" s="69"/>
      <c r="VP59" s="69"/>
      <c r="VQ59" s="69"/>
      <c r="VR59" s="69"/>
      <c r="VS59" s="69"/>
      <c r="VT59" s="69"/>
      <c r="VU59" s="69"/>
      <c r="VV59" s="69"/>
      <c r="VW59" s="69"/>
      <c r="VX59" s="69"/>
      <c r="VY59" s="69"/>
      <c r="VZ59" s="69"/>
      <c r="WA59" s="69"/>
      <c r="WB59" s="69"/>
      <c r="WC59" s="69"/>
      <c r="WD59" s="69"/>
      <c r="WE59" s="69"/>
      <c r="WF59" s="69"/>
      <c r="WG59" s="69"/>
      <c r="WH59" s="69"/>
      <c r="WI59" s="69"/>
      <c r="WJ59" s="69"/>
      <c r="WK59" s="69" t="s">
        <v>116</v>
      </c>
      <c r="WL59" s="69"/>
      <c r="WM59" s="69"/>
      <c r="WN59" s="69"/>
      <c r="WO59" s="69"/>
      <c r="WP59" s="69"/>
      <c r="WQ59" s="69"/>
      <c r="WR59" s="69"/>
      <c r="WS59" s="69"/>
      <c r="WT59" s="69"/>
      <c r="WU59" s="69"/>
      <c r="WV59" s="69"/>
      <c r="WW59" s="69"/>
      <c r="WX59" s="69"/>
      <c r="WY59" s="69"/>
      <c r="WZ59" s="69"/>
      <c r="XA59" s="69"/>
      <c r="XB59" s="69"/>
      <c r="XC59" s="69"/>
      <c r="XD59" s="69"/>
      <c r="XE59" s="69"/>
      <c r="XF59" s="69"/>
      <c r="XG59" s="69"/>
      <c r="XH59" s="69"/>
      <c r="XI59" s="69"/>
      <c r="XJ59" s="69"/>
      <c r="XK59" s="69"/>
      <c r="XL59" s="69"/>
      <c r="XM59" s="69"/>
      <c r="XN59" s="69"/>
      <c r="XO59" s="69"/>
      <c r="XP59" s="69"/>
      <c r="XQ59" s="69" t="s">
        <v>116</v>
      </c>
      <c r="XR59" s="69"/>
      <c r="XS59" s="69"/>
      <c r="XT59" s="69"/>
      <c r="XU59" s="69"/>
      <c r="XV59" s="69"/>
      <c r="XW59" s="69"/>
      <c r="XX59" s="69"/>
      <c r="XY59" s="69"/>
      <c r="XZ59" s="69"/>
      <c r="YA59" s="69"/>
      <c r="YB59" s="69"/>
      <c r="YC59" s="69"/>
      <c r="YD59" s="69"/>
      <c r="YE59" s="69"/>
      <c r="YF59" s="69"/>
      <c r="YG59" s="69"/>
      <c r="YH59" s="69"/>
      <c r="YI59" s="69"/>
      <c r="YJ59" s="69"/>
      <c r="YK59" s="69"/>
      <c r="YL59" s="69"/>
      <c r="YM59" s="69"/>
      <c r="YN59" s="69"/>
      <c r="YO59" s="69"/>
      <c r="YP59" s="69"/>
      <c r="YQ59" s="69"/>
      <c r="YR59" s="69"/>
      <c r="YS59" s="69"/>
      <c r="YT59" s="69"/>
      <c r="YU59" s="69"/>
      <c r="YV59" s="69"/>
      <c r="YW59" s="69" t="s">
        <v>116</v>
      </c>
      <c r="YX59" s="69"/>
      <c r="YY59" s="69"/>
      <c r="YZ59" s="69"/>
      <c r="ZA59" s="69"/>
      <c r="ZB59" s="69"/>
      <c r="ZC59" s="69"/>
      <c r="ZD59" s="69"/>
      <c r="ZE59" s="69"/>
      <c r="ZF59" s="69"/>
      <c r="ZG59" s="69"/>
      <c r="ZH59" s="69"/>
      <c r="ZI59" s="69"/>
      <c r="ZJ59" s="69"/>
      <c r="ZK59" s="69"/>
      <c r="ZL59" s="69"/>
      <c r="ZM59" s="69"/>
      <c r="ZN59" s="69"/>
      <c r="ZO59" s="69"/>
      <c r="ZP59" s="69"/>
      <c r="ZQ59" s="69"/>
      <c r="ZR59" s="69"/>
      <c r="ZS59" s="69"/>
      <c r="ZT59" s="69"/>
      <c r="ZU59" s="69"/>
      <c r="ZV59" s="69"/>
      <c r="ZW59" s="69"/>
      <c r="ZX59" s="69"/>
      <c r="ZY59" s="69"/>
      <c r="ZZ59" s="69"/>
      <c r="AAA59" s="69"/>
      <c r="AAB59" s="69"/>
      <c r="AAC59" s="69" t="s">
        <v>116</v>
      </c>
      <c r="AAD59" s="69"/>
      <c r="AAE59" s="69"/>
      <c r="AAF59" s="69"/>
      <c r="AAG59" s="69"/>
      <c r="AAH59" s="69"/>
      <c r="AAI59" s="69"/>
      <c r="AAJ59" s="69"/>
      <c r="AAK59" s="69"/>
      <c r="AAL59" s="69"/>
      <c r="AAM59" s="69"/>
      <c r="AAN59" s="69"/>
      <c r="AAO59" s="69"/>
      <c r="AAP59" s="69"/>
      <c r="AAQ59" s="69"/>
      <c r="AAR59" s="69"/>
      <c r="AAS59" s="69"/>
      <c r="AAT59" s="69"/>
      <c r="AAU59" s="69"/>
      <c r="AAV59" s="69"/>
      <c r="AAW59" s="69"/>
      <c r="AAX59" s="69"/>
      <c r="AAY59" s="69"/>
      <c r="AAZ59" s="69"/>
      <c r="ABA59" s="69"/>
      <c r="ABB59" s="69"/>
      <c r="ABC59" s="69"/>
      <c r="ABD59" s="69"/>
      <c r="ABE59" s="69"/>
      <c r="ABF59" s="69"/>
      <c r="ABG59" s="69"/>
      <c r="ABH59" s="69"/>
      <c r="ABI59" s="69" t="s">
        <v>116</v>
      </c>
      <c r="ABJ59" s="69"/>
      <c r="ABK59" s="69"/>
      <c r="ABL59" s="69"/>
      <c r="ABM59" s="69"/>
      <c r="ABN59" s="69"/>
      <c r="ABO59" s="69"/>
      <c r="ABP59" s="69"/>
      <c r="ABQ59" s="69"/>
      <c r="ABR59" s="69"/>
      <c r="ABS59" s="69"/>
      <c r="ABT59" s="69"/>
      <c r="ABU59" s="69"/>
      <c r="ABV59" s="69"/>
      <c r="ABW59" s="69"/>
      <c r="ABX59" s="69"/>
      <c r="ABY59" s="69"/>
      <c r="ABZ59" s="69"/>
      <c r="ACA59" s="69"/>
      <c r="ACB59" s="69"/>
      <c r="ACC59" s="69"/>
      <c r="ACD59" s="69"/>
      <c r="ACE59" s="69"/>
      <c r="ACF59" s="69"/>
      <c r="ACG59" s="69"/>
      <c r="ACH59" s="69"/>
      <c r="ACI59" s="69"/>
      <c r="ACJ59" s="69"/>
      <c r="ACK59" s="69"/>
      <c r="ACL59" s="69"/>
      <c r="ACM59" s="69"/>
      <c r="ACN59" s="69"/>
      <c r="ACO59" s="69" t="s">
        <v>116</v>
      </c>
      <c r="ACP59" s="69"/>
      <c r="ACQ59" s="69"/>
      <c r="ACR59" s="69"/>
      <c r="ACS59" s="69"/>
      <c r="ACT59" s="69"/>
      <c r="ACU59" s="69"/>
      <c r="ACV59" s="69"/>
      <c r="ACW59" s="69"/>
      <c r="ACX59" s="69"/>
      <c r="ACY59" s="69"/>
      <c r="ACZ59" s="69"/>
      <c r="ADA59" s="69"/>
      <c r="ADB59" s="69"/>
      <c r="ADC59" s="69"/>
      <c r="ADD59" s="69"/>
      <c r="ADE59" s="69"/>
      <c r="ADF59" s="69"/>
      <c r="ADG59" s="69"/>
      <c r="ADH59" s="69"/>
      <c r="ADI59" s="69"/>
      <c r="ADJ59" s="69"/>
      <c r="ADK59" s="69"/>
      <c r="ADL59" s="69"/>
      <c r="ADM59" s="69"/>
      <c r="ADN59" s="69"/>
      <c r="ADO59" s="69"/>
      <c r="ADP59" s="69"/>
      <c r="ADQ59" s="69"/>
      <c r="ADR59" s="69"/>
      <c r="ADS59" s="69"/>
      <c r="ADT59" s="69"/>
      <c r="ADU59" s="69" t="s">
        <v>116</v>
      </c>
      <c r="ADV59" s="69"/>
      <c r="ADW59" s="69"/>
      <c r="ADX59" s="69"/>
      <c r="ADY59" s="69"/>
      <c r="ADZ59" s="69"/>
      <c r="AEA59" s="69"/>
      <c r="AEB59" s="69"/>
      <c r="AEC59" s="69"/>
      <c r="AED59" s="69"/>
      <c r="AEE59" s="69"/>
      <c r="AEF59" s="69"/>
      <c r="AEG59" s="69"/>
      <c r="AEH59" s="69"/>
      <c r="AEI59" s="69"/>
      <c r="AEJ59" s="69"/>
      <c r="AEK59" s="69"/>
      <c r="AEL59" s="69"/>
      <c r="AEM59" s="69"/>
      <c r="AEN59" s="69"/>
      <c r="AEO59" s="69"/>
      <c r="AEP59" s="69"/>
      <c r="AEQ59" s="69"/>
      <c r="AER59" s="69"/>
      <c r="AES59" s="69"/>
      <c r="AET59" s="69"/>
      <c r="AEU59" s="69"/>
      <c r="AEV59" s="69"/>
      <c r="AEW59" s="69"/>
      <c r="AEX59" s="69"/>
      <c r="AEY59" s="69"/>
      <c r="AEZ59" s="69"/>
      <c r="AFA59" s="69" t="s">
        <v>116</v>
      </c>
      <c r="AFB59" s="69"/>
      <c r="AFC59" s="69"/>
      <c r="AFD59" s="69"/>
      <c r="AFE59" s="69"/>
      <c r="AFF59" s="69"/>
      <c r="AFG59" s="69"/>
      <c r="AFH59" s="69"/>
      <c r="AFI59" s="69"/>
      <c r="AFJ59" s="69"/>
      <c r="AFK59" s="69"/>
      <c r="AFL59" s="69"/>
      <c r="AFM59" s="69"/>
      <c r="AFN59" s="69"/>
      <c r="AFO59" s="69"/>
      <c r="AFP59" s="69"/>
      <c r="AFQ59" s="69"/>
      <c r="AFR59" s="69"/>
      <c r="AFS59" s="69"/>
      <c r="AFT59" s="69"/>
      <c r="AFU59" s="69"/>
      <c r="AFV59" s="69"/>
      <c r="AFW59" s="69"/>
      <c r="AFX59" s="69"/>
      <c r="AFY59" s="69"/>
      <c r="AFZ59" s="69"/>
      <c r="AGA59" s="69"/>
      <c r="AGB59" s="69"/>
      <c r="AGC59" s="69"/>
      <c r="AGD59" s="69"/>
      <c r="AGE59" s="69"/>
      <c r="AGF59" s="69"/>
      <c r="AGG59" s="69" t="s">
        <v>116</v>
      </c>
      <c r="AGH59" s="69"/>
      <c r="AGI59" s="69"/>
      <c r="AGJ59" s="69"/>
      <c r="AGK59" s="69"/>
      <c r="AGL59" s="69"/>
      <c r="AGM59" s="69"/>
      <c r="AGN59" s="69"/>
      <c r="AGO59" s="69"/>
      <c r="AGP59" s="69"/>
      <c r="AGQ59" s="69"/>
      <c r="AGR59" s="69"/>
      <c r="AGS59" s="69"/>
      <c r="AGT59" s="69"/>
      <c r="AGU59" s="69"/>
      <c r="AGV59" s="69"/>
      <c r="AGW59" s="69"/>
      <c r="AGX59" s="69"/>
      <c r="AGY59" s="69"/>
      <c r="AGZ59" s="69"/>
      <c r="AHA59" s="69"/>
      <c r="AHB59" s="69"/>
      <c r="AHC59" s="69"/>
      <c r="AHD59" s="69"/>
      <c r="AHE59" s="69"/>
      <c r="AHF59" s="69"/>
      <c r="AHG59" s="69"/>
      <c r="AHH59" s="69"/>
      <c r="AHI59" s="69"/>
      <c r="AHJ59" s="69"/>
      <c r="AHK59" s="69"/>
      <c r="AHL59" s="69"/>
      <c r="AHM59" s="69" t="s">
        <v>116</v>
      </c>
      <c r="AHN59" s="69"/>
      <c r="AHO59" s="69"/>
      <c r="AHP59" s="69"/>
      <c r="AHQ59" s="69"/>
      <c r="AHR59" s="69"/>
      <c r="AHS59" s="69"/>
      <c r="AHT59" s="69"/>
      <c r="AHU59" s="69"/>
      <c r="AHV59" s="69"/>
      <c r="AHW59" s="69"/>
      <c r="AHX59" s="69"/>
      <c r="AHY59" s="69"/>
      <c r="AHZ59" s="69"/>
      <c r="AIA59" s="69"/>
      <c r="AIB59" s="69"/>
      <c r="AIC59" s="69"/>
      <c r="AID59" s="69"/>
      <c r="AIE59" s="69"/>
      <c r="AIF59" s="69"/>
      <c r="AIG59" s="69"/>
      <c r="AIH59" s="69"/>
      <c r="AII59" s="69"/>
      <c r="AIJ59" s="69"/>
      <c r="AIK59" s="69"/>
      <c r="AIL59" s="69"/>
      <c r="AIM59" s="69"/>
      <c r="AIN59" s="69"/>
      <c r="AIO59" s="69"/>
      <c r="AIP59" s="69"/>
      <c r="AIQ59" s="69"/>
      <c r="AIR59" s="69"/>
      <c r="AIS59" s="69" t="s">
        <v>116</v>
      </c>
      <c r="AIT59" s="69"/>
      <c r="AIU59" s="69"/>
      <c r="AIV59" s="69"/>
      <c r="AIW59" s="69"/>
      <c r="AIX59" s="69"/>
      <c r="AIY59" s="69"/>
      <c r="AIZ59" s="69"/>
      <c r="AJA59" s="69"/>
      <c r="AJB59" s="69"/>
      <c r="AJC59" s="69"/>
      <c r="AJD59" s="69"/>
      <c r="AJE59" s="69"/>
      <c r="AJF59" s="69"/>
      <c r="AJG59" s="69"/>
      <c r="AJH59" s="69"/>
      <c r="AJI59" s="69"/>
      <c r="AJJ59" s="69"/>
      <c r="AJK59" s="69"/>
      <c r="AJL59" s="69"/>
      <c r="AJM59" s="69"/>
      <c r="AJN59" s="69"/>
      <c r="AJO59" s="69"/>
      <c r="AJP59" s="69"/>
      <c r="AJQ59" s="69"/>
      <c r="AJR59" s="69"/>
      <c r="AJS59" s="69"/>
      <c r="AJT59" s="69"/>
      <c r="AJU59" s="69"/>
      <c r="AJV59" s="69"/>
      <c r="AJW59" s="69"/>
      <c r="AJX59" s="69"/>
      <c r="AJY59" s="69" t="s">
        <v>116</v>
      </c>
      <c r="AJZ59" s="69"/>
      <c r="AKA59" s="69"/>
      <c r="AKB59" s="69"/>
      <c r="AKC59" s="69"/>
      <c r="AKD59" s="69"/>
      <c r="AKE59" s="69"/>
      <c r="AKF59" s="69"/>
      <c r="AKG59" s="69"/>
      <c r="AKH59" s="69"/>
      <c r="AKI59" s="69"/>
      <c r="AKJ59" s="69"/>
      <c r="AKK59" s="69"/>
      <c r="AKL59" s="69"/>
      <c r="AKM59" s="69"/>
      <c r="AKN59" s="69"/>
      <c r="AKO59" s="69"/>
      <c r="AKP59" s="69"/>
      <c r="AKQ59" s="69"/>
      <c r="AKR59" s="69"/>
      <c r="AKS59" s="69"/>
      <c r="AKT59" s="69"/>
      <c r="AKU59" s="69"/>
      <c r="AKV59" s="69"/>
      <c r="AKW59" s="69"/>
      <c r="AKX59" s="69"/>
      <c r="AKY59" s="69"/>
      <c r="AKZ59" s="69"/>
      <c r="ALA59" s="69"/>
      <c r="ALB59" s="69"/>
      <c r="ALC59" s="69"/>
      <c r="ALD59" s="69"/>
      <c r="ALE59" s="69" t="s">
        <v>116</v>
      </c>
      <c r="ALF59" s="69"/>
      <c r="ALG59" s="69"/>
      <c r="ALH59" s="69"/>
      <c r="ALI59" s="69"/>
      <c r="ALJ59" s="69"/>
      <c r="ALK59" s="69"/>
      <c r="ALL59" s="69"/>
      <c r="ALM59" s="69"/>
      <c r="ALN59" s="69"/>
      <c r="ALO59" s="69"/>
      <c r="ALP59" s="69"/>
      <c r="ALQ59" s="69"/>
      <c r="ALR59" s="69"/>
      <c r="ALS59" s="69"/>
      <c r="ALT59" s="69"/>
      <c r="ALU59" s="69"/>
      <c r="ALV59" s="69"/>
      <c r="ALW59" s="69"/>
      <c r="ALX59" s="69"/>
      <c r="ALY59" s="69"/>
      <c r="ALZ59" s="69"/>
      <c r="AMA59" s="69"/>
      <c r="AMB59" s="69"/>
      <c r="AMC59" s="69"/>
      <c r="AMD59" s="69"/>
      <c r="AME59" s="69"/>
      <c r="AMF59" s="69"/>
      <c r="AMG59" s="69"/>
      <c r="AMH59" s="69"/>
      <c r="AMI59" s="69"/>
      <c r="AMJ59" s="69"/>
      <c r="AMK59" s="69" t="s">
        <v>116</v>
      </c>
      <c r="AML59" s="69"/>
      <c r="AMM59" s="69"/>
      <c r="AMN59" s="69"/>
      <c r="AMO59" s="69"/>
      <c r="AMP59" s="69"/>
      <c r="AMQ59" s="69"/>
      <c r="AMR59" s="69"/>
      <c r="AMS59" s="69"/>
      <c r="AMT59" s="69"/>
      <c r="AMU59" s="69"/>
      <c r="AMV59" s="69"/>
      <c r="AMW59" s="69"/>
      <c r="AMX59" s="69"/>
      <c r="AMY59" s="69"/>
      <c r="AMZ59" s="69"/>
      <c r="ANA59" s="69"/>
      <c r="ANB59" s="69"/>
      <c r="ANC59" s="69"/>
      <c r="AND59" s="69"/>
      <c r="ANE59" s="69"/>
      <c r="ANF59" s="69"/>
      <c r="ANG59" s="69"/>
      <c r="ANH59" s="69"/>
      <c r="ANI59" s="69"/>
      <c r="ANJ59" s="69"/>
      <c r="ANK59" s="69"/>
      <c r="ANL59" s="69"/>
      <c r="ANM59" s="69"/>
      <c r="ANN59" s="69"/>
      <c r="ANO59" s="69"/>
      <c r="ANP59" s="69"/>
      <c r="ANQ59" s="69" t="s">
        <v>116</v>
      </c>
      <c r="ANR59" s="69"/>
      <c r="ANS59" s="69"/>
      <c r="ANT59" s="69"/>
      <c r="ANU59" s="69"/>
      <c r="ANV59" s="69"/>
      <c r="ANW59" s="69"/>
      <c r="ANX59" s="69"/>
      <c r="ANY59" s="69"/>
      <c r="ANZ59" s="69"/>
      <c r="AOA59" s="69"/>
      <c r="AOB59" s="69"/>
      <c r="AOC59" s="69"/>
      <c r="AOD59" s="69"/>
      <c r="AOE59" s="69"/>
      <c r="AOF59" s="69"/>
      <c r="AOG59" s="69"/>
      <c r="AOH59" s="69"/>
      <c r="AOI59" s="69"/>
      <c r="AOJ59" s="69"/>
      <c r="AOK59" s="69"/>
      <c r="AOL59" s="69"/>
      <c r="AOM59" s="69"/>
      <c r="AON59" s="69"/>
      <c r="AOO59" s="69"/>
      <c r="AOP59" s="69"/>
      <c r="AOQ59" s="69"/>
      <c r="AOR59" s="69"/>
      <c r="AOS59" s="69"/>
      <c r="AOT59" s="69"/>
      <c r="AOU59" s="69"/>
      <c r="AOV59" s="69"/>
      <c r="AOW59" s="69" t="s">
        <v>116</v>
      </c>
      <c r="AOX59" s="69"/>
      <c r="AOY59" s="69"/>
      <c r="AOZ59" s="69"/>
      <c r="APA59" s="69"/>
      <c r="APB59" s="69"/>
      <c r="APC59" s="69"/>
      <c r="APD59" s="69"/>
      <c r="APE59" s="69"/>
      <c r="APF59" s="69"/>
      <c r="APG59" s="69"/>
      <c r="APH59" s="69"/>
      <c r="API59" s="69"/>
      <c r="APJ59" s="69"/>
      <c r="APK59" s="69"/>
      <c r="APL59" s="69"/>
      <c r="APM59" s="69"/>
      <c r="APN59" s="69"/>
      <c r="APO59" s="69"/>
      <c r="APP59" s="69"/>
      <c r="APQ59" s="69"/>
      <c r="APR59" s="69"/>
      <c r="APS59" s="69"/>
      <c r="APT59" s="69"/>
      <c r="APU59" s="69"/>
      <c r="APV59" s="69"/>
      <c r="APW59" s="69"/>
      <c r="APX59" s="69"/>
      <c r="APY59" s="69"/>
      <c r="APZ59" s="69"/>
      <c r="AQA59" s="69"/>
      <c r="AQB59" s="69"/>
      <c r="AQC59" s="69" t="s">
        <v>116</v>
      </c>
      <c r="AQD59" s="69"/>
      <c r="AQE59" s="69"/>
      <c r="AQF59" s="69"/>
      <c r="AQG59" s="69"/>
      <c r="AQH59" s="69"/>
      <c r="AQI59" s="69"/>
      <c r="AQJ59" s="69"/>
      <c r="AQK59" s="69"/>
      <c r="AQL59" s="69"/>
      <c r="AQM59" s="69"/>
      <c r="AQN59" s="69"/>
      <c r="AQO59" s="69"/>
      <c r="AQP59" s="69"/>
      <c r="AQQ59" s="69"/>
      <c r="AQR59" s="69"/>
      <c r="AQS59" s="69"/>
      <c r="AQT59" s="69"/>
      <c r="AQU59" s="69"/>
      <c r="AQV59" s="69"/>
      <c r="AQW59" s="69"/>
      <c r="AQX59" s="69"/>
      <c r="AQY59" s="69"/>
      <c r="AQZ59" s="69"/>
      <c r="ARA59" s="69"/>
      <c r="ARB59" s="69"/>
      <c r="ARC59" s="69"/>
      <c r="ARD59" s="69"/>
      <c r="ARE59" s="69"/>
      <c r="ARF59" s="69"/>
      <c r="ARG59" s="69"/>
      <c r="ARH59" s="69"/>
      <c r="ARI59" s="69" t="s">
        <v>116</v>
      </c>
      <c r="ARJ59" s="69"/>
      <c r="ARK59" s="69"/>
      <c r="ARL59" s="69"/>
      <c r="ARM59" s="69"/>
      <c r="ARN59" s="69"/>
      <c r="ARO59" s="69"/>
      <c r="ARP59" s="69"/>
      <c r="ARQ59" s="69"/>
      <c r="ARR59" s="69"/>
      <c r="ARS59" s="69"/>
      <c r="ART59" s="69"/>
      <c r="ARU59" s="69"/>
      <c r="ARV59" s="69"/>
      <c r="ARW59" s="69"/>
      <c r="ARX59" s="69"/>
      <c r="ARY59" s="69"/>
      <c r="ARZ59" s="69"/>
      <c r="ASA59" s="69"/>
      <c r="ASB59" s="69"/>
      <c r="ASC59" s="69"/>
      <c r="ASD59" s="69"/>
      <c r="ASE59" s="69"/>
      <c r="ASF59" s="69"/>
      <c r="ASG59" s="69"/>
      <c r="ASH59" s="69"/>
      <c r="ASI59" s="69"/>
      <c r="ASJ59" s="69"/>
      <c r="ASK59" s="69"/>
      <c r="ASL59" s="69"/>
      <c r="ASM59" s="69"/>
      <c r="ASN59" s="69"/>
      <c r="ASO59" s="69" t="s">
        <v>116</v>
      </c>
      <c r="ASP59" s="69"/>
      <c r="ASQ59" s="69"/>
      <c r="ASR59" s="69"/>
      <c r="ASS59" s="69"/>
      <c r="AST59" s="69"/>
      <c r="ASU59" s="69"/>
      <c r="ASV59" s="69"/>
      <c r="ASW59" s="69"/>
      <c r="ASX59" s="69"/>
      <c r="ASY59" s="69"/>
      <c r="ASZ59" s="69"/>
      <c r="ATA59" s="69"/>
      <c r="ATB59" s="69"/>
      <c r="ATC59" s="69"/>
      <c r="ATD59" s="69"/>
      <c r="ATE59" s="69"/>
      <c r="ATF59" s="69"/>
      <c r="ATG59" s="69"/>
      <c r="ATH59" s="69"/>
      <c r="ATI59" s="69"/>
      <c r="ATJ59" s="69"/>
      <c r="ATK59" s="69"/>
      <c r="ATL59" s="69"/>
      <c r="ATM59" s="69"/>
      <c r="ATN59" s="69"/>
      <c r="ATO59" s="69"/>
      <c r="ATP59" s="69"/>
      <c r="ATQ59" s="69"/>
      <c r="ATR59" s="69"/>
      <c r="ATS59" s="69"/>
      <c r="ATT59" s="69"/>
      <c r="ATU59" s="69" t="s">
        <v>116</v>
      </c>
      <c r="ATV59" s="69"/>
      <c r="ATW59" s="69"/>
      <c r="ATX59" s="69"/>
      <c r="ATY59" s="69"/>
      <c r="ATZ59" s="69"/>
      <c r="AUA59" s="69"/>
      <c r="AUB59" s="69"/>
      <c r="AUC59" s="69"/>
      <c r="AUD59" s="69"/>
      <c r="AUE59" s="69"/>
      <c r="AUF59" s="69"/>
      <c r="AUG59" s="69"/>
      <c r="AUH59" s="69"/>
      <c r="AUI59" s="69"/>
      <c r="AUJ59" s="69"/>
      <c r="AUK59" s="69"/>
      <c r="AUL59" s="69"/>
      <c r="AUM59" s="69"/>
      <c r="AUN59" s="69"/>
      <c r="AUO59" s="69"/>
      <c r="AUP59" s="69"/>
      <c r="AUQ59" s="69"/>
      <c r="AUR59" s="69"/>
      <c r="AUS59" s="69"/>
      <c r="AUT59" s="69"/>
      <c r="AUU59" s="69"/>
      <c r="AUV59" s="69"/>
      <c r="AUW59" s="69"/>
      <c r="AUX59" s="69"/>
      <c r="AUY59" s="69"/>
      <c r="AUZ59" s="69"/>
      <c r="AVA59" s="69" t="s">
        <v>116</v>
      </c>
      <c r="AVB59" s="69"/>
      <c r="AVC59" s="69"/>
      <c r="AVD59" s="69"/>
      <c r="AVE59" s="69"/>
      <c r="AVF59" s="69"/>
      <c r="AVG59" s="69"/>
      <c r="AVH59" s="69"/>
      <c r="AVI59" s="69"/>
      <c r="AVJ59" s="69"/>
      <c r="AVK59" s="69"/>
      <c r="AVL59" s="69"/>
      <c r="AVM59" s="69"/>
      <c r="AVN59" s="69"/>
      <c r="AVO59" s="69"/>
      <c r="AVP59" s="69"/>
      <c r="AVQ59" s="69"/>
      <c r="AVR59" s="69"/>
      <c r="AVS59" s="69"/>
      <c r="AVT59" s="69"/>
      <c r="AVU59" s="69"/>
      <c r="AVV59" s="69"/>
      <c r="AVW59" s="69"/>
      <c r="AVX59" s="69"/>
      <c r="AVY59" s="69"/>
      <c r="AVZ59" s="69"/>
      <c r="AWA59" s="69"/>
      <c r="AWB59" s="69"/>
      <c r="AWC59" s="69"/>
      <c r="AWD59" s="69"/>
      <c r="AWE59" s="69"/>
      <c r="AWF59" s="69"/>
      <c r="AWG59" s="69" t="s">
        <v>116</v>
      </c>
      <c r="AWH59" s="69"/>
      <c r="AWI59" s="69"/>
      <c r="AWJ59" s="69"/>
      <c r="AWK59" s="69"/>
      <c r="AWL59" s="69"/>
      <c r="AWM59" s="69"/>
      <c r="AWN59" s="69"/>
      <c r="AWO59" s="69"/>
      <c r="AWP59" s="69"/>
      <c r="AWQ59" s="69"/>
      <c r="AWR59" s="69"/>
      <c r="AWS59" s="69"/>
      <c r="AWT59" s="69"/>
      <c r="AWU59" s="69"/>
      <c r="AWV59" s="69"/>
      <c r="AWW59" s="69"/>
      <c r="AWX59" s="69"/>
      <c r="AWY59" s="69"/>
      <c r="AWZ59" s="69"/>
      <c r="AXA59" s="69"/>
      <c r="AXB59" s="69"/>
      <c r="AXC59" s="69"/>
      <c r="AXD59" s="69"/>
      <c r="AXE59" s="69"/>
      <c r="AXF59" s="69"/>
      <c r="AXG59" s="69"/>
      <c r="AXH59" s="69"/>
      <c r="AXI59" s="69"/>
      <c r="AXJ59" s="69"/>
      <c r="AXK59" s="69"/>
      <c r="AXL59" s="69"/>
      <c r="AXM59" s="69" t="s">
        <v>116</v>
      </c>
      <c r="AXN59" s="69"/>
      <c r="AXO59" s="69"/>
      <c r="AXP59" s="69"/>
      <c r="AXQ59" s="69"/>
      <c r="AXR59" s="69"/>
      <c r="AXS59" s="69"/>
      <c r="AXT59" s="69"/>
      <c r="AXU59" s="69"/>
      <c r="AXV59" s="69"/>
      <c r="AXW59" s="69"/>
      <c r="AXX59" s="69"/>
      <c r="AXY59" s="69"/>
      <c r="AXZ59" s="69"/>
      <c r="AYA59" s="69"/>
      <c r="AYB59" s="69"/>
      <c r="AYC59" s="69"/>
      <c r="AYD59" s="69"/>
      <c r="AYE59" s="69"/>
      <c r="AYF59" s="69"/>
      <c r="AYG59" s="69"/>
      <c r="AYH59" s="69"/>
      <c r="AYI59" s="69"/>
      <c r="AYJ59" s="69"/>
      <c r="AYK59" s="69"/>
      <c r="AYL59" s="69"/>
      <c r="AYM59" s="69"/>
      <c r="AYN59" s="69"/>
      <c r="AYO59" s="69"/>
      <c r="AYP59" s="69"/>
      <c r="AYQ59" s="69"/>
      <c r="AYR59" s="69"/>
      <c r="AYS59" s="69" t="s">
        <v>116</v>
      </c>
      <c r="AYT59" s="69"/>
      <c r="AYU59" s="69"/>
      <c r="AYV59" s="69"/>
      <c r="AYW59" s="69"/>
      <c r="AYX59" s="69"/>
      <c r="AYY59" s="69"/>
      <c r="AYZ59" s="69"/>
      <c r="AZA59" s="69"/>
      <c r="AZB59" s="69"/>
      <c r="AZC59" s="69"/>
      <c r="AZD59" s="69"/>
      <c r="AZE59" s="69"/>
      <c r="AZF59" s="69"/>
      <c r="AZG59" s="69"/>
      <c r="AZH59" s="69"/>
      <c r="AZI59" s="69"/>
      <c r="AZJ59" s="69"/>
      <c r="AZK59" s="69"/>
      <c r="AZL59" s="69"/>
      <c r="AZM59" s="69"/>
      <c r="AZN59" s="69"/>
      <c r="AZO59" s="69"/>
      <c r="AZP59" s="69"/>
      <c r="AZQ59" s="69"/>
      <c r="AZR59" s="69"/>
      <c r="AZS59" s="69"/>
      <c r="AZT59" s="69"/>
      <c r="AZU59" s="69"/>
      <c r="AZV59" s="69"/>
      <c r="AZW59" s="69"/>
      <c r="AZX59" s="69"/>
      <c r="AZY59" s="69" t="s">
        <v>116</v>
      </c>
      <c r="AZZ59" s="69"/>
      <c r="BAA59" s="69"/>
      <c r="BAB59" s="69"/>
      <c r="BAC59" s="69"/>
      <c r="BAD59" s="69"/>
      <c r="BAE59" s="69"/>
      <c r="BAF59" s="69"/>
      <c r="BAG59" s="69"/>
      <c r="BAH59" s="69"/>
      <c r="BAI59" s="69"/>
      <c r="BAJ59" s="69"/>
      <c r="BAK59" s="69"/>
      <c r="BAL59" s="69"/>
      <c r="BAM59" s="69"/>
      <c r="BAN59" s="69"/>
      <c r="BAO59" s="69"/>
      <c r="BAP59" s="69"/>
      <c r="BAQ59" s="69"/>
      <c r="BAR59" s="69"/>
      <c r="BAS59" s="69"/>
      <c r="BAT59" s="69"/>
      <c r="BAU59" s="69"/>
      <c r="BAV59" s="69"/>
      <c r="BAW59" s="69"/>
      <c r="BAX59" s="69"/>
      <c r="BAY59" s="69"/>
      <c r="BAZ59" s="69"/>
      <c r="BBA59" s="69"/>
      <c r="BBB59" s="69"/>
      <c r="BBC59" s="69"/>
      <c r="BBD59" s="69"/>
      <c r="BBE59" s="69" t="s">
        <v>116</v>
      </c>
      <c r="BBF59" s="69"/>
      <c r="BBG59" s="69"/>
      <c r="BBH59" s="69"/>
      <c r="BBI59" s="69"/>
      <c r="BBJ59" s="69"/>
      <c r="BBK59" s="69"/>
      <c r="BBL59" s="69"/>
      <c r="BBM59" s="69"/>
      <c r="BBN59" s="69"/>
      <c r="BBO59" s="69"/>
      <c r="BBP59" s="69"/>
      <c r="BBQ59" s="69"/>
      <c r="BBR59" s="69"/>
      <c r="BBS59" s="69"/>
      <c r="BBT59" s="69"/>
      <c r="BBU59" s="69"/>
      <c r="BBV59" s="69"/>
      <c r="BBW59" s="69"/>
      <c r="BBX59" s="69"/>
      <c r="BBY59" s="69"/>
      <c r="BBZ59" s="69"/>
      <c r="BCA59" s="69"/>
      <c r="BCB59" s="69"/>
      <c r="BCC59" s="69"/>
      <c r="BCD59" s="69"/>
      <c r="BCE59" s="69"/>
      <c r="BCF59" s="69"/>
      <c r="BCG59" s="69"/>
      <c r="BCH59" s="69"/>
      <c r="BCI59" s="69"/>
      <c r="BCJ59" s="69"/>
      <c r="BCK59" s="69" t="s">
        <v>116</v>
      </c>
      <c r="BCL59" s="69"/>
      <c r="BCM59" s="69"/>
      <c r="BCN59" s="69"/>
      <c r="BCO59" s="69"/>
      <c r="BCP59" s="69"/>
      <c r="BCQ59" s="69"/>
      <c r="BCR59" s="69"/>
      <c r="BCS59" s="69"/>
      <c r="BCT59" s="69"/>
      <c r="BCU59" s="69"/>
      <c r="BCV59" s="69"/>
      <c r="BCW59" s="69"/>
      <c r="BCX59" s="69"/>
      <c r="BCY59" s="69"/>
      <c r="BCZ59" s="69"/>
      <c r="BDA59" s="69"/>
      <c r="BDB59" s="69"/>
      <c r="BDC59" s="69"/>
      <c r="BDD59" s="69"/>
      <c r="BDE59" s="69"/>
      <c r="BDF59" s="69"/>
      <c r="BDG59" s="69"/>
      <c r="BDH59" s="69"/>
      <c r="BDI59" s="69"/>
      <c r="BDJ59" s="69"/>
      <c r="BDK59" s="69"/>
      <c r="BDL59" s="69"/>
      <c r="BDM59" s="69"/>
      <c r="BDN59" s="69"/>
      <c r="BDO59" s="69"/>
      <c r="BDP59" s="69"/>
      <c r="BDQ59" s="69" t="s">
        <v>116</v>
      </c>
      <c r="BDR59" s="69"/>
      <c r="BDS59" s="69"/>
      <c r="BDT59" s="69"/>
      <c r="BDU59" s="69"/>
      <c r="BDV59" s="69"/>
      <c r="BDW59" s="69"/>
      <c r="BDX59" s="69"/>
      <c r="BDY59" s="69"/>
      <c r="BDZ59" s="69"/>
      <c r="BEA59" s="69"/>
      <c r="BEB59" s="69"/>
      <c r="BEC59" s="69"/>
      <c r="BED59" s="69"/>
      <c r="BEE59" s="69"/>
      <c r="BEF59" s="69"/>
      <c r="BEG59" s="69"/>
      <c r="BEH59" s="69"/>
      <c r="BEI59" s="69"/>
      <c r="BEJ59" s="69"/>
      <c r="BEK59" s="69"/>
      <c r="BEL59" s="69"/>
      <c r="BEM59" s="69"/>
      <c r="BEN59" s="69"/>
      <c r="BEO59" s="69"/>
      <c r="BEP59" s="69"/>
      <c r="BEQ59" s="69"/>
      <c r="BER59" s="69"/>
      <c r="BES59" s="69"/>
      <c r="BET59" s="69"/>
      <c r="BEU59" s="69"/>
      <c r="BEV59" s="69"/>
      <c r="BEW59" s="69" t="s">
        <v>116</v>
      </c>
      <c r="BEX59" s="69"/>
      <c r="BEY59" s="69"/>
      <c r="BEZ59" s="69"/>
      <c r="BFA59" s="69"/>
      <c r="BFB59" s="69"/>
      <c r="BFC59" s="69"/>
      <c r="BFD59" s="69"/>
      <c r="BFE59" s="69"/>
      <c r="BFF59" s="69"/>
      <c r="BFG59" s="69"/>
      <c r="BFH59" s="69"/>
      <c r="BFI59" s="69"/>
      <c r="BFJ59" s="69"/>
      <c r="BFK59" s="69"/>
      <c r="BFL59" s="69"/>
      <c r="BFM59" s="69"/>
      <c r="BFN59" s="69"/>
      <c r="BFO59" s="69"/>
      <c r="BFP59" s="69"/>
      <c r="BFQ59" s="69"/>
      <c r="BFR59" s="69"/>
      <c r="BFS59" s="69"/>
      <c r="BFT59" s="69"/>
      <c r="BFU59" s="69"/>
      <c r="BFV59" s="69"/>
      <c r="BFW59" s="69"/>
      <c r="BFX59" s="69"/>
      <c r="BFY59" s="69"/>
      <c r="BFZ59" s="69"/>
      <c r="BGA59" s="69"/>
      <c r="BGB59" s="69"/>
      <c r="BGC59" s="69" t="s">
        <v>116</v>
      </c>
      <c r="BGD59" s="69"/>
      <c r="BGE59" s="69"/>
      <c r="BGF59" s="69"/>
      <c r="BGG59" s="69"/>
      <c r="BGH59" s="69"/>
      <c r="BGI59" s="69"/>
      <c r="BGJ59" s="69"/>
      <c r="BGK59" s="69"/>
      <c r="BGL59" s="69"/>
      <c r="BGM59" s="69"/>
      <c r="BGN59" s="69"/>
      <c r="BGO59" s="69"/>
      <c r="BGP59" s="69"/>
      <c r="BGQ59" s="69"/>
      <c r="BGR59" s="69"/>
      <c r="BGS59" s="69"/>
      <c r="BGT59" s="69"/>
      <c r="BGU59" s="69"/>
      <c r="BGV59" s="69"/>
      <c r="BGW59" s="69"/>
      <c r="BGX59" s="69"/>
      <c r="BGY59" s="69"/>
      <c r="BGZ59" s="69"/>
      <c r="BHA59" s="69"/>
      <c r="BHB59" s="69"/>
      <c r="BHC59" s="69"/>
      <c r="BHD59" s="69"/>
      <c r="BHE59" s="69"/>
      <c r="BHF59" s="69"/>
      <c r="BHG59" s="69"/>
      <c r="BHH59" s="69"/>
      <c r="BHI59" s="69" t="s">
        <v>116</v>
      </c>
      <c r="BHJ59" s="69"/>
      <c r="BHK59" s="69"/>
      <c r="BHL59" s="69"/>
      <c r="BHM59" s="69"/>
      <c r="BHN59" s="69"/>
      <c r="BHO59" s="69"/>
      <c r="BHP59" s="69"/>
      <c r="BHQ59" s="69"/>
      <c r="BHR59" s="69"/>
      <c r="BHS59" s="69"/>
      <c r="BHT59" s="69"/>
      <c r="BHU59" s="69"/>
      <c r="BHV59" s="69"/>
      <c r="BHW59" s="69"/>
      <c r="BHX59" s="69"/>
      <c r="BHY59" s="69"/>
      <c r="BHZ59" s="69"/>
      <c r="BIA59" s="69"/>
      <c r="BIB59" s="69"/>
      <c r="BIC59" s="69"/>
      <c r="BID59" s="69"/>
      <c r="BIE59" s="69"/>
      <c r="BIF59" s="69"/>
      <c r="BIG59" s="69"/>
      <c r="BIH59" s="69"/>
      <c r="BII59" s="69"/>
      <c r="BIJ59" s="69"/>
      <c r="BIK59" s="69"/>
      <c r="BIL59" s="69"/>
      <c r="BIM59" s="69"/>
      <c r="BIN59" s="69"/>
      <c r="BIO59" s="69" t="s">
        <v>116</v>
      </c>
      <c r="BIP59" s="69"/>
      <c r="BIQ59" s="69"/>
      <c r="BIR59" s="69"/>
      <c r="BIS59" s="69"/>
      <c r="BIT59" s="69"/>
      <c r="BIU59" s="69"/>
      <c r="BIV59" s="69"/>
      <c r="BIW59" s="69"/>
      <c r="BIX59" s="69"/>
      <c r="BIY59" s="69"/>
      <c r="BIZ59" s="69"/>
      <c r="BJA59" s="69"/>
      <c r="BJB59" s="69"/>
      <c r="BJC59" s="69"/>
      <c r="BJD59" s="69"/>
      <c r="BJE59" s="69"/>
      <c r="BJF59" s="69"/>
      <c r="BJG59" s="69"/>
      <c r="BJH59" s="69"/>
      <c r="BJI59" s="69"/>
      <c r="BJJ59" s="69"/>
      <c r="BJK59" s="69"/>
      <c r="BJL59" s="69"/>
      <c r="BJM59" s="69"/>
      <c r="BJN59" s="69"/>
      <c r="BJO59" s="69"/>
      <c r="BJP59" s="69"/>
      <c r="BJQ59" s="69"/>
      <c r="BJR59" s="69"/>
      <c r="BJS59" s="69"/>
      <c r="BJT59" s="69"/>
      <c r="BJU59" s="69" t="s">
        <v>116</v>
      </c>
      <c r="BJV59" s="69"/>
      <c r="BJW59" s="69"/>
      <c r="BJX59" s="69"/>
      <c r="BJY59" s="69"/>
      <c r="BJZ59" s="69"/>
      <c r="BKA59" s="69"/>
      <c r="BKB59" s="69"/>
      <c r="BKC59" s="69"/>
      <c r="BKD59" s="69"/>
      <c r="BKE59" s="69"/>
      <c r="BKF59" s="69"/>
      <c r="BKG59" s="69"/>
      <c r="BKH59" s="69"/>
      <c r="BKI59" s="69"/>
      <c r="BKJ59" s="69"/>
      <c r="BKK59" s="69"/>
      <c r="BKL59" s="69"/>
      <c r="BKM59" s="69"/>
      <c r="BKN59" s="69"/>
      <c r="BKO59" s="69"/>
      <c r="BKP59" s="69"/>
      <c r="BKQ59" s="69"/>
      <c r="BKR59" s="69"/>
      <c r="BKS59" s="69"/>
      <c r="BKT59" s="69"/>
      <c r="BKU59" s="69"/>
      <c r="BKV59" s="69"/>
      <c r="BKW59" s="69"/>
      <c r="BKX59" s="69"/>
      <c r="BKY59" s="69"/>
      <c r="BKZ59" s="69"/>
      <c r="BLA59" s="69" t="s">
        <v>116</v>
      </c>
      <c r="BLB59" s="69"/>
      <c r="BLC59" s="69"/>
      <c r="BLD59" s="69"/>
      <c r="BLE59" s="69"/>
      <c r="BLF59" s="69"/>
      <c r="BLG59" s="69"/>
      <c r="BLH59" s="69"/>
      <c r="BLI59" s="69"/>
      <c r="BLJ59" s="69"/>
      <c r="BLK59" s="69"/>
      <c r="BLL59" s="69"/>
      <c r="BLM59" s="69"/>
      <c r="BLN59" s="69"/>
      <c r="BLO59" s="69"/>
      <c r="BLP59" s="69"/>
      <c r="BLQ59" s="69"/>
      <c r="BLR59" s="69"/>
      <c r="BLS59" s="69"/>
      <c r="BLT59" s="69"/>
      <c r="BLU59" s="69"/>
      <c r="BLV59" s="69"/>
      <c r="BLW59" s="69"/>
      <c r="BLX59" s="69"/>
      <c r="BLY59" s="69"/>
      <c r="BLZ59" s="69"/>
      <c r="BMA59" s="69"/>
      <c r="BMB59" s="69"/>
      <c r="BMC59" s="69"/>
      <c r="BMD59" s="69"/>
      <c r="BME59" s="69"/>
      <c r="BMF59" s="69"/>
      <c r="BMG59" s="69" t="s">
        <v>116</v>
      </c>
      <c r="BMH59" s="69"/>
      <c r="BMI59" s="69"/>
      <c r="BMJ59" s="69"/>
      <c r="BMK59" s="69"/>
      <c r="BML59" s="69"/>
      <c r="BMM59" s="69"/>
      <c r="BMN59" s="69"/>
      <c r="BMO59" s="69"/>
      <c r="BMP59" s="69"/>
      <c r="BMQ59" s="69"/>
      <c r="BMR59" s="69"/>
      <c r="BMS59" s="69"/>
      <c r="BMT59" s="69"/>
      <c r="BMU59" s="69"/>
      <c r="BMV59" s="69"/>
      <c r="BMW59" s="69"/>
      <c r="BMX59" s="69"/>
      <c r="BMY59" s="69"/>
      <c r="BMZ59" s="69"/>
      <c r="BNA59" s="69"/>
      <c r="BNB59" s="69"/>
      <c r="BNC59" s="69"/>
      <c r="BND59" s="69"/>
      <c r="BNE59" s="69"/>
      <c r="BNF59" s="69"/>
      <c r="BNG59" s="69"/>
      <c r="BNH59" s="69"/>
      <c r="BNI59" s="69"/>
      <c r="BNJ59" s="69"/>
      <c r="BNK59" s="69"/>
      <c r="BNL59" s="69"/>
      <c r="BNM59" s="69" t="s">
        <v>116</v>
      </c>
      <c r="BNN59" s="69"/>
      <c r="BNO59" s="69"/>
      <c r="BNP59" s="69"/>
      <c r="BNQ59" s="69"/>
      <c r="BNR59" s="69"/>
      <c r="BNS59" s="69"/>
      <c r="BNT59" s="69"/>
      <c r="BNU59" s="69"/>
      <c r="BNV59" s="69"/>
      <c r="BNW59" s="69"/>
      <c r="BNX59" s="69"/>
      <c r="BNY59" s="69"/>
      <c r="BNZ59" s="69"/>
      <c r="BOA59" s="69"/>
      <c r="BOB59" s="69"/>
      <c r="BOC59" s="69"/>
      <c r="BOD59" s="69"/>
      <c r="BOE59" s="69"/>
      <c r="BOF59" s="69"/>
      <c r="BOG59" s="69"/>
      <c r="BOH59" s="69"/>
      <c r="BOI59" s="69"/>
      <c r="BOJ59" s="69"/>
      <c r="BOK59" s="69"/>
      <c r="BOL59" s="69"/>
      <c r="BOM59" s="69"/>
      <c r="BON59" s="69"/>
      <c r="BOO59" s="69"/>
      <c r="BOP59" s="69"/>
      <c r="BOQ59" s="69"/>
      <c r="BOR59" s="69"/>
      <c r="BOS59" s="69" t="s">
        <v>116</v>
      </c>
      <c r="BOT59" s="69"/>
      <c r="BOU59" s="69"/>
      <c r="BOV59" s="69"/>
      <c r="BOW59" s="69"/>
      <c r="BOX59" s="69"/>
      <c r="BOY59" s="69"/>
      <c r="BOZ59" s="69"/>
      <c r="BPA59" s="69"/>
      <c r="BPB59" s="69"/>
      <c r="BPC59" s="69"/>
      <c r="BPD59" s="69"/>
      <c r="BPE59" s="69"/>
      <c r="BPF59" s="69"/>
      <c r="BPG59" s="69"/>
      <c r="BPH59" s="69"/>
      <c r="BPI59" s="69"/>
      <c r="BPJ59" s="69"/>
      <c r="BPK59" s="69"/>
      <c r="BPL59" s="69"/>
      <c r="BPM59" s="69"/>
      <c r="BPN59" s="69"/>
      <c r="BPO59" s="69"/>
      <c r="BPP59" s="69"/>
      <c r="BPQ59" s="69"/>
      <c r="BPR59" s="69"/>
      <c r="BPS59" s="69"/>
      <c r="BPT59" s="69"/>
      <c r="BPU59" s="69"/>
      <c r="BPV59" s="69"/>
      <c r="BPW59" s="69"/>
      <c r="BPX59" s="69"/>
      <c r="BPY59" s="69" t="s">
        <v>116</v>
      </c>
      <c r="BPZ59" s="69"/>
      <c r="BQA59" s="69"/>
      <c r="BQB59" s="69"/>
      <c r="BQC59" s="69"/>
      <c r="BQD59" s="69"/>
      <c r="BQE59" s="69"/>
      <c r="BQF59" s="69"/>
      <c r="BQG59" s="69"/>
      <c r="BQH59" s="69"/>
      <c r="BQI59" s="69"/>
      <c r="BQJ59" s="69"/>
      <c r="BQK59" s="69"/>
      <c r="BQL59" s="69"/>
      <c r="BQM59" s="69"/>
      <c r="BQN59" s="69"/>
      <c r="BQO59" s="69"/>
      <c r="BQP59" s="69"/>
      <c r="BQQ59" s="69"/>
      <c r="BQR59" s="69"/>
      <c r="BQS59" s="69"/>
      <c r="BQT59" s="69"/>
      <c r="BQU59" s="69"/>
      <c r="BQV59" s="69"/>
      <c r="BQW59" s="69"/>
      <c r="BQX59" s="69"/>
      <c r="BQY59" s="69"/>
      <c r="BQZ59" s="69"/>
      <c r="BRA59" s="69"/>
      <c r="BRB59" s="69"/>
      <c r="BRC59" s="69"/>
      <c r="BRD59" s="69"/>
      <c r="BRE59" s="69" t="s">
        <v>116</v>
      </c>
      <c r="BRF59" s="69"/>
      <c r="BRG59" s="69"/>
      <c r="BRH59" s="69"/>
      <c r="BRI59" s="69"/>
      <c r="BRJ59" s="69"/>
      <c r="BRK59" s="69"/>
      <c r="BRL59" s="69"/>
      <c r="BRM59" s="69"/>
      <c r="BRN59" s="69"/>
      <c r="BRO59" s="69"/>
      <c r="BRP59" s="69"/>
      <c r="BRQ59" s="69"/>
      <c r="BRR59" s="69"/>
      <c r="BRS59" s="69"/>
      <c r="BRT59" s="69"/>
      <c r="BRU59" s="69"/>
      <c r="BRV59" s="69"/>
      <c r="BRW59" s="69"/>
      <c r="BRX59" s="69"/>
      <c r="BRY59" s="69"/>
      <c r="BRZ59" s="69"/>
      <c r="BSA59" s="69"/>
      <c r="BSB59" s="69"/>
      <c r="BSC59" s="69"/>
      <c r="BSD59" s="69"/>
      <c r="BSE59" s="69"/>
      <c r="BSF59" s="69"/>
      <c r="BSG59" s="69"/>
      <c r="BSH59" s="69"/>
      <c r="BSI59" s="69"/>
      <c r="BSJ59" s="69"/>
      <c r="BSK59" s="69" t="s">
        <v>116</v>
      </c>
      <c r="BSL59" s="69"/>
      <c r="BSM59" s="69"/>
      <c r="BSN59" s="69"/>
      <c r="BSO59" s="69"/>
      <c r="BSP59" s="69"/>
      <c r="BSQ59" s="69"/>
      <c r="BSR59" s="69"/>
      <c r="BSS59" s="69"/>
      <c r="BST59" s="69"/>
      <c r="BSU59" s="69"/>
      <c r="BSV59" s="69"/>
      <c r="BSW59" s="69"/>
      <c r="BSX59" s="69"/>
      <c r="BSY59" s="69"/>
      <c r="BSZ59" s="69"/>
      <c r="BTA59" s="69"/>
      <c r="BTB59" s="69"/>
      <c r="BTC59" s="69"/>
      <c r="BTD59" s="69"/>
      <c r="BTE59" s="69"/>
      <c r="BTF59" s="69"/>
      <c r="BTG59" s="69"/>
      <c r="BTH59" s="69"/>
      <c r="BTI59" s="69"/>
      <c r="BTJ59" s="69"/>
      <c r="BTK59" s="69"/>
      <c r="BTL59" s="69"/>
      <c r="BTM59" s="69"/>
      <c r="BTN59" s="69"/>
      <c r="BTO59" s="69"/>
      <c r="BTP59" s="69"/>
      <c r="BTQ59" s="69" t="s">
        <v>116</v>
      </c>
      <c r="BTR59" s="69"/>
      <c r="BTS59" s="69"/>
      <c r="BTT59" s="69"/>
      <c r="BTU59" s="69"/>
      <c r="BTV59" s="69"/>
      <c r="BTW59" s="69"/>
      <c r="BTX59" s="69"/>
      <c r="BTY59" s="69"/>
      <c r="BTZ59" s="69"/>
      <c r="BUA59" s="69"/>
      <c r="BUB59" s="69"/>
      <c r="BUC59" s="69"/>
      <c r="BUD59" s="69"/>
      <c r="BUE59" s="69"/>
      <c r="BUF59" s="69"/>
      <c r="BUG59" s="69"/>
      <c r="BUH59" s="69"/>
      <c r="BUI59" s="69"/>
      <c r="BUJ59" s="69"/>
      <c r="BUK59" s="69"/>
      <c r="BUL59" s="69"/>
      <c r="BUM59" s="69"/>
      <c r="BUN59" s="69"/>
      <c r="BUO59" s="69"/>
      <c r="BUP59" s="69"/>
      <c r="BUQ59" s="69"/>
      <c r="BUR59" s="69"/>
      <c r="BUS59" s="69"/>
      <c r="BUT59" s="69"/>
      <c r="BUU59" s="69"/>
      <c r="BUV59" s="69"/>
      <c r="BUW59" s="69" t="s">
        <v>116</v>
      </c>
      <c r="BUX59" s="69"/>
      <c r="BUY59" s="69"/>
      <c r="BUZ59" s="69"/>
      <c r="BVA59" s="69"/>
      <c r="BVB59" s="69"/>
      <c r="BVC59" s="69"/>
      <c r="BVD59" s="69"/>
      <c r="BVE59" s="69"/>
      <c r="BVF59" s="69"/>
      <c r="BVG59" s="69"/>
      <c r="BVH59" s="69"/>
      <c r="BVI59" s="69"/>
      <c r="BVJ59" s="69"/>
      <c r="BVK59" s="69"/>
      <c r="BVL59" s="69"/>
      <c r="BVM59" s="69"/>
      <c r="BVN59" s="69"/>
      <c r="BVO59" s="69"/>
      <c r="BVP59" s="69"/>
      <c r="BVQ59" s="69"/>
      <c r="BVR59" s="69"/>
      <c r="BVS59" s="69"/>
      <c r="BVT59" s="69"/>
      <c r="BVU59" s="69"/>
      <c r="BVV59" s="69"/>
      <c r="BVW59" s="69"/>
      <c r="BVX59" s="69"/>
      <c r="BVY59" s="69"/>
      <c r="BVZ59" s="69"/>
      <c r="BWA59" s="69"/>
      <c r="BWB59" s="69"/>
      <c r="BWC59" s="69" t="s">
        <v>116</v>
      </c>
      <c r="BWD59" s="69"/>
      <c r="BWE59" s="69"/>
      <c r="BWF59" s="69"/>
      <c r="BWG59" s="69"/>
      <c r="BWH59" s="69"/>
      <c r="BWI59" s="69"/>
      <c r="BWJ59" s="69"/>
      <c r="BWK59" s="69"/>
      <c r="BWL59" s="69"/>
      <c r="BWM59" s="69"/>
      <c r="BWN59" s="69"/>
      <c r="BWO59" s="69"/>
      <c r="BWP59" s="69"/>
      <c r="BWQ59" s="69"/>
      <c r="BWR59" s="69"/>
      <c r="BWS59" s="69"/>
      <c r="BWT59" s="69"/>
      <c r="BWU59" s="69"/>
      <c r="BWV59" s="69"/>
      <c r="BWW59" s="69"/>
      <c r="BWX59" s="69"/>
      <c r="BWY59" s="69"/>
      <c r="BWZ59" s="69"/>
      <c r="BXA59" s="69"/>
      <c r="BXB59" s="69"/>
      <c r="BXC59" s="69"/>
      <c r="BXD59" s="69"/>
      <c r="BXE59" s="69"/>
      <c r="BXF59" s="69"/>
      <c r="BXG59" s="69"/>
      <c r="BXH59" s="69"/>
      <c r="BXI59" s="69" t="s">
        <v>116</v>
      </c>
      <c r="BXJ59" s="69"/>
      <c r="BXK59" s="69"/>
      <c r="BXL59" s="69"/>
      <c r="BXM59" s="69"/>
      <c r="BXN59" s="69"/>
      <c r="BXO59" s="69"/>
      <c r="BXP59" s="69"/>
      <c r="BXQ59" s="69"/>
      <c r="BXR59" s="69"/>
      <c r="BXS59" s="69"/>
      <c r="BXT59" s="69"/>
      <c r="BXU59" s="69"/>
      <c r="BXV59" s="69"/>
      <c r="BXW59" s="69"/>
      <c r="BXX59" s="69"/>
      <c r="BXY59" s="69"/>
      <c r="BXZ59" s="69"/>
      <c r="BYA59" s="69"/>
      <c r="BYB59" s="69"/>
      <c r="BYC59" s="69"/>
      <c r="BYD59" s="69"/>
      <c r="BYE59" s="69"/>
      <c r="BYF59" s="69"/>
      <c r="BYG59" s="69"/>
      <c r="BYH59" s="69"/>
      <c r="BYI59" s="69"/>
      <c r="BYJ59" s="69"/>
      <c r="BYK59" s="69"/>
      <c r="BYL59" s="69"/>
      <c r="BYM59" s="69"/>
      <c r="BYN59" s="69"/>
      <c r="BYO59" s="69" t="s">
        <v>116</v>
      </c>
      <c r="BYP59" s="69"/>
      <c r="BYQ59" s="69"/>
      <c r="BYR59" s="69"/>
      <c r="BYS59" s="69"/>
      <c r="BYT59" s="69"/>
      <c r="BYU59" s="69"/>
      <c r="BYV59" s="69"/>
      <c r="BYW59" s="69"/>
      <c r="BYX59" s="69"/>
      <c r="BYY59" s="69"/>
      <c r="BYZ59" s="69"/>
      <c r="BZA59" s="69"/>
      <c r="BZB59" s="69"/>
      <c r="BZC59" s="69"/>
      <c r="BZD59" s="69"/>
      <c r="BZE59" s="69"/>
      <c r="BZF59" s="69"/>
      <c r="BZG59" s="69"/>
      <c r="BZH59" s="69"/>
      <c r="BZI59" s="69"/>
      <c r="BZJ59" s="69"/>
      <c r="BZK59" s="69"/>
      <c r="BZL59" s="69"/>
      <c r="BZM59" s="69"/>
      <c r="BZN59" s="69"/>
      <c r="BZO59" s="69"/>
      <c r="BZP59" s="69"/>
      <c r="BZQ59" s="69"/>
      <c r="BZR59" s="69"/>
      <c r="BZS59" s="69"/>
      <c r="BZT59" s="69"/>
      <c r="BZU59" s="69" t="s">
        <v>116</v>
      </c>
      <c r="BZV59" s="69"/>
      <c r="BZW59" s="69"/>
      <c r="BZX59" s="69"/>
      <c r="BZY59" s="69"/>
      <c r="BZZ59" s="69"/>
      <c r="CAA59" s="69"/>
      <c r="CAB59" s="69"/>
      <c r="CAC59" s="69"/>
      <c r="CAD59" s="69"/>
      <c r="CAE59" s="69"/>
      <c r="CAF59" s="69"/>
      <c r="CAG59" s="69"/>
      <c r="CAH59" s="69"/>
      <c r="CAI59" s="69"/>
      <c r="CAJ59" s="69"/>
      <c r="CAK59" s="69"/>
      <c r="CAL59" s="69"/>
      <c r="CAM59" s="69"/>
      <c r="CAN59" s="69"/>
      <c r="CAO59" s="69"/>
      <c r="CAP59" s="69"/>
      <c r="CAQ59" s="69"/>
      <c r="CAR59" s="69"/>
      <c r="CAS59" s="69"/>
      <c r="CAT59" s="69"/>
      <c r="CAU59" s="69"/>
      <c r="CAV59" s="69"/>
      <c r="CAW59" s="69"/>
      <c r="CAX59" s="69"/>
      <c r="CAY59" s="69"/>
      <c r="CAZ59" s="69"/>
      <c r="CBA59" s="69" t="s">
        <v>116</v>
      </c>
      <c r="CBB59" s="69"/>
      <c r="CBC59" s="69"/>
      <c r="CBD59" s="69"/>
      <c r="CBE59" s="69"/>
      <c r="CBF59" s="69"/>
      <c r="CBG59" s="69"/>
      <c r="CBH59" s="69"/>
      <c r="CBI59" s="69"/>
      <c r="CBJ59" s="69"/>
      <c r="CBK59" s="69"/>
      <c r="CBL59" s="69"/>
      <c r="CBM59" s="69"/>
      <c r="CBN59" s="69"/>
      <c r="CBO59" s="69"/>
      <c r="CBP59" s="69"/>
      <c r="CBQ59" s="69"/>
      <c r="CBR59" s="69"/>
      <c r="CBS59" s="69"/>
      <c r="CBT59" s="69"/>
      <c r="CBU59" s="69"/>
      <c r="CBV59" s="69"/>
      <c r="CBW59" s="69"/>
      <c r="CBX59" s="69"/>
      <c r="CBY59" s="69"/>
      <c r="CBZ59" s="69"/>
      <c r="CCA59" s="69"/>
      <c r="CCB59" s="69"/>
      <c r="CCC59" s="69"/>
      <c r="CCD59" s="69"/>
      <c r="CCE59" s="69"/>
      <c r="CCF59" s="69"/>
      <c r="CCG59" s="69" t="s">
        <v>116</v>
      </c>
      <c r="CCH59" s="69"/>
      <c r="CCI59" s="69"/>
      <c r="CCJ59" s="69"/>
      <c r="CCK59" s="69"/>
      <c r="CCL59" s="69"/>
      <c r="CCM59" s="69"/>
      <c r="CCN59" s="69"/>
      <c r="CCO59" s="69"/>
      <c r="CCP59" s="69"/>
      <c r="CCQ59" s="69"/>
      <c r="CCR59" s="69"/>
      <c r="CCS59" s="69"/>
      <c r="CCT59" s="69"/>
      <c r="CCU59" s="69"/>
      <c r="CCV59" s="69"/>
      <c r="CCW59" s="69"/>
      <c r="CCX59" s="69"/>
      <c r="CCY59" s="69"/>
      <c r="CCZ59" s="69"/>
      <c r="CDA59" s="69"/>
      <c r="CDB59" s="69"/>
      <c r="CDC59" s="69"/>
      <c r="CDD59" s="69"/>
      <c r="CDE59" s="69"/>
      <c r="CDF59" s="69"/>
      <c r="CDG59" s="69"/>
      <c r="CDH59" s="69"/>
      <c r="CDI59" s="69"/>
      <c r="CDJ59" s="69"/>
      <c r="CDK59" s="69"/>
      <c r="CDL59" s="69"/>
      <c r="CDM59" s="69" t="s">
        <v>116</v>
      </c>
      <c r="CDN59" s="69"/>
      <c r="CDO59" s="69"/>
      <c r="CDP59" s="69"/>
      <c r="CDQ59" s="69"/>
      <c r="CDR59" s="69"/>
      <c r="CDS59" s="69"/>
      <c r="CDT59" s="69"/>
      <c r="CDU59" s="69"/>
      <c r="CDV59" s="69"/>
      <c r="CDW59" s="69"/>
      <c r="CDX59" s="69"/>
      <c r="CDY59" s="69"/>
      <c r="CDZ59" s="69"/>
      <c r="CEA59" s="69"/>
      <c r="CEB59" s="69"/>
      <c r="CEC59" s="69"/>
      <c r="CED59" s="69"/>
      <c r="CEE59" s="69"/>
      <c r="CEF59" s="69"/>
      <c r="CEG59" s="69"/>
      <c r="CEH59" s="69"/>
      <c r="CEI59" s="69"/>
      <c r="CEJ59" s="69"/>
      <c r="CEK59" s="69"/>
      <c r="CEL59" s="69"/>
      <c r="CEM59" s="69"/>
      <c r="CEN59" s="69"/>
      <c r="CEO59" s="69"/>
      <c r="CEP59" s="69"/>
      <c r="CEQ59" s="69"/>
      <c r="CER59" s="69"/>
      <c r="CES59" s="69" t="s">
        <v>116</v>
      </c>
      <c r="CET59" s="69"/>
      <c r="CEU59" s="69"/>
      <c r="CEV59" s="69"/>
      <c r="CEW59" s="69"/>
      <c r="CEX59" s="69"/>
      <c r="CEY59" s="69"/>
      <c r="CEZ59" s="69"/>
      <c r="CFA59" s="69"/>
      <c r="CFB59" s="69"/>
      <c r="CFC59" s="69"/>
      <c r="CFD59" s="69"/>
      <c r="CFE59" s="69"/>
      <c r="CFF59" s="69"/>
      <c r="CFG59" s="69"/>
      <c r="CFH59" s="69"/>
      <c r="CFI59" s="69"/>
      <c r="CFJ59" s="69"/>
      <c r="CFK59" s="69"/>
      <c r="CFL59" s="69"/>
      <c r="CFM59" s="69"/>
      <c r="CFN59" s="69"/>
      <c r="CFO59" s="69"/>
      <c r="CFP59" s="69"/>
      <c r="CFQ59" s="69"/>
      <c r="CFR59" s="69"/>
      <c r="CFS59" s="69"/>
      <c r="CFT59" s="69"/>
      <c r="CFU59" s="69"/>
      <c r="CFV59" s="69"/>
      <c r="CFW59" s="69"/>
      <c r="CFX59" s="69"/>
      <c r="CFY59" s="69" t="s">
        <v>116</v>
      </c>
      <c r="CFZ59" s="69"/>
      <c r="CGA59" s="69"/>
      <c r="CGB59" s="69"/>
      <c r="CGC59" s="69"/>
      <c r="CGD59" s="69"/>
      <c r="CGE59" s="69"/>
      <c r="CGF59" s="69"/>
      <c r="CGG59" s="69"/>
      <c r="CGH59" s="69"/>
      <c r="CGI59" s="69"/>
      <c r="CGJ59" s="69"/>
      <c r="CGK59" s="69"/>
      <c r="CGL59" s="69"/>
      <c r="CGM59" s="69"/>
      <c r="CGN59" s="69"/>
      <c r="CGO59" s="69"/>
      <c r="CGP59" s="69"/>
      <c r="CGQ59" s="69"/>
      <c r="CGR59" s="69"/>
      <c r="CGS59" s="69"/>
      <c r="CGT59" s="69"/>
      <c r="CGU59" s="69"/>
      <c r="CGV59" s="69"/>
      <c r="CGW59" s="69"/>
      <c r="CGX59" s="69"/>
      <c r="CGY59" s="69"/>
      <c r="CGZ59" s="69"/>
      <c r="CHA59" s="69"/>
      <c r="CHB59" s="69"/>
      <c r="CHC59" s="69"/>
      <c r="CHD59" s="69"/>
      <c r="CHE59" s="69" t="s">
        <v>116</v>
      </c>
      <c r="CHF59" s="69"/>
      <c r="CHG59" s="69"/>
      <c r="CHH59" s="69"/>
      <c r="CHI59" s="69"/>
      <c r="CHJ59" s="69"/>
      <c r="CHK59" s="69"/>
      <c r="CHL59" s="69"/>
      <c r="CHM59" s="69"/>
      <c r="CHN59" s="69"/>
      <c r="CHO59" s="69"/>
      <c r="CHP59" s="69"/>
      <c r="CHQ59" s="69"/>
      <c r="CHR59" s="69"/>
      <c r="CHS59" s="69"/>
      <c r="CHT59" s="69"/>
      <c r="CHU59" s="69"/>
      <c r="CHV59" s="69"/>
      <c r="CHW59" s="69"/>
      <c r="CHX59" s="69"/>
      <c r="CHY59" s="69"/>
      <c r="CHZ59" s="69"/>
      <c r="CIA59" s="69"/>
      <c r="CIB59" s="69"/>
      <c r="CIC59" s="69"/>
      <c r="CID59" s="69"/>
      <c r="CIE59" s="69"/>
      <c r="CIF59" s="69"/>
      <c r="CIG59" s="69"/>
      <c r="CIH59" s="69"/>
      <c r="CII59" s="69"/>
      <c r="CIJ59" s="69"/>
      <c r="CIK59" s="69" t="s">
        <v>116</v>
      </c>
      <c r="CIL59" s="69"/>
      <c r="CIM59" s="69"/>
      <c r="CIN59" s="69"/>
      <c r="CIO59" s="69"/>
      <c r="CIP59" s="69"/>
      <c r="CIQ59" s="69"/>
      <c r="CIR59" s="69"/>
      <c r="CIS59" s="69"/>
      <c r="CIT59" s="69"/>
      <c r="CIU59" s="69"/>
      <c r="CIV59" s="69"/>
      <c r="CIW59" s="69"/>
      <c r="CIX59" s="69"/>
      <c r="CIY59" s="69"/>
      <c r="CIZ59" s="69"/>
      <c r="CJA59" s="69"/>
      <c r="CJB59" s="69"/>
      <c r="CJC59" s="69"/>
      <c r="CJD59" s="69"/>
      <c r="CJE59" s="69"/>
      <c r="CJF59" s="69"/>
      <c r="CJG59" s="69"/>
      <c r="CJH59" s="69"/>
      <c r="CJI59" s="69"/>
      <c r="CJJ59" s="69"/>
      <c r="CJK59" s="69"/>
      <c r="CJL59" s="69"/>
      <c r="CJM59" s="69"/>
      <c r="CJN59" s="69"/>
      <c r="CJO59" s="69"/>
      <c r="CJP59" s="69"/>
      <c r="CJQ59" s="69" t="s">
        <v>116</v>
      </c>
      <c r="CJR59" s="69"/>
      <c r="CJS59" s="69"/>
      <c r="CJT59" s="69"/>
      <c r="CJU59" s="69"/>
      <c r="CJV59" s="69"/>
      <c r="CJW59" s="69"/>
      <c r="CJX59" s="69"/>
      <c r="CJY59" s="69"/>
      <c r="CJZ59" s="69"/>
      <c r="CKA59" s="69"/>
      <c r="CKB59" s="69"/>
      <c r="CKC59" s="69"/>
      <c r="CKD59" s="69"/>
      <c r="CKE59" s="69"/>
      <c r="CKF59" s="69"/>
      <c r="CKG59" s="69"/>
      <c r="CKH59" s="69"/>
      <c r="CKI59" s="69"/>
      <c r="CKJ59" s="69"/>
      <c r="CKK59" s="69"/>
      <c r="CKL59" s="69"/>
      <c r="CKM59" s="69"/>
      <c r="CKN59" s="69"/>
      <c r="CKO59" s="69"/>
      <c r="CKP59" s="69"/>
      <c r="CKQ59" s="69"/>
      <c r="CKR59" s="69"/>
      <c r="CKS59" s="69"/>
      <c r="CKT59" s="69"/>
      <c r="CKU59" s="69"/>
      <c r="CKV59" s="69"/>
      <c r="CKW59" s="69" t="s">
        <v>116</v>
      </c>
      <c r="CKX59" s="69"/>
      <c r="CKY59" s="69"/>
      <c r="CKZ59" s="69"/>
      <c r="CLA59" s="69"/>
      <c r="CLB59" s="69"/>
      <c r="CLC59" s="69"/>
      <c r="CLD59" s="69"/>
      <c r="CLE59" s="69"/>
      <c r="CLF59" s="69"/>
      <c r="CLG59" s="69"/>
      <c r="CLH59" s="69"/>
      <c r="CLI59" s="69"/>
      <c r="CLJ59" s="69"/>
      <c r="CLK59" s="69"/>
      <c r="CLL59" s="69"/>
      <c r="CLM59" s="69"/>
      <c r="CLN59" s="69"/>
      <c r="CLO59" s="69"/>
      <c r="CLP59" s="69"/>
      <c r="CLQ59" s="69"/>
      <c r="CLR59" s="69"/>
      <c r="CLS59" s="69"/>
      <c r="CLT59" s="69"/>
      <c r="CLU59" s="69"/>
      <c r="CLV59" s="69"/>
      <c r="CLW59" s="69"/>
      <c r="CLX59" s="69"/>
      <c r="CLY59" s="69"/>
      <c r="CLZ59" s="69"/>
      <c r="CMA59" s="69"/>
      <c r="CMB59" s="69"/>
      <c r="CMC59" s="69" t="s">
        <v>116</v>
      </c>
      <c r="CMD59" s="69"/>
      <c r="CME59" s="69"/>
      <c r="CMF59" s="69"/>
      <c r="CMG59" s="69"/>
      <c r="CMH59" s="69"/>
      <c r="CMI59" s="69"/>
      <c r="CMJ59" s="69"/>
      <c r="CMK59" s="69"/>
      <c r="CML59" s="69"/>
      <c r="CMM59" s="69"/>
      <c r="CMN59" s="69"/>
      <c r="CMO59" s="69"/>
      <c r="CMP59" s="69"/>
      <c r="CMQ59" s="69"/>
      <c r="CMR59" s="69"/>
      <c r="CMS59" s="69"/>
      <c r="CMT59" s="69"/>
      <c r="CMU59" s="69"/>
      <c r="CMV59" s="69"/>
      <c r="CMW59" s="69"/>
      <c r="CMX59" s="69"/>
      <c r="CMY59" s="69"/>
      <c r="CMZ59" s="69"/>
      <c r="CNA59" s="69"/>
      <c r="CNB59" s="69"/>
      <c r="CNC59" s="69"/>
      <c r="CND59" s="69"/>
      <c r="CNE59" s="69"/>
      <c r="CNF59" s="69"/>
      <c r="CNG59" s="69"/>
      <c r="CNH59" s="69"/>
      <c r="CNI59" s="69" t="s">
        <v>116</v>
      </c>
      <c r="CNJ59" s="69"/>
      <c r="CNK59" s="69"/>
      <c r="CNL59" s="69"/>
      <c r="CNM59" s="69"/>
      <c r="CNN59" s="69"/>
      <c r="CNO59" s="69"/>
      <c r="CNP59" s="69"/>
      <c r="CNQ59" s="69"/>
      <c r="CNR59" s="69"/>
      <c r="CNS59" s="69"/>
      <c r="CNT59" s="69"/>
      <c r="CNU59" s="69"/>
      <c r="CNV59" s="69"/>
      <c r="CNW59" s="69"/>
      <c r="CNX59" s="69"/>
      <c r="CNY59" s="69"/>
      <c r="CNZ59" s="69"/>
      <c r="COA59" s="69"/>
      <c r="COB59" s="69"/>
      <c r="COC59" s="69"/>
      <c r="COD59" s="69"/>
      <c r="COE59" s="69"/>
      <c r="COF59" s="69"/>
      <c r="COG59" s="69"/>
      <c r="COH59" s="69"/>
      <c r="COI59" s="69"/>
      <c r="COJ59" s="69"/>
      <c r="COK59" s="69"/>
      <c r="COL59" s="69"/>
      <c r="COM59" s="69"/>
      <c r="CON59" s="69"/>
      <c r="COO59" s="69" t="s">
        <v>116</v>
      </c>
      <c r="COP59" s="69"/>
      <c r="COQ59" s="69"/>
      <c r="COR59" s="69"/>
      <c r="COS59" s="69"/>
      <c r="COT59" s="69"/>
      <c r="COU59" s="69"/>
      <c r="COV59" s="69"/>
      <c r="COW59" s="69"/>
      <c r="COX59" s="69"/>
      <c r="COY59" s="69"/>
      <c r="COZ59" s="69"/>
      <c r="CPA59" s="69"/>
      <c r="CPB59" s="69"/>
      <c r="CPC59" s="69"/>
      <c r="CPD59" s="69"/>
      <c r="CPE59" s="69"/>
      <c r="CPF59" s="69"/>
      <c r="CPG59" s="69"/>
      <c r="CPH59" s="69"/>
      <c r="CPI59" s="69"/>
      <c r="CPJ59" s="69"/>
      <c r="CPK59" s="69"/>
      <c r="CPL59" s="69"/>
      <c r="CPM59" s="69"/>
      <c r="CPN59" s="69"/>
      <c r="CPO59" s="69"/>
      <c r="CPP59" s="69"/>
      <c r="CPQ59" s="69"/>
      <c r="CPR59" s="69"/>
      <c r="CPS59" s="69"/>
      <c r="CPT59" s="69"/>
      <c r="CPU59" s="69" t="s">
        <v>116</v>
      </c>
      <c r="CPV59" s="69"/>
      <c r="CPW59" s="69"/>
      <c r="CPX59" s="69"/>
      <c r="CPY59" s="69"/>
      <c r="CPZ59" s="69"/>
      <c r="CQA59" s="69"/>
      <c r="CQB59" s="69"/>
      <c r="CQC59" s="69"/>
      <c r="CQD59" s="69"/>
      <c r="CQE59" s="69"/>
      <c r="CQF59" s="69"/>
      <c r="CQG59" s="69"/>
      <c r="CQH59" s="69"/>
      <c r="CQI59" s="69"/>
      <c r="CQJ59" s="69"/>
      <c r="CQK59" s="69"/>
      <c r="CQL59" s="69"/>
      <c r="CQM59" s="69"/>
      <c r="CQN59" s="69"/>
      <c r="CQO59" s="69"/>
      <c r="CQP59" s="69"/>
      <c r="CQQ59" s="69"/>
      <c r="CQR59" s="69"/>
      <c r="CQS59" s="69"/>
      <c r="CQT59" s="69"/>
      <c r="CQU59" s="69"/>
      <c r="CQV59" s="69"/>
      <c r="CQW59" s="69"/>
      <c r="CQX59" s="69"/>
      <c r="CQY59" s="69"/>
      <c r="CQZ59" s="69"/>
      <c r="CRA59" s="69" t="s">
        <v>116</v>
      </c>
      <c r="CRB59" s="69"/>
      <c r="CRC59" s="69"/>
      <c r="CRD59" s="69"/>
      <c r="CRE59" s="69"/>
      <c r="CRF59" s="69"/>
      <c r="CRG59" s="69"/>
      <c r="CRH59" s="69"/>
      <c r="CRI59" s="69"/>
      <c r="CRJ59" s="69"/>
      <c r="CRK59" s="69"/>
      <c r="CRL59" s="69"/>
      <c r="CRM59" s="69"/>
      <c r="CRN59" s="69"/>
      <c r="CRO59" s="69"/>
      <c r="CRP59" s="69"/>
      <c r="CRQ59" s="69"/>
      <c r="CRR59" s="69"/>
      <c r="CRS59" s="69"/>
      <c r="CRT59" s="69"/>
      <c r="CRU59" s="69"/>
      <c r="CRV59" s="69"/>
      <c r="CRW59" s="69"/>
      <c r="CRX59" s="69"/>
      <c r="CRY59" s="69"/>
      <c r="CRZ59" s="69"/>
      <c r="CSA59" s="69"/>
      <c r="CSB59" s="69"/>
      <c r="CSC59" s="69"/>
      <c r="CSD59" s="69"/>
      <c r="CSE59" s="69"/>
      <c r="CSF59" s="69"/>
      <c r="CSG59" s="69" t="s">
        <v>116</v>
      </c>
      <c r="CSH59" s="69"/>
      <c r="CSI59" s="69"/>
      <c r="CSJ59" s="69"/>
      <c r="CSK59" s="69"/>
      <c r="CSL59" s="69"/>
      <c r="CSM59" s="69"/>
      <c r="CSN59" s="69"/>
      <c r="CSO59" s="69"/>
      <c r="CSP59" s="69"/>
      <c r="CSQ59" s="69"/>
      <c r="CSR59" s="69"/>
      <c r="CSS59" s="69"/>
      <c r="CST59" s="69"/>
      <c r="CSU59" s="69"/>
      <c r="CSV59" s="69"/>
      <c r="CSW59" s="69"/>
      <c r="CSX59" s="69"/>
      <c r="CSY59" s="69"/>
      <c r="CSZ59" s="69"/>
      <c r="CTA59" s="69"/>
      <c r="CTB59" s="69"/>
      <c r="CTC59" s="69"/>
      <c r="CTD59" s="69"/>
      <c r="CTE59" s="69"/>
      <c r="CTF59" s="69"/>
      <c r="CTG59" s="69"/>
      <c r="CTH59" s="69"/>
      <c r="CTI59" s="69"/>
      <c r="CTJ59" s="69"/>
      <c r="CTK59" s="69"/>
      <c r="CTL59" s="69"/>
      <c r="CTM59" s="69" t="s">
        <v>116</v>
      </c>
      <c r="CTN59" s="69"/>
      <c r="CTO59" s="69"/>
      <c r="CTP59" s="69"/>
      <c r="CTQ59" s="69"/>
      <c r="CTR59" s="69"/>
      <c r="CTS59" s="69"/>
      <c r="CTT59" s="69"/>
      <c r="CTU59" s="69"/>
      <c r="CTV59" s="69"/>
      <c r="CTW59" s="69"/>
      <c r="CTX59" s="69"/>
      <c r="CTY59" s="69"/>
      <c r="CTZ59" s="69"/>
      <c r="CUA59" s="69"/>
      <c r="CUB59" s="69"/>
      <c r="CUC59" s="69"/>
      <c r="CUD59" s="69"/>
      <c r="CUE59" s="69"/>
      <c r="CUF59" s="69"/>
      <c r="CUG59" s="69"/>
      <c r="CUH59" s="69"/>
      <c r="CUI59" s="69"/>
      <c r="CUJ59" s="69"/>
      <c r="CUK59" s="69"/>
      <c r="CUL59" s="69"/>
      <c r="CUM59" s="69"/>
      <c r="CUN59" s="69"/>
      <c r="CUO59" s="69"/>
      <c r="CUP59" s="69"/>
      <c r="CUQ59" s="69"/>
      <c r="CUR59" s="69"/>
      <c r="CUS59" s="69" t="s">
        <v>116</v>
      </c>
      <c r="CUT59" s="69"/>
      <c r="CUU59" s="69"/>
      <c r="CUV59" s="69"/>
      <c r="CUW59" s="69"/>
      <c r="CUX59" s="69"/>
      <c r="CUY59" s="69"/>
      <c r="CUZ59" s="69"/>
      <c r="CVA59" s="69"/>
      <c r="CVB59" s="69"/>
      <c r="CVC59" s="69"/>
      <c r="CVD59" s="69"/>
      <c r="CVE59" s="69"/>
      <c r="CVF59" s="69"/>
      <c r="CVG59" s="69"/>
      <c r="CVH59" s="69"/>
      <c r="CVI59" s="69"/>
      <c r="CVJ59" s="69"/>
      <c r="CVK59" s="69"/>
      <c r="CVL59" s="69"/>
      <c r="CVM59" s="69"/>
      <c r="CVN59" s="69"/>
      <c r="CVO59" s="69"/>
      <c r="CVP59" s="69"/>
      <c r="CVQ59" s="69"/>
      <c r="CVR59" s="69"/>
      <c r="CVS59" s="69"/>
      <c r="CVT59" s="69"/>
      <c r="CVU59" s="69"/>
      <c r="CVV59" s="69"/>
      <c r="CVW59" s="69"/>
      <c r="CVX59" s="69"/>
      <c r="CVY59" s="69" t="s">
        <v>116</v>
      </c>
      <c r="CVZ59" s="69"/>
      <c r="CWA59" s="69"/>
      <c r="CWB59" s="69"/>
      <c r="CWC59" s="69"/>
      <c r="CWD59" s="69"/>
      <c r="CWE59" s="69"/>
      <c r="CWF59" s="69"/>
      <c r="CWG59" s="69"/>
      <c r="CWH59" s="69"/>
      <c r="CWI59" s="69"/>
      <c r="CWJ59" s="69"/>
      <c r="CWK59" s="69"/>
      <c r="CWL59" s="69"/>
      <c r="CWM59" s="69"/>
      <c r="CWN59" s="69"/>
      <c r="CWO59" s="69"/>
      <c r="CWP59" s="69"/>
      <c r="CWQ59" s="69"/>
      <c r="CWR59" s="69"/>
      <c r="CWS59" s="69"/>
      <c r="CWT59" s="69"/>
      <c r="CWU59" s="69"/>
      <c r="CWV59" s="69"/>
      <c r="CWW59" s="69"/>
      <c r="CWX59" s="69"/>
      <c r="CWY59" s="69"/>
      <c r="CWZ59" s="69"/>
      <c r="CXA59" s="69"/>
      <c r="CXB59" s="69"/>
      <c r="CXC59" s="69"/>
      <c r="CXD59" s="69"/>
      <c r="CXE59" s="69" t="s">
        <v>116</v>
      </c>
      <c r="CXF59" s="69"/>
      <c r="CXG59" s="69"/>
      <c r="CXH59" s="69"/>
      <c r="CXI59" s="69"/>
      <c r="CXJ59" s="69"/>
      <c r="CXK59" s="69"/>
      <c r="CXL59" s="69"/>
      <c r="CXM59" s="69"/>
      <c r="CXN59" s="69"/>
      <c r="CXO59" s="69"/>
      <c r="CXP59" s="69"/>
      <c r="CXQ59" s="69"/>
      <c r="CXR59" s="69"/>
      <c r="CXS59" s="69"/>
      <c r="CXT59" s="69"/>
      <c r="CXU59" s="69"/>
      <c r="CXV59" s="69"/>
      <c r="CXW59" s="69"/>
      <c r="CXX59" s="69"/>
      <c r="CXY59" s="69"/>
      <c r="CXZ59" s="69"/>
      <c r="CYA59" s="69"/>
      <c r="CYB59" s="69"/>
      <c r="CYC59" s="69"/>
      <c r="CYD59" s="69"/>
      <c r="CYE59" s="69"/>
      <c r="CYF59" s="69"/>
      <c r="CYG59" s="69"/>
      <c r="CYH59" s="69"/>
      <c r="CYI59" s="69"/>
      <c r="CYJ59" s="69"/>
      <c r="CYK59" s="69" t="s">
        <v>116</v>
      </c>
      <c r="CYL59" s="69"/>
      <c r="CYM59" s="69"/>
      <c r="CYN59" s="69"/>
      <c r="CYO59" s="69"/>
      <c r="CYP59" s="69"/>
      <c r="CYQ59" s="69"/>
      <c r="CYR59" s="69"/>
      <c r="CYS59" s="69"/>
      <c r="CYT59" s="69"/>
      <c r="CYU59" s="69"/>
      <c r="CYV59" s="69"/>
      <c r="CYW59" s="69"/>
      <c r="CYX59" s="69"/>
      <c r="CYY59" s="69"/>
      <c r="CYZ59" s="69"/>
      <c r="CZA59" s="69"/>
      <c r="CZB59" s="69"/>
      <c r="CZC59" s="69"/>
      <c r="CZD59" s="69"/>
      <c r="CZE59" s="69"/>
      <c r="CZF59" s="69"/>
      <c r="CZG59" s="69"/>
      <c r="CZH59" s="69"/>
      <c r="CZI59" s="69"/>
      <c r="CZJ59" s="69"/>
      <c r="CZK59" s="69"/>
      <c r="CZL59" s="69"/>
      <c r="CZM59" s="69"/>
      <c r="CZN59" s="69"/>
      <c r="CZO59" s="69"/>
      <c r="CZP59" s="69"/>
      <c r="CZQ59" s="69" t="s">
        <v>116</v>
      </c>
      <c r="CZR59" s="69"/>
      <c r="CZS59" s="69"/>
      <c r="CZT59" s="69"/>
      <c r="CZU59" s="69"/>
      <c r="CZV59" s="69"/>
      <c r="CZW59" s="69"/>
      <c r="CZX59" s="69"/>
      <c r="CZY59" s="69"/>
      <c r="CZZ59" s="69"/>
      <c r="DAA59" s="69"/>
      <c r="DAB59" s="69"/>
      <c r="DAC59" s="69"/>
      <c r="DAD59" s="69"/>
      <c r="DAE59" s="69"/>
      <c r="DAF59" s="69"/>
      <c r="DAG59" s="69"/>
      <c r="DAH59" s="69"/>
      <c r="DAI59" s="69"/>
      <c r="DAJ59" s="69"/>
      <c r="DAK59" s="69"/>
      <c r="DAL59" s="69"/>
      <c r="DAM59" s="69"/>
      <c r="DAN59" s="69"/>
      <c r="DAO59" s="69"/>
      <c r="DAP59" s="69"/>
      <c r="DAQ59" s="69"/>
      <c r="DAR59" s="69"/>
      <c r="DAS59" s="69"/>
      <c r="DAT59" s="69"/>
      <c r="DAU59" s="69"/>
      <c r="DAV59" s="69"/>
      <c r="DAW59" s="69" t="s">
        <v>116</v>
      </c>
      <c r="DAX59" s="69"/>
      <c r="DAY59" s="69"/>
      <c r="DAZ59" s="69"/>
      <c r="DBA59" s="69"/>
      <c r="DBB59" s="69"/>
      <c r="DBC59" s="69"/>
      <c r="DBD59" s="69"/>
      <c r="DBE59" s="69"/>
      <c r="DBF59" s="69"/>
      <c r="DBG59" s="69"/>
      <c r="DBH59" s="69"/>
      <c r="DBI59" s="69"/>
      <c r="DBJ59" s="69"/>
      <c r="DBK59" s="69"/>
      <c r="DBL59" s="69"/>
      <c r="DBM59" s="69"/>
      <c r="DBN59" s="69"/>
      <c r="DBO59" s="69"/>
      <c r="DBP59" s="69"/>
      <c r="DBQ59" s="69"/>
      <c r="DBR59" s="69"/>
      <c r="DBS59" s="69"/>
      <c r="DBT59" s="69"/>
      <c r="DBU59" s="69"/>
      <c r="DBV59" s="69"/>
      <c r="DBW59" s="69"/>
      <c r="DBX59" s="69"/>
      <c r="DBY59" s="69"/>
      <c r="DBZ59" s="69"/>
      <c r="DCA59" s="69"/>
      <c r="DCB59" s="69"/>
      <c r="DCC59" s="69" t="s">
        <v>116</v>
      </c>
      <c r="DCD59" s="69"/>
      <c r="DCE59" s="69"/>
      <c r="DCF59" s="69"/>
      <c r="DCG59" s="69"/>
      <c r="DCH59" s="69"/>
      <c r="DCI59" s="69"/>
      <c r="DCJ59" s="69"/>
      <c r="DCK59" s="69"/>
      <c r="DCL59" s="69"/>
      <c r="DCM59" s="69"/>
      <c r="DCN59" s="69"/>
      <c r="DCO59" s="69"/>
      <c r="DCP59" s="69"/>
      <c r="DCQ59" s="69"/>
      <c r="DCR59" s="69"/>
      <c r="DCS59" s="69"/>
      <c r="DCT59" s="69"/>
      <c r="DCU59" s="69"/>
      <c r="DCV59" s="69"/>
      <c r="DCW59" s="69"/>
      <c r="DCX59" s="69"/>
      <c r="DCY59" s="69"/>
      <c r="DCZ59" s="69"/>
      <c r="DDA59" s="69"/>
      <c r="DDB59" s="69"/>
      <c r="DDC59" s="69"/>
      <c r="DDD59" s="69"/>
      <c r="DDE59" s="69"/>
      <c r="DDF59" s="69"/>
      <c r="DDG59" s="69"/>
      <c r="DDH59" s="69"/>
      <c r="DDI59" s="69" t="s">
        <v>116</v>
      </c>
      <c r="DDJ59" s="69"/>
      <c r="DDK59" s="69"/>
      <c r="DDL59" s="69"/>
      <c r="DDM59" s="69"/>
      <c r="DDN59" s="69"/>
      <c r="DDO59" s="69"/>
      <c r="DDP59" s="69"/>
      <c r="DDQ59" s="69"/>
      <c r="DDR59" s="69"/>
      <c r="DDS59" s="69"/>
      <c r="DDT59" s="69"/>
      <c r="DDU59" s="69"/>
      <c r="DDV59" s="69"/>
      <c r="DDW59" s="69"/>
      <c r="DDX59" s="69"/>
      <c r="DDY59" s="69"/>
      <c r="DDZ59" s="69"/>
      <c r="DEA59" s="69"/>
      <c r="DEB59" s="69"/>
      <c r="DEC59" s="69"/>
      <c r="DED59" s="69"/>
      <c r="DEE59" s="69"/>
      <c r="DEF59" s="69"/>
      <c r="DEG59" s="69"/>
      <c r="DEH59" s="69"/>
      <c r="DEI59" s="69"/>
      <c r="DEJ59" s="69"/>
      <c r="DEK59" s="69"/>
      <c r="DEL59" s="69"/>
      <c r="DEM59" s="69"/>
      <c r="DEN59" s="69"/>
      <c r="DEO59" s="69" t="s">
        <v>116</v>
      </c>
      <c r="DEP59" s="69"/>
      <c r="DEQ59" s="69"/>
      <c r="DER59" s="69"/>
      <c r="DES59" s="69"/>
      <c r="DET59" s="69"/>
      <c r="DEU59" s="69"/>
      <c r="DEV59" s="69"/>
      <c r="DEW59" s="69"/>
      <c r="DEX59" s="69"/>
      <c r="DEY59" s="69"/>
      <c r="DEZ59" s="69"/>
      <c r="DFA59" s="69"/>
      <c r="DFB59" s="69"/>
      <c r="DFC59" s="69"/>
      <c r="DFD59" s="69"/>
      <c r="DFE59" s="69"/>
      <c r="DFF59" s="69"/>
      <c r="DFG59" s="69"/>
      <c r="DFH59" s="69"/>
      <c r="DFI59" s="69"/>
      <c r="DFJ59" s="69"/>
      <c r="DFK59" s="69"/>
      <c r="DFL59" s="69"/>
      <c r="DFM59" s="69"/>
      <c r="DFN59" s="69"/>
      <c r="DFO59" s="69"/>
      <c r="DFP59" s="69"/>
      <c r="DFQ59" s="69"/>
      <c r="DFR59" s="69"/>
      <c r="DFS59" s="69"/>
      <c r="DFT59" s="69"/>
      <c r="DFU59" s="69" t="s">
        <v>116</v>
      </c>
      <c r="DFV59" s="69"/>
      <c r="DFW59" s="69"/>
      <c r="DFX59" s="69"/>
      <c r="DFY59" s="69"/>
      <c r="DFZ59" s="69"/>
      <c r="DGA59" s="69"/>
      <c r="DGB59" s="69"/>
      <c r="DGC59" s="69"/>
      <c r="DGD59" s="69"/>
      <c r="DGE59" s="69"/>
      <c r="DGF59" s="69"/>
      <c r="DGG59" s="69"/>
      <c r="DGH59" s="69"/>
      <c r="DGI59" s="69"/>
      <c r="DGJ59" s="69"/>
      <c r="DGK59" s="69"/>
      <c r="DGL59" s="69"/>
      <c r="DGM59" s="69"/>
      <c r="DGN59" s="69"/>
      <c r="DGO59" s="69"/>
      <c r="DGP59" s="69"/>
      <c r="DGQ59" s="69"/>
      <c r="DGR59" s="69"/>
      <c r="DGS59" s="69"/>
      <c r="DGT59" s="69"/>
      <c r="DGU59" s="69"/>
      <c r="DGV59" s="69"/>
      <c r="DGW59" s="69"/>
      <c r="DGX59" s="69"/>
      <c r="DGY59" s="69"/>
      <c r="DGZ59" s="69"/>
      <c r="DHA59" s="69" t="s">
        <v>116</v>
      </c>
      <c r="DHB59" s="69"/>
      <c r="DHC59" s="69"/>
      <c r="DHD59" s="69"/>
      <c r="DHE59" s="69"/>
      <c r="DHF59" s="69"/>
      <c r="DHG59" s="69"/>
      <c r="DHH59" s="69"/>
      <c r="DHI59" s="69"/>
      <c r="DHJ59" s="69"/>
      <c r="DHK59" s="69"/>
      <c r="DHL59" s="69"/>
      <c r="DHM59" s="69"/>
      <c r="DHN59" s="69"/>
      <c r="DHO59" s="69"/>
      <c r="DHP59" s="69"/>
      <c r="DHQ59" s="69"/>
      <c r="DHR59" s="69"/>
      <c r="DHS59" s="69"/>
      <c r="DHT59" s="69"/>
      <c r="DHU59" s="69"/>
      <c r="DHV59" s="69"/>
      <c r="DHW59" s="69"/>
      <c r="DHX59" s="69"/>
      <c r="DHY59" s="69"/>
      <c r="DHZ59" s="69"/>
      <c r="DIA59" s="69"/>
      <c r="DIB59" s="69"/>
      <c r="DIC59" s="69"/>
      <c r="DID59" s="69"/>
      <c r="DIE59" s="69"/>
      <c r="DIF59" s="69"/>
      <c r="DIG59" s="69" t="s">
        <v>116</v>
      </c>
      <c r="DIH59" s="69"/>
      <c r="DII59" s="69"/>
      <c r="DIJ59" s="69"/>
      <c r="DIK59" s="69"/>
      <c r="DIL59" s="69"/>
      <c r="DIM59" s="69"/>
      <c r="DIN59" s="69"/>
      <c r="DIO59" s="69"/>
      <c r="DIP59" s="69"/>
      <c r="DIQ59" s="69"/>
      <c r="DIR59" s="69"/>
      <c r="DIS59" s="69"/>
      <c r="DIT59" s="69"/>
      <c r="DIU59" s="69"/>
      <c r="DIV59" s="69"/>
      <c r="DIW59" s="69"/>
      <c r="DIX59" s="69"/>
      <c r="DIY59" s="69"/>
      <c r="DIZ59" s="69"/>
      <c r="DJA59" s="69"/>
      <c r="DJB59" s="69"/>
      <c r="DJC59" s="69"/>
      <c r="DJD59" s="69"/>
      <c r="DJE59" s="69"/>
      <c r="DJF59" s="69"/>
      <c r="DJG59" s="69"/>
      <c r="DJH59" s="69"/>
      <c r="DJI59" s="69"/>
      <c r="DJJ59" s="69"/>
      <c r="DJK59" s="69"/>
      <c r="DJL59" s="69"/>
      <c r="DJM59" s="69" t="s">
        <v>116</v>
      </c>
      <c r="DJN59" s="69"/>
      <c r="DJO59" s="69"/>
      <c r="DJP59" s="69"/>
      <c r="DJQ59" s="69"/>
      <c r="DJR59" s="69"/>
      <c r="DJS59" s="69"/>
      <c r="DJT59" s="69"/>
      <c r="DJU59" s="69"/>
      <c r="DJV59" s="69"/>
      <c r="DJW59" s="69"/>
      <c r="DJX59" s="69"/>
      <c r="DJY59" s="69"/>
      <c r="DJZ59" s="69"/>
      <c r="DKA59" s="69"/>
      <c r="DKB59" s="69"/>
      <c r="DKC59" s="69"/>
      <c r="DKD59" s="69"/>
      <c r="DKE59" s="69"/>
      <c r="DKF59" s="69"/>
      <c r="DKG59" s="69"/>
      <c r="DKH59" s="69"/>
      <c r="DKI59" s="69"/>
      <c r="DKJ59" s="69"/>
      <c r="DKK59" s="69"/>
      <c r="DKL59" s="69"/>
      <c r="DKM59" s="69"/>
      <c r="DKN59" s="69"/>
      <c r="DKO59" s="69"/>
      <c r="DKP59" s="69"/>
      <c r="DKQ59" s="69"/>
      <c r="DKR59" s="69"/>
      <c r="DKS59" s="69" t="s">
        <v>116</v>
      </c>
      <c r="DKT59" s="69"/>
      <c r="DKU59" s="69"/>
      <c r="DKV59" s="69"/>
      <c r="DKW59" s="69"/>
      <c r="DKX59" s="69"/>
      <c r="DKY59" s="69"/>
      <c r="DKZ59" s="69"/>
      <c r="DLA59" s="69"/>
      <c r="DLB59" s="69"/>
      <c r="DLC59" s="69"/>
      <c r="DLD59" s="69"/>
      <c r="DLE59" s="69"/>
      <c r="DLF59" s="69"/>
      <c r="DLG59" s="69"/>
      <c r="DLH59" s="69"/>
      <c r="DLI59" s="69"/>
      <c r="DLJ59" s="69"/>
      <c r="DLK59" s="69"/>
      <c r="DLL59" s="69"/>
      <c r="DLM59" s="69"/>
      <c r="DLN59" s="69"/>
      <c r="DLO59" s="69"/>
      <c r="DLP59" s="69"/>
      <c r="DLQ59" s="69"/>
      <c r="DLR59" s="69"/>
      <c r="DLS59" s="69"/>
      <c r="DLT59" s="69"/>
      <c r="DLU59" s="69"/>
      <c r="DLV59" s="69"/>
      <c r="DLW59" s="69"/>
      <c r="DLX59" s="69"/>
      <c r="DLY59" s="69" t="s">
        <v>116</v>
      </c>
      <c r="DLZ59" s="69"/>
      <c r="DMA59" s="69"/>
      <c r="DMB59" s="69"/>
      <c r="DMC59" s="69"/>
      <c r="DMD59" s="69"/>
      <c r="DME59" s="69"/>
      <c r="DMF59" s="69"/>
      <c r="DMG59" s="69"/>
      <c r="DMH59" s="69"/>
      <c r="DMI59" s="69"/>
      <c r="DMJ59" s="69"/>
      <c r="DMK59" s="69"/>
      <c r="DML59" s="69"/>
      <c r="DMM59" s="69"/>
      <c r="DMN59" s="69"/>
      <c r="DMO59" s="69"/>
      <c r="DMP59" s="69"/>
      <c r="DMQ59" s="69"/>
      <c r="DMR59" s="69"/>
      <c r="DMS59" s="69"/>
      <c r="DMT59" s="69"/>
      <c r="DMU59" s="69"/>
      <c r="DMV59" s="69"/>
      <c r="DMW59" s="69"/>
      <c r="DMX59" s="69"/>
      <c r="DMY59" s="69"/>
      <c r="DMZ59" s="69"/>
      <c r="DNA59" s="69"/>
      <c r="DNB59" s="69"/>
      <c r="DNC59" s="69"/>
      <c r="DND59" s="69"/>
      <c r="DNE59" s="69" t="s">
        <v>116</v>
      </c>
      <c r="DNF59" s="69"/>
      <c r="DNG59" s="69"/>
      <c r="DNH59" s="69"/>
      <c r="DNI59" s="69"/>
      <c r="DNJ59" s="69"/>
      <c r="DNK59" s="69"/>
      <c r="DNL59" s="69"/>
      <c r="DNM59" s="69"/>
      <c r="DNN59" s="69"/>
      <c r="DNO59" s="69"/>
      <c r="DNP59" s="69"/>
      <c r="DNQ59" s="69"/>
      <c r="DNR59" s="69"/>
      <c r="DNS59" s="69"/>
      <c r="DNT59" s="69"/>
      <c r="DNU59" s="69"/>
      <c r="DNV59" s="69"/>
      <c r="DNW59" s="69"/>
      <c r="DNX59" s="69"/>
      <c r="DNY59" s="69"/>
      <c r="DNZ59" s="69"/>
      <c r="DOA59" s="69"/>
      <c r="DOB59" s="69"/>
      <c r="DOC59" s="69"/>
      <c r="DOD59" s="69"/>
      <c r="DOE59" s="69"/>
      <c r="DOF59" s="69"/>
      <c r="DOG59" s="69"/>
      <c r="DOH59" s="69"/>
      <c r="DOI59" s="69"/>
      <c r="DOJ59" s="69"/>
      <c r="DOK59" s="69" t="s">
        <v>116</v>
      </c>
      <c r="DOL59" s="69"/>
      <c r="DOM59" s="69"/>
      <c r="DON59" s="69"/>
      <c r="DOO59" s="69"/>
      <c r="DOP59" s="69"/>
      <c r="DOQ59" s="69"/>
      <c r="DOR59" s="69"/>
      <c r="DOS59" s="69"/>
      <c r="DOT59" s="69"/>
      <c r="DOU59" s="69"/>
      <c r="DOV59" s="69"/>
      <c r="DOW59" s="69"/>
      <c r="DOX59" s="69"/>
      <c r="DOY59" s="69"/>
      <c r="DOZ59" s="69"/>
      <c r="DPA59" s="69"/>
      <c r="DPB59" s="69"/>
      <c r="DPC59" s="69"/>
      <c r="DPD59" s="69"/>
      <c r="DPE59" s="69"/>
      <c r="DPF59" s="69"/>
      <c r="DPG59" s="69"/>
      <c r="DPH59" s="69"/>
      <c r="DPI59" s="69"/>
      <c r="DPJ59" s="69"/>
      <c r="DPK59" s="69"/>
      <c r="DPL59" s="69"/>
      <c r="DPM59" s="69"/>
      <c r="DPN59" s="69"/>
      <c r="DPO59" s="69"/>
      <c r="DPP59" s="69"/>
      <c r="DPQ59" s="69" t="s">
        <v>116</v>
      </c>
      <c r="DPR59" s="69"/>
      <c r="DPS59" s="69"/>
      <c r="DPT59" s="69"/>
      <c r="DPU59" s="69"/>
      <c r="DPV59" s="69"/>
      <c r="DPW59" s="69"/>
      <c r="DPX59" s="69"/>
      <c r="DPY59" s="69"/>
      <c r="DPZ59" s="69"/>
      <c r="DQA59" s="69"/>
      <c r="DQB59" s="69"/>
      <c r="DQC59" s="69"/>
      <c r="DQD59" s="69"/>
      <c r="DQE59" s="69"/>
      <c r="DQF59" s="69"/>
      <c r="DQG59" s="69"/>
      <c r="DQH59" s="69"/>
      <c r="DQI59" s="69"/>
      <c r="DQJ59" s="69"/>
      <c r="DQK59" s="69"/>
      <c r="DQL59" s="69"/>
      <c r="DQM59" s="69"/>
      <c r="DQN59" s="69"/>
      <c r="DQO59" s="69"/>
      <c r="DQP59" s="69"/>
      <c r="DQQ59" s="69"/>
      <c r="DQR59" s="69"/>
      <c r="DQS59" s="69"/>
      <c r="DQT59" s="69"/>
      <c r="DQU59" s="69"/>
      <c r="DQV59" s="69"/>
      <c r="DQW59" s="69" t="s">
        <v>116</v>
      </c>
      <c r="DQX59" s="69"/>
      <c r="DQY59" s="69"/>
      <c r="DQZ59" s="69"/>
      <c r="DRA59" s="69"/>
      <c r="DRB59" s="69"/>
      <c r="DRC59" s="69"/>
      <c r="DRD59" s="69"/>
      <c r="DRE59" s="69"/>
      <c r="DRF59" s="69"/>
      <c r="DRG59" s="69"/>
      <c r="DRH59" s="69"/>
      <c r="DRI59" s="69"/>
      <c r="DRJ59" s="69"/>
      <c r="DRK59" s="69"/>
      <c r="DRL59" s="69"/>
      <c r="DRM59" s="69"/>
      <c r="DRN59" s="69"/>
      <c r="DRO59" s="69"/>
      <c r="DRP59" s="69"/>
      <c r="DRQ59" s="69"/>
      <c r="DRR59" s="69"/>
      <c r="DRS59" s="69"/>
      <c r="DRT59" s="69"/>
      <c r="DRU59" s="69"/>
      <c r="DRV59" s="69"/>
      <c r="DRW59" s="69"/>
      <c r="DRX59" s="69"/>
      <c r="DRY59" s="69"/>
      <c r="DRZ59" s="69"/>
      <c r="DSA59" s="69"/>
      <c r="DSB59" s="69"/>
      <c r="DSC59" s="69" t="s">
        <v>116</v>
      </c>
      <c r="DSD59" s="69"/>
      <c r="DSE59" s="69"/>
      <c r="DSF59" s="69"/>
      <c r="DSG59" s="69"/>
      <c r="DSH59" s="69"/>
      <c r="DSI59" s="69"/>
      <c r="DSJ59" s="69"/>
      <c r="DSK59" s="69"/>
      <c r="DSL59" s="69"/>
      <c r="DSM59" s="69"/>
      <c r="DSN59" s="69"/>
      <c r="DSO59" s="69"/>
      <c r="DSP59" s="69"/>
      <c r="DSQ59" s="69"/>
      <c r="DSR59" s="69"/>
      <c r="DSS59" s="69"/>
      <c r="DST59" s="69"/>
      <c r="DSU59" s="69"/>
      <c r="DSV59" s="69"/>
      <c r="DSW59" s="69"/>
      <c r="DSX59" s="69"/>
      <c r="DSY59" s="69"/>
      <c r="DSZ59" s="69"/>
      <c r="DTA59" s="69"/>
      <c r="DTB59" s="69"/>
      <c r="DTC59" s="69"/>
      <c r="DTD59" s="69"/>
      <c r="DTE59" s="69"/>
      <c r="DTF59" s="69"/>
      <c r="DTG59" s="69"/>
      <c r="DTH59" s="69"/>
      <c r="DTI59" s="69" t="s">
        <v>116</v>
      </c>
      <c r="DTJ59" s="69"/>
      <c r="DTK59" s="69"/>
      <c r="DTL59" s="69"/>
      <c r="DTM59" s="69"/>
      <c r="DTN59" s="69"/>
      <c r="DTO59" s="69"/>
      <c r="DTP59" s="69"/>
      <c r="DTQ59" s="69"/>
      <c r="DTR59" s="69"/>
      <c r="DTS59" s="69"/>
      <c r="DTT59" s="69"/>
      <c r="DTU59" s="69"/>
      <c r="DTV59" s="69"/>
      <c r="DTW59" s="69"/>
      <c r="DTX59" s="69"/>
      <c r="DTY59" s="69"/>
      <c r="DTZ59" s="69"/>
      <c r="DUA59" s="69"/>
      <c r="DUB59" s="69"/>
      <c r="DUC59" s="69"/>
      <c r="DUD59" s="69"/>
      <c r="DUE59" s="69"/>
      <c r="DUF59" s="69"/>
      <c r="DUG59" s="69"/>
      <c r="DUH59" s="69"/>
      <c r="DUI59" s="69"/>
      <c r="DUJ59" s="69"/>
      <c r="DUK59" s="69"/>
      <c r="DUL59" s="69"/>
      <c r="DUM59" s="69"/>
      <c r="DUN59" s="69"/>
      <c r="DUO59" s="69" t="s">
        <v>116</v>
      </c>
      <c r="DUP59" s="69"/>
      <c r="DUQ59" s="69"/>
      <c r="DUR59" s="69"/>
      <c r="DUS59" s="69"/>
      <c r="DUT59" s="69"/>
      <c r="DUU59" s="69"/>
      <c r="DUV59" s="69"/>
      <c r="DUW59" s="69"/>
      <c r="DUX59" s="69"/>
      <c r="DUY59" s="69"/>
      <c r="DUZ59" s="69"/>
      <c r="DVA59" s="69"/>
      <c r="DVB59" s="69"/>
      <c r="DVC59" s="69"/>
      <c r="DVD59" s="69"/>
      <c r="DVE59" s="69"/>
      <c r="DVF59" s="69"/>
      <c r="DVG59" s="69"/>
      <c r="DVH59" s="69"/>
      <c r="DVI59" s="69"/>
      <c r="DVJ59" s="69"/>
      <c r="DVK59" s="69"/>
      <c r="DVL59" s="69"/>
      <c r="DVM59" s="69"/>
      <c r="DVN59" s="69"/>
      <c r="DVO59" s="69"/>
      <c r="DVP59" s="69"/>
      <c r="DVQ59" s="69"/>
      <c r="DVR59" s="69"/>
      <c r="DVS59" s="69"/>
      <c r="DVT59" s="69"/>
      <c r="DVU59" s="69" t="s">
        <v>116</v>
      </c>
      <c r="DVV59" s="69"/>
      <c r="DVW59" s="69"/>
      <c r="DVX59" s="69"/>
      <c r="DVY59" s="69"/>
      <c r="DVZ59" s="69"/>
      <c r="DWA59" s="69"/>
      <c r="DWB59" s="69"/>
      <c r="DWC59" s="69"/>
      <c r="DWD59" s="69"/>
      <c r="DWE59" s="69"/>
      <c r="DWF59" s="69"/>
      <c r="DWG59" s="69"/>
      <c r="DWH59" s="69"/>
      <c r="DWI59" s="69"/>
      <c r="DWJ59" s="69"/>
      <c r="DWK59" s="69"/>
      <c r="DWL59" s="69"/>
      <c r="DWM59" s="69"/>
      <c r="DWN59" s="69"/>
      <c r="DWO59" s="69"/>
      <c r="DWP59" s="69"/>
      <c r="DWQ59" s="69"/>
      <c r="DWR59" s="69"/>
      <c r="DWS59" s="69"/>
      <c r="DWT59" s="69"/>
      <c r="DWU59" s="69"/>
      <c r="DWV59" s="69"/>
      <c r="DWW59" s="69"/>
      <c r="DWX59" s="69"/>
      <c r="DWY59" s="69"/>
      <c r="DWZ59" s="69"/>
      <c r="DXA59" s="69" t="s">
        <v>116</v>
      </c>
      <c r="DXB59" s="69"/>
      <c r="DXC59" s="69"/>
      <c r="DXD59" s="69"/>
      <c r="DXE59" s="69"/>
      <c r="DXF59" s="69"/>
      <c r="DXG59" s="69"/>
      <c r="DXH59" s="69"/>
      <c r="DXI59" s="69"/>
      <c r="DXJ59" s="69"/>
      <c r="DXK59" s="69"/>
      <c r="DXL59" s="69"/>
      <c r="DXM59" s="69"/>
      <c r="DXN59" s="69"/>
      <c r="DXO59" s="69"/>
      <c r="DXP59" s="69"/>
      <c r="DXQ59" s="69"/>
      <c r="DXR59" s="69"/>
      <c r="DXS59" s="69"/>
      <c r="DXT59" s="69"/>
      <c r="DXU59" s="69"/>
      <c r="DXV59" s="69"/>
      <c r="DXW59" s="69"/>
      <c r="DXX59" s="69"/>
      <c r="DXY59" s="69"/>
      <c r="DXZ59" s="69"/>
      <c r="DYA59" s="69"/>
      <c r="DYB59" s="69"/>
      <c r="DYC59" s="69"/>
      <c r="DYD59" s="69"/>
      <c r="DYE59" s="69"/>
      <c r="DYF59" s="69"/>
      <c r="DYG59" s="69" t="s">
        <v>116</v>
      </c>
      <c r="DYH59" s="69"/>
      <c r="DYI59" s="69"/>
      <c r="DYJ59" s="69"/>
      <c r="DYK59" s="69"/>
      <c r="DYL59" s="69"/>
      <c r="DYM59" s="69"/>
      <c r="DYN59" s="69"/>
      <c r="DYO59" s="69"/>
      <c r="DYP59" s="69"/>
      <c r="DYQ59" s="69"/>
      <c r="DYR59" s="69"/>
      <c r="DYS59" s="69"/>
      <c r="DYT59" s="69"/>
      <c r="DYU59" s="69"/>
      <c r="DYV59" s="69"/>
      <c r="DYW59" s="69"/>
      <c r="DYX59" s="69"/>
      <c r="DYY59" s="69"/>
      <c r="DYZ59" s="69"/>
      <c r="DZA59" s="69"/>
      <c r="DZB59" s="69"/>
      <c r="DZC59" s="69"/>
      <c r="DZD59" s="69"/>
      <c r="DZE59" s="69"/>
      <c r="DZF59" s="69"/>
      <c r="DZG59" s="69"/>
      <c r="DZH59" s="69"/>
      <c r="DZI59" s="69"/>
      <c r="DZJ59" s="69"/>
      <c r="DZK59" s="69"/>
      <c r="DZL59" s="69"/>
      <c r="DZM59" s="69" t="s">
        <v>116</v>
      </c>
      <c r="DZN59" s="69"/>
      <c r="DZO59" s="69"/>
      <c r="DZP59" s="69"/>
      <c r="DZQ59" s="69"/>
      <c r="DZR59" s="69"/>
      <c r="DZS59" s="69"/>
      <c r="DZT59" s="69"/>
      <c r="DZU59" s="69"/>
      <c r="DZV59" s="69"/>
      <c r="DZW59" s="69"/>
      <c r="DZX59" s="69"/>
      <c r="DZY59" s="69"/>
      <c r="DZZ59" s="69"/>
      <c r="EAA59" s="69"/>
      <c r="EAB59" s="69"/>
      <c r="EAC59" s="69"/>
      <c r="EAD59" s="69"/>
      <c r="EAE59" s="69"/>
      <c r="EAF59" s="69"/>
      <c r="EAG59" s="69"/>
      <c r="EAH59" s="69"/>
      <c r="EAI59" s="69"/>
      <c r="EAJ59" s="69"/>
      <c r="EAK59" s="69"/>
      <c r="EAL59" s="69"/>
      <c r="EAM59" s="69"/>
      <c r="EAN59" s="69"/>
      <c r="EAO59" s="69"/>
      <c r="EAP59" s="69"/>
      <c r="EAQ59" s="69"/>
      <c r="EAR59" s="69"/>
      <c r="EAS59" s="69" t="s">
        <v>116</v>
      </c>
      <c r="EAT59" s="69"/>
      <c r="EAU59" s="69"/>
      <c r="EAV59" s="69"/>
      <c r="EAW59" s="69"/>
      <c r="EAX59" s="69"/>
      <c r="EAY59" s="69"/>
      <c r="EAZ59" s="69"/>
      <c r="EBA59" s="69"/>
      <c r="EBB59" s="69"/>
      <c r="EBC59" s="69"/>
      <c r="EBD59" s="69"/>
      <c r="EBE59" s="69"/>
      <c r="EBF59" s="69"/>
      <c r="EBG59" s="69"/>
      <c r="EBH59" s="69"/>
      <c r="EBI59" s="69"/>
      <c r="EBJ59" s="69"/>
      <c r="EBK59" s="69"/>
      <c r="EBL59" s="69"/>
      <c r="EBM59" s="69"/>
      <c r="EBN59" s="69"/>
      <c r="EBO59" s="69"/>
      <c r="EBP59" s="69"/>
      <c r="EBQ59" s="69"/>
      <c r="EBR59" s="69"/>
      <c r="EBS59" s="69"/>
      <c r="EBT59" s="69"/>
      <c r="EBU59" s="69"/>
      <c r="EBV59" s="69"/>
      <c r="EBW59" s="69"/>
      <c r="EBX59" s="69"/>
      <c r="EBY59" s="69" t="s">
        <v>116</v>
      </c>
      <c r="EBZ59" s="69"/>
      <c r="ECA59" s="69"/>
      <c r="ECB59" s="69"/>
      <c r="ECC59" s="69"/>
      <c r="ECD59" s="69"/>
      <c r="ECE59" s="69"/>
      <c r="ECF59" s="69"/>
      <c r="ECG59" s="69"/>
      <c r="ECH59" s="69"/>
      <c r="ECI59" s="69"/>
      <c r="ECJ59" s="69"/>
      <c r="ECK59" s="69"/>
      <c r="ECL59" s="69"/>
      <c r="ECM59" s="69"/>
      <c r="ECN59" s="69"/>
      <c r="ECO59" s="69"/>
      <c r="ECP59" s="69"/>
      <c r="ECQ59" s="69"/>
      <c r="ECR59" s="69"/>
      <c r="ECS59" s="69"/>
      <c r="ECT59" s="69"/>
      <c r="ECU59" s="69"/>
      <c r="ECV59" s="69"/>
      <c r="ECW59" s="69"/>
      <c r="ECX59" s="69"/>
      <c r="ECY59" s="69"/>
      <c r="ECZ59" s="69"/>
      <c r="EDA59" s="69"/>
      <c r="EDB59" s="69"/>
      <c r="EDC59" s="69"/>
      <c r="EDD59" s="69"/>
      <c r="EDE59" s="69" t="s">
        <v>116</v>
      </c>
      <c r="EDF59" s="69"/>
      <c r="EDG59" s="69"/>
      <c r="EDH59" s="69"/>
      <c r="EDI59" s="69"/>
      <c r="EDJ59" s="69"/>
      <c r="EDK59" s="69"/>
      <c r="EDL59" s="69"/>
      <c r="EDM59" s="69"/>
      <c r="EDN59" s="69"/>
      <c r="EDO59" s="69"/>
      <c r="EDP59" s="69"/>
      <c r="EDQ59" s="69"/>
      <c r="EDR59" s="69"/>
      <c r="EDS59" s="69"/>
      <c r="EDT59" s="69"/>
      <c r="EDU59" s="69"/>
      <c r="EDV59" s="69"/>
      <c r="EDW59" s="69"/>
      <c r="EDX59" s="69"/>
      <c r="EDY59" s="69"/>
      <c r="EDZ59" s="69"/>
      <c r="EEA59" s="69"/>
      <c r="EEB59" s="69"/>
      <c r="EEC59" s="69"/>
      <c r="EED59" s="69"/>
      <c r="EEE59" s="69"/>
      <c r="EEF59" s="69"/>
      <c r="EEG59" s="69"/>
      <c r="EEH59" s="69"/>
      <c r="EEI59" s="69"/>
      <c r="EEJ59" s="69"/>
      <c r="EEK59" s="69" t="s">
        <v>116</v>
      </c>
      <c r="EEL59" s="69"/>
      <c r="EEM59" s="69"/>
      <c r="EEN59" s="69"/>
      <c r="EEO59" s="69"/>
      <c r="EEP59" s="69"/>
      <c r="EEQ59" s="69"/>
      <c r="EER59" s="69"/>
      <c r="EES59" s="69"/>
      <c r="EET59" s="69"/>
      <c r="EEU59" s="69"/>
      <c r="EEV59" s="69"/>
      <c r="EEW59" s="69"/>
      <c r="EEX59" s="69"/>
      <c r="EEY59" s="69"/>
      <c r="EEZ59" s="69"/>
      <c r="EFA59" s="69"/>
      <c r="EFB59" s="69"/>
      <c r="EFC59" s="69"/>
      <c r="EFD59" s="69"/>
      <c r="EFE59" s="69"/>
      <c r="EFF59" s="69"/>
      <c r="EFG59" s="69"/>
      <c r="EFH59" s="69"/>
      <c r="EFI59" s="69"/>
      <c r="EFJ59" s="69"/>
      <c r="EFK59" s="69"/>
      <c r="EFL59" s="69"/>
      <c r="EFM59" s="69"/>
      <c r="EFN59" s="69"/>
      <c r="EFO59" s="69"/>
      <c r="EFP59" s="69"/>
      <c r="EFQ59" s="69" t="s">
        <v>116</v>
      </c>
      <c r="EFR59" s="69"/>
      <c r="EFS59" s="69"/>
      <c r="EFT59" s="69"/>
      <c r="EFU59" s="69"/>
      <c r="EFV59" s="69"/>
      <c r="EFW59" s="69"/>
      <c r="EFX59" s="69"/>
      <c r="EFY59" s="69"/>
      <c r="EFZ59" s="69"/>
      <c r="EGA59" s="69"/>
      <c r="EGB59" s="69"/>
      <c r="EGC59" s="69"/>
      <c r="EGD59" s="69"/>
      <c r="EGE59" s="69"/>
      <c r="EGF59" s="69"/>
      <c r="EGG59" s="69"/>
      <c r="EGH59" s="69"/>
      <c r="EGI59" s="69"/>
      <c r="EGJ59" s="69"/>
      <c r="EGK59" s="69"/>
      <c r="EGL59" s="69"/>
      <c r="EGM59" s="69"/>
      <c r="EGN59" s="69"/>
      <c r="EGO59" s="69"/>
      <c r="EGP59" s="69"/>
      <c r="EGQ59" s="69"/>
      <c r="EGR59" s="69"/>
      <c r="EGS59" s="69"/>
      <c r="EGT59" s="69"/>
      <c r="EGU59" s="69"/>
      <c r="EGV59" s="69"/>
      <c r="EGW59" s="69" t="s">
        <v>116</v>
      </c>
      <c r="EGX59" s="69"/>
      <c r="EGY59" s="69"/>
      <c r="EGZ59" s="69"/>
      <c r="EHA59" s="69"/>
      <c r="EHB59" s="69"/>
      <c r="EHC59" s="69"/>
      <c r="EHD59" s="69"/>
      <c r="EHE59" s="69"/>
      <c r="EHF59" s="69"/>
      <c r="EHG59" s="69"/>
      <c r="EHH59" s="69"/>
      <c r="EHI59" s="69"/>
      <c r="EHJ59" s="69"/>
      <c r="EHK59" s="69"/>
      <c r="EHL59" s="69"/>
      <c r="EHM59" s="69"/>
      <c r="EHN59" s="69"/>
      <c r="EHO59" s="69"/>
      <c r="EHP59" s="69"/>
      <c r="EHQ59" s="69"/>
      <c r="EHR59" s="69"/>
      <c r="EHS59" s="69"/>
      <c r="EHT59" s="69"/>
      <c r="EHU59" s="69"/>
      <c r="EHV59" s="69"/>
      <c r="EHW59" s="69"/>
      <c r="EHX59" s="69"/>
      <c r="EHY59" s="69"/>
      <c r="EHZ59" s="69"/>
      <c r="EIA59" s="69"/>
      <c r="EIB59" s="69"/>
      <c r="EIC59" s="69" t="s">
        <v>116</v>
      </c>
      <c r="EID59" s="69"/>
      <c r="EIE59" s="69"/>
      <c r="EIF59" s="69"/>
      <c r="EIG59" s="69"/>
      <c r="EIH59" s="69"/>
      <c r="EII59" s="69"/>
      <c r="EIJ59" s="69"/>
      <c r="EIK59" s="69"/>
      <c r="EIL59" s="69"/>
      <c r="EIM59" s="69"/>
      <c r="EIN59" s="69"/>
      <c r="EIO59" s="69"/>
      <c r="EIP59" s="69"/>
      <c r="EIQ59" s="69"/>
      <c r="EIR59" s="69"/>
      <c r="EIS59" s="69"/>
      <c r="EIT59" s="69"/>
      <c r="EIU59" s="69"/>
      <c r="EIV59" s="69"/>
      <c r="EIW59" s="69"/>
      <c r="EIX59" s="69"/>
      <c r="EIY59" s="69"/>
      <c r="EIZ59" s="69"/>
      <c r="EJA59" s="69"/>
      <c r="EJB59" s="69"/>
      <c r="EJC59" s="69"/>
      <c r="EJD59" s="69"/>
      <c r="EJE59" s="69"/>
      <c r="EJF59" s="69"/>
      <c r="EJG59" s="69"/>
      <c r="EJH59" s="69"/>
      <c r="EJI59" s="69" t="s">
        <v>116</v>
      </c>
      <c r="EJJ59" s="69"/>
      <c r="EJK59" s="69"/>
      <c r="EJL59" s="69"/>
      <c r="EJM59" s="69"/>
      <c r="EJN59" s="69"/>
      <c r="EJO59" s="69"/>
      <c r="EJP59" s="69"/>
      <c r="EJQ59" s="69"/>
      <c r="EJR59" s="69"/>
      <c r="EJS59" s="69"/>
      <c r="EJT59" s="69"/>
      <c r="EJU59" s="69"/>
      <c r="EJV59" s="69"/>
      <c r="EJW59" s="69"/>
      <c r="EJX59" s="69"/>
      <c r="EJY59" s="69"/>
      <c r="EJZ59" s="69"/>
      <c r="EKA59" s="69"/>
      <c r="EKB59" s="69"/>
      <c r="EKC59" s="69"/>
      <c r="EKD59" s="69"/>
      <c r="EKE59" s="69"/>
      <c r="EKF59" s="69"/>
      <c r="EKG59" s="69"/>
      <c r="EKH59" s="69"/>
      <c r="EKI59" s="69"/>
      <c r="EKJ59" s="69"/>
      <c r="EKK59" s="69"/>
      <c r="EKL59" s="69"/>
      <c r="EKM59" s="69"/>
      <c r="EKN59" s="69"/>
      <c r="EKO59" s="69" t="s">
        <v>116</v>
      </c>
      <c r="EKP59" s="69"/>
      <c r="EKQ59" s="69"/>
      <c r="EKR59" s="69"/>
      <c r="EKS59" s="69"/>
      <c r="EKT59" s="69"/>
      <c r="EKU59" s="69"/>
      <c r="EKV59" s="69"/>
      <c r="EKW59" s="69"/>
      <c r="EKX59" s="69"/>
      <c r="EKY59" s="69"/>
      <c r="EKZ59" s="69"/>
      <c r="ELA59" s="69"/>
      <c r="ELB59" s="69"/>
      <c r="ELC59" s="69"/>
      <c r="ELD59" s="69"/>
      <c r="ELE59" s="69"/>
      <c r="ELF59" s="69"/>
      <c r="ELG59" s="69"/>
      <c r="ELH59" s="69"/>
      <c r="ELI59" s="69"/>
      <c r="ELJ59" s="69"/>
      <c r="ELK59" s="69"/>
      <c r="ELL59" s="69"/>
      <c r="ELM59" s="69"/>
      <c r="ELN59" s="69"/>
      <c r="ELO59" s="69"/>
      <c r="ELP59" s="69"/>
      <c r="ELQ59" s="69"/>
      <c r="ELR59" s="69"/>
      <c r="ELS59" s="69"/>
      <c r="ELT59" s="69"/>
      <c r="ELU59" s="69" t="s">
        <v>116</v>
      </c>
      <c r="ELV59" s="69"/>
      <c r="ELW59" s="69"/>
      <c r="ELX59" s="69"/>
      <c r="ELY59" s="69"/>
      <c r="ELZ59" s="69"/>
      <c r="EMA59" s="69"/>
      <c r="EMB59" s="69"/>
      <c r="EMC59" s="69"/>
      <c r="EMD59" s="69"/>
      <c r="EME59" s="69"/>
      <c r="EMF59" s="69"/>
      <c r="EMG59" s="69"/>
      <c r="EMH59" s="69"/>
      <c r="EMI59" s="69"/>
      <c r="EMJ59" s="69"/>
      <c r="EMK59" s="69"/>
      <c r="EML59" s="69"/>
      <c r="EMM59" s="69"/>
      <c r="EMN59" s="69"/>
      <c r="EMO59" s="69"/>
      <c r="EMP59" s="69"/>
      <c r="EMQ59" s="69"/>
      <c r="EMR59" s="69"/>
      <c r="EMS59" s="69"/>
      <c r="EMT59" s="69"/>
      <c r="EMU59" s="69"/>
      <c r="EMV59" s="69"/>
      <c r="EMW59" s="69"/>
      <c r="EMX59" s="69"/>
      <c r="EMY59" s="69"/>
      <c r="EMZ59" s="69"/>
      <c r="ENA59" s="69" t="s">
        <v>116</v>
      </c>
      <c r="ENB59" s="69"/>
      <c r="ENC59" s="69"/>
      <c r="END59" s="69"/>
      <c r="ENE59" s="69"/>
      <c r="ENF59" s="69"/>
      <c r="ENG59" s="69"/>
      <c r="ENH59" s="69"/>
      <c r="ENI59" s="69"/>
      <c r="ENJ59" s="69"/>
      <c r="ENK59" s="69"/>
      <c r="ENL59" s="69"/>
      <c r="ENM59" s="69"/>
      <c r="ENN59" s="69"/>
      <c r="ENO59" s="69"/>
      <c r="ENP59" s="69"/>
      <c r="ENQ59" s="69"/>
      <c r="ENR59" s="69"/>
      <c r="ENS59" s="69"/>
      <c r="ENT59" s="69"/>
      <c r="ENU59" s="69"/>
      <c r="ENV59" s="69"/>
      <c r="ENW59" s="69"/>
      <c r="ENX59" s="69"/>
      <c r="ENY59" s="69"/>
      <c r="ENZ59" s="69"/>
      <c r="EOA59" s="69"/>
      <c r="EOB59" s="69"/>
      <c r="EOC59" s="69"/>
      <c r="EOD59" s="69"/>
      <c r="EOE59" s="69"/>
      <c r="EOF59" s="69"/>
      <c r="EOG59" s="69" t="s">
        <v>116</v>
      </c>
      <c r="EOH59" s="69"/>
      <c r="EOI59" s="69"/>
      <c r="EOJ59" s="69"/>
      <c r="EOK59" s="69"/>
      <c r="EOL59" s="69"/>
      <c r="EOM59" s="69"/>
      <c r="EON59" s="69"/>
      <c r="EOO59" s="69"/>
      <c r="EOP59" s="69"/>
      <c r="EOQ59" s="69"/>
      <c r="EOR59" s="69"/>
      <c r="EOS59" s="69"/>
      <c r="EOT59" s="69"/>
      <c r="EOU59" s="69"/>
      <c r="EOV59" s="69"/>
      <c r="EOW59" s="69"/>
      <c r="EOX59" s="69"/>
      <c r="EOY59" s="69"/>
      <c r="EOZ59" s="69"/>
      <c r="EPA59" s="69"/>
      <c r="EPB59" s="69"/>
      <c r="EPC59" s="69"/>
      <c r="EPD59" s="69"/>
      <c r="EPE59" s="69"/>
      <c r="EPF59" s="69"/>
      <c r="EPG59" s="69"/>
      <c r="EPH59" s="69"/>
      <c r="EPI59" s="69"/>
      <c r="EPJ59" s="69"/>
      <c r="EPK59" s="69"/>
      <c r="EPL59" s="69"/>
      <c r="EPM59" s="69" t="s">
        <v>116</v>
      </c>
      <c r="EPN59" s="69"/>
      <c r="EPO59" s="69"/>
      <c r="EPP59" s="69"/>
      <c r="EPQ59" s="69"/>
      <c r="EPR59" s="69"/>
      <c r="EPS59" s="69"/>
      <c r="EPT59" s="69"/>
      <c r="EPU59" s="69"/>
      <c r="EPV59" s="69"/>
      <c r="EPW59" s="69"/>
      <c r="EPX59" s="69"/>
      <c r="EPY59" s="69"/>
      <c r="EPZ59" s="69"/>
      <c r="EQA59" s="69"/>
      <c r="EQB59" s="69"/>
      <c r="EQC59" s="69"/>
      <c r="EQD59" s="69"/>
      <c r="EQE59" s="69"/>
      <c r="EQF59" s="69"/>
      <c r="EQG59" s="69"/>
      <c r="EQH59" s="69"/>
      <c r="EQI59" s="69"/>
      <c r="EQJ59" s="69"/>
      <c r="EQK59" s="69"/>
      <c r="EQL59" s="69"/>
      <c r="EQM59" s="69"/>
      <c r="EQN59" s="69"/>
      <c r="EQO59" s="69"/>
      <c r="EQP59" s="69"/>
      <c r="EQQ59" s="69"/>
      <c r="EQR59" s="69"/>
      <c r="EQS59" s="69" t="s">
        <v>116</v>
      </c>
      <c r="EQT59" s="69"/>
      <c r="EQU59" s="69"/>
      <c r="EQV59" s="69"/>
      <c r="EQW59" s="69"/>
      <c r="EQX59" s="69"/>
      <c r="EQY59" s="69"/>
      <c r="EQZ59" s="69"/>
      <c r="ERA59" s="69"/>
      <c r="ERB59" s="69"/>
      <c r="ERC59" s="69"/>
      <c r="ERD59" s="69"/>
      <c r="ERE59" s="69"/>
      <c r="ERF59" s="69"/>
      <c r="ERG59" s="69"/>
      <c r="ERH59" s="69"/>
      <c r="ERI59" s="69"/>
      <c r="ERJ59" s="69"/>
      <c r="ERK59" s="69"/>
      <c r="ERL59" s="69"/>
      <c r="ERM59" s="69"/>
      <c r="ERN59" s="69"/>
      <c r="ERO59" s="69"/>
      <c r="ERP59" s="69"/>
      <c r="ERQ59" s="69"/>
      <c r="ERR59" s="69"/>
      <c r="ERS59" s="69"/>
      <c r="ERT59" s="69"/>
      <c r="ERU59" s="69"/>
      <c r="ERV59" s="69"/>
      <c r="ERW59" s="69"/>
      <c r="ERX59" s="69"/>
      <c r="ERY59" s="69" t="s">
        <v>116</v>
      </c>
      <c r="ERZ59" s="69"/>
      <c r="ESA59" s="69"/>
      <c r="ESB59" s="69"/>
      <c r="ESC59" s="69"/>
      <c r="ESD59" s="69"/>
      <c r="ESE59" s="69"/>
      <c r="ESF59" s="69"/>
      <c r="ESG59" s="69"/>
      <c r="ESH59" s="69"/>
      <c r="ESI59" s="69"/>
      <c r="ESJ59" s="69"/>
      <c r="ESK59" s="69"/>
      <c r="ESL59" s="69"/>
      <c r="ESM59" s="69"/>
      <c r="ESN59" s="69"/>
      <c r="ESO59" s="69"/>
      <c r="ESP59" s="69"/>
      <c r="ESQ59" s="69"/>
      <c r="ESR59" s="69"/>
      <c r="ESS59" s="69"/>
      <c r="EST59" s="69"/>
      <c r="ESU59" s="69"/>
      <c r="ESV59" s="69"/>
      <c r="ESW59" s="69"/>
      <c r="ESX59" s="69"/>
      <c r="ESY59" s="69"/>
      <c r="ESZ59" s="69"/>
      <c r="ETA59" s="69"/>
      <c r="ETB59" s="69"/>
      <c r="ETC59" s="69"/>
      <c r="ETD59" s="69"/>
      <c r="ETE59" s="69" t="s">
        <v>116</v>
      </c>
      <c r="ETF59" s="69"/>
      <c r="ETG59" s="69"/>
      <c r="ETH59" s="69"/>
      <c r="ETI59" s="69"/>
      <c r="ETJ59" s="69"/>
      <c r="ETK59" s="69"/>
      <c r="ETL59" s="69"/>
      <c r="ETM59" s="69"/>
      <c r="ETN59" s="69"/>
      <c r="ETO59" s="69"/>
      <c r="ETP59" s="69"/>
      <c r="ETQ59" s="69"/>
      <c r="ETR59" s="69"/>
      <c r="ETS59" s="69"/>
      <c r="ETT59" s="69"/>
      <c r="ETU59" s="69"/>
      <c r="ETV59" s="69"/>
      <c r="ETW59" s="69"/>
      <c r="ETX59" s="69"/>
      <c r="ETY59" s="69"/>
      <c r="ETZ59" s="69"/>
      <c r="EUA59" s="69"/>
      <c r="EUB59" s="69"/>
      <c r="EUC59" s="69"/>
      <c r="EUD59" s="69"/>
      <c r="EUE59" s="69"/>
      <c r="EUF59" s="69"/>
      <c r="EUG59" s="69"/>
      <c r="EUH59" s="69"/>
      <c r="EUI59" s="69"/>
      <c r="EUJ59" s="69"/>
      <c r="EUK59" s="69" t="s">
        <v>116</v>
      </c>
      <c r="EUL59" s="69"/>
      <c r="EUM59" s="69"/>
      <c r="EUN59" s="69"/>
      <c r="EUO59" s="69"/>
      <c r="EUP59" s="69"/>
      <c r="EUQ59" s="69"/>
      <c r="EUR59" s="69"/>
      <c r="EUS59" s="69"/>
      <c r="EUT59" s="69"/>
      <c r="EUU59" s="69"/>
      <c r="EUV59" s="69"/>
      <c r="EUW59" s="69"/>
      <c r="EUX59" s="69"/>
      <c r="EUY59" s="69"/>
      <c r="EUZ59" s="69"/>
      <c r="EVA59" s="69"/>
      <c r="EVB59" s="69"/>
      <c r="EVC59" s="69"/>
      <c r="EVD59" s="69"/>
      <c r="EVE59" s="69"/>
      <c r="EVF59" s="69"/>
      <c r="EVG59" s="69"/>
      <c r="EVH59" s="69"/>
      <c r="EVI59" s="69"/>
      <c r="EVJ59" s="69"/>
      <c r="EVK59" s="69"/>
      <c r="EVL59" s="69"/>
      <c r="EVM59" s="69"/>
      <c r="EVN59" s="69"/>
      <c r="EVO59" s="69"/>
      <c r="EVP59" s="69"/>
      <c r="EVQ59" s="69" t="s">
        <v>116</v>
      </c>
      <c r="EVR59" s="69"/>
      <c r="EVS59" s="69"/>
      <c r="EVT59" s="69"/>
      <c r="EVU59" s="69"/>
      <c r="EVV59" s="69"/>
      <c r="EVW59" s="69"/>
      <c r="EVX59" s="69"/>
      <c r="EVY59" s="69"/>
      <c r="EVZ59" s="69"/>
      <c r="EWA59" s="69"/>
      <c r="EWB59" s="69"/>
      <c r="EWC59" s="69"/>
      <c r="EWD59" s="69"/>
      <c r="EWE59" s="69"/>
      <c r="EWF59" s="69"/>
      <c r="EWG59" s="69"/>
      <c r="EWH59" s="69"/>
      <c r="EWI59" s="69"/>
      <c r="EWJ59" s="69"/>
      <c r="EWK59" s="69"/>
      <c r="EWL59" s="69"/>
      <c r="EWM59" s="69"/>
      <c r="EWN59" s="69"/>
      <c r="EWO59" s="69"/>
      <c r="EWP59" s="69"/>
      <c r="EWQ59" s="69"/>
      <c r="EWR59" s="69"/>
      <c r="EWS59" s="69"/>
      <c r="EWT59" s="69"/>
      <c r="EWU59" s="69"/>
      <c r="EWV59" s="69"/>
      <c r="EWW59" s="69" t="s">
        <v>116</v>
      </c>
      <c r="EWX59" s="69"/>
      <c r="EWY59" s="69"/>
      <c r="EWZ59" s="69"/>
      <c r="EXA59" s="69"/>
      <c r="EXB59" s="69"/>
      <c r="EXC59" s="69"/>
      <c r="EXD59" s="69"/>
      <c r="EXE59" s="69"/>
      <c r="EXF59" s="69"/>
      <c r="EXG59" s="69"/>
      <c r="EXH59" s="69"/>
      <c r="EXI59" s="69"/>
      <c r="EXJ59" s="69"/>
      <c r="EXK59" s="69"/>
      <c r="EXL59" s="69"/>
      <c r="EXM59" s="69"/>
      <c r="EXN59" s="69"/>
      <c r="EXO59" s="69"/>
      <c r="EXP59" s="69"/>
      <c r="EXQ59" s="69"/>
      <c r="EXR59" s="69"/>
      <c r="EXS59" s="69"/>
      <c r="EXT59" s="69"/>
      <c r="EXU59" s="69"/>
      <c r="EXV59" s="69"/>
      <c r="EXW59" s="69"/>
      <c r="EXX59" s="69"/>
      <c r="EXY59" s="69"/>
      <c r="EXZ59" s="69"/>
      <c r="EYA59" s="69"/>
      <c r="EYB59" s="69"/>
      <c r="EYC59" s="69" t="s">
        <v>116</v>
      </c>
      <c r="EYD59" s="69"/>
      <c r="EYE59" s="69"/>
      <c r="EYF59" s="69"/>
      <c r="EYG59" s="69"/>
      <c r="EYH59" s="69"/>
      <c r="EYI59" s="69"/>
      <c r="EYJ59" s="69"/>
      <c r="EYK59" s="69"/>
      <c r="EYL59" s="69"/>
      <c r="EYM59" s="69"/>
      <c r="EYN59" s="69"/>
      <c r="EYO59" s="69"/>
      <c r="EYP59" s="69"/>
      <c r="EYQ59" s="69"/>
      <c r="EYR59" s="69"/>
      <c r="EYS59" s="69"/>
      <c r="EYT59" s="69"/>
      <c r="EYU59" s="69"/>
      <c r="EYV59" s="69"/>
      <c r="EYW59" s="69"/>
      <c r="EYX59" s="69"/>
      <c r="EYY59" s="69"/>
      <c r="EYZ59" s="69"/>
      <c r="EZA59" s="69"/>
      <c r="EZB59" s="69"/>
      <c r="EZC59" s="69"/>
      <c r="EZD59" s="69"/>
      <c r="EZE59" s="69"/>
      <c r="EZF59" s="69"/>
      <c r="EZG59" s="69"/>
      <c r="EZH59" s="69"/>
      <c r="EZI59" s="69" t="s">
        <v>116</v>
      </c>
      <c r="EZJ59" s="69"/>
      <c r="EZK59" s="69"/>
      <c r="EZL59" s="69"/>
      <c r="EZM59" s="69"/>
      <c r="EZN59" s="69"/>
      <c r="EZO59" s="69"/>
      <c r="EZP59" s="69"/>
      <c r="EZQ59" s="69"/>
      <c r="EZR59" s="69"/>
      <c r="EZS59" s="69"/>
      <c r="EZT59" s="69"/>
      <c r="EZU59" s="69"/>
      <c r="EZV59" s="69"/>
      <c r="EZW59" s="69"/>
      <c r="EZX59" s="69"/>
      <c r="EZY59" s="69"/>
      <c r="EZZ59" s="69"/>
      <c r="FAA59" s="69"/>
      <c r="FAB59" s="69"/>
      <c r="FAC59" s="69"/>
      <c r="FAD59" s="69"/>
      <c r="FAE59" s="69"/>
      <c r="FAF59" s="69"/>
      <c r="FAG59" s="69"/>
      <c r="FAH59" s="69"/>
      <c r="FAI59" s="69"/>
      <c r="FAJ59" s="69"/>
      <c r="FAK59" s="69"/>
      <c r="FAL59" s="69"/>
      <c r="FAM59" s="69"/>
      <c r="FAN59" s="69"/>
      <c r="FAO59" s="69" t="s">
        <v>116</v>
      </c>
      <c r="FAP59" s="69"/>
      <c r="FAQ59" s="69"/>
      <c r="FAR59" s="69"/>
      <c r="FAS59" s="69"/>
      <c r="FAT59" s="69"/>
      <c r="FAU59" s="69"/>
      <c r="FAV59" s="69"/>
      <c r="FAW59" s="69"/>
      <c r="FAX59" s="69"/>
      <c r="FAY59" s="69"/>
      <c r="FAZ59" s="69"/>
      <c r="FBA59" s="69"/>
      <c r="FBB59" s="69"/>
      <c r="FBC59" s="69"/>
      <c r="FBD59" s="69"/>
      <c r="FBE59" s="69"/>
      <c r="FBF59" s="69"/>
      <c r="FBG59" s="69"/>
      <c r="FBH59" s="69"/>
      <c r="FBI59" s="69"/>
      <c r="FBJ59" s="69"/>
      <c r="FBK59" s="69"/>
      <c r="FBL59" s="69"/>
      <c r="FBM59" s="69"/>
      <c r="FBN59" s="69"/>
      <c r="FBO59" s="69"/>
      <c r="FBP59" s="69"/>
      <c r="FBQ59" s="69"/>
      <c r="FBR59" s="69"/>
      <c r="FBS59" s="69"/>
      <c r="FBT59" s="69"/>
      <c r="FBU59" s="69" t="s">
        <v>116</v>
      </c>
      <c r="FBV59" s="69"/>
      <c r="FBW59" s="69"/>
      <c r="FBX59" s="69"/>
      <c r="FBY59" s="69"/>
      <c r="FBZ59" s="69"/>
      <c r="FCA59" s="69"/>
      <c r="FCB59" s="69"/>
      <c r="FCC59" s="69"/>
      <c r="FCD59" s="69"/>
      <c r="FCE59" s="69"/>
      <c r="FCF59" s="69"/>
      <c r="FCG59" s="69"/>
      <c r="FCH59" s="69"/>
      <c r="FCI59" s="69"/>
      <c r="FCJ59" s="69"/>
      <c r="FCK59" s="69"/>
      <c r="FCL59" s="69"/>
      <c r="FCM59" s="69"/>
      <c r="FCN59" s="69"/>
      <c r="FCO59" s="69"/>
      <c r="FCP59" s="69"/>
      <c r="FCQ59" s="69"/>
      <c r="FCR59" s="69"/>
      <c r="FCS59" s="69"/>
      <c r="FCT59" s="69"/>
      <c r="FCU59" s="69"/>
      <c r="FCV59" s="69"/>
      <c r="FCW59" s="69"/>
      <c r="FCX59" s="69"/>
      <c r="FCY59" s="69"/>
      <c r="FCZ59" s="69"/>
      <c r="FDA59" s="69" t="s">
        <v>116</v>
      </c>
      <c r="FDB59" s="69"/>
      <c r="FDC59" s="69"/>
      <c r="FDD59" s="69"/>
      <c r="FDE59" s="69"/>
      <c r="FDF59" s="69"/>
      <c r="FDG59" s="69"/>
      <c r="FDH59" s="69"/>
      <c r="FDI59" s="69"/>
      <c r="FDJ59" s="69"/>
      <c r="FDK59" s="69"/>
      <c r="FDL59" s="69"/>
      <c r="FDM59" s="69"/>
      <c r="FDN59" s="69"/>
      <c r="FDO59" s="69"/>
      <c r="FDP59" s="69"/>
      <c r="FDQ59" s="69"/>
      <c r="FDR59" s="69"/>
      <c r="FDS59" s="69"/>
      <c r="FDT59" s="69"/>
      <c r="FDU59" s="69"/>
      <c r="FDV59" s="69"/>
      <c r="FDW59" s="69"/>
      <c r="FDX59" s="69"/>
      <c r="FDY59" s="69"/>
      <c r="FDZ59" s="69"/>
      <c r="FEA59" s="69"/>
      <c r="FEB59" s="69"/>
      <c r="FEC59" s="69"/>
      <c r="FED59" s="69"/>
      <c r="FEE59" s="69"/>
      <c r="FEF59" s="69"/>
      <c r="FEG59" s="69" t="s">
        <v>116</v>
      </c>
      <c r="FEH59" s="69"/>
      <c r="FEI59" s="69"/>
      <c r="FEJ59" s="69"/>
      <c r="FEK59" s="69"/>
      <c r="FEL59" s="69"/>
      <c r="FEM59" s="69"/>
      <c r="FEN59" s="69"/>
      <c r="FEO59" s="69"/>
      <c r="FEP59" s="69"/>
      <c r="FEQ59" s="69"/>
      <c r="FER59" s="69"/>
      <c r="FES59" s="69"/>
      <c r="FET59" s="69"/>
      <c r="FEU59" s="69"/>
      <c r="FEV59" s="69"/>
      <c r="FEW59" s="69"/>
      <c r="FEX59" s="69"/>
      <c r="FEY59" s="69"/>
      <c r="FEZ59" s="69"/>
      <c r="FFA59" s="69"/>
      <c r="FFB59" s="69"/>
      <c r="FFC59" s="69"/>
      <c r="FFD59" s="69"/>
      <c r="FFE59" s="69"/>
      <c r="FFF59" s="69"/>
      <c r="FFG59" s="69"/>
      <c r="FFH59" s="69"/>
      <c r="FFI59" s="69"/>
      <c r="FFJ59" s="69"/>
      <c r="FFK59" s="69"/>
      <c r="FFL59" s="69"/>
      <c r="FFM59" s="69" t="s">
        <v>116</v>
      </c>
      <c r="FFN59" s="69"/>
      <c r="FFO59" s="69"/>
      <c r="FFP59" s="69"/>
      <c r="FFQ59" s="69"/>
      <c r="FFR59" s="69"/>
      <c r="FFS59" s="69"/>
      <c r="FFT59" s="69"/>
      <c r="FFU59" s="69"/>
      <c r="FFV59" s="69"/>
      <c r="FFW59" s="69"/>
      <c r="FFX59" s="69"/>
      <c r="FFY59" s="69"/>
      <c r="FFZ59" s="69"/>
      <c r="FGA59" s="69"/>
      <c r="FGB59" s="69"/>
      <c r="FGC59" s="69"/>
      <c r="FGD59" s="69"/>
      <c r="FGE59" s="69"/>
      <c r="FGF59" s="69"/>
      <c r="FGG59" s="69"/>
      <c r="FGH59" s="69"/>
      <c r="FGI59" s="69"/>
      <c r="FGJ59" s="69"/>
      <c r="FGK59" s="69"/>
      <c r="FGL59" s="69"/>
      <c r="FGM59" s="69"/>
      <c r="FGN59" s="69"/>
      <c r="FGO59" s="69"/>
      <c r="FGP59" s="69"/>
      <c r="FGQ59" s="69"/>
      <c r="FGR59" s="69"/>
      <c r="FGS59" s="69" t="s">
        <v>116</v>
      </c>
      <c r="FGT59" s="69"/>
      <c r="FGU59" s="69"/>
      <c r="FGV59" s="69"/>
      <c r="FGW59" s="69"/>
      <c r="FGX59" s="69"/>
      <c r="FGY59" s="69"/>
      <c r="FGZ59" s="69"/>
      <c r="FHA59" s="69"/>
      <c r="FHB59" s="69"/>
      <c r="FHC59" s="69"/>
      <c r="FHD59" s="69"/>
      <c r="FHE59" s="69"/>
      <c r="FHF59" s="69"/>
      <c r="FHG59" s="69"/>
      <c r="FHH59" s="69"/>
      <c r="FHI59" s="69"/>
      <c r="FHJ59" s="69"/>
      <c r="FHK59" s="69"/>
      <c r="FHL59" s="69"/>
      <c r="FHM59" s="69"/>
      <c r="FHN59" s="69"/>
      <c r="FHO59" s="69"/>
      <c r="FHP59" s="69"/>
      <c r="FHQ59" s="69"/>
      <c r="FHR59" s="69"/>
      <c r="FHS59" s="69"/>
      <c r="FHT59" s="69"/>
      <c r="FHU59" s="69"/>
      <c r="FHV59" s="69"/>
      <c r="FHW59" s="69"/>
      <c r="FHX59" s="69"/>
      <c r="FHY59" s="69" t="s">
        <v>116</v>
      </c>
      <c r="FHZ59" s="69"/>
      <c r="FIA59" s="69"/>
      <c r="FIB59" s="69"/>
      <c r="FIC59" s="69"/>
      <c r="FID59" s="69"/>
      <c r="FIE59" s="69"/>
      <c r="FIF59" s="69"/>
      <c r="FIG59" s="69"/>
      <c r="FIH59" s="69"/>
      <c r="FII59" s="69"/>
      <c r="FIJ59" s="69"/>
      <c r="FIK59" s="69"/>
      <c r="FIL59" s="69"/>
      <c r="FIM59" s="69"/>
      <c r="FIN59" s="69"/>
      <c r="FIO59" s="69"/>
      <c r="FIP59" s="69"/>
      <c r="FIQ59" s="69"/>
      <c r="FIR59" s="69"/>
      <c r="FIS59" s="69"/>
      <c r="FIT59" s="69"/>
      <c r="FIU59" s="69"/>
      <c r="FIV59" s="69"/>
      <c r="FIW59" s="69"/>
      <c r="FIX59" s="69"/>
      <c r="FIY59" s="69"/>
      <c r="FIZ59" s="69"/>
      <c r="FJA59" s="69"/>
      <c r="FJB59" s="69"/>
      <c r="FJC59" s="69"/>
      <c r="FJD59" s="69"/>
      <c r="FJE59" s="69" t="s">
        <v>116</v>
      </c>
      <c r="FJF59" s="69"/>
      <c r="FJG59" s="69"/>
      <c r="FJH59" s="69"/>
      <c r="FJI59" s="69"/>
      <c r="FJJ59" s="69"/>
      <c r="FJK59" s="69"/>
      <c r="FJL59" s="69"/>
      <c r="FJM59" s="69"/>
      <c r="FJN59" s="69"/>
      <c r="FJO59" s="69"/>
      <c r="FJP59" s="69"/>
      <c r="FJQ59" s="69"/>
      <c r="FJR59" s="69"/>
      <c r="FJS59" s="69"/>
      <c r="FJT59" s="69"/>
      <c r="FJU59" s="69"/>
      <c r="FJV59" s="69"/>
      <c r="FJW59" s="69"/>
      <c r="FJX59" s="69"/>
      <c r="FJY59" s="69"/>
      <c r="FJZ59" s="69"/>
      <c r="FKA59" s="69"/>
      <c r="FKB59" s="69"/>
      <c r="FKC59" s="69"/>
      <c r="FKD59" s="69"/>
      <c r="FKE59" s="69"/>
      <c r="FKF59" s="69"/>
      <c r="FKG59" s="69"/>
      <c r="FKH59" s="69"/>
      <c r="FKI59" s="69"/>
      <c r="FKJ59" s="69"/>
      <c r="FKK59" s="69" t="s">
        <v>116</v>
      </c>
      <c r="FKL59" s="69"/>
      <c r="FKM59" s="69"/>
      <c r="FKN59" s="69"/>
      <c r="FKO59" s="69"/>
      <c r="FKP59" s="69"/>
      <c r="FKQ59" s="69"/>
      <c r="FKR59" s="69"/>
      <c r="FKS59" s="69"/>
      <c r="FKT59" s="69"/>
      <c r="FKU59" s="69"/>
      <c r="FKV59" s="69"/>
      <c r="FKW59" s="69"/>
      <c r="FKX59" s="69"/>
      <c r="FKY59" s="69"/>
      <c r="FKZ59" s="69"/>
      <c r="FLA59" s="69"/>
      <c r="FLB59" s="69"/>
      <c r="FLC59" s="69"/>
      <c r="FLD59" s="69"/>
      <c r="FLE59" s="69"/>
      <c r="FLF59" s="69"/>
      <c r="FLG59" s="69"/>
      <c r="FLH59" s="69"/>
      <c r="FLI59" s="69"/>
      <c r="FLJ59" s="69"/>
      <c r="FLK59" s="69"/>
      <c r="FLL59" s="69"/>
      <c r="FLM59" s="69"/>
      <c r="FLN59" s="69"/>
      <c r="FLO59" s="69"/>
      <c r="FLP59" s="69"/>
      <c r="FLQ59" s="69" t="s">
        <v>116</v>
      </c>
      <c r="FLR59" s="69"/>
      <c r="FLS59" s="69"/>
      <c r="FLT59" s="69"/>
      <c r="FLU59" s="69"/>
      <c r="FLV59" s="69"/>
      <c r="FLW59" s="69"/>
      <c r="FLX59" s="69"/>
      <c r="FLY59" s="69"/>
      <c r="FLZ59" s="69"/>
      <c r="FMA59" s="69"/>
      <c r="FMB59" s="69"/>
      <c r="FMC59" s="69"/>
      <c r="FMD59" s="69"/>
      <c r="FME59" s="69"/>
      <c r="FMF59" s="69"/>
      <c r="FMG59" s="69"/>
      <c r="FMH59" s="69"/>
      <c r="FMI59" s="69"/>
      <c r="FMJ59" s="69"/>
      <c r="FMK59" s="69"/>
      <c r="FML59" s="69"/>
      <c r="FMM59" s="69"/>
      <c r="FMN59" s="69"/>
      <c r="FMO59" s="69"/>
      <c r="FMP59" s="69"/>
      <c r="FMQ59" s="69"/>
      <c r="FMR59" s="69"/>
      <c r="FMS59" s="69"/>
      <c r="FMT59" s="69"/>
      <c r="FMU59" s="69"/>
      <c r="FMV59" s="69"/>
      <c r="FMW59" s="69" t="s">
        <v>116</v>
      </c>
      <c r="FMX59" s="69"/>
      <c r="FMY59" s="69"/>
      <c r="FMZ59" s="69"/>
      <c r="FNA59" s="69"/>
      <c r="FNB59" s="69"/>
      <c r="FNC59" s="69"/>
      <c r="FND59" s="69"/>
      <c r="FNE59" s="69"/>
      <c r="FNF59" s="69"/>
      <c r="FNG59" s="69"/>
      <c r="FNH59" s="69"/>
      <c r="FNI59" s="69"/>
      <c r="FNJ59" s="69"/>
      <c r="FNK59" s="69"/>
      <c r="FNL59" s="69"/>
      <c r="FNM59" s="69"/>
      <c r="FNN59" s="69"/>
      <c r="FNO59" s="69"/>
      <c r="FNP59" s="69"/>
      <c r="FNQ59" s="69"/>
      <c r="FNR59" s="69"/>
      <c r="FNS59" s="69"/>
      <c r="FNT59" s="69"/>
      <c r="FNU59" s="69"/>
      <c r="FNV59" s="69"/>
      <c r="FNW59" s="69"/>
      <c r="FNX59" s="69"/>
      <c r="FNY59" s="69"/>
      <c r="FNZ59" s="69"/>
      <c r="FOA59" s="69"/>
      <c r="FOB59" s="69"/>
      <c r="FOC59" s="69" t="s">
        <v>116</v>
      </c>
      <c r="FOD59" s="69"/>
      <c r="FOE59" s="69"/>
      <c r="FOF59" s="69"/>
      <c r="FOG59" s="69"/>
      <c r="FOH59" s="69"/>
      <c r="FOI59" s="69"/>
      <c r="FOJ59" s="69"/>
      <c r="FOK59" s="69"/>
      <c r="FOL59" s="69"/>
      <c r="FOM59" s="69"/>
      <c r="FON59" s="69"/>
      <c r="FOO59" s="69"/>
      <c r="FOP59" s="69"/>
      <c r="FOQ59" s="69"/>
      <c r="FOR59" s="69"/>
      <c r="FOS59" s="69"/>
      <c r="FOT59" s="69"/>
      <c r="FOU59" s="69"/>
      <c r="FOV59" s="69"/>
      <c r="FOW59" s="69"/>
      <c r="FOX59" s="69"/>
      <c r="FOY59" s="69"/>
      <c r="FOZ59" s="69"/>
      <c r="FPA59" s="69"/>
      <c r="FPB59" s="69"/>
      <c r="FPC59" s="69"/>
      <c r="FPD59" s="69"/>
      <c r="FPE59" s="69"/>
      <c r="FPF59" s="69"/>
      <c r="FPG59" s="69"/>
      <c r="FPH59" s="69"/>
      <c r="FPI59" s="69" t="s">
        <v>116</v>
      </c>
      <c r="FPJ59" s="69"/>
      <c r="FPK59" s="69"/>
      <c r="FPL59" s="69"/>
      <c r="FPM59" s="69"/>
      <c r="FPN59" s="69"/>
      <c r="FPO59" s="69"/>
      <c r="FPP59" s="69"/>
      <c r="FPQ59" s="69"/>
      <c r="FPR59" s="69"/>
      <c r="FPS59" s="69"/>
      <c r="FPT59" s="69"/>
      <c r="FPU59" s="69"/>
      <c r="FPV59" s="69"/>
      <c r="FPW59" s="69"/>
      <c r="FPX59" s="69"/>
      <c r="FPY59" s="69"/>
      <c r="FPZ59" s="69"/>
      <c r="FQA59" s="69"/>
      <c r="FQB59" s="69"/>
      <c r="FQC59" s="69"/>
      <c r="FQD59" s="69"/>
      <c r="FQE59" s="69"/>
      <c r="FQF59" s="69"/>
      <c r="FQG59" s="69"/>
      <c r="FQH59" s="69"/>
      <c r="FQI59" s="69"/>
      <c r="FQJ59" s="69"/>
      <c r="FQK59" s="69"/>
      <c r="FQL59" s="69"/>
      <c r="FQM59" s="69"/>
      <c r="FQN59" s="69"/>
      <c r="FQO59" s="69" t="s">
        <v>116</v>
      </c>
      <c r="FQP59" s="69"/>
      <c r="FQQ59" s="69"/>
      <c r="FQR59" s="69"/>
      <c r="FQS59" s="69"/>
      <c r="FQT59" s="69"/>
      <c r="FQU59" s="69"/>
      <c r="FQV59" s="69"/>
      <c r="FQW59" s="69"/>
      <c r="FQX59" s="69"/>
      <c r="FQY59" s="69"/>
      <c r="FQZ59" s="69"/>
      <c r="FRA59" s="69"/>
      <c r="FRB59" s="69"/>
      <c r="FRC59" s="69"/>
      <c r="FRD59" s="69"/>
      <c r="FRE59" s="69"/>
      <c r="FRF59" s="69"/>
      <c r="FRG59" s="69"/>
      <c r="FRH59" s="69"/>
      <c r="FRI59" s="69"/>
      <c r="FRJ59" s="69"/>
      <c r="FRK59" s="69"/>
      <c r="FRL59" s="69"/>
      <c r="FRM59" s="69"/>
      <c r="FRN59" s="69"/>
      <c r="FRO59" s="69"/>
      <c r="FRP59" s="69"/>
      <c r="FRQ59" s="69"/>
      <c r="FRR59" s="69"/>
      <c r="FRS59" s="69"/>
      <c r="FRT59" s="69"/>
      <c r="FRU59" s="69" t="s">
        <v>116</v>
      </c>
      <c r="FRV59" s="69"/>
      <c r="FRW59" s="69"/>
      <c r="FRX59" s="69"/>
      <c r="FRY59" s="69"/>
      <c r="FRZ59" s="69"/>
      <c r="FSA59" s="69"/>
      <c r="FSB59" s="69"/>
      <c r="FSC59" s="69"/>
      <c r="FSD59" s="69"/>
      <c r="FSE59" s="69"/>
      <c r="FSF59" s="69"/>
      <c r="FSG59" s="69"/>
      <c r="FSH59" s="69"/>
      <c r="FSI59" s="69"/>
      <c r="FSJ59" s="69"/>
      <c r="FSK59" s="69"/>
      <c r="FSL59" s="69"/>
      <c r="FSM59" s="69"/>
      <c r="FSN59" s="69"/>
      <c r="FSO59" s="69"/>
      <c r="FSP59" s="69"/>
      <c r="FSQ59" s="69"/>
      <c r="FSR59" s="69"/>
      <c r="FSS59" s="69"/>
      <c r="FST59" s="69"/>
      <c r="FSU59" s="69"/>
      <c r="FSV59" s="69"/>
      <c r="FSW59" s="69"/>
      <c r="FSX59" s="69"/>
      <c r="FSY59" s="69"/>
      <c r="FSZ59" s="69"/>
      <c r="FTA59" s="69" t="s">
        <v>116</v>
      </c>
      <c r="FTB59" s="69"/>
      <c r="FTC59" s="69"/>
      <c r="FTD59" s="69"/>
      <c r="FTE59" s="69"/>
      <c r="FTF59" s="69"/>
      <c r="FTG59" s="69"/>
      <c r="FTH59" s="69"/>
      <c r="FTI59" s="69"/>
      <c r="FTJ59" s="69"/>
      <c r="FTK59" s="69"/>
      <c r="FTL59" s="69"/>
      <c r="FTM59" s="69"/>
      <c r="FTN59" s="69"/>
      <c r="FTO59" s="69"/>
      <c r="FTP59" s="69"/>
      <c r="FTQ59" s="69"/>
      <c r="FTR59" s="69"/>
      <c r="FTS59" s="69"/>
      <c r="FTT59" s="69"/>
      <c r="FTU59" s="69"/>
      <c r="FTV59" s="69"/>
      <c r="FTW59" s="69"/>
      <c r="FTX59" s="69"/>
      <c r="FTY59" s="69"/>
      <c r="FTZ59" s="69"/>
      <c r="FUA59" s="69"/>
      <c r="FUB59" s="69"/>
      <c r="FUC59" s="69"/>
      <c r="FUD59" s="69"/>
      <c r="FUE59" s="69"/>
      <c r="FUF59" s="69"/>
      <c r="FUG59" s="69" t="s">
        <v>116</v>
      </c>
      <c r="FUH59" s="69"/>
      <c r="FUI59" s="69"/>
      <c r="FUJ59" s="69"/>
      <c r="FUK59" s="69"/>
      <c r="FUL59" s="69"/>
      <c r="FUM59" s="69"/>
      <c r="FUN59" s="69"/>
      <c r="FUO59" s="69"/>
      <c r="FUP59" s="69"/>
      <c r="FUQ59" s="69"/>
      <c r="FUR59" s="69"/>
      <c r="FUS59" s="69"/>
      <c r="FUT59" s="69"/>
      <c r="FUU59" s="69"/>
      <c r="FUV59" s="69"/>
      <c r="FUW59" s="69"/>
      <c r="FUX59" s="69"/>
      <c r="FUY59" s="69"/>
      <c r="FUZ59" s="69"/>
      <c r="FVA59" s="69"/>
      <c r="FVB59" s="69"/>
      <c r="FVC59" s="69"/>
      <c r="FVD59" s="69"/>
      <c r="FVE59" s="69"/>
      <c r="FVF59" s="69"/>
      <c r="FVG59" s="69"/>
      <c r="FVH59" s="69"/>
      <c r="FVI59" s="69"/>
      <c r="FVJ59" s="69"/>
      <c r="FVK59" s="69"/>
      <c r="FVL59" s="69"/>
      <c r="FVM59" s="69" t="s">
        <v>116</v>
      </c>
      <c r="FVN59" s="69"/>
      <c r="FVO59" s="69"/>
      <c r="FVP59" s="69"/>
      <c r="FVQ59" s="69"/>
      <c r="FVR59" s="69"/>
      <c r="FVS59" s="69"/>
      <c r="FVT59" s="69"/>
      <c r="FVU59" s="69"/>
      <c r="FVV59" s="69"/>
      <c r="FVW59" s="69"/>
      <c r="FVX59" s="69"/>
      <c r="FVY59" s="69"/>
      <c r="FVZ59" s="69"/>
      <c r="FWA59" s="69"/>
      <c r="FWB59" s="69"/>
      <c r="FWC59" s="69"/>
      <c r="FWD59" s="69"/>
      <c r="FWE59" s="69"/>
      <c r="FWF59" s="69"/>
      <c r="FWG59" s="69"/>
      <c r="FWH59" s="69"/>
      <c r="FWI59" s="69"/>
      <c r="FWJ59" s="69"/>
      <c r="FWK59" s="69"/>
      <c r="FWL59" s="69"/>
      <c r="FWM59" s="69"/>
      <c r="FWN59" s="69"/>
      <c r="FWO59" s="69"/>
      <c r="FWP59" s="69"/>
      <c r="FWQ59" s="69"/>
      <c r="FWR59" s="69"/>
      <c r="FWS59" s="69" t="s">
        <v>116</v>
      </c>
      <c r="FWT59" s="69"/>
      <c r="FWU59" s="69"/>
      <c r="FWV59" s="69"/>
      <c r="FWW59" s="69"/>
      <c r="FWX59" s="69"/>
      <c r="FWY59" s="69"/>
      <c r="FWZ59" s="69"/>
      <c r="FXA59" s="69"/>
      <c r="FXB59" s="69"/>
      <c r="FXC59" s="69"/>
      <c r="FXD59" s="69"/>
      <c r="FXE59" s="69"/>
      <c r="FXF59" s="69"/>
      <c r="FXG59" s="69"/>
      <c r="FXH59" s="69"/>
      <c r="FXI59" s="69"/>
      <c r="FXJ59" s="69"/>
      <c r="FXK59" s="69"/>
      <c r="FXL59" s="69"/>
      <c r="FXM59" s="69"/>
      <c r="FXN59" s="69"/>
      <c r="FXO59" s="69"/>
      <c r="FXP59" s="69"/>
      <c r="FXQ59" s="69"/>
      <c r="FXR59" s="69"/>
      <c r="FXS59" s="69"/>
      <c r="FXT59" s="69"/>
      <c r="FXU59" s="69"/>
      <c r="FXV59" s="69"/>
      <c r="FXW59" s="69"/>
      <c r="FXX59" s="69"/>
      <c r="FXY59" s="69" t="s">
        <v>116</v>
      </c>
      <c r="FXZ59" s="69"/>
      <c r="FYA59" s="69"/>
      <c r="FYB59" s="69"/>
      <c r="FYC59" s="69"/>
      <c r="FYD59" s="69"/>
      <c r="FYE59" s="69"/>
      <c r="FYF59" s="69"/>
      <c r="FYG59" s="69"/>
      <c r="FYH59" s="69"/>
      <c r="FYI59" s="69"/>
      <c r="FYJ59" s="69"/>
      <c r="FYK59" s="69"/>
      <c r="FYL59" s="69"/>
      <c r="FYM59" s="69"/>
      <c r="FYN59" s="69"/>
      <c r="FYO59" s="69"/>
      <c r="FYP59" s="69"/>
      <c r="FYQ59" s="69"/>
      <c r="FYR59" s="69"/>
      <c r="FYS59" s="69"/>
      <c r="FYT59" s="69"/>
      <c r="FYU59" s="69"/>
      <c r="FYV59" s="69"/>
      <c r="FYW59" s="69"/>
      <c r="FYX59" s="69"/>
      <c r="FYY59" s="69"/>
      <c r="FYZ59" s="69"/>
      <c r="FZA59" s="69"/>
      <c r="FZB59" s="69"/>
      <c r="FZC59" s="69"/>
      <c r="FZD59" s="69"/>
      <c r="FZE59" s="69" t="s">
        <v>116</v>
      </c>
      <c r="FZF59" s="69"/>
      <c r="FZG59" s="69"/>
      <c r="FZH59" s="69"/>
      <c r="FZI59" s="69"/>
      <c r="FZJ59" s="69"/>
      <c r="FZK59" s="69"/>
      <c r="FZL59" s="69"/>
      <c r="FZM59" s="69"/>
      <c r="FZN59" s="69"/>
      <c r="FZO59" s="69"/>
      <c r="FZP59" s="69"/>
      <c r="FZQ59" s="69"/>
      <c r="FZR59" s="69"/>
      <c r="FZS59" s="69"/>
      <c r="FZT59" s="69"/>
      <c r="FZU59" s="69"/>
      <c r="FZV59" s="69"/>
      <c r="FZW59" s="69"/>
      <c r="FZX59" s="69"/>
      <c r="FZY59" s="69"/>
      <c r="FZZ59" s="69"/>
      <c r="GAA59" s="69"/>
      <c r="GAB59" s="69"/>
      <c r="GAC59" s="69"/>
      <c r="GAD59" s="69"/>
      <c r="GAE59" s="69"/>
      <c r="GAF59" s="69"/>
      <c r="GAG59" s="69"/>
      <c r="GAH59" s="69"/>
      <c r="GAI59" s="69"/>
      <c r="GAJ59" s="69"/>
      <c r="GAK59" s="69" t="s">
        <v>116</v>
      </c>
      <c r="GAL59" s="69"/>
      <c r="GAM59" s="69"/>
      <c r="GAN59" s="69"/>
      <c r="GAO59" s="69"/>
      <c r="GAP59" s="69"/>
      <c r="GAQ59" s="69"/>
      <c r="GAR59" s="69"/>
      <c r="GAS59" s="69"/>
      <c r="GAT59" s="69"/>
      <c r="GAU59" s="69"/>
      <c r="GAV59" s="69"/>
      <c r="GAW59" s="69"/>
      <c r="GAX59" s="69"/>
      <c r="GAY59" s="69"/>
      <c r="GAZ59" s="69"/>
      <c r="GBA59" s="69"/>
      <c r="GBB59" s="69"/>
      <c r="GBC59" s="69"/>
      <c r="GBD59" s="69"/>
      <c r="GBE59" s="69"/>
      <c r="GBF59" s="69"/>
      <c r="GBG59" s="69"/>
      <c r="GBH59" s="69"/>
      <c r="GBI59" s="69"/>
      <c r="GBJ59" s="69"/>
      <c r="GBK59" s="69"/>
      <c r="GBL59" s="69"/>
      <c r="GBM59" s="69"/>
      <c r="GBN59" s="69"/>
      <c r="GBO59" s="69"/>
      <c r="GBP59" s="69"/>
      <c r="GBQ59" s="69" t="s">
        <v>116</v>
      </c>
      <c r="GBR59" s="69"/>
      <c r="GBS59" s="69"/>
      <c r="GBT59" s="69"/>
      <c r="GBU59" s="69"/>
      <c r="GBV59" s="69"/>
      <c r="GBW59" s="69"/>
      <c r="GBX59" s="69"/>
      <c r="GBY59" s="69"/>
      <c r="GBZ59" s="69"/>
      <c r="GCA59" s="69"/>
      <c r="GCB59" s="69"/>
      <c r="GCC59" s="69"/>
      <c r="GCD59" s="69"/>
      <c r="GCE59" s="69"/>
      <c r="GCF59" s="69"/>
      <c r="GCG59" s="69"/>
      <c r="GCH59" s="69"/>
      <c r="GCI59" s="69"/>
      <c r="GCJ59" s="69"/>
      <c r="GCK59" s="69"/>
      <c r="GCL59" s="69"/>
      <c r="GCM59" s="69"/>
      <c r="GCN59" s="69"/>
      <c r="GCO59" s="69"/>
      <c r="GCP59" s="69"/>
      <c r="GCQ59" s="69"/>
      <c r="GCR59" s="69"/>
      <c r="GCS59" s="69"/>
      <c r="GCT59" s="69"/>
      <c r="GCU59" s="69"/>
      <c r="GCV59" s="69"/>
      <c r="GCW59" s="69" t="s">
        <v>116</v>
      </c>
      <c r="GCX59" s="69"/>
      <c r="GCY59" s="69"/>
      <c r="GCZ59" s="69"/>
      <c r="GDA59" s="69"/>
      <c r="GDB59" s="69"/>
      <c r="GDC59" s="69"/>
      <c r="GDD59" s="69"/>
      <c r="GDE59" s="69"/>
      <c r="GDF59" s="69"/>
      <c r="GDG59" s="69"/>
      <c r="GDH59" s="69"/>
      <c r="GDI59" s="69"/>
      <c r="GDJ59" s="69"/>
      <c r="GDK59" s="69"/>
      <c r="GDL59" s="69"/>
      <c r="GDM59" s="69"/>
      <c r="GDN59" s="69"/>
      <c r="GDO59" s="69"/>
      <c r="GDP59" s="69"/>
      <c r="GDQ59" s="69"/>
      <c r="GDR59" s="69"/>
      <c r="GDS59" s="69"/>
      <c r="GDT59" s="69"/>
      <c r="GDU59" s="69"/>
      <c r="GDV59" s="69"/>
      <c r="GDW59" s="69"/>
      <c r="GDX59" s="69"/>
      <c r="GDY59" s="69"/>
      <c r="GDZ59" s="69"/>
      <c r="GEA59" s="69"/>
      <c r="GEB59" s="69"/>
      <c r="GEC59" s="69" t="s">
        <v>116</v>
      </c>
      <c r="GED59" s="69"/>
      <c r="GEE59" s="69"/>
      <c r="GEF59" s="69"/>
      <c r="GEG59" s="69"/>
      <c r="GEH59" s="69"/>
      <c r="GEI59" s="69"/>
      <c r="GEJ59" s="69"/>
      <c r="GEK59" s="69"/>
      <c r="GEL59" s="69"/>
      <c r="GEM59" s="69"/>
      <c r="GEN59" s="69"/>
      <c r="GEO59" s="69"/>
      <c r="GEP59" s="69"/>
      <c r="GEQ59" s="69"/>
      <c r="GER59" s="69"/>
      <c r="GES59" s="69"/>
      <c r="GET59" s="69"/>
      <c r="GEU59" s="69"/>
      <c r="GEV59" s="69"/>
      <c r="GEW59" s="69"/>
      <c r="GEX59" s="69"/>
      <c r="GEY59" s="69"/>
      <c r="GEZ59" s="69"/>
      <c r="GFA59" s="69"/>
      <c r="GFB59" s="69"/>
      <c r="GFC59" s="69"/>
      <c r="GFD59" s="69"/>
      <c r="GFE59" s="69"/>
      <c r="GFF59" s="69"/>
      <c r="GFG59" s="69"/>
      <c r="GFH59" s="69"/>
      <c r="GFI59" s="69" t="s">
        <v>116</v>
      </c>
      <c r="GFJ59" s="69"/>
      <c r="GFK59" s="69"/>
      <c r="GFL59" s="69"/>
      <c r="GFM59" s="69"/>
      <c r="GFN59" s="69"/>
      <c r="GFO59" s="69"/>
      <c r="GFP59" s="69"/>
      <c r="GFQ59" s="69"/>
      <c r="GFR59" s="69"/>
      <c r="GFS59" s="69"/>
      <c r="GFT59" s="69"/>
      <c r="GFU59" s="69"/>
      <c r="GFV59" s="69"/>
      <c r="GFW59" s="69"/>
      <c r="GFX59" s="69"/>
      <c r="GFY59" s="69"/>
      <c r="GFZ59" s="69"/>
      <c r="GGA59" s="69"/>
      <c r="GGB59" s="69"/>
      <c r="GGC59" s="69"/>
      <c r="GGD59" s="69"/>
      <c r="GGE59" s="69"/>
      <c r="GGF59" s="69"/>
      <c r="GGG59" s="69"/>
      <c r="GGH59" s="69"/>
      <c r="GGI59" s="69"/>
      <c r="GGJ59" s="69"/>
      <c r="GGK59" s="69"/>
      <c r="GGL59" s="69"/>
      <c r="GGM59" s="69"/>
      <c r="GGN59" s="69"/>
      <c r="GGO59" s="69" t="s">
        <v>116</v>
      </c>
      <c r="GGP59" s="69"/>
      <c r="GGQ59" s="69"/>
      <c r="GGR59" s="69"/>
      <c r="GGS59" s="69"/>
      <c r="GGT59" s="69"/>
      <c r="GGU59" s="69"/>
      <c r="GGV59" s="69"/>
      <c r="GGW59" s="69"/>
      <c r="GGX59" s="69"/>
      <c r="GGY59" s="69"/>
      <c r="GGZ59" s="69"/>
      <c r="GHA59" s="69"/>
      <c r="GHB59" s="69"/>
      <c r="GHC59" s="69"/>
      <c r="GHD59" s="69"/>
      <c r="GHE59" s="69"/>
      <c r="GHF59" s="69"/>
      <c r="GHG59" s="69"/>
      <c r="GHH59" s="69"/>
      <c r="GHI59" s="69"/>
      <c r="GHJ59" s="69"/>
      <c r="GHK59" s="69"/>
      <c r="GHL59" s="69"/>
      <c r="GHM59" s="69"/>
      <c r="GHN59" s="69"/>
      <c r="GHO59" s="69"/>
      <c r="GHP59" s="69"/>
      <c r="GHQ59" s="69"/>
      <c r="GHR59" s="69"/>
      <c r="GHS59" s="69"/>
      <c r="GHT59" s="69"/>
      <c r="GHU59" s="69" t="s">
        <v>116</v>
      </c>
      <c r="GHV59" s="69"/>
      <c r="GHW59" s="69"/>
      <c r="GHX59" s="69"/>
      <c r="GHY59" s="69"/>
      <c r="GHZ59" s="69"/>
      <c r="GIA59" s="69"/>
      <c r="GIB59" s="69"/>
      <c r="GIC59" s="69"/>
      <c r="GID59" s="69"/>
      <c r="GIE59" s="69"/>
      <c r="GIF59" s="69"/>
      <c r="GIG59" s="69"/>
      <c r="GIH59" s="69"/>
      <c r="GII59" s="69"/>
      <c r="GIJ59" s="69"/>
      <c r="GIK59" s="69"/>
      <c r="GIL59" s="69"/>
      <c r="GIM59" s="69"/>
      <c r="GIN59" s="69"/>
      <c r="GIO59" s="69"/>
      <c r="GIP59" s="69"/>
      <c r="GIQ59" s="69"/>
      <c r="GIR59" s="69"/>
      <c r="GIS59" s="69"/>
      <c r="GIT59" s="69"/>
      <c r="GIU59" s="69"/>
      <c r="GIV59" s="69"/>
      <c r="GIW59" s="69"/>
      <c r="GIX59" s="69"/>
      <c r="GIY59" s="69"/>
      <c r="GIZ59" s="69"/>
      <c r="GJA59" s="69" t="s">
        <v>116</v>
      </c>
      <c r="GJB59" s="69"/>
      <c r="GJC59" s="69"/>
      <c r="GJD59" s="69"/>
      <c r="GJE59" s="69"/>
      <c r="GJF59" s="69"/>
      <c r="GJG59" s="69"/>
      <c r="GJH59" s="69"/>
      <c r="GJI59" s="69"/>
      <c r="GJJ59" s="69"/>
      <c r="GJK59" s="69"/>
      <c r="GJL59" s="69"/>
      <c r="GJM59" s="69"/>
      <c r="GJN59" s="69"/>
      <c r="GJO59" s="69"/>
      <c r="GJP59" s="69"/>
      <c r="GJQ59" s="69"/>
      <c r="GJR59" s="69"/>
      <c r="GJS59" s="69"/>
      <c r="GJT59" s="69"/>
      <c r="GJU59" s="69"/>
      <c r="GJV59" s="69"/>
      <c r="GJW59" s="69"/>
      <c r="GJX59" s="69"/>
      <c r="GJY59" s="69"/>
      <c r="GJZ59" s="69"/>
      <c r="GKA59" s="69"/>
      <c r="GKB59" s="69"/>
      <c r="GKC59" s="69"/>
      <c r="GKD59" s="69"/>
      <c r="GKE59" s="69"/>
      <c r="GKF59" s="69"/>
      <c r="GKG59" s="69" t="s">
        <v>116</v>
      </c>
      <c r="GKH59" s="69"/>
      <c r="GKI59" s="69"/>
      <c r="GKJ59" s="69"/>
      <c r="GKK59" s="69"/>
      <c r="GKL59" s="69"/>
      <c r="GKM59" s="69"/>
      <c r="GKN59" s="69"/>
      <c r="GKO59" s="69"/>
      <c r="GKP59" s="69"/>
      <c r="GKQ59" s="69"/>
      <c r="GKR59" s="69"/>
      <c r="GKS59" s="69"/>
      <c r="GKT59" s="69"/>
      <c r="GKU59" s="69"/>
      <c r="GKV59" s="69"/>
      <c r="GKW59" s="69"/>
      <c r="GKX59" s="69"/>
      <c r="GKY59" s="69"/>
      <c r="GKZ59" s="69"/>
      <c r="GLA59" s="69"/>
      <c r="GLB59" s="69"/>
      <c r="GLC59" s="69"/>
      <c r="GLD59" s="69"/>
      <c r="GLE59" s="69"/>
      <c r="GLF59" s="69"/>
      <c r="GLG59" s="69"/>
      <c r="GLH59" s="69"/>
      <c r="GLI59" s="69"/>
      <c r="GLJ59" s="69"/>
      <c r="GLK59" s="69"/>
      <c r="GLL59" s="69"/>
      <c r="GLM59" s="69" t="s">
        <v>116</v>
      </c>
      <c r="GLN59" s="69"/>
      <c r="GLO59" s="69"/>
      <c r="GLP59" s="69"/>
      <c r="GLQ59" s="69"/>
      <c r="GLR59" s="69"/>
      <c r="GLS59" s="69"/>
      <c r="GLT59" s="69"/>
      <c r="GLU59" s="69"/>
      <c r="GLV59" s="69"/>
      <c r="GLW59" s="69"/>
      <c r="GLX59" s="69"/>
      <c r="GLY59" s="69"/>
      <c r="GLZ59" s="69"/>
      <c r="GMA59" s="69"/>
      <c r="GMB59" s="69"/>
      <c r="GMC59" s="69"/>
      <c r="GMD59" s="69"/>
      <c r="GME59" s="69"/>
      <c r="GMF59" s="69"/>
      <c r="GMG59" s="69"/>
      <c r="GMH59" s="69"/>
      <c r="GMI59" s="69"/>
      <c r="GMJ59" s="69"/>
      <c r="GMK59" s="69"/>
      <c r="GML59" s="69"/>
      <c r="GMM59" s="69"/>
      <c r="GMN59" s="69"/>
      <c r="GMO59" s="69"/>
      <c r="GMP59" s="69"/>
      <c r="GMQ59" s="69"/>
      <c r="GMR59" s="69"/>
      <c r="GMS59" s="69" t="s">
        <v>116</v>
      </c>
      <c r="GMT59" s="69"/>
      <c r="GMU59" s="69"/>
      <c r="GMV59" s="69"/>
      <c r="GMW59" s="69"/>
      <c r="GMX59" s="69"/>
      <c r="GMY59" s="69"/>
      <c r="GMZ59" s="69"/>
      <c r="GNA59" s="69"/>
      <c r="GNB59" s="69"/>
      <c r="GNC59" s="69"/>
      <c r="GND59" s="69"/>
      <c r="GNE59" s="69"/>
      <c r="GNF59" s="69"/>
      <c r="GNG59" s="69"/>
      <c r="GNH59" s="69"/>
      <c r="GNI59" s="69"/>
      <c r="GNJ59" s="69"/>
      <c r="GNK59" s="69"/>
      <c r="GNL59" s="69"/>
      <c r="GNM59" s="69"/>
      <c r="GNN59" s="69"/>
      <c r="GNO59" s="69"/>
      <c r="GNP59" s="69"/>
      <c r="GNQ59" s="69"/>
      <c r="GNR59" s="69"/>
      <c r="GNS59" s="69"/>
      <c r="GNT59" s="69"/>
      <c r="GNU59" s="69"/>
      <c r="GNV59" s="69"/>
      <c r="GNW59" s="69"/>
      <c r="GNX59" s="69"/>
      <c r="GNY59" s="69" t="s">
        <v>116</v>
      </c>
      <c r="GNZ59" s="69"/>
      <c r="GOA59" s="69"/>
      <c r="GOB59" s="69"/>
      <c r="GOC59" s="69"/>
      <c r="GOD59" s="69"/>
      <c r="GOE59" s="69"/>
      <c r="GOF59" s="69"/>
      <c r="GOG59" s="69"/>
      <c r="GOH59" s="69"/>
      <c r="GOI59" s="69"/>
      <c r="GOJ59" s="69"/>
      <c r="GOK59" s="69"/>
      <c r="GOL59" s="69"/>
      <c r="GOM59" s="69"/>
      <c r="GON59" s="69"/>
      <c r="GOO59" s="69"/>
      <c r="GOP59" s="69"/>
      <c r="GOQ59" s="69"/>
      <c r="GOR59" s="69"/>
      <c r="GOS59" s="69"/>
      <c r="GOT59" s="69"/>
      <c r="GOU59" s="69"/>
      <c r="GOV59" s="69"/>
      <c r="GOW59" s="69"/>
      <c r="GOX59" s="69"/>
      <c r="GOY59" s="69"/>
      <c r="GOZ59" s="69"/>
      <c r="GPA59" s="69"/>
      <c r="GPB59" s="69"/>
      <c r="GPC59" s="69"/>
      <c r="GPD59" s="69"/>
      <c r="GPE59" s="69" t="s">
        <v>116</v>
      </c>
      <c r="GPF59" s="69"/>
      <c r="GPG59" s="69"/>
      <c r="GPH59" s="69"/>
      <c r="GPI59" s="69"/>
      <c r="GPJ59" s="69"/>
      <c r="GPK59" s="69"/>
      <c r="GPL59" s="69"/>
      <c r="GPM59" s="69"/>
      <c r="GPN59" s="69"/>
      <c r="GPO59" s="69"/>
      <c r="GPP59" s="69"/>
      <c r="GPQ59" s="69"/>
      <c r="GPR59" s="69"/>
      <c r="GPS59" s="69"/>
      <c r="GPT59" s="69"/>
      <c r="GPU59" s="69"/>
      <c r="GPV59" s="69"/>
      <c r="GPW59" s="69"/>
      <c r="GPX59" s="69"/>
      <c r="GPY59" s="69"/>
      <c r="GPZ59" s="69"/>
      <c r="GQA59" s="69"/>
      <c r="GQB59" s="69"/>
      <c r="GQC59" s="69"/>
      <c r="GQD59" s="69"/>
      <c r="GQE59" s="69"/>
      <c r="GQF59" s="69"/>
      <c r="GQG59" s="69"/>
      <c r="GQH59" s="69"/>
      <c r="GQI59" s="69"/>
      <c r="GQJ59" s="69"/>
      <c r="GQK59" s="69" t="s">
        <v>116</v>
      </c>
      <c r="GQL59" s="69"/>
      <c r="GQM59" s="69"/>
      <c r="GQN59" s="69"/>
      <c r="GQO59" s="69"/>
      <c r="GQP59" s="69"/>
      <c r="GQQ59" s="69"/>
      <c r="GQR59" s="69"/>
      <c r="GQS59" s="69"/>
      <c r="GQT59" s="69"/>
      <c r="GQU59" s="69"/>
      <c r="GQV59" s="69"/>
      <c r="GQW59" s="69"/>
      <c r="GQX59" s="69"/>
      <c r="GQY59" s="69"/>
      <c r="GQZ59" s="69"/>
      <c r="GRA59" s="69"/>
      <c r="GRB59" s="69"/>
      <c r="GRC59" s="69"/>
      <c r="GRD59" s="69"/>
      <c r="GRE59" s="69"/>
      <c r="GRF59" s="69"/>
      <c r="GRG59" s="69"/>
      <c r="GRH59" s="69"/>
      <c r="GRI59" s="69"/>
      <c r="GRJ59" s="69"/>
      <c r="GRK59" s="69"/>
      <c r="GRL59" s="69"/>
      <c r="GRM59" s="69"/>
      <c r="GRN59" s="69"/>
      <c r="GRO59" s="69"/>
      <c r="GRP59" s="69"/>
      <c r="GRQ59" s="69" t="s">
        <v>116</v>
      </c>
      <c r="GRR59" s="69"/>
      <c r="GRS59" s="69"/>
      <c r="GRT59" s="69"/>
      <c r="GRU59" s="69"/>
      <c r="GRV59" s="69"/>
      <c r="GRW59" s="69"/>
      <c r="GRX59" s="69"/>
      <c r="GRY59" s="69"/>
      <c r="GRZ59" s="69"/>
      <c r="GSA59" s="69"/>
      <c r="GSB59" s="69"/>
      <c r="GSC59" s="69"/>
      <c r="GSD59" s="69"/>
      <c r="GSE59" s="69"/>
      <c r="GSF59" s="69"/>
      <c r="GSG59" s="69"/>
      <c r="GSH59" s="69"/>
      <c r="GSI59" s="69"/>
      <c r="GSJ59" s="69"/>
      <c r="GSK59" s="69"/>
      <c r="GSL59" s="69"/>
      <c r="GSM59" s="69"/>
      <c r="GSN59" s="69"/>
      <c r="GSO59" s="69"/>
      <c r="GSP59" s="69"/>
      <c r="GSQ59" s="69"/>
      <c r="GSR59" s="69"/>
      <c r="GSS59" s="69"/>
      <c r="GST59" s="69"/>
      <c r="GSU59" s="69"/>
      <c r="GSV59" s="69"/>
      <c r="GSW59" s="69" t="s">
        <v>116</v>
      </c>
      <c r="GSX59" s="69"/>
      <c r="GSY59" s="69"/>
      <c r="GSZ59" s="69"/>
      <c r="GTA59" s="69"/>
      <c r="GTB59" s="69"/>
      <c r="GTC59" s="69"/>
      <c r="GTD59" s="69"/>
      <c r="GTE59" s="69"/>
      <c r="GTF59" s="69"/>
      <c r="GTG59" s="69"/>
      <c r="GTH59" s="69"/>
      <c r="GTI59" s="69"/>
      <c r="GTJ59" s="69"/>
      <c r="GTK59" s="69"/>
      <c r="GTL59" s="69"/>
      <c r="GTM59" s="69"/>
      <c r="GTN59" s="69"/>
      <c r="GTO59" s="69"/>
      <c r="GTP59" s="69"/>
      <c r="GTQ59" s="69"/>
      <c r="GTR59" s="69"/>
      <c r="GTS59" s="69"/>
      <c r="GTT59" s="69"/>
      <c r="GTU59" s="69"/>
      <c r="GTV59" s="69"/>
      <c r="GTW59" s="69"/>
      <c r="GTX59" s="69"/>
      <c r="GTY59" s="69"/>
      <c r="GTZ59" s="69"/>
      <c r="GUA59" s="69"/>
      <c r="GUB59" s="69"/>
      <c r="GUC59" s="69" t="s">
        <v>116</v>
      </c>
      <c r="GUD59" s="69"/>
      <c r="GUE59" s="69"/>
      <c r="GUF59" s="69"/>
      <c r="GUG59" s="69"/>
      <c r="GUH59" s="69"/>
      <c r="GUI59" s="69"/>
      <c r="GUJ59" s="69"/>
      <c r="GUK59" s="69"/>
      <c r="GUL59" s="69"/>
      <c r="GUM59" s="69"/>
      <c r="GUN59" s="69"/>
      <c r="GUO59" s="69"/>
      <c r="GUP59" s="69"/>
      <c r="GUQ59" s="69"/>
      <c r="GUR59" s="69"/>
      <c r="GUS59" s="69"/>
      <c r="GUT59" s="69"/>
      <c r="GUU59" s="69"/>
      <c r="GUV59" s="69"/>
      <c r="GUW59" s="69"/>
      <c r="GUX59" s="69"/>
      <c r="GUY59" s="69"/>
      <c r="GUZ59" s="69"/>
      <c r="GVA59" s="69"/>
      <c r="GVB59" s="69"/>
      <c r="GVC59" s="69"/>
      <c r="GVD59" s="69"/>
      <c r="GVE59" s="69"/>
      <c r="GVF59" s="69"/>
      <c r="GVG59" s="69"/>
      <c r="GVH59" s="69"/>
      <c r="GVI59" s="69" t="s">
        <v>116</v>
      </c>
      <c r="GVJ59" s="69"/>
      <c r="GVK59" s="69"/>
      <c r="GVL59" s="69"/>
      <c r="GVM59" s="69"/>
      <c r="GVN59" s="69"/>
      <c r="GVO59" s="69"/>
      <c r="GVP59" s="69"/>
      <c r="GVQ59" s="69"/>
      <c r="GVR59" s="69"/>
      <c r="GVS59" s="69"/>
      <c r="GVT59" s="69"/>
      <c r="GVU59" s="69"/>
      <c r="GVV59" s="69"/>
      <c r="GVW59" s="69"/>
      <c r="GVX59" s="69"/>
      <c r="GVY59" s="69"/>
      <c r="GVZ59" s="69"/>
      <c r="GWA59" s="69"/>
      <c r="GWB59" s="69"/>
      <c r="GWC59" s="69"/>
      <c r="GWD59" s="69"/>
      <c r="GWE59" s="69"/>
      <c r="GWF59" s="69"/>
      <c r="GWG59" s="69"/>
      <c r="GWH59" s="69"/>
      <c r="GWI59" s="69"/>
      <c r="GWJ59" s="69"/>
      <c r="GWK59" s="69"/>
      <c r="GWL59" s="69"/>
      <c r="GWM59" s="69"/>
      <c r="GWN59" s="69"/>
      <c r="GWO59" s="69" t="s">
        <v>116</v>
      </c>
      <c r="GWP59" s="69"/>
      <c r="GWQ59" s="69"/>
      <c r="GWR59" s="69"/>
      <c r="GWS59" s="69"/>
      <c r="GWT59" s="69"/>
      <c r="GWU59" s="69"/>
      <c r="GWV59" s="69"/>
      <c r="GWW59" s="69"/>
      <c r="GWX59" s="69"/>
      <c r="GWY59" s="69"/>
      <c r="GWZ59" s="69"/>
      <c r="GXA59" s="69"/>
      <c r="GXB59" s="69"/>
      <c r="GXC59" s="69"/>
      <c r="GXD59" s="69"/>
      <c r="GXE59" s="69"/>
      <c r="GXF59" s="69"/>
      <c r="GXG59" s="69"/>
      <c r="GXH59" s="69"/>
      <c r="GXI59" s="69"/>
      <c r="GXJ59" s="69"/>
      <c r="GXK59" s="69"/>
      <c r="GXL59" s="69"/>
      <c r="GXM59" s="69"/>
      <c r="GXN59" s="69"/>
      <c r="GXO59" s="69"/>
      <c r="GXP59" s="69"/>
      <c r="GXQ59" s="69"/>
      <c r="GXR59" s="69"/>
      <c r="GXS59" s="69"/>
      <c r="GXT59" s="69"/>
      <c r="GXU59" s="69" t="s">
        <v>116</v>
      </c>
      <c r="GXV59" s="69"/>
      <c r="GXW59" s="69"/>
      <c r="GXX59" s="69"/>
      <c r="GXY59" s="69"/>
      <c r="GXZ59" s="69"/>
      <c r="GYA59" s="69"/>
      <c r="GYB59" s="69"/>
      <c r="GYC59" s="69"/>
      <c r="GYD59" s="69"/>
      <c r="GYE59" s="69"/>
      <c r="GYF59" s="69"/>
      <c r="GYG59" s="69"/>
      <c r="GYH59" s="69"/>
      <c r="GYI59" s="69"/>
      <c r="GYJ59" s="69"/>
      <c r="GYK59" s="69"/>
      <c r="GYL59" s="69"/>
      <c r="GYM59" s="69"/>
      <c r="GYN59" s="69"/>
      <c r="GYO59" s="69"/>
      <c r="GYP59" s="69"/>
      <c r="GYQ59" s="69"/>
      <c r="GYR59" s="69"/>
      <c r="GYS59" s="69"/>
      <c r="GYT59" s="69"/>
      <c r="GYU59" s="69"/>
      <c r="GYV59" s="69"/>
      <c r="GYW59" s="69"/>
      <c r="GYX59" s="69"/>
      <c r="GYY59" s="69"/>
      <c r="GYZ59" s="69"/>
      <c r="GZA59" s="69" t="s">
        <v>116</v>
      </c>
      <c r="GZB59" s="69"/>
      <c r="GZC59" s="69"/>
      <c r="GZD59" s="69"/>
      <c r="GZE59" s="69"/>
      <c r="GZF59" s="69"/>
      <c r="GZG59" s="69"/>
      <c r="GZH59" s="69"/>
      <c r="GZI59" s="69"/>
      <c r="GZJ59" s="69"/>
      <c r="GZK59" s="69"/>
      <c r="GZL59" s="69"/>
      <c r="GZM59" s="69"/>
      <c r="GZN59" s="69"/>
      <c r="GZO59" s="69"/>
      <c r="GZP59" s="69"/>
      <c r="GZQ59" s="69"/>
      <c r="GZR59" s="69"/>
      <c r="GZS59" s="69"/>
      <c r="GZT59" s="69"/>
      <c r="GZU59" s="69"/>
      <c r="GZV59" s="69"/>
      <c r="GZW59" s="69"/>
      <c r="GZX59" s="69"/>
      <c r="GZY59" s="69"/>
      <c r="GZZ59" s="69"/>
      <c r="HAA59" s="69"/>
      <c r="HAB59" s="69"/>
      <c r="HAC59" s="69"/>
      <c r="HAD59" s="69"/>
      <c r="HAE59" s="69"/>
      <c r="HAF59" s="69"/>
      <c r="HAG59" s="69" t="s">
        <v>116</v>
      </c>
      <c r="HAH59" s="69"/>
      <c r="HAI59" s="69"/>
      <c r="HAJ59" s="69"/>
      <c r="HAK59" s="69"/>
      <c r="HAL59" s="69"/>
      <c r="HAM59" s="69"/>
      <c r="HAN59" s="69"/>
      <c r="HAO59" s="69"/>
      <c r="HAP59" s="69"/>
      <c r="HAQ59" s="69"/>
      <c r="HAR59" s="69"/>
      <c r="HAS59" s="69"/>
      <c r="HAT59" s="69"/>
      <c r="HAU59" s="69"/>
      <c r="HAV59" s="69"/>
      <c r="HAW59" s="69"/>
      <c r="HAX59" s="69"/>
      <c r="HAY59" s="69"/>
      <c r="HAZ59" s="69"/>
      <c r="HBA59" s="69"/>
      <c r="HBB59" s="69"/>
      <c r="HBC59" s="69"/>
      <c r="HBD59" s="69"/>
      <c r="HBE59" s="69"/>
      <c r="HBF59" s="69"/>
      <c r="HBG59" s="69"/>
      <c r="HBH59" s="69"/>
      <c r="HBI59" s="69"/>
      <c r="HBJ59" s="69"/>
      <c r="HBK59" s="69"/>
      <c r="HBL59" s="69"/>
      <c r="HBM59" s="69" t="s">
        <v>116</v>
      </c>
      <c r="HBN59" s="69"/>
      <c r="HBO59" s="69"/>
      <c r="HBP59" s="69"/>
      <c r="HBQ59" s="69"/>
      <c r="HBR59" s="69"/>
      <c r="HBS59" s="69"/>
      <c r="HBT59" s="69"/>
      <c r="HBU59" s="69"/>
      <c r="HBV59" s="69"/>
      <c r="HBW59" s="69"/>
      <c r="HBX59" s="69"/>
      <c r="HBY59" s="69"/>
      <c r="HBZ59" s="69"/>
      <c r="HCA59" s="69"/>
      <c r="HCB59" s="69"/>
      <c r="HCC59" s="69"/>
      <c r="HCD59" s="69"/>
      <c r="HCE59" s="69"/>
      <c r="HCF59" s="69"/>
      <c r="HCG59" s="69"/>
      <c r="HCH59" s="69"/>
      <c r="HCI59" s="69"/>
      <c r="HCJ59" s="69"/>
      <c r="HCK59" s="69"/>
      <c r="HCL59" s="69"/>
      <c r="HCM59" s="69"/>
      <c r="HCN59" s="69"/>
      <c r="HCO59" s="69"/>
      <c r="HCP59" s="69"/>
      <c r="HCQ59" s="69"/>
      <c r="HCR59" s="69"/>
      <c r="HCS59" s="69" t="s">
        <v>116</v>
      </c>
      <c r="HCT59" s="69"/>
      <c r="HCU59" s="69"/>
      <c r="HCV59" s="69"/>
      <c r="HCW59" s="69"/>
      <c r="HCX59" s="69"/>
      <c r="HCY59" s="69"/>
      <c r="HCZ59" s="69"/>
      <c r="HDA59" s="69"/>
      <c r="HDB59" s="69"/>
      <c r="HDC59" s="69"/>
      <c r="HDD59" s="69"/>
      <c r="HDE59" s="69"/>
      <c r="HDF59" s="69"/>
      <c r="HDG59" s="69"/>
      <c r="HDH59" s="69"/>
      <c r="HDI59" s="69"/>
      <c r="HDJ59" s="69"/>
      <c r="HDK59" s="69"/>
      <c r="HDL59" s="69"/>
      <c r="HDM59" s="69"/>
      <c r="HDN59" s="69"/>
      <c r="HDO59" s="69"/>
      <c r="HDP59" s="69"/>
      <c r="HDQ59" s="69"/>
      <c r="HDR59" s="69"/>
      <c r="HDS59" s="69"/>
      <c r="HDT59" s="69"/>
      <c r="HDU59" s="69"/>
      <c r="HDV59" s="69"/>
      <c r="HDW59" s="69"/>
      <c r="HDX59" s="69"/>
      <c r="HDY59" s="69" t="s">
        <v>116</v>
      </c>
      <c r="HDZ59" s="69"/>
      <c r="HEA59" s="69"/>
      <c r="HEB59" s="69"/>
      <c r="HEC59" s="69"/>
      <c r="HED59" s="69"/>
      <c r="HEE59" s="69"/>
      <c r="HEF59" s="69"/>
      <c r="HEG59" s="69"/>
      <c r="HEH59" s="69"/>
      <c r="HEI59" s="69"/>
      <c r="HEJ59" s="69"/>
      <c r="HEK59" s="69"/>
      <c r="HEL59" s="69"/>
      <c r="HEM59" s="69"/>
      <c r="HEN59" s="69"/>
      <c r="HEO59" s="69"/>
      <c r="HEP59" s="69"/>
      <c r="HEQ59" s="69"/>
      <c r="HER59" s="69"/>
      <c r="HES59" s="69"/>
      <c r="HET59" s="69"/>
      <c r="HEU59" s="69"/>
      <c r="HEV59" s="69"/>
      <c r="HEW59" s="69"/>
      <c r="HEX59" s="69"/>
      <c r="HEY59" s="69"/>
      <c r="HEZ59" s="69"/>
      <c r="HFA59" s="69"/>
      <c r="HFB59" s="69"/>
      <c r="HFC59" s="69"/>
      <c r="HFD59" s="69"/>
      <c r="HFE59" s="69" t="s">
        <v>116</v>
      </c>
      <c r="HFF59" s="69"/>
      <c r="HFG59" s="69"/>
      <c r="HFH59" s="69"/>
      <c r="HFI59" s="69"/>
      <c r="HFJ59" s="69"/>
      <c r="HFK59" s="69"/>
      <c r="HFL59" s="69"/>
      <c r="HFM59" s="69"/>
      <c r="HFN59" s="69"/>
      <c r="HFO59" s="69"/>
      <c r="HFP59" s="69"/>
      <c r="HFQ59" s="69"/>
      <c r="HFR59" s="69"/>
      <c r="HFS59" s="69"/>
      <c r="HFT59" s="69"/>
      <c r="HFU59" s="69"/>
      <c r="HFV59" s="69"/>
      <c r="HFW59" s="69"/>
      <c r="HFX59" s="69"/>
      <c r="HFY59" s="69"/>
      <c r="HFZ59" s="69"/>
      <c r="HGA59" s="69"/>
      <c r="HGB59" s="69"/>
      <c r="HGC59" s="69"/>
      <c r="HGD59" s="69"/>
      <c r="HGE59" s="69"/>
      <c r="HGF59" s="69"/>
      <c r="HGG59" s="69"/>
      <c r="HGH59" s="69"/>
      <c r="HGI59" s="69"/>
      <c r="HGJ59" s="69"/>
      <c r="HGK59" s="69" t="s">
        <v>116</v>
      </c>
      <c r="HGL59" s="69"/>
      <c r="HGM59" s="69"/>
      <c r="HGN59" s="69"/>
      <c r="HGO59" s="69"/>
      <c r="HGP59" s="69"/>
      <c r="HGQ59" s="69"/>
      <c r="HGR59" s="69"/>
      <c r="HGS59" s="69"/>
      <c r="HGT59" s="69"/>
      <c r="HGU59" s="69"/>
      <c r="HGV59" s="69"/>
      <c r="HGW59" s="69"/>
      <c r="HGX59" s="69"/>
      <c r="HGY59" s="69"/>
      <c r="HGZ59" s="69"/>
      <c r="HHA59" s="69"/>
      <c r="HHB59" s="69"/>
      <c r="HHC59" s="69"/>
      <c r="HHD59" s="69"/>
      <c r="HHE59" s="69"/>
      <c r="HHF59" s="69"/>
      <c r="HHG59" s="69"/>
      <c r="HHH59" s="69"/>
      <c r="HHI59" s="69"/>
      <c r="HHJ59" s="69"/>
      <c r="HHK59" s="69"/>
      <c r="HHL59" s="69"/>
      <c r="HHM59" s="69"/>
      <c r="HHN59" s="69"/>
      <c r="HHO59" s="69"/>
      <c r="HHP59" s="69"/>
      <c r="HHQ59" s="69" t="s">
        <v>116</v>
      </c>
      <c r="HHR59" s="69"/>
      <c r="HHS59" s="69"/>
      <c r="HHT59" s="69"/>
      <c r="HHU59" s="69"/>
      <c r="HHV59" s="69"/>
      <c r="HHW59" s="69"/>
      <c r="HHX59" s="69"/>
      <c r="HHY59" s="69"/>
      <c r="HHZ59" s="69"/>
      <c r="HIA59" s="69"/>
      <c r="HIB59" s="69"/>
      <c r="HIC59" s="69"/>
      <c r="HID59" s="69"/>
      <c r="HIE59" s="69"/>
      <c r="HIF59" s="69"/>
      <c r="HIG59" s="69"/>
      <c r="HIH59" s="69"/>
      <c r="HII59" s="69"/>
      <c r="HIJ59" s="69"/>
      <c r="HIK59" s="69"/>
      <c r="HIL59" s="69"/>
      <c r="HIM59" s="69"/>
      <c r="HIN59" s="69"/>
      <c r="HIO59" s="69"/>
      <c r="HIP59" s="69"/>
      <c r="HIQ59" s="69"/>
      <c r="HIR59" s="69"/>
      <c r="HIS59" s="69"/>
      <c r="HIT59" s="69"/>
      <c r="HIU59" s="69"/>
      <c r="HIV59" s="69"/>
      <c r="HIW59" s="69" t="s">
        <v>116</v>
      </c>
      <c r="HIX59" s="69"/>
      <c r="HIY59" s="69"/>
      <c r="HIZ59" s="69"/>
      <c r="HJA59" s="69"/>
      <c r="HJB59" s="69"/>
      <c r="HJC59" s="69"/>
      <c r="HJD59" s="69"/>
      <c r="HJE59" s="69"/>
      <c r="HJF59" s="69"/>
      <c r="HJG59" s="69"/>
      <c r="HJH59" s="69"/>
      <c r="HJI59" s="69"/>
      <c r="HJJ59" s="69"/>
      <c r="HJK59" s="69"/>
      <c r="HJL59" s="69"/>
      <c r="HJM59" s="69"/>
      <c r="HJN59" s="69"/>
      <c r="HJO59" s="69"/>
      <c r="HJP59" s="69"/>
      <c r="HJQ59" s="69"/>
      <c r="HJR59" s="69"/>
      <c r="HJS59" s="69"/>
      <c r="HJT59" s="69"/>
      <c r="HJU59" s="69"/>
      <c r="HJV59" s="69"/>
      <c r="HJW59" s="69"/>
      <c r="HJX59" s="69"/>
      <c r="HJY59" s="69"/>
      <c r="HJZ59" s="69"/>
      <c r="HKA59" s="69"/>
      <c r="HKB59" s="69"/>
      <c r="HKC59" s="69" t="s">
        <v>116</v>
      </c>
      <c r="HKD59" s="69"/>
      <c r="HKE59" s="69"/>
      <c r="HKF59" s="69"/>
      <c r="HKG59" s="69"/>
      <c r="HKH59" s="69"/>
      <c r="HKI59" s="69"/>
      <c r="HKJ59" s="69"/>
      <c r="HKK59" s="69"/>
      <c r="HKL59" s="69"/>
      <c r="HKM59" s="69"/>
      <c r="HKN59" s="69"/>
      <c r="HKO59" s="69"/>
      <c r="HKP59" s="69"/>
      <c r="HKQ59" s="69"/>
      <c r="HKR59" s="69"/>
      <c r="HKS59" s="69"/>
      <c r="HKT59" s="69"/>
      <c r="HKU59" s="69"/>
      <c r="HKV59" s="69"/>
      <c r="HKW59" s="69"/>
      <c r="HKX59" s="69"/>
      <c r="HKY59" s="69"/>
      <c r="HKZ59" s="69"/>
      <c r="HLA59" s="69"/>
      <c r="HLB59" s="69"/>
      <c r="HLC59" s="69"/>
      <c r="HLD59" s="69"/>
      <c r="HLE59" s="69"/>
      <c r="HLF59" s="69"/>
      <c r="HLG59" s="69"/>
      <c r="HLH59" s="69"/>
      <c r="HLI59" s="69" t="s">
        <v>116</v>
      </c>
      <c r="HLJ59" s="69"/>
      <c r="HLK59" s="69"/>
      <c r="HLL59" s="69"/>
      <c r="HLM59" s="69"/>
      <c r="HLN59" s="69"/>
      <c r="HLO59" s="69"/>
      <c r="HLP59" s="69"/>
      <c r="HLQ59" s="69"/>
      <c r="HLR59" s="69"/>
      <c r="HLS59" s="69"/>
      <c r="HLT59" s="69"/>
      <c r="HLU59" s="69"/>
      <c r="HLV59" s="69"/>
      <c r="HLW59" s="69"/>
      <c r="HLX59" s="69"/>
      <c r="HLY59" s="69"/>
      <c r="HLZ59" s="69"/>
      <c r="HMA59" s="69"/>
      <c r="HMB59" s="69"/>
      <c r="HMC59" s="69"/>
      <c r="HMD59" s="69"/>
      <c r="HME59" s="69"/>
      <c r="HMF59" s="69"/>
      <c r="HMG59" s="69"/>
      <c r="HMH59" s="69"/>
      <c r="HMI59" s="69"/>
      <c r="HMJ59" s="69"/>
      <c r="HMK59" s="69"/>
      <c r="HML59" s="69"/>
      <c r="HMM59" s="69"/>
      <c r="HMN59" s="69"/>
      <c r="HMO59" s="69" t="s">
        <v>116</v>
      </c>
      <c r="HMP59" s="69"/>
      <c r="HMQ59" s="69"/>
      <c r="HMR59" s="69"/>
      <c r="HMS59" s="69"/>
      <c r="HMT59" s="69"/>
      <c r="HMU59" s="69"/>
      <c r="HMV59" s="69"/>
      <c r="HMW59" s="69"/>
      <c r="HMX59" s="69"/>
      <c r="HMY59" s="69"/>
      <c r="HMZ59" s="69"/>
      <c r="HNA59" s="69"/>
      <c r="HNB59" s="69"/>
      <c r="HNC59" s="69"/>
      <c r="HND59" s="69"/>
      <c r="HNE59" s="69"/>
      <c r="HNF59" s="69"/>
      <c r="HNG59" s="69"/>
      <c r="HNH59" s="69"/>
      <c r="HNI59" s="69"/>
      <c r="HNJ59" s="69"/>
      <c r="HNK59" s="69"/>
      <c r="HNL59" s="69"/>
      <c r="HNM59" s="69"/>
      <c r="HNN59" s="69"/>
      <c r="HNO59" s="69"/>
      <c r="HNP59" s="69"/>
      <c r="HNQ59" s="69"/>
      <c r="HNR59" s="69"/>
      <c r="HNS59" s="69"/>
      <c r="HNT59" s="69"/>
      <c r="HNU59" s="69" t="s">
        <v>116</v>
      </c>
      <c r="HNV59" s="69"/>
      <c r="HNW59" s="69"/>
      <c r="HNX59" s="69"/>
      <c r="HNY59" s="69"/>
      <c r="HNZ59" s="69"/>
      <c r="HOA59" s="69"/>
      <c r="HOB59" s="69"/>
      <c r="HOC59" s="69"/>
      <c r="HOD59" s="69"/>
      <c r="HOE59" s="69"/>
      <c r="HOF59" s="69"/>
      <c r="HOG59" s="69"/>
      <c r="HOH59" s="69"/>
      <c r="HOI59" s="69"/>
      <c r="HOJ59" s="69"/>
      <c r="HOK59" s="69"/>
      <c r="HOL59" s="69"/>
      <c r="HOM59" s="69"/>
      <c r="HON59" s="69"/>
      <c r="HOO59" s="69"/>
      <c r="HOP59" s="69"/>
      <c r="HOQ59" s="69"/>
      <c r="HOR59" s="69"/>
      <c r="HOS59" s="69"/>
      <c r="HOT59" s="69"/>
      <c r="HOU59" s="69"/>
      <c r="HOV59" s="69"/>
      <c r="HOW59" s="69"/>
      <c r="HOX59" s="69"/>
      <c r="HOY59" s="69"/>
      <c r="HOZ59" s="69"/>
      <c r="HPA59" s="69" t="s">
        <v>116</v>
      </c>
      <c r="HPB59" s="69"/>
      <c r="HPC59" s="69"/>
      <c r="HPD59" s="69"/>
      <c r="HPE59" s="69"/>
      <c r="HPF59" s="69"/>
      <c r="HPG59" s="69"/>
      <c r="HPH59" s="69"/>
      <c r="HPI59" s="69"/>
      <c r="HPJ59" s="69"/>
      <c r="HPK59" s="69"/>
      <c r="HPL59" s="69"/>
      <c r="HPM59" s="69"/>
      <c r="HPN59" s="69"/>
      <c r="HPO59" s="69"/>
      <c r="HPP59" s="69"/>
      <c r="HPQ59" s="69"/>
      <c r="HPR59" s="69"/>
      <c r="HPS59" s="69"/>
      <c r="HPT59" s="69"/>
      <c r="HPU59" s="69"/>
      <c r="HPV59" s="69"/>
      <c r="HPW59" s="69"/>
      <c r="HPX59" s="69"/>
      <c r="HPY59" s="69"/>
      <c r="HPZ59" s="69"/>
      <c r="HQA59" s="69"/>
      <c r="HQB59" s="69"/>
      <c r="HQC59" s="69"/>
      <c r="HQD59" s="69"/>
      <c r="HQE59" s="69"/>
      <c r="HQF59" s="69"/>
      <c r="HQG59" s="69" t="s">
        <v>116</v>
      </c>
      <c r="HQH59" s="69"/>
      <c r="HQI59" s="69"/>
      <c r="HQJ59" s="69"/>
      <c r="HQK59" s="69"/>
      <c r="HQL59" s="69"/>
      <c r="HQM59" s="69"/>
      <c r="HQN59" s="69"/>
      <c r="HQO59" s="69"/>
      <c r="HQP59" s="69"/>
      <c r="HQQ59" s="69"/>
      <c r="HQR59" s="69"/>
      <c r="HQS59" s="69"/>
      <c r="HQT59" s="69"/>
      <c r="HQU59" s="69"/>
      <c r="HQV59" s="69"/>
      <c r="HQW59" s="69"/>
      <c r="HQX59" s="69"/>
      <c r="HQY59" s="69"/>
      <c r="HQZ59" s="69"/>
      <c r="HRA59" s="69"/>
      <c r="HRB59" s="69"/>
      <c r="HRC59" s="69"/>
      <c r="HRD59" s="69"/>
      <c r="HRE59" s="69"/>
      <c r="HRF59" s="69"/>
      <c r="HRG59" s="69"/>
      <c r="HRH59" s="69"/>
      <c r="HRI59" s="69"/>
      <c r="HRJ59" s="69"/>
      <c r="HRK59" s="69"/>
      <c r="HRL59" s="69"/>
      <c r="HRM59" s="69" t="s">
        <v>116</v>
      </c>
      <c r="HRN59" s="69"/>
      <c r="HRO59" s="69"/>
      <c r="HRP59" s="69"/>
      <c r="HRQ59" s="69"/>
      <c r="HRR59" s="69"/>
      <c r="HRS59" s="69"/>
      <c r="HRT59" s="69"/>
      <c r="HRU59" s="69"/>
      <c r="HRV59" s="69"/>
      <c r="HRW59" s="69"/>
      <c r="HRX59" s="69"/>
      <c r="HRY59" s="69"/>
      <c r="HRZ59" s="69"/>
      <c r="HSA59" s="69"/>
      <c r="HSB59" s="69"/>
      <c r="HSC59" s="69"/>
      <c r="HSD59" s="69"/>
      <c r="HSE59" s="69"/>
      <c r="HSF59" s="69"/>
      <c r="HSG59" s="69"/>
      <c r="HSH59" s="69"/>
      <c r="HSI59" s="69"/>
      <c r="HSJ59" s="69"/>
      <c r="HSK59" s="69"/>
      <c r="HSL59" s="69"/>
      <c r="HSM59" s="69"/>
      <c r="HSN59" s="69"/>
      <c r="HSO59" s="69"/>
      <c r="HSP59" s="69"/>
      <c r="HSQ59" s="69"/>
      <c r="HSR59" s="69"/>
      <c r="HSS59" s="69" t="s">
        <v>116</v>
      </c>
      <c r="HST59" s="69"/>
      <c r="HSU59" s="69"/>
      <c r="HSV59" s="69"/>
      <c r="HSW59" s="69"/>
      <c r="HSX59" s="69"/>
      <c r="HSY59" s="69"/>
      <c r="HSZ59" s="69"/>
      <c r="HTA59" s="69"/>
      <c r="HTB59" s="69"/>
      <c r="HTC59" s="69"/>
      <c r="HTD59" s="69"/>
      <c r="HTE59" s="69"/>
      <c r="HTF59" s="69"/>
      <c r="HTG59" s="69"/>
      <c r="HTH59" s="69"/>
      <c r="HTI59" s="69"/>
      <c r="HTJ59" s="69"/>
      <c r="HTK59" s="69"/>
      <c r="HTL59" s="69"/>
      <c r="HTM59" s="69"/>
      <c r="HTN59" s="69"/>
      <c r="HTO59" s="69"/>
      <c r="HTP59" s="69"/>
      <c r="HTQ59" s="69"/>
      <c r="HTR59" s="69"/>
      <c r="HTS59" s="69"/>
      <c r="HTT59" s="69"/>
      <c r="HTU59" s="69"/>
      <c r="HTV59" s="69"/>
      <c r="HTW59" s="69"/>
      <c r="HTX59" s="69"/>
      <c r="HTY59" s="69" t="s">
        <v>116</v>
      </c>
      <c r="HTZ59" s="69"/>
      <c r="HUA59" s="69"/>
      <c r="HUB59" s="69"/>
      <c r="HUC59" s="69"/>
      <c r="HUD59" s="69"/>
      <c r="HUE59" s="69"/>
      <c r="HUF59" s="69"/>
      <c r="HUG59" s="69"/>
      <c r="HUH59" s="69"/>
      <c r="HUI59" s="69"/>
      <c r="HUJ59" s="69"/>
      <c r="HUK59" s="69"/>
      <c r="HUL59" s="69"/>
      <c r="HUM59" s="69"/>
      <c r="HUN59" s="69"/>
      <c r="HUO59" s="69"/>
      <c r="HUP59" s="69"/>
      <c r="HUQ59" s="69"/>
      <c r="HUR59" s="69"/>
      <c r="HUS59" s="69"/>
      <c r="HUT59" s="69"/>
      <c r="HUU59" s="69"/>
      <c r="HUV59" s="69"/>
      <c r="HUW59" s="69"/>
      <c r="HUX59" s="69"/>
      <c r="HUY59" s="69"/>
      <c r="HUZ59" s="69"/>
      <c r="HVA59" s="69"/>
      <c r="HVB59" s="69"/>
      <c r="HVC59" s="69"/>
      <c r="HVD59" s="69"/>
      <c r="HVE59" s="69" t="s">
        <v>116</v>
      </c>
      <c r="HVF59" s="69"/>
      <c r="HVG59" s="69"/>
      <c r="HVH59" s="69"/>
      <c r="HVI59" s="69"/>
      <c r="HVJ59" s="69"/>
      <c r="HVK59" s="69"/>
      <c r="HVL59" s="69"/>
      <c r="HVM59" s="69"/>
      <c r="HVN59" s="69"/>
      <c r="HVO59" s="69"/>
      <c r="HVP59" s="69"/>
      <c r="HVQ59" s="69"/>
      <c r="HVR59" s="69"/>
      <c r="HVS59" s="69"/>
      <c r="HVT59" s="69"/>
      <c r="HVU59" s="69"/>
      <c r="HVV59" s="69"/>
      <c r="HVW59" s="69"/>
      <c r="HVX59" s="69"/>
      <c r="HVY59" s="69"/>
      <c r="HVZ59" s="69"/>
      <c r="HWA59" s="69"/>
      <c r="HWB59" s="69"/>
      <c r="HWC59" s="69"/>
      <c r="HWD59" s="69"/>
      <c r="HWE59" s="69"/>
      <c r="HWF59" s="69"/>
      <c r="HWG59" s="69"/>
      <c r="HWH59" s="69"/>
      <c r="HWI59" s="69"/>
      <c r="HWJ59" s="69"/>
      <c r="HWK59" s="69" t="s">
        <v>116</v>
      </c>
      <c r="HWL59" s="69"/>
      <c r="HWM59" s="69"/>
      <c r="HWN59" s="69"/>
      <c r="HWO59" s="69"/>
      <c r="HWP59" s="69"/>
      <c r="HWQ59" s="69"/>
      <c r="HWR59" s="69"/>
      <c r="HWS59" s="69"/>
      <c r="HWT59" s="69"/>
      <c r="HWU59" s="69"/>
      <c r="HWV59" s="69"/>
      <c r="HWW59" s="69"/>
      <c r="HWX59" s="69"/>
      <c r="HWY59" s="69"/>
      <c r="HWZ59" s="69"/>
      <c r="HXA59" s="69"/>
      <c r="HXB59" s="69"/>
      <c r="HXC59" s="69"/>
      <c r="HXD59" s="69"/>
      <c r="HXE59" s="69"/>
      <c r="HXF59" s="69"/>
      <c r="HXG59" s="69"/>
      <c r="HXH59" s="69"/>
      <c r="HXI59" s="69"/>
      <c r="HXJ59" s="69"/>
      <c r="HXK59" s="69"/>
      <c r="HXL59" s="69"/>
      <c r="HXM59" s="69"/>
      <c r="HXN59" s="69"/>
      <c r="HXO59" s="69"/>
      <c r="HXP59" s="69"/>
      <c r="HXQ59" s="69" t="s">
        <v>116</v>
      </c>
      <c r="HXR59" s="69"/>
      <c r="HXS59" s="69"/>
      <c r="HXT59" s="69"/>
      <c r="HXU59" s="69"/>
      <c r="HXV59" s="69"/>
      <c r="HXW59" s="69"/>
      <c r="HXX59" s="69"/>
      <c r="HXY59" s="69"/>
      <c r="HXZ59" s="69"/>
      <c r="HYA59" s="69"/>
      <c r="HYB59" s="69"/>
      <c r="HYC59" s="69"/>
      <c r="HYD59" s="69"/>
      <c r="HYE59" s="69"/>
      <c r="HYF59" s="69"/>
      <c r="HYG59" s="69"/>
      <c r="HYH59" s="69"/>
      <c r="HYI59" s="69"/>
      <c r="HYJ59" s="69"/>
      <c r="HYK59" s="69"/>
      <c r="HYL59" s="69"/>
      <c r="HYM59" s="69"/>
      <c r="HYN59" s="69"/>
      <c r="HYO59" s="69"/>
      <c r="HYP59" s="69"/>
      <c r="HYQ59" s="69"/>
      <c r="HYR59" s="69"/>
      <c r="HYS59" s="69"/>
      <c r="HYT59" s="69"/>
      <c r="HYU59" s="69"/>
      <c r="HYV59" s="69"/>
      <c r="HYW59" s="69" t="s">
        <v>116</v>
      </c>
      <c r="HYX59" s="69"/>
      <c r="HYY59" s="69"/>
      <c r="HYZ59" s="69"/>
      <c r="HZA59" s="69"/>
      <c r="HZB59" s="69"/>
      <c r="HZC59" s="69"/>
      <c r="HZD59" s="69"/>
      <c r="HZE59" s="69"/>
      <c r="HZF59" s="69"/>
      <c r="HZG59" s="69"/>
      <c r="HZH59" s="69"/>
      <c r="HZI59" s="69"/>
      <c r="HZJ59" s="69"/>
      <c r="HZK59" s="69"/>
      <c r="HZL59" s="69"/>
      <c r="HZM59" s="69"/>
      <c r="HZN59" s="69"/>
      <c r="HZO59" s="69"/>
      <c r="HZP59" s="69"/>
      <c r="HZQ59" s="69"/>
      <c r="HZR59" s="69"/>
      <c r="HZS59" s="69"/>
      <c r="HZT59" s="69"/>
      <c r="HZU59" s="69"/>
      <c r="HZV59" s="69"/>
      <c r="HZW59" s="69"/>
      <c r="HZX59" s="69"/>
      <c r="HZY59" s="69"/>
      <c r="HZZ59" s="69"/>
      <c r="IAA59" s="69"/>
      <c r="IAB59" s="69"/>
      <c r="IAC59" s="69" t="s">
        <v>116</v>
      </c>
      <c r="IAD59" s="69"/>
      <c r="IAE59" s="69"/>
      <c r="IAF59" s="69"/>
      <c r="IAG59" s="69"/>
      <c r="IAH59" s="69"/>
      <c r="IAI59" s="69"/>
      <c r="IAJ59" s="69"/>
      <c r="IAK59" s="69"/>
      <c r="IAL59" s="69"/>
      <c r="IAM59" s="69"/>
      <c r="IAN59" s="69"/>
      <c r="IAO59" s="69"/>
      <c r="IAP59" s="69"/>
      <c r="IAQ59" s="69"/>
      <c r="IAR59" s="69"/>
      <c r="IAS59" s="69"/>
      <c r="IAT59" s="69"/>
      <c r="IAU59" s="69"/>
      <c r="IAV59" s="69"/>
      <c r="IAW59" s="69"/>
      <c r="IAX59" s="69"/>
      <c r="IAY59" s="69"/>
      <c r="IAZ59" s="69"/>
      <c r="IBA59" s="69"/>
      <c r="IBB59" s="69"/>
      <c r="IBC59" s="69"/>
      <c r="IBD59" s="69"/>
      <c r="IBE59" s="69"/>
      <c r="IBF59" s="69"/>
      <c r="IBG59" s="69"/>
      <c r="IBH59" s="69"/>
      <c r="IBI59" s="69" t="s">
        <v>116</v>
      </c>
      <c r="IBJ59" s="69"/>
      <c r="IBK59" s="69"/>
      <c r="IBL59" s="69"/>
      <c r="IBM59" s="69"/>
      <c r="IBN59" s="69"/>
      <c r="IBO59" s="69"/>
      <c r="IBP59" s="69"/>
      <c r="IBQ59" s="69"/>
      <c r="IBR59" s="69"/>
      <c r="IBS59" s="69"/>
      <c r="IBT59" s="69"/>
      <c r="IBU59" s="69"/>
      <c r="IBV59" s="69"/>
      <c r="IBW59" s="69"/>
      <c r="IBX59" s="69"/>
      <c r="IBY59" s="69"/>
      <c r="IBZ59" s="69"/>
      <c r="ICA59" s="69"/>
      <c r="ICB59" s="69"/>
      <c r="ICC59" s="69"/>
      <c r="ICD59" s="69"/>
      <c r="ICE59" s="69"/>
      <c r="ICF59" s="69"/>
      <c r="ICG59" s="69"/>
      <c r="ICH59" s="69"/>
      <c r="ICI59" s="69"/>
      <c r="ICJ59" s="69"/>
      <c r="ICK59" s="69"/>
      <c r="ICL59" s="69"/>
      <c r="ICM59" s="69"/>
      <c r="ICN59" s="69"/>
      <c r="ICO59" s="69" t="s">
        <v>116</v>
      </c>
      <c r="ICP59" s="69"/>
      <c r="ICQ59" s="69"/>
      <c r="ICR59" s="69"/>
      <c r="ICS59" s="69"/>
      <c r="ICT59" s="69"/>
      <c r="ICU59" s="69"/>
      <c r="ICV59" s="69"/>
      <c r="ICW59" s="69"/>
      <c r="ICX59" s="69"/>
      <c r="ICY59" s="69"/>
      <c r="ICZ59" s="69"/>
      <c r="IDA59" s="69"/>
      <c r="IDB59" s="69"/>
      <c r="IDC59" s="69"/>
      <c r="IDD59" s="69"/>
      <c r="IDE59" s="69"/>
      <c r="IDF59" s="69"/>
      <c r="IDG59" s="69"/>
      <c r="IDH59" s="69"/>
      <c r="IDI59" s="69"/>
      <c r="IDJ59" s="69"/>
      <c r="IDK59" s="69"/>
      <c r="IDL59" s="69"/>
      <c r="IDM59" s="69"/>
      <c r="IDN59" s="69"/>
      <c r="IDO59" s="69"/>
      <c r="IDP59" s="69"/>
      <c r="IDQ59" s="69"/>
      <c r="IDR59" s="69"/>
      <c r="IDS59" s="69"/>
      <c r="IDT59" s="69"/>
      <c r="IDU59" s="69" t="s">
        <v>116</v>
      </c>
      <c r="IDV59" s="69"/>
      <c r="IDW59" s="69"/>
      <c r="IDX59" s="69"/>
      <c r="IDY59" s="69"/>
      <c r="IDZ59" s="69"/>
      <c r="IEA59" s="69"/>
      <c r="IEB59" s="69"/>
      <c r="IEC59" s="69"/>
      <c r="IED59" s="69"/>
      <c r="IEE59" s="69"/>
      <c r="IEF59" s="69"/>
      <c r="IEG59" s="69"/>
      <c r="IEH59" s="69"/>
      <c r="IEI59" s="69"/>
      <c r="IEJ59" s="69"/>
      <c r="IEK59" s="69"/>
      <c r="IEL59" s="69"/>
      <c r="IEM59" s="69"/>
      <c r="IEN59" s="69"/>
      <c r="IEO59" s="69"/>
      <c r="IEP59" s="69"/>
      <c r="IEQ59" s="69"/>
      <c r="IER59" s="69"/>
      <c r="IES59" s="69"/>
      <c r="IET59" s="69"/>
      <c r="IEU59" s="69"/>
      <c r="IEV59" s="69"/>
      <c r="IEW59" s="69"/>
      <c r="IEX59" s="69"/>
      <c r="IEY59" s="69"/>
      <c r="IEZ59" s="69"/>
      <c r="IFA59" s="69" t="s">
        <v>116</v>
      </c>
      <c r="IFB59" s="69"/>
      <c r="IFC59" s="69"/>
      <c r="IFD59" s="69"/>
      <c r="IFE59" s="69"/>
      <c r="IFF59" s="69"/>
      <c r="IFG59" s="69"/>
      <c r="IFH59" s="69"/>
      <c r="IFI59" s="69"/>
      <c r="IFJ59" s="69"/>
      <c r="IFK59" s="69"/>
      <c r="IFL59" s="69"/>
      <c r="IFM59" s="69"/>
      <c r="IFN59" s="69"/>
      <c r="IFO59" s="69"/>
      <c r="IFP59" s="69"/>
      <c r="IFQ59" s="69"/>
      <c r="IFR59" s="69"/>
      <c r="IFS59" s="69"/>
      <c r="IFT59" s="69"/>
      <c r="IFU59" s="69"/>
      <c r="IFV59" s="69"/>
      <c r="IFW59" s="69"/>
      <c r="IFX59" s="69"/>
      <c r="IFY59" s="69"/>
      <c r="IFZ59" s="69"/>
      <c r="IGA59" s="69"/>
      <c r="IGB59" s="69"/>
      <c r="IGC59" s="69"/>
      <c r="IGD59" s="69"/>
      <c r="IGE59" s="69"/>
      <c r="IGF59" s="69"/>
      <c r="IGG59" s="69" t="s">
        <v>116</v>
      </c>
      <c r="IGH59" s="69"/>
      <c r="IGI59" s="69"/>
      <c r="IGJ59" s="69"/>
      <c r="IGK59" s="69"/>
      <c r="IGL59" s="69"/>
      <c r="IGM59" s="69"/>
      <c r="IGN59" s="69"/>
      <c r="IGO59" s="69"/>
      <c r="IGP59" s="69"/>
      <c r="IGQ59" s="69"/>
      <c r="IGR59" s="69"/>
      <c r="IGS59" s="69"/>
      <c r="IGT59" s="69"/>
      <c r="IGU59" s="69"/>
      <c r="IGV59" s="69"/>
      <c r="IGW59" s="69"/>
      <c r="IGX59" s="69"/>
      <c r="IGY59" s="69"/>
      <c r="IGZ59" s="69"/>
      <c r="IHA59" s="69"/>
      <c r="IHB59" s="69"/>
      <c r="IHC59" s="69"/>
      <c r="IHD59" s="69"/>
      <c r="IHE59" s="69"/>
      <c r="IHF59" s="69"/>
      <c r="IHG59" s="69"/>
      <c r="IHH59" s="69"/>
      <c r="IHI59" s="69"/>
      <c r="IHJ59" s="69"/>
      <c r="IHK59" s="69"/>
      <c r="IHL59" s="69"/>
      <c r="IHM59" s="69" t="s">
        <v>116</v>
      </c>
      <c r="IHN59" s="69"/>
      <c r="IHO59" s="69"/>
      <c r="IHP59" s="69"/>
      <c r="IHQ59" s="69"/>
      <c r="IHR59" s="69"/>
      <c r="IHS59" s="69"/>
      <c r="IHT59" s="69"/>
      <c r="IHU59" s="69"/>
      <c r="IHV59" s="69"/>
      <c r="IHW59" s="69"/>
      <c r="IHX59" s="69"/>
      <c r="IHY59" s="69"/>
      <c r="IHZ59" s="69"/>
      <c r="IIA59" s="69"/>
      <c r="IIB59" s="69"/>
      <c r="IIC59" s="69"/>
      <c r="IID59" s="69"/>
      <c r="IIE59" s="69"/>
      <c r="IIF59" s="69"/>
      <c r="IIG59" s="69"/>
      <c r="IIH59" s="69"/>
      <c r="III59" s="69"/>
      <c r="IIJ59" s="69"/>
      <c r="IIK59" s="69"/>
      <c r="IIL59" s="69"/>
      <c r="IIM59" s="69"/>
      <c r="IIN59" s="69"/>
      <c r="IIO59" s="69"/>
      <c r="IIP59" s="69"/>
      <c r="IIQ59" s="69"/>
      <c r="IIR59" s="69"/>
      <c r="IIS59" s="69" t="s">
        <v>116</v>
      </c>
      <c r="IIT59" s="69"/>
      <c r="IIU59" s="69"/>
      <c r="IIV59" s="69"/>
      <c r="IIW59" s="69"/>
      <c r="IIX59" s="69"/>
      <c r="IIY59" s="69"/>
      <c r="IIZ59" s="69"/>
      <c r="IJA59" s="69"/>
      <c r="IJB59" s="69"/>
      <c r="IJC59" s="69"/>
      <c r="IJD59" s="69"/>
      <c r="IJE59" s="69"/>
      <c r="IJF59" s="69"/>
      <c r="IJG59" s="69"/>
      <c r="IJH59" s="69"/>
      <c r="IJI59" s="69"/>
      <c r="IJJ59" s="69"/>
      <c r="IJK59" s="69"/>
      <c r="IJL59" s="69"/>
      <c r="IJM59" s="69"/>
      <c r="IJN59" s="69"/>
      <c r="IJO59" s="69"/>
      <c r="IJP59" s="69"/>
      <c r="IJQ59" s="69"/>
      <c r="IJR59" s="69"/>
      <c r="IJS59" s="69"/>
      <c r="IJT59" s="69"/>
      <c r="IJU59" s="69"/>
      <c r="IJV59" s="69"/>
      <c r="IJW59" s="69"/>
      <c r="IJX59" s="69"/>
      <c r="IJY59" s="69" t="s">
        <v>116</v>
      </c>
      <c r="IJZ59" s="69"/>
      <c r="IKA59" s="69"/>
      <c r="IKB59" s="69"/>
      <c r="IKC59" s="69"/>
      <c r="IKD59" s="69"/>
      <c r="IKE59" s="69"/>
      <c r="IKF59" s="69"/>
      <c r="IKG59" s="69"/>
      <c r="IKH59" s="69"/>
      <c r="IKI59" s="69"/>
      <c r="IKJ59" s="69"/>
      <c r="IKK59" s="69"/>
      <c r="IKL59" s="69"/>
      <c r="IKM59" s="69"/>
      <c r="IKN59" s="69"/>
      <c r="IKO59" s="69"/>
      <c r="IKP59" s="69"/>
      <c r="IKQ59" s="69"/>
      <c r="IKR59" s="69"/>
      <c r="IKS59" s="69"/>
      <c r="IKT59" s="69"/>
      <c r="IKU59" s="69"/>
      <c r="IKV59" s="69"/>
      <c r="IKW59" s="69"/>
      <c r="IKX59" s="69"/>
      <c r="IKY59" s="69"/>
      <c r="IKZ59" s="69"/>
      <c r="ILA59" s="69"/>
      <c r="ILB59" s="69"/>
      <c r="ILC59" s="69"/>
      <c r="ILD59" s="69"/>
      <c r="ILE59" s="69" t="s">
        <v>116</v>
      </c>
      <c r="ILF59" s="69"/>
      <c r="ILG59" s="69"/>
      <c r="ILH59" s="69"/>
      <c r="ILI59" s="69"/>
      <c r="ILJ59" s="69"/>
      <c r="ILK59" s="69"/>
      <c r="ILL59" s="69"/>
      <c r="ILM59" s="69"/>
      <c r="ILN59" s="69"/>
      <c r="ILO59" s="69"/>
      <c r="ILP59" s="69"/>
      <c r="ILQ59" s="69"/>
      <c r="ILR59" s="69"/>
      <c r="ILS59" s="69"/>
      <c r="ILT59" s="69"/>
      <c r="ILU59" s="69"/>
      <c r="ILV59" s="69"/>
      <c r="ILW59" s="69"/>
      <c r="ILX59" s="69"/>
      <c r="ILY59" s="69"/>
      <c r="ILZ59" s="69"/>
      <c r="IMA59" s="69"/>
      <c r="IMB59" s="69"/>
      <c r="IMC59" s="69"/>
      <c r="IMD59" s="69"/>
      <c r="IME59" s="69"/>
      <c r="IMF59" s="69"/>
      <c r="IMG59" s="69"/>
      <c r="IMH59" s="69"/>
      <c r="IMI59" s="69"/>
      <c r="IMJ59" s="69"/>
      <c r="IMK59" s="69" t="s">
        <v>116</v>
      </c>
      <c r="IML59" s="69"/>
      <c r="IMM59" s="69"/>
      <c r="IMN59" s="69"/>
      <c r="IMO59" s="69"/>
      <c r="IMP59" s="69"/>
      <c r="IMQ59" s="69"/>
      <c r="IMR59" s="69"/>
      <c r="IMS59" s="69"/>
      <c r="IMT59" s="69"/>
      <c r="IMU59" s="69"/>
      <c r="IMV59" s="69"/>
      <c r="IMW59" s="69"/>
      <c r="IMX59" s="69"/>
      <c r="IMY59" s="69"/>
      <c r="IMZ59" s="69"/>
      <c r="INA59" s="69"/>
      <c r="INB59" s="69"/>
      <c r="INC59" s="69"/>
      <c r="IND59" s="69"/>
      <c r="INE59" s="69"/>
      <c r="INF59" s="69"/>
      <c r="ING59" s="69"/>
      <c r="INH59" s="69"/>
      <c r="INI59" s="69"/>
      <c r="INJ59" s="69"/>
      <c r="INK59" s="69"/>
      <c r="INL59" s="69"/>
      <c r="INM59" s="69"/>
      <c r="INN59" s="69"/>
      <c r="INO59" s="69"/>
      <c r="INP59" s="69"/>
      <c r="INQ59" s="69" t="s">
        <v>116</v>
      </c>
      <c r="INR59" s="69"/>
      <c r="INS59" s="69"/>
      <c r="INT59" s="69"/>
      <c r="INU59" s="69"/>
      <c r="INV59" s="69"/>
      <c r="INW59" s="69"/>
      <c r="INX59" s="69"/>
      <c r="INY59" s="69"/>
      <c r="INZ59" s="69"/>
      <c r="IOA59" s="69"/>
      <c r="IOB59" s="69"/>
      <c r="IOC59" s="69"/>
      <c r="IOD59" s="69"/>
      <c r="IOE59" s="69"/>
      <c r="IOF59" s="69"/>
      <c r="IOG59" s="69"/>
      <c r="IOH59" s="69"/>
      <c r="IOI59" s="69"/>
      <c r="IOJ59" s="69"/>
      <c r="IOK59" s="69"/>
      <c r="IOL59" s="69"/>
      <c r="IOM59" s="69"/>
      <c r="ION59" s="69"/>
      <c r="IOO59" s="69"/>
      <c r="IOP59" s="69"/>
      <c r="IOQ59" s="69"/>
      <c r="IOR59" s="69"/>
      <c r="IOS59" s="69"/>
      <c r="IOT59" s="69"/>
      <c r="IOU59" s="69"/>
      <c r="IOV59" s="69"/>
      <c r="IOW59" s="69" t="s">
        <v>116</v>
      </c>
      <c r="IOX59" s="69"/>
      <c r="IOY59" s="69"/>
      <c r="IOZ59" s="69"/>
      <c r="IPA59" s="69"/>
      <c r="IPB59" s="69"/>
      <c r="IPC59" s="69"/>
      <c r="IPD59" s="69"/>
      <c r="IPE59" s="69"/>
      <c r="IPF59" s="69"/>
      <c r="IPG59" s="69"/>
      <c r="IPH59" s="69"/>
      <c r="IPI59" s="69"/>
      <c r="IPJ59" s="69"/>
      <c r="IPK59" s="69"/>
      <c r="IPL59" s="69"/>
      <c r="IPM59" s="69"/>
      <c r="IPN59" s="69"/>
      <c r="IPO59" s="69"/>
      <c r="IPP59" s="69"/>
      <c r="IPQ59" s="69"/>
      <c r="IPR59" s="69"/>
      <c r="IPS59" s="69"/>
      <c r="IPT59" s="69"/>
      <c r="IPU59" s="69"/>
      <c r="IPV59" s="69"/>
      <c r="IPW59" s="69"/>
      <c r="IPX59" s="69"/>
      <c r="IPY59" s="69"/>
      <c r="IPZ59" s="69"/>
      <c r="IQA59" s="69"/>
      <c r="IQB59" s="69"/>
      <c r="IQC59" s="69" t="s">
        <v>116</v>
      </c>
      <c r="IQD59" s="69"/>
      <c r="IQE59" s="69"/>
      <c r="IQF59" s="69"/>
      <c r="IQG59" s="69"/>
      <c r="IQH59" s="69"/>
      <c r="IQI59" s="69"/>
      <c r="IQJ59" s="69"/>
      <c r="IQK59" s="69"/>
      <c r="IQL59" s="69"/>
      <c r="IQM59" s="69"/>
      <c r="IQN59" s="69"/>
      <c r="IQO59" s="69"/>
      <c r="IQP59" s="69"/>
      <c r="IQQ59" s="69"/>
      <c r="IQR59" s="69"/>
      <c r="IQS59" s="69"/>
      <c r="IQT59" s="69"/>
      <c r="IQU59" s="69"/>
      <c r="IQV59" s="69"/>
      <c r="IQW59" s="69"/>
      <c r="IQX59" s="69"/>
      <c r="IQY59" s="69"/>
      <c r="IQZ59" s="69"/>
      <c r="IRA59" s="69"/>
      <c r="IRB59" s="69"/>
      <c r="IRC59" s="69"/>
      <c r="IRD59" s="69"/>
      <c r="IRE59" s="69"/>
      <c r="IRF59" s="69"/>
      <c r="IRG59" s="69"/>
      <c r="IRH59" s="69"/>
      <c r="IRI59" s="69" t="s">
        <v>116</v>
      </c>
      <c r="IRJ59" s="69"/>
      <c r="IRK59" s="69"/>
      <c r="IRL59" s="69"/>
      <c r="IRM59" s="69"/>
      <c r="IRN59" s="69"/>
      <c r="IRO59" s="69"/>
      <c r="IRP59" s="69"/>
      <c r="IRQ59" s="69"/>
      <c r="IRR59" s="69"/>
      <c r="IRS59" s="69"/>
      <c r="IRT59" s="69"/>
      <c r="IRU59" s="69"/>
      <c r="IRV59" s="69"/>
      <c r="IRW59" s="69"/>
      <c r="IRX59" s="69"/>
      <c r="IRY59" s="69"/>
      <c r="IRZ59" s="69"/>
      <c r="ISA59" s="69"/>
      <c r="ISB59" s="69"/>
      <c r="ISC59" s="69"/>
      <c r="ISD59" s="69"/>
      <c r="ISE59" s="69"/>
      <c r="ISF59" s="69"/>
      <c r="ISG59" s="69"/>
      <c r="ISH59" s="69"/>
      <c r="ISI59" s="69"/>
      <c r="ISJ59" s="69"/>
      <c r="ISK59" s="69"/>
      <c r="ISL59" s="69"/>
      <c r="ISM59" s="69"/>
      <c r="ISN59" s="69"/>
      <c r="ISO59" s="69" t="s">
        <v>116</v>
      </c>
      <c r="ISP59" s="69"/>
      <c r="ISQ59" s="69"/>
      <c r="ISR59" s="69"/>
      <c r="ISS59" s="69"/>
      <c r="IST59" s="69"/>
      <c r="ISU59" s="69"/>
      <c r="ISV59" s="69"/>
      <c r="ISW59" s="69"/>
      <c r="ISX59" s="69"/>
      <c r="ISY59" s="69"/>
      <c r="ISZ59" s="69"/>
      <c r="ITA59" s="69"/>
      <c r="ITB59" s="69"/>
      <c r="ITC59" s="69"/>
      <c r="ITD59" s="69"/>
      <c r="ITE59" s="69"/>
      <c r="ITF59" s="69"/>
      <c r="ITG59" s="69"/>
      <c r="ITH59" s="69"/>
      <c r="ITI59" s="69"/>
      <c r="ITJ59" s="69"/>
      <c r="ITK59" s="69"/>
      <c r="ITL59" s="69"/>
      <c r="ITM59" s="69"/>
      <c r="ITN59" s="69"/>
      <c r="ITO59" s="69"/>
      <c r="ITP59" s="69"/>
      <c r="ITQ59" s="69"/>
      <c r="ITR59" s="69"/>
      <c r="ITS59" s="69"/>
      <c r="ITT59" s="69"/>
      <c r="ITU59" s="69" t="s">
        <v>116</v>
      </c>
      <c r="ITV59" s="69"/>
      <c r="ITW59" s="69"/>
      <c r="ITX59" s="69"/>
      <c r="ITY59" s="69"/>
      <c r="ITZ59" s="69"/>
      <c r="IUA59" s="69"/>
      <c r="IUB59" s="69"/>
      <c r="IUC59" s="69"/>
      <c r="IUD59" s="69"/>
      <c r="IUE59" s="69"/>
      <c r="IUF59" s="69"/>
      <c r="IUG59" s="69"/>
      <c r="IUH59" s="69"/>
      <c r="IUI59" s="69"/>
      <c r="IUJ59" s="69"/>
      <c r="IUK59" s="69"/>
      <c r="IUL59" s="69"/>
      <c r="IUM59" s="69"/>
      <c r="IUN59" s="69"/>
      <c r="IUO59" s="69"/>
      <c r="IUP59" s="69"/>
      <c r="IUQ59" s="69"/>
      <c r="IUR59" s="69"/>
      <c r="IUS59" s="69"/>
      <c r="IUT59" s="69"/>
      <c r="IUU59" s="69"/>
      <c r="IUV59" s="69"/>
      <c r="IUW59" s="69"/>
      <c r="IUX59" s="69"/>
      <c r="IUY59" s="69"/>
      <c r="IUZ59" s="69"/>
      <c r="IVA59" s="69" t="s">
        <v>116</v>
      </c>
      <c r="IVB59" s="69"/>
      <c r="IVC59" s="69"/>
      <c r="IVD59" s="69"/>
      <c r="IVE59" s="69"/>
      <c r="IVF59" s="69"/>
      <c r="IVG59" s="69"/>
      <c r="IVH59" s="69"/>
      <c r="IVI59" s="69"/>
      <c r="IVJ59" s="69"/>
      <c r="IVK59" s="69"/>
      <c r="IVL59" s="69"/>
      <c r="IVM59" s="69"/>
      <c r="IVN59" s="69"/>
      <c r="IVO59" s="69"/>
      <c r="IVP59" s="69"/>
      <c r="IVQ59" s="69"/>
      <c r="IVR59" s="69"/>
      <c r="IVS59" s="69"/>
      <c r="IVT59" s="69"/>
      <c r="IVU59" s="69"/>
      <c r="IVV59" s="69"/>
      <c r="IVW59" s="69"/>
      <c r="IVX59" s="69"/>
      <c r="IVY59" s="69"/>
      <c r="IVZ59" s="69"/>
      <c r="IWA59" s="69"/>
      <c r="IWB59" s="69"/>
      <c r="IWC59" s="69"/>
      <c r="IWD59" s="69"/>
      <c r="IWE59" s="69"/>
      <c r="IWF59" s="69"/>
      <c r="IWG59" s="69" t="s">
        <v>116</v>
      </c>
      <c r="IWH59" s="69"/>
      <c r="IWI59" s="69"/>
      <c r="IWJ59" s="69"/>
      <c r="IWK59" s="69"/>
      <c r="IWL59" s="69"/>
      <c r="IWM59" s="69"/>
      <c r="IWN59" s="69"/>
      <c r="IWO59" s="69"/>
      <c r="IWP59" s="69"/>
      <c r="IWQ59" s="69"/>
      <c r="IWR59" s="69"/>
      <c r="IWS59" s="69"/>
      <c r="IWT59" s="69"/>
      <c r="IWU59" s="69"/>
      <c r="IWV59" s="69"/>
      <c r="IWW59" s="69"/>
      <c r="IWX59" s="69"/>
      <c r="IWY59" s="69"/>
      <c r="IWZ59" s="69"/>
      <c r="IXA59" s="69"/>
      <c r="IXB59" s="69"/>
      <c r="IXC59" s="69"/>
      <c r="IXD59" s="69"/>
      <c r="IXE59" s="69"/>
      <c r="IXF59" s="69"/>
      <c r="IXG59" s="69"/>
      <c r="IXH59" s="69"/>
      <c r="IXI59" s="69"/>
      <c r="IXJ59" s="69"/>
      <c r="IXK59" s="69"/>
      <c r="IXL59" s="69"/>
      <c r="IXM59" s="69" t="s">
        <v>116</v>
      </c>
      <c r="IXN59" s="69"/>
      <c r="IXO59" s="69"/>
      <c r="IXP59" s="69"/>
      <c r="IXQ59" s="69"/>
      <c r="IXR59" s="69"/>
      <c r="IXS59" s="69"/>
      <c r="IXT59" s="69"/>
      <c r="IXU59" s="69"/>
      <c r="IXV59" s="69"/>
      <c r="IXW59" s="69"/>
      <c r="IXX59" s="69"/>
      <c r="IXY59" s="69"/>
      <c r="IXZ59" s="69"/>
      <c r="IYA59" s="69"/>
      <c r="IYB59" s="69"/>
      <c r="IYC59" s="69"/>
      <c r="IYD59" s="69"/>
      <c r="IYE59" s="69"/>
      <c r="IYF59" s="69"/>
      <c r="IYG59" s="69"/>
      <c r="IYH59" s="69"/>
      <c r="IYI59" s="69"/>
      <c r="IYJ59" s="69"/>
      <c r="IYK59" s="69"/>
      <c r="IYL59" s="69"/>
      <c r="IYM59" s="69"/>
      <c r="IYN59" s="69"/>
      <c r="IYO59" s="69"/>
      <c r="IYP59" s="69"/>
      <c r="IYQ59" s="69"/>
      <c r="IYR59" s="69"/>
      <c r="IYS59" s="69" t="s">
        <v>116</v>
      </c>
      <c r="IYT59" s="69"/>
      <c r="IYU59" s="69"/>
      <c r="IYV59" s="69"/>
      <c r="IYW59" s="69"/>
      <c r="IYX59" s="69"/>
      <c r="IYY59" s="69"/>
      <c r="IYZ59" s="69"/>
      <c r="IZA59" s="69"/>
      <c r="IZB59" s="69"/>
      <c r="IZC59" s="69"/>
      <c r="IZD59" s="69"/>
      <c r="IZE59" s="69"/>
      <c r="IZF59" s="69"/>
      <c r="IZG59" s="69"/>
      <c r="IZH59" s="69"/>
      <c r="IZI59" s="69"/>
      <c r="IZJ59" s="69"/>
      <c r="IZK59" s="69"/>
      <c r="IZL59" s="69"/>
      <c r="IZM59" s="69"/>
      <c r="IZN59" s="69"/>
      <c r="IZO59" s="69"/>
      <c r="IZP59" s="69"/>
      <c r="IZQ59" s="69"/>
      <c r="IZR59" s="69"/>
      <c r="IZS59" s="69"/>
      <c r="IZT59" s="69"/>
      <c r="IZU59" s="69"/>
      <c r="IZV59" s="69"/>
      <c r="IZW59" s="69"/>
      <c r="IZX59" s="69"/>
      <c r="IZY59" s="69" t="s">
        <v>116</v>
      </c>
      <c r="IZZ59" s="69"/>
      <c r="JAA59" s="69"/>
      <c r="JAB59" s="69"/>
      <c r="JAC59" s="69"/>
      <c r="JAD59" s="69"/>
      <c r="JAE59" s="69"/>
      <c r="JAF59" s="69"/>
      <c r="JAG59" s="69"/>
      <c r="JAH59" s="69"/>
      <c r="JAI59" s="69"/>
      <c r="JAJ59" s="69"/>
      <c r="JAK59" s="69"/>
      <c r="JAL59" s="69"/>
      <c r="JAM59" s="69"/>
      <c r="JAN59" s="69"/>
      <c r="JAO59" s="69"/>
      <c r="JAP59" s="69"/>
      <c r="JAQ59" s="69"/>
      <c r="JAR59" s="69"/>
      <c r="JAS59" s="69"/>
      <c r="JAT59" s="69"/>
      <c r="JAU59" s="69"/>
      <c r="JAV59" s="69"/>
      <c r="JAW59" s="69"/>
      <c r="JAX59" s="69"/>
      <c r="JAY59" s="69"/>
      <c r="JAZ59" s="69"/>
      <c r="JBA59" s="69"/>
      <c r="JBB59" s="69"/>
      <c r="JBC59" s="69"/>
      <c r="JBD59" s="69"/>
      <c r="JBE59" s="69" t="s">
        <v>116</v>
      </c>
      <c r="JBF59" s="69"/>
      <c r="JBG59" s="69"/>
      <c r="JBH59" s="69"/>
      <c r="JBI59" s="69"/>
      <c r="JBJ59" s="69"/>
      <c r="JBK59" s="69"/>
      <c r="JBL59" s="69"/>
      <c r="JBM59" s="69"/>
      <c r="JBN59" s="69"/>
      <c r="JBO59" s="69"/>
      <c r="JBP59" s="69"/>
      <c r="JBQ59" s="69"/>
      <c r="JBR59" s="69"/>
      <c r="JBS59" s="69"/>
      <c r="JBT59" s="69"/>
      <c r="JBU59" s="69"/>
      <c r="JBV59" s="69"/>
      <c r="JBW59" s="69"/>
      <c r="JBX59" s="69"/>
      <c r="JBY59" s="69"/>
      <c r="JBZ59" s="69"/>
      <c r="JCA59" s="69"/>
      <c r="JCB59" s="69"/>
      <c r="JCC59" s="69"/>
      <c r="JCD59" s="69"/>
      <c r="JCE59" s="69"/>
      <c r="JCF59" s="69"/>
      <c r="JCG59" s="69"/>
      <c r="JCH59" s="69"/>
      <c r="JCI59" s="69"/>
      <c r="JCJ59" s="69"/>
      <c r="JCK59" s="69" t="s">
        <v>116</v>
      </c>
      <c r="JCL59" s="69"/>
      <c r="JCM59" s="69"/>
      <c r="JCN59" s="69"/>
      <c r="JCO59" s="69"/>
      <c r="JCP59" s="69"/>
      <c r="JCQ59" s="69"/>
      <c r="JCR59" s="69"/>
      <c r="JCS59" s="69"/>
      <c r="JCT59" s="69"/>
      <c r="JCU59" s="69"/>
      <c r="JCV59" s="69"/>
      <c r="JCW59" s="69"/>
      <c r="JCX59" s="69"/>
      <c r="JCY59" s="69"/>
      <c r="JCZ59" s="69"/>
      <c r="JDA59" s="69"/>
      <c r="JDB59" s="69"/>
      <c r="JDC59" s="69"/>
      <c r="JDD59" s="69"/>
      <c r="JDE59" s="69"/>
      <c r="JDF59" s="69"/>
      <c r="JDG59" s="69"/>
      <c r="JDH59" s="69"/>
      <c r="JDI59" s="69"/>
      <c r="JDJ59" s="69"/>
      <c r="JDK59" s="69"/>
      <c r="JDL59" s="69"/>
      <c r="JDM59" s="69"/>
      <c r="JDN59" s="69"/>
      <c r="JDO59" s="69"/>
      <c r="JDP59" s="69"/>
      <c r="JDQ59" s="69" t="s">
        <v>116</v>
      </c>
      <c r="JDR59" s="69"/>
      <c r="JDS59" s="69"/>
      <c r="JDT59" s="69"/>
      <c r="JDU59" s="69"/>
      <c r="JDV59" s="69"/>
      <c r="JDW59" s="69"/>
      <c r="JDX59" s="69"/>
      <c r="JDY59" s="69"/>
      <c r="JDZ59" s="69"/>
      <c r="JEA59" s="69"/>
      <c r="JEB59" s="69"/>
      <c r="JEC59" s="69"/>
      <c r="JED59" s="69"/>
      <c r="JEE59" s="69"/>
      <c r="JEF59" s="69"/>
      <c r="JEG59" s="69"/>
      <c r="JEH59" s="69"/>
      <c r="JEI59" s="69"/>
      <c r="JEJ59" s="69"/>
      <c r="JEK59" s="69"/>
      <c r="JEL59" s="69"/>
      <c r="JEM59" s="69"/>
      <c r="JEN59" s="69"/>
      <c r="JEO59" s="69"/>
      <c r="JEP59" s="69"/>
      <c r="JEQ59" s="69"/>
      <c r="JER59" s="69"/>
      <c r="JES59" s="69"/>
      <c r="JET59" s="69"/>
      <c r="JEU59" s="69"/>
      <c r="JEV59" s="69"/>
      <c r="JEW59" s="69" t="s">
        <v>116</v>
      </c>
      <c r="JEX59" s="69"/>
      <c r="JEY59" s="69"/>
      <c r="JEZ59" s="69"/>
      <c r="JFA59" s="69"/>
      <c r="JFB59" s="69"/>
      <c r="JFC59" s="69"/>
      <c r="JFD59" s="69"/>
      <c r="JFE59" s="69"/>
      <c r="JFF59" s="69"/>
      <c r="JFG59" s="69"/>
      <c r="JFH59" s="69"/>
      <c r="JFI59" s="69"/>
      <c r="JFJ59" s="69"/>
      <c r="JFK59" s="69"/>
      <c r="JFL59" s="69"/>
      <c r="JFM59" s="69"/>
      <c r="JFN59" s="69"/>
      <c r="JFO59" s="69"/>
      <c r="JFP59" s="69"/>
      <c r="JFQ59" s="69"/>
      <c r="JFR59" s="69"/>
      <c r="JFS59" s="69"/>
      <c r="JFT59" s="69"/>
      <c r="JFU59" s="69"/>
      <c r="JFV59" s="69"/>
      <c r="JFW59" s="69"/>
      <c r="JFX59" s="69"/>
      <c r="JFY59" s="69"/>
      <c r="JFZ59" s="69"/>
      <c r="JGA59" s="69"/>
      <c r="JGB59" s="69"/>
      <c r="JGC59" s="69" t="s">
        <v>116</v>
      </c>
      <c r="JGD59" s="69"/>
      <c r="JGE59" s="69"/>
      <c r="JGF59" s="69"/>
      <c r="JGG59" s="69"/>
      <c r="JGH59" s="69"/>
      <c r="JGI59" s="69"/>
      <c r="JGJ59" s="69"/>
      <c r="JGK59" s="69"/>
      <c r="JGL59" s="69"/>
      <c r="JGM59" s="69"/>
      <c r="JGN59" s="69"/>
      <c r="JGO59" s="69"/>
      <c r="JGP59" s="69"/>
      <c r="JGQ59" s="69"/>
      <c r="JGR59" s="69"/>
      <c r="JGS59" s="69"/>
      <c r="JGT59" s="69"/>
      <c r="JGU59" s="69"/>
      <c r="JGV59" s="69"/>
      <c r="JGW59" s="69"/>
      <c r="JGX59" s="69"/>
      <c r="JGY59" s="69"/>
      <c r="JGZ59" s="69"/>
      <c r="JHA59" s="69"/>
      <c r="JHB59" s="69"/>
      <c r="JHC59" s="69"/>
      <c r="JHD59" s="69"/>
      <c r="JHE59" s="69"/>
      <c r="JHF59" s="69"/>
      <c r="JHG59" s="69"/>
      <c r="JHH59" s="69"/>
      <c r="JHI59" s="69" t="s">
        <v>116</v>
      </c>
      <c r="JHJ59" s="69"/>
      <c r="JHK59" s="69"/>
      <c r="JHL59" s="69"/>
      <c r="JHM59" s="69"/>
      <c r="JHN59" s="69"/>
      <c r="JHO59" s="69"/>
      <c r="JHP59" s="69"/>
      <c r="JHQ59" s="69"/>
      <c r="JHR59" s="69"/>
      <c r="JHS59" s="69"/>
      <c r="JHT59" s="69"/>
      <c r="JHU59" s="69"/>
      <c r="JHV59" s="69"/>
      <c r="JHW59" s="69"/>
      <c r="JHX59" s="69"/>
      <c r="JHY59" s="69"/>
      <c r="JHZ59" s="69"/>
      <c r="JIA59" s="69"/>
      <c r="JIB59" s="69"/>
      <c r="JIC59" s="69"/>
      <c r="JID59" s="69"/>
      <c r="JIE59" s="69"/>
      <c r="JIF59" s="69"/>
      <c r="JIG59" s="69"/>
      <c r="JIH59" s="69"/>
      <c r="JII59" s="69"/>
      <c r="JIJ59" s="69"/>
      <c r="JIK59" s="69"/>
      <c r="JIL59" s="69"/>
      <c r="JIM59" s="69"/>
      <c r="JIN59" s="69"/>
      <c r="JIO59" s="69" t="s">
        <v>116</v>
      </c>
      <c r="JIP59" s="69"/>
      <c r="JIQ59" s="69"/>
      <c r="JIR59" s="69"/>
      <c r="JIS59" s="69"/>
      <c r="JIT59" s="69"/>
      <c r="JIU59" s="69"/>
      <c r="JIV59" s="69"/>
      <c r="JIW59" s="69"/>
      <c r="JIX59" s="69"/>
      <c r="JIY59" s="69"/>
      <c r="JIZ59" s="69"/>
      <c r="JJA59" s="69"/>
      <c r="JJB59" s="69"/>
      <c r="JJC59" s="69"/>
      <c r="JJD59" s="69"/>
      <c r="JJE59" s="69"/>
      <c r="JJF59" s="69"/>
      <c r="JJG59" s="69"/>
      <c r="JJH59" s="69"/>
      <c r="JJI59" s="69"/>
      <c r="JJJ59" s="69"/>
      <c r="JJK59" s="69"/>
      <c r="JJL59" s="69"/>
      <c r="JJM59" s="69"/>
      <c r="JJN59" s="69"/>
      <c r="JJO59" s="69"/>
      <c r="JJP59" s="69"/>
      <c r="JJQ59" s="69"/>
      <c r="JJR59" s="69"/>
      <c r="JJS59" s="69"/>
      <c r="JJT59" s="69"/>
      <c r="JJU59" s="69" t="s">
        <v>116</v>
      </c>
      <c r="JJV59" s="69"/>
      <c r="JJW59" s="69"/>
      <c r="JJX59" s="69"/>
      <c r="JJY59" s="69"/>
      <c r="JJZ59" s="69"/>
      <c r="JKA59" s="69"/>
      <c r="JKB59" s="69"/>
      <c r="JKC59" s="69"/>
      <c r="JKD59" s="69"/>
      <c r="JKE59" s="69"/>
      <c r="JKF59" s="69"/>
      <c r="JKG59" s="69"/>
      <c r="JKH59" s="69"/>
      <c r="JKI59" s="69"/>
      <c r="JKJ59" s="69"/>
      <c r="JKK59" s="69"/>
      <c r="JKL59" s="69"/>
      <c r="JKM59" s="69"/>
      <c r="JKN59" s="69"/>
      <c r="JKO59" s="69"/>
      <c r="JKP59" s="69"/>
      <c r="JKQ59" s="69"/>
      <c r="JKR59" s="69"/>
      <c r="JKS59" s="69"/>
      <c r="JKT59" s="69"/>
      <c r="JKU59" s="69"/>
      <c r="JKV59" s="69"/>
      <c r="JKW59" s="69"/>
      <c r="JKX59" s="69"/>
      <c r="JKY59" s="69"/>
      <c r="JKZ59" s="69"/>
      <c r="JLA59" s="69" t="s">
        <v>116</v>
      </c>
      <c r="JLB59" s="69"/>
      <c r="JLC59" s="69"/>
      <c r="JLD59" s="69"/>
      <c r="JLE59" s="69"/>
      <c r="JLF59" s="69"/>
      <c r="JLG59" s="69"/>
      <c r="JLH59" s="69"/>
      <c r="JLI59" s="69"/>
      <c r="JLJ59" s="69"/>
      <c r="JLK59" s="69"/>
      <c r="JLL59" s="69"/>
      <c r="JLM59" s="69"/>
      <c r="JLN59" s="69"/>
      <c r="JLO59" s="69"/>
      <c r="JLP59" s="69"/>
      <c r="JLQ59" s="69"/>
      <c r="JLR59" s="69"/>
      <c r="JLS59" s="69"/>
      <c r="JLT59" s="69"/>
      <c r="JLU59" s="69"/>
      <c r="JLV59" s="69"/>
      <c r="JLW59" s="69"/>
      <c r="JLX59" s="69"/>
      <c r="JLY59" s="69"/>
      <c r="JLZ59" s="69"/>
      <c r="JMA59" s="69"/>
      <c r="JMB59" s="69"/>
      <c r="JMC59" s="69"/>
      <c r="JMD59" s="69"/>
      <c r="JME59" s="69"/>
      <c r="JMF59" s="69"/>
      <c r="JMG59" s="69" t="s">
        <v>116</v>
      </c>
      <c r="JMH59" s="69"/>
      <c r="JMI59" s="69"/>
      <c r="JMJ59" s="69"/>
      <c r="JMK59" s="69"/>
      <c r="JML59" s="69"/>
      <c r="JMM59" s="69"/>
      <c r="JMN59" s="69"/>
      <c r="JMO59" s="69"/>
      <c r="JMP59" s="69"/>
      <c r="JMQ59" s="69"/>
      <c r="JMR59" s="69"/>
      <c r="JMS59" s="69"/>
      <c r="JMT59" s="69"/>
      <c r="JMU59" s="69"/>
      <c r="JMV59" s="69"/>
      <c r="JMW59" s="69"/>
      <c r="JMX59" s="69"/>
      <c r="JMY59" s="69"/>
      <c r="JMZ59" s="69"/>
      <c r="JNA59" s="69"/>
      <c r="JNB59" s="69"/>
      <c r="JNC59" s="69"/>
      <c r="JND59" s="69"/>
      <c r="JNE59" s="69"/>
      <c r="JNF59" s="69"/>
      <c r="JNG59" s="69"/>
      <c r="JNH59" s="69"/>
      <c r="JNI59" s="69"/>
      <c r="JNJ59" s="69"/>
      <c r="JNK59" s="69"/>
      <c r="JNL59" s="69"/>
      <c r="JNM59" s="69" t="s">
        <v>116</v>
      </c>
      <c r="JNN59" s="69"/>
      <c r="JNO59" s="69"/>
      <c r="JNP59" s="69"/>
      <c r="JNQ59" s="69"/>
      <c r="JNR59" s="69"/>
      <c r="JNS59" s="69"/>
      <c r="JNT59" s="69"/>
      <c r="JNU59" s="69"/>
      <c r="JNV59" s="69"/>
      <c r="JNW59" s="69"/>
      <c r="JNX59" s="69"/>
      <c r="JNY59" s="69"/>
      <c r="JNZ59" s="69"/>
      <c r="JOA59" s="69"/>
      <c r="JOB59" s="69"/>
      <c r="JOC59" s="69"/>
      <c r="JOD59" s="69"/>
      <c r="JOE59" s="69"/>
      <c r="JOF59" s="69"/>
      <c r="JOG59" s="69"/>
      <c r="JOH59" s="69"/>
      <c r="JOI59" s="69"/>
      <c r="JOJ59" s="69"/>
      <c r="JOK59" s="69"/>
      <c r="JOL59" s="69"/>
      <c r="JOM59" s="69"/>
      <c r="JON59" s="69"/>
      <c r="JOO59" s="69"/>
      <c r="JOP59" s="69"/>
      <c r="JOQ59" s="69"/>
      <c r="JOR59" s="69"/>
      <c r="JOS59" s="69" t="s">
        <v>116</v>
      </c>
      <c r="JOT59" s="69"/>
      <c r="JOU59" s="69"/>
      <c r="JOV59" s="69"/>
      <c r="JOW59" s="69"/>
      <c r="JOX59" s="69"/>
      <c r="JOY59" s="69"/>
      <c r="JOZ59" s="69"/>
      <c r="JPA59" s="69"/>
      <c r="JPB59" s="69"/>
      <c r="JPC59" s="69"/>
      <c r="JPD59" s="69"/>
      <c r="JPE59" s="69"/>
      <c r="JPF59" s="69"/>
      <c r="JPG59" s="69"/>
      <c r="JPH59" s="69"/>
      <c r="JPI59" s="69"/>
      <c r="JPJ59" s="69"/>
      <c r="JPK59" s="69"/>
      <c r="JPL59" s="69"/>
      <c r="JPM59" s="69"/>
      <c r="JPN59" s="69"/>
      <c r="JPO59" s="69"/>
      <c r="JPP59" s="69"/>
      <c r="JPQ59" s="69"/>
      <c r="JPR59" s="69"/>
      <c r="JPS59" s="69"/>
      <c r="JPT59" s="69"/>
      <c r="JPU59" s="69"/>
      <c r="JPV59" s="69"/>
      <c r="JPW59" s="69"/>
      <c r="JPX59" s="69"/>
      <c r="JPY59" s="69" t="s">
        <v>116</v>
      </c>
      <c r="JPZ59" s="69"/>
      <c r="JQA59" s="69"/>
      <c r="JQB59" s="69"/>
      <c r="JQC59" s="69"/>
      <c r="JQD59" s="69"/>
      <c r="JQE59" s="69"/>
      <c r="JQF59" s="69"/>
      <c r="JQG59" s="69"/>
      <c r="JQH59" s="69"/>
      <c r="JQI59" s="69"/>
      <c r="JQJ59" s="69"/>
      <c r="JQK59" s="69"/>
      <c r="JQL59" s="69"/>
      <c r="JQM59" s="69"/>
      <c r="JQN59" s="69"/>
      <c r="JQO59" s="69"/>
      <c r="JQP59" s="69"/>
      <c r="JQQ59" s="69"/>
      <c r="JQR59" s="69"/>
      <c r="JQS59" s="69"/>
      <c r="JQT59" s="69"/>
      <c r="JQU59" s="69"/>
      <c r="JQV59" s="69"/>
      <c r="JQW59" s="69"/>
      <c r="JQX59" s="69"/>
      <c r="JQY59" s="69"/>
      <c r="JQZ59" s="69"/>
      <c r="JRA59" s="69"/>
      <c r="JRB59" s="69"/>
      <c r="JRC59" s="69"/>
      <c r="JRD59" s="69"/>
      <c r="JRE59" s="69" t="s">
        <v>116</v>
      </c>
      <c r="JRF59" s="69"/>
      <c r="JRG59" s="69"/>
      <c r="JRH59" s="69"/>
      <c r="JRI59" s="69"/>
      <c r="JRJ59" s="69"/>
      <c r="JRK59" s="69"/>
      <c r="JRL59" s="69"/>
      <c r="JRM59" s="69"/>
      <c r="JRN59" s="69"/>
      <c r="JRO59" s="69"/>
      <c r="JRP59" s="69"/>
      <c r="JRQ59" s="69"/>
      <c r="JRR59" s="69"/>
      <c r="JRS59" s="69"/>
      <c r="JRT59" s="69"/>
      <c r="JRU59" s="69"/>
      <c r="JRV59" s="69"/>
      <c r="JRW59" s="69"/>
      <c r="JRX59" s="69"/>
      <c r="JRY59" s="69"/>
      <c r="JRZ59" s="69"/>
      <c r="JSA59" s="69"/>
      <c r="JSB59" s="69"/>
      <c r="JSC59" s="69"/>
      <c r="JSD59" s="69"/>
      <c r="JSE59" s="69"/>
      <c r="JSF59" s="69"/>
      <c r="JSG59" s="69"/>
      <c r="JSH59" s="69"/>
      <c r="JSI59" s="69"/>
      <c r="JSJ59" s="69"/>
      <c r="JSK59" s="69" t="s">
        <v>116</v>
      </c>
      <c r="JSL59" s="69"/>
      <c r="JSM59" s="69"/>
      <c r="JSN59" s="69"/>
      <c r="JSO59" s="69"/>
      <c r="JSP59" s="69"/>
      <c r="JSQ59" s="69"/>
      <c r="JSR59" s="69"/>
      <c r="JSS59" s="69"/>
      <c r="JST59" s="69"/>
      <c r="JSU59" s="69"/>
      <c r="JSV59" s="69"/>
      <c r="JSW59" s="69"/>
      <c r="JSX59" s="69"/>
      <c r="JSY59" s="69"/>
      <c r="JSZ59" s="69"/>
      <c r="JTA59" s="69"/>
      <c r="JTB59" s="69"/>
      <c r="JTC59" s="69"/>
      <c r="JTD59" s="69"/>
      <c r="JTE59" s="69"/>
      <c r="JTF59" s="69"/>
      <c r="JTG59" s="69"/>
      <c r="JTH59" s="69"/>
      <c r="JTI59" s="69"/>
      <c r="JTJ59" s="69"/>
      <c r="JTK59" s="69"/>
      <c r="JTL59" s="69"/>
      <c r="JTM59" s="69"/>
      <c r="JTN59" s="69"/>
      <c r="JTO59" s="69"/>
      <c r="JTP59" s="69"/>
      <c r="JTQ59" s="69" t="s">
        <v>116</v>
      </c>
      <c r="JTR59" s="69"/>
      <c r="JTS59" s="69"/>
      <c r="JTT59" s="69"/>
      <c r="JTU59" s="69"/>
      <c r="JTV59" s="69"/>
      <c r="JTW59" s="69"/>
      <c r="JTX59" s="69"/>
      <c r="JTY59" s="69"/>
      <c r="JTZ59" s="69"/>
      <c r="JUA59" s="69"/>
      <c r="JUB59" s="69"/>
      <c r="JUC59" s="69"/>
      <c r="JUD59" s="69"/>
      <c r="JUE59" s="69"/>
      <c r="JUF59" s="69"/>
      <c r="JUG59" s="69"/>
      <c r="JUH59" s="69"/>
      <c r="JUI59" s="69"/>
      <c r="JUJ59" s="69"/>
      <c r="JUK59" s="69"/>
      <c r="JUL59" s="69"/>
      <c r="JUM59" s="69"/>
      <c r="JUN59" s="69"/>
      <c r="JUO59" s="69"/>
      <c r="JUP59" s="69"/>
      <c r="JUQ59" s="69"/>
      <c r="JUR59" s="69"/>
      <c r="JUS59" s="69"/>
      <c r="JUT59" s="69"/>
      <c r="JUU59" s="69"/>
      <c r="JUV59" s="69"/>
      <c r="JUW59" s="69" t="s">
        <v>116</v>
      </c>
      <c r="JUX59" s="69"/>
      <c r="JUY59" s="69"/>
      <c r="JUZ59" s="69"/>
      <c r="JVA59" s="69"/>
      <c r="JVB59" s="69"/>
      <c r="JVC59" s="69"/>
      <c r="JVD59" s="69"/>
      <c r="JVE59" s="69"/>
      <c r="JVF59" s="69"/>
      <c r="JVG59" s="69"/>
      <c r="JVH59" s="69"/>
      <c r="JVI59" s="69"/>
      <c r="JVJ59" s="69"/>
      <c r="JVK59" s="69"/>
      <c r="JVL59" s="69"/>
      <c r="JVM59" s="69"/>
      <c r="JVN59" s="69"/>
      <c r="JVO59" s="69"/>
      <c r="JVP59" s="69"/>
      <c r="JVQ59" s="69"/>
      <c r="JVR59" s="69"/>
      <c r="JVS59" s="69"/>
      <c r="JVT59" s="69"/>
      <c r="JVU59" s="69"/>
      <c r="JVV59" s="69"/>
      <c r="JVW59" s="69"/>
      <c r="JVX59" s="69"/>
      <c r="JVY59" s="69"/>
      <c r="JVZ59" s="69"/>
      <c r="JWA59" s="69"/>
      <c r="JWB59" s="69"/>
      <c r="JWC59" s="69" t="s">
        <v>116</v>
      </c>
      <c r="JWD59" s="69"/>
      <c r="JWE59" s="69"/>
      <c r="JWF59" s="69"/>
      <c r="JWG59" s="69"/>
      <c r="JWH59" s="69"/>
      <c r="JWI59" s="69"/>
      <c r="JWJ59" s="69"/>
      <c r="JWK59" s="69"/>
      <c r="JWL59" s="69"/>
      <c r="JWM59" s="69"/>
      <c r="JWN59" s="69"/>
      <c r="JWO59" s="69"/>
      <c r="JWP59" s="69"/>
      <c r="JWQ59" s="69"/>
      <c r="JWR59" s="69"/>
      <c r="JWS59" s="69"/>
      <c r="JWT59" s="69"/>
      <c r="JWU59" s="69"/>
      <c r="JWV59" s="69"/>
      <c r="JWW59" s="69"/>
      <c r="JWX59" s="69"/>
      <c r="JWY59" s="69"/>
      <c r="JWZ59" s="69"/>
      <c r="JXA59" s="69"/>
      <c r="JXB59" s="69"/>
      <c r="JXC59" s="69"/>
      <c r="JXD59" s="69"/>
      <c r="JXE59" s="69"/>
      <c r="JXF59" s="69"/>
      <c r="JXG59" s="69"/>
      <c r="JXH59" s="69"/>
      <c r="JXI59" s="69" t="s">
        <v>116</v>
      </c>
      <c r="JXJ59" s="69"/>
      <c r="JXK59" s="69"/>
      <c r="JXL59" s="69"/>
      <c r="JXM59" s="69"/>
      <c r="JXN59" s="69"/>
      <c r="JXO59" s="69"/>
      <c r="JXP59" s="69"/>
      <c r="JXQ59" s="69"/>
      <c r="JXR59" s="69"/>
      <c r="JXS59" s="69"/>
      <c r="JXT59" s="69"/>
      <c r="JXU59" s="69"/>
      <c r="JXV59" s="69"/>
      <c r="JXW59" s="69"/>
      <c r="JXX59" s="69"/>
      <c r="JXY59" s="69"/>
      <c r="JXZ59" s="69"/>
      <c r="JYA59" s="69"/>
      <c r="JYB59" s="69"/>
      <c r="JYC59" s="69"/>
      <c r="JYD59" s="69"/>
      <c r="JYE59" s="69"/>
      <c r="JYF59" s="69"/>
      <c r="JYG59" s="69"/>
      <c r="JYH59" s="69"/>
      <c r="JYI59" s="69"/>
      <c r="JYJ59" s="69"/>
      <c r="JYK59" s="69"/>
      <c r="JYL59" s="69"/>
      <c r="JYM59" s="69"/>
      <c r="JYN59" s="69"/>
      <c r="JYO59" s="69" t="s">
        <v>116</v>
      </c>
      <c r="JYP59" s="69"/>
      <c r="JYQ59" s="69"/>
      <c r="JYR59" s="69"/>
      <c r="JYS59" s="69"/>
      <c r="JYT59" s="69"/>
      <c r="JYU59" s="69"/>
      <c r="JYV59" s="69"/>
      <c r="JYW59" s="69"/>
      <c r="JYX59" s="69"/>
      <c r="JYY59" s="69"/>
      <c r="JYZ59" s="69"/>
      <c r="JZA59" s="69"/>
      <c r="JZB59" s="69"/>
      <c r="JZC59" s="69"/>
      <c r="JZD59" s="69"/>
      <c r="JZE59" s="69"/>
      <c r="JZF59" s="69"/>
      <c r="JZG59" s="69"/>
      <c r="JZH59" s="69"/>
      <c r="JZI59" s="69"/>
      <c r="JZJ59" s="69"/>
      <c r="JZK59" s="69"/>
      <c r="JZL59" s="69"/>
      <c r="JZM59" s="69"/>
      <c r="JZN59" s="69"/>
      <c r="JZO59" s="69"/>
      <c r="JZP59" s="69"/>
      <c r="JZQ59" s="69"/>
      <c r="JZR59" s="69"/>
      <c r="JZS59" s="69"/>
      <c r="JZT59" s="69"/>
      <c r="JZU59" s="69" t="s">
        <v>116</v>
      </c>
      <c r="JZV59" s="69"/>
      <c r="JZW59" s="69"/>
      <c r="JZX59" s="69"/>
      <c r="JZY59" s="69"/>
      <c r="JZZ59" s="69"/>
      <c r="KAA59" s="69"/>
      <c r="KAB59" s="69"/>
      <c r="KAC59" s="69"/>
      <c r="KAD59" s="69"/>
      <c r="KAE59" s="69"/>
      <c r="KAF59" s="69"/>
      <c r="KAG59" s="69"/>
      <c r="KAH59" s="69"/>
      <c r="KAI59" s="69"/>
      <c r="KAJ59" s="69"/>
      <c r="KAK59" s="69"/>
      <c r="KAL59" s="69"/>
      <c r="KAM59" s="69"/>
      <c r="KAN59" s="69"/>
      <c r="KAO59" s="69"/>
      <c r="KAP59" s="69"/>
      <c r="KAQ59" s="69"/>
      <c r="KAR59" s="69"/>
      <c r="KAS59" s="69"/>
      <c r="KAT59" s="69"/>
      <c r="KAU59" s="69"/>
      <c r="KAV59" s="69"/>
      <c r="KAW59" s="69"/>
      <c r="KAX59" s="69"/>
      <c r="KAY59" s="69"/>
      <c r="KAZ59" s="69"/>
      <c r="KBA59" s="69" t="s">
        <v>116</v>
      </c>
      <c r="KBB59" s="69"/>
      <c r="KBC59" s="69"/>
      <c r="KBD59" s="69"/>
      <c r="KBE59" s="69"/>
      <c r="KBF59" s="69"/>
      <c r="KBG59" s="69"/>
      <c r="KBH59" s="69"/>
      <c r="KBI59" s="69"/>
      <c r="KBJ59" s="69"/>
      <c r="KBK59" s="69"/>
      <c r="KBL59" s="69"/>
      <c r="KBM59" s="69"/>
      <c r="KBN59" s="69"/>
      <c r="KBO59" s="69"/>
      <c r="KBP59" s="69"/>
      <c r="KBQ59" s="69"/>
      <c r="KBR59" s="69"/>
      <c r="KBS59" s="69"/>
      <c r="KBT59" s="69"/>
      <c r="KBU59" s="69"/>
      <c r="KBV59" s="69"/>
      <c r="KBW59" s="69"/>
      <c r="KBX59" s="69"/>
      <c r="KBY59" s="69"/>
      <c r="KBZ59" s="69"/>
      <c r="KCA59" s="69"/>
      <c r="KCB59" s="69"/>
      <c r="KCC59" s="69"/>
      <c r="KCD59" s="69"/>
      <c r="KCE59" s="69"/>
      <c r="KCF59" s="69"/>
      <c r="KCG59" s="69" t="s">
        <v>116</v>
      </c>
      <c r="KCH59" s="69"/>
      <c r="KCI59" s="69"/>
      <c r="KCJ59" s="69"/>
      <c r="KCK59" s="69"/>
      <c r="KCL59" s="69"/>
      <c r="KCM59" s="69"/>
      <c r="KCN59" s="69"/>
      <c r="KCO59" s="69"/>
      <c r="KCP59" s="69"/>
      <c r="KCQ59" s="69"/>
      <c r="KCR59" s="69"/>
      <c r="KCS59" s="69"/>
      <c r="KCT59" s="69"/>
      <c r="KCU59" s="69"/>
      <c r="KCV59" s="69"/>
      <c r="KCW59" s="69"/>
      <c r="KCX59" s="69"/>
      <c r="KCY59" s="69"/>
      <c r="KCZ59" s="69"/>
      <c r="KDA59" s="69"/>
      <c r="KDB59" s="69"/>
      <c r="KDC59" s="69"/>
      <c r="KDD59" s="69"/>
      <c r="KDE59" s="69"/>
      <c r="KDF59" s="69"/>
      <c r="KDG59" s="69"/>
      <c r="KDH59" s="69"/>
      <c r="KDI59" s="69"/>
      <c r="KDJ59" s="69"/>
      <c r="KDK59" s="69"/>
      <c r="KDL59" s="69"/>
      <c r="KDM59" s="69" t="s">
        <v>116</v>
      </c>
      <c r="KDN59" s="69"/>
      <c r="KDO59" s="69"/>
      <c r="KDP59" s="69"/>
      <c r="KDQ59" s="69"/>
      <c r="KDR59" s="69"/>
      <c r="KDS59" s="69"/>
      <c r="KDT59" s="69"/>
      <c r="KDU59" s="69"/>
      <c r="KDV59" s="69"/>
      <c r="KDW59" s="69"/>
      <c r="KDX59" s="69"/>
      <c r="KDY59" s="69"/>
      <c r="KDZ59" s="69"/>
      <c r="KEA59" s="69"/>
      <c r="KEB59" s="69"/>
      <c r="KEC59" s="69"/>
      <c r="KED59" s="69"/>
      <c r="KEE59" s="69"/>
      <c r="KEF59" s="69"/>
      <c r="KEG59" s="69"/>
      <c r="KEH59" s="69"/>
      <c r="KEI59" s="69"/>
      <c r="KEJ59" s="69"/>
      <c r="KEK59" s="69"/>
      <c r="KEL59" s="69"/>
      <c r="KEM59" s="69"/>
      <c r="KEN59" s="69"/>
      <c r="KEO59" s="69"/>
      <c r="KEP59" s="69"/>
      <c r="KEQ59" s="69"/>
      <c r="KER59" s="69"/>
      <c r="KES59" s="69" t="s">
        <v>116</v>
      </c>
      <c r="KET59" s="69"/>
      <c r="KEU59" s="69"/>
      <c r="KEV59" s="69"/>
      <c r="KEW59" s="69"/>
      <c r="KEX59" s="69"/>
      <c r="KEY59" s="69"/>
      <c r="KEZ59" s="69"/>
      <c r="KFA59" s="69"/>
      <c r="KFB59" s="69"/>
      <c r="KFC59" s="69"/>
      <c r="KFD59" s="69"/>
      <c r="KFE59" s="69"/>
      <c r="KFF59" s="69"/>
      <c r="KFG59" s="69"/>
      <c r="KFH59" s="69"/>
      <c r="KFI59" s="69"/>
      <c r="KFJ59" s="69"/>
      <c r="KFK59" s="69"/>
      <c r="KFL59" s="69"/>
      <c r="KFM59" s="69"/>
      <c r="KFN59" s="69"/>
      <c r="KFO59" s="69"/>
      <c r="KFP59" s="69"/>
      <c r="KFQ59" s="69"/>
      <c r="KFR59" s="69"/>
      <c r="KFS59" s="69"/>
      <c r="KFT59" s="69"/>
      <c r="KFU59" s="69"/>
      <c r="KFV59" s="69"/>
      <c r="KFW59" s="69"/>
      <c r="KFX59" s="69"/>
      <c r="KFY59" s="69" t="s">
        <v>116</v>
      </c>
      <c r="KFZ59" s="69"/>
      <c r="KGA59" s="69"/>
      <c r="KGB59" s="69"/>
      <c r="KGC59" s="69"/>
      <c r="KGD59" s="69"/>
      <c r="KGE59" s="69"/>
      <c r="KGF59" s="69"/>
      <c r="KGG59" s="69"/>
      <c r="KGH59" s="69"/>
      <c r="KGI59" s="69"/>
      <c r="KGJ59" s="69"/>
      <c r="KGK59" s="69"/>
      <c r="KGL59" s="69"/>
      <c r="KGM59" s="69"/>
      <c r="KGN59" s="69"/>
      <c r="KGO59" s="69"/>
      <c r="KGP59" s="69"/>
      <c r="KGQ59" s="69"/>
      <c r="KGR59" s="69"/>
      <c r="KGS59" s="69"/>
      <c r="KGT59" s="69"/>
      <c r="KGU59" s="69"/>
      <c r="KGV59" s="69"/>
      <c r="KGW59" s="69"/>
      <c r="KGX59" s="69"/>
      <c r="KGY59" s="69"/>
      <c r="KGZ59" s="69"/>
      <c r="KHA59" s="69"/>
      <c r="KHB59" s="69"/>
      <c r="KHC59" s="69"/>
      <c r="KHD59" s="69"/>
      <c r="KHE59" s="69" t="s">
        <v>116</v>
      </c>
      <c r="KHF59" s="69"/>
      <c r="KHG59" s="69"/>
      <c r="KHH59" s="69"/>
      <c r="KHI59" s="69"/>
      <c r="KHJ59" s="69"/>
      <c r="KHK59" s="69"/>
      <c r="KHL59" s="69"/>
      <c r="KHM59" s="69"/>
      <c r="KHN59" s="69"/>
      <c r="KHO59" s="69"/>
      <c r="KHP59" s="69"/>
      <c r="KHQ59" s="69"/>
      <c r="KHR59" s="69"/>
      <c r="KHS59" s="69"/>
      <c r="KHT59" s="69"/>
      <c r="KHU59" s="69"/>
      <c r="KHV59" s="69"/>
      <c r="KHW59" s="69"/>
      <c r="KHX59" s="69"/>
      <c r="KHY59" s="69"/>
      <c r="KHZ59" s="69"/>
      <c r="KIA59" s="69"/>
      <c r="KIB59" s="69"/>
      <c r="KIC59" s="69"/>
      <c r="KID59" s="69"/>
      <c r="KIE59" s="69"/>
      <c r="KIF59" s="69"/>
      <c r="KIG59" s="69"/>
      <c r="KIH59" s="69"/>
      <c r="KII59" s="69"/>
      <c r="KIJ59" s="69"/>
      <c r="KIK59" s="69" t="s">
        <v>116</v>
      </c>
      <c r="KIL59" s="69"/>
      <c r="KIM59" s="69"/>
      <c r="KIN59" s="69"/>
      <c r="KIO59" s="69"/>
      <c r="KIP59" s="69"/>
      <c r="KIQ59" s="69"/>
      <c r="KIR59" s="69"/>
      <c r="KIS59" s="69"/>
      <c r="KIT59" s="69"/>
      <c r="KIU59" s="69"/>
      <c r="KIV59" s="69"/>
      <c r="KIW59" s="69"/>
      <c r="KIX59" s="69"/>
      <c r="KIY59" s="69"/>
      <c r="KIZ59" s="69"/>
      <c r="KJA59" s="69"/>
      <c r="KJB59" s="69"/>
      <c r="KJC59" s="69"/>
      <c r="KJD59" s="69"/>
      <c r="KJE59" s="69"/>
      <c r="KJF59" s="69"/>
      <c r="KJG59" s="69"/>
      <c r="KJH59" s="69"/>
      <c r="KJI59" s="69"/>
      <c r="KJJ59" s="69"/>
      <c r="KJK59" s="69"/>
      <c r="KJL59" s="69"/>
      <c r="KJM59" s="69"/>
      <c r="KJN59" s="69"/>
      <c r="KJO59" s="69"/>
      <c r="KJP59" s="69"/>
      <c r="KJQ59" s="69" t="s">
        <v>116</v>
      </c>
      <c r="KJR59" s="69"/>
      <c r="KJS59" s="69"/>
      <c r="KJT59" s="69"/>
      <c r="KJU59" s="69"/>
      <c r="KJV59" s="69"/>
      <c r="KJW59" s="69"/>
      <c r="KJX59" s="69"/>
      <c r="KJY59" s="69"/>
      <c r="KJZ59" s="69"/>
      <c r="KKA59" s="69"/>
      <c r="KKB59" s="69"/>
      <c r="KKC59" s="69"/>
      <c r="KKD59" s="69"/>
      <c r="KKE59" s="69"/>
      <c r="KKF59" s="69"/>
      <c r="KKG59" s="69"/>
      <c r="KKH59" s="69"/>
      <c r="KKI59" s="69"/>
      <c r="KKJ59" s="69"/>
      <c r="KKK59" s="69"/>
      <c r="KKL59" s="69"/>
      <c r="KKM59" s="69"/>
      <c r="KKN59" s="69"/>
      <c r="KKO59" s="69"/>
      <c r="KKP59" s="69"/>
      <c r="KKQ59" s="69"/>
      <c r="KKR59" s="69"/>
      <c r="KKS59" s="69"/>
      <c r="KKT59" s="69"/>
      <c r="KKU59" s="69"/>
      <c r="KKV59" s="69"/>
      <c r="KKW59" s="69" t="s">
        <v>116</v>
      </c>
      <c r="KKX59" s="69"/>
      <c r="KKY59" s="69"/>
      <c r="KKZ59" s="69"/>
      <c r="KLA59" s="69"/>
      <c r="KLB59" s="69"/>
      <c r="KLC59" s="69"/>
      <c r="KLD59" s="69"/>
      <c r="KLE59" s="69"/>
      <c r="KLF59" s="69"/>
      <c r="KLG59" s="69"/>
      <c r="KLH59" s="69"/>
      <c r="KLI59" s="69"/>
      <c r="KLJ59" s="69"/>
      <c r="KLK59" s="69"/>
      <c r="KLL59" s="69"/>
      <c r="KLM59" s="69"/>
      <c r="KLN59" s="69"/>
      <c r="KLO59" s="69"/>
      <c r="KLP59" s="69"/>
      <c r="KLQ59" s="69"/>
      <c r="KLR59" s="69"/>
      <c r="KLS59" s="69"/>
      <c r="KLT59" s="69"/>
      <c r="KLU59" s="69"/>
      <c r="KLV59" s="69"/>
      <c r="KLW59" s="69"/>
      <c r="KLX59" s="69"/>
      <c r="KLY59" s="69"/>
      <c r="KLZ59" s="69"/>
      <c r="KMA59" s="69"/>
      <c r="KMB59" s="69"/>
      <c r="KMC59" s="69" t="s">
        <v>116</v>
      </c>
      <c r="KMD59" s="69"/>
      <c r="KME59" s="69"/>
      <c r="KMF59" s="69"/>
      <c r="KMG59" s="69"/>
      <c r="KMH59" s="69"/>
      <c r="KMI59" s="69"/>
      <c r="KMJ59" s="69"/>
      <c r="KMK59" s="69"/>
      <c r="KML59" s="69"/>
      <c r="KMM59" s="69"/>
      <c r="KMN59" s="69"/>
      <c r="KMO59" s="69"/>
      <c r="KMP59" s="69"/>
      <c r="KMQ59" s="69"/>
      <c r="KMR59" s="69"/>
      <c r="KMS59" s="69"/>
      <c r="KMT59" s="69"/>
      <c r="KMU59" s="69"/>
      <c r="KMV59" s="69"/>
      <c r="KMW59" s="69"/>
      <c r="KMX59" s="69"/>
      <c r="KMY59" s="69"/>
      <c r="KMZ59" s="69"/>
      <c r="KNA59" s="69"/>
      <c r="KNB59" s="69"/>
      <c r="KNC59" s="69"/>
      <c r="KND59" s="69"/>
      <c r="KNE59" s="69"/>
      <c r="KNF59" s="69"/>
      <c r="KNG59" s="69"/>
      <c r="KNH59" s="69"/>
      <c r="KNI59" s="69" t="s">
        <v>116</v>
      </c>
      <c r="KNJ59" s="69"/>
      <c r="KNK59" s="69"/>
      <c r="KNL59" s="69"/>
      <c r="KNM59" s="69"/>
      <c r="KNN59" s="69"/>
      <c r="KNO59" s="69"/>
      <c r="KNP59" s="69"/>
      <c r="KNQ59" s="69"/>
      <c r="KNR59" s="69"/>
      <c r="KNS59" s="69"/>
      <c r="KNT59" s="69"/>
      <c r="KNU59" s="69"/>
      <c r="KNV59" s="69"/>
      <c r="KNW59" s="69"/>
      <c r="KNX59" s="69"/>
      <c r="KNY59" s="69"/>
      <c r="KNZ59" s="69"/>
      <c r="KOA59" s="69"/>
      <c r="KOB59" s="69"/>
      <c r="KOC59" s="69"/>
      <c r="KOD59" s="69"/>
      <c r="KOE59" s="69"/>
      <c r="KOF59" s="69"/>
      <c r="KOG59" s="69"/>
      <c r="KOH59" s="69"/>
      <c r="KOI59" s="69"/>
      <c r="KOJ59" s="69"/>
      <c r="KOK59" s="69"/>
      <c r="KOL59" s="69"/>
      <c r="KOM59" s="69"/>
      <c r="KON59" s="69"/>
      <c r="KOO59" s="69" t="s">
        <v>116</v>
      </c>
      <c r="KOP59" s="69"/>
      <c r="KOQ59" s="69"/>
      <c r="KOR59" s="69"/>
      <c r="KOS59" s="69"/>
      <c r="KOT59" s="69"/>
      <c r="KOU59" s="69"/>
      <c r="KOV59" s="69"/>
      <c r="KOW59" s="69"/>
      <c r="KOX59" s="69"/>
      <c r="KOY59" s="69"/>
      <c r="KOZ59" s="69"/>
      <c r="KPA59" s="69"/>
      <c r="KPB59" s="69"/>
      <c r="KPC59" s="69"/>
      <c r="KPD59" s="69"/>
      <c r="KPE59" s="69"/>
      <c r="KPF59" s="69"/>
      <c r="KPG59" s="69"/>
      <c r="KPH59" s="69"/>
      <c r="KPI59" s="69"/>
      <c r="KPJ59" s="69"/>
      <c r="KPK59" s="69"/>
      <c r="KPL59" s="69"/>
      <c r="KPM59" s="69"/>
      <c r="KPN59" s="69"/>
      <c r="KPO59" s="69"/>
      <c r="KPP59" s="69"/>
      <c r="KPQ59" s="69"/>
      <c r="KPR59" s="69"/>
      <c r="KPS59" s="69"/>
      <c r="KPT59" s="69"/>
      <c r="KPU59" s="69" t="s">
        <v>116</v>
      </c>
      <c r="KPV59" s="69"/>
      <c r="KPW59" s="69"/>
      <c r="KPX59" s="69"/>
      <c r="KPY59" s="69"/>
      <c r="KPZ59" s="69"/>
      <c r="KQA59" s="69"/>
      <c r="KQB59" s="69"/>
      <c r="KQC59" s="69"/>
      <c r="KQD59" s="69"/>
      <c r="KQE59" s="69"/>
      <c r="KQF59" s="69"/>
      <c r="KQG59" s="69"/>
      <c r="KQH59" s="69"/>
      <c r="KQI59" s="69"/>
      <c r="KQJ59" s="69"/>
      <c r="KQK59" s="69"/>
      <c r="KQL59" s="69"/>
      <c r="KQM59" s="69"/>
      <c r="KQN59" s="69"/>
      <c r="KQO59" s="69"/>
      <c r="KQP59" s="69"/>
      <c r="KQQ59" s="69"/>
      <c r="KQR59" s="69"/>
      <c r="KQS59" s="69"/>
      <c r="KQT59" s="69"/>
      <c r="KQU59" s="69"/>
      <c r="KQV59" s="69"/>
      <c r="KQW59" s="69"/>
      <c r="KQX59" s="69"/>
      <c r="KQY59" s="69"/>
      <c r="KQZ59" s="69"/>
      <c r="KRA59" s="69" t="s">
        <v>116</v>
      </c>
      <c r="KRB59" s="69"/>
      <c r="KRC59" s="69"/>
      <c r="KRD59" s="69"/>
      <c r="KRE59" s="69"/>
      <c r="KRF59" s="69"/>
      <c r="KRG59" s="69"/>
      <c r="KRH59" s="69"/>
      <c r="KRI59" s="69"/>
      <c r="KRJ59" s="69"/>
      <c r="KRK59" s="69"/>
      <c r="KRL59" s="69"/>
      <c r="KRM59" s="69"/>
      <c r="KRN59" s="69"/>
      <c r="KRO59" s="69"/>
      <c r="KRP59" s="69"/>
      <c r="KRQ59" s="69"/>
      <c r="KRR59" s="69"/>
      <c r="KRS59" s="69"/>
      <c r="KRT59" s="69"/>
      <c r="KRU59" s="69"/>
      <c r="KRV59" s="69"/>
      <c r="KRW59" s="69"/>
      <c r="KRX59" s="69"/>
      <c r="KRY59" s="69"/>
      <c r="KRZ59" s="69"/>
      <c r="KSA59" s="69"/>
      <c r="KSB59" s="69"/>
      <c r="KSC59" s="69"/>
      <c r="KSD59" s="69"/>
      <c r="KSE59" s="69"/>
      <c r="KSF59" s="69"/>
      <c r="KSG59" s="69" t="s">
        <v>116</v>
      </c>
      <c r="KSH59" s="69"/>
      <c r="KSI59" s="69"/>
      <c r="KSJ59" s="69"/>
      <c r="KSK59" s="69"/>
      <c r="KSL59" s="69"/>
      <c r="KSM59" s="69"/>
      <c r="KSN59" s="69"/>
      <c r="KSO59" s="69"/>
      <c r="KSP59" s="69"/>
      <c r="KSQ59" s="69"/>
      <c r="KSR59" s="69"/>
      <c r="KSS59" s="69"/>
      <c r="KST59" s="69"/>
      <c r="KSU59" s="69"/>
      <c r="KSV59" s="69"/>
      <c r="KSW59" s="69"/>
      <c r="KSX59" s="69"/>
      <c r="KSY59" s="69"/>
      <c r="KSZ59" s="69"/>
      <c r="KTA59" s="69"/>
      <c r="KTB59" s="69"/>
      <c r="KTC59" s="69"/>
      <c r="KTD59" s="69"/>
      <c r="KTE59" s="69"/>
      <c r="KTF59" s="69"/>
      <c r="KTG59" s="69"/>
      <c r="KTH59" s="69"/>
      <c r="KTI59" s="69"/>
      <c r="KTJ59" s="69"/>
      <c r="KTK59" s="69"/>
      <c r="KTL59" s="69"/>
      <c r="KTM59" s="69" t="s">
        <v>116</v>
      </c>
      <c r="KTN59" s="69"/>
      <c r="KTO59" s="69"/>
      <c r="KTP59" s="69"/>
      <c r="KTQ59" s="69"/>
      <c r="KTR59" s="69"/>
      <c r="KTS59" s="69"/>
      <c r="KTT59" s="69"/>
      <c r="KTU59" s="69"/>
      <c r="KTV59" s="69"/>
      <c r="KTW59" s="69"/>
      <c r="KTX59" s="69"/>
      <c r="KTY59" s="69"/>
      <c r="KTZ59" s="69"/>
      <c r="KUA59" s="69"/>
      <c r="KUB59" s="69"/>
      <c r="KUC59" s="69"/>
      <c r="KUD59" s="69"/>
      <c r="KUE59" s="69"/>
      <c r="KUF59" s="69"/>
      <c r="KUG59" s="69"/>
      <c r="KUH59" s="69"/>
      <c r="KUI59" s="69"/>
      <c r="KUJ59" s="69"/>
      <c r="KUK59" s="69"/>
      <c r="KUL59" s="69"/>
      <c r="KUM59" s="69"/>
      <c r="KUN59" s="69"/>
      <c r="KUO59" s="69"/>
      <c r="KUP59" s="69"/>
      <c r="KUQ59" s="69"/>
      <c r="KUR59" s="69"/>
      <c r="KUS59" s="69" t="s">
        <v>116</v>
      </c>
      <c r="KUT59" s="69"/>
      <c r="KUU59" s="69"/>
      <c r="KUV59" s="69"/>
      <c r="KUW59" s="69"/>
      <c r="KUX59" s="69"/>
      <c r="KUY59" s="69"/>
      <c r="KUZ59" s="69"/>
      <c r="KVA59" s="69"/>
      <c r="KVB59" s="69"/>
      <c r="KVC59" s="69"/>
      <c r="KVD59" s="69"/>
      <c r="KVE59" s="69"/>
      <c r="KVF59" s="69"/>
      <c r="KVG59" s="69"/>
      <c r="KVH59" s="69"/>
      <c r="KVI59" s="69"/>
      <c r="KVJ59" s="69"/>
      <c r="KVK59" s="69"/>
      <c r="KVL59" s="69"/>
      <c r="KVM59" s="69"/>
      <c r="KVN59" s="69"/>
      <c r="KVO59" s="69"/>
      <c r="KVP59" s="69"/>
      <c r="KVQ59" s="69"/>
      <c r="KVR59" s="69"/>
      <c r="KVS59" s="69"/>
      <c r="KVT59" s="69"/>
      <c r="KVU59" s="69"/>
      <c r="KVV59" s="69"/>
      <c r="KVW59" s="69"/>
      <c r="KVX59" s="69"/>
      <c r="KVY59" s="69" t="s">
        <v>116</v>
      </c>
      <c r="KVZ59" s="69"/>
      <c r="KWA59" s="69"/>
      <c r="KWB59" s="69"/>
      <c r="KWC59" s="69"/>
      <c r="KWD59" s="69"/>
      <c r="KWE59" s="69"/>
      <c r="KWF59" s="69"/>
      <c r="KWG59" s="69"/>
      <c r="KWH59" s="69"/>
      <c r="KWI59" s="69"/>
      <c r="KWJ59" s="69"/>
      <c r="KWK59" s="69"/>
      <c r="KWL59" s="69"/>
      <c r="KWM59" s="69"/>
      <c r="KWN59" s="69"/>
      <c r="KWO59" s="69"/>
      <c r="KWP59" s="69"/>
      <c r="KWQ59" s="69"/>
      <c r="KWR59" s="69"/>
      <c r="KWS59" s="69"/>
      <c r="KWT59" s="69"/>
      <c r="KWU59" s="69"/>
      <c r="KWV59" s="69"/>
      <c r="KWW59" s="69"/>
      <c r="KWX59" s="69"/>
      <c r="KWY59" s="69"/>
      <c r="KWZ59" s="69"/>
      <c r="KXA59" s="69"/>
      <c r="KXB59" s="69"/>
      <c r="KXC59" s="69"/>
      <c r="KXD59" s="69"/>
      <c r="KXE59" s="69" t="s">
        <v>116</v>
      </c>
      <c r="KXF59" s="69"/>
      <c r="KXG59" s="69"/>
      <c r="KXH59" s="69"/>
      <c r="KXI59" s="69"/>
      <c r="KXJ59" s="69"/>
      <c r="KXK59" s="69"/>
      <c r="KXL59" s="69"/>
      <c r="KXM59" s="69"/>
      <c r="KXN59" s="69"/>
      <c r="KXO59" s="69"/>
      <c r="KXP59" s="69"/>
      <c r="KXQ59" s="69"/>
      <c r="KXR59" s="69"/>
      <c r="KXS59" s="69"/>
      <c r="KXT59" s="69"/>
      <c r="KXU59" s="69"/>
      <c r="KXV59" s="69"/>
      <c r="KXW59" s="69"/>
      <c r="KXX59" s="69"/>
      <c r="KXY59" s="69"/>
      <c r="KXZ59" s="69"/>
      <c r="KYA59" s="69"/>
      <c r="KYB59" s="69"/>
      <c r="KYC59" s="69"/>
      <c r="KYD59" s="69"/>
      <c r="KYE59" s="69"/>
      <c r="KYF59" s="69"/>
      <c r="KYG59" s="69"/>
      <c r="KYH59" s="69"/>
      <c r="KYI59" s="69"/>
      <c r="KYJ59" s="69"/>
      <c r="KYK59" s="69" t="s">
        <v>116</v>
      </c>
      <c r="KYL59" s="69"/>
      <c r="KYM59" s="69"/>
      <c r="KYN59" s="69"/>
      <c r="KYO59" s="69"/>
      <c r="KYP59" s="69"/>
      <c r="KYQ59" s="69"/>
      <c r="KYR59" s="69"/>
      <c r="KYS59" s="69"/>
      <c r="KYT59" s="69"/>
      <c r="KYU59" s="69"/>
      <c r="KYV59" s="69"/>
      <c r="KYW59" s="69"/>
      <c r="KYX59" s="69"/>
      <c r="KYY59" s="69"/>
      <c r="KYZ59" s="69"/>
      <c r="KZA59" s="69"/>
      <c r="KZB59" s="69"/>
      <c r="KZC59" s="69"/>
      <c r="KZD59" s="69"/>
      <c r="KZE59" s="69"/>
      <c r="KZF59" s="69"/>
      <c r="KZG59" s="69"/>
      <c r="KZH59" s="69"/>
      <c r="KZI59" s="69"/>
      <c r="KZJ59" s="69"/>
      <c r="KZK59" s="69"/>
      <c r="KZL59" s="69"/>
      <c r="KZM59" s="69"/>
      <c r="KZN59" s="69"/>
      <c r="KZO59" s="69"/>
      <c r="KZP59" s="69"/>
      <c r="KZQ59" s="69" t="s">
        <v>116</v>
      </c>
      <c r="KZR59" s="69"/>
      <c r="KZS59" s="69"/>
      <c r="KZT59" s="69"/>
      <c r="KZU59" s="69"/>
      <c r="KZV59" s="69"/>
      <c r="KZW59" s="69"/>
      <c r="KZX59" s="69"/>
      <c r="KZY59" s="69"/>
      <c r="KZZ59" s="69"/>
      <c r="LAA59" s="69"/>
      <c r="LAB59" s="69"/>
      <c r="LAC59" s="69"/>
      <c r="LAD59" s="69"/>
      <c r="LAE59" s="69"/>
      <c r="LAF59" s="69"/>
      <c r="LAG59" s="69"/>
      <c r="LAH59" s="69"/>
      <c r="LAI59" s="69"/>
      <c r="LAJ59" s="69"/>
      <c r="LAK59" s="69"/>
      <c r="LAL59" s="69"/>
      <c r="LAM59" s="69"/>
      <c r="LAN59" s="69"/>
      <c r="LAO59" s="69"/>
      <c r="LAP59" s="69"/>
      <c r="LAQ59" s="69"/>
      <c r="LAR59" s="69"/>
      <c r="LAS59" s="69"/>
      <c r="LAT59" s="69"/>
      <c r="LAU59" s="69"/>
      <c r="LAV59" s="69"/>
      <c r="LAW59" s="69" t="s">
        <v>116</v>
      </c>
      <c r="LAX59" s="69"/>
      <c r="LAY59" s="69"/>
      <c r="LAZ59" s="69"/>
      <c r="LBA59" s="69"/>
      <c r="LBB59" s="69"/>
      <c r="LBC59" s="69"/>
      <c r="LBD59" s="69"/>
      <c r="LBE59" s="69"/>
      <c r="LBF59" s="69"/>
      <c r="LBG59" s="69"/>
      <c r="LBH59" s="69"/>
      <c r="LBI59" s="69"/>
      <c r="LBJ59" s="69"/>
      <c r="LBK59" s="69"/>
      <c r="LBL59" s="69"/>
      <c r="LBM59" s="69"/>
      <c r="LBN59" s="69"/>
      <c r="LBO59" s="69"/>
      <c r="LBP59" s="69"/>
      <c r="LBQ59" s="69"/>
      <c r="LBR59" s="69"/>
      <c r="LBS59" s="69"/>
      <c r="LBT59" s="69"/>
      <c r="LBU59" s="69"/>
      <c r="LBV59" s="69"/>
      <c r="LBW59" s="69"/>
      <c r="LBX59" s="69"/>
      <c r="LBY59" s="69"/>
      <c r="LBZ59" s="69"/>
      <c r="LCA59" s="69"/>
      <c r="LCB59" s="69"/>
      <c r="LCC59" s="69" t="s">
        <v>116</v>
      </c>
      <c r="LCD59" s="69"/>
      <c r="LCE59" s="69"/>
      <c r="LCF59" s="69"/>
      <c r="LCG59" s="69"/>
      <c r="LCH59" s="69"/>
      <c r="LCI59" s="69"/>
      <c r="LCJ59" s="69"/>
      <c r="LCK59" s="69"/>
      <c r="LCL59" s="69"/>
      <c r="LCM59" s="69"/>
      <c r="LCN59" s="69"/>
      <c r="LCO59" s="69"/>
      <c r="LCP59" s="69"/>
      <c r="LCQ59" s="69"/>
      <c r="LCR59" s="69"/>
      <c r="LCS59" s="69"/>
      <c r="LCT59" s="69"/>
      <c r="LCU59" s="69"/>
      <c r="LCV59" s="69"/>
      <c r="LCW59" s="69"/>
      <c r="LCX59" s="69"/>
      <c r="LCY59" s="69"/>
      <c r="LCZ59" s="69"/>
      <c r="LDA59" s="69"/>
      <c r="LDB59" s="69"/>
      <c r="LDC59" s="69"/>
      <c r="LDD59" s="69"/>
      <c r="LDE59" s="69"/>
      <c r="LDF59" s="69"/>
      <c r="LDG59" s="69"/>
      <c r="LDH59" s="69"/>
      <c r="LDI59" s="69" t="s">
        <v>116</v>
      </c>
      <c r="LDJ59" s="69"/>
      <c r="LDK59" s="69"/>
      <c r="LDL59" s="69"/>
      <c r="LDM59" s="69"/>
      <c r="LDN59" s="69"/>
      <c r="LDO59" s="69"/>
      <c r="LDP59" s="69"/>
      <c r="LDQ59" s="69"/>
      <c r="LDR59" s="69"/>
      <c r="LDS59" s="69"/>
      <c r="LDT59" s="69"/>
      <c r="LDU59" s="69"/>
      <c r="LDV59" s="69"/>
      <c r="LDW59" s="69"/>
      <c r="LDX59" s="69"/>
      <c r="LDY59" s="69"/>
      <c r="LDZ59" s="69"/>
      <c r="LEA59" s="69"/>
      <c r="LEB59" s="69"/>
      <c r="LEC59" s="69"/>
      <c r="LED59" s="69"/>
      <c r="LEE59" s="69"/>
      <c r="LEF59" s="69"/>
      <c r="LEG59" s="69"/>
      <c r="LEH59" s="69"/>
      <c r="LEI59" s="69"/>
      <c r="LEJ59" s="69"/>
      <c r="LEK59" s="69"/>
      <c r="LEL59" s="69"/>
      <c r="LEM59" s="69"/>
      <c r="LEN59" s="69"/>
      <c r="LEO59" s="69" t="s">
        <v>116</v>
      </c>
      <c r="LEP59" s="69"/>
      <c r="LEQ59" s="69"/>
      <c r="LER59" s="69"/>
      <c r="LES59" s="69"/>
      <c r="LET59" s="69"/>
      <c r="LEU59" s="69"/>
      <c r="LEV59" s="69"/>
      <c r="LEW59" s="69"/>
      <c r="LEX59" s="69"/>
      <c r="LEY59" s="69"/>
      <c r="LEZ59" s="69"/>
      <c r="LFA59" s="69"/>
      <c r="LFB59" s="69"/>
      <c r="LFC59" s="69"/>
      <c r="LFD59" s="69"/>
      <c r="LFE59" s="69"/>
      <c r="LFF59" s="69"/>
      <c r="LFG59" s="69"/>
      <c r="LFH59" s="69"/>
      <c r="LFI59" s="69"/>
      <c r="LFJ59" s="69"/>
      <c r="LFK59" s="69"/>
      <c r="LFL59" s="69"/>
      <c r="LFM59" s="69"/>
      <c r="LFN59" s="69"/>
      <c r="LFO59" s="69"/>
      <c r="LFP59" s="69"/>
      <c r="LFQ59" s="69"/>
      <c r="LFR59" s="69"/>
      <c r="LFS59" s="69"/>
      <c r="LFT59" s="69"/>
      <c r="LFU59" s="69" t="s">
        <v>116</v>
      </c>
      <c r="LFV59" s="69"/>
      <c r="LFW59" s="69"/>
      <c r="LFX59" s="69"/>
      <c r="LFY59" s="69"/>
      <c r="LFZ59" s="69"/>
      <c r="LGA59" s="69"/>
      <c r="LGB59" s="69"/>
      <c r="LGC59" s="69"/>
      <c r="LGD59" s="69"/>
      <c r="LGE59" s="69"/>
      <c r="LGF59" s="69"/>
      <c r="LGG59" s="69"/>
      <c r="LGH59" s="69"/>
      <c r="LGI59" s="69"/>
      <c r="LGJ59" s="69"/>
      <c r="LGK59" s="69"/>
      <c r="LGL59" s="69"/>
      <c r="LGM59" s="69"/>
      <c r="LGN59" s="69"/>
      <c r="LGO59" s="69"/>
      <c r="LGP59" s="69"/>
      <c r="LGQ59" s="69"/>
      <c r="LGR59" s="69"/>
      <c r="LGS59" s="69"/>
      <c r="LGT59" s="69"/>
      <c r="LGU59" s="69"/>
      <c r="LGV59" s="69"/>
      <c r="LGW59" s="69"/>
      <c r="LGX59" s="69"/>
      <c r="LGY59" s="69"/>
      <c r="LGZ59" s="69"/>
      <c r="LHA59" s="69" t="s">
        <v>116</v>
      </c>
      <c r="LHB59" s="69"/>
      <c r="LHC59" s="69"/>
      <c r="LHD59" s="69"/>
      <c r="LHE59" s="69"/>
      <c r="LHF59" s="69"/>
      <c r="LHG59" s="69"/>
      <c r="LHH59" s="69"/>
      <c r="LHI59" s="69"/>
      <c r="LHJ59" s="69"/>
      <c r="LHK59" s="69"/>
      <c r="LHL59" s="69"/>
      <c r="LHM59" s="69"/>
      <c r="LHN59" s="69"/>
      <c r="LHO59" s="69"/>
      <c r="LHP59" s="69"/>
      <c r="LHQ59" s="69"/>
      <c r="LHR59" s="69"/>
      <c r="LHS59" s="69"/>
      <c r="LHT59" s="69"/>
      <c r="LHU59" s="69"/>
      <c r="LHV59" s="69"/>
      <c r="LHW59" s="69"/>
      <c r="LHX59" s="69"/>
      <c r="LHY59" s="69"/>
      <c r="LHZ59" s="69"/>
      <c r="LIA59" s="69"/>
      <c r="LIB59" s="69"/>
      <c r="LIC59" s="69"/>
      <c r="LID59" s="69"/>
      <c r="LIE59" s="69"/>
      <c r="LIF59" s="69"/>
      <c r="LIG59" s="69" t="s">
        <v>116</v>
      </c>
      <c r="LIH59" s="69"/>
      <c r="LII59" s="69"/>
      <c r="LIJ59" s="69"/>
      <c r="LIK59" s="69"/>
      <c r="LIL59" s="69"/>
      <c r="LIM59" s="69"/>
      <c r="LIN59" s="69"/>
      <c r="LIO59" s="69"/>
      <c r="LIP59" s="69"/>
      <c r="LIQ59" s="69"/>
      <c r="LIR59" s="69"/>
      <c r="LIS59" s="69"/>
      <c r="LIT59" s="69"/>
      <c r="LIU59" s="69"/>
      <c r="LIV59" s="69"/>
      <c r="LIW59" s="69"/>
      <c r="LIX59" s="69"/>
      <c r="LIY59" s="69"/>
      <c r="LIZ59" s="69"/>
      <c r="LJA59" s="69"/>
      <c r="LJB59" s="69"/>
      <c r="LJC59" s="69"/>
      <c r="LJD59" s="69"/>
      <c r="LJE59" s="69"/>
      <c r="LJF59" s="69"/>
      <c r="LJG59" s="69"/>
      <c r="LJH59" s="69"/>
      <c r="LJI59" s="69"/>
      <c r="LJJ59" s="69"/>
      <c r="LJK59" s="69"/>
      <c r="LJL59" s="69"/>
      <c r="LJM59" s="69" t="s">
        <v>116</v>
      </c>
      <c r="LJN59" s="69"/>
      <c r="LJO59" s="69"/>
      <c r="LJP59" s="69"/>
      <c r="LJQ59" s="69"/>
      <c r="LJR59" s="69"/>
      <c r="LJS59" s="69"/>
      <c r="LJT59" s="69"/>
      <c r="LJU59" s="69"/>
      <c r="LJV59" s="69"/>
      <c r="LJW59" s="69"/>
      <c r="LJX59" s="69"/>
      <c r="LJY59" s="69"/>
      <c r="LJZ59" s="69"/>
      <c r="LKA59" s="69"/>
      <c r="LKB59" s="69"/>
      <c r="LKC59" s="69"/>
      <c r="LKD59" s="69"/>
      <c r="LKE59" s="69"/>
      <c r="LKF59" s="69"/>
      <c r="LKG59" s="69"/>
      <c r="LKH59" s="69"/>
      <c r="LKI59" s="69"/>
      <c r="LKJ59" s="69"/>
      <c r="LKK59" s="69"/>
      <c r="LKL59" s="69"/>
      <c r="LKM59" s="69"/>
      <c r="LKN59" s="69"/>
      <c r="LKO59" s="69"/>
      <c r="LKP59" s="69"/>
      <c r="LKQ59" s="69"/>
      <c r="LKR59" s="69"/>
      <c r="LKS59" s="69" t="s">
        <v>116</v>
      </c>
      <c r="LKT59" s="69"/>
      <c r="LKU59" s="69"/>
      <c r="LKV59" s="69"/>
      <c r="LKW59" s="69"/>
      <c r="LKX59" s="69"/>
      <c r="LKY59" s="69"/>
      <c r="LKZ59" s="69"/>
      <c r="LLA59" s="69"/>
      <c r="LLB59" s="69"/>
      <c r="LLC59" s="69"/>
      <c r="LLD59" s="69"/>
      <c r="LLE59" s="69"/>
      <c r="LLF59" s="69"/>
      <c r="LLG59" s="69"/>
      <c r="LLH59" s="69"/>
      <c r="LLI59" s="69"/>
      <c r="LLJ59" s="69"/>
      <c r="LLK59" s="69"/>
      <c r="LLL59" s="69"/>
      <c r="LLM59" s="69"/>
      <c r="LLN59" s="69"/>
      <c r="LLO59" s="69"/>
      <c r="LLP59" s="69"/>
      <c r="LLQ59" s="69"/>
      <c r="LLR59" s="69"/>
      <c r="LLS59" s="69"/>
      <c r="LLT59" s="69"/>
      <c r="LLU59" s="69"/>
      <c r="LLV59" s="69"/>
      <c r="LLW59" s="69"/>
      <c r="LLX59" s="69"/>
      <c r="LLY59" s="69" t="s">
        <v>116</v>
      </c>
      <c r="LLZ59" s="69"/>
      <c r="LMA59" s="69"/>
      <c r="LMB59" s="69"/>
      <c r="LMC59" s="69"/>
      <c r="LMD59" s="69"/>
      <c r="LME59" s="69"/>
      <c r="LMF59" s="69"/>
      <c r="LMG59" s="69"/>
      <c r="LMH59" s="69"/>
      <c r="LMI59" s="69"/>
      <c r="LMJ59" s="69"/>
      <c r="LMK59" s="69"/>
      <c r="LML59" s="69"/>
      <c r="LMM59" s="69"/>
      <c r="LMN59" s="69"/>
      <c r="LMO59" s="69"/>
      <c r="LMP59" s="69"/>
      <c r="LMQ59" s="69"/>
      <c r="LMR59" s="69"/>
      <c r="LMS59" s="69"/>
      <c r="LMT59" s="69"/>
      <c r="LMU59" s="69"/>
      <c r="LMV59" s="69"/>
      <c r="LMW59" s="69"/>
      <c r="LMX59" s="69"/>
      <c r="LMY59" s="69"/>
      <c r="LMZ59" s="69"/>
      <c r="LNA59" s="69"/>
      <c r="LNB59" s="69"/>
      <c r="LNC59" s="69"/>
      <c r="LND59" s="69"/>
      <c r="LNE59" s="69" t="s">
        <v>116</v>
      </c>
      <c r="LNF59" s="69"/>
      <c r="LNG59" s="69"/>
      <c r="LNH59" s="69"/>
      <c r="LNI59" s="69"/>
      <c r="LNJ59" s="69"/>
      <c r="LNK59" s="69"/>
      <c r="LNL59" s="69"/>
      <c r="LNM59" s="69"/>
      <c r="LNN59" s="69"/>
      <c r="LNO59" s="69"/>
      <c r="LNP59" s="69"/>
      <c r="LNQ59" s="69"/>
      <c r="LNR59" s="69"/>
      <c r="LNS59" s="69"/>
      <c r="LNT59" s="69"/>
      <c r="LNU59" s="69"/>
      <c r="LNV59" s="69"/>
      <c r="LNW59" s="69"/>
      <c r="LNX59" s="69"/>
      <c r="LNY59" s="69"/>
      <c r="LNZ59" s="69"/>
      <c r="LOA59" s="69"/>
      <c r="LOB59" s="69"/>
      <c r="LOC59" s="69"/>
      <c r="LOD59" s="69"/>
      <c r="LOE59" s="69"/>
      <c r="LOF59" s="69"/>
      <c r="LOG59" s="69"/>
      <c r="LOH59" s="69"/>
      <c r="LOI59" s="69"/>
      <c r="LOJ59" s="69"/>
      <c r="LOK59" s="69" t="s">
        <v>116</v>
      </c>
      <c r="LOL59" s="69"/>
      <c r="LOM59" s="69"/>
      <c r="LON59" s="69"/>
      <c r="LOO59" s="69"/>
      <c r="LOP59" s="69"/>
      <c r="LOQ59" s="69"/>
      <c r="LOR59" s="69"/>
      <c r="LOS59" s="69"/>
      <c r="LOT59" s="69"/>
      <c r="LOU59" s="69"/>
      <c r="LOV59" s="69"/>
      <c r="LOW59" s="69"/>
      <c r="LOX59" s="69"/>
      <c r="LOY59" s="69"/>
      <c r="LOZ59" s="69"/>
      <c r="LPA59" s="69"/>
      <c r="LPB59" s="69"/>
      <c r="LPC59" s="69"/>
      <c r="LPD59" s="69"/>
      <c r="LPE59" s="69"/>
      <c r="LPF59" s="69"/>
      <c r="LPG59" s="69"/>
      <c r="LPH59" s="69"/>
      <c r="LPI59" s="69"/>
      <c r="LPJ59" s="69"/>
      <c r="LPK59" s="69"/>
      <c r="LPL59" s="69"/>
      <c r="LPM59" s="69"/>
      <c r="LPN59" s="69"/>
      <c r="LPO59" s="69"/>
      <c r="LPP59" s="69"/>
      <c r="LPQ59" s="69" t="s">
        <v>116</v>
      </c>
      <c r="LPR59" s="69"/>
      <c r="LPS59" s="69"/>
      <c r="LPT59" s="69"/>
      <c r="LPU59" s="69"/>
      <c r="LPV59" s="69"/>
      <c r="LPW59" s="69"/>
      <c r="LPX59" s="69"/>
      <c r="LPY59" s="69"/>
      <c r="LPZ59" s="69"/>
      <c r="LQA59" s="69"/>
      <c r="LQB59" s="69"/>
      <c r="LQC59" s="69"/>
      <c r="LQD59" s="69"/>
      <c r="LQE59" s="69"/>
      <c r="LQF59" s="69"/>
      <c r="LQG59" s="69"/>
      <c r="LQH59" s="69"/>
      <c r="LQI59" s="69"/>
      <c r="LQJ59" s="69"/>
      <c r="LQK59" s="69"/>
      <c r="LQL59" s="69"/>
      <c r="LQM59" s="69"/>
      <c r="LQN59" s="69"/>
      <c r="LQO59" s="69"/>
      <c r="LQP59" s="69"/>
      <c r="LQQ59" s="69"/>
      <c r="LQR59" s="69"/>
      <c r="LQS59" s="69"/>
      <c r="LQT59" s="69"/>
      <c r="LQU59" s="69"/>
      <c r="LQV59" s="69"/>
      <c r="LQW59" s="69" t="s">
        <v>116</v>
      </c>
      <c r="LQX59" s="69"/>
      <c r="LQY59" s="69"/>
      <c r="LQZ59" s="69"/>
      <c r="LRA59" s="69"/>
      <c r="LRB59" s="69"/>
      <c r="LRC59" s="69"/>
      <c r="LRD59" s="69"/>
      <c r="LRE59" s="69"/>
      <c r="LRF59" s="69"/>
      <c r="LRG59" s="69"/>
      <c r="LRH59" s="69"/>
      <c r="LRI59" s="69"/>
      <c r="LRJ59" s="69"/>
      <c r="LRK59" s="69"/>
      <c r="LRL59" s="69"/>
      <c r="LRM59" s="69"/>
      <c r="LRN59" s="69"/>
      <c r="LRO59" s="69"/>
      <c r="LRP59" s="69"/>
      <c r="LRQ59" s="69"/>
      <c r="LRR59" s="69"/>
      <c r="LRS59" s="69"/>
      <c r="LRT59" s="69"/>
      <c r="LRU59" s="69"/>
      <c r="LRV59" s="69"/>
      <c r="LRW59" s="69"/>
      <c r="LRX59" s="69"/>
      <c r="LRY59" s="69"/>
      <c r="LRZ59" s="69"/>
      <c r="LSA59" s="69"/>
      <c r="LSB59" s="69"/>
      <c r="LSC59" s="69" t="s">
        <v>116</v>
      </c>
      <c r="LSD59" s="69"/>
      <c r="LSE59" s="69"/>
      <c r="LSF59" s="69"/>
      <c r="LSG59" s="69"/>
      <c r="LSH59" s="69"/>
      <c r="LSI59" s="69"/>
      <c r="LSJ59" s="69"/>
      <c r="LSK59" s="69"/>
      <c r="LSL59" s="69"/>
      <c r="LSM59" s="69"/>
      <c r="LSN59" s="69"/>
      <c r="LSO59" s="69"/>
      <c r="LSP59" s="69"/>
      <c r="LSQ59" s="69"/>
      <c r="LSR59" s="69"/>
      <c r="LSS59" s="69"/>
      <c r="LST59" s="69"/>
      <c r="LSU59" s="69"/>
      <c r="LSV59" s="69"/>
      <c r="LSW59" s="69"/>
      <c r="LSX59" s="69"/>
      <c r="LSY59" s="69"/>
      <c r="LSZ59" s="69"/>
      <c r="LTA59" s="69"/>
      <c r="LTB59" s="69"/>
      <c r="LTC59" s="69"/>
      <c r="LTD59" s="69"/>
      <c r="LTE59" s="69"/>
      <c r="LTF59" s="69"/>
      <c r="LTG59" s="69"/>
      <c r="LTH59" s="69"/>
      <c r="LTI59" s="69" t="s">
        <v>116</v>
      </c>
      <c r="LTJ59" s="69"/>
      <c r="LTK59" s="69"/>
      <c r="LTL59" s="69"/>
      <c r="LTM59" s="69"/>
      <c r="LTN59" s="69"/>
      <c r="LTO59" s="69"/>
      <c r="LTP59" s="69"/>
      <c r="LTQ59" s="69"/>
      <c r="LTR59" s="69"/>
      <c r="LTS59" s="69"/>
      <c r="LTT59" s="69"/>
      <c r="LTU59" s="69"/>
      <c r="LTV59" s="69"/>
      <c r="LTW59" s="69"/>
      <c r="LTX59" s="69"/>
      <c r="LTY59" s="69"/>
      <c r="LTZ59" s="69"/>
      <c r="LUA59" s="69"/>
      <c r="LUB59" s="69"/>
      <c r="LUC59" s="69"/>
      <c r="LUD59" s="69"/>
      <c r="LUE59" s="69"/>
      <c r="LUF59" s="69"/>
      <c r="LUG59" s="69"/>
      <c r="LUH59" s="69"/>
      <c r="LUI59" s="69"/>
      <c r="LUJ59" s="69"/>
      <c r="LUK59" s="69"/>
      <c r="LUL59" s="69"/>
      <c r="LUM59" s="69"/>
      <c r="LUN59" s="69"/>
      <c r="LUO59" s="69" t="s">
        <v>116</v>
      </c>
      <c r="LUP59" s="69"/>
      <c r="LUQ59" s="69"/>
      <c r="LUR59" s="69"/>
      <c r="LUS59" s="69"/>
      <c r="LUT59" s="69"/>
      <c r="LUU59" s="69"/>
      <c r="LUV59" s="69"/>
      <c r="LUW59" s="69"/>
      <c r="LUX59" s="69"/>
      <c r="LUY59" s="69"/>
      <c r="LUZ59" s="69"/>
      <c r="LVA59" s="69"/>
      <c r="LVB59" s="69"/>
      <c r="LVC59" s="69"/>
      <c r="LVD59" s="69"/>
      <c r="LVE59" s="69"/>
      <c r="LVF59" s="69"/>
      <c r="LVG59" s="69"/>
      <c r="LVH59" s="69"/>
      <c r="LVI59" s="69"/>
      <c r="LVJ59" s="69"/>
      <c r="LVK59" s="69"/>
      <c r="LVL59" s="69"/>
      <c r="LVM59" s="69"/>
      <c r="LVN59" s="69"/>
      <c r="LVO59" s="69"/>
      <c r="LVP59" s="69"/>
      <c r="LVQ59" s="69"/>
      <c r="LVR59" s="69"/>
      <c r="LVS59" s="69"/>
      <c r="LVT59" s="69"/>
      <c r="LVU59" s="69" t="s">
        <v>116</v>
      </c>
      <c r="LVV59" s="69"/>
      <c r="LVW59" s="69"/>
      <c r="LVX59" s="69"/>
      <c r="LVY59" s="69"/>
      <c r="LVZ59" s="69"/>
      <c r="LWA59" s="69"/>
      <c r="LWB59" s="69"/>
      <c r="LWC59" s="69"/>
      <c r="LWD59" s="69"/>
      <c r="LWE59" s="69"/>
      <c r="LWF59" s="69"/>
      <c r="LWG59" s="69"/>
      <c r="LWH59" s="69"/>
      <c r="LWI59" s="69"/>
      <c r="LWJ59" s="69"/>
      <c r="LWK59" s="69"/>
      <c r="LWL59" s="69"/>
      <c r="LWM59" s="69"/>
      <c r="LWN59" s="69"/>
      <c r="LWO59" s="69"/>
      <c r="LWP59" s="69"/>
      <c r="LWQ59" s="69"/>
      <c r="LWR59" s="69"/>
      <c r="LWS59" s="69"/>
      <c r="LWT59" s="69"/>
      <c r="LWU59" s="69"/>
      <c r="LWV59" s="69"/>
      <c r="LWW59" s="69"/>
      <c r="LWX59" s="69"/>
      <c r="LWY59" s="69"/>
      <c r="LWZ59" s="69"/>
      <c r="LXA59" s="69" t="s">
        <v>116</v>
      </c>
      <c r="LXB59" s="69"/>
      <c r="LXC59" s="69"/>
      <c r="LXD59" s="69"/>
      <c r="LXE59" s="69"/>
      <c r="LXF59" s="69"/>
      <c r="LXG59" s="69"/>
      <c r="LXH59" s="69"/>
      <c r="LXI59" s="69"/>
      <c r="LXJ59" s="69"/>
      <c r="LXK59" s="69"/>
      <c r="LXL59" s="69"/>
      <c r="LXM59" s="69"/>
      <c r="LXN59" s="69"/>
      <c r="LXO59" s="69"/>
      <c r="LXP59" s="69"/>
      <c r="LXQ59" s="69"/>
      <c r="LXR59" s="69"/>
      <c r="LXS59" s="69"/>
      <c r="LXT59" s="69"/>
      <c r="LXU59" s="69"/>
      <c r="LXV59" s="69"/>
      <c r="LXW59" s="69"/>
      <c r="LXX59" s="69"/>
      <c r="LXY59" s="69"/>
      <c r="LXZ59" s="69"/>
      <c r="LYA59" s="69"/>
      <c r="LYB59" s="69"/>
      <c r="LYC59" s="69"/>
      <c r="LYD59" s="69"/>
      <c r="LYE59" s="69"/>
      <c r="LYF59" s="69"/>
      <c r="LYG59" s="69" t="s">
        <v>116</v>
      </c>
      <c r="LYH59" s="69"/>
      <c r="LYI59" s="69"/>
      <c r="LYJ59" s="69"/>
      <c r="LYK59" s="69"/>
      <c r="LYL59" s="69"/>
      <c r="LYM59" s="69"/>
      <c r="LYN59" s="69"/>
      <c r="LYO59" s="69"/>
      <c r="LYP59" s="69"/>
      <c r="LYQ59" s="69"/>
      <c r="LYR59" s="69"/>
      <c r="LYS59" s="69"/>
      <c r="LYT59" s="69"/>
      <c r="LYU59" s="69"/>
      <c r="LYV59" s="69"/>
      <c r="LYW59" s="69"/>
      <c r="LYX59" s="69"/>
      <c r="LYY59" s="69"/>
      <c r="LYZ59" s="69"/>
      <c r="LZA59" s="69"/>
      <c r="LZB59" s="69"/>
      <c r="LZC59" s="69"/>
      <c r="LZD59" s="69"/>
      <c r="LZE59" s="69"/>
      <c r="LZF59" s="69"/>
      <c r="LZG59" s="69"/>
      <c r="LZH59" s="69"/>
      <c r="LZI59" s="69"/>
      <c r="LZJ59" s="69"/>
      <c r="LZK59" s="69"/>
      <c r="LZL59" s="69"/>
      <c r="LZM59" s="69" t="s">
        <v>116</v>
      </c>
      <c r="LZN59" s="69"/>
      <c r="LZO59" s="69"/>
      <c r="LZP59" s="69"/>
      <c r="LZQ59" s="69"/>
      <c r="LZR59" s="69"/>
      <c r="LZS59" s="69"/>
      <c r="LZT59" s="69"/>
      <c r="LZU59" s="69"/>
      <c r="LZV59" s="69"/>
      <c r="LZW59" s="69"/>
      <c r="LZX59" s="69"/>
      <c r="LZY59" s="69"/>
      <c r="LZZ59" s="69"/>
      <c r="MAA59" s="69"/>
      <c r="MAB59" s="69"/>
      <c r="MAC59" s="69"/>
      <c r="MAD59" s="69"/>
      <c r="MAE59" s="69"/>
      <c r="MAF59" s="69"/>
      <c r="MAG59" s="69"/>
      <c r="MAH59" s="69"/>
      <c r="MAI59" s="69"/>
      <c r="MAJ59" s="69"/>
      <c r="MAK59" s="69"/>
      <c r="MAL59" s="69"/>
      <c r="MAM59" s="69"/>
      <c r="MAN59" s="69"/>
      <c r="MAO59" s="69"/>
      <c r="MAP59" s="69"/>
      <c r="MAQ59" s="69"/>
      <c r="MAR59" s="69"/>
      <c r="MAS59" s="69" t="s">
        <v>116</v>
      </c>
      <c r="MAT59" s="69"/>
      <c r="MAU59" s="69"/>
      <c r="MAV59" s="69"/>
      <c r="MAW59" s="69"/>
      <c r="MAX59" s="69"/>
      <c r="MAY59" s="69"/>
      <c r="MAZ59" s="69"/>
      <c r="MBA59" s="69"/>
      <c r="MBB59" s="69"/>
      <c r="MBC59" s="69"/>
      <c r="MBD59" s="69"/>
      <c r="MBE59" s="69"/>
      <c r="MBF59" s="69"/>
      <c r="MBG59" s="69"/>
      <c r="MBH59" s="69"/>
      <c r="MBI59" s="69"/>
      <c r="MBJ59" s="69"/>
      <c r="MBK59" s="69"/>
      <c r="MBL59" s="69"/>
      <c r="MBM59" s="69"/>
      <c r="MBN59" s="69"/>
      <c r="MBO59" s="69"/>
      <c r="MBP59" s="69"/>
      <c r="MBQ59" s="69"/>
      <c r="MBR59" s="69"/>
      <c r="MBS59" s="69"/>
      <c r="MBT59" s="69"/>
      <c r="MBU59" s="69"/>
      <c r="MBV59" s="69"/>
      <c r="MBW59" s="69"/>
      <c r="MBX59" s="69"/>
      <c r="MBY59" s="69" t="s">
        <v>116</v>
      </c>
      <c r="MBZ59" s="69"/>
      <c r="MCA59" s="69"/>
      <c r="MCB59" s="69"/>
      <c r="MCC59" s="69"/>
      <c r="MCD59" s="69"/>
      <c r="MCE59" s="69"/>
      <c r="MCF59" s="69"/>
      <c r="MCG59" s="69"/>
      <c r="MCH59" s="69"/>
      <c r="MCI59" s="69"/>
      <c r="MCJ59" s="69"/>
      <c r="MCK59" s="69"/>
      <c r="MCL59" s="69"/>
      <c r="MCM59" s="69"/>
      <c r="MCN59" s="69"/>
      <c r="MCO59" s="69"/>
      <c r="MCP59" s="69"/>
      <c r="MCQ59" s="69"/>
      <c r="MCR59" s="69"/>
      <c r="MCS59" s="69"/>
      <c r="MCT59" s="69"/>
      <c r="MCU59" s="69"/>
      <c r="MCV59" s="69"/>
      <c r="MCW59" s="69"/>
      <c r="MCX59" s="69"/>
      <c r="MCY59" s="69"/>
      <c r="MCZ59" s="69"/>
      <c r="MDA59" s="69"/>
      <c r="MDB59" s="69"/>
      <c r="MDC59" s="69"/>
      <c r="MDD59" s="69"/>
      <c r="MDE59" s="69" t="s">
        <v>116</v>
      </c>
      <c r="MDF59" s="69"/>
      <c r="MDG59" s="69"/>
      <c r="MDH59" s="69"/>
      <c r="MDI59" s="69"/>
      <c r="MDJ59" s="69"/>
      <c r="MDK59" s="69"/>
      <c r="MDL59" s="69"/>
      <c r="MDM59" s="69"/>
      <c r="MDN59" s="69"/>
      <c r="MDO59" s="69"/>
      <c r="MDP59" s="69"/>
      <c r="MDQ59" s="69"/>
      <c r="MDR59" s="69"/>
      <c r="MDS59" s="69"/>
      <c r="MDT59" s="69"/>
      <c r="MDU59" s="69"/>
      <c r="MDV59" s="69"/>
      <c r="MDW59" s="69"/>
      <c r="MDX59" s="69"/>
      <c r="MDY59" s="69"/>
      <c r="MDZ59" s="69"/>
      <c r="MEA59" s="69"/>
      <c r="MEB59" s="69"/>
      <c r="MEC59" s="69"/>
      <c r="MED59" s="69"/>
      <c r="MEE59" s="69"/>
      <c r="MEF59" s="69"/>
      <c r="MEG59" s="69"/>
      <c r="MEH59" s="69"/>
      <c r="MEI59" s="69"/>
      <c r="MEJ59" s="69"/>
      <c r="MEK59" s="69" t="s">
        <v>116</v>
      </c>
      <c r="MEL59" s="69"/>
      <c r="MEM59" s="69"/>
      <c r="MEN59" s="69"/>
      <c r="MEO59" s="69"/>
      <c r="MEP59" s="69"/>
      <c r="MEQ59" s="69"/>
      <c r="MER59" s="69"/>
      <c r="MES59" s="69"/>
      <c r="MET59" s="69"/>
      <c r="MEU59" s="69"/>
      <c r="MEV59" s="69"/>
      <c r="MEW59" s="69"/>
      <c r="MEX59" s="69"/>
      <c r="MEY59" s="69"/>
      <c r="MEZ59" s="69"/>
      <c r="MFA59" s="69"/>
      <c r="MFB59" s="69"/>
      <c r="MFC59" s="69"/>
      <c r="MFD59" s="69"/>
      <c r="MFE59" s="69"/>
      <c r="MFF59" s="69"/>
      <c r="MFG59" s="69"/>
      <c r="MFH59" s="69"/>
      <c r="MFI59" s="69"/>
      <c r="MFJ59" s="69"/>
      <c r="MFK59" s="69"/>
      <c r="MFL59" s="69"/>
      <c r="MFM59" s="69"/>
      <c r="MFN59" s="69"/>
      <c r="MFO59" s="69"/>
      <c r="MFP59" s="69"/>
      <c r="MFQ59" s="69" t="s">
        <v>116</v>
      </c>
      <c r="MFR59" s="69"/>
      <c r="MFS59" s="69"/>
      <c r="MFT59" s="69"/>
      <c r="MFU59" s="69"/>
      <c r="MFV59" s="69"/>
      <c r="MFW59" s="69"/>
      <c r="MFX59" s="69"/>
      <c r="MFY59" s="69"/>
      <c r="MFZ59" s="69"/>
      <c r="MGA59" s="69"/>
      <c r="MGB59" s="69"/>
      <c r="MGC59" s="69"/>
      <c r="MGD59" s="69"/>
      <c r="MGE59" s="69"/>
      <c r="MGF59" s="69"/>
      <c r="MGG59" s="69"/>
      <c r="MGH59" s="69"/>
      <c r="MGI59" s="69"/>
      <c r="MGJ59" s="69"/>
      <c r="MGK59" s="69"/>
      <c r="MGL59" s="69"/>
      <c r="MGM59" s="69"/>
      <c r="MGN59" s="69"/>
      <c r="MGO59" s="69"/>
      <c r="MGP59" s="69"/>
      <c r="MGQ59" s="69"/>
      <c r="MGR59" s="69"/>
      <c r="MGS59" s="69"/>
      <c r="MGT59" s="69"/>
      <c r="MGU59" s="69"/>
      <c r="MGV59" s="69"/>
      <c r="MGW59" s="69" t="s">
        <v>116</v>
      </c>
      <c r="MGX59" s="69"/>
      <c r="MGY59" s="69"/>
      <c r="MGZ59" s="69"/>
      <c r="MHA59" s="69"/>
      <c r="MHB59" s="69"/>
      <c r="MHC59" s="69"/>
      <c r="MHD59" s="69"/>
      <c r="MHE59" s="69"/>
      <c r="MHF59" s="69"/>
      <c r="MHG59" s="69"/>
      <c r="MHH59" s="69"/>
      <c r="MHI59" s="69"/>
      <c r="MHJ59" s="69"/>
      <c r="MHK59" s="69"/>
      <c r="MHL59" s="69"/>
      <c r="MHM59" s="69"/>
      <c r="MHN59" s="69"/>
      <c r="MHO59" s="69"/>
      <c r="MHP59" s="69"/>
      <c r="MHQ59" s="69"/>
      <c r="MHR59" s="69"/>
      <c r="MHS59" s="69"/>
      <c r="MHT59" s="69"/>
      <c r="MHU59" s="69"/>
      <c r="MHV59" s="69"/>
      <c r="MHW59" s="69"/>
      <c r="MHX59" s="69"/>
      <c r="MHY59" s="69"/>
      <c r="MHZ59" s="69"/>
      <c r="MIA59" s="69"/>
      <c r="MIB59" s="69"/>
      <c r="MIC59" s="69" t="s">
        <v>116</v>
      </c>
      <c r="MID59" s="69"/>
      <c r="MIE59" s="69"/>
      <c r="MIF59" s="69"/>
      <c r="MIG59" s="69"/>
      <c r="MIH59" s="69"/>
      <c r="MII59" s="69"/>
      <c r="MIJ59" s="69"/>
      <c r="MIK59" s="69"/>
      <c r="MIL59" s="69"/>
      <c r="MIM59" s="69"/>
      <c r="MIN59" s="69"/>
      <c r="MIO59" s="69"/>
      <c r="MIP59" s="69"/>
      <c r="MIQ59" s="69"/>
      <c r="MIR59" s="69"/>
      <c r="MIS59" s="69"/>
      <c r="MIT59" s="69"/>
      <c r="MIU59" s="69"/>
      <c r="MIV59" s="69"/>
      <c r="MIW59" s="69"/>
      <c r="MIX59" s="69"/>
      <c r="MIY59" s="69"/>
      <c r="MIZ59" s="69"/>
      <c r="MJA59" s="69"/>
      <c r="MJB59" s="69"/>
      <c r="MJC59" s="69"/>
      <c r="MJD59" s="69"/>
      <c r="MJE59" s="69"/>
      <c r="MJF59" s="69"/>
      <c r="MJG59" s="69"/>
      <c r="MJH59" s="69"/>
      <c r="MJI59" s="69" t="s">
        <v>116</v>
      </c>
      <c r="MJJ59" s="69"/>
      <c r="MJK59" s="69"/>
      <c r="MJL59" s="69"/>
      <c r="MJM59" s="69"/>
      <c r="MJN59" s="69"/>
      <c r="MJO59" s="69"/>
      <c r="MJP59" s="69"/>
      <c r="MJQ59" s="69"/>
      <c r="MJR59" s="69"/>
      <c r="MJS59" s="69"/>
      <c r="MJT59" s="69"/>
      <c r="MJU59" s="69"/>
      <c r="MJV59" s="69"/>
      <c r="MJW59" s="69"/>
      <c r="MJX59" s="69"/>
      <c r="MJY59" s="69"/>
      <c r="MJZ59" s="69"/>
      <c r="MKA59" s="69"/>
      <c r="MKB59" s="69"/>
      <c r="MKC59" s="69"/>
      <c r="MKD59" s="69"/>
      <c r="MKE59" s="69"/>
      <c r="MKF59" s="69"/>
      <c r="MKG59" s="69"/>
      <c r="MKH59" s="69"/>
      <c r="MKI59" s="69"/>
      <c r="MKJ59" s="69"/>
      <c r="MKK59" s="69"/>
      <c r="MKL59" s="69"/>
      <c r="MKM59" s="69"/>
      <c r="MKN59" s="69"/>
      <c r="MKO59" s="69" t="s">
        <v>116</v>
      </c>
      <c r="MKP59" s="69"/>
      <c r="MKQ59" s="69"/>
      <c r="MKR59" s="69"/>
      <c r="MKS59" s="69"/>
      <c r="MKT59" s="69"/>
      <c r="MKU59" s="69"/>
      <c r="MKV59" s="69"/>
      <c r="MKW59" s="69"/>
      <c r="MKX59" s="69"/>
      <c r="MKY59" s="69"/>
      <c r="MKZ59" s="69"/>
      <c r="MLA59" s="69"/>
      <c r="MLB59" s="69"/>
      <c r="MLC59" s="69"/>
      <c r="MLD59" s="69"/>
      <c r="MLE59" s="69"/>
      <c r="MLF59" s="69"/>
      <c r="MLG59" s="69"/>
      <c r="MLH59" s="69"/>
      <c r="MLI59" s="69"/>
      <c r="MLJ59" s="69"/>
      <c r="MLK59" s="69"/>
      <c r="MLL59" s="69"/>
      <c r="MLM59" s="69"/>
      <c r="MLN59" s="69"/>
      <c r="MLO59" s="69"/>
      <c r="MLP59" s="69"/>
      <c r="MLQ59" s="69"/>
      <c r="MLR59" s="69"/>
      <c r="MLS59" s="69"/>
      <c r="MLT59" s="69"/>
      <c r="MLU59" s="69" t="s">
        <v>116</v>
      </c>
      <c r="MLV59" s="69"/>
      <c r="MLW59" s="69"/>
      <c r="MLX59" s="69"/>
      <c r="MLY59" s="69"/>
      <c r="MLZ59" s="69"/>
      <c r="MMA59" s="69"/>
      <c r="MMB59" s="69"/>
      <c r="MMC59" s="69"/>
      <c r="MMD59" s="69"/>
      <c r="MME59" s="69"/>
      <c r="MMF59" s="69"/>
      <c r="MMG59" s="69"/>
      <c r="MMH59" s="69"/>
      <c r="MMI59" s="69"/>
      <c r="MMJ59" s="69"/>
      <c r="MMK59" s="69"/>
      <c r="MML59" s="69"/>
      <c r="MMM59" s="69"/>
      <c r="MMN59" s="69"/>
      <c r="MMO59" s="69"/>
      <c r="MMP59" s="69"/>
      <c r="MMQ59" s="69"/>
      <c r="MMR59" s="69"/>
      <c r="MMS59" s="69"/>
      <c r="MMT59" s="69"/>
      <c r="MMU59" s="69"/>
      <c r="MMV59" s="69"/>
      <c r="MMW59" s="69"/>
      <c r="MMX59" s="69"/>
      <c r="MMY59" s="69"/>
      <c r="MMZ59" s="69"/>
      <c r="MNA59" s="69" t="s">
        <v>116</v>
      </c>
      <c r="MNB59" s="69"/>
      <c r="MNC59" s="69"/>
      <c r="MND59" s="69"/>
      <c r="MNE59" s="69"/>
      <c r="MNF59" s="69"/>
      <c r="MNG59" s="69"/>
      <c r="MNH59" s="69"/>
      <c r="MNI59" s="69"/>
      <c r="MNJ59" s="69"/>
      <c r="MNK59" s="69"/>
      <c r="MNL59" s="69"/>
      <c r="MNM59" s="69"/>
      <c r="MNN59" s="69"/>
      <c r="MNO59" s="69"/>
      <c r="MNP59" s="69"/>
      <c r="MNQ59" s="69"/>
      <c r="MNR59" s="69"/>
      <c r="MNS59" s="69"/>
      <c r="MNT59" s="69"/>
      <c r="MNU59" s="69"/>
      <c r="MNV59" s="69"/>
      <c r="MNW59" s="69"/>
      <c r="MNX59" s="69"/>
      <c r="MNY59" s="69"/>
      <c r="MNZ59" s="69"/>
      <c r="MOA59" s="69"/>
      <c r="MOB59" s="69"/>
      <c r="MOC59" s="69"/>
      <c r="MOD59" s="69"/>
      <c r="MOE59" s="69"/>
      <c r="MOF59" s="69"/>
      <c r="MOG59" s="69" t="s">
        <v>116</v>
      </c>
      <c r="MOH59" s="69"/>
      <c r="MOI59" s="69"/>
      <c r="MOJ59" s="69"/>
      <c r="MOK59" s="69"/>
      <c r="MOL59" s="69"/>
      <c r="MOM59" s="69"/>
      <c r="MON59" s="69"/>
      <c r="MOO59" s="69"/>
      <c r="MOP59" s="69"/>
      <c r="MOQ59" s="69"/>
      <c r="MOR59" s="69"/>
      <c r="MOS59" s="69"/>
      <c r="MOT59" s="69"/>
      <c r="MOU59" s="69"/>
      <c r="MOV59" s="69"/>
      <c r="MOW59" s="69"/>
      <c r="MOX59" s="69"/>
      <c r="MOY59" s="69"/>
      <c r="MOZ59" s="69"/>
      <c r="MPA59" s="69"/>
      <c r="MPB59" s="69"/>
      <c r="MPC59" s="69"/>
      <c r="MPD59" s="69"/>
      <c r="MPE59" s="69"/>
      <c r="MPF59" s="69"/>
      <c r="MPG59" s="69"/>
      <c r="MPH59" s="69"/>
      <c r="MPI59" s="69"/>
      <c r="MPJ59" s="69"/>
      <c r="MPK59" s="69"/>
      <c r="MPL59" s="69"/>
      <c r="MPM59" s="69" t="s">
        <v>116</v>
      </c>
      <c r="MPN59" s="69"/>
      <c r="MPO59" s="69"/>
      <c r="MPP59" s="69"/>
      <c r="MPQ59" s="69"/>
      <c r="MPR59" s="69"/>
      <c r="MPS59" s="69"/>
      <c r="MPT59" s="69"/>
      <c r="MPU59" s="69"/>
      <c r="MPV59" s="69"/>
      <c r="MPW59" s="69"/>
      <c r="MPX59" s="69"/>
      <c r="MPY59" s="69"/>
      <c r="MPZ59" s="69"/>
      <c r="MQA59" s="69"/>
      <c r="MQB59" s="69"/>
      <c r="MQC59" s="69"/>
      <c r="MQD59" s="69"/>
      <c r="MQE59" s="69"/>
      <c r="MQF59" s="69"/>
      <c r="MQG59" s="69"/>
      <c r="MQH59" s="69"/>
      <c r="MQI59" s="69"/>
      <c r="MQJ59" s="69"/>
      <c r="MQK59" s="69"/>
      <c r="MQL59" s="69"/>
      <c r="MQM59" s="69"/>
      <c r="MQN59" s="69"/>
      <c r="MQO59" s="69"/>
      <c r="MQP59" s="69"/>
      <c r="MQQ59" s="69"/>
      <c r="MQR59" s="69"/>
      <c r="MQS59" s="69" t="s">
        <v>116</v>
      </c>
      <c r="MQT59" s="69"/>
      <c r="MQU59" s="69"/>
      <c r="MQV59" s="69"/>
      <c r="MQW59" s="69"/>
      <c r="MQX59" s="69"/>
      <c r="MQY59" s="69"/>
      <c r="MQZ59" s="69"/>
      <c r="MRA59" s="69"/>
      <c r="MRB59" s="69"/>
      <c r="MRC59" s="69"/>
      <c r="MRD59" s="69"/>
      <c r="MRE59" s="69"/>
      <c r="MRF59" s="69"/>
      <c r="MRG59" s="69"/>
      <c r="MRH59" s="69"/>
      <c r="MRI59" s="69"/>
      <c r="MRJ59" s="69"/>
      <c r="MRK59" s="69"/>
      <c r="MRL59" s="69"/>
      <c r="MRM59" s="69"/>
      <c r="MRN59" s="69"/>
      <c r="MRO59" s="69"/>
      <c r="MRP59" s="69"/>
      <c r="MRQ59" s="69"/>
      <c r="MRR59" s="69"/>
      <c r="MRS59" s="69"/>
      <c r="MRT59" s="69"/>
      <c r="MRU59" s="69"/>
      <c r="MRV59" s="69"/>
      <c r="MRW59" s="69"/>
      <c r="MRX59" s="69"/>
      <c r="MRY59" s="69" t="s">
        <v>116</v>
      </c>
      <c r="MRZ59" s="69"/>
      <c r="MSA59" s="69"/>
      <c r="MSB59" s="69"/>
      <c r="MSC59" s="69"/>
      <c r="MSD59" s="69"/>
      <c r="MSE59" s="69"/>
      <c r="MSF59" s="69"/>
      <c r="MSG59" s="69"/>
      <c r="MSH59" s="69"/>
      <c r="MSI59" s="69"/>
      <c r="MSJ59" s="69"/>
      <c r="MSK59" s="69"/>
      <c r="MSL59" s="69"/>
      <c r="MSM59" s="69"/>
      <c r="MSN59" s="69"/>
      <c r="MSO59" s="69"/>
      <c r="MSP59" s="69"/>
      <c r="MSQ59" s="69"/>
      <c r="MSR59" s="69"/>
      <c r="MSS59" s="69"/>
      <c r="MST59" s="69"/>
      <c r="MSU59" s="69"/>
      <c r="MSV59" s="69"/>
      <c r="MSW59" s="69"/>
      <c r="MSX59" s="69"/>
      <c r="MSY59" s="69"/>
      <c r="MSZ59" s="69"/>
      <c r="MTA59" s="69"/>
      <c r="MTB59" s="69"/>
      <c r="MTC59" s="69"/>
      <c r="MTD59" s="69"/>
      <c r="MTE59" s="69" t="s">
        <v>116</v>
      </c>
      <c r="MTF59" s="69"/>
      <c r="MTG59" s="69"/>
      <c r="MTH59" s="69"/>
      <c r="MTI59" s="69"/>
      <c r="MTJ59" s="69"/>
      <c r="MTK59" s="69"/>
      <c r="MTL59" s="69"/>
      <c r="MTM59" s="69"/>
      <c r="MTN59" s="69"/>
      <c r="MTO59" s="69"/>
      <c r="MTP59" s="69"/>
      <c r="MTQ59" s="69"/>
      <c r="MTR59" s="69"/>
      <c r="MTS59" s="69"/>
      <c r="MTT59" s="69"/>
      <c r="MTU59" s="69"/>
      <c r="MTV59" s="69"/>
      <c r="MTW59" s="69"/>
      <c r="MTX59" s="69"/>
      <c r="MTY59" s="69"/>
      <c r="MTZ59" s="69"/>
      <c r="MUA59" s="69"/>
      <c r="MUB59" s="69"/>
      <c r="MUC59" s="69"/>
      <c r="MUD59" s="69"/>
      <c r="MUE59" s="69"/>
      <c r="MUF59" s="69"/>
      <c r="MUG59" s="69"/>
      <c r="MUH59" s="69"/>
      <c r="MUI59" s="69"/>
      <c r="MUJ59" s="69"/>
      <c r="MUK59" s="69" t="s">
        <v>116</v>
      </c>
      <c r="MUL59" s="69"/>
      <c r="MUM59" s="69"/>
      <c r="MUN59" s="69"/>
      <c r="MUO59" s="69"/>
      <c r="MUP59" s="69"/>
      <c r="MUQ59" s="69"/>
      <c r="MUR59" s="69"/>
      <c r="MUS59" s="69"/>
      <c r="MUT59" s="69"/>
      <c r="MUU59" s="69"/>
      <c r="MUV59" s="69"/>
      <c r="MUW59" s="69"/>
      <c r="MUX59" s="69"/>
      <c r="MUY59" s="69"/>
      <c r="MUZ59" s="69"/>
      <c r="MVA59" s="69"/>
      <c r="MVB59" s="69"/>
      <c r="MVC59" s="69"/>
      <c r="MVD59" s="69"/>
      <c r="MVE59" s="69"/>
      <c r="MVF59" s="69"/>
      <c r="MVG59" s="69"/>
      <c r="MVH59" s="69"/>
      <c r="MVI59" s="69"/>
      <c r="MVJ59" s="69"/>
      <c r="MVK59" s="69"/>
      <c r="MVL59" s="69"/>
      <c r="MVM59" s="69"/>
      <c r="MVN59" s="69"/>
      <c r="MVO59" s="69"/>
      <c r="MVP59" s="69"/>
      <c r="MVQ59" s="69" t="s">
        <v>116</v>
      </c>
      <c r="MVR59" s="69"/>
      <c r="MVS59" s="69"/>
      <c r="MVT59" s="69"/>
      <c r="MVU59" s="69"/>
      <c r="MVV59" s="69"/>
      <c r="MVW59" s="69"/>
      <c r="MVX59" s="69"/>
      <c r="MVY59" s="69"/>
      <c r="MVZ59" s="69"/>
      <c r="MWA59" s="69"/>
      <c r="MWB59" s="69"/>
      <c r="MWC59" s="69"/>
      <c r="MWD59" s="69"/>
      <c r="MWE59" s="69"/>
      <c r="MWF59" s="69"/>
      <c r="MWG59" s="69"/>
      <c r="MWH59" s="69"/>
      <c r="MWI59" s="69"/>
      <c r="MWJ59" s="69"/>
      <c r="MWK59" s="69"/>
      <c r="MWL59" s="69"/>
      <c r="MWM59" s="69"/>
      <c r="MWN59" s="69"/>
      <c r="MWO59" s="69"/>
      <c r="MWP59" s="69"/>
      <c r="MWQ59" s="69"/>
      <c r="MWR59" s="69"/>
      <c r="MWS59" s="69"/>
      <c r="MWT59" s="69"/>
      <c r="MWU59" s="69"/>
      <c r="MWV59" s="69"/>
      <c r="MWW59" s="69" t="s">
        <v>116</v>
      </c>
      <c r="MWX59" s="69"/>
      <c r="MWY59" s="69"/>
      <c r="MWZ59" s="69"/>
      <c r="MXA59" s="69"/>
      <c r="MXB59" s="69"/>
      <c r="MXC59" s="69"/>
      <c r="MXD59" s="69"/>
      <c r="MXE59" s="69"/>
      <c r="MXF59" s="69"/>
      <c r="MXG59" s="69"/>
      <c r="MXH59" s="69"/>
      <c r="MXI59" s="69"/>
      <c r="MXJ59" s="69"/>
      <c r="MXK59" s="69"/>
      <c r="MXL59" s="69"/>
      <c r="MXM59" s="69"/>
      <c r="MXN59" s="69"/>
      <c r="MXO59" s="69"/>
      <c r="MXP59" s="69"/>
      <c r="MXQ59" s="69"/>
      <c r="MXR59" s="69"/>
      <c r="MXS59" s="69"/>
      <c r="MXT59" s="69"/>
      <c r="MXU59" s="69"/>
      <c r="MXV59" s="69"/>
      <c r="MXW59" s="69"/>
      <c r="MXX59" s="69"/>
      <c r="MXY59" s="69"/>
      <c r="MXZ59" s="69"/>
      <c r="MYA59" s="69"/>
      <c r="MYB59" s="69"/>
      <c r="MYC59" s="69" t="s">
        <v>116</v>
      </c>
      <c r="MYD59" s="69"/>
      <c r="MYE59" s="69"/>
      <c r="MYF59" s="69"/>
      <c r="MYG59" s="69"/>
      <c r="MYH59" s="69"/>
      <c r="MYI59" s="69"/>
      <c r="MYJ59" s="69"/>
      <c r="MYK59" s="69"/>
      <c r="MYL59" s="69"/>
      <c r="MYM59" s="69"/>
      <c r="MYN59" s="69"/>
      <c r="MYO59" s="69"/>
      <c r="MYP59" s="69"/>
      <c r="MYQ59" s="69"/>
      <c r="MYR59" s="69"/>
      <c r="MYS59" s="69"/>
      <c r="MYT59" s="69"/>
      <c r="MYU59" s="69"/>
      <c r="MYV59" s="69"/>
      <c r="MYW59" s="69"/>
      <c r="MYX59" s="69"/>
      <c r="MYY59" s="69"/>
      <c r="MYZ59" s="69"/>
      <c r="MZA59" s="69"/>
      <c r="MZB59" s="69"/>
      <c r="MZC59" s="69"/>
      <c r="MZD59" s="69"/>
      <c r="MZE59" s="69"/>
      <c r="MZF59" s="69"/>
      <c r="MZG59" s="69"/>
      <c r="MZH59" s="69"/>
      <c r="MZI59" s="69" t="s">
        <v>116</v>
      </c>
      <c r="MZJ59" s="69"/>
      <c r="MZK59" s="69"/>
      <c r="MZL59" s="69"/>
      <c r="MZM59" s="69"/>
      <c r="MZN59" s="69"/>
      <c r="MZO59" s="69"/>
      <c r="MZP59" s="69"/>
      <c r="MZQ59" s="69"/>
      <c r="MZR59" s="69"/>
      <c r="MZS59" s="69"/>
      <c r="MZT59" s="69"/>
      <c r="MZU59" s="69"/>
      <c r="MZV59" s="69"/>
      <c r="MZW59" s="69"/>
      <c r="MZX59" s="69"/>
      <c r="MZY59" s="69"/>
      <c r="MZZ59" s="69"/>
      <c r="NAA59" s="69"/>
      <c r="NAB59" s="69"/>
      <c r="NAC59" s="69"/>
      <c r="NAD59" s="69"/>
      <c r="NAE59" s="69"/>
      <c r="NAF59" s="69"/>
      <c r="NAG59" s="69"/>
      <c r="NAH59" s="69"/>
      <c r="NAI59" s="69"/>
      <c r="NAJ59" s="69"/>
      <c r="NAK59" s="69"/>
      <c r="NAL59" s="69"/>
      <c r="NAM59" s="69"/>
      <c r="NAN59" s="69"/>
      <c r="NAO59" s="69" t="s">
        <v>116</v>
      </c>
      <c r="NAP59" s="69"/>
      <c r="NAQ59" s="69"/>
      <c r="NAR59" s="69"/>
      <c r="NAS59" s="69"/>
      <c r="NAT59" s="69"/>
      <c r="NAU59" s="69"/>
      <c r="NAV59" s="69"/>
      <c r="NAW59" s="69"/>
      <c r="NAX59" s="69"/>
      <c r="NAY59" s="69"/>
      <c r="NAZ59" s="69"/>
      <c r="NBA59" s="69"/>
      <c r="NBB59" s="69"/>
      <c r="NBC59" s="69"/>
      <c r="NBD59" s="69"/>
      <c r="NBE59" s="69"/>
      <c r="NBF59" s="69"/>
      <c r="NBG59" s="69"/>
      <c r="NBH59" s="69"/>
      <c r="NBI59" s="69"/>
      <c r="NBJ59" s="69"/>
      <c r="NBK59" s="69"/>
      <c r="NBL59" s="69"/>
      <c r="NBM59" s="69"/>
      <c r="NBN59" s="69"/>
      <c r="NBO59" s="69"/>
      <c r="NBP59" s="69"/>
      <c r="NBQ59" s="69"/>
      <c r="NBR59" s="69"/>
      <c r="NBS59" s="69"/>
      <c r="NBT59" s="69"/>
      <c r="NBU59" s="69" t="s">
        <v>116</v>
      </c>
      <c r="NBV59" s="69"/>
      <c r="NBW59" s="69"/>
      <c r="NBX59" s="69"/>
      <c r="NBY59" s="69"/>
      <c r="NBZ59" s="69"/>
      <c r="NCA59" s="69"/>
      <c r="NCB59" s="69"/>
      <c r="NCC59" s="69"/>
      <c r="NCD59" s="69"/>
      <c r="NCE59" s="69"/>
      <c r="NCF59" s="69"/>
      <c r="NCG59" s="69"/>
      <c r="NCH59" s="69"/>
      <c r="NCI59" s="69"/>
      <c r="NCJ59" s="69"/>
      <c r="NCK59" s="69"/>
      <c r="NCL59" s="69"/>
      <c r="NCM59" s="69"/>
      <c r="NCN59" s="69"/>
      <c r="NCO59" s="69"/>
      <c r="NCP59" s="69"/>
      <c r="NCQ59" s="69"/>
      <c r="NCR59" s="69"/>
      <c r="NCS59" s="69"/>
      <c r="NCT59" s="69"/>
      <c r="NCU59" s="69"/>
      <c r="NCV59" s="69"/>
      <c r="NCW59" s="69"/>
      <c r="NCX59" s="69"/>
      <c r="NCY59" s="69"/>
      <c r="NCZ59" s="69"/>
      <c r="NDA59" s="69" t="s">
        <v>116</v>
      </c>
      <c r="NDB59" s="69"/>
      <c r="NDC59" s="69"/>
      <c r="NDD59" s="69"/>
      <c r="NDE59" s="69"/>
      <c r="NDF59" s="69"/>
      <c r="NDG59" s="69"/>
      <c r="NDH59" s="69"/>
      <c r="NDI59" s="69"/>
      <c r="NDJ59" s="69"/>
      <c r="NDK59" s="69"/>
      <c r="NDL59" s="69"/>
      <c r="NDM59" s="69"/>
      <c r="NDN59" s="69"/>
      <c r="NDO59" s="69"/>
      <c r="NDP59" s="69"/>
      <c r="NDQ59" s="69"/>
      <c r="NDR59" s="69"/>
      <c r="NDS59" s="69"/>
      <c r="NDT59" s="69"/>
      <c r="NDU59" s="69"/>
      <c r="NDV59" s="69"/>
      <c r="NDW59" s="69"/>
      <c r="NDX59" s="69"/>
      <c r="NDY59" s="69"/>
      <c r="NDZ59" s="69"/>
      <c r="NEA59" s="69"/>
      <c r="NEB59" s="69"/>
      <c r="NEC59" s="69"/>
      <c r="NED59" s="69"/>
      <c r="NEE59" s="69"/>
      <c r="NEF59" s="69"/>
      <c r="NEG59" s="69" t="s">
        <v>116</v>
      </c>
      <c r="NEH59" s="69"/>
      <c r="NEI59" s="69"/>
      <c r="NEJ59" s="69"/>
      <c r="NEK59" s="69"/>
      <c r="NEL59" s="69"/>
      <c r="NEM59" s="69"/>
      <c r="NEN59" s="69"/>
      <c r="NEO59" s="69"/>
      <c r="NEP59" s="69"/>
      <c r="NEQ59" s="69"/>
      <c r="NER59" s="69"/>
      <c r="NES59" s="69"/>
      <c r="NET59" s="69"/>
      <c r="NEU59" s="69"/>
      <c r="NEV59" s="69"/>
      <c r="NEW59" s="69"/>
      <c r="NEX59" s="69"/>
      <c r="NEY59" s="69"/>
      <c r="NEZ59" s="69"/>
      <c r="NFA59" s="69"/>
      <c r="NFB59" s="69"/>
      <c r="NFC59" s="69"/>
      <c r="NFD59" s="69"/>
      <c r="NFE59" s="69"/>
      <c r="NFF59" s="69"/>
      <c r="NFG59" s="69"/>
      <c r="NFH59" s="69"/>
      <c r="NFI59" s="69"/>
      <c r="NFJ59" s="69"/>
      <c r="NFK59" s="69"/>
      <c r="NFL59" s="69"/>
      <c r="NFM59" s="69" t="s">
        <v>116</v>
      </c>
      <c r="NFN59" s="69"/>
      <c r="NFO59" s="69"/>
      <c r="NFP59" s="69"/>
      <c r="NFQ59" s="69"/>
      <c r="NFR59" s="69"/>
      <c r="NFS59" s="69"/>
      <c r="NFT59" s="69"/>
      <c r="NFU59" s="69"/>
      <c r="NFV59" s="69"/>
      <c r="NFW59" s="69"/>
      <c r="NFX59" s="69"/>
      <c r="NFY59" s="69"/>
      <c r="NFZ59" s="69"/>
      <c r="NGA59" s="69"/>
      <c r="NGB59" s="69"/>
      <c r="NGC59" s="69"/>
      <c r="NGD59" s="69"/>
      <c r="NGE59" s="69"/>
      <c r="NGF59" s="69"/>
      <c r="NGG59" s="69"/>
      <c r="NGH59" s="69"/>
      <c r="NGI59" s="69"/>
      <c r="NGJ59" s="69"/>
      <c r="NGK59" s="69"/>
      <c r="NGL59" s="69"/>
      <c r="NGM59" s="69"/>
      <c r="NGN59" s="69"/>
      <c r="NGO59" s="69"/>
      <c r="NGP59" s="69"/>
      <c r="NGQ59" s="69"/>
      <c r="NGR59" s="69"/>
      <c r="NGS59" s="69" t="s">
        <v>116</v>
      </c>
      <c r="NGT59" s="69"/>
      <c r="NGU59" s="69"/>
      <c r="NGV59" s="69"/>
      <c r="NGW59" s="69"/>
      <c r="NGX59" s="69"/>
      <c r="NGY59" s="69"/>
      <c r="NGZ59" s="69"/>
      <c r="NHA59" s="69"/>
      <c r="NHB59" s="69"/>
      <c r="NHC59" s="69"/>
      <c r="NHD59" s="69"/>
      <c r="NHE59" s="69"/>
      <c r="NHF59" s="69"/>
      <c r="NHG59" s="69"/>
      <c r="NHH59" s="69"/>
      <c r="NHI59" s="69"/>
      <c r="NHJ59" s="69"/>
      <c r="NHK59" s="69"/>
      <c r="NHL59" s="69"/>
      <c r="NHM59" s="69"/>
      <c r="NHN59" s="69"/>
      <c r="NHO59" s="69"/>
      <c r="NHP59" s="69"/>
      <c r="NHQ59" s="69"/>
      <c r="NHR59" s="69"/>
      <c r="NHS59" s="69"/>
      <c r="NHT59" s="69"/>
      <c r="NHU59" s="69"/>
      <c r="NHV59" s="69"/>
      <c r="NHW59" s="69"/>
      <c r="NHX59" s="69"/>
      <c r="NHY59" s="69" t="s">
        <v>116</v>
      </c>
      <c r="NHZ59" s="69"/>
      <c r="NIA59" s="69"/>
      <c r="NIB59" s="69"/>
      <c r="NIC59" s="69"/>
      <c r="NID59" s="69"/>
      <c r="NIE59" s="69"/>
      <c r="NIF59" s="69"/>
      <c r="NIG59" s="69"/>
      <c r="NIH59" s="69"/>
      <c r="NII59" s="69"/>
      <c r="NIJ59" s="69"/>
      <c r="NIK59" s="69"/>
      <c r="NIL59" s="69"/>
      <c r="NIM59" s="69"/>
      <c r="NIN59" s="69"/>
      <c r="NIO59" s="69"/>
      <c r="NIP59" s="69"/>
      <c r="NIQ59" s="69"/>
      <c r="NIR59" s="69"/>
      <c r="NIS59" s="69"/>
      <c r="NIT59" s="69"/>
      <c r="NIU59" s="69"/>
      <c r="NIV59" s="69"/>
      <c r="NIW59" s="69"/>
      <c r="NIX59" s="69"/>
      <c r="NIY59" s="69"/>
      <c r="NIZ59" s="69"/>
      <c r="NJA59" s="69"/>
      <c r="NJB59" s="69"/>
      <c r="NJC59" s="69"/>
      <c r="NJD59" s="69"/>
      <c r="NJE59" s="69" t="s">
        <v>116</v>
      </c>
      <c r="NJF59" s="69"/>
      <c r="NJG59" s="69"/>
      <c r="NJH59" s="69"/>
      <c r="NJI59" s="69"/>
      <c r="NJJ59" s="69"/>
      <c r="NJK59" s="69"/>
      <c r="NJL59" s="69"/>
      <c r="NJM59" s="69"/>
      <c r="NJN59" s="69"/>
      <c r="NJO59" s="69"/>
      <c r="NJP59" s="69"/>
      <c r="NJQ59" s="69"/>
      <c r="NJR59" s="69"/>
      <c r="NJS59" s="69"/>
      <c r="NJT59" s="69"/>
      <c r="NJU59" s="69"/>
      <c r="NJV59" s="69"/>
      <c r="NJW59" s="69"/>
      <c r="NJX59" s="69"/>
      <c r="NJY59" s="69"/>
      <c r="NJZ59" s="69"/>
      <c r="NKA59" s="69"/>
      <c r="NKB59" s="69"/>
      <c r="NKC59" s="69"/>
      <c r="NKD59" s="69"/>
      <c r="NKE59" s="69"/>
      <c r="NKF59" s="69"/>
      <c r="NKG59" s="69"/>
      <c r="NKH59" s="69"/>
      <c r="NKI59" s="69"/>
      <c r="NKJ59" s="69"/>
      <c r="NKK59" s="69" t="s">
        <v>116</v>
      </c>
      <c r="NKL59" s="69"/>
      <c r="NKM59" s="69"/>
      <c r="NKN59" s="69"/>
      <c r="NKO59" s="69"/>
      <c r="NKP59" s="69"/>
      <c r="NKQ59" s="69"/>
      <c r="NKR59" s="69"/>
      <c r="NKS59" s="69"/>
      <c r="NKT59" s="69"/>
      <c r="NKU59" s="69"/>
      <c r="NKV59" s="69"/>
      <c r="NKW59" s="69"/>
      <c r="NKX59" s="69"/>
      <c r="NKY59" s="69"/>
      <c r="NKZ59" s="69"/>
      <c r="NLA59" s="69"/>
      <c r="NLB59" s="69"/>
      <c r="NLC59" s="69"/>
      <c r="NLD59" s="69"/>
      <c r="NLE59" s="69"/>
      <c r="NLF59" s="69"/>
      <c r="NLG59" s="69"/>
      <c r="NLH59" s="69"/>
      <c r="NLI59" s="69"/>
      <c r="NLJ59" s="69"/>
      <c r="NLK59" s="69"/>
      <c r="NLL59" s="69"/>
      <c r="NLM59" s="69"/>
      <c r="NLN59" s="69"/>
      <c r="NLO59" s="69"/>
      <c r="NLP59" s="69"/>
      <c r="NLQ59" s="69" t="s">
        <v>116</v>
      </c>
      <c r="NLR59" s="69"/>
      <c r="NLS59" s="69"/>
      <c r="NLT59" s="69"/>
      <c r="NLU59" s="69"/>
      <c r="NLV59" s="69"/>
      <c r="NLW59" s="69"/>
      <c r="NLX59" s="69"/>
      <c r="NLY59" s="69"/>
      <c r="NLZ59" s="69"/>
      <c r="NMA59" s="69"/>
      <c r="NMB59" s="69"/>
      <c r="NMC59" s="69"/>
      <c r="NMD59" s="69"/>
      <c r="NME59" s="69"/>
      <c r="NMF59" s="69"/>
      <c r="NMG59" s="69"/>
      <c r="NMH59" s="69"/>
      <c r="NMI59" s="69"/>
      <c r="NMJ59" s="69"/>
      <c r="NMK59" s="69"/>
      <c r="NML59" s="69"/>
      <c r="NMM59" s="69"/>
      <c r="NMN59" s="69"/>
      <c r="NMO59" s="69"/>
      <c r="NMP59" s="69"/>
      <c r="NMQ59" s="69"/>
      <c r="NMR59" s="69"/>
      <c r="NMS59" s="69"/>
      <c r="NMT59" s="69"/>
      <c r="NMU59" s="69"/>
      <c r="NMV59" s="69"/>
      <c r="NMW59" s="69" t="s">
        <v>116</v>
      </c>
      <c r="NMX59" s="69"/>
      <c r="NMY59" s="69"/>
      <c r="NMZ59" s="69"/>
      <c r="NNA59" s="69"/>
      <c r="NNB59" s="69"/>
      <c r="NNC59" s="69"/>
      <c r="NND59" s="69"/>
      <c r="NNE59" s="69"/>
      <c r="NNF59" s="69"/>
      <c r="NNG59" s="69"/>
      <c r="NNH59" s="69"/>
      <c r="NNI59" s="69"/>
      <c r="NNJ59" s="69"/>
      <c r="NNK59" s="69"/>
      <c r="NNL59" s="69"/>
      <c r="NNM59" s="69"/>
      <c r="NNN59" s="69"/>
      <c r="NNO59" s="69"/>
      <c r="NNP59" s="69"/>
      <c r="NNQ59" s="69"/>
      <c r="NNR59" s="69"/>
      <c r="NNS59" s="69"/>
      <c r="NNT59" s="69"/>
      <c r="NNU59" s="69"/>
      <c r="NNV59" s="69"/>
      <c r="NNW59" s="69"/>
      <c r="NNX59" s="69"/>
      <c r="NNY59" s="69"/>
      <c r="NNZ59" s="69"/>
      <c r="NOA59" s="69"/>
      <c r="NOB59" s="69"/>
      <c r="NOC59" s="69" t="s">
        <v>116</v>
      </c>
      <c r="NOD59" s="69"/>
      <c r="NOE59" s="69"/>
      <c r="NOF59" s="69"/>
      <c r="NOG59" s="69"/>
      <c r="NOH59" s="69"/>
      <c r="NOI59" s="69"/>
      <c r="NOJ59" s="69"/>
      <c r="NOK59" s="69"/>
      <c r="NOL59" s="69"/>
      <c r="NOM59" s="69"/>
      <c r="NON59" s="69"/>
      <c r="NOO59" s="69"/>
      <c r="NOP59" s="69"/>
      <c r="NOQ59" s="69"/>
      <c r="NOR59" s="69"/>
      <c r="NOS59" s="69"/>
      <c r="NOT59" s="69"/>
      <c r="NOU59" s="69"/>
      <c r="NOV59" s="69"/>
      <c r="NOW59" s="69"/>
      <c r="NOX59" s="69"/>
      <c r="NOY59" s="69"/>
      <c r="NOZ59" s="69"/>
      <c r="NPA59" s="69"/>
      <c r="NPB59" s="69"/>
      <c r="NPC59" s="69"/>
      <c r="NPD59" s="69"/>
      <c r="NPE59" s="69"/>
      <c r="NPF59" s="69"/>
      <c r="NPG59" s="69"/>
      <c r="NPH59" s="69"/>
      <c r="NPI59" s="69" t="s">
        <v>116</v>
      </c>
      <c r="NPJ59" s="69"/>
      <c r="NPK59" s="69"/>
      <c r="NPL59" s="69"/>
      <c r="NPM59" s="69"/>
      <c r="NPN59" s="69"/>
      <c r="NPO59" s="69"/>
      <c r="NPP59" s="69"/>
      <c r="NPQ59" s="69"/>
      <c r="NPR59" s="69"/>
      <c r="NPS59" s="69"/>
      <c r="NPT59" s="69"/>
      <c r="NPU59" s="69"/>
      <c r="NPV59" s="69"/>
      <c r="NPW59" s="69"/>
      <c r="NPX59" s="69"/>
      <c r="NPY59" s="69"/>
      <c r="NPZ59" s="69"/>
      <c r="NQA59" s="69"/>
      <c r="NQB59" s="69"/>
      <c r="NQC59" s="69"/>
      <c r="NQD59" s="69"/>
      <c r="NQE59" s="69"/>
      <c r="NQF59" s="69"/>
      <c r="NQG59" s="69"/>
      <c r="NQH59" s="69"/>
      <c r="NQI59" s="69"/>
      <c r="NQJ59" s="69"/>
      <c r="NQK59" s="69"/>
      <c r="NQL59" s="69"/>
      <c r="NQM59" s="69"/>
      <c r="NQN59" s="69"/>
      <c r="NQO59" s="69" t="s">
        <v>116</v>
      </c>
      <c r="NQP59" s="69"/>
      <c r="NQQ59" s="69"/>
      <c r="NQR59" s="69"/>
      <c r="NQS59" s="69"/>
      <c r="NQT59" s="69"/>
      <c r="NQU59" s="69"/>
      <c r="NQV59" s="69"/>
      <c r="NQW59" s="69"/>
      <c r="NQX59" s="69"/>
      <c r="NQY59" s="69"/>
      <c r="NQZ59" s="69"/>
      <c r="NRA59" s="69"/>
      <c r="NRB59" s="69"/>
      <c r="NRC59" s="69"/>
      <c r="NRD59" s="69"/>
      <c r="NRE59" s="69"/>
      <c r="NRF59" s="69"/>
      <c r="NRG59" s="69"/>
      <c r="NRH59" s="69"/>
      <c r="NRI59" s="69"/>
      <c r="NRJ59" s="69"/>
      <c r="NRK59" s="69"/>
      <c r="NRL59" s="69"/>
      <c r="NRM59" s="69"/>
      <c r="NRN59" s="69"/>
      <c r="NRO59" s="69"/>
      <c r="NRP59" s="69"/>
      <c r="NRQ59" s="69"/>
      <c r="NRR59" s="69"/>
      <c r="NRS59" s="69"/>
      <c r="NRT59" s="69"/>
      <c r="NRU59" s="69" t="s">
        <v>116</v>
      </c>
      <c r="NRV59" s="69"/>
      <c r="NRW59" s="69"/>
      <c r="NRX59" s="69"/>
      <c r="NRY59" s="69"/>
      <c r="NRZ59" s="69"/>
      <c r="NSA59" s="69"/>
      <c r="NSB59" s="69"/>
      <c r="NSC59" s="69"/>
      <c r="NSD59" s="69"/>
      <c r="NSE59" s="69"/>
      <c r="NSF59" s="69"/>
      <c r="NSG59" s="69"/>
      <c r="NSH59" s="69"/>
      <c r="NSI59" s="69"/>
      <c r="NSJ59" s="69"/>
      <c r="NSK59" s="69"/>
      <c r="NSL59" s="69"/>
      <c r="NSM59" s="69"/>
      <c r="NSN59" s="69"/>
      <c r="NSO59" s="69"/>
      <c r="NSP59" s="69"/>
      <c r="NSQ59" s="69"/>
      <c r="NSR59" s="69"/>
      <c r="NSS59" s="69"/>
      <c r="NST59" s="69"/>
      <c r="NSU59" s="69"/>
      <c r="NSV59" s="69"/>
      <c r="NSW59" s="69"/>
      <c r="NSX59" s="69"/>
      <c r="NSY59" s="69"/>
      <c r="NSZ59" s="69"/>
      <c r="NTA59" s="69" t="s">
        <v>116</v>
      </c>
      <c r="NTB59" s="69"/>
      <c r="NTC59" s="69"/>
      <c r="NTD59" s="69"/>
      <c r="NTE59" s="69"/>
      <c r="NTF59" s="69"/>
      <c r="NTG59" s="69"/>
      <c r="NTH59" s="69"/>
      <c r="NTI59" s="69"/>
      <c r="NTJ59" s="69"/>
      <c r="NTK59" s="69"/>
      <c r="NTL59" s="69"/>
      <c r="NTM59" s="69"/>
      <c r="NTN59" s="69"/>
      <c r="NTO59" s="69"/>
      <c r="NTP59" s="69"/>
      <c r="NTQ59" s="69"/>
      <c r="NTR59" s="69"/>
      <c r="NTS59" s="69"/>
      <c r="NTT59" s="69"/>
      <c r="NTU59" s="69"/>
      <c r="NTV59" s="69"/>
      <c r="NTW59" s="69"/>
      <c r="NTX59" s="69"/>
      <c r="NTY59" s="69"/>
      <c r="NTZ59" s="69"/>
      <c r="NUA59" s="69"/>
      <c r="NUB59" s="69"/>
      <c r="NUC59" s="69"/>
      <c r="NUD59" s="69"/>
      <c r="NUE59" s="69"/>
      <c r="NUF59" s="69"/>
      <c r="NUG59" s="69" t="s">
        <v>116</v>
      </c>
      <c r="NUH59" s="69"/>
      <c r="NUI59" s="69"/>
      <c r="NUJ59" s="69"/>
      <c r="NUK59" s="69"/>
      <c r="NUL59" s="69"/>
      <c r="NUM59" s="69"/>
      <c r="NUN59" s="69"/>
      <c r="NUO59" s="69"/>
      <c r="NUP59" s="69"/>
      <c r="NUQ59" s="69"/>
      <c r="NUR59" s="69"/>
      <c r="NUS59" s="69"/>
      <c r="NUT59" s="69"/>
      <c r="NUU59" s="69"/>
      <c r="NUV59" s="69"/>
      <c r="NUW59" s="69"/>
      <c r="NUX59" s="69"/>
      <c r="NUY59" s="69"/>
      <c r="NUZ59" s="69"/>
      <c r="NVA59" s="69"/>
      <c r="NVB59" s="69"/>
      <c r="NVC59" s="69"/>
      <c r="NVD59" s="69"/>
      <c r="NVE59" s="69"/>
      <c r="NVF59" s="69"/>
      <c r="NVG59" s="69"/>
      <c r="NVH59" s="69"/>
      <c r="NVI59" s="69"/>
      <c r="NVJ59" s="69"/>
      <c r="NVK59" s="69"/>
      <c r="NVL59" s="69"/>
      <c r="NVM59" s="69" t="s">
        <v>116</v>
      </c>
      <c r="NVN59" s="69"/>
      <c r="NVO59" s="69"/>
      <c r="NVP59" s="69"/>
      <c r="NVQ59" s="69"/>
      <c r="NVR59" s="69"/>
      <c r="NVS59" s="69"/>
      <c r="NVT59" s="69"/>
      <c r="NVU59" s="69"/>
      <c r="NVV59" s="69"/>
      <c r="NVW59" s="69"/>
      <c r="NVX59" s="69"/>
      <c r="NVY59" s="69"/>
      <c r="NVZ59" s="69"/>
      <c r="NWA59" s="69"/>
      <c r="NWB59" s="69"/>
      <c r="NWC59" s="69"/>
      <c r="NWD59" s="69"/>
      <c r="NWE59" s="69"/>
      <c r="NWF59" s="69"/>
      <c r="NWG59" s="69"/>
      <c r="NWH59" s="69"/>
      <c r="NWI59" s="69"/>
      <c r="NWJ59" s="69"/>
      <c r="NWK59" s="69"/>
      <c r="NWL59" s="69"/>
      <c r="NWM59" s="69"/>
      <c r="NWN59" s="69"/>
      <c r="NWO59" s="69"/>
      <c r="NWP59" s="69"/>
      <c r="NWQ59" s="69"/>
      <c r="NWR59" s="69"/>
      <c r="NWS59" s="69" t="s">
        <v>116</v>
      </c>
      <c r="NWT59" s="69"/>
      <c r="NWU59" s="69"/>
      <c r="NWV59" s="69"/>
      <c r="NWW59" s="69"/>
      <c r="NWX59" s="69"/>
      <c r="NWY59" s="69"/>
      <c r="NWZ59" s="69"/>
      <c r="NXA59" s="69"/>
      <c r="NXB59" s="69"/>
      <c r="NXC59" s="69"/>
      <c r="NXD59" s="69"/>
      <c r="NXE59" s="69"/>
      <c r="NXF59" s="69"/>
      <c r="NXG59" s="69"/>
      <c r="NXH59" s="69"/>
      <c r="NXI59" s="69"/>
      <c r="NXJ59" s="69"/>
      <c r="NXK59" s="69"/>
      <c r="NXL59" s="69"/>
      <c r="NXM59" s="69"/>
      <c r="NXN59" s="69"/>
      <c r="NXO59" s="69"/>
      <c r="NXP59" s="69"/>
      <c r="NXQ59" s="69"/>
      <c r="NXR59" s="69"/>
      <c r="NXS59" s="69"/>
      <c r="NXT59" s="69"/>
      <c r="NXU59" s="69"/>
      <c r="NXV59" s="69"/>
      <c r="NXW59" s="69"/>
      <c r="NXX59" s="69"/>
      <c r="NXY59" s="69" t="s">
        <v>116</v>
      </c>
      <c r="NXZ59" s="69"/>
      <c r="NYA59" s="69"/>
      <c r="NYB59" s="69"/>
      <c r="NYC59" s="69"/>
      <c r="NYD59" s="69"/>
      <c r="NYE59" s="69"/>
      <c r="NYF59" s="69"/>
      <c r="NYG59" s="69"/>
      <c r="NYH59" s="69"/>
      <c r="NYI59" s="69"/>
      <c r="NYJ59" s="69"/>
      <c r="NYK59" s="69"/>
      <c r="NYL59" s="69"/>
      <c r="NYM59" s="69"/>
      <c r="NYN59" s="69"/>
      <c r="NYO59" s="69"/>
      <c r="NYP59" s="69"/>
      <c r="NYQ59" s="69"/>
      <c r="NYR59" s="69"/>
      <c r="NYS59" s="69"/>
      <c r="NYT59" s="69"/>
      <c r="NYU59" s="69"/>
      <c r="NYV59" s="69"/>
      <c r="NYW59" s="69"/>
      <c r="NYX59" s="69"/>
      <c r="NYY59" s="69"/>
      <c r="NYZ59" s="69"/>
      <c r="NZA59" s="69"/>
      <c r="NZB59" s="69"/>
      <c r="NZC59" s="69"/>
      <c r="NZD59" s="69"/>
      <c r="NZE59" s="69" t="s">
        <v>116</v>
      </c>
      <c r="NZF59" s="69"/>
      <c r="NZG59" s="69"/>
      <c r="NZH59" s="69"/>
      <c r="NZI59" s="69"/>
      <c r="NZJ59" s="69"/>
      <c r="NZK59" s="69"/>
      <c r="NZL59" s="69"/>
      <c r="NZM59" s="69"/>
      <c r="NZN59" s="69"/>
      <c r="NZO59" s="69"/>
      <c r="NZP59" s="69"/>
      <c r="NZQ59" s="69"/>
      <c r="NZR59" s="69"/>
      <c r="NZS59" s="69"/>
      <c r="NZT59" s="69"/>
      <c r="NZU59" s="69"/>
      <c r="NZV59" s="69"/>
      <c r="NZW59" s="69"/>
      <c r="NZX59" s="69"/>
      <c r="NZY59" s="69"/>
      <c r="NZZ59" s="69"/>
      <c r="OAA59" s="69"/>
      <c r="OAB59" s="69"/>
      <c r="OAC59" s="69"/>
      <c r="OAD59" s="69"/>
      <c r="OAE59" s="69"/>
      <c r="OAF59" s="69"/>
      <c r="OAG59" s="69"/>
      <c r="OAH59" s="69"/>
      <c r="OAI59" s="69"/>
      <c r="OAJ59" s="69"/>
      <c r="OAK59" s="69" t="s">
        <v>116</v>
      </c>
      <c r="OAL59" s="69"/>
      <c r="OAM59" s="69"/>
      <c r="OAN59" s="69"/>
      <c r="OAO59" s="69"/>
      <c r="OAP59" s="69"/>
      <c r="OAQ59" s="69"/>
      <c r="OAR59" s="69"/>
      <c r="OAS59" s="69"/>
      <c r="OAT59" s="69"/>
      <c r="OAU59" s="69"/>
      <c r="OAV59" s="69"/>
      <c r="OAW59" s="69"/>
      <c r="OAX59" s="69"/>
      <c r="OAY59" s="69"/>
      <c r="OAZ59" s="69"/>
      <c r="OBA59" s="69"/>
      <c r="OBB59" s="69"/>
      <c r="OBC59" s="69"/>
      <c r="OBD59" s="69"/>
      <c r="OBE59" s="69"/>
      <c r="OBF59" s="69"/>
      <c r="OBG59" s="69"/>
      <c r="OBH59" s="69"/>
      <c r="OBI59" s="69"/>
      <c r="OBJ59" s="69"/>
      <c r="OBK59" s="69"/>
      <c r="OBL59" s="69"/>
      <c r="OBM59" s="69"/>
      <c r="OBN59" s="69"/>
      <c r="OBO59" s="69"/>
      <c r="OBP59" s="69"/>
      <c r="OBQ59" s="69" t="s">
        <v>116</v>
      </c>
      <c r="OBR59" s="69"/>
      <c r="OBS59" s="69"/>
      <c r="OBT59" s="69"/>
      <c r="OBU59" s="69"/>
      <c r="OBV59" s="69"/>
      <c r="OBW59" s="69"/>
      <c r="OBX59" s="69"/>
      <c r="OBY59" s="69"/>
      <c r="OBZ59" s="69"/>
      <c r="OCA59" s="69"/>
      <c r="OCB59" s="69"/>
      <c r="OCC59" s="69"/>
      <c r="OCD59" s="69"/>
      <c r="OCE59" s="69"/>
      <c r="OCF59" s="69"/>
      <c r="OCG59" s="69"/>
      <c r="OCH59" s="69"/>
      <c r="OCI59" s="69"/>
      <c r="OCJ59" s="69"/>
      <c r="OCK59" s="69"/>
      <c r="OCL59" s="69"/>
      <c r="OCM59" s="69"/>
      <c r="OCN59" s="69"/>
      <c r="OCO59" s="69"/>
      <c r="OCP59" s="69"/>
      <c r="OCQ59" s="69"/>
      <c r="OCR59" s="69"/>
      <c r="OCS59" s="69"/>
      <c r="OCT59" s="69"/>
      <c r="OCU59" s="69"/>
      <c r="OCV59" s="69"/>
      <c r="OCW59" s="69" t="s">
        <v>116</v>
      </c>
      <c r="OCX59" s="69"/>
      <c r="OCY59" s="69"/>
      <c r="OCZ59" s="69"/>
      <c r="ODA59" s="69"/>
      <c r="ODB59" s="69"/>
      <c r="ODC59" s="69"/>
      <c r="ODD59" s="69"/>
      <c r="ODE59" s="69"/>
      <c r="ODF59" s="69"/>
      <c r="ODG59" s="69"/>
      <c r="ODH59" s="69"/>
      <c r="ODI59" s="69"/>
      <c r="ODJ59" s="69"/>
      <c r="ODK59" s="69"/>
      <c r="ODL59" s="69"/>
      <c r="ODM59" s="69"/>
      <c r="ODN59" s="69"/>
      <c r="ODO59" s="69"/>
      <c r="ODP59" s="69"/>
      <c r="ODQ59" s="69"/>
      <c r="ODR59" s="69"/>
      <c r="ODS59" s="69"/>
      <c r="ODT59" s="69"/>
      <c r="ODU59" s="69"/>
      <c r="ODV59" s="69"/>
      <c r="ODW59" s="69"/>
      <c r="ODX59" s="69"/>
      <c r="ODY59" s="69"/>
      <c r="ODZ59" s="69"/>
      <c r="OEA59" s="69"/>
      <c r="OEB59" s="69"/>
      <c r="OEC59" s="69" t="s">
        <v>116</v>
      </c>
      <c r="OED59" s="69"/>
      <c r="OEE59" s="69"/>
      <c r="OEF59" s="69"/>
      <c r="OEG59" s="69"/>
      <c r="OEH59" s="69"/>
      <c r="OEI59" s="69"/>
      <c r="OEJ59" s="69"/>
      <c r="OEK59" s="69"/>
      <c r="OEL59" s="69"/>
      <c r="OEM59" s="69"/>
      <c r="OEN59" s="69"/>
      <c r="OEO59" s="69"/>
      <c r="OEP59" s="69"/>
      <c r="OEQ59" s="69"/>
      <c r="OER59" s="69"/>
      <c r="OES59" s="69"/>
      <c r="OET59" s="69"/>
      <c r="OEU59" s="69"/>
      <c r="OEV59" s="69"/>
      <c r="OEW59" s="69"/>
      <c r="OEX59" s="69"/>
      <c r="OEY59" s="69"/>
      <c r="OEZ59" s="69"/>
      <c r="OFA59" s="69"/>
      <c r="OFB59" s="69"/>
      <c r="OFC59" s="69"/>
      <c r="OFD59" s="69"/>
      <c r="OFE59" s="69"/>
      <c r="OFF59" s="69"/>
      <c r="OFG59" s="69"/>
      <c r="OFH59" s="69"/>
      <c r="OFI59" s="69" t="s">
        <v>116</v>
      </c>
      <c r="OFJ59" s="69"/>
      <c r="OFK59" s="69"/>
      <c r="OFL59" s="69"/>
      <c r="OFM59" s="69"/>
      <c r="OFN59" s="69"/>
      <c r="OFO59" s="69"/>
      <c r="OFP59" s="69"/>
      <c r="OFQ59" s="69"/>
      <c r="OFR59" s="69"/>
      <c r="OFS59" s="69"/>
      <c r="OFT59" s="69"/>
      <c r="OFU59" s="69"/>
      <c r="OFV59" s="69"/>
      <c r="OFW59" s="69"/>
      <c r="OFX59" s="69"/>
      <c r="OFY59" s="69"/>
      <c r="OFZ59" s="69"/>
      <c r="OGA59" s="69"/>
      <c r="OGB59" s="69"/>
      <c r="OGC59" s="69"/>
      <c r="OGD59" s="69"/>
      <c r="OGE59" s="69"/>
      <c r="OGF59" s="69"/>
      <c r="OGG59" s="69"/>
      <c r="OGH59" s="69"/>
      <c r="OGI59" s="69"/>
      <c r="OGJ59" s="69"/>
      <c r="OGK59" s="69"/>
      <c r="OGL59" s="69"/>
      <c r="OGM59" s="69"/>
      <c r="OGN59" s="69"/>
      <c r="OGO59" s="69" t="s">
        <v>116</v>
      </c>
      <c r="OGP59" s="69"/>
      <c r="OGQ59" s="69"/>
      <c r="OGR59" s="69"/>
      <c r="OGS59" s="69"/>
      <c r="OGT59" s="69"/>
      <c r="OGU59" s="69"/>
      <c r="OGV59" s="69"/>
      <c r="OGW59" s="69"/>
      <c r="OGX59" s="69"/>
      <c r="OGY59" s="69"/>
      <c r="OGZ59" s="69"/>
      <c r="OHA59" s="69"/>
      <c r="OHB59" s="69"/>
      <c r="OHC59" s="69"/>
      <c r="OHD59" s="69"/>
      <c r="OHE59" s="69"/>
      <c r="OHF59" s="69"/>
      <c r="OHG59" s="69"/>
      <c r="OHH59" s="69"/>
      <c r="OHI59" s="69"/>
      <c r="OHJ59" s="69"/>
      <c r="OHK59" s="69"/>
      <c r="OHL59" s="69"/>
      <c r="OHM59" s="69"/>
      <c r="OHN59" s="69"/>
      <c r="OHO59" s="69"/>
      <c r="OHP59" s="69"/>
      <c r="OHQ59" s="69"/>
      <c r="OHR59" s="69"/>
      <c r="OHS59" s="69"/>
      <c r="OHT59" s="69"/>
      <c r="OHU59" s="69" t="s">
        <v>116</v>
      </c>
      <c r="OHV59" s="69"/>
      <c r="OHW59" s="69"/>
      <c r="OHX59" s="69"/>
      <c r="OHY59" s="69"/>
      <c r="OHZ59" s="69"/>
      <c r="OIA59" s="69"/>
      <c r="OIB59" s="69"/>
      <c r="OIC59" s="69"/>
      <c r="OID59" s="69"/>
      <c r="OIE59" s="69"/>
      <c r="OIF59" s="69"/>
      <c r="OIG59" s="69"/>
      <c r="OIH59" s="69"/>
      <c r="OII59" s="69"/>
      <c r="OIJ59" s="69"/>
      <c r="OIK59" s="69"/>
      <c r="OIL59" s="69"/>
      <c r="OIM59" s="69"/>
      <c r="OIN59" s="69"/>
      <c r="OIO59" s="69"/>
      <c r="OIP59" s="69"/>
      <c r="OIQ59" s="69"/>
      <c r="OIR59" s="69"/>
      <c r="OIS59" s="69"/>
      <c r="OIT59" s="69"/>
      <c r="OIU59" s="69"/>
      <c r="OIV59" s="69"/>
      <c r="OIW59" s="69"/>
      <c r="OIX59" s="69"/>
      <c r="OIY59" s="69"/>
      <c r="OIZ59" s="69"/>
      <c r="OJA59" s="69" t="s">
        <v>116</v>
      </c>
      <c r="OJB59" s="69"/>
      <c r="OJC59" s="69"/>
      <c r="OJD59" s="69"/>
      <c r="OJE59" s="69"/>
      <c r="OJF59" s="69"/>
      <c r="OJG59" s="69"/>
      <c r="OJH59" s="69"/>
      <c r="OJI59" s="69"/>
      <c r="OJJ59" s="69"/>
      <c r="OJK59" s="69"/>
      <c r="OJL59" s="69"/>
      <c r="OJM59" s="69"/>
      <c r="OJN59" s="69"/>
      <c r="OJO59" s="69"/>
      <c r="OJP59" s="69"/>
      <c r="OJQ59" s="69"/>
      <c r="OJR59" s="69"/>
      <c r="OJS59" s="69"/>
      <c r="OJT59" s="69"/>
      <c r="OJU59" s="69"/>
      <c r="OJV59" s="69"/>
      <c r="OJW59" s="69"/>
      <c r="OJX59" s="69"/>
      <c r="OJY59" s="69"/>
      <c r="OJZ59" s="69"/>
      <c r="OKA59" s="69"/>
      <c r="OKB59" s="69"/>
      <c r="OKC59" s="69"/>
      <c r="OKD59" s="69"/>
      <c r="OKE59" s="69"/>
      <c r="OKF59" s="69"/>
      <c r="OKG59" s="69" t="s">
        <v>116</v>
      </c>
      <c r="OKH59" s="69"/>
      <c r="OKI59" s="69"/>
      <c r="OKJ59" s="69"/>
      <c r="OKK59" s="69"/>
      <c r="OKL59" s="69"/>
      <c r="OKM59" s="69"/>
      <c r="OKN59" s="69"/>
      <c r="OKO59" s="69"/>
      <c r="OKP59" s="69"/>
      <c r="OKQ59" s="69"/>
      <c r="OKR59" s="69"/>
      <c r="OKS59" s="69"/>
      <c r="OKT59" s="69"/>
      <c r="OKU59" s="69"/>
      <c r="OKV59" s="69"/>
      <c r="OKW59" s="69"/>
      <c r="OKX59" s="69"/>
      <c r="OKY59" s="69"/>
      <c r="OKZ59" s="69"/>
      <c r="OLA59" s="69"/>
      <c r="OLB59" s="69"/>
      <c r="OLC59" s="69"/>
      <c r="OLD59" s="69"/>
      <c r="OLE59" s="69"/>
      <c r="OLF59" s="69"/>
      <c r="OLG59" s="69"/>
      <c r="OLH59" s="69"/>
      <c r="OLI59" s="69"/>
      <c r="OLJ59" s="69"/>
      <c r="OLK59" s="69"/>
      <c r="OLL59" s="69"/>
      <c r="OLM59" s="69" t="s">
        <v>116</v>
      </c>
      <c r="OLN59" s="69"/>
      <c r="OLO59" s="69"/>
      <c r="OLP59" s="69"/>
      <c r="OLQ59" s="69"/>
      <c r="OLR59" s="69"/>
      <c r="OLS59" s="69"/>
      <c r="OLT59" s="69"/>
      <c r="OLU59" s="69"/>
      <c r="OLV59" s="69"/>
      <c r="OLW59" s="69"/>
      <c r="OLX59" s="69"/>
      <c r="OLY59" s="69"/>
      <c r="OLZ59" s="69"/>
      <c r="OMA59" s="69"/>
      <c r="OMB59" s="69"/>
      <c r="OMC59" s="69"/>
      <c r="OMD59" s="69"/>
      <c r="OME59" s="69"/>
      <c r="OMF59" s="69"/>
      <c r="OMG59" s="69"/>
      <c r="OMH59" s="69"/>
      <c r="OMI59" s="69"/>
      <c r="OMJ59" s="69"/>
      <c r="OMK59" s="69"/>
      <c r="OML59" s="69"/>
      <c r="OMM59" s="69"/>
      <c r="OMN59" s="69"/>
      <c r="OMO59" s="69"/>
      <c r="OMP59" s="69"/>
      <c r="OMQ59" s="69"/>
      <c r="OMR59" s="69"/>
      <c r="OMS59" s="69" t="s">
        <v>116</v>
      </c>
      <c r="OMT59" s="69"/>
      <c r="OMU59" s="69"/>
      <c r="OMV59" s="69"/>
      <c r="OMW59" s="69"/>
      <c r="OMX59" s="69"/>
      <c r="OMY59" s="69"/>
      <c r="OMZ59" s="69"/>
      <c r="ONA59" s="69"/>
      <c r="ONB59" s="69"/>
      <c r="ONC59" s="69"/>
      <c r="OND59" s="69"/>
      <c r="ONE59" s="69"/>
      <c r="ONF59" s="69"/>
      <c r="ONG59" s="69"/>
      <c r="ONH59" s="69"/>
      <c r="ONI59" s="69"/>
      <c r="ONJ59" s="69"/>
      <c r="ONK59" s="69"/>
      <c r="ONL59" s="69"/>
      <c r="ONM59" s="69"/>
      <c r="ONN59" s="69"/>
      <c r="ONO59" s="69"/>
      <c r="ONP59" s="69"/>
      <c r="ONQ59" s="69"/>
      <c r="ONR59" s="69"/>
      <c r="ONS59" s="69"/>
      <c r="ONT59" s="69"/>
      <c r="ONU59" s="69"/>
      <c r="ONV59" s="69"/>
      <c r="ONW59" s="69"/>
      <c r="ONX59" s="69"/>
      <c r="ONY59" s="69" t="s">
        <v>116</v>
      </c>
      <c r="ONZ59" s="69"/>
      <c r="OOA59" s="69"/>
      <c r="OOB59" s="69"/>
      <c r="OOC59" s="69"/>
      <c r="OOD59" s="69"/>
      <c r="OOE59" s="69"/>
      <c r="OOF59" s="69"/>
      <c r="OOG59" s="69"/>
      <c r="OOH59" s="69"/>
      <c r="OOI59" s="69"/>
      <c r="OOJ59" s="69"/>
      <c r="OOK59" s="69"/>
      <c r="OOL59" s="69"/>
      <c r="OOM59" s="69"/>
      <c r="OON59" s="69"/>
      <c r="OOO59" s="69"/>
      <c r="OOP59" s="69"/>
      <c r="OOQ59" s="69"/>
      <c r="OOR59" s="69"/>
      <c r="OOS59" s="69"/>
      <c r="OOT59" s="69"/>
      <c r="OOU59" s="69"/>
      <c r="OOV59" s="69"/>
      <c r="OOW59" s="69"/>
      <c r="OOX59" s="69"/>
      <c r="OOY59" s="69"/>
      <c r="OOZ59" s="69"/>
      <c r="OPA59" s="69"/>
      <c r="OPB59" s="69"/>
      <c r="OPC59" s="69"/>
      <c r="OPD59" s="69"/>
      <c r="OPE59" s="69" t="s">
        <v>116</v>
      </c>
      <c r="OPF59" s="69"/>
      <c r="OPG59" s="69"/>
      <c r="OPH59" s="69"/>
      <c r="OPI59" s="69"/>
      <c r="OPJ59" s="69"/>
      <c r="OPK59" s="69"/>
      <c r="OPL59" s="69"/>
      <c r="OPM59" s="69"/>
      <c r="OPN59" s="69"/>
      <c r="OPO59" s="69"/>
      <c r="OPP59" s="69"/>
      <c r="OPQ59" s="69"/>
      <c r="OPR59" s="69"/>
      <c r="OPS59" s="69"/>
      <c r="OPT59" s="69"/>
      <c r="OPU59" s="69"/>
      <c r="OPV59" s="69"/>
      <c r="OPW59" s="69"/>
      <c r="OPX59" s="69"/>
      <c r="OPY59" s="69"/>
      <c r="OPZ59" s="69"/>
      <c r="OQA59" s="69"/>
      <c r="OQB59" s="69"/>
      <c r="OQC59" s="69"/>
      <c r="OQD59" s="69"/>
      <c r="OQE59" s="69"/>
      <c r="OQF59" s="69"/>
      <c r="OQG59" s="69"/>
      <c r="OQH59" s="69"/>
      <c r="OQI59" s="69"/>
      <c r="OQJ59" s="69"/>
      <c r="OQK59" s="69" t="s">
        <v>116</v>
      </c>
      <c r="OQL59" s="69"/>
      <c r="OQM59" s="69"/>
      <c r="OQN59" s="69"/>
      <c r="OQO59" s="69"/>
      <c r="OQP59" s="69"/>
      <c r="OQQ59" s="69"/>
      <c r="OQR59" s="69"/>
      <c r="OQS59" s="69"/>
      <c r="OQT59" s="69"/>
      <c r="OQU59" s="69"/>
      <c r="OQV59" s="69"/>
      <c r="OQW59" s="69"/>
      <c r="OQX59" s="69"/>
      <c r="OQY59" s="69"/>
      <c r="OQZ59" s="69"/>
      <c r="ORA59" s="69"/>
      <c r="ORB59" s="69"/>
      <c r="ORC59" s="69"/>
      <c r="ORD59" s="69"/>
      <c r="ORE59" s="69"/>
      <c r="ORF59" s="69"/>
      <c r="ORG59" s="69"/>
      <c r="ORH59" s="69"/>
      <c r="ORI59" s="69"/>
      <c r="ORJ59" s="69"/>
      <c r="ORK59" s="69"/>
      <c r="ORL59" s="69"/>
      <c r="ORM59" s="69"/>
      <c r="ORN59" s="69"/>
      <c r="ORO59" s="69"/>
      <c r="ORP59" s="69"/>
      <c r="ORQ59" s="69" t="s">
        <v>116</v>
      </c>
      <c r="ORR59" s="69"/>
      <c r="ORS59" s="69"/>
      <c r="ORT59" s="69"/>
      <c r="ORU59" s="69"/>
      <c r="ORV59" s="69"/>
      <c r="ORW59" s="69"/>
      <c r="ORX59" s="69"/>
      <c r="ORY59" s="69"/>
      <c r="ORZ59" s="69"/>
      <c r="OSA59" s="69"/>
      <c r="OSB59" s="69"/>
      <c r="OSC59" s="69"/>
      <c r="OSD59" s="69"/>
      <c r="OSE59" s="69"/>
      <c r="OSF59" s="69"/>
      <c r="OSG59" s="69"/>
      <c r="OSH59" s="69"/>
      <c r="OSI59" s="69"/>
      <c r="OSJ59" s="69"/>
      <c r="OSK59" s="69"/>
      <c r="OSL59" s="69"/>
      <c r="OSM59" s="69"/>
      <c r="OSN59" s="69"/>
      <c r="OSO59" s="69"/>
      <c r="OSP59" s="69"/>
      <c r="OSQ59" s="69"/>
      <c r="OSR59" s="69"/>
      <c r="OSS59" s="69"/>
      <c r="OST59" s="69"/>
      <c r="OSU59" s="69"/>
      <c r="OSV59" s="69"/>
      <c r="OSW59" s="69" t="s">
        <v>116</v>
      </c>
      <c r="OSX59" s="69"/>
      <c r="OSY59" s="69"/>
      <c r="OSZ59" s="69"/>
      <c r="OTA59" s="69"/>
      <c r="OTB59" s="69"/>
      <c r="OTC59" s="69"/>
      <c r="OTD59" s="69"/>
      <c r="OTE59" s="69"/>
      <c r="OTF59" s="69"/>
      <c r="OTG59" s="69"/>
      <c r="OTH59" s="69"/>
      <c r="OTI59" s="69"/>
      <c r="OTJ59" s="69"/>
      <c r="OTK59" s="69"/>
      <c r="OTL59" s="69"/>
      <c r="OTM59" s="69"/>
      <c r="OTN59" s="69"/>
      <c r="OTO59" s="69"/>
      <c r="OTP59" s="69"/>
      <c r="OTQ59" s="69"/>
      <c r="OTR59" s="69"/>
      <c r="OTS59" s="69"/>
      <c r="OTT59" s="69"/>
      <c r="OTU59" s="69"/>
      <c r="OTV59" s="69"/>
      <c r="OTW59" s="69"/>
      <c r="OTX59" s="69"/>
      <c r="OTY59" s="69"/>
      <c r="OTZ59" s="69"/>
      <c r="OUA59" s="69"/>
      <c r="OUB59" s="69"/>
      <c r="OUC59" s="69" t="s">
        <v>116</v>
      </c>
      <c r="OUD59" s="69"/>
      <c r="OUE59" s="69"/>
      <c r="OUF59" s="69"/>
      <c r="OUG59" s="69"/>
      <c r="OUH59" s="69"/>
      <c r="OUI59" s="69"/>
      <c r="OUJ59" s="69"/>
      <c r="OUK59" s="69"/>
      <c r="OUL59" s="69"/>
      <c r="OUM59" s="69"/>
      <c r="OUN59" s="69"/>
      <c r="OUO59" s="69"/>
      <c r="OUP59" s="69"/>
      <c r="OUQ59" s="69"/>
      <c r="OUR59" s="69"/>
      <c r="OUS59" s="69"/>
      <c r="OUT59" s="69"/>
      <c r="OUU59" s="69"/>
      <c r="OUV59" s="69"/>
      <c r="OUW59" s="69"/>
      <c r="OUX59" s="69"/>
      <c r="OUY59" s="69"/>
      <c r="OUZ59" s="69"/>
      <c r="OVA59" s="69"/>
      <c r="OVB59" s="69"/>
      <c r="OVC59" s="69"/>
      <c r="OVD59" s="69"/>
      <c r="OVE59" s="69"/>
      <c r="OVF59" s="69"/>
      <c r="OVG59" s="69"/>
      <c r="OVH59" s="69"/>
      <c r="OVI59" s="69" t="s">
        <v>116</v>
      </c>
      <c r="OVJ59" s="69"/>
      <c r="OVK59" s="69"/>
      <c r="OVL59" s="69"/>
      <c r="OVM59" s="69"/>
      <c r="OVN59" s="69"/>
      <c r="OVO59" s="69"/>
      <c r="OVP59" s="69"/>
      <c r="OVQ59" s="69"/>
      <c r="OVR59" s="69"/>
      <c r="OVS59" s="69"/>
      <c r="OVT59" s="69"/>
      <c r="OVU59" s="69"/>
      <c r="OVV59" s="69"/>
      <c r="OVW59" s="69"/>
      <c r="OVX59" s="69"/>
      <c r="OVY59" s="69"/>
      <c r="OVZ59" s="69"/>
      <c r="OWA59" s="69"/>
      <c r="OWB59" s="69"/>
      <c r="OWC59" s="69"/>
      <c r="OWD59" s="69"/>
      <c r="OWE59" s="69"/>
      <c r="OWF59" s="69"/>
      <c r="OWG59" s="69"/>
      <c r="OWH59" s="69"/>
      <c r="OWI59" s="69"/>
      <c r="OWJ59" s="69"/>
      <c r="OWK59" s="69"/>
      <c r="OWL59" s="69"/>
      <c r="OWM59" s="69"/>
      <c r="OWN59" s="69"/>
      <c r="OWO59" s="69" t="s">
        <v>116</v>
      </c>
      <c r="OWP59" s="69"/>
      <c r="OWQ59" s="69"/>
      <c r="OWR59" s="69"/>
      <c r="OWS59" s="69"/>
      <c r="OWT59" s="69"/>
      <c r="OWU59" s="69"/>
      <c r="OWV59" s="69"/>
      <c r="OWW59" s="69"/>
      <c r="OWX59" s="69"/>
      <c r="OWY59" s="69"/>
      <c r="OWZ59" s="69"/>
      <c r="OXA59" s="69"/>
      <c r="OXB59" s="69"/>
      <c r="OXC59" s="69"/>
      <c r="OXD59" s="69"/>
      <c r="OXE59" s="69"/>
      <c r="OXF59" s="69"/>
      <c r="OXG59" s="69"/>
      <c r="OXH59" s="69"/>
      <c r="OXI59" s="69"/>
      <c r="OXJ59" s="69"/>
      <c r="OXK59" s="69"/>
      <c r="OXL59" s="69"/>
      <c r="OXM59" s="69"/>
      <c r="OXN59" s="69"/>
      <c r="OXO59" s="69"/>
      <c r="OXP59" s="69"/>
      <c r="OXQ59" s="69"/>
      <c r="OXR59" s="69"/>
      <c r="OXS59" s="69"/>
      <c r="OXT59" s="69"/>
      <c r="OXU59" s="69" t="s">
        <v>116</v>
      </c>
      <c r="OXV59" s="69"/>
      <c r="OXW59" s="69"/>
      <c r="OXX59" s="69"/>
      <c r="OXY59" s="69"/>
      <c r="OXZ59" s="69"/>
      <c r="OYA59" s="69"/>
      <c r="OYB59" s="69"/>
      <c r="OYC59" s="69"/>
      <c r="OYD59" s="69"/>
      <c r="OYE59" s="69"/>
      <c r="OYF59" s="69"/>
      <c r="OYG59" s="69"/>
      <c r="OYH59" s="69"/>
      <c r="OYI59" s="69"/>
      <c r="OYJ59" s="69"/>
      <c r="OYK59" s="69"/>
      <c r="OYL59" s="69"/>
      <c r="OYM59" s="69"/>
      <c r="OYN59" s="69"/>
      <c r="OYO59" s="69"/>
      <c r="OYP59" s="69"/>
      <c r="OYQ59" s="69"/>
      <c r="OYR59" s="69"/>
      <c r="OYS59" s="69"/>
      <c r="OYT59" s="69"/>
      <c r="OYU59" s="69"/>
      <c r="OYV59" s="69"/>
      <c r="OYW59" s="69"/>
      <c r="OYX59" s="69"/>
      <c r="OYY59" s="69"/>
      <c r="OYZ59" s="69"/>
      <c r="OZA59" s="69" t="s">
        <v>116</v>
      </c>
      <c r="OZB59" s="69"/>
      <c r="OZC59" s="69"/>
      <c r="OZD59" s="69"/>
      <c r="OZE59" s="69"/>
      <c r="OZF59" s="69"/>
      <c r="OZG59" s="69"/>
      <c r="OZH59" s="69"/>
      <c r="OZI59" s="69"/>
      <c r="OZJ59" s="69"/>
      <c r="OZK59" s="69"/>
      <c r="OZL59" s="69"/>
      <c r="OZM59" s="69"/>
      <c r="OZN59" s="69"/>
      <c r="OZO59" s="69"/>
      <c r="OZP59" s="69"/>
      <c r="OZQ59" s="69"/>
      <c r="OZR59" s="69"/>
      <c r="OZS59" s="69"/>
      <c r="OZT59" s="69"/>
      <c r="OZU59" s="69"/>
      <c r="OZV59" s="69"/>
      <c r="OZW59" s="69"/>
      <c r="OZX59" s="69"/>
      <c r="OZY59" s="69"/>
      <c r="OZZ59" s="69"/>
      <c r="PAA59" s="69"/>
      <c r="PAB59" s="69"/>
      <c r="PAC59" s="69"/>
      <c r="PAD59" s="69"/>
      <c r="PAE59" s="69"/>
      <c r="PAF59" s="69"/>
      <c r="PAG59" s="69" t="s">
        <v>116</v>
      </c>
      <c r="PAH59" s="69"/>
      <c r="PAI59" s="69"/>
      <c r="PAJ59" s="69"/>
      <c r="PAK59" s="69"/>
      <c r="PAL59" s="69"/>
      <c r="PAM59" s="69"/>
      <c r="PAN59" s="69"/>
      <c r="PAO59" s="69"/>
      <c r="PAP59" s="69"/>
      <c r="PAQ59" s="69"/>
      <c r="PAR59" s="69"/>
      <c r="PAS59" s="69"/>
      <c r="PAT59" s="69"/>
      <c r="PAU59" s="69"/>
      <c r="PAV59" s="69"/>
      <c r="PAW59" s="69"/>
      <c r="PAX59" s="69"/>
      <c r="PAY59" s="69"/>
      <c r="PAZ59" s="69"/>
      <c r="PBA59" s="69"/>
      <c r="PBB59" s="69"/>
      <c r="PBC59" s="69"/>
      <c r="PBD59" s="69"/>
      <c r="PBE59" s="69"/>
      <c r="PBF59" s="69"/>
      <c r="PBG59" s="69"/>
      <c r="PBH59" s="69"/>
      <c r="PBI59" s="69"/>
      <c r="PBJ59" s="69"/>
      <c r="PBK59" s="69"/>
      <c r="PBL59" s="69"/>
      <c r="PBM59" s="69" t="s">
        <v>116</v>
      </c>
      <c r="PBN59" s="69"/>
      <c r="PBO59" s="69"/>
      <c r="PBP59" s="69"/>
      <c r="PBQ59" s="69"/>
      <c r="PBR59" s="69"/>
      <c r="PBS59" s="69"/>
      <c r="PBT59" s="69"/>
      <c r="PBU59" s="69"/>
      <c r="PBV59" s="69"/>
      <c r="PBW59" s="69"/>
      <c r="PBX59" s="69"/>
      <c r="PBY59" s="69"/>
      <c r="PBZ59" s="69"/>
      <c r="PCA59" s="69"/>
      <c r="PCB59" s="69"/>
      <c r="PCC59" s="69"/>
      <c r="PCD59" s="69"/>
      <c r="PCE59" s="69"/>
      <c r="PCF59" s="69"/>
      <c r="PCG59" s="69"/>
      <c r="PCH59" s="69"/>
      <c r="PCI59" s="69"/>
      <c r="PCJ59" s="69"/>
      <c r="PCK59" s="69"/>
      <c r="PCL59" s="69"/>
      <c r="PCM59" s="69"/>
      <c r="PCN59" s="69"/>
      <c r="PCO59" s="69"/>
      <c r="PCP59" s="69"/>
      <c r="PCQ59" s="69"/>
      <c r="PCR59" s="69"/>
      <c r="PCS59" s="69" t="s">
        <v>116</v>
      </c>
      <c r="PCT59" s="69"/>
      <c r="PCU59" s="69"/>
      <c r="PCV59" s="69"/>
      <c r="PCW59" s="69"/>
      <c r="PCX59" s="69"/>
      <c r="PCY59" s="69"/>
      <c r="PCZ59" s="69"/>
      <c r="PDA59" s="69"/>
      <c r="PDB59" s="69"/>
      <c r="PDC59" s="69"/>
      <c r="PDD59" s="69"/>
      <c r="PDE59" s="69"/>
      <c r="PDF59" s="69"/>
      <c r="PDG59" s="69"/>
      <c r="PDH59" s="69"/>
      <c r="PDI59" s="69"/>
      <c r="PDJ59" s="69"/>
      <c r="PDK59" s="69"/>
      <c r="PDL59" s="69"/>
      <c r="PDM59" s="69"/>
      <c r="PDN59" s="69"/>
      <c r="PDO59" s="69"/>
      <c r="PDP59" s="69"/>
      <c r="PDQ59" s="69"/>
      <c r="PDR59" s="69"/>
      <c r="PDS59" s="69"/>
      <c r="PDT59" s="69"/>
      <c r="PDU59" s="69"/>
      <c r="PDV59" s="69"/>
      <c r="PDW59" s="69"/>
      <c r="PDX59" s="69"/>
      <c r="PDY59" s="69" t="s">
        <v>116</v>
      </c>
      <c r="PDZ59" s="69"/>
      <c r="PEA59" s="69"/>
      <c r="PEB59" s="69"/>
      <c r="PEC59" s="69"/>
      <c r="PED59" s="69"/>
      <c r="PEE59" s="69"/>
      <c r="PEF59" s="69"/>
      <c r="PEG59" s="69"/>
      <c r="PEH59" s="69"/>
      <c r="PEI59" s="69"/>
      <c r="PEJ59" s="69"/>
      <c r="PEK59" s="69"/>
      <c r="PEL59" s="69"/>
      <c r="PEM59" s="69"/>
      <c r="PEN59" s="69"/>
      <c r="PEO59" s="69"/>
      <c r="PEP59" s="69"/>
      <c r="PEQ59" s="69"/>
      <c r="PER59" s="69"/>
      <c r="PES59" s="69"/>
      <c r="PET59" s="69"/>
      <c r="PEU59" s="69"/>
      <c r="PEV59" s="69"/>
      <c r="PEW59" s="69"/>
      <c r="PEX59" s="69"/>
      <c r="PEY59" s="69"/>
      <c r="PEZ59" s="69"/>
      <c r="PFA59" s="69"/>
      <c r="PFB59" s="69"/>
      <c r="PFC59" s="69"/>
      <c r="PFD59" s="69"/>
      <c r="PFE59" s="69" t="s">
        <v>116</v>
      </c>
      <c r="PFF59" s="69"/>
      <c r="PFG59" s="69"/>
      <c r="PFH59" s="69"/>
      <c r="PFI59" s="69"/>
      <c r="PFJ59" s="69"/>
      <c r="PFK59" s="69"/>
      <c r="PFL59" s="69"/>
      <c r="PFM59" s="69"/>
      <c r="PFN59" s="69"/>
      <c r="PFO59" s="69"/>
      <c r="PFP59" s="69"/>
      <c r="PFQ59" s="69"/>
      <c r="PFR59" s="69"/>
      <c r="PFS59" s="69"/>
      <c r="PFT59" s="69"/>
      <c r="PFU59" s="69"/>
      <c r="PFV59" s="69"/>
      <c r="PFW59" s="69"/>
      <c r="PFX59" s="69"/>
      <c r="PFY59" s="69"/>
      <c r="PFZ59" s="69"/>
      <c r="PGA59" s="69"/>
      <c r="PGB59" s="69"/>
      <c r="PGC59" s="69"/>
      <c r="PGD59" s="69"/>
      <c r="PGE59" s="69"/>
      <c r="PGF59" s="69"/>
      <c r="PGG59" s="69"/>
      <c r="PGH59" s="69"/>
      <c r="PGI59" s="69"/>
      <c r="PGJ59" s="69"/>
      <c r="PGK59" s="69" t="s">
        <v>116</v>
      </c>
      <c r="PGL59" s="69"/>
      <c r="PGM59" s="69"/>
      <c r="PGN59" s="69"/>
      <c r="PGO59" s="69"/>
      <c r="PGP59" s="69"/>
      <c r="PGQ59" s="69"/>
      <c r="PGR59" s="69"/>
      <c r="PGS59" s="69"/>
      <c r="PGT59" s="69"/>
      <c r="PGU59" s="69"/>
      <c r="PGV59" s="69"/>
      <c r="PGW59" s="69"/>
      <c r="PGX59" s="69"/>
      <c r="PGY59" s="69"/>
      <c r="PGZ59" s="69"/>
      <c r="PHA59" s="69"/>
      <c r="PHB59" s="69"/>
      <c r="PHC59" s="69"/>
      <c r="PHD59" s="69"/>
      <c r="PHE59" s="69"/>
      <c r="PHF59" s="69"/>
      <c r="PHG59" s="69"/>
      <c r="PHH59" s="69"/>
      <c r="PHI59" s="69"/>
      <c r="PHJ59" s="69"/>
      <c r="PHK59" s="69"/>
      <c r="PHL59" s="69"/>
      <c r="PHM59" s="69"/>
      <c r="PHN59" s="69"/>
      <c r="PHO59" s="69"/>
      <c r="PHP59" s="69"/>
      <c r="PHQ59" s="69" t="s">
        <v>116</v>
      </c>
      <c r="PHR59" s="69"/>
      <c r="PHS59" s="69"/>
      <c r="PHT59" s="69"/>
      <c r="PHU59" s="69"/>
      <c r="PHV59" s="69"/>
      <c r="PHW59" s="69"/>
      <c r="PHX59" s="69"/>
      <c r="PHY59" s="69"/>
      <c r="PHZ59" s="69"/>
      <c r="PIA59" s="69"/>
      <c r="PIB59" s="69"/>
      <c r="PIC59" s="69"/>
      <c r="PID59" s="69"/>
      <c r="PIE59" s="69"/>
      <c r="PIF59" s="69"/>
      <c r="PIG59" s="69"/>
      <c r="PIH59" s="69"/>
      <c r="PII59" s="69"/>
      <c r="PIJ59" s="69"/>
      <c r="PIK59" s="69"/>
      <c r="PIL59" s="69"/>
      <c r="PIM59" s="69"/>
      <c r="PIN59" s="69"/>
      <c r="PIO59" s="69"/>
      <c r="PIP59" s="69"/>
      <c r="PIQ59" s="69"/>
      <c r="PIR59" s="69"/>
      <c r="PIS59" s="69"/>
      <c r="PIT59" s="69"/>
      <c r="PIU59" s="69"/>
      <c r="PIV59" s="69"/>
      <c r="PIW59" s="69" t="s">
        <v>116</v>
      </c>
      <c r="PIX59" s="69"/>
      <c r="PIY59" s="69"/>
      <c r="PIZ59" s="69"/>
      <c r="PJA59" s="69"/>
      <c r="PJB59" s="69"/>
      <c r="PJC59" s="69"/>
      <c r="PJD59" s="69"/>
      <c r="PJE59" s="69"/>
      <c r="PJF59" s="69"/>
      <c r="PJG59" s="69"/>
      <c r="PJH59" s="69"/>
      <c r="PJI59" s="69"/>
      <c r="PJJ59" s="69"/>
      <c r="PJK59" s="69"/>
      <c r="PJL59" s="69"/>
      <c r="PJM59" s="69"/>
      <c r="PJN59" s="69"/>
      <c r="PJO59" s="69"/>
      <c r="PJP59" s="69"/>
      <c r="PJQ59" s="69"/>
      <c r="PJR59" s="69"/>
      <c r="PJS59" s="69"/>
      <c r="PJT59" s="69"/>
      <c r="PJU59" s="69"/>
      <c r="PJV59" s="69"/>
      <c r="PJW59" s="69"/>
      <c r="PJX59" s="69"/>
      <c r="PJY59" s="69"/>
      <c r="PJZ59" s="69"/>
      <c r="PKA59" s="69"/>
      <c r="PKB59" s="69"/>
      <c r="PKC59" s="69" t="s">
        <v>116</v>
      </c>
      <c r="PKD59" s="69"/>
      <c r="PKE59" s="69"/>
      <c r="PKF59" s="69"/>
      <c r="PKG59" s="69"/>
      <c r="PKH59" s="69"/>
      <c r="PKI59" s="69"/>
      <c r="PKJ59" s="69"/>
      <c r="PKK59" s="69"/>
      <c r="PKL59" s="69"/>
      <c r="PKM59" s="69"/>
      <c r="PKN59" s="69"/>
      <c r="PKO59" s="69"/>
      <c r="PKP59" s="69"/>
      <c r="PKQ59" s="69"/>
      <c r="PKR59" s="69"/>
      <c r="PKS59" s="69"/>
      <c r="PKT59" s="69"/>
      <c r="PKU59" s="69"/>
      <c r="PKV59" s="69"/>
      <c r="PKW59" s="69"/>
      <c r="PKX59" s="69"/>
      <c r="PKY59" s="69"/>
      <c r="PKZ59" s="69"/>
      <c r="PLA59" s="69"/>
      <c r="PLB59" s="69"/>
      <c r="PLC59" s="69"/>
      <c r="PLD59" s="69"/>
      <c r="PLE59" s="69"/>
      <c r="PLF59" s="69"/>
      <c r="PLG59" s="69"/>
      <c r="PLH59" s="69"/>
      <c r="PLI59" s="69" t="s">
        <v>116</v>
      </c>
      <c r="PLJ59" s="69"/>
      <c r="PLK59" s="69"/>
      <c r="PLL59" s="69"/>
      <c r="PLM59" s="69"/>
      <c r="PLN59" s="69"/>
      <c r="PLO59" s="69"/>
      <c r="PLP59" s="69"/>
      <c r="PLQ59" s="69"/>
      <c r="PLR59" s="69"/>
      <c r="PLS59" s="69"/>
      <c r="PLT59" s="69"/>
      <c r="PLU59" s="69"/>
      <c r="PLV59" s="69"/>
      <c r="PLW59" s="69"/>
      <c r="PLX59" s="69"/>
      <c r="PLY59" s="69"/>
      <c r="PLZ59" s="69"/>
      <c r="PMA59" s="69"/>
      <c r="PMB59" s="69"/>
      <c r="PMC59" s="69"/>
      <c r="PMD59" s="69"/>
      <c r="PME59" s="69"/>
      <c r="PMF59" s="69"/>
      <c r="PMG59" s="69"/>
      <c r="PMH59" s="69"/>
      <c r="PMI59" s="69"/>
      <c r="PMJ59" s="69"/>
      <c r="PMK59" s="69"/>
      <c r="PML59" s="69"/>
      <c r="PMM59" s="69"/>
      <c r="PMN59" s="69"/>
      <c r="PMO59" s="69" t="s">
        <v>116</v>
      </c>
      <c r="PMP59" s="69"/>
      <c r="PMQ59" s="69"/>
      <c r="PMR59" s="69"/>
      <c r="PMS59" s="69"/>
      <c r="PMT59" s="69"/>
      <c r="PMU59" s="69"/>
      <c r="PMV59" s="69"/>
      <c r="PMW59" s="69"/>
      <c r="PMX59" s="69"/>
      <c r="PMY59" s="69"/>
      <c r="PMZ59" s="69"/>
      <c r="PNA59" s="69"/>
      <c r="PNB59" s="69"/>
      <c r="PNC59" s="69"/>
      <c r="PND59" s="69"/>
      <c r="PNE59" s="69"/>
      <c r="PNF59" s="69"/>
      <c r="PNG59" s="69"/>
      <c r="PNH59" s="69"/>
      <c r="PNI59" s="69"/>
      <c r="PNJ59" s="69"/>
      <c r="PNK59" s="69"/>
      <c r="PNL59" s="69"/>
      <c r="PNM59" s="69"/>
      <c r="PNN59" s="69"/>
      <c r="PNO59" s="69"/>
      <c r="PNP59" s="69"/>
      <c r="PNQ59" s="69"/>
      <c r="PNR59" s="69"/>
      <c r="PNS59" s="69"/>
      <c r="PNT59" s="69"/>
      <c r="PNU59" s="69" t="s">
        <v>116</v>
      </c>
      <c r="PNV59" s="69"/>
      <c r="PNW59" s="69"/>
      <c r="PNX59" s="69"/>
      <c r="PNY59" s="69"/>
      <c r="PNZ59" s="69"/>
      <c r="POA59" s="69"/>
      <c r="POB59" s="69"/>
      <c r="POC59" s="69"/>
      <c r="POD59" s="69"/>
      <c r="POE59" s="69"/>
      <c r="POF59" s="69"/>
      <c r="POG59" s="69"/>
      <c r="POH59" s="69"/>
      <c r="POI59" s="69"/>
      <c r="POJ59" s="69"/>
      <c r="POK59" s="69"/>
      <c r="POL59" s="69"/>
      <c r="POM59" s="69"/>
      <c r="PON59" s="69"/>
      <c r="POO59" s="69"/>
      <c r="POP59" s="69"/>
      <c r="POQ59" s="69"/>
      <c r="POR59" s="69"/>
      <c r="POS59" s="69"/>
      <c r="POT59" s="69"/>
      <c r="POU59" s="69"/>
      <c r="POV59" s="69"/>
      <c r="POW59" s="69"/>
      <c r="POX59" s="69"/>
      <c r="POY59" s="69"/>
      <c r="POZ59" s="69"/>
      <c r="PPA59" s="69" t="s">
        <v>116</v>
      </c>
      <c r="PPB59" s="69"/>
      <c r="PPC59" s="69"/>
      <c r="PPD59" s="69"/>
      <c r="PPE59" s="69"/>
      <c r="PPF59" s="69"/>
      <c r="PPG59" s="69"/>
      <c r="PPH59" s="69"/>
      <c r="PPI59" s="69"/>
      <c r="PPJ59" s="69"/>
      <c r="PPK59" s="69"/>
      <c r="PPL59" s="69"/>
      <c r="PPM59" s="69"/>
      <c r="PPN59" s="69"/>
      <c r="PPO59" s="69"/>
      <c r="PPP59" s="69"/>
      <c r="PPQ59" s="69"/>
      <c r="PPR59" s="69"/>
      <c r="PPS59" s="69"/>
      <c r="PPT59" s="69"/>
      <c r="PPU59" s="69"/>
      <c r="PPV59" s="69"/>
      <c r="PPW59" s="69"/>
      <c r="PPX59" s="69"/>
      <c r="PPY59" s="69"/>
      <c r="PPZ59" s="69"/>
      <c r="PQA59" s="69"/>
      <c r="PQB59" s="69"/>
      <c r="PQC59" s="69"/>
      <c r="PQD59" s="69"/>
      <c r="PQE59" s="69"/>
      <c r="PQF59" s="69"/>
      <c r="PQG59" s="69" t="s">
        <v>116</v>
      </c>
      <c r="PQH59" s="69"/>
      <c r="PQI59" s="69"/>
      <c r="PQJ59" s="69"/>
      <c r="PQK59" s="69"/>
      <c r="PQL59" s="69"/>
      <c r="PQM59" s="69"/>
      <c r="PQN59" s="69"/>
      <c r="PQO59" s="69"/>
      <c r="PQP59" s="69"/>
      <c r="PQQ59" s="69"/>
      <c r="PQR59" s="69"/>
      <c r="PQS59" s="69"/>
      <c r="PQT59" s="69"/>
      <c r="PQU59" s="69"/>
      <c r="PQV59" s="69"/>
      <c r="PQW59" s="69"/>
      <c r="PQX59" s="69"/>
      <c r="PQY59" s="69"/>
      <c r="PQZ59" s="69"/>
      <c r="PRA59" s="69"/>
      <c r="PRB59" s="69"/>
      <c r="PRC59" s="69"/>
      <c r="PRD59" s="69"/>
      <c r="PRE59" s="69"/>
      <c r="PRF59" s="69"/>
      <c r="PRG59" s="69"/>
      <c r="PRH59" s="69"/>
      <c r="PRI59" s="69"/>
      <c r="PRJ59" s="69"/>
      <c r="PRK59" s="69"/>
      <c r="PRL59" s="69"/>
      <c r="PRM59" s="69" t="s">
        <v>116</v>
      </c>
      <c r="PRN59" s="69"/>
      <c r="PRO59" s="69"/>
      <c r="PRP59" s="69"/>
      <c r="PRQ59" s="69"/>
      <c r="PRR59" s="69"/>
      <c r="PRS59" s="69"/>
      <c r="PRT59" s="69"/>
      <c r="PRU59" s="69"/>
      <c r="PRV59" s="69"/>
      <c r="PRW59" s="69"/>
      <c r="PRX59" s="69"/>
      <c r="PRY59" s="69"/>
      <c r="PRZ59" s="69"/>
      <c r="PSA59" s="69"/>
      <c r="PSB59" s="69"/>
      <c r="PSC59" s="69"/>
      <c r="PSD59" s="69"/>
      <c r="PSE59" s="69"/>
      <c r="PSF59" s="69"/>
      <c r="PSG59" s="69"/>
      <c r="PSH59" s="69"/>
      <c r="PSI59" s="69"/>
      <c r="PSJ59" s="69"/>
      <c r="PSK59" s="69"/>
      <c r="PSL59" s="69"/>
      <c r="PSM59" s="69"/>
      <c r="PSN59" s="69"/>
      <c r="PSO59" s="69"/>
      <c r="PSP59" s="69"/>
      <c r="PSQ59" s="69"/>
      <c r="PSR59" s="69"/>
      <c r="PSS59" s="69" t="s">
        <v>116</v>
      </c>
      <c r="PST59" s="69"/>
      <c r="PSU59" s="69"/>
      <c r="PSV59" s="69"/>
      <c r="PSW59" s="69"/>
      <c r="PSX59" s="69"/>
      <c r="PSY59" s="69"/>
      <c r="PSZ59" s="69"/>
      <c r="PTA59" s="69"/>
      <c r="PTB59" s="69"/>
      <c r="PTC59" s="69"/>
      <c r="PTD59" s="69"/>
      <c r="PTE59" s="69"/>
      <c r="PTF59" s="69"/>
      <c r="PTG59" s="69"/>
      <c r="PTH59" s="69"/>
      <c r="PTI59" s="69"/>
      <c r="PTJ59" s="69"/>
      <c r="PTK59" s="69"/>
      <c r="PTL59" s="69"/>
      <c r="PTM59" s="69"/>
      <c r="PTN59" s="69"/>
      <c r="PTO59" s="69"/>
      <c r="PTP59" s="69"/>
      <c r="PTQ59" s="69"/>
      <c r="PTR59" s="69"/>
      <c r="PTS59" s="69"/>
      <c r="PTT59" s="69"/>
      <c r="PTU59" s="69"/>
      <c r="PTV59" s="69"/>
      <c r="PTW59" s="69"/>
      <c r="PTX59" s="69"/>
      <c r="PTY59" s="69" t="s">
        <v>116</v>
      </c>
      <c r="PTZ59" s="69"/>
      <c r="PUA59" s="69"/>
      <c r="PUB59" s="69"/>
      <c r="PUC59" s="69"/>
      <c r="PUD59" s="69"/>
      <c r="PUE59" s="69"/>
      <c r="PUF59" s="69"/>
      <c r="PUG59" s="69"/>
      <c r="PUH59" s="69"/>
      <c r="PUI59" s="69"/>
      <c r="PUJ59" s="69"/>
      <c r="PUK59" s="69"/>
      <c r="PUL59" s="69"/>
      <c r="PUM59" s="69"/>
      <c r="PUN59" s="69"/>
      <c r="PUO59" s="69"/>
      <c r="PUP59" s="69"/>
      <c r="PUQ59" s="69"/>
      <c r="PUR59" s="69"/>
      <c r="PUS59" s="69"/>
      <c r="PUT59" s="69"/>
      <c r="PUU59" s="69"/>
      <c r="PUV59" s="69"/>
      <c r="PUW59" s="69"/>
      <c r="PUX59" s="69"/>
      <c r="PUY59" s="69"/>
      <c r="PUZ59" s="69"/>
      <c r="PVA59" s="69"/>
      <c r="PVB59" s="69"/>
      <c r="PVC59" s="69"/>
      <c r="PVD59" s="69"/>
      <c r="PVE59" s="69" t="s">
        <v>116</v>
      </c>
      <c r="PVF59" s="69"/>
      <c r="PVG59" s="69"/>
      <c r="PVH59" s="69"/>
      <c r="PVI59" s="69"/>
      <c r="PVJ59" s="69"/>
      <c r="PVK59" s="69"/>
      <c r="PVL59" s="69"/>
      <c r="PVM59" s="69"/>
      <c r="PVN59" s="69"/>
      <c r="PVO59" s="69"/>
      <c r="PVP59" s="69"/>
      <c r="PVQ59" s="69"/>
      <c r="PVR59" s="69"/>
      <c r="PVS59" s="69"/>
      <c r="PVT59" s="69"/>
      <c r="PVU59" s="69"/>
      <c r="PVV59" s="69"/>
      <c r="PVW59" s="69"/>
      <c r="PVX59" s="69"/>
      <c r="PVY59" s="69"/>
      <c r="PVZ59" s="69"/>
      <c r="PWA59" s="69"/>
      <c r="PWB59" s="69"/>
      <c r="PWC59" s="69"/>
      <c r="PWD59" s="69"/>
      <c r="PWE59" s="69"/>
      <c r="PWF59" s="69"/>
      <c r="PWG59" s="69"/>
      <c r="PWH59" s="69"/>
      <c r="PWI59" s="69"/>
      <c r="PWJ59" s="69"/>
      <c r="PWK59" s="69" t="s">
        <v>116</v>
      </c>
      <c r="PWL59" s="69"/>
      <c r="PWM59" s="69"/>
      <c r="PWN59" s="69"/>
      <c r="PWO59" s="69"/>
      <c r="PWP59" s="69"/>
      <c r="PWQ59" s="69"/>
      <c r="PWR59" s="69"/>
      <c r="PWS59" s="69"/>
      <c r="PWT59" s="69"/>
      <c r="PWU59" s="69"/>
      <c r="PWV59" s="69"/>
      <c r="PWW59" s="69"/>
      <c r="PWX59" s="69"/>
      <c r="PWY59" s="69"/>
      <c r="PWZ59" s="69"/>
      <c r="PXA59" s="69"/>
      <c r="PXB59" s="69"/>
      <c r="PXC59" s="69"/>
      <c r="PXD59" s="69"/>
      <c r="PXE59" s="69"/>
      <c r="PXF59" s="69"/>
      <c r="PXG59" s="69"/>
      <c r="PXH59" s="69"/>
      <c r="PXI59" s="69"/>
      <c r="PXJ59" s="69"/>
      <c r="PXK59" s="69"/>
      <c r="PXL59" s="69"/>
      <c r="PXM59" s="69"/>
      <c r="PXN59" s="69"/>
      <c r="PXO59" s="69"/>
      <c r="PXP59" s="69"/>
      <c r="PXQ59" s="69" t="s">
        <v>116</v>
      </c>
      <c r="PXR59" s="69"/>
      <c r="PXS59" s="69"/>
      <c r="PXT59" s="69"/>
      <c r="PXU59" s="69"/>
      <c r="PXV59" s="69"/>
      <c r="PXW59" s="69"/>
      <c r="PXX59" s="69"/>
      <c r="PXY59" s="69"/>
      <c r="PXZ59" s="69"/>
      <c r="PYA59" s="69"/>
      <c r="PYB59" s="69"/>
      <c r="PYC59" s="69"/>
      <c r="PYD59" s="69"/>
      <c r="PYE59" s="69"/>
      <c r="PYF59" s="69"/>
      <c r="PYG59" s="69"/>
      <c r="PYH59" s="69"/>
      <c r="PYI59" s="69"/>
      <c r="PYJ59" s="69"/>
      <c r="PYK59" s="69"/>
      <c r="PYL59" s="69"/>
      <c r="PYM59" s="69"/>
      <c r="PYN59" s="69"/>
      <c r="PYO59" s="69"/>
      <c r="PYP59" s="69"/>
      <c r="PYQ59" s="69"/>
      <c r="PYR59" s="69"/>
      <c r="PYS59" s="69"/>
      <c r="PYT59" s="69"/>
      <c r="PYU59" s="69"/>
      <c r="PYV59" s="69"/>
      <c r="PYW59" s="69" t="s">
        <v>116</v>
      </c>
      <c r="PYX59" s="69"/>
      <c r="PYY59" s="69"/>
      <c r="PYZ59" s="69"/>
      <c r="PZA59" s="69"/>
      <c r="PZB59" s="69"/>
      <c r="PZC59" s="69"/>
      <c r="PZD59" s="69"/>
      <c r="PZE59" s="69"/>
      <c r="PZF59" s="69"/>
      <c r="PZG59" s="69"/>
      <c r="PZH59" s="69"/>
      <c r="PZI59" s="69"/>
      <c r="PZJ59" s="69"/>
      <c r="PZK59" s="69"/>
      <c r="PZL59" s="69"/>
      <c r="PZM59" s="69"/>
      <c r="PZN59" s="69"/>
      <c r="PZO59" s="69"/>
      <c r="PZP59" s="69"/>
      <c r="PZQ59" s="69"/>
      <c r="PZR59" s="69"/>
      <c r="PZS59" s="69"/>
      <c r="PZT59" s="69"/>
      <c r="PZU59" s="69"/>
      <c r="PZV59" s="69"/>
      <c r="PZW59" s="69"/>
      <c r="PZX59" s="69"/>
      <c r="PZY59" s="69"/>
      <c r="PZZ59" s="69"/>
      <c r="QAA59" s="69"/>
      <c r="QAB59" s="69"/>
      <c r="QAC59" s="69" t="s">
        <v>116</v>
      </c>
      <c r="QAD59" s="69"/>
      <c r="QAE59" s="69"/>
      <c r="QAF59" s="69"/>
      <c r="QAG59" s="69"/>
      <c r="QAH59" s="69"/>
      <c r="QAI59" s="69"/>
      <c r="QAJ59" s="69"/>
      <c r="QAK59" s="69"/>
      <c r="QAL59" s="69"/>
      <c r="QAM59" s="69"/>
      <c r="QAN59" s="69"/>
      <c r="QAO59" s="69"/>
      <c r="QAP59" s="69"/>
      <c r="QAQ59" s="69"/>
      <c r="QAR59" s="69"/>
      <c r="QAS59" s="69"/>
      <c r="QAT59" s="69"/>
      <c r="QAU59" s="69"/>
      <c r="QAV59" s="69"/>
      <c r="QAW59" s="69"/>
      <c r="QAX59" s="69"/>
      <c r="QAY59" s="69"/>
      <c r="QAZ59" s="69"/>
      <c r="QBA59" s="69"/>
      <c r="QBB59" s="69"/>
      <c r="QBC59" s="69"/>
      <c r="QBD59" s="69"/>
      <c r="QBE59" s="69"/>
      <c r="QBF59" s="69"/>
      <c r="QBG59" s="69"/>
      <c r="QBH59" s="69"/>
      <c r="QBI59" s="69" t="s">
        <v>116</v>
      </c>
      <c r="QBJ59" s="69"/>
      <c r="QBK59" s="69"/>
      <c r="QBL59" s="69"/>
      <c r="QBM59" s="69"/>
      <c r="QBN59" s="69"/>
      <c r="QBO59" s="69"/>
      <c r="QBP59" s="69"/>
      <c r="QBQ59" s="69"/>
      <c r="QBR59" s="69"/>
      <c r="QBS59" s="69"/>
      <c r="QBT59" s="69"/>
      <c r="QBU59" s="69"/>
      <c r="QBV59" s="69"/>
      <c r="QBW59" s="69"/>
      <c r="QBX59" s="69"/>
      <c r="QBY59" s="69"/>
      <c r="QBZ59" s="69"/>
      <c r="QCA59" s="69"/>
      <c r="QCB59" s="69"/>
      <c r="QCC59" s="69"/>
      <c r="QCD59" s="69"/>
      <c r="QCE59" s="69"/>
      <c r="QCF59" s="69"/>
      <c r="QCG59" s="69"/>
      <c r="QCH59" s="69"/>
      <c r="QCI59" s="69"/>
      <c r="QCJ59" s="69"/>
      <c r="QCK59" s="69"/>
      <c r="QCL59" s="69"/>
      <c r="QCM59" s="69"/>
      <c r="QCN59" s="69"/>
      <c r="QCO59" s="69" t="s">
        <v>116</v>
      </c>
      <c r="QCP59" s="69"/>
      <c r="QCQ59" s="69"/>
      <c r="QCR59" s="69"/>
      <c r="QCS59" s="69"/>
      <c r="QCT59" s="69"/>
      <c r="QCU59" s="69"/>
      <c r="QCV59" s="69"/>
      <c r="QCW59" s="69"/>
      <c r="QCX59" s="69"/>
      <c r="QCY59" s="69"/>
      <c r="QCZ59" s="69"/>
      <c r="QDA59" s="69"/>
      <c r="QDB59" s="69"/>
      <c r="QDC59" s="69"/>
      <c r="QDD59" s="69"/>
      <c r="QDE59" s="69"/>
      <c r="QDF59" s="69"/>
      <c r="QDG59" s="69"/>
      <c r="QDH59" s="69"/>
      <c r="QDI59" s="69"/>
      <c r="QDJ59" s="69"/>
      <c r="QDK59" s="69"/>
      <c r="QDL59" s="69"/>
      <c r="QDM59" s="69"/>
      <c r="QDN59" s="69"/>
      <c r="QDO59" s="69"/>
      <c r="QDP59" s="69"/>
      <c r="QDQ59" s="69"/>
      <c r="QDR59" s="69"/>
      <c r="QDS59" s="69"/>
      <c r="QDT59" s="69"/>
      <c r="QDU59" s="69" t="s">
        <v>116</v>
      </c>
      <c r="QDV59" s="69"/>
      <c r="QDW59" s="69"/>
      <c r="QDX59" s="69"/>
      <c r="QDY59" s="69"/>
      <c r="QDZ59" s="69"/>
      <c r="QEA59" s="69"/>
      <c r="QEB59" s="69"/>
      <c r="QEC59" s="69"/>
      <c r="QED59" s="69"/>
      <c r="QEE59" s="69"/>
      <c r="QEF59" s="69"/>
      <c r="QEG59" s="69"/>
      <c r="QEH59" s="69"/>
      <c r="QEI59" s="69"/>
      <c r="QEJ59" s="69"/>
      <c r="QEK59" s="69"/>
      <c r="QEL59" s="69"/>
      <c r="QEM59" s="69"/>
      <c r="QEN59" s="69"/>
      <c r="QEO59" s="69"/>
      <c r="QEP59" s="69"/>
      <c r="QEQ59" s="69"/>
      <c r="QER59" s="69"/>
      <c r="QES59" s="69"/>
      <c r="QET59" s="69"/>
      <c r="QEU59" s="69"/>
      <c r="QEV59" s="69"/>
      <c r="QEW59" s="69"/>
      <c r="QEX59" s="69"/>
      <c r="QEY59" s="69"/>
      <c r="QEZ59" s="69"/>
      <c r="QFA59" s="69" t="s">
        <v>116</v>
      </c>
      <c r="QFB59" s="69"/>
      <c r="QFC59" s="69"/>
      <c r="QFD59" s="69"/>
      <c r="QFE59" s="69"/>
      <c r="QFF59" s="69"/>
      <c r="QFG59" s="69"/>
      <c r="QFH59" s="69"/>
      <c r="QFI59" s="69"/>
      <c r="QFJ59" s="69"/>
      <c r="QFK59" s="69"/>
      <c r="QFL59" s="69"/>
      <c r="QFM59" s="69"/>
      <c r="QFN59" s="69"/>
      <c r="QFO59" s="69"/>
      <c r="QFP59" s="69"/>
      <c r="QFQ59" s="69"/>
      <c r="QFR59" s="69"/>
      <c r="QFS59" s="69"/>
      <c r="QFT59" s="69"/>
      <c r="QFU59" s="69"/>
      <c r="QFV59" s="69"/>
      <c r="QFW59" s="69"/>
      <c r="QFX59" s="69"/>
      <c r="QFY59" s="69"/>
      <c r="QFZ59" s="69"/>
      <c r="QGA59" s="69"/>
      <c r="QGB59" s="69"/>
      <c r="QGC59" s="69"/>
      <c r="QGD59" s="69"/>
      <c r="QGE59" s="69"/>
      <c r="QGF59" s="69"/>
      <c r="QGG59" s="69" t="s">
        <v>116</v>
      </c>
      <c r="QGH59" s="69"/>
      <c r="QGI59" s="69"/>
      <c r="QGJ59" s="69"/>
      <c r="QGK59" s="69"/>
      <c r="QGL59" s="69"/>
      <c r="QGM59" s="69"/>
      <c r="QGN59" s="69"/>
      <c r="QGO59" s="69"/>
      <c r="QGP59" s="69"/>
      <c r="QGQ59" s="69"/>
      <c r="QGR59" s="69"/>
      <c r="QGS59" s="69"/>
      <c r="QGT59" s="69"/>
      <c r="QGU59" s="69"/>
      <c r="QGV59" s="69"/>
      <c r="QGW59" s="69"/>
      <c r="QGX59" s="69"/>
      <c r="QGY59" s="69"/>
      <c r="QGZ59" s="69"/>
      <c r="QHA59" s="69"/>
      <c r="QHB59" s="69"/>
      <c r="QHC59" s="69"/>
      <c r="QHD59" s="69"/>
      <c r="QHE59" s="69"/>
      <c r="QHF59" s="69"/>
      <c r="QHG59" s="69"/>
      <c r="QHH59" s="69"/>
      <c r="QHI59" s="69"/>
      <c r="QHJ59" s="69"/>
      <c r="QHK59" s="69"/>
      <c r="QHL59" s="69"/>
      <c r="QHM59" s="69" t="s">
        <v>116</v>
      </c>
      <c r="QHN59" s="69"/>
      <c r="QHO59" s="69"/>
      <c r="QHP59" s="69"/>
      <c r="QHQ59" s="69"/>
      <c r="QHR59" s="69"/>
      <c r="QHS59" s="69"/>
      <c r="QHT59" s="69"/>
      <c r="QHU59" s="69"/>
      <c r="QHV59" s="69"/>
      <c r="QHW59" s="69"/>
      <c r="QHX59" s="69"/>
      <c r="QHY59" s="69"/>
      <c r="QHZ59" s="69"/>
      <c r="QIA59" s="69"/>
      <c r="QIB59" s="69"/>
      <c r="QIC59" s="69"/>
      <c r="QID59" s="69"/>
      <c r="QIE59" s="69"/>
      <c r="QIF59" s="69"/>
      <c r="QIG59" s="69"/>
      <c r="QIH59" s="69"/>
      <c r="QII59" s="69"/>
      <c r="QIJ59" s="69"/>
      <c r="QIK59" s="69"/>
      <c r="QIL59" s="69"/>
      <c r="QIM59" s="69"/>
      <c r="QIN59" s="69"/>
      <c r="QIO59" s="69"/>
      <c r="QIP59" s="69"/>
      <c r="QIQ59" s="69"/>
      <c r="QIR59" s="69"/>
      <c r="QIS59" s="69" t="s">
        <v>116</v>
      </c>
      <c r="QIT59" s="69"/>
      <c r="QIU59" s="69"/>
      <c r="QIV59" s="69"/>
      <c r="QIW59" s="69"/>
      <c r="QIX59" s="69"/>
      <c r="QIY59" s="69"/>
      <c r="QIZ59" s="69"/>
      <c r="QJA59" s="69"/>
      <c r="QJB59" s="69"/>
      <c r="QJC59" s="69"/>
      <c r="QJD59" s="69"/>
      <c r="QJE59" s="69"/>
      <c r="QJF59" s="69"/>
      <c r="QJG59" s="69"/>
      <c r="QJH59" s="69"/>
      <c r="QJI59" s="69"/>
      <c r="QJJ59" s="69"/>
      <c r="QJK59" s="69"/>
      <c r="QJL59" s="69"/>
      <c r="QJM59" s="69"/>
      <c r="QJN59" s="69"/>
      <c r="QJO59" s="69"/>
      <c r="QJP59" s="69"/>
      <c r="QJQ59" s="69"/>
      <c r="QJR59" s="69"/>
      <c r="QJS59" s="69"/>
      <c r="QJT59" s="69"/>
      <c r="QJU59" s="69"/>
      <c r="QJV59" s="69"/>
      <c r="QJW59" s="69"/>
      <c r="QJX59" s="69"/>
      <c r="QJY59" s="69" t="s">
        <v>116</v>
      </c>
      <c r="QJZ59" s="69"/>
      <c r="QKA59" s="69"/>
      <c r="QKB59" s="69"/>
      <c r="QKC59" s="69"/>
      <c r="QKD59" s="69"/>
      <c r="QKE59" s="69"/>
      <c r="QKF59" s="69"/>
      <c r="QKG59" s="69"/>
      <c r="QKH59" s="69"/>
      <c r="QKI59" s="69"/>
      <c r="QKJ59" s="69"/>
      <c r="QKK59" s="69"/>
      <c r="QKL59" s="69"/>
      <c r="QKM59" s="69"/>
      <c r="QKN59" s="69"/>
      <c r="QKO59" s="69"/>
      <c r="QKP59" s="69"/>
      <c r="QKQ59" s="69"/>
      <c r="QKR59" s="69"/>
      <c r="QKS59" s="69"/>
      <c r="QKT59" s="69"/>
      <c r="QKU59" s="69"/>
      <c r="QKV59" s="69"/>
      <c r="QKW59" s="69"/>
      <c r="QKX59" s="69"/>
      <c r="QKY59" s="69"/>
      <c r="QKZ59" s="69"/>
      <c r="QLA59" s="69"/>
      <c r="QLB59" s="69"/>
      <c r="QLC59" s="69"/>
      <c r="QLD59" s="69"/>
      <c r="QLE59" s="69" t="s">
        <v>116</v>
      </c>
      <c r="QLF59" s="69"/>
      <c r="QLG59" s="69"/>
      <c r="QLH59" s="69"/>
      <c r="QLI59" s="69"/>
      <c r="QLJ59" s="69"/>
      <c r="QLK59" s="69"/>
      <c r="QLL59" s="69"/>
      <c r="QLM59" s="69"/>
      <c r="QLN59" s="69"/>
      <c r="QLO59" s="69"/>
      <c r="QLP59" s="69"/>
      <c r="QLQ59" s="69"/>
      <c r="QLR59" s="69"/>
      <c r="QLS59" s="69"/>
      <c r="QLT59" s="69"/>
      <c r="QLU59" s="69"/>
      <c r="QLV59" s="69"/>
      <c r="QLW59" s="69"/>
      <c r="QLX59" s="69"/>
      <c r="QLY59" s="69"/>
      <c r="QLZ59" s="69"/>
      <c r="QMA59" s="69"/>
      <c r="QMB59" s="69"/>
      <c r="QMC59" s="69"/>
      <c r="QMD59" s="69"/>
      <c r="QME59" s="69"/>
      <c r="QMF59" s="69"/>
      <c r="QMG59" s="69"/>
      <c r="QMH59" s="69"/>
      <c r="QMI59" s="69"/>
      <c r="QMJ59" s="69"/>
      <c r="QMK59" s="69" t="s">
        <v>116</v>
      </c>
      <c r="QML59" s="69"/>
      <c r="QMM59" s="69"/>
      <c r="QMN59" s="69"/>
      <c r="QMO59" s="69"/>
      <c r="QMP59" s="69"/>
      <c r="QMQ59" s="69"/>
      <c r="QMR59" s="69"/>
      <c r="QMS59" s="69"/>
      <c r="QMT59" s="69"/>
      <c r="QMU59" s="69"/>
      <c r="QMV59" s="69"/>
      <c r="QMW59" s="69"/>
      <c r="QMX59" s="69"/>
      <c r="QMY59" s="69"/>
      <c r="QMZ59" s="69"/>
      <c r="QNA59" s="69"/>
      <c r="QNB59" s="69"/>
      <c r="QNC59" s="69"/>
      <c r="QND59" s="69"/>
      <c r="QNE59" s="69"/>
      <c r="QNF59" s="69"/>
      <c r="QNG59" s="69"/>
      <c r="QNH59" s="69"/>
      <c r="QNI59" s="69"/>
      <c r="QNJ59" s="69"/>
      <c r="QNK59" s="69"/>
      <c r="QNL59" s="69"/>
      <c r="QNM59" s="69"/>
      <c r="QNN59" s="69"/>
      <c r="QNO59" s="69"/>
      <c r="QNP59" s="69"/>
      <c r="QNQ59" s="69" t="s">
        <v>116</v>
      </c>
      <c r="QNR59" s="69"/>
      <c r="QNS59" s="69"/>
      <c r="QNT59" s="69"/>
      <c r="QNU59" s="69"/>
      <c r="QNV59" s="69"/>
      <c r="QNW59" s="69"/>
      <c r="QNX59" s="69"/>
      <c r="QNY59" s="69"/>
      <c r="QNZ59" s="69"/>
      <c r="QOA59" s="69"/>
      <c r="QOB59" s="69"/>
      <c r="QOC59" s="69"/>
      <c r="QOD59" s="69"/>
      <c r="QOE59" s="69"/>
      <c r="QOF59" s="69"/>
      <c r="QOG59" s="69"/>
      <c r="QOH59" s="69"/>
      <c r="QOI59" s="69"/>
      <c r="QOJ59" s="69"/>
      <c r="QOK59" s="69"/>
      <c r="QOL59" s="69"/>
      <c r="QOM59" s="69"/>
      <c r="QON59" s="69"/>
      <c r="QOO59" s="69"/>
      <c r="QOP59" s="69"/>
      <c r="QOQ59" s="69"/>
      <c r="QOR59" s="69"/>
      <c r="QOS59" s="69"/>
      <c r="QOT59" s="69"/>
      <c r="QOU59" s="69"/>
      <c r="QOV59" s="69"/>
      <c r="QOW59" s="69" t="s">
        <v>116</v>
      </c>
      <c r="QOX59" s="69"/>
      <c r="QOY59" s="69"/>
      <c r="QOZ59" s="69"/>
      <c r="QPA59" s="69"/>
      <c r="QPB59" s="69"/>
      <c r="QPC59" s="69"/>
      <c r="QPD59" s="69"/>
      <c r="QPE59" s="69"/>
      <c r="QPF59" s="69"/>
      <c r="QPG59" s="69"/>
      <c r="QPH59" s="69"/>
      <c r="QPI59" s="69"/>
      <c r="QPJ59" s="69"/>
      <c r="QPK59" s="69"/>
      <c r="QPL59" s="69"/>
      <c r="QPM59" s="69"/>
      <c r="QPN59" s="69"/>
      <c r="QPO59" s="69"/>
      <c r="QPP59" s="69"/>
      <c r="QPQ59" s="69"/>
      <c r="QPR59" s="69"/>
      <c r="QPS59" s="69"/>
      <c r="QPT59" s="69"/>
      <c r="QPU59" s="69"/>
      <c r="QPV59" s="69"/>
      <c r="QPW59" s="69"/>
      <c r="QPX59" s="69"/>
      <c r="QPY59" s="69"/>
      <c r="QPZ59" s="69"/>
      <c r="QQA59" s="69"/>
      <c r="QQB59" s="69"/>
      <c r="QQC59" s="69" t="s">
        <v>116</v>
      </c>
      <c r="QQD59" s="69"/>
      <c r="QQE59" s="69"/>
      <c r="QQF59" s="69"/>
      <c r="QQG59" s="69"/>
      <c r="QQH59" s="69"/>
      <c r="QQI59" s="69"/>
      <c r="QQJ59" s="69"/>
      <c r="QQK59" s="69"/>
      <c r="QQL59" s="69"/>
      <c r="QQM59" s="69"/>
      <c r="QQN59" s="69"/>
      <c r="QQO59" s="69"/>
      <c r="QQP59" s="69"/>
      <c r="QQQ59" s="69"/>
      <c r="QQR59" s="69"/>
      <c r="QQS59" s="69"/>
      <c r="QQT59" s="69"/>
      <c r="QQU59" s="69"/>
      <c r="QQV59" s="69"/>
      <c r="QQW59" s="69"/>
      <c r="QQX59" s="69"/>
      <c r="QQY59" s="69"/>
      <c r="QQZ59" s="69"/>
      <c r="QRA59" s="69"/>
      <c r="QRB59" s="69"/>
      <c r="QRC59" s="69"/>
      <c r="QRD59" s="69"/>
      <c r="QRE59" s="69"/>
      <c r="QRF59" s="69"/>
      <c r="QRG59" s="69"/>
      <c r="QRH59" s="69"/>
      <c r="QRI59" s="69" t="s">
        <v>116</v>
      </c>
      <c r="QRJ59" s="69"/>
      <c r="QRK59" s="69"/>
      <c r="QRL59" s="69"/>
      <c r="QRM59" s="69"/>
      <c r="QRN59" s="69"/>
      <c r="QRO59" s="69"/>
      <c r="QRP59" s="69"/>
      <c r="QRQ59" s="69"/>
      <c r="QRR59" s="69"/>
      <c r="QRS59" s="69"/>
      <c r="QRT59" s="69"/>
      <c r="QRU59" s="69"/>
      <c r="QRV59" s="69"/>
      <c r="QRW59" s="69"/>
      <c r="QRX59" s="69"/>
      <c r="QRY59" s="69"/>
      <c r="QRZ59" s="69"/>
      <c r="QSA59" s="69"/>
      <c r="QSB59" s="69"/>
      <c r="QSC59" s="69"/>
      <c r="QSD59" s="69"/>
      <c r="QSE59" s="69"/>
      <c r="QSF59" s="69"/>
      <c r="QSG59" s="69"/>
      <c r="QSH59" s="69"/>
      <c r="QSI59" s="69"/>
      <c r="QSJ59" s="69"/>
      <c r="QSK59" s="69"/>
      <c r="QSL59" s="69"/>
      <c r="QSM59" s="69"/>
      <c r="QSN59" s="69"/>
      <c r="QSO59" s="69" t="s">
        <v>116</v>
      </c>
      <c r="QSP59" s="69"/>
      <c r="QSQ59" s="69"/>
      <c r="QSR59" s="69"/>
      <c r="QSS59" s="69"/>
      <c r="QST59" s="69"/>
      <c r="QSU59" s="69"/>
      <c r="QSV59" s="69"/>
      <c r="QSW59" s="69"/>
      <c r="QSX59" s="69"/>
      <c r="QSY59" s="69"/>
      <c r="QSZ59" s="69"/>
      <c r="QTA59" s="69"/>
      <c r="QTB59" s="69"/>
      <c r="QTC59" s="69"/>
      <c r="QTD59" s="69"/>
      <c r="QTE59" s="69"/>
      <c r="QTF59" s="69"/>
      <c r="QTG59" s="69"/>
      <c r="QTH59" s="69"/>
      <c r="QTI59" s="69"/>
      <c r="QTJ59" s="69"/>
      <c r="QTK59" s="69"/>
      <c r="QTL59" s="69"/>
      <c r="QTM59" s="69"/>
      <c r="QTN59" s="69"/>
      <c r="QTO59" s="69"/>
      <c r="QTP59" s="69"/>
      <c r="QTQ59" s="69"/>
      <c r="QTR59" s="69"/>
      <c r="QTS59" s="69"/>
      <c r="QTT59" s="69"/>
      <c r="QTU59" s="69" t="s">
        <v>116</v>
      </c>
      <c r="QTV59" s="69"/>
      <c r="QTW59" s="69"/>
      <c r="QTX59" s="69"/>
      <c r="QTY59" s="69"/>
      <c r="QTZ59" s="69"/>
      <c r="QUA59" s="69"/>
      <c r="QUB59" s="69"/>
      <c r="QUC59" s="69"/>
      <c r="QUD59" s="69"/>
      <c r="QUE59" s="69"/>
      <c r="QUF59" s="69"/>
      <c r="QUG59" s="69"/>
      <c r="QUH59" s="69"/>
      <c r="QUI59" s="69"/>
      <c r="QUJ59" s="69"/>
      <c r="QUK59" s="69"/>
      <c r="QUL59" s="69"/>
      <c r="QUM59" s="69"/>
      <c r="QUN59" s="69"/>
      <c r="QUO59" s="69"/>
      <c r="QUP59" s="69"/>
      <c r="QUQ59" s="69"/>
      <c r="QUR59" s="69"/>
      <c r="QUS59" s="69"/>
      <c r="QUT59" s="69"/>
      <c r="QUU59" s="69"/>
      <c r="QUV59" s="69"/>
      <c r="QUW59" s="69"/>
      <c r="QUX59" s="69"/>
      <c r="QUY59" s="69"/>
      <c r="QUZ59" s="69"/>
      <c r="QVA59" s="69" t="s">
        <v>116</v>
      </c>
      <c r="QVB59" s="69"/>
      <c r="QVC59" s="69"/>
      <c r="QVD59" s="69"/>
      <c r="QVE59" s="69"/>
      <c r="QVF59" s="69"/>
      <c r="QVG59" s="69"/>
      <c r="QVH59" s="69"/>
      <c r="QVI59" s="69"/>
      <c r="QVJ59" s="69"/>
      <c r="QVK59" s="69"/>
      <c r="QVL59" s="69"/>
      <c r="QVM59" s="69"/>
      <c r="QVN59" s="69"/>
      <c r="QVO59" s="69"/>
      <c r="QVP59" s="69"/>
      <c r="QVQ59" s="69"/>
      <c r="QVR59" s="69"/>
      <c r="QVS59" s="69"/>
      <c r="QVT59" s="69"/>
      <c r="QVU59" s="69"/>
      <c r="QVV59" s="69"/>
      <c r="QVW59" s="69"/>
      <c r="QVX59" s="69"/>
      <c r="QVY59" s="69"/>
      <c r="QVZ59" s="69"/>
      <c r="QWA59" s="69"/>
      <c r="QWB59" s="69"/>
      <c r="QWC59" s="69"/>
      <c r="QWD59" s="69"/>
      <c r="QWE59" s="69"/>
      <c r="QWF59" s="69"/>
      <c r="QWG59" s="69" t="s">
        <v>116</v>
      </c>
      <c r="QWH59" s="69"/>
      <c r="QWI59" s="69"/>
      <c r="QWJ59" s="69"/>
      <c r="QWK59" s="69"/>
      <c r="QWL59" s="69"/>
      <c r="QWM59" s="69"/>
      <c r="QWN59" s="69"/>
      <c r="QWO59" s="69"/>
      <c r="QWP59" s="69"/>
      <c r="QWQ59" s="69"/>
      <c r="QWR59" s="69"/>
      <c r="QWS59" s="69"/>
      <c r="QWT59" s="69"/>
      <c r="QWU59" s="69"/>
      <c r="QWV59" s="69"/>
      <c r="QWW59" s="69"/>
      <c r="QWX59" s="69"/>
      <c r="QWY59" s="69"/>
      <c r="QWZ59" s="69"/>
      <c r="QXA59" s="69"/>
      <c r="QXB59" s="69"/>
      <c r="QXC59" s="69"/>
      <c r="QXD59" s="69"/>
      <c r="QXE59" s="69"/>
      <c r="QXF59" s="69"/>
      <c r="QXG59" s="69"/>
      <c r="QXH59" s="69"/>
      <c r="QXI59" s="69"/>
      <c r="QXJ59" s="69"/>
      <c r="QXK59" s="69"/>
      <c r="QXL59" s="69"/>
      <c r="QXM59" s="69" t="s">
        <v>116</v>
      </c>
      <c r="QXN59" s="69"/>
      <c r="QXO59" s="69"/>
      <c r="QXP59" s="69"/>
      <c r="QXQ59" s="69"/>
      <c r="QXR59" s="69"/>
      <c r="QXS59" s="69"/>
      <c r="QXT59" s="69"/>
      <c r="QXU59" s="69"/>
      <c r="QXV59" s="69"/>
      <c r="QXW59" s="69"/>
      <c r="QXX59" s="69"/>
      <c r="QXY59" s="69"/>
      <c r="QXZ59" s="69"/>
      <c r="QYA59" s="69"/>
      <c r="QYB59" s="69"/>
      <c r="QYC59" s="69"/>
      <c r="QYD59" s="69"/>
      <c r="QYE59" s="69"/>
      <c r="QYF59" s="69"/>
      <c r="QYG59" s="69"/>
      <c r="QYH59" s="69"/>
      <c r="QYI59" s="69"/>
      <c r="QYJ59" s="69"/>
      <c r="QYK59" s="69"/>
      <c r="QYL59" s="69"/>
      <c r="QYM59" s="69"/>
      <c r="QYN59" s="69"/>
      <c r="QYO59" s="69"/>
      <c r="QYP59" s="69"/>
      <c r="QYQ59" s="69"/>
      <c r="QYR59" s="69"/>
      <c r="QYS59" s="69" t="s">
        <v>116</v>
      </c>
      <c r="QYT59" s="69"/>
      <c r="QYU59" s="69"/>
      <c r="QYV59" s="69"/>
      <c r="QYW59" s="69"/>
      <c r="QYX59" s="69"/>
      <c r="QYY59" s="69"/>
      <c r="QYZ59" s="69"/>
      <c r="QZA59" s="69"/>
      <c r="QZB59" s="69"/>
      <c r="QZC59" s="69"/>
      <c r="QZD59" s="69"/>
      <c r="QZE59" s="69"/>
      <c r="QZF59" s="69"/>
      <c r="QZG59" s="69"/>
      <c r="QZH59" s="69"/>
      <c r="QZI59" s="69"/>
      <c r="QZJ59" s="69"/>
      <c r="QZK59" s="69"/>
      <c r="QZL59" s="69"/>
      <c r="QZM59" s="69"/>
      <c r="QZN59" s="69"/>
      <c r="QZO59" s="69"/>
      <c r="QZP59" s="69"/>
      <c r="QZQ59" s="69"/>
      <c r="QZR59" s="69"/>
      <c r="QZS59" s="69"/>
      <c r="QZT59" s="69"/>
      <c r="QZU59" s="69"/>
      <c r="QZV59" s="69"/>
      <c r="QZW59" s="69"/>
      <c r="QZX59" s="69"/>
      <c r="QZY59" s="69" t="s">
        <v>116</v>
      </c>
      <c r="QZZ59" s="69"/>
      <c r="RAA59" s="69"/>
      <c r="RAB59" s="69"/>
      <c r="RAC59" s="69"/>
      <c r="RAD59" s="69"/>
      <c r="RAE59" s="69"/>
      <c r="RAF59" s="69"/>
      <c r="RAG59" s="69"/>
      <c r="RAH59" s="69"/>
      <c r="RAI59" s="69"/>
      <c r="RAJ59" s="69"/>
      <c r="RAK59" s="69"/>
      <c r="RAL59" s="69"/>
      <c r="RAM59" s="69"/>
      <c r="RAN59" s="69"/>
      <c r="RAO59" s="69"/>
      <c r="RAP59" s="69"/>
      <c r="RAQ59" s="69"/>
      <c r="RAR59" s="69"/>
      <c r="RAS59" s="69"/>
      <c r="RAT59" s="69"/>
      <c r="RAU59" s="69"/>
      <c r="RAV59" s="69"/>
      <c r="RAW59" s="69"/>
      <c r="RAX59" s="69"/>
      <c r="RAY59" s="69"/>
      <c r="RAZ59" s="69"/>
      <c r="RBA59" s="69"/>
      <c r="RBB59" s="69"/>
      <c r="RBC59" s="69"/>
      <c r="RBD59" s="69"/>
      <c r="RBE59" s="69" t="s">
        <v>116</v>
      </c>
      <c r="RBF59" s="69"/>
      <c r="RBG59" s="69"/>
      <c r="RBH59" s="69"/>
      <c r="RBI59" s="69"/>
      <c r="RBJ59" s="69"/>
      <c r="RBK59" s="69"/>
      <c r="RBL59" s="69"/>
      <c r="RBM59" s="69"/>
      <c r="RBN59" s="69"/>
      <c r="RBO59" s="69"/>
      <c r="RBP59" s="69"/>
      <c r="RBQ59" s="69"/>
      <c r="RBR59" s="69"/>
      <c r="RBS59" s="69"/>
      <c r="RBT59" s="69"/>
      <c r="RBU59" s="69"/>
      <c r="RBV59" s="69"/>
      <c r="RBW59" s="69"/>
      <c r="RBX59" s="69"/>
      <c r="RBY59" s="69"/>
      <c r="RBZ59" s="69"/>
      <c r="RCA59" s="69"/>
      <c r="RCB59" s="69"/>
      <c r="RCC59" s="69"/>
      <c r="RCD59" s="69"/>
      <c r="RCE59" s="69"/>
      <c r="RCF59" s="69"/>
      <c r="RCG59" s="69"/>
      <c r="RCH59" s="69"/>
      <c r="RCI59" s="69"/>
      <c r="RCJ59" s="69"/>
      <c r="RCK59" s="69" t="s">
        <v>116</v>
      </c>
      <c r="RCL59" s="69"/>
      <c r="RCM59" s="69"/>
      <c r="RCN59" s="69"/>
      <c r="RCO59" s="69"/>
      <c r="RCP59" s="69"/>
      <c r="RCQ59" s="69"/>
      <c r="RCR59" s="69"/>
      <c r="RCS59" s="69"/>
      <c r="RCT59" s="69"/>
      <c r="RCU59" s="69"/>
      <c r="RCV59" s="69"/>
      <c r="RCW59" s="69"/>
      <c r="RCX59" s="69"/>
      <c r="RCY59" s="69"/>
      <c r="RCZ59" s="69"/>
      <c r="RDA59" s="69"/>
      <c r="RDB59" s="69"/>
      <c r="RDC59" s="69"/>
      <c r="RDD59" s="69"/>
      <c r="RDE59" s="69"/>
      <c r="RDF59" s="69"/>
      <c r="RDG59" s="69"/>
      <c r="RDH59" s="69"/>
      <c r="RDI59" s="69"/>
      <c r="RDJ59" s="69"/>
      <c r="RDK59" s="69"/>
      <c r="RDL59" s="69"/>
      <c r="RDM59" s="69"/>
      <c r="RDN59" s="69"/>
      <c r="RDO59" s="69"/>
      <c r="RDP59" s="69"/>
      <c r="RDQ59" s="69" t="s">
        <v>116</v>
      </c>
      <c r="RDR59" s="69"/>
      <c r="RDS59" s="69"/>
      <c r="RDT59" s="69"/>
      <c r="RDU59" s="69"/>
      <c r="RDV59" s="69"/>
      <c r="RDW59" s="69"/>
      <c r="RDX59" s="69"/>
      <c r="RDY59" s="69"/>
      <c r="RDZ59" s="69"/>
      <c r="REA59" s="69"/>
      <c r="REB59" s="69"/>
      <c r="REC59" s="69"/>
      <c r="RED59" s="69"/>
      <c r="REE59" s="69"/>
      <c r="REF59" s="69"/>
      <c r="REG59" s="69"/>
      <c r="REH59" s="69"/>
      <c r="REI59" s="69"/>
      <c r="REJ59" s="69"/>
      <c r="REK59" s="69"/>
      <c r="REL59" s="69"/>
      <c r="REM59" s="69"/>
      <c r="REN59" s="69"/>
      <c r="REO59" s="69"/>
      <c r="REP59" s="69"/>
      <c r="REQ59" s="69"/>
      <c r="RER59" s="69"/>
      <c r="RES59" s="69"/>
      <c r="RET59" s="69"/>
      <c r="REU59" s="69"/>
      <c r="REV59" s="69"/>
      <c r="REW59" s="69" t="s">
        <v>116</v>
      </c>
      <c r="REX59" s="69"/>
      <c r="REY59" s="69"/>
      <c r="REZ59" s="69"/>
      <c r="RFA59" s="69"/>
      <c r="RFB59" s="69"/>
      <c r="RFC59" s="69"/>
      <c r="RFD59" s="69"/>
      <c r="RFE59" s="69"/>
      <c r="RFF59" s="69"/>
      <c r="RFG59" s="69"/>
      <c r="RFH59" s="69"/>
      <c r="RFI59" s="69"/>
      <c r="RFJ59" s="69"/>
      <c r="RFK59" s="69"/>
      <c r="RFL59" s="69"/>
      <c r="RFM59" s="69"/>
      <c r="RFN59" s="69"/>
      <c r="RFO59" s="69"/>
      <c r="RFP59" s="69"/>
      <c r="RFQ59" s="69"/>
      <c r="RFR59" s="69"/>
      <c r="RFS59" s="69"/>
      <c r="RFT59" s="69"/>
      <c r="RFU59" s="69"/>
      <c r="RFV59" s="69"/>
      <c r="RFW59" s="69"/>
      <c r="RFX59" s="69"/>
      <c r="RFY59" s="69"/>
      <c r="RFZ59" s="69"/>
      <c r="RGA59" s="69"/>
      <c r="RGB59" s="69"/>
      <c r="RGC59" s="69" t="s">
        <v>116</v>
      </c>
      <c r="RGD59" s="69"/>
      <c r="RGE59" s="69"/>
      <c r="RGF59" s="69"/>
      <c r="RGG59" s="69"/>
      <c r="RGH59" s="69"/>
      <c r="RGI59" s="69"/>
      <c r="RGJ59" s="69"/>
      <c r="RGK59" s="69"/>
      <c r="RGL59" s="69"/>
      <c r="RGM59" s="69"/>
      <c r="RGN59" s="69"/>
      <c r="RGO59" s="69"/>
      <c r="RGP59" s="69"/>
      <c r="RGQ59" s="69"/>
      <c r="RGR59" s="69"/>
      <c r="RGS59" s="69"/>
      <c r="RGT59" s="69"/>
      <c r="RGU59" s="69"/>
      <c r="RGV59" s="69"/>
      <c r="RGW59" s="69"/>
      <c r="RGX59" s="69"/>
      <c r="RGY59" s="69"/>
      <c r="RGZ59" s="69"/>
      <c r="RHA59" s="69"/>
      <c r="RHB59" s="69"/>
      <c r="RHC59" s="69"/>
      <c r="RHD59" s="69"/>
      <c r="RHE59" s="69"/>
      <c r="RHF59" s="69"/>
      <c r="RHG59" s="69"/>
      <c r="RHH59" s="69"/>
      <c r="RHI59" s="69" t="s">
        <v>116</v>
      </c>
      <c r="RHJ59" s="69"/>
      <c r="RHK59" s="69"/>
      <c r="RHL59" s="69"/>
      <c r="RHM59" s="69"/>
      <c r="RHN59" s="69"/>
      <c r="RHO59" s="69"/>
      <c r="RHP59" s="69"/>
      <c r="RHQ59" s="69"/>
      <c r="RHR59" s="69"/>
      <c r="RHS59" s="69"/>
      <c r="RHT59" s="69"/>
      <c r="RHU59" s="69"/>
      <c r="RHV59" s="69"/>
      <c r="RHW59" s="69"/>
      <c r="RHX59" s="69"/>
      <c r="RHY59" s="69"/>
      <c r="RHZ59" s="69"/>
      <c r="RIA59" s="69"/>
      <c r="RIB59" s="69"/>
      <c r="RIC59" s="69"/>
      <c r="RID59" s="69"/>
      <c r="RIE59" s="69"/>
      <c r="RIF59" s="69"/>
      <c r="RIG59" s="69"/>
      <c r="RIH59" s="69"/>
      <c r="RII59" s="69"/>
      <c r="RIJ59" s="69"/>
      <c r="RIK59" s="69"/>
      <c r="RIL59" s="69"/>
      <c r="RIM59" s="69"/>
      <c r="RIN59" s="69"/>
      <c r="RIO59" s="69" t="s">
        <v>116</v>
      </c>
      <c r="RIP59" s="69"/>
      <c r="RIQ59" s="69"/>
      <c r="RIR59" s="69"/>
      <c r="RIS59" s="69"/>
      <c r="RIT59" s="69"/>
      <c r="RIU59" s="69"/>
      <c r="RIV59" s="69"/>
      <c r="RIW59" s="69"/>
      <c r="RIX59" s="69"/>
      <c r="RIY59" s="69"/>
      <c r="RIZ59" s="69"/>
      <c r="RJA59" s="69"/>
      <c r="RJB59" s="69"/>
      <c r="RJC59" s="69"/>
      <c r="RJD59" s="69"/>
      <c r="RJE59" s="69"/>
      <c r="RJF59" s="69"/>
      <c r="RJG59" s="69"/>
      <c r="RJH59" s="69"/>
      <c r="RJI59" s="69"/>
      <c r="RJJ59" s="69"/>
      <c r="RJK59" s="69"/>
      <c r="RJL59" s="69"/>
      <c r="RJM59" s="69"/>
      <c r="RJN59" s="69"/>
      <c r="RJO59" s="69"/>
      <c r="RJP59" s="69"/>
      <c r="RJQ59" s="69"/>
      <c r="RJR59" s="69"/>
      <c r="RJS59" s="69"/>
      <c r="RJT59" s="69"/>
      <c r="RJU59" s="69" t="s">
        <v>116</v>
      </c>
      <c r="RJV59" s="69"/>
      <c r="RJW59" s="69"/>
      <c r="RJX59" s="69"/>
      <c r="RJY59" s="69"/>
      <c r="RJZ59" s="69"/>
      <c r="RKA59" s="69"/>
      <c r="RKB59" s="69"/>
      <c r="RKC59" s="69"/>
      <c r="RKD59" s="69"/>
      <c r="RKE59" s="69"/>
      <c r="RKF59" s="69"/>
      <c r="RKG59" s="69"/>
      <c r="RKH59" s="69"/>
      <c r="RKI59" s="69"/>
      <c r="RKJ59" s="69"/>
      <c r="RKK59" s="69"/>
      <c r="RKL59" s="69"/>
      <c r="RKM59" s="69"/>
      <c r="RKN59" s="69"/>
      <c r="RKO59" s="69"/>
      <c r="RKP59" s="69"/>
      <c r="RKQ59" s="69"/>
      <c r="RKR59" s="69"/>
      <c r="RKS59" s="69"/>
      <c r="RKT59" s="69"/>
      <c r="RKU59" s="69"/>
      <c r="RKV59" s="69"/>
      <c r="RKW59" s="69"/>
      <c r="RKX59" s="69"/>
      <c r="RKY59" s="69"/>
      <c r="RKZ59" s="69"/>
      <c r="RLA59" s="69" t="s">
        <v>116</v>
      </c>
      <c r="RLB59" s="69"/>
      <c r="RLC59" s="69"/>
      <c r="RLD59" s="69"/>
      <c r="RLE59" s="69"/>
      <c r="RLF59" s="69"/>
      <c r="RLG59" s="69"/>
      <c r="RLH59" s="69"/>
      <c r="RLI59" s="69"/>
      <c r="RLJ59" s="69"/>
      <c r="RLK59" s="69"/>
      <c r="RLL59" s="69"/>
      <c r="RLM59" s="69"/>
      <c r="RLN59" s="69"/>
      <c r="RLO59" s="69"/>
      <c r="RLP59" s="69"/>
      <c r="RLQ59" s="69"/>
      <c r="RLR59" s="69"/>
      <c r="RLS59" s="69"/>
      <c r="RLT59" s="69"/>
      <c r="RLU59" s="69"/>
      <c r="RLV59" s="69"/>
      <c r="RLW59" s="69"/>
      <c r="RLX59" s="69"/>
      <c r="RLY59" s="69"/>
      <c r="RLZ59" s="69"/>
      <c r="RMA59" s="69"/>
      <c r="RMB59" s="69"/>
      <c r="RMC59" s="69"/>
      <c r="RMD59" s="69"/>
      <c r="RME59" s="69"/>
      <c r="RMF59" s="69"/>
      <c r="RMG59" s="69" t="s">
        <v>116</v>
      </c>
      <c r="RMH59" s="69"/>
      <c r="RMI59" s="69"/>
      <c r="RMJ59" s="69"/>
      <c r="RMK59" s="69"/>
      <c r="RML59" s="69"/>
      <c r="RMM59" s="69"/>
      <c r="RMN59" s="69"/>
      <c r="RMO59" s="69"/>
      <c r="RMP59" s="69"/>
      <c r="RMQ59" s="69"/>
      <c r="RMR59" s="69"/>
      <c r="RMS59" s="69"/>
      <c r="RMT59" s="69"/>
      <c r="RMU59" s="69"/>
      <c r="RMV59" s="69"/>
      <c r="RMW59" s="69"/>
      <c r="RMX59" s="69"/>
      <c r="RMY59" s="69"/>
      <c r="RMZ59" s="69"/>
      <c r="RNA59" s="69"/>
      <c r="RNB59" s="69"/>
      <c r="RNC59" s="69"/>
      <c r="RND59" s="69"/>
      <c r="RNE59" s="69"/>
      <c r="RNF59" s="69"/>
      <c r="RNG59" s="69"/>
      <c r="RNH59" s="69"/>
      <c r="RNI59" s="69"/>
      <c r="RNJ59" s="69"/>
      <c r="RNK59" s="69"/>
      <c r="RNL59" s="69"/>
      <c r="RNM59" s="69" t="s">
        <v>116</v>
      </c>
      <c r="RNN59" s="69"/>
      <c r="RNO59" s="69"/>
      <c r="RNP59" s="69"/>
      <c r="RNQ59" s="69"/>
      <c r="RNR59" s="69"/>
      <c r="RNS59" s="69"/>
      <c r="RNT59" s="69"/>
      <c r="RNU59" s="69"/>
      <c r="RNV59" s="69"/>
      <c r="RNW59" s="69"/>
      <c r="RNX59" s="69"/>
      <c r="RNY59" s="69"/>
      <c r="RNZ59" s="69"/>
      <c r="ROA59" s="69"/>
      <c r="ROB59" s="69"/>
      <c r="ROC59" s="69"/>
      <c r="ROD59" s="69"/>
      <c r="ROE59" s="69"/>
      <c r="ROF59" s="69"/>
      <c r="ROG59" s="69"/>
      <c r="ROH59" s="69"/>
      <c r="ROI59" s="69"/>
      <c r="ROJ59" s="69"/>
      <c r="ROK59" s="69"/>
      <c r="ROL59" s="69"/>
      <c r="ROM59" s="69"/>
      <c r="RON59" s="69"/>
      <c r="ROO59" s="69"/>
      <c r="ROP59" s="69"/>
      <c r="ROQ59" s="69"/>
      <c r="ROR59" s="69"/>
      <c r="ROS59" s="69" t="s">
        <v>116</v>
      </c>
      <c r="ROT59" s="69"/>
      <c r="ROU59" s="69"/>
      <c r="ROV59" s="69"/>
      <c r="ROW59" s="69"/>
      <c r="ROX59" s="69"/>
      <c r="ROY59" s="69"/>
      <c r="ROZ59" s="69"/>
      <c r="RPA59" s="69"/>
      <c r="RPB59" s="69"/>
      <c r="RPC59" s="69"/>
      <c r="RPD59" s="69"/>
      <c r="RPE59" s="69"/>
      <c r="RPF59" s="69"/>
      <c r="RPG59" s="69"/>
      <c r="RPH59" s="69"/>
      <c r="RPI59" s="69"/>
      <c r="RPJ59" s="69"/>
      <c r="RPK59" s="69"/>
      <c r="RPL59" s="69"/>
      <c r="RPM59" s="69"/>
      <c r="RPN59" s="69"/>
      <c r="RPO59" s="69"/>
      <c r="RPP59" s="69"/>
      <c r="RPQ59" s="69"/>
      <c r="RPR59" s="69"/>
      <c r="RPS59" s="69"/>
      <c r="RPT59" s="69"/>
      <c r="RPU59" s="69"/>
      <c r="RPV59" s="69"/>
      <c r="RPW59" s="69"/>
      <c r="RPX59" s="69"/>
      <c r="RPY59" s="69" t="s">
        <v>116</v>
      </c>
      <c r="RPZ59" s="69"/>
      <c r="RQA59" s="69"/>
      <c r="RQB59" s="69"/>
      <c r="RQC59" s="69"/>
      <c r="RQD59" s="69"/>
      <c r="RQE59" s="69"/>
      <c r="RQF59" s="69"/>
      <c r="RQG59" s="69"/>
      <c r="RQH59" s="69"/>
      <c r="RQI59" s="69"/>
      <c r="RQJ59" s="69"/>
      <c r="RQK59" s="69"/>
      <c r="RQL59" s="69"/>
      <c r="RQM59" s="69"/>
      <c r="RQN59" s="69"/>
      <c r="RQO59" s="69"/>
      <c r="RQP59" s="69"/>
      <c r="RQQ59" s="69"/>
      <c r="RQR59" s="69"/>
      <c r="RQS59" s="69"/>
      <c r="RQT59" s="69"/>
      <c r="RQU59" s="69"/>
      <c r="RQV59" s="69"/>
      <c r="RQW59" s="69"/>
      <c r="RQX59" s="69"/>
      <c r="RQY59" s="69"/>
      <c r="RQZ59" s="69"/>
      <c r="RRA59" s="69"/>
      <c r="RRB59" s="69"/>
      <c r="RRC59" s="69"/>
      <c r="RRD59" s="69"/>
      <c r="RRE59" s="69" t="s">
        <v>116</v>
      </c>
      <c r="RRF59" s="69"/>
      <c r="RRG59" s="69"/>
      <c r="RRH59" s="69"/>
      <c r="RRI59" s="69"/>
      <c r="RRJ59" s="69"/>
      <c r="RRK59" s="69"/>
      <c r="RRL59" s="69"/>
      <c r="RRM59" s="69"/>
      <c r="RRN59" s="69"/>
      <c r="RRO59" s="69"/>
      <c r="RRP59" s="69"/>
      <c r="RRQ59" s="69"/>
      <c r="RRR59" s="69"/>
      <c r="RRS59" s="69"/>
      <c r="RRT59" s="69"/>
      <c r="RRU59" s="69"/>
      <c r="RRV59" s="69"/>
      <c r="RRW59" s="69"/>
      <c r="RRX59" s="69"/>
      <c r="RRY59" s="69"/>
      <c r="RRZ59" s="69"/>
      <c r="RSA59" s="69"/>
      <c r="RSB59" s="69"/>
      <c r="RSC59" s="69"/>
      <c r="RSD59" s="69"/>
      <c r="RSE59" s="69"/>
      <c r="RSF59" s="69"/>
      <c r="RSG59" s="69"/>
      <c r="RSH59" s="69"/>
      <c r="RSI59" s="69"/>
      <c r="RSJ59" s="69"/>
      <c r="RSK59" s="69" t="s">
        <v>116</v>
      </c>
      <c r="RSL59" s="69"/>
      <c r="RSM59" s="69"/>
      <c r="RSN59" s="69"/>
      <c r="RSO59" s="69"/>
      <c r="RSP59" s="69"/>
      <c r="RSQ59" s="69"/>
      <c r="RSR59" s="69"/>
      <c r="RSS59" s="69"/>
      <c r="RST59" s="69"/>
      <c r="RSU59" s="69"/>
      <c r="RSV59" s="69"/>
      <c r="RSW59" s="69"/>
      <c r="RSX59" s="69"/>
      <c r="RSY59" s="69"/>
      <c r="RSZ59" s="69"/>
      <c r="RTA59" s="69"/>
      <c r="RTB59" s="69"/>
      <c r="RTC59" s="69"/>
      <c r="RTD59" s="69"/>
      <c r="RTE59" s="69"/>
      <c r="RTF59" s="69"/>
      <c r="RTG59" s="69"/>
      <c r="RTH59" s="69"/>
      <c r="RTI59" s="69"/>
      <c r="RTJ59" s="69"/>
      <c r="RTK59" s="69"/>
      <c r="RTL59" s="69"/>
      <c r="RTM59" s="69"/>
      <c r="RTN59" s="69"/>
      <c r="RTO59" s="69"/>
      <c r="RTP59" s="69"/>
      <c r="RTQ59" s="69" t="s">
        <v>116</v>
      </c>
      <c r="RTR59" s="69"/>
      <c r="RTS59" s="69"/>
      <c r="RTT59" s="69"/>
      <c r="RTU59" s="69"/>
      <c r="RTV59" s="69"/>
      <c r="RTW59" s="69"/>
      <c r="RTX59" s="69"/>
      <c r="RTY59" s="69"/>
      <c r="RTZ59" s="69"/>
      <c r="RUA59" s="69"/>
      <c r="RUB59" s="69"/>
      <c r="RUC59" s="69"/>
      <c r="RUD59" s="69"/>
      <c r="RUE59" s="69"/>
      <c r="RUF59" s="69"/>
      <c r="RUG59" s="69"/>
      <c r="RUH59" s="69"/>
      <c r="RUI59" s="69"/>
      <c r="RUJ59" s="69"/>
      <c r="RUK59" s="69"/>
      <c r="RUL59" s="69"/>
      <c r="RUM59" s="69"/>
      <c r="RUN59" s="69"/>
      <c r="RUO59" s="69"/>
      <c r="RUP59" s="69"/>
      <c r="RUQ59" s="69"/>
      <c r="RUR59" s="69"/>
      <c r="RUS59" s="69"/>
      <c r="RUT59" s="69"/>
      <c r="RUU59" s="69"/>
      <c r="RUV59" s="69"/>
      <c r="RUW59" s="69" t="s">
        <v>116</v>
      </c>
      <c r="RUX59" s="69"/>
      <c r="RUY59" s="69"/>
      <c r="RUZ59" s="69"/>
      <c r="RVA59" s="69"/>
      <c r="RVB59" s="69"/>
      <c r="RVC59" s="69"/>
      <c r="RVD59" s="69"/>
      <c r="RVE59" s="69"/>
      <c r="RVF59" s="69"/>
      <c r="RVG59" s="69"/>
      <c r="RVH59" s="69"/>
      <c r="RVI59" s="69"/>
      <c r="RVJ59" s="69"/>
      <c r="RVK59" s="69"/>
      <c r="RVL59" s="69"/>
      <c r="RVM59" s="69"/>
      <c r="RVN59" s="69"/>
      <c r="RVO59" s="69"/>
      <c r="RVP59" s="69"/>
      <c r="RVQ59" s="69"/>
      <c r="RVR59" s="69"/>
      <c r="RVS59" s="69"/>
      <c r="RVT59" s="69"/>
      <c r="RVU59" s="69"/>
      <c r="RVV59" s="69"/>
      <c r="RVW59" s="69"/>
      <c r="RVX59" s="69"/>
      <c r="RVY59" s="69"/>
      <c r="RVZ59" s="69"/>
      <c r="RWA59" s="69"/>
      <c r="RWB59" s="69"/>
      <c r="RWC59" s="69" t="s">
        <v>116</v>
      </c>
      <c r="RWD59" s="69"/>
      <c r="RWE59" s="69"/>
      <c r="RWF59" s="69"/>
      <c r="RWG59" s="69"/>
      <c r="RWH59" s="69"/>
      <c r="RWI59" s="69"/>
      <c r="RWJ59" s="69"/>
      <c r="RWK59" s="69"/>
      <c r="RWL59" s="69"/>
      <c r="RWM59" s="69"/>
      <c r="RWN59" s="69"/>
      <c r="RWO59" s="69"/>
      <c r="RWP59" s="69"/>
      <c r="RWQ59" s="69"/>
      <c r="RWR59" s="69"/>
      <c r="RWS59" s="69"/>
      <c r="RWT59" s="69"/>
      <c r="RWU59" s="69"/>
      <c r="RWV59" s="69"/>
      <c r="RWW59" s="69"/>
      <c r="RWX59" s="69"/>
      <c r="RWY59" s="69"/>
      <c r="RWZ59" s="69"/>
      <c r="RXA59" s="69"/>
      <c r="RXB59" s="69"/>
      <c r="RXC59" s="69"/>
      <c r="RXD59" s="69"/>
      <c r="RXE59" s="69"/>
      <c r="RXF59" s="69"/>
      <c r="RXG59" s="69"/>
      <c r="RXH59" s="69"/>
      <c r="RXI59" s="69" t="s">
        <v>116</v>
      </c>
      <c r="RXJ59" s="69"/>
      <c r="RXK59" s="69"/>
      <c r="RXL59" s="69"/>
      <c r="RXM59" s="69"/>
      <c r="RXN59" s="69"/>
      <c r="RXO59" s="69"/>
      <c r="RXP59" s="69"/>
      <c r="RXQ59" s="69"/>
      <c r="RXR59" s="69"/>
      <c r="RXS59" s="69"/>
      <c r="RXT59" s="69"/>
      <c r="RXU59" s="69"/>
      <c r="RXV59" s="69"/>
      <c r="RXW59" s="69"/>
      <c r="RXX59" s="69"/>
      <c r="RXY59" s="69"/>
      <c r="RXZ59" s="69"/>
      <c r="RYA59" s="69"/>
      <c r="RYB59" s="69"/>
      <c r="RYC59" s="69"/>
      <c r="RYD59" s="69"/>
      <c r="RYE59" s="69"/>
      <c r="RYF59" s="69"/>
      <c r="RYG59" s="69"/>
      <c r="RYH59" s="69"/>
      <c r="RYI59" s="69"/>
      <c r="RYJ59" s="69"/>
      <c r="RYK59" s="69"/>
      <c r="RYL59" s="69"/>
      <c r="RYM59" s="69"/>
      <c r="RYN59" s="69"/>
      <c r="RYO59" s="69" t="s">
        <v>116</v>
      </c>
      <c r="RYP59" s="69"/>
      <c r="RYQ59" s="69"/>
      <c r="RYR59" s="69"/>
      <c r="RYS59" s="69"/>
      <c r="RYT59" s="69"/>
      <c r="RYU59" s="69"/>
      <c r="RYV59" s="69"/>
      <c r="RYW59" s="69"/>
      <c r="RYX59" s="69"/>
      <c r="RYY59" s="69"/>
      <c r="RYZ59" s="69"/>
      <c r="RZA59" s="69"/>
      <c r="RZB59" s="69"/>
      <c r="RZC59" s="69"/>
      <c r="RZD59" s="69"/>
      <c r="RZE59" s="69"/>
      <c r="RZF59" s="69"/>
      <c r="RZG59" s="69"/>
      <c r="RZH59" s="69"/>
      <c r="RZI59" s="69"/>
      <c r="RZJ59" s="69"/>
      <c r="RZK59" s="69"/>
      <c r="RZL59" s="69"/>
      <c r="RZM59" s="69"/>
      <c r="RZN59" s="69"/>
      <c r="RZO59" s="69"/>
      <c r="RZP59" s="69"/>
      <c r="RZQ59" s="69"/>
      <c r="RZR59" s="69"/>
      <c r="RZS59" s="69"/>
      <c r="RZT59" s="69"/>
      <c r="RZU59" s="69" t="s">
        <v>116</v>
      </c>
      <c r="RZV59" s="69"/>
      <c r="RZW59" s="69"/>
      <c r="RZX59" s="69"/>
      <c r="RZY59" s="69"/>
      <c r="RZZ59" s="69"/>
      <c r="SAA59" s="69"/>
      <c r="SAB59" s="69"/>
      <c r="SAC59" s="69"/>
      <c r="SAD59" s="69"/>
      <c r="SAE59" s="69"/>
      <c r="SAF59" s="69"/>
      <c r="SAG59" s="69"/>
      <c r="SAH59" s="69"/>
      <c r="SAI59" s="69"/>
      <c r="SAJ59" s="69"/>
      <c r="SAK59" s="69"/>
      <c r="SAL59" s="69"/>
      <c r="SAM59" s="69"/>
      <c r="SAN59" s="69"/>
      <c r="SAO59" s="69"/>
      <c r="SAP59" s="69"/>
      <c r="SAQ59" s="69"/>
      <c r="SAR59" s="69"/>
      <c r="SAS59" s="69"/>
      <c r="SAT59" s="69"/>
      <c r="SAU59" s="69"/>
      <c r="SAV59" s="69"/>
      <c r="SAW59" s="69"/>
      <c r="SAX59" s="69"/>
      <c r="SAY59" s="69"/>
      <c r="SAZ59" s="69"/>
      <c r="SBA59" s="69" t="s">
        <v>116</v>
      </c>
      <c r="SBB59" s="69"/>
      <c r="SBC59" s="69"/>
      <c r="SBD59" s="69"/>
      <c r="SBE59" s="69"/>
      <c r="SBF59" s="69"/>
      <c r="SBG59" s="69"/>
      <c r="SBH59" s="69"/>
      <c r="SBI59" s="69"/>
      <c r="SBJ59" s="69"/>
      <c r="SBK59" s="69"/>
      <c r="SBL59" s="69"/>
      <c r="SBM59" s="69"/>
      <c r="SBN59" s="69"/>
      <c r="SBO59" s="69"/>
      <c r="SBP59" s="69"/>
      <c r="SBQ59" s="69"/>
      <c r="SBR59" s="69"/>
      <c r="SBS59" s="69"/>
      <c r="SBT59" s="69"/>
      <c r="SBU59" s="69"/>
      <c r="SBV59" s="69"/>
      <c r="SBW59" s="69"/>
      <c r="SBX59" s="69"/>
      <c r="SBY59" s="69"/>
      <c r="SBZ59" s="69"/>
      <c r="SCA59" s="69"/>
      <c r="SCB59" s="69"/>
      <c r="SCC59" s="69"/>
      <c r="SCD59" s="69"/>
      <c r="SCE59" s="69"/>
      <c r="SCF59" s="69"/>
      <c r="SCG59" s="69" t="s">
        <v>116</v>
      </c>
      <c r="SCH59" s="69"/>
      <c r="SCI59" s="69"/>
      <c r="SCJ59" s="69"/>
      <c r="SCK59" s="69"/>
      <c r="SCL59" s="69"/>
      <c r="SCM59" s="69"/>
      <c r="SCN59" s="69"/>
      <c r="SCO59" s="69"/>
      <c r="SCP59" s="69"/>
      <c r="SCQ59" s="69"/>
      <c r="SCR59" s="69"/>
      <c r="SCS59" s="69"/>
      <c r="SCT59" s="69"/>
      <c r="SCU59" s="69"/>
      <c r="SCV59" s="69"/>
      <c r="SCW59" s="69"/>
      <c r="SCX59" s="69"/>
      <c r="SCY59" s="69"/>
      <c r="SCZ59" s="69"/>
      <c r="SDA59" s="69"/>
      <c r="SDB59" s="69"/>
      <c r="SDC59" s="69"/>
      <c r="SDD59" s="69"/>
      <c r="SDE59" s="69"/>
      <c r="SDF59" s="69"/>
      <c r="SDG59" s="69"/>
      <c r="SDH59" s="69"/>
      <c r="SDI59" s="69"/>
      <c r="SDJ59" s="69"/>
      <c r="SDK59" s="69"/>
      <c r="SDL59" s="69"/>
      <c r="SDM59" s="69" t="s">
        <v>116</v>
      </c>
      <c r="SDN59" s="69"/>
      <c r="SDO59" s="69"/>
      <c r="SDP59" s="69"/>
      <c r="SDQ59" s="69"/>
      <c r="SDR59" s="69"/>
      <c r="SDS59" s="69"/>
      <c r="SDT59" s="69"/>
      <c r="SDU59" s="69"/>
      <c r="SDV59" s="69"/>
      <c r="SDW59" s="69"/>
      <c r="SDX59" s="69"/>
      <c r="SDY59" s="69"/>
      <c r="SDZ59" s="69"/>
      <c r="SEA59" s="69"/>
      <c r="SEB59" s="69"/>
      <c r="SEC59" s="69"/>
      <c r="SED59" s="69"/>
      <c r="SEE59" s="69"/>
      <c r="SEF59" s="69"/>
      <c r="SEG59" s="69"/>
      <c r="SEH59" s="69"/>
      <c r="SEI59" s="69"/>
      <c r="SEJ59" s="69"/>
      <c r="SEK59" s="69"/>
      <c r="SEL59" s="69"/>
      <c r="SEM59" s="69"/>
      <c r="SEN59" s="69"/>
      <c r="SEO59" s="69"/>
      <c r="SEP59" s="69"/>
      <c r="SEQ59" s="69"/>
      <c r="SER59" s="69"/>
      <c r="SES59" s="69" t="s">
        <v>116</v>
      </c>
      <c r="SET59" s="69"/>
      <c r="SEU59" s="69"/>
      <c r="SEV59" s="69"/>
      <c r="SEW59" s="69"/>
      <c r="SEX59" s="69"/>
      <c r="SEY59" s="69"/>
      <c r="SEZ59" s="69"/>
      <c r="SFA59" s="69"/>
      <c r="SFB59" s="69"/>
      <c r="SFC59" s="69"/>
      <c r="SFD59" s="69"/>
      <c r="SFE59" s="69"/>
      <c r="SFF59" s="69"/>
      <c r="SFG59" s="69"/>
      <c r="SFH59" s="69"/>
      <c r="SFI59" s="69"/>
      <c r="SFJ59" s="69"/>
      <c r="SFK59" s="69"/>
      <c r="SFL59" s="69"/>
      <c r="SFM59" s="69"/>
      <c r="SFN59" s="69"/>
      <c r="SFO59" s="69"/>
      <c r="SFP59" s="69"/>
      <c r="SFQ59" s="69"/>
      <c r="SFR59" s="69"/>
      <c r="SFS59" s="69"/>
      <c r="SFT59" s="69"/>
      <c r="SFU59" s="69"/>
      <c r="SFV59" s="69"/>
      <c r="SFW59" s="69"/>
      <c r="SFX59" s="69"/>
      <c r="SFY59" s="69" t="s">
        <v>116</v>
      </c>
      <c r="SFZ59" s="69"/>
      <c r="SGA59" s="69"/>
      <c r="SGB59" s="69"/>
      <c r="SGC59" s="69"/>
      <c r="SGD59" s="69"/>
      <c r="SGE59" s="69"/>
      <c r="SGF59" s="69"/>
      <c r="SGG59" s="69"/>
      <c r="SGH59" s="69"/>
      <c r="SGI59" s="69"/>
      <c r="SGJ59" s="69"/>
      <c r="SGK59" s="69"/>
      <c r="SGL59" s="69"/>
      <c r="SGM59" s="69"/>
      <c r="SGN59" s="69"/>
      <c r="SGO59" s="69"/>
      <c r="SGP59" s="69"/>
      <c r="SGQ59" s="69"/>
      <c r="SGR59" s="69"/>
      <c r="SGS59" s="69"/>
      <c r="SGT59" s="69"/>
      <c r="SGU59" s="69"/>
      <c r="SGV59" s="69"/>
      <c r="SGW59" s="69"/>
      <c r="SGX59" s="69"/>
      <c r="SGY59" s="69"/>
      <c r="SGZ59" s="69"/>
      <c r="SHA59" s="69"/>
      <c r="SHB59" s="69"/>
      <c r="SHC59" s="69"/>
      <c r="SHD59" s="69"/>
      <c r="SHE59" s="69" t="s">
        <v>116</v>
      </c>
      <c r="SHF59" s="69"/>
      <c r="SHG59" s="69"/>
      <c r="SHH59" s="69"/>
      <c r="SHI59" s="69"/>
      <c r="SHJ59" s="69"/>
      <c r="SHK59" s="69"/>
      <c r="SHL59" s="69"/>
      <c r="SHM59" s="69"/>
      <c r="SHN59" s="69"/>
      <c r="SHO59" s="69"/>
      <c r="SHP59" s="69"/>
      <c r="SHQ59" s="69"/>
      <c r="SHR59" s="69"/>
      <c r="SHS59" s="69"/>
      <c r="SHT59" s="69"/>
      <c r="SHU59" s="69"/>
      <c r="SHV59" s="69"/>
      <c r="SHW59" s="69"/>
      <c r="SHX59" s="69"/>
      <c r="SHY59" s="69"/>
      <c r="SHZ59" s="69"/>
      <c r="SIA59" s="69"/>
      <c r="SIB59" s="69"/>
      <c r="SIC59" s="69"/>
      <c r="SID59" s="69"/>
      <c r="SIE59" s="69"/>
      <c r="SIF59" s="69"/>
      <c r="SIG59" s="69"/>
      <c r="SIH59" s="69"/>
      <c r="SII59" s="69"/>
      <c r="SIJ59" s="69"/>
      <c r="SIK59" s="69" t="s">
        <v>116</v>
      </c>
      <c r="SIL59" s="69"/>
      <c r="SIM59" s="69"/>
      <c r="SIN59" s="69"/>
      <c r="SIO59" s="69"/>
      <c r="SIP59" s="69"/>
      <c r="SIQ59" s="69"/>
      <c r="SIR59" s="69"/>
      <c r="SIS59" s="69"/>
      <c r="SIT59" s="69"/>
      <c r="SIU59" s="69"/>
      <c r="SIV59" s="69"/>
      <c r="SIW59" s="69"/>
      <c r="SIX59" s="69"/>
      <c r="SIY59" s="69"/>
      <c r="SIZ59" s="69"/>
      <c r="SJA59" s="69"/>
      <c r="SJB59" s="69"/>
      <c r="SJC59" s="69"/>
      <c r="SJD59" s="69"/>
      <c r="SJE59" s="69"/>
      <c r="SJF59" s="69"/>
      <c r="SJG59" s="69"/>
      <c r="SJH59" s="69"/>
      <c r="SJI59" s="69"/>
      <c r="SJJ59" s="69"/>
      <c r="SJK59" s="69"/>
      <c r="SJL59" s="69"/>
      <c r="SJM59" s="69"/>
      <c r="SJN59" s="69"/>
      <c r="SJO59" s="69"/>
      <c r="SJP59" s="69"/>
      <c r="SJQ59" s="69" t="s">
        <v>116</v>
      </c>
      <c r="SJR59" s="69"/>
      <c r="SJS59" s="69"/>
      <c r="SJT59" s="69"/>
      <c r="SJU59" s="69"/>
      <c r="SJV59" s="69"/>
      <c r="SJW59" s="69"/>
      <c r="SJX59" s="69"/>
      <c r="SJY59" s="69"/>
      <c r="SJZ59" s="69"/>
      <c r="SKA59" s="69"/>
      <c r="SKB59" s="69"/>
      <c r="SKC59" s="69"/>
      <c r="SKD59" s="69"/>
      <c r="SKE59" s="69"/>
      <c r="SKF59" s="69"/>
      <c r="SKG59" s="69"/>
      <c r="SKH59" s="69"/>
      <c r="SKI59" s="69"/>
      <c r="SKJ59" s="69"/>
      <c r="SKK59" s="69"/>
      <c r="SKL59" s="69"/>
      <c r="SKM59" s="69"/>
      <c r="SKN59" s="69"/>
      <c r="SKO59" s="69"/>
      <c r="SKP59" s="69"/>
      <c r="SKQ59" s="69"/>
      <c r="SKR59" s="69"/>
      <c r="SKS59" s="69"/>
      <c r="SKT59" s="69"/>
      <c r="SKU59" s="69"/>
      <c r="SKV59" s="69"/>
      <c r="SKW59" s="69" t="s">
        <v>116</v>
      </c>
      <c r="SKX59" s="69"/>
      <c r="SKY59" s="69"/>
      <c r="SKZ59" s="69"/>
      <c r="SLA59" s="69"/>
      <c r="SLB59" s="69"/>
      <c r="SLC59" s="69"/>
      <c r="SLD59" s="69"/>
      <c r="SLE59" s="69"/>
      <c r="SLF59" s="69"/>
      <c r="SLG59" s="69"/>
      <c r="SLH59" s="69"/>
      <c r="SLI59" s="69"/>
      <c r="SLJ59" s="69"/>
      <c r="SLK59" s="69"/>
      <c r="SLL59" s="69"/>
      <c r="SLM59" s="69"/>
      <c r="SLN59" s="69"/>
      <c r="SLO59" s="69"/>
      <c r="SLP59" s="69"/>
      <c r="SLQ59" s="69"/>
      <c r="SLR59" s="69"/>
      <c r="SLS59" s="69"/>
      <c r="SLT59" s="69"/>
      <c r="SLU59" s="69"/>
      <c r="SLV59" s="69"/>
      <c r="SLW59" s="69"/>
      <c r="SLX59" s="69"/>
      <c r="SLY59" s="69"/>
      <c r="SLZ59" s="69"/>
      <c r="SMA59" s="69"/>
      <c r="SMB59" s="69"/>
      <c r="SMC59" s="69" t="s">
        <v>116</v>
      </c>
      <c r="SMD59" s="69"/>
      <c r="SME59" s="69"/>
      <c r="SMF59" s="69"/>
      <c r="SMG59" s="69"/>
      <c r="SMH59" s="69"/>
      <c r="SMI59" s="69"/>
      <c r="SMJ59" s="69"/>
      <c r="SMK59" s="69"/>
      <c r="SML59" s="69"/>
      <c r="SMM59" s="69"/>
      <c r="SMN59" s="69"/>
      <c r="SMO59" s="69"/>
      <c r="SMP59" s="69"/>
      <c r="SMQ59" s="69"/>
      <c r="SMR59" s="69"/>
      <c r="SMS59" s="69"/>
      <c r="SMT59" s="69"/>
      <c r="SMU59" s="69"/>
      <c r="SMV59" s="69"/>
      <c r="SMW59" s="69"/>
      <c r="SMX59" s="69"/>
      <c r="SMY59" s="69"/>
      <c r="SMZ59" s="69"/>
      <c r="SNA59" s="69"/>
      <c r="SNB59" s="69"/>
      <c r="SNC59" s="69"/>
      <c r="SND59" s="69"/>
      <c r="SNE59" s="69"/>
      <c r="SNF59" s="69"/>
      <c r="SNG59" s="69"/>
      <c r="SNH59" s="69"/>
      <c r="SNI59" s="69" t="s">
        <v>116</v>
      </c>
      <c r="SNJ59" s="69"/>
      <c r="SNK59" s="69"/>
      <c r="SNL59" s="69"/>
      <c r="SNM59" s="69"/>
      <c r="SNN59" s="69"/>
      <c r="SNO59" s="69"/>
      <c r="SNP59" s="69"/>
      <c r="SNQ59" s="69"/>
      <c r="SNR59" s="69"/>
      <c r="SNS59" s="69"/>
      <c r="SNT59" s="69"/>
      <c r="SNU59" s="69"/>
      <c r="SNV59" s="69"/>
      <c r="SNW59" s="69"/>
      <c r="SNX59" s="69"/>
      <c r="SNY59" s="69"/>
      <c r="SNZ59" s="69"/>
      <c r="SOA59" s="69"/>
      <c r="SOB59" s="69"/>
      <c r="SOC59" s="69"/>
      <c r="SOD59" s="69"/>
      <c r="SOE59" s="69"/>
      <c r="SOF59" s="69"/>
      <c r="SOG59" s="69"/>
      <c r="SOH59" s="69"/>
      <c r="SOI59" s="69"/>
      <c r="SOJ59" s="69"/>
      <c r="SOK59" s="69"/>
      <c r="SOL59" s="69"/>
      <c r="SOM59" s="69"/>
      <c r="SON59" s="69"/>
      <c r="SOO59" s="69" t="s">
        <v>116</v>
      </c>
      <c r="SOP59" s="69"/>
      <c r="SOQ59" s="69"/>
      <c r="SOR59" s="69"/>
      <c r="SOS59" s="69"/>
      <c r="SOT59" s="69"/>
      <c r="SOU59" s="69"/>
      <c r="SOV59" s="69"/>
      <c r="SOW59" s="69"/>
      <c r="SOX59" s="69"/>
      <c r="SOY59" s="69"/>
      <c r="SOZ59" s="69"/>
      <c r="SPA59" s="69"/>
      <c r="SPB59" s="69"/>
      <c r="SPC59" s="69"/>
      <c r="SPD59" s="69"/>
      <c r="SPE59" s="69"/>
      <c r="SPF59" s="69"/>
      <c r="SPG59" s="69"/>
      <c r="SPH59" s="69"/>
      <c r="SPI59" s="69"/>
      <c r="SPJ59" s="69"/>
      <c r="SPK59" s="69"/>
      <c r="SPL59" s="69"/>
      <c r="SPM59" s="69"/>
      <c r="SPN59" s="69"/>
      <c r="SPO59" s="69"/>
      <c r="SPP59" s="69"/>
      <c r="SPQ59" s="69"/>
      <c r="SPR59" s="69"/>
      <c r="SPS59" s="69"/>
      <c r="SPT59" s="69"/>
      <c r="SPU59" s="69" t="s">
        <v>116</v>
      </c>
      <c r="SPV59" s="69"/>
      <c r="SPW59" s="69"/>
      <c r="SPX59" s="69"/>
      <c r="SPY59" s="69"/>
      <c r="SPZ59" s="69"/>
      <c r="SQA59" s="69"/>
      <c r="SQB59" s="69"/>
      <c r="SQC59" s="69"/>
      <c r="SQD59" s="69"/>
      <c r="SQE59" s="69"/>
      <c r="SQF59" s="69"/>
      <c r="SQG59" s="69"/>
      <c r="SQH59" s="69"/>
      <c r="SQI59" s="69"/>
      <c r="SQJ59" s="69"/>
      <c r="SQK59" s="69"/>
      <c r="SQL59" s="69"/>
      <c r="SQM59" s="69"/>
      <c r="SQN59" s="69"/>
      <c r="SQO59" s="69"/>
      <c r="SQP59" s="69"/>
      <c r="SQQ59" s="69"/>
      <c r="SQR59" s="69"/>
      <c r="SQS59" s="69"/>
      <c r="SQT59" s="69"/>
      <c r="SQU59" s="69"/>
      <c r="SQV59" s="69"/>
      <c r="SQW59" s="69"/>
      <c r="SQX59" s="69"/>
      <c r="SQY59" s="69"/>
      <c r="SQZ59" s="69"/>
      <c r="SRA59" s="69" t="s">
        <v>116</v>
      </c>
      <c r="SRB59" s="69"/>
      <c r="SRC59" s="69"/>
      <c r="SRD59" s="69"/>
      <c r="SRE59" s="69"/>
      <c r="SRF59" s="69"/>
      <c r="SRG59" s="69"/>
      <c r="SRH59" s="69"/>
      <c r="SRI59" s="69"/>
      <c r="SRJ59" s="69"/>
      <c r="SRK59" s="69"/>
      <c r="SRL59" s="69"/>
      <c r="SRM59" s="69"/>
      <c r="SRN59" s="69"/>
      <c r="SRO59" s="69"/>
      <c r="SRP59" s="69"/>
      <c r="SRQ59" s="69"/>
      <c r="SRR59" s="69"/>
      <c r="SRS59" s="69"/>
      <c r="SRT59" s="69"/>
      <c r="SRU59" s="69"/>
      <c r="SRV59" s="69"/>
      <c r="SRW59" s="69"/>
      <c r="SRX59" s="69"/>
      <c r="SRY59" s="69"/>
      <c r="SRZ59" s="69"/>
      <c r="SSA59" s="69"/>
      <c r="SSB59" s="69"/>
      <c r="SSC59" s="69"/>
      <c r="SSD59" s="69"/>
      <c r="SSE59" s="69"/>
      <c r="SSF59" s="69"/>
      <c r="SSG59" s="69" t="s">
        <v>116</v>
      </c>
      <c r="SSH59" s="69"/>
      <c r="SSI59" s="69"/>
      <c r="SSJ59" s="69"/>
      <c r="SSK59" s="69"/>
      <c r="SSL59" s="69"/>
      <c r="SSM59" s="69"/>
      <c r="SSN59" s="69"/>
      <c r="SSO59" s="69"/>
      <c r="SSP59" s="69"/>
      <c r="SSQ59" s="69"/>
      <c r="SSR59" s="69"/>
      <c r="SSS59" s="69"/>
      <c r="SST59" s="69"/>
      <c r="SSU59" s="69"/>
      <c r="SSV59" s="69"/>
      <c r="SSW59" s="69"/>
      <c r="SSX59" s="69"/>
      <c r="SSY59" s="69"/>
      <c r="SSZ59" s="69"/>
      <c r="STA59" s="69"/>
      <c r="STB59" s="69"/>
      <c r="STC59" s="69"/>
      <c r="STD59" s="69"/>
      <c r="STE59" s="69"/>
      <c r="STF59" s="69"/>
      <c r="STG59" s="69"/>
      <c r="STH59" s="69"/>
      <c r="STI59" s="69"/>
      <c r="STJ59" s="69"/>
      <c r="STK59" s="69"/>
      <c r="STL59" s="69"/>
      <c r="STM59" s="69" t="s">
        <v>116</v>
      </c>
      <c r="STN59" s="69"/>
      <c r="STO59" s="69"/>
      <c r="STP59" s="69"/>
      <c r="STQ59" s="69"/>
      <c r="STR59" s="69"/>
      <c r="STS59" s="69"/>
      <c r="STT59" s="69"/>
      <c r="STU59" s="69"/>
      <c r="STV59" s="69"/>
      <c r="STW59" s="69"/>
      <c r="STX59" s="69"/>
      <c r="STY59" s="69"/>
      <c r="STZ59" s="69"/>
      <c r="SUA59" s="69"/>
      <c r="SUB59" s="69"/>
      <c r="SUC59" s="69"/>
      <c r="SUD59" s="69"/>
      <c r="SUE59" s="69"/>
      <c r="SUF59" s="69"/>
      <c r="SUG59" s="69"/>
      <c r="SUH59" s="69"/>
      <c r="SUI59" s="69"/>
      <c r="SUJ59" s="69"/>
      <c r="SUK59" s="69"/>
      <c r="SUL59" s="69"/>
      <c r="SUM59" s="69"/>
      <c r="SUN59" s="69"/>
      <c r="SUO59" s="69"/>
      <c r="SUP59" s="69"/>
      <c r="SUQ59" s="69"/>
      <c r="SUR59" s="69"/>
      <c r="SUS59" s="69" t="s">
        <v>116</v>
      </c>
      <c r="SUT59" s="69"/>
      <c r="SUU59" s="69"/>
      <c r="SUV59" s="69"/>
      <c r="SUW59" s="69"/>
      <c r="SUX59" s="69"/>
      <c r="SUY59" s="69"/>
      <c r="SUZ59" s="69"/>
      <c r="SVA59" s="69"/>
      <c r="SVB59" s="69"/>
      <c r="SVC59" s="69"/>
      <c r="SVD59" s="69"/>
      <c r="SVE59" s="69"/>
      <c r="SVF59" s="69"/>
      <c r="SVG59" s="69"/>
      <c r="SVH59" s="69"/>
      <c r="SVI59" s="69"/>
      <c r="SVJ59" s="69"/>
      <c r="SVK59" s="69"/>
      <c r="SVL59" s="69"/>
      <c r="SVM59" s="69"/>
      <c r="SVN59" s="69"/>
      <c r="SVO59" s="69"/>
      <c r="SVP59" s="69"/>
      <c r="SVQ59" s="69"/>
      <c r="SVR59" s="69"/>
      <c r="SVS59" s="69"/>
      <c r="SVT59" s="69"/>
      <c r="SVU59" s="69"/>
      <c r="SVV59" s="69"/>
      <c r="SVW59" s="69"/>
      <c r="SVX59" s="69"/>
      <c r="SVY59" s="69" t="s">
        <v>116</v>
      </c>
      <c r="SVZ59" s="69"/>
      <c r="SWA59" s="69"/>
      <c r="SWB59" s="69"/>
      <c r="SWC59" s="69"/>
      <c r="SWD59" s="69"/>
      <c r="SWE59" s="69"/>
      <c r="SWF59" s="69"/>
      <c r="SWG59" s="69"/>
      <c r="SWH59" s="69"/>
      <c r="SWI59" s="69"/>
      <c r="SWJ59" s="69"/>
      <c r="SWK59" s="69"/>
      <c r="SWL59" s="69"/>
      <c r="SWM59" s="69"/>
      <c r="SWN59" s="69"/>
      <c r="SWO59" s="69"/>
      <c r="SWP59" s="69"/>
      <c r="SWQ59" s="69"/>
      <c r="SWR59" s="69"/>
      <c r="SWS59" s="69"/>
      <c r="SWT59" s="69"/>
      <c r="SWU59" s="69"/>
      <c r="SWV59" s="69"/>
      <c r="SWW59" s="69"/>
      <c r="SWX59" s="69"/>
      <c r="SWY59" s="69"/>
      <c r="SWZ59" s="69"/>
      <c r="SXA59" s="69"/>
      <c r="SXB59" s="69"/>
      <c r="SXC59" s="69"/>
      <c r="SXD59" s="69"/>
      <c r="SXE59" s="69" t="s">
        <v>116</v>
      </c>
      <c r="SXF59" s="69"/>
      <c r="SXG59" s="69"/>
      <c r="SXH59" s="69"/>
      <c r="SXI59" s="69"/>
      <c r="SXJ59" s="69"/>
      <c r="SXK59" s="69"/>
      <c r="SXL59" s="69"/>
      <c r="SXM59" s="69"/>
      <c r="SXN59" s="69"/>
      <c r="SXO59" s="69"/>
      <c r="SXP59" s="69"/>
      <c r="SXQ59" s="69"/>
      <c r="SXR59" s="69"/>
      <c r="SXS59" s="69"/>
      <c r="SXT59" s="69"/>
      <c r="SXU59" s="69"/>
      <c r="SXV59" s="69"/>
      <c r="SXW59" s="69"/>
      <c r="SXX59" s="69"/>
      <c r="SXY59" s="69"/>
      <c r="SXZ59" s="69"/>
      <c r="SYA59" s="69"/>
      <c r="SYB59" s="69"/>
      <c r="SYC59" s="69"/>
      <c r="SYD59" s="69"/>
      <c r="SYE59" s="69"/>
      <c r="SYF59" s="69"/>
      <c r="SYG59" s="69"/>
      <c r="SYH59" s="69"/>
      <c r="SYI59" s="69"/>
      <c r="SYJ59" s="69"/>
      <c r="SYK59" s="69" t="s">
        <v>116</v>
      </c>
      <c r="SYL59" s="69"/>
      <c r="SYM59" s="69"/>
      <c r="SYN59" s="69"/>
      <c r="SYO59" s="69"/>
      <c r="SYP59" s="69"/>
      <c r="SYQ59" s="69"/>
      <c r="SYR59" s="69"/>
      <c r="SYS59" s="69"/>
      <c r="SYT59" s="69"/>
      <c r="SYU59" s="69"/>
      <c r="SYV59" s="69"/>
      <c r="SYW59" s="69"/>
      <c r="SYX59" s="69"/>
      <c r="SYY59" s="69"/>
      <c r="SYZ59" s="69"/>
      <c r="SZA59" s="69"/>
      <c r="SZB59" s="69"/>
      <c r="SZC59" s="69"/>
      <c r="SZD59" s="69"/>
      <c r="SZE59" s="69"/>
      <c r="SZF59" s="69"/>
      <c r="SZG59" s="69"/>
      <c r="SZH59" s="69"/>
      <c r="SZI59" s="69"/>
      <c r="SZJ59" s="69"/>
      <c r="SZK59" s="69"/>
      <c r="SZL59" s="69"/>
      <c r="SZM59" s="69"/>
      <c r="SZN59" s="69"/>
      <c r="SZO59" s="69"/>
      <c r="SZP59" s="69"/>
      <c r="SZQ59" s="69" t="s">
        <v>116</v>
      </c>
      <c r="SZR59" s="69"/>
      <c r="SZS59" s="69"/>
      <c r="SZT59" s="69"/>
      <c r="SZU59" s="69"/>
      <c r="SZV59" s="69"/>
      <c r="SZW59" s="69"/>
      <c r="SZX59" s="69"/>
      <c r="SZY59" s="69"/>
      <c r="SZZ59" s="69"/>
      <c r="TAA59" s="69"/>
      <c r="TAB59" s="69"/>
      <c r="TAC59" s="69"/>
      <c r="TAD59" s="69"/>
      <c r="TAE59" s="69"/>
      <c r="TAF59" s="69"/>
      <c r="TAG59" s="69"/>
      <c r="TAH59" s="69"/>
      <c r="TAI59" s="69"/>
      <c r="TAJ59" s="69"/>
      <c r="TAK59" s="69"/>
      <c r="TAL59" s="69"/>
      <c r="TAM59" s="69"/>
      <c r="TAN59" s="69"/>
      <c r="TAO59" s="69"/>
      <c r="TAP59" s="69"/>
      <c r="TAQ59" s="69"/>
      <c r="TAR59" s="69"/>
      <c r="TAS59" s="69"/>
      <c r="TAT59" s="69"/>
      <c r="TAU59" s="69"/>
      <c r="TAV59" s="69"/>
      <c r="TAW59" s="69" t="s">
        <v>116</v>
      </c>
      <c r="TAX59" s="69"/>
      <c r="TAY59" s="69"/>
      <c r="TAZ59" s="69"/>
      <c r="TBA59" s="69"/>
      <c r="TBB59" s="69"/>
      <c r="TBC59" s="69"/>
      <c r="TBD59" s="69"/>
      <c r="TBE59" s="69"/>
      <c r="TBF59" s="69"/>
      <c r="TBG59" s="69"/>
      <c r="TBH59" s="69"/>
      <c r="TBI59" s="69"/>
      <c r="TBJ59" s="69"/>
      <c r="TBK59" s="69"/>
      <c r="TBL59" s="69"/>
      <c r="TBM59" s="69"/>
      <c r="TBN59" s="69"/>
      <c r="TBO59" s="69"/>
      <c r="TBP59" s="69"/>
      <c r="TBQ59" s="69"/>
      <c r="TBR59" s="69"/>
      <c r="TBS59" s="69"/>
      <c r="TBT59" s="69"/>
      <c r="TBU59" s="69"/>
      <c r="TBV59" s="69"/>
      <c r="TBW59" s="69"/>
      <c r="TBX59" s="69"/>
      <c r="TBY59" s="69"/>
      <c r="TBZ59" s="69"/>
      <c r="TCA59" s="69"/>
      <c r="TCB59" s="69"/>
      <c r="TCC59" s="69" t="s">
        <v>116</v>
      </c>
      <c r="TCD59" s="69"/>
      <c r="TCE59" s="69"/>
      <c r="TCF59" s="69"/>
      <c r="TCG59" s="69"/>
      <c r="TCH59" s="69"/>
      <c r="TCI59" s="69"/>
      <c r="TCJ59" s="69"/>
      <c r="TCK59" s="69"/>
      <c r="TCL59" s="69"/>
      <c r="TCM59" s="69"/>
      <c r="TCN59" s="69"/>
      <c r="TCO59" s="69"/>
      <c r="TCP59" s="69"/>
      <c r="TCQ59" s="69"/>
      <c r="TCR59" s="69"/>
      <c r="TCS59" s="69"/>
      <c r="TCT59" s="69"/>
      <c r="TCU59" s="69"/>
      <c r="TCV59" s="69"/>
      <c r="TCW59" s="69"/>
      <c r="TCX59" s="69"/>
      <c r="TCY59" s="69"/>
      <c r="TCZ59" s="69"/>
      <c r="TDA59" s="69"/>
      <c r="TDB59" s="69"/>
      <c r="TDC59" s="69"/>
      <c r="TDD59" s="69"/>
      <c r="TDE59" s="69"/>
      <c r="TDF59" s="69"/>
      <c r="TDG59" s="69"/>
      <c r="TDH59" s="69"/>
      <c r="TDI59" s="69" t="s">
        <v>116</v>
      </c>
      <c r="TDJ59" s="69"/>
      <c r="TDK59" s="69"/>
      <c r="TDL59" s="69"/>
      <c r="TDM59" s="69"/>
      <c r="TDN59" s="69"/>
      <c r="TDO59" s="69"/>
      <c r="TDP59" s="69"/>
      <c r="TDQ59" s="69"/>
      <c r="TDR59" s="69"/>
      <c r="TDS59" s="69"/>
      <c r="TDT59" s="69"/>
      <c r="TDU59" s="69"/>
      <c r="TDV59" s="69"/>
      <c r="TDW59" s="69"/>
      <c r="TDX59" s="69"/>
      <c r="TDY59" s="69"/>
      <c r="TDZ59" s="69"/>
      <c r="TEA59" s="69"/>
      <c r="TEB59" s="69"/>
      <c r="TEC59" s="69"/>
      <c r="TED59" s="69"/>
      <c r="TEE59" s="69"/>
      <c r="TEF59" s="69"/>
      <c r="TEG59" s="69"/>
      <c r="TEH59" s="69"/>
      <c r="TEI59" s="69"/>
      <c r="TEJ59" s="69"/>
      <c r="TEK59" s="69"/>
      <c r="TEL59" s="69"/>
      <c r="TEM59" s="69"/>
      <c r="TEN59" s="69"/>
      <c r="TEO59" s="69" t="s">
        <v>116</v>
      </c>
      <c r="TEP59" s="69"/>
      <c r="TEQ59" s="69"/>
      <c r="TER59" s="69"/>
      <c r="TES59" s="69"/>
      <c r="TET59" s="69"/>
      <c r="TEU59" s="69"/>
      <c r="TEV59" s="69"/>
      <c r="TEW59" s="69"/>
      <c r="TEX59" s="69"/>
      <c r="TEY59" s="69"/>
      <c r="TEZ59" s="69"/>
      <c r="TFA59" s="69"/>
      <c r="TFB59" s="69"/>
      <c r="TFC59" s="69"/>
      <c r="TFD59" s="69"/>
      <c r="TFE59" s="69"/>
      <c r="TFF59" s="69"/>
      <c r="TFG59" s="69"/>
      <c r="TFH59" s="69"/>
      <c r="TFI59" s="69"/>
      <c r="TFJ59" s="69"/>
      <c r="TFK59" s="69"/>
      <c r="TFL59" s="69"/>
      <c r="TFM59" s="69"/>
      <c r="TFN59" s="69"/>
      <c r="TFO59" s="69"/>
      <c r="TFP59" s="69"/>
      <c r="TFQ59" s="69"/>
      <c r="TFR59" s="69"/>
      <c r="TFS59" s="69"/>
      <c r="TFT59" s="69"/>
      <c r="TFU59" s="69" t="s">
        <v>116</v>
      </c>
      <c r="TFV59" s="69"/>
      <c r="TFW59" s="69"/>
      <c r="TFX59" s="69"/>
      <c r="TFY59" s="69"/>
      <c r="TFZ59" s="69"/>
      <c r="TGA59" s="69"/>
      <c r="TGB59" s="69"/>
      <c r="TGC59" s="69"/>
      <c r="TGD59" s="69"/>
      <c r="TGE59" s="69"/>
      <c r="TGF59" s="69"/>
      <c r="TGG59" s="69"/>
      <c r="TGH59" s="69"/>
      <c r="TGI59" s="69"/>
      <c r="TGJ59" s="69"/>
      <c r="TGK59" s="69"/>
      <c r="TGL59" s="69"/>
      <c r="TGM59" s="69"/>
      <c r="TGN59" s="69"/>
      <c r="TGO59" s="69"/>
      <c r="TGP59" s="69"/>
      <c r="TGQ59" s="69"/>
      <c r="TGR59" s="69"/>
      <c r="TGS59" s="69"/>
      <c r="TGT59" s="69"/>
      <c r="TGU59" s="69"/>
      <c r="TGV59" s="69"/>
      <c r="TGW59" s="69"/>
      <c r="TGX59" s="69"/>
      <c r="TGY59" s="69"/>
      <c r="TGZ59" s="69"/>
      <c r="THA59" s="69" t="s">
        <v>116</v>
      </c>
      <c r="THB59" s="69"/>
      <c r="THC59" s="69"/>
      <c r="THD59" s="69"/>
      <c r="THE59" s="69"/>
      <c r="THF59" s="69"/>
      <c r="THG59" s="69"/>
      <c r="THH59" s="69"/>
      <c r="THI59" s="69"/>
      <c r="THJ59" s="69"/>
      <c r="THK59" s="69"/>
      <c r="THL59" s="69"/>
      <c r="THM59" s="69"/>
      <c r="THN59" s="69"/>
      <c r="THO59" s="69"/>
      <c r="THP59" s="69"/>
      <c r="THQ59" s="69"/>
      <c r="THR59" s="69"/>
      <c r="THS59" s="69"/>
      <c r="THT59" s="69"/>
      <c r="THU59" s="69"/>
      <c r="THV59" s="69"/>
      <c r="THW59" s="69"/>
      <c r="THX59" s="69"/>
      <c r="THY59" s="69"/>
      <c r="THZ59" s="69"/>
      <c r="TIA59" s="69"/>
      <c r="TIB59" s="69"/>
      <c r="TIC59" s="69"/>
      <c r="TID59" s="69"/>
      <c r="TIE59" s="69"/>
      <c r="TIF59" s="69"/>
      <c r="TIG59" s="69" t="s">
        <v>116</v>
      </c>
      <c r="TIH59" s="69"/>
      <c r="TII59" s="69"/>
      <c r="TIJ59" s="69"/>
      <c r="TIK59" s="69"/>
      <c r="TIL59" s="69"/>
      <c r="TIM59" s="69"/>
      <c r="TIN59" s="69"/>
      <c r="TIO59" s="69"/>
      <c r="TIP59" s="69"/>
      <c r="TIQ59" s="69"/>
      <c r="TIR59" s="69"/>
      <c r="TIS59" s="69"/>
      <c r="TIT59" s="69"/>
      <c r="TIU59" s="69"/>
      <c r="TIV59" s="69"/>
      <c r="TIW59" s="69"/>
      <c r="TIX59" s="69"/>
      <c r="TIY59" s="69"/>
      <c r="TIZ59" s="69"/>
      <c r="TJA59" s="69"/>
      <c r="TJB59" s="69"/>
      <c r="TJC59" s="69"/>
      <c r="TJD59" s="69"/>
      <c r="TJE59" s="69"/>
      <c r="TJF59" s="69"/>
      <c r="TJG59" s="69"/>
      <c r="TJH59" s="69"/>
      <c r="TJI59" s="69"/>
      <c r="TJJ59" s="69"/>
      <c r="TJK59" s="69"/>
      <c r="TJL59" s="69"/>
      <c r="TJM59" s="69" t="s">
        <v>116</v>
      </c>
      <c r="TJN59" s="69"/>
      <c r="TJO59" s="69"/>
      <c r="TJP59" s="69"/>
      <c r="TJQ59" s="69"/>
      <c r="TJR59" s="69"/>
      <c r="TJS59" s="69"/>
      <c r="TJT59" s="69"/>
      <c r="TJU59" s="69"/>
      <c r="TJV59" s="69"/>
      <c r="TJW59" s="69"/>
      <c r="TJX59" s="69"/>
      <c r="TJY59" s="69"/>
      <c r="TJZ59" s="69"/>
      <c r="TKA59" s="69"/>
      <c r="TKB59" s="69"/>
      <c r="TKC59" s="69"/>
      <c r="TKD59" s="69"/>
      <c r="TKE59" s="69"/>
      <c r="TKF59" s="69"/>
      <c r="TKG59" s="69"/>
      <c r="TKH59" s="69"/>
      <c r="TKI59" s="69"/>
      <c r="TKJ59" s="69"/>
      <c r="TKK59" s="69"/>
      <c r="TKL59" s="69"/>
      <c r="TKM59" s="69"/>
      <c r="TKN59" s="69"/>
      <c r="TKO59" s="69"/>
      <c r="TKP59" s="69"/>
      <c r="TKQ59" s="69"/>
      <c r="TKR59" s="69"/>
      <c r="TKS59" s="69" t="s">
        <v>116</v>
      </c>
      <c r="TKT59" s="69"/>
      <c r="TKU59" s="69"/>
      <c r="TKV59" s="69"/>
      <c r="TKW59" s="69"/>
      <c r="TKX59" s="69"/>
      <c r="TKY59" s="69"/>
      <c r="TKZ59" s="69"/>
      <c r="TLA59" s="69"/>
      <c r="TLB59" s="69"/>
      <c r="TLC59" s="69"/>
      <c r="TLD59" s="69"/>
      <c r="TLE59" s="69"/>
      <c r="TLF59" s="69"/>
      <c r="TLG59" s="69"/>
      <c r="TLH59" s="69"/>
      <c r="TLI59" s="69"/>
      <c r="TLJ59" s="69"/>
      <c r="TLK59" s="69"/>
      <c r="TLL59" s="69"/>
      <c r="TLM59" s="69"/>
      <c r="TLN59" s="69"/>
      <c r="TLO59" s="69"/>
      <c r="TLP59" s="69"/>
      <c r="TLQ59" s="69"/>
      <c r="TLR59" s="69"/>
      <c r="TLS59" s="69"/>
      <c r="TLT59" s="69"/>
      <c r="TLU59" s="69"/>
      <c r="TLV59" s="69"/>
      <c r="TLW59" s="69"/>
      <c r="TLX59" s="69"/>
      <c r="TLY59" s="69" t="s">
        <v>116</v>
      </c>
      <c r="TLZ59" s="69"/>
      <c r="TMA59" s="69"/>
      <c r="TMB59" s="69"/>
      <c r="TMC59" s="69"/>
      <c r="TMD59" s="69"/>
      <c r="TME59" s="69"/>
      <c r="TMF59" s="69"/>
      <c r="TMG59" s="69"/>
      <c r="TMH59" s="69"/>
      <c r="TMI59" s="69"/>
      <c r="TMJ59" s="69"/>
      <c r="TMK59" s="69"/>
      <c r="TML59" s="69"/>
      <c r="TMM59" s="69"/>
      <c r="TMN59" s="69"/>
      <c r="TMO59" s="69"/>
      <c r="TMP59" s="69"/>
      <c r="TMQ59" s="69"/>
      <c r="TMR59" s="69"/>
      <c r="TMS59" s="69"/>
      <c r="TMT59" s="69"/>
      <c r="TMU59" s="69"/>
      <c r="TMV59" s="69"/>
      <c r="TMW59" s="69"/>
      <c r="TMX59" s="69"/>
      <c r="TMY59" s="69"/>
      <c r="TMZ59" s="69"/>
      <c r="TNA59" s="69"/>
      <c r="TNB59" s="69"/>
      <c r="TNC59" s="69"/>
      <c r="TND59" s="69"/>
      <c r="TNE59" s="69" t="s">
        <v>116</v>
      </c>
      <c r="TNF59" s="69"/>
      <c r="TNG59" s="69"/>
      <c r="TNH59" s="69"/>
      <c r="TNI59" s="69"/>
      <c r="TNJ59" s="69"/>
      <c r="TNK59" s="69"/>
      <c r="TNL59" s="69"/>
      <c r="TNM59" s="69"/>
      <c r="TNN59" s="69"/>
      <c r="TNO59" s="69"/>
      <c r="TNP59" s="69"/>
      <c r="TNQ59" s="69"/>
      <c r="TNR59" s="69"/>
      <c r="TNS59" s="69"/>
      <c r="TNT59" s="69"/>
      <c r="TNU59" s="69"/>
      <c r="TNV59" s="69"/>
      <c r="TNW59" s="69"/>
      <c r="TNX59" s="69"/>
      <c r="TNY59" s="69"/>
      <c r="TNZ59" s="69"/>
      <c r="TOA59" s="69"/>
      <c r="TOB59" s="69"/>
      <c r="TOC59" s="69"/>
      <c r="TOD59" s="69"/>
      <c r="TOE59" s="69"/>
      <c r="TOF59" s="69"/>
      <c r="TOG59" s="69"/>
      <c r="TOH59" s="69"/>
      <c r="TOI59" s="69"/>
      <c r="TOJ59" s="69"/>
      <c r="TOK59" s="69" t="s">
        <v>116</v>
      </c>
      <c r="TOL59" s="69"/>
      <c r="TOM59" s="69"/>
      <c r="TON59" s="69"/>
      <c r="TOO59" s="69"/>
      <c r="TOP59" s="69"/>
      <c r="TOQ59" s="69"/>
      <c r="TOR59" s="69"/>
      <c r="TOS59" s="69"/>
      <c r="TOT59" s="69"/>
      <c r="TOU59" s="69"/>
      <c r="TOV59" s="69"/>
      <c r="TOW59" s="69"/>
      <c r="TOX59" s="69"/>
      <c r="TOY59" s="69"/>
      <c r="TOZ59" s="69"/>
      <c r="TPA59" s="69"/>
      <c r="TPB59" s="69"/>
      <c r="TPC59" s="69"/>
      <c r="TPD59" s="69"/>
      <c r="TPE59" s="69"/>
      <c r="TPF59" s="69"/>
      <c r="TPG59" s="69"/>
      <c r="TPH59" s="69"/>
      <c r="TPI59" s="69"/>
      <c r="TPJ59" s="69"/>
      <c r="TPK59" s="69"/>
      <c r="TPL59" s="69"/>
      <c r="TPM59" s="69"/>
      <c r="TPN59" s="69"/>
      <c r="TPO59" s="69"/>
      <c r="TPP59" s="69"/>
      <c r="TPQ59" s="69" t="s">
        <v>116</v>
      </c>
      <c r="TPR59" s="69"/>
      <c r="TPS59" s="69"/>
      <c r="TPT59" s="69"/>
      <c r="TPU59" s="69"/>
      <c r="TPV59" s="69"/>
      <c r="TPW59" s="69"/>
      <c r="TPX59" s="69"/>
      <c r="TPY59" s="69"/>
      <c r="TPZ59" s="69"/>
      <c r="TQA59" s="69"/>
      <c r="TQB59" s="69"/>
      <c r="TQC59" s="69"/>
      <c r="TQD59" s="69"/>
      <c r="TQE59" s="69"/>
      <c r="TQF59" s="69"/>
      <c r="TQG59" s="69"/>
      <c r="TQH59" s="69"/>
      <c r="TQI59" s="69"/>
      <c r="TQJ59" s="69"/>
      <c r="TQK59" s="69"/>
      <c r="TQL59" s="69"/>
      <c r="TQM59" s="69"/>
      <c r="TQN59" s="69"/>
      <c r="TQO59" s="69"/>
      <c r="TQP59" s="69"/>
      <c r="TQQ59" s="69"/>
      <c r="TQR59" s="69"/>
      <c r="TQS59" s="69"/>
      <c r="TQT59" s="69"/>
      <c r="TQU59" s="69"/>
      <c r="TQV59" s="69"/>
      <c r="TQW59" s="69" t="s">
        <v>116</v>
      </c>
      <c r="TQX59" s="69"/>
      <c r="TQY59" s="69"/>
      <c r="TQZ59" s="69"/>
      <c r="TRA59" s="69"/>
      <c r="TRB59" s="69"/>
      <c r="TRC59" s="69"/>
      <c r="TRD59" s="69"/>
      <c r="TRE59" s="69"/>
      <c r="TRF59" s="69"/>
      <c r="TRG59" s="69"/>
      <c r="TRH59" s="69"/>
      <c r="TRI59" s="69"/>
      <c r="TRJ59" s="69"/>
      <c r="TRK59" s="69"/>
      <c r="TRL59" s="69"/>
      <c r="TRM59" s="69"/>
      <c r="TRN59" s="69"/>
      <c r="TRO59" s="69"/>
      <c r="TRP59" s="69"/>
      <c r="TRQ59" s="69"/>
      <c r="TRR59" s="69"/>
      <c r="TRS59" s="69"/>
      <c r="TRT59" s="69"/>
      <c r="TRU59" s="69"/>
      <c r="TRV59" s="69"/>
      <c r="TRW59" s="69"/>
      <c r="TRX59" s="69"/>
      <c r="TRY59" s="69"/>
      <c r="TRZ59" s="69"/>
      <c r="TSA59" s="69"/>
      <c r="TSB59" s="69"/>
      <c r="TSC59" s="69" t="s">
        <v>116</v>
      </c>
      <c r="TSD59" s="69"/>
      <c r="TSE59" s="69"/>
      <c r="TSF59" s="69"/>
      <c r="TSG59" s="69"/>
      <c r="TSH59" s="69"/>
      <c r="TSI59" s="69"/>
      <c r="TSJ59" s="69"/>
      <c r="TSK59" s="69"/>
      <c r="TSL59" s="69"/>
      <c r="TSM59" s="69"/>
      <c r="TSN59" s="69"/>
      <c r="TSO59" s="69"/>
      <c r="TSP59" s="69"/>
      <c r="TSQ59" s="69"/>
      <c r="TSR59" s="69"/>
      <c r="TSS59" s="69"/>
      <c r="TST59" s="69"/>
      <c r="TSU59" s="69"/>
      <c r="TSV59" s="69"/>
      <c r="TSW59" s="69"/>
      <c r="TSX59" s="69"/>
      <c r="TSY59" s="69"/>
      <c r="TSZ59" s="69"/>
      <c r="TTA59" s="69"/>
      <c r="TTB59" s="69"/>
      <c r="TTC59" s="69"/>
      <c r="TTD59" s="69"/>
      <c r="TTE59" s="69"/>
      <c r="TTF59" s="69"/>
      <c r="TTG59" s="69"/>
      <c r="TTH59" s="69"/>
      <c r="TTI59" s="69" t="s">
        <v>116</v>
      </c>
      <c r="TTJ59" s="69"/>
      <c r="TTK59" s="69"/>
      <c r="TTL59" s="69"/>
      <c r="TTM59" s="69"/>
      <c r="TTN59" s="69"/>
      <c r="TTO59" s="69"/>
      <c r="TTP59" s="69"/>
      <c r="TTQ59" s="69"/>
      <c r="TTR59" s="69"/>
      <c r="TTS59" s="69"/>
      <c r="TTT59" s="69"/>
      <c r="TTU59" s="69"/>
      <c r="TTV59" s="69"/>
      <c r="TTW59" s="69"/>
      <c r="TTX59" s="69"/>
      <c r="TTY59" s="69"/>
      <c r="TTZ59" s="69"/>
      <c r="TUA59" s="69"/>
      <c r="TUB59" s="69"/>
      <c r="TUC59" s="69"/>
      <c r="TUD59" s="69"/>
      <c r="TUE59" s="69"/>
      <c r="TUF59" s="69"/>
      <c r="TUG59" s="69"/>
      <c r="TUH59" s="69"/>
      <c r="TUI59" s="69"/>
      <c r="TUJ59" s="69"/>
      <c r="TUK59" s="69"/>
      <c r="TUL59" s="69"/>
      <c r="TUM59" s="69"/>
      <c r="TUN59" s="69"/>
      <c r="TUO59" s="69" t="s">
        <v>116</v>
      </c>
      <c r="TUP59" s="69"/>
      <c r="TUQ59" s="69"/>
      <c r="TUR59" s="69"/>
      <c r="TUS59" s="69"/>
      <c r="TUT59" s="69"/>
      <c r="TUU59" s="69"/>
      <c r="TUV59" s="69"/>
      <c r="TUW59" s="69"/>
      <c r="TUX59" s="69"/>
      <c r="TUY59" s="69"/>
      <c r="TUZ59" s="69"/>
      <c r="TVA59" s="69"/>
      <c r="TVB59" s="69"/>
      <c r="TVC59" s="69"/>
      <c r="TVD59" s="69"/>
      <c r="TVE59" s="69"/>
      <c r="TVF59" s="69"/>
      <c r="TVG59" s="69"/>
      <c r="TVH59" s="69"/>
      <c r="TVI59" s="69"/>
      <c r="TVJ59" s="69"/>
      <c r="TVK59" s="69"/>
      <c r="TVL59" s="69"/>
      <c r="TVM59" s="69"/>
      <c r="TVN59" s="69"/>
      <c r="TVO59" s="69"/>
      <c r="TVP59" s="69"/>
      <c r="TVQ59" s="69"/>
      <c r="TVR59" s="69"/>
      <c r="TVS59" s="69"/>
      <c r="TVT59" s="69"/>
      <c r="TVU59" s="69" t="s">
        <v>116</v>
      </c>
      <c r="TVV59" s="69"/>
      <c r="TVW59" s="69"/>
      <c r="TVX59" s="69"/>
      <c r="TVY59" s="69"/>
      <c r="TVZ59" s="69"/>
      <c r="TWA59" s="69"/>
      <c r="TWB59" s="69"/>
      <c r="TWC59" s="69"/>
      <c r="TWD59" s="69"/>
      <c r="TWE59" s="69"/>
      <c r="TWF59" s="69"/>
      <c r="TWG59" s="69"/>
      <c r="TWH59" s="69"/>
      <c r="TWI59" s="69"/>
      <c r="TWJ59" s="69"/>
      <c r="TWK59" s="69"/>
      <c r="TWL59" s="69"/>
      <c r="TWM59" s="69"/>
      <c r="TWN59" s="69"/>
      <c r="TWO59" s="69"/>
      <c r="TWP59" s="69"/>
      <c r="TWQ59" s="69"/>
      <c r="TWR59" s="69"/>
      <c r="TWS59" s="69"/>
      <c r="TWT59" s="69"/>
      <c r="TWU59" s="69"/>
      <c r="TWV59" s="69"/>
      <c r="TWW59" s="69"/>
      <c r="TWX59" s="69"/>
      <c r="TWY59" s="69"/>
      <c r="TWZ59" s="69"/>
      <c r="TXA59" s="69" t="s">
        <v>116</v>
      </c>
      <c r="TXB59" s="69"/>
      <c r="TXC59" s="69"/>
      <c r="TXD59" s="69"/>
      <c r="TXE59" s="69"/>
      <c r="TXF59" s="69"/>
      <c r="TXG59" s="69"/>
      <c r="TXH59" s="69"/>
      <c r="TXI59" s="69"/>
      <c r="TXJ59" s="69"/>
      <c r="TXK59" s="69"/>
      <c r="TXL59" s="69"/>
      <c r="TXM59" s="69"/>
      <c r="TXN59" s="69"/>
      <c r="TXO59" s="69"/>
      <c r="TXP59" s="69"/>
      <c r="TXQ59" s="69"/>
      <c r="TXR59" s="69"/>
      <c r="TXS59" s="69"/>
      <c r="TXT59" s="69"/>
      <c r="TXU59" s="69"/>
      <c r="TXV59" s="69"/>
      <c r="TXW59" s="69"/>
      <c r="TXX59" s="69"/>
      <c r="TXY59" s="69"/>
      <c r="TXZ59" s="69"/>
      <c r="TYA59" s="69"/>
      <c r="TYB59" s="69"/>
      <c r="TYC59" s="69"/>
      <c r="TYD59" s="69"/>
      <c r="TYE59" s="69"/>
      <c r="TYF59" s="69"/>
      <c r="TYG59" s="69" t="s">
        <v>116</v>
      </c>
      <c r="TYH59" s="69"/>
      <c r="TYI59" s="69"/>
      <c r="TYJ59" s="69"/>
      <c r="TYK59" s="69"/>
      <c r="TYL59" s="69"/>
      <c r="TYM59" s="69"/>
      <c r="TYN59" s="69"/>
      <c r="TYO59" s="69"/>
      <c r="TYP59" s="69"/>
      <c r="TYQ59" s="69"/>
      <c r="TYR59" s="69"/>
      <c r="TYS59" s="69"/>
      <c r="TYT59" s="69"/>
      <c r="TYU59" s="69"/>
      <c r="TYV59" s="69"/>
      <c r="TYW59" s="69"/>
      <c r="TYX59" s="69"/>
      <c r="TYY59" s="69"/>
      <c r="TYZ59" s="69"/>
      <c r="TZA59" s="69"/>
      <c r="TZB59" s="69"/>
      <c r="TZC59" s="69"/>
      <c r="TZD59" s="69"/>
      <c r="TZE59" s="69"/>
      <c r="TZF59" s="69"/>
      <c r="TZG59" s="69"/>
      <c r="TZH59" s="69"/>
      <c r="TZI59" s="69"/>
      <c r="TZJ59" s="69"/>
      <c r="TZK59" s="69"/>
      <c r="TZL59" s="69"/>
      <c r="TZM59" s="69" t="s">
        <v>116</v>
      </c>
      <c r="TZN59" s="69"/>
      <c r="TZO59" s="69"/>
      <c r="TZP59" s="69"/>
      <c r="TZQ59" s="69"/>
      <c r="TZR59" s="69"/>
      <c r="TZS59" s="69"/>
      <c r="TZT59" s="69"/>
      <c r="TZU59" s="69"/>
      <c r="TZV59" s="69"/>
      <c r="TZW59" s="69"/>
      <c r="TZX59" s="69"/>
      <c r="TZY59" s="69"/>
      <c r="TZZ59" s="69"/>
      <c r="UAA59" s="69"/>
      <c r="UAB59" s="69"/>
      <c r="UAC59" s="69"/>
      <c r="UAD59" s="69"/>
      <c r="UAE59" s="69"/>
      <c r="UAF59" s="69"/>
      <c r="UAG59" s="69"/>
      <c r="UAH59" s="69"/>
      <c r="UAI59" s="69"/>
      <c r="UAJ59" s="69"/>
      <c r="UAK59" s="69"/>
      <c r="UAL59" s="69"/>
      <c r="UAM59" s="69"/>
      <c r="UAN59" s="69"/>
      <c r="UAO59" s="69"/>
      <c r="UAP59" s="69"/>
      <c r="UAQ59" s="69"/>
      <c r="UAR59" s="69"/>
      <c r="UAS59" s="69" t="s">
        <v>116</v>
      </c>
      <c r="UAT59" s="69"/>
      <c r="UAU59" s="69"/>
      <c r="UAV59" s="69"/>
      <c r="UAW59" s="69"/>
      <c r="UAX59" s="69"/>
      <c r="UAY59" s="69"/>
      <c r="UAZ59" s="69"/>
      <c r="UBA59" s="69"/>
      <c r="UBB59" s="69"/>
      <c r="UBC59" s="69"/>
      <c r="UBD59" s="69"/>
      <c r="UBE59" s="69"/>
      <c r="UBF59" s="69"/>
      <c r="UBG59" s="69"/>
      <c r="UBH59" s="69"/>
      <c r="UBI59" s="69"/>
      <c r="UBJ59" s="69"/>
      <c r="UBK59" s="69"/>
      <c r="UBL59" s="69"/>
      <c r="UBM59" s="69"/>
      <c r="UBN59" s="69"/>
      <c r="UBO59" s="69"/>
      <c r="UBP59" s="69"/>
      <c r="UBQ59" s="69"/>
      <c r="UBR59" s="69"/>
      <c r="UBS59" s="69"/>
      <c r="UBT59" s="69"/>
      <c r="UBU59" s="69"/>
      <c r="UBV59" s="69"/>
      <c r="UBW59" s="69"/>
      <c r="UBX59" s="69"/>
      <c r="UBY59" s="69" t="s">
        <v>116</v>
      </c>
      <c r="UBZ59" s="69"/>
      <c r="UCA59" s="69"/>
      <c r="UCB59" s="69"/>
      <c r="UCC59" s="69"/>
      <c r="UCD59" s="69"/>
      <c r="UCE59" s="69"/>
      <c r="UCF59" s="69"/>
      <c r="UCG59" s="69"/>
      <c r="UCH59" s="69"/>
      <c r="UCI59" s="69"/>
      <c r="UCJ59" s="69"/>
      <c r="UCK59" s="69"/>
      <c r="UCL59" s="69"/>
      <c r="UCM59" s="69"/>
      <c r="UCN59" s="69"/>
      <c r="UCO59" s="69"/>
      <c r="UCP59" s="69"/>
      <c r="UCQ59" s="69"/>
      <c r="UCR59" s="69"/>
      <c r="UCS59" s="69"/>
      <c r="UCT59" s="69"/>
      <c r="UCU59" s="69"/>
      <c r="UCV59" s="69"/>
      <c r="UCW59" s="69"/>
      <c r="UCX59" s="69"/>
      <c r="UCY59" s="69"/>
      <c r="UCZ59" s="69"/>
      <c r="UDA59" s="69"/>
      <c r="UDB59" s="69"/>
      <c r="UDC59" s="69"/>
      <c r="UDD59" s="69"/>
      <c r="UDE59" s="69" t="s">
        <v>116</v>
      </c>
      <c r="UDF59" s="69"/>
      <c r="UDG59" s="69"/>
      <c r="UDH59" s="69"/>
      <c r="UDI59" s="69"/>
      <c r="UDJ59" s="69"/>
      <c r="UDK59" s="69"/>
      <c r="UDL59" s="69"/>
      <c r="UDM59" s="69"/>
      <c r="UDN59" s="69"/>
      <c r="UDO59" s="69"/>
      <c r="UDP59" s="69"/>
      <c r="UDQ59" s="69"/>
      <c r="UDR59" s="69"/>
      <c r="UDS59" s="69"/>
      <c r="UDT59" s="69"/>
      <c r="UDU59" s="69"/>
      <c r="UDV59" s="69"/>
      <c r="UDW59" s="69"/>
      <c r="UDX59" s="69"/>
      <c r="UDY59" s="69"/>
      <c r="UDZ59" s="69"/>
      <c r="UEA59" s="69"/>
      <c r="UEB59" s="69"/>
      <c r="UEC59" s="69"/>
      <c r="UED59" s="69"/>
      <c r="UEE59" s="69"/>
      <c r="UEF59" s="69"/>
      <c r="UEG59" s="69"/>
      <c r="UEH59" s="69"/>
      <c r="UEI59" s="69"/>
      <c r="UEJ59" s="69"/>
      <c r="UEK59" s="69" t="s">
        <v>116</v>
      </c>
      <c r="UEL59" s="69"/>
      <c r="UEM59" s="69"/>
      <c r="UEN59" s="69"/>
      <c r="UEO59" s="69"/>
      <c r="UEP59" s="69"/>
      <c r="UEQ59" s="69"/>
      <c r="UER59" s="69"/>
      <c r="UES59" s="69"/>
      <c r="UET59" s="69"/>
      <c r="UEU59" s="69"/>
      <c r="UEV59" s="69"/>
      <c r="UEW59" s="69"/>
      <c r="UEX59" s="69"/>
      <c r="UEY59" s="69"/>
      <c r="UEZ59" s="69"/>
      <c r="UFA59" s="69"/>
      <c r="UFB59" s="69"/>
      <c r="UFC59" s="69"/>
      <c r="UFD59" s="69"/>
      <c r="UFE59" s="69"/>
      <c r="UFF59" s="69"/>
      <c r="UFG59" s="69"/>
      <c r="UFH59" s="69"/>
      <c r="UFI59" s="69"/>
      <c r="UFJ59" s="69"/>
      <c r="UFK59" s="69"/>
      <c r="UFL59" s="69"/>
      <c r="UFM59" s="69"/>
      <c r="UFN59" s="69"/>
      <c r="UFO59" s="69"/>
      <c r="UFP59" s="69"/>
      <c r="UFQ59" s="69" t="s">
        <v>116</v>
      </c>
      <c r="UFR59" s="69"/>
      <c r="UFS59" s="69"/>
      <c r="UFT59" s="69"/>
      <c r="UFU59" s="69"/>
      <c r="UFV59" s="69"/>
      <c r="UFW59" s="69"/>
      <c r="UFX59" s="69"/>
      <c r="UFY59" s="69"/>
      <c r="UFZ59" s="69"/>
      <c r="UGA59" s="69"/>
      <c r="UGB59" s="69"/>
      <c r="UGC59" s="69"/>
      <c r="UGD59" s="69"/>
      <c r="UGE59" s="69"/>
      <c r="UGF59" s="69"/>
      <c r="UGG59" s="69"/>
      <c r="UGH59" s="69"/>
      <c r="UGI59" s="69"/>
      <c r="UGJ59" s="69"/>
      <c r="UGK59" s="69"/>
      <c r="UGL59" s="69"/>
      <c r="UGM59" s="69"/>
      <c r="UGN59" s="69"/>
      <c r="UGO59" s="69"/>
      <c r="UGP59" s="69"/>
      <c r="UGQ59" s="69"/>
      <c r="UGR59" s="69"/>
      <c r="UGS59" s="69"/>
      <c r="UGT59" s="69"/>
      <c r="UGU59" s="69"/>
      <c r="UGV59" s="69"/>
      <c r="UGW59" s="69" t="s">
        <v>116</v>
      </c>
      <c r="UGX59" s="69"/>
      <c r="UGY59" s="69"/>
      <c r="UGZ59" s="69"/>
      <c r="UHA59" s="69"/>
      <c r="UHB59" s="69"/>
      <c r="UHC59" s="69"/>
      <c r="UHD59" s="69"/>
      <c r="UHE59" s="69"/>
      <c r="UHF59" s="69"/>
      <c r="UHG59" s="69"/>
      <c r="UHH59" s="69"/>
      <c r="UHI59" s="69"/>
      <c r="UHJ59" s="69"/>
      <c r="UHK59" s="69"/>
      <c r="UHL59" s="69"/>
      <c r="UHM59" s="69"/>
      <c r="UHN59" s="69"/>
      <c r="UHO59" s="69"/>
      <c r="UHP59" s="69"/>
      <c r="UHQ59" s="69"/>
      <c r="UHR59" s="69"/>
      <c r="UHS59" s="69"/>
      <c r="UHT59" s="69"/>
      <c r="UHU59" s="69"/>
      <c r="UHV59" s="69"/>
      <c r="UHW59" s="69"/>
      <c r="UHX59" s="69"/>
      <c r="UHY59" s="69"/>
      <c r="UHZ59" s="69"/>
      <c r="UIA59" s="69"/>
      <c r="UIB59" s="69"/>
      <c r="UIC59" s="69" t="s">
        <v>116</v>
      </c>
      <c r="UID59" s="69"/>
      <c r="UIE59" s="69"/>
      <c r="UIF59" s="69"/>
      <c r="UIG59" s="69"/>
      <c r="UIH59" s="69"/>
      <c r="UII59" s="69"/>
      <c r="UIJ59" s="69"/>
      <c r="UIK59" s="69"/>
      <c r="UIL59" s="69"/>
      <c r="UIM59" s="69"/>
      <c r="UIN59" s="69"/>
      <c r="UIO59" s="69"/>
      <c r="UIP59" s="69"/>
      <c r="UIQ59" s="69"/>
      <c r="UIR59" s="69"/>
      <c r="UIS59" s="69"/>
      <c r="UIT59" s="69"/>
      <c r="UIU59" s="69"/>
      <c r="UIV59" s="69"/>
      <c r="UIW59" s="69"/>
      <c r="UIX59" s="69"/>
      <c r="UIY59" s="69"/>
      <c r="UIZ59" s="69"/>
      <c r="UJA59" s="69"/>
      <c r="UJB59" s="69"/>
      <c r="UJC59" s="69"/>
      <c r="UJD59" s="69"/>
      <c r="UJE59" s="69"/>
      <c r="UJF59" s="69"/>
      <c r="UJG59" s="69"/>
      <c r="UJH59" s="69"/>
      <c r="UJI59" s="69" t="s">
        <v>116</v>
      </c>
      <c r="UJJ59" s="69"/>
      <c r="UJK59" s="69"/>
      <c r="UJL59" s="69"/>
      <c r="UJM59" s="69"/>
      <c r="UJN59" s="69"/>
      <c r="UJO59" s="69"/>
      <c r="UJP59" s="69"/>
      <c r="UJQ59" s="69"/>
      <c r="UJR59" s="69"/>
      <c r="UJS59" s="69"/>
      <c r="UJT59" s="69"/>
      <c r="UJU59" s="69"/>
      <c r="UJV59" s="69"/>
      <c r="UJW59" s="69"/>
      <c r="UJX59" s="69"/>
      <c r="UJY59" s="69"/>
      <c r="UJZ59" s="69"/>
      <c r="UKA59" s="69"/>
      <c r="UKB59" s="69"/>
      <c r="UKC59" s="69"/>
      <c r="UKD59" s="69"/>
      <c r="UKE59" s="69"/>
      <c r="UKF59" s="69"/>
      <c r="UKG59" s="69"/>
      <c r="UKH59" s="69"/>
      <c r="UKI59" s="69"/>
      <c r="UKJ59" s="69"/>
      <c r="UKK59" s="69"/>
      <c r="UKL59" s="69"/>
      <c r="UKM59" s="69"/>
      <c r="UKN59" s="69"/>
      <c r="UKO59" s="69" t="s">
        <v>116</v>
      </c>
      <c r="UKP59" s="69"/>
      <c r="UKQ59" s="69"/>
      <c r="UKR59" s="69"/>
      <c r="UKS59" s="69"/>
      <c r="UKT59" s="69"/>
      <c r="UKU59" s="69"/>
      <c r="UKV59" s="69"/>
      <c r="UKW59" s="69"/>
      <c r="UKX59" s="69"/>
      <c r="UKY59" s="69"/>
      <c r="UKZ59" s="69"/>
      <c r="ULA59" s="69"/>
      <c r="ULB59" s="69"/>
      <c r="ULC59" s="69"/>
      <c r="ULD59" s="69"/>
      <c r="ULE59" s="69"/>
      <c r="ULF59" s="69"/>
      <c r="ULG59" s="69"/>
      <c r="ULH59" s="69"/>
      <c r="ULI59" s="69"/>
      <c r="ULJ59" s="69"/>
      <c r="ULK59" s="69"/>
      <c r="ULL59" s="69"/>
      <c r="ULM59" s="69"/>
      <c r="ULN59" s="69"/>
      <c r="ULO59" s="69"/>
      <c r="ULP59" s="69"/>
      <c r="ULQ59" s="69"/>
      <c r="ULR59" s="69"/>
      <c r="ULS59" s="69"/>
      <c r="ULT59" s="69"/>
      <c r="ULU59" s="69" t="s">
        <v>116</v>
      </c>
      <c r="ULV59" s="69"/>
      <c r="ULW59" s="69"/>
      <c r="ULX59" s="69"/>
      <c r="ULY59" s="69"/>
      <c r="ULZ59" s="69"/>
      <c r="UMA59" s="69"/>
      <c r="UMB59" s="69"/>
      <c r="UMC59" s="69"/>
      <c r="UMD59" s="69"/>
      <c r="UME59" s="69"/>
      <c r="UMF59" s="69"/>
      <c r="UMG59" s="69"/>
      <c r="UMH59" s="69"/>
      <c r="UMI59" s="69"/>
      <c r="UMJ59" s="69"/>
      <c r="UMK59" s="69"/>
      <c r="UML59" s="69"/>
      <c r="UMM59" s="69"/>
      <c r="UMN59" s="69"/>
      <c r="UMO59" s="69"/>
      <c r="UMP59" s="69"/>
      <c r="UMQ59" s="69"/>
      <c r="UMR59" s="69"/>
      <c r="UMS59" s="69"/>
      <c r="UMT59" s="69"/>
      <c r="UMU59" s="69"/>
      <c r="UMV59" s="69"/>
      <c r="UMW59" s="69"/>
      <c r="UMX59" s="69"/>
      <c r="UMY59" s="69"/>
      <c r="UMZ59" s="69"/>
      <c r="UNA59" s="69" t="s">
        <v>116</v>
      </c>
      <c r="UNB59" s="69"/>
      <c r="UNC59" s="69"/>
      <c r="UND59" s="69"/>
      <c r="UNE59" s="69"/>
      <c r="UNF59" s="69"/>
      <c r="UNG59" s="69"/>
      <c r="UNH59" s="69"/>
      <c r="UNI59" s="69"/>
      <c r="UNJ59" s="69"/>
      <c r="UNK59" s="69"/>
      <c r="UNL59" s="69"/>
      <c r="UNM59" s="69"/>
      <c r="UNN59" s="69"/>
      <c r="UNO59" s="69"/>
      <c r="UNP59" s="69"/>
      <c r="UNQ59" s="69"/>
      <c r="UNR59" s="69"/>
      <c r="UNS59" s="69"/>
      <c r="UNT59" s="69"/>
      <c r="UNU59" s="69"/>
      <c r="UNV59" s="69"/>
      <c r="UNW59" s="69"/>
      <c r="UNX59" s="69"/>
      <c r="UNY59" s="69"/>
      <c r="UNZ59" s="69"/>
      <c r="UOA59" s="69"/>
      <c r="UOB59" s="69"/>
      <c r="UOC59" s="69"/>
      <c r="UOD59" s="69"/>
      <c r="UOE59" s="69"/>
      <c r="UOF59" s="69"/>
      <c r="UOG59" s="69" t="s">
        <v>116</v>
      </c>
      <c r="UOH59" s="69"/>
      <c r="UOI59" s="69"/>
      <c r="UOJ59" s="69"/>
      <c r="UOK59" s="69"/>
      <c r="UOL59" s="69"/>
      <c r="UOM59" s="69"/>
      <c r="UON59" s="69"/>
      <c r="UOO59" s="69"/>
      <c r="UOP59" s="69"/>
      <c r="UOQ59" s="69"/>
      <c r="UOR59" s="69"/>
      <c r="UOS59" s="69"/>
      <c r="UOT59" s="69"/>
      <c r="UOU59" s="69"/>
      <c r="UOV59" s="69"/>
      <c r="UOW59" s="69"/>
      <c r="UOX59" s="69"/>
      <c r="UOY59" s="69"/>
      <c r="UOZ59" s="69"/>
      <c r="UPA59" s="69"/>
      <c r="UPB59" s="69"/>
      <c r="UPC59" s="69"/>
      <c r="UPD59" s="69"/>
      <c r="UPE59" s="69"/>
      <c r="UPF59" s="69"/>
      <c r="UPG59" s="69"/>
      <c r="UPH59" s="69"/>
      <c r="UPI59" s="69"/>
      <c r="UPJ59" s="69"/>
      <c r="UPK59" s="69"/>
      <c r="UPL59" s="69"/>
      <c r="UPM59" s="69" t="s">
        <v>116</v>
      </c>
      <c r="UPN59" s="69"/>
      <c r="UPO59" s="69"/>
      <c r="UPP59" s="69"/>
      <c r="UPQ59" s="69"/>
      <c r="UPR59" s="69"/>
      <c r="UPS59" s="69"/>
      <c r="UPT59" s="69"/>
      <c r="UPU59" s="69"/>
      <c r="UPV59" s="69"/>
      <c r="UPW59" s="69"/>
      <c r="UPX59" s="69"/>
      <c r="UPY59" s="69"/>
      <c r="UPZ59" s="69"/>
      <c r="UQA59" s="69"/>
      <c r="UQB59" s="69"/>
      <c r="UQC59" s="69"/>
      <c r="UQD59" s="69"/>
      <c r="UQE59" s="69"/>
      <c r="UQF59" s="69"/>
      <c r="UQG59" s="69"/>
      <c r="UQH59" s="69"/>
      <c r="UQI59" s="69"/>
      <c r="UQJ59" s="69"/>
      <c r="UQK59" s="69"/>
      <c r="UQL59" s="69"/>
      <c r="UQM59" s="69"/>
      <c r="UQN59" s="69"/>
      <c r="UQO59" s="69"/>
      <c r="UQP59" s="69"/>
      <c r="UQQ59" s="69"/>
      <c r="UQR59" s="69"/>
      <c r="UQS59" s="69" t="s">
        <v>116</v>
      </c>
      <c r="UQT59" s="69"/>
      <c r="UQU59" s="69"/>
      <c r="UQV59" s="69"/>
      <c r="UQW59" s="69"/>
      <c r="UQX59" s="69"/>
      <c r="UQY59" s="69"/>
      <c r="UQZ59" s="69"/>
      <c r="URA59" s="69"/>
      <c r="URB59" s="69"/>
      <c r="URC59" s="69"/>
      <c r="URD59" s="69"/>
      <c r="URE59" s="69"/>
      <c r="URF59" s="69"/>
      <c r="URG59" s="69"/>
      <c r="URH59" s="69"/>
      <c r="URI59" s="69"/>
      <c r="URJ59" s="69"/>
      <c r="URK59" s="69"/>
      <c r="URL59" s="69"/>
      <c r="URM59" s="69"/>
      <c r="URN59" s="69"/>
      <c r="URO59" s="69"/>
      <c r="URP59" s="69"/>
      <c r="URQ59" s="69"/>
      <c r="URR59" s="69"/>
      <c r="URS59" s="69"/>
      <c r="URT59" s="69"/>
      <c r="URU59" s="69"/>
      <c r="URV59" s="69"/>
      <c r="URW59" s="69"/>
      <c r="URX59" s="69"/>
      <c r="URY59" s="69" t="s">
        <v>116</v>
      </c>
      <c r="URZ59" s="69"/>
      <c r="USA59" s="69"/>
      <c r="USB59" s="69"/>
      <c r="USC59" s="69"/>
      <c r="USD59" s="69"/>
      <c r="USE59" s="69"/>
      <c r="USF59" s="69"/>
      <c r="USG59" s="69"/>
      <c r="USH59" s="69"/>
      <c r="USI59" s="69"/>
      <c r="USJ59" s="69"/>
      <c r="USK59" s="69"/>
      <c r="USL59" s="69"/>
      <c r="USM59" s="69"/>
      <c r="USN59" s="69"/>
      <c r="USO59" s="69"/>
      <c r="USP59" s="69"/>
      <c r="USQ59" s="69"/>
      <c r="USR59" s="69"/>
      <c r="USS59" s="69"/>
      <c r="UST59" s="69"/>
      <c r="USU59" s="69"/>
      <c r="USV59" s="69"/>
      <c r="USW59" s="69"/>
      <c r="USX59" s="69"/>
      <c r="USY59" s="69"/>
      <c r="USZ59" s="69"/>
      <c r="UTA59" s="69"/>
      <c r="UTB59" s="69"/>
      <c r="UTC59" s="69"/>
      <c r="UTD59" s="69"/>
      <c r="UTE59" s="69" t="s">
        <v>116</v>
      </c>
      <c r="UTF59" s="69"/>
      <c r="UTG59" s="69"/>
      <c r="UTH59" s="69"/>
      <c r="UTI59" s="69"/>
      <c r="UTJ59" s="69"/>
      <c r="UTK59" s="69"/>
      <c r="UTL59" s="69"/>
      <c r="UTM59" s="69"/>
      <c r="UTN59" s="69"/>
      <c r="UTO59" s="69"/>
      <c r="UTP59" s="69"/>
      <c r="UTQ59" s="69"/>
      <c r="UTR59" s="69"/>
      <c r="UTS59" s="69"/>
      <c r="UTT59" s="69"/>
      <c r="UTU59" s="69"/>
      <c r="UTV59" s="69"/>
      <c r="UTW59" s="69"/>
      <c r="UTX59" s="69"/>
      <c r="UTY59" s="69"/>
      <c r="UTZ59" s="69"/>
      <c r="UUA59" s="69"/>
      <c r="UUB59" s="69"/>
      <c r="UUC59" s="69"/>
      <c r="UUD59" s="69"/>
      <c r="UUE59" s="69"/>
      <c r="UUF59" s="69"/>
      <c r="UUG59" s="69"/>
      <c r="UUH59" s="69"/>
      <c r="UUI59" s="69"/>
      <c r="UUJ59" s="69"/>
      <c r="UUK59" s="69" t="s">
        <v>116</v>
      </c>
      <c r="UUL59" s="69"/>
      <c r="UUM59" s="69"/>
      <c r="UUN59" s="69"/>
      <c r="UUO59" s="69"/>
      <c r="UUP59" s="69"/>
      <c r="UUQ59" s="69"/>
      <c r="UUR59" s="69"/>
      <c r="UUS59" s="69"/>
      <c r="UUT59" s="69"/>
      <c r="UUU59" s="69"/>
      <c r="UUV59" s="69"/>
      <c r="UUW59" s="69"/>
      <c r="UUX59" s="69"/>
      <c r="UUY59" s="69"/>
      <c r="UUZ59" s="69"/>
      <c r="UVA59" s="69"/>
      <c r="UVB59" s="69"/>
      <c r="UVC59" s="69"/>
      <c r="UVD59" s="69"/>
      <c r="UVE59" s="69"/>
      <c r="UVF59" s="69"/>
      <c r="UVG59" s="69"/>
      <c r="UVH59" s="69"/>
      <c r="UVI59" s="69"/>
      <c r="UVJ59" s="69"/>
      <c r="UVK59" s="69"/>
      <c r="UVL59" s="69"/>
      <c r="UVM59" s="69"/>
      <c r="UVN59" s="69"/>
      <c r="UVO59" s="69"/>
      <c r="UVP59" s="69"/>
      <c r="UVQ59" s="69" t="s">
        <v>116</v>
      </c>
      <c r="UVR59" s="69"/>
      <c r="UVS59" s="69"/>
      <c r="UVT59" s="69"/>
      <c r="UVU59" s="69"/>
      <c r="UVV59" s="69"/>
      <c r="UVW59" s="69"/>
      <c r="UVX59" s="69"/>
      <c r="UVY59" s="69"/>
      <c r="UVZ59" s="69"/>
      <c r="UWA59" s="69"/>
      <c r="UWB59" s="69"/>
      <c r="UWC59" s="69"/>
      <c r="UWD59" s="69"/>
      <c r="UWE59" s="69"/>
      <c r="UWF59" s="69"/>
      <c r="UWG59" s="69"/>
      <c r="UWH59" s="69"/>
      <c r="UWI59" s="69"/>
      <c r="UWJ59" s="69"/>
      <c r="UWK59" s="69"/>
      <c r="UWL59" s="69"/>
      <c r="UWM59" s="69"/>
      <c r="UWN59" s="69"/>
      <c r="UWO59" s="69"/>
      <c r="UWP59" s="69"/>
      <c r="UWQ59" s="69"/>
      <c r="UWR59" s="69"/>
      <c r="UWS59" s="69"/>
      <c r="UWT59" s="69"/>
      <c r="UWU59" s="69"/>
      <c r="UWV59" s="69"/>
      <c r="UWW59" s="69" t="s">
        <v>116</v>
      </c>
      <c r="UWX59" s="69"/>
      <c r="UWY59" s="69"/>
      <c r="UWZ59" s="69"/>
      <c r="UXA59" s="69"/>
      <c r="UXB59" s="69"/>
      <c r="UXC59" s="69"/>
      <c r="UXD59" s="69"/>
      <c r="UXE59" s="69"/>
      <c r="UXF59" s="69"/>
      <c r="UXG59" s="69"/>
      <c r="UXH59" s="69"/>
      <c r="UXI59" s="69"/>
      <c r="UXJ59" s="69"/>
      <c r="UXK59" s="69"/>
      <c r="UXL59" s="69"/>
      <c r="UXM59" s="69"/>
      <c r="UXN59" s="69"/>
      <c r="UXO59" s="69"/>
      <c r="UXP59" s="69"/>
      <c r="UXQ59" s="69"/>
      <c r="UXR59" s="69"/>
      <c r="UXS59" s="69"/>
      <c r="UXT59" s="69"/>
      <c r="UXU59" s="69"/>
      <c r="UXV59" s="69"/>
      <c r="UXW59" s="69"/>
      <c r="UXX59" s="69"/>
      <c r="UXY59" s="69"/>
      <c r="UXZ59" s="69"/>
      <c r="UYA59" s="69"/>
      <c r="UYB59" s="69"/>
      <c r="UYC59" s="69" t="s">
        <v>116</v>
      </c>
      <c r="UYD59" s="69"/>
      <c r="UYE59" s="69"/>
      <c r="UYF59" s="69"/>
      <c r="UYG59" s="69"/>
      <c r="UYH59" s="69"/>
      <c r="UYI59" s="69"/>
      <c r="UYJ59" s="69"/>
      <c r="UYK59" s="69"/>
      <c r="UYL59" s="69"/>
      <c r="UYM59" s="69"/>
      <c r="UYN59" s="69"/>
      <c r="UYO59" s="69"/>
      <c r="UYP59" s="69"/>
      <c r="UYQ59" s="69"/>
      <c r="UYR59" s="69"/>
      <c r="UYS59" s="69"/>
      <c r="UYT59" s="69"/>
      <c r="UYU59" s="69"/>
      <c r="UYV59" s="69"/>
      <c r="UYW59" s="69"/>
      <c r="UYX59" s="69"/>
      <c r="UYY59" s="69"/>
      <c r="UYZ59" s="69"/>
      <c r="UZA59" s="69"/>
      <c r="UZB59" s="69"/>
      <c r="UZC59" s="69"/>
      <c r="UZD59" s="69"/>
      <c r="UZE59" s="69"/>
      <c r="UZF59" s="69"/>
      <c r="UZG59" s="69"/>
      <c r="UZH59" s="69"/>
      <c r="UZI59" s="69" t="s">
        <v>116</v>
      </c>
      <c r="UZJ59" s="69"/>
      <c r="UZK59" s="69"/>
      <c r="UZL59" s="69"/>
      <c r="UZM59" s="69"/>
      <c r="UZN59" s="69"/>
      <c r="UZO59" s="69"/>
      <c r="UZP59" s="69"/>
      <c r="UZQ59" s="69"/>
      <c r="UZR59" s="69"/>
      <c r="UZS59" s="69"/>
      <c r="UZT59" s="69"/>
      <c r="UZU59" s="69"/>
      <c r="UZV59" s="69"/>
      <c r="UZW59" s="69"/>
      <c r="UZX59" s="69"/>
      <c r="UZY59" s="69"/>
      <c r="UZZ59" s="69"/>
      <c r="VAA59" s="69"/>
      <c r="VAB59" s="69"/>
      <c r="VAC59" s="69"/>
      <c r="VAD59" s="69"/>
      <c r="VAE59" s="69"/>
      <c r="VAF59" s="69"/>
      <c r="VAG59" s="69"/>
      <c r="VAH59" s="69"/>
      <c r="VAI59" s="69"/>
      <c r="VAJ59" s="69"/>
      <c r="VAK59" s="69"/>
      <c r="VAL59" s="69"/>
      <c r="VAM59" s="69"/>
      <c r="VAN59" s="69"/>
      <c r="VAO59" s="69" t="s">
        <v>116</v>
      </c>
      <c r="VAP59" s="69"/>
      <c r="VAQ59" s="69"/>
      <c r="VAR59" s="69"/>
      <c r="VAS59" s="69"/>
      <c r="VAT59" s="69"/>
      <c r="VAU59" s="69"/>
      <c r="VAV59" s="69"/>
      <c r="VAW59" s="69"/>
      <c r="VAX59" s="69"/>
      <c r="VAY59" s="69"/>
      <c r="VAZ59" s="69"/>
      <c r="VBA59" s="69"/>
      <c r="VBB59" s="69"/>
      <c r="VBC59" s="69"/>
      <c r="VBD59" s="69"/>
      <c r="VBE59" s="69"/>
      <c r="VBF59" s="69"/>
      <c r="VBG59" s="69"/>
      <c r="VBH59" s="69"/>
      <c r="VBI59" s="69"/>
      <c r="VBJ59" s="69"/>
      <c r="VBK59" s="69"/>
      <c r="VBL59" s="69"/>
      <c r="VBM59" s="69"/>
      <c r="VBN59" s="69"/>
      <c r="VBO59" s="69"/>
      <c r="VBP59" s="69"/>
      <c r="VBQ59" s="69"/>
      <c r="VBR59" s="69"/>
      <c r="VBS59" s="69"/>
      <c r="VBT59" s="69"/>
      <c r="VBU59" s="69" t="s">
        <v>116</v>
      </c>
      <c r="VBV59" s="69"/>
      <c r="VBW59" s="69"/>
      <c r="VBX59" s="69"/>
      <c r="VBY59" s="69"/>
      <c r="VBZ59" s="69"/>
      <c r="VCA59" s="69"/>
      <c r="VCB59" s="69"/>
      <c r="VCC59" s="69"/>
      <c r="VCD59" s="69"/>
      <c r="VCE59" s="69"/>
      <c r="VCF59" s="69"/>
      <c r="VCG59" s="69"/>
      <c r="VCH59" s="69"/>
      <c r="VCI59" s="69"/>
      <c r="VCJ59" s="69"/>
      <c r="VCK59" s="69"/>
      <c r="VCL59" s="69"/>
      <c r="VCM59" s="69"/>
      <c r="VCN59" s="69"/>
      <c r="VCO59" s="69"/>
      <c r="VCP59" s="69"/>
      <c r="VCQ59" s="69"/>
      <c r="VCR59" s="69"/>
      <c r="VCS59" s="69"/>
      <c r="VCT59" s="69"/>
      <c r="VCU59" s="69"/>
      <c r="VCV59" s="69"/>
      <c r="VCW59" s="69"/>
      <c r="VCX59" s="69"/>
      <c r="VCY59" s="69"/>
      <c r="VCZ59" s="69"/>
      <c r="VDA59" s="69" t="s">
        <v>116</v>
      </c>
      <c r="VDB59" s="69"/>
      <c r="VDC59" s="69"/>
      <c r="VDD59" s="69"/>
      <c r="VDE59" s="69"/>
      <c r="VDF59" s="69"/>
      <c r="VDG59" s="69"/>
      <c r="VDH59" s="69"/>
      <c r="VDI59" s="69"/>
      <c r="VDJ59" s="69"/>
      <c r="VDK59" s="69"/>
      <c r="VDL59" s="69"/>
      <c r="VDM59" s="69"/>
      <c r="VDN59" s="69"/>
      <c r="VDO59" s="69"/>
      <c r="VDP59" s="69"/>
      <c r="VDQ59" s="69"/>
      <c r="VDR59" s="69"/>
      <c r="VDS59" s="69"/>
      <c r="VDT59" s="69"/>
      <c r="VDU59" s="69"/>
      <c r="VDV59" s="69"/>
      <c r="VDW59" s="69"/>
      <c r="VDX59" s="69"/>
      <c r="VDY59" s="69"/>
      <c r="VDZ59" s="69"/>
      <c r="VEA59" s="69"/>
      <c r="VEB59" s="69"/>
      <c r="VEC59" s="69"/>
      <c r="VED59" s="69"/>
      <c r="VEE59" s="69"/>
      <c r="VEF59" s="69"/>
      <c r="VEG59" s="69" t="s">
        <v>116</v>
      </c>
      <c r="VEH59" s="69"/>
      <c r="VEI59" s="69"/>
      <c r="VEJ59" s="69"/>
      <c r="VEK59" s="69"/>
      <c r="VEL59" s="69"/>
      <c r="VEM59" s="69"/>
      <c r="VEN59" s="69"/>
      <c r="VEO59" s="69"/>
      <c r="VEP59" s="69"/>
      <c r="VEQ59" s="69"/>
      <c r="VER59" s="69"/>
      <c r="VES59" s="69"/>
      <c r="VET59" s="69"/>
      <c r="VEU59" s="69"/>
      <c r="VEV59" s="69"/>
      <c r="VEW59" s="69"/>
      <c r="VEX59" s="69"/>
      <c r="VEY59" s="69"/>
      <c r="VEZ59" s="69"/>
      <c r="VFA59" s="69"/>
      <c r="VFB59" s="69"/>
      <c r="VFC59" s="69"/>
      <c r="VFD59" s="69"/>
      <c r="VFE59" s="69"/>
      <c r="VFF59" s="69"/>
      <c r="VFG59" s="69"/>
      <c r="VFH59" s="69"/>
      <c r="VFI59" s="69"/>
      <c r="VFJ59" s="69"/>
      <c r="VFK59" s="69"/>
      <c r="VFL59" s="69"/>
      <c r="VFM59" s="69" t="s">
        <v>116</v>
      </c>
      <c r="VFN59" s="69"/>
      <c r="VFO59" s="69"/>
      <c r="VFP59" s="69"/>
      <c r="VFQ59" s="69"/>
      <c r="VFR59" s="69"/>
      <c r="VFS59" s="69"/>
      <c r="VFT59" s="69"/>
      <c r="VFU59" s="69"/>
      <c r="VFV59" s="69"/>
      <c r="VFW59" s="69"/>
      <c r="VFX59" s="69"/>
      <c r="VFY59" s="69"/>
      <c r="VFZ59" s="69"/>
      <c r="VGA59" s="69"/>
      <c r="VGB59" s="69"/>
      <c r="VGC59" s="69"/>
      <c r="VGD59" s="69"/>
      <c r="VGE59" s="69"/>
      <c r="VGF59" s="69"/>
      <c r="VGG59" s="69"/>
      <c r="VGH59" s="69"/>
      <c r="VGI59" s="69"/>
      <c r="VGJ59" s="69"/>
      <c r="VGK59" s="69"/>
      <c r="VGL59" s="69"/>
      <c r="VGM59" s="69"/>
      <c r="VGN59" s="69"/>
      <c r="VGO59" s="69"/>
      <c r="VGP59" s="69"/>
      <c r="VGQ59" s="69"/>
      <c r="VGR59" s="69"/>
      <c r="VGS59" s="69" t="s">
        <v>116</v>
      </c>
      <c r="VGT59" s="69"/>
      <c r="VGU59" s="69"/>
      <c r="VGV59" s="69"/>
      <c r="VGW59" s="69"/>
      <c r="VGX59" s="69"/>
      <c r="VGY59" s="69"/>
      <c r="VGZ59" s="69"/>
      <c r="VHA59" s="69"/>
      <c r="VHB59" s="69"/>
      <c r="VHC59" s="69"/>
      <c r="VHD59" s="69"/>
      <c r="VHE59" s="69"/>
      <c r="VHF59" s="69"/>
      <c r="VHG59" s="69"/>
      <c r="VHH59" s="69"/>
      <c r="VHI59" s="69"/>
      <c r="VHJ59" s="69"/>
      <c r="VHK59" s="69"/>
      <c r="VHL59" s="69"/>
      <c r="VHM59" s="69"/>
      <c r="VHN59" s="69"/>
      <c r="VHO59" s="69"/>
      <c r="VHP59" s="69"/>
      <c r="VHQ59" s="69"/>
      <c r="VHR59" s="69"/>
      <c r="VHS59" s="69"/>
      <c r="VHT59" s="69"/>
      <c r="VHU59" s="69"/>
      <c r="VHV59" s="69"/>
      <c r="VHW59" s="69"/>
      <c r="VHX59" s="69"/>
      <c r="VHY59" s="69" t="s">
        <v>116</v>
      </c>
      <c r="VHZ59" s="69"/>
      <c r="VIA59" s="69"/>
      <c r="VIB59" s="69"/>
      <c r="VIC59" s="69"/>
      <c r="VID59" s="69"/>
      <c r="VIE59" s="69"/>
      <c r="VIF59" s="69"/>
      <c r="VIG59" s="69"/>
      <c r="VIH59" s="69"/>
      <c r="VII59" s="69"/>
      <c r="VIJ59" s="69"/>
      <c r="VIK59" s="69"/>
      <c r="VIL59" s="69"/>
      <c r="VIM59" s="69"/>
      <c r="VIN59" s="69"/>
      <c r="VIO59" s="69"/>
      <c r="VIP59" s="69"/>
      <c r="VIQ59" s="69"/>
      <c r="VIR59" s="69"/>
      <c r="VIS59" s="69"/>
      <c r="VIT59" s="69"/>
      <c r="VIU59" s="69"/>
      <c r="VIV59" s="69"/>
      <c r="VIW59" s="69"/>
      <c r="VIX59" s="69"/>
      <c r="VIY59" s="69"/>
      <c r="VIZ59" s="69"/>
      <c r="VJA59" s="69"/>
      <c r="VJB59" s="69"/>
      <c r="VJC59" s="69"/>
      <c r="VJD59" s="69"/>
      <c r="VJE59" s="69" t="s">
        <v>116</v>
      </c>
      <c r="VJF59" s="69"/>
      <c r="VJG59" s="69"/>
      <c r="VJH59" s="69"/>
      <c r="VJI59" s="69"/>
      <c r="VJJ59" s="69"/>
      <c r="VJK59" s="69"/>
      <c r="VJL59" s="69"/>
      <c r="VJM59" s="69"/>
      <c r="VJN59" s="69"/>
      <c r="VJO59" s="69"/>
      <c r="VJP59" s="69"/>
      <c r="VJQ59" s="69"/>
      <c r="VJR59" s="69"/>
      <c r="VJS59" s="69"/>
      <c r="VJT59" s="69"/>
      <c r="VJU59" s="69"/>
      <c r="VJV59" s="69"/>
      <c r="VJW59" s="69"/>
      <c r="VJX59" s="69"/>
      <c r="VJY59" s="69"/>
      <c r="VJZ59" s="69"/>
      <c r="VKA59" s="69"/>
      <c r="VKB59" s="69"/>
      <c r="VKC59" s="69"/>
      <c r="VKD59" s="69"/>
      <c r="VKE59" s="69"/>
      <c r="VKF59" s="69"/>
      <c r="VKG59" s="69"/>
      <c r="VKH59" s="69"/>
      <c r="VKI59" s="69"/>
      <c r="VKJ59" s="69"/>
      <c r="VKK59" s="69" t="s">
        <v>116</v>
      </c>
      <c r="VKL59" s="69"/>
      <c r="VKM59" s="69"/>
      <c r="VKN59" s="69"/>
      <c r="VKO59" s="69"/>
      <c r="VKP59" s="69"/>
      <c r="VKQ59" s="69"/>
      <c r="VKR59" s="69"/>
      <c r="VKS59" s="69"/>
      <c r="VKT59" s="69"/>
      <c r="VKU59" s="69"/>
      <c r="VKV59" s="69"/>
      <c r="VKW59" s="69"/>
      <c r="VKX59" s="69"/>
      <c r="VKY59" s="69"/>
      <c r="VKZ59" s="69"/>
      <c r="VLA59" s="69"/>
      <c r="VLB59" s="69"/>
      <c r="VLC59" s="69"/>
      <c r="VLD59" s="69"/>
      <c r="VLE59" s="69"/>
      <c r="VLF59" s="69"/>
      <c r="VLG59" s="69"/>
      <c r="VLH59" s="69"/>
      <c r="VLI59" s="69"/>
      <c r="VLJ59" s="69"/>
      <c r="VLK59" s="69"/>
      <c r="VLL59" s="69"/>
      <c r="VLM59" s="69"/>
      <c r="VLN59" s="69"/>
      <c r="VLO59" s="69"/>
      <c r="VLP59" s="69"/>
      <c r="VLQ59" s="69" t="s">
        <v>116</v>
      </c>
      <c r="VLR59" s="69"/>
      <c r="VLS59" s="69"/>
      <c r="VLT59" s="69"/>
      <c r="VLU59" s="69"/>
      <c r="VLV59" s="69"/>
      <c r="VLW59" s="69"/>
      <c r="VLX59" s="69"/>
      <c r="VLY59" s="69"/>
      <c r="VLZ59" s="69"/>
      <c r="VMA59" s="69"/>
      <c r="VMB59" s="69"/>
      <c r="VMC59" s="69"/>
      <c r="VMD59" s="69"/>
      <c r="VME59" s="69"/>
      <c r="VMF59" s="69"/>
      <c r="VMG59" s="69"/>
      <c r="VMH59" s="69"/>
      <c r="VMI59" s="69"/>
      <c r="VMJ59" s="69"/>
      <c r="VMK59" s="69"/>
      <c r="VML59" s="69"/>
      <c r="VMM59" s="69"/>
      <c r="VMN59" s="69"/>
      <c r="VMO59" s="69"/>
      <c r="VMP59" s="69"/>
      <c r="VMQ59" s="69"/>
      <c r="VMR59" s="69"/>
      <c r="VMS59" s="69"/>
      <c r="VMT59" s="69"/>
      <c r="VMU59" s="69"/>
      <c r="VMV59" s="69"/>
      <c r="VMW59" s="69" t="s">
        <v>116</v>
      </c>
      <c r="VMX59" s="69"/>
      <c r="VMY59" s="69"/>
      <c r="VMZ59" s="69"/>
      <c r="VNA59" s="69"/>
      <c r="VNB59" s="69"/>
      <c r="VNC59" s="69"/>
      <c r="VND59" s="69"/>
      <c r="VNE59" s="69"/>
      <c r="VNF59" s="69"/>
      <c r="VNG59" s="69"/>
      <c r="VNH59" s="69"/>
      <c r="VNI59" s="69"/>
      <c r="VNJ59" s="69"/>
      <c r="VNK59" s="69"/>
      <c r="VNL59" s="69"/>
      <c r="VNM59" s="69"/>
      <c r="VNN59" s="69"/>
      <c r="VNO59" s="69"/>
      <c r="VNP59" s="69"/>
      <c r="VNQ59" s="69"/>
      <c r="VNR59" s="69"/>
      <c r="VNS59" s="69"/>
      <c r="VNT59" s="69"/>
      <c r="VNU59" s="69"/>
      <c r="VNV59" s="69"/>
      <c r="VNW59" s="69"/>
      <c r="VNX59" s="69"/>
      <c r="VNY59" s="69"/>
      <c r="VNZ59" s="69"/>
      <c r="VOA59" s="69"/>
      <c r="VOB59" s="69"/>
      <c r="VOC59" s="69" t="s">
        <v>116</v>
      </c>
      <c r="VOD59" s="69"/>
      <c r="VOE59" s="69"/>
      <c r="VOF59" s="69"/>
      <c r="VOG59" s="69"/>
      <c r="VOH59" s="69"/>
      <c r="VOI59" s="69"/>
      <c r="VOJ59" s="69"/>
      <c r="VOK59" s="69"/>
      <c r="VOL59" s="69"/>
      <c r="VOM59" s="69"/>
      <c r="VON59" s="69"/>
      <c r="VOO59" s="69"/>
      <c r="VOP59" s="69"/>
      <c r="VOQ59" s="69"/>
      <c r="VOR59" s="69"/>
      <c r="VOS59" s="69"/>
      <c r="VOT59" s="69"/>
      <c r="VOU59" s="69"/>
      <c r="VOV59" s="69"/>
      <c r="VOW59" s="69"/>
      <c r="VOX59" s="69"/>
      <c r="VOY59" s="69"/>
      <c r="VOZ59" s="69"/>
      <c r="VPA59" s="69"/>
      <c r="VPB59" s="69"/>
      <c r="VPC59" s="69"/>
      <c r="VPD59" s="69"/>
      <c r="VPE59" s="69"/>
      <c r="VPF59" s="69"/>
      <c r="VPG59" s="69"/>
      <c r="VPH59" s="69"/>
      <c r="VPI59" s="69" t="s">
        <v>116</v>
      </c>
      <c r="VPJ59" s="69"/>
      <c r="VPK59" s="69"/>
      <c r="VPL59" s="69"/>
      <c r="VPM59" s="69"/>
      <c r="VPN59" s="69"/>
      <c r="VPO59" s="69"/>
      <c r="VPP59" s="69"/>
      <c r="VPQ59" s="69"/>
      <c r="VPR59" s="69"/>
      <c r="VPS59" s="69"/>
      <c r="VPT59" s="69"/>
      <c r="VPU59" s="69"/>
      <c r="VPV59" s="69"/>
      <c r="VPW59" s="69"/>
      <c r="VPX59" s="69"/>
      <c r="VPY59" s="69"/>
      <c r="VPZ59" s="69"/>
      <c r="VQA59" s="69"/>
      <c r="VQB59" s="69"/>
      <c r="VQC59" s="69"/>
      <c r="VQD59" s="69"/>
      <c r="VQE59" s="69"/>
      <c r="VQF59" s="69"/>
      <c r="VQG59" s="69"/>
      <c r="VQH59" s="69"/>
      <c r="VQI59" s="69"/>
      <c r="VQJ59" s="69"/>
      <c r="VQK59" s="69"/>
      <c r="VQL59" s="69"/>
      <c r="VQM59" s="69"/>
      <c r="VQN59" s="69"/>
      <c r="VQO59" s="69" t="s">
        <v>116</v>
      </c>
      <c r="VQP59" s="69"/>
      <c r="VQQ59" s="69"/>
      <c r="VQR59" s="69"/>
      <c r="VQS59" s="69"/>
      <c r="VQT59" s="69"/>
      <c r="VQU59" s="69"/>
      <c r="VQV59" s="69"/>
      <c r="VQW59" s="69"/>
      <c r="VQX59" s="69"/>
      <c r="VQY59" s="69"/>
      <c r="VQZ59" s="69"/>
      <c r="VRA59" s="69"/>
      <c r="VRB59" s="69"/>
      <c r="VRC59" s="69"/>
      <c r="VRD59" s="69"/>
      <c r="VRE59" s="69"/>
      <c r="VRF59" s="69"/>
      <c r="VRG59" s="69"/>
      <c r="VRH59" s="69"/>
      <c r="VRI59" s="69"/>
      <c r="VRJ59" s="69"/>
      <c r="VRK59" s="69"/>
      <c r="VRL59" s="69"/>
      <c r="VRM59" s="69"/>
      <c r="VRN59" s="69"/>
      <c r="VRO59" s="69"/>
      <c r="VRP59" s="69"/>
      <c r="VRQ59" s="69"/>
      <c r="VRR59" s="69"/>
      <c r="VRS59" s="69"/>
      <c r="VRT59" s="69"/>
      <c r="VRU59" s="69" t="s">
        <v>116</v>
      </c>
      <c r="VRV59" s="69"/>
      <c r="VRW59" s="69"/>
      <c r="VRX59" s="69"/>
      <c r="VRY59" s="69"/>
      <c r="VRZ59" s="69"/>
      <c r="VSA59" s="69"/>
      <c r="VSB59" s="69"/>
      <c r="VSC59" s="69"/>
      <c r="VSD59" s="69"/>
      <c r="VSE59" s="69"/>
      <c r="VSF59" s="69"/>
      <c r="VSG59" s="69"/>
      <c r="VSH59" s="69"/>
      <c r="VSI59" s="69"/>
      <c r="VSJ59" s="69"/>
      <c r="VSK59" s="69"/>
      <c r="VSL59" s="69"/>
      <c r="VSM59" s="69"/>
      <c r="VSN59" s="69"/>
      <c r="VSO59" s="69"/>
      <c r="VSP59" s="69"/>
      <c r="VSQ59" s="69"/>
      <c r="VSR59" s="69"/>
      <c r="VSS59" s="69"/>
      <c r="VST59" s="69"/>
      <c r="VSU59" s="69"/>
      <c r="VSV59" s="69"/>
      <c r="VSW59" s="69"/>
      <c r="VSX59" s="69"/>
      <c r="VSY59" s="69"/>
      <c r="VSZ59" s="69"/>
      <c r="VTA59" s="69" t="s">
        <v>116</v>
      </c>
      <c r="VTB59" s="69"/>
      <c r="VTC59" s="69"/>
      <c r="VTD59" s="69"/>
      <c r="VTE59" s="69"/>
      <c r="VTF59" s="69"/>
      <c r="VTG59" s="69"/>
      <c r="VTH59" s="69"/>
      <c r="VTI59" s="69"/>
      <c r="VTJ59" s="69"/>
      <c r="VTK59" s="69"/>
      <c r="VTL59" s="69"/>
      <c r="VTM59" s="69"/>
      <c r="VTN59" s="69"/>
      <c r="VTO59" s="69"/>
      <c r="VTP59" s="69"/>
      <c r="VTQ59" s="69"/>
      <c r="VTR59" s="69"/>
      <c r="VTS59" s="69"/>
      <c r="VTT59" s="69"/>
      <c r="VTU59" s="69"/>
      <c r="VTV59" s="69"/>
      <c r="VTW59" s="69"/>
      <c r="VTX59" s="69"/>
      <c r="VTY59" s="69"/>
      <c r="VTZ59" s="69"/>
      <c r="VUA59" s="69"/>
      <c r="VUB59" s="69"/>
      <c r="VUC59" s="69"/>
      <c r="VUD59" s="69"/>
      <c r="VUE59" s="69"/>
      <c r="VUF59" s="69"/>
      <c r="VUG59" s="69" t="s">
        <v>116</v>
      </c>
      <c r="VUH59" s="69"/>
      <c r="VUI59" s="69"/>
      <c r="VUJ59" s="69"/>
      <c r="VUK59" s="69"/>
      <c r="VUL59" s="69"/>
      <c r="VUM59" s="69"/>
      <c r="VUN59" s="69"/>
      <c r="VUO59" s="69"/>
      <c r="VUP59" s="69"/>
      <c r="VUQ59" s="69"/>
      <c r="VUR59" s="69"/>
      <c r="VUS59" s="69"/>
      <c r="VUT59" s="69"/>
      <c r="VUU59" s="69"/>
      <c r="VUV59" s="69"/>
      <c r="VUW59" s="69"/>
      <c r="VUX59" s="69"/>
      <c r="VUY59" s="69"/>
      <c r="VUZ59" s="69"/>
      <c r="VVA59" s="69"/>
      <c r="VVB59" s="69"/>
      <c r="VVC59" s="69"/>
      <c r="VVD59" s="69"/>
      <c r="VVE59" s="69"/>
      <c r="VVF59" s="69"/>
      <c r="VVG59" s="69"/>
      <c r="VVH59" s="69"/>
      <c r="VVI59" s="69"/>
      <c r="VVJ59" s="69"/>
      <c r="VVK59" s="69"/>
      <c r="VVL59" s="69"/>
      <c r="VVM59" s="69" t="s">
        <v>116</v>
      </c>
      <c r="VVN59" s="69"/>
      <c r="VVO59" s="69"/>
      <c r="VVP59" s="69"/>
      <c r="VVQ59" s="69"/>
      <c r="VVR59" s="69"/>
      <c r="VVS59" s="69"/>
      <c r="VVT59" s="69"/>
      <c r="VVU59" s="69"/>
      <c r="VVV59" s="69"/>
      <c r="VVW59" s="69"/>
      <c r="VVX59" s="69"/>
      <c r="VVY59" s="69"/>
      <c r="VVZ59" s="69"/>
      <c r="VWA59" s="69"/>
      <c r="VWB59" s="69"/>
      <c r="VWC59" s="69"/>
      <c r="VWD59" s="69"/>
      <c r="VWE59" s="69"/>
      <c r="VWF59" s="69"/>
      <c r="VWG59" s="69"/>
      <c r="VWH59" s="69"/>
      <c r="VWI59" s="69"/>
      <c r="VWJ59" s="69"/>
      <c r="VWK59" s="69"/>
      <c r="VWL59" s="69"/>
      <c r="VWM59" s="69"/>
      <c r="VWN59" s="69"/>
      <c r="VWO59" s="69"/>
      <c r="VWP59" s="69"/>
      <c r="VWQ59" s="69"/>
      <c r="VWR59" s="69"/>
      <c r="VWS59" s="69" t="s">
        <v>116</v>
      </c>
      <c r="VWT59" s="69"/>
      <c r="VWU59" s="69"/>
      <c r="VWV59" s="69"/>
      <c r="VWW59" s="69"/>
      <c r="VWX59" s="69"/>
      <c r="VWY59" s="69"/>
      <c r="VWZ59" s="69"/>
      <c r="VXA59" s="69"/>
      <c r="VXB59" s="69"/>
      <c r="VXC59" s="69"/>
      <c r="VXD59" s="69"/>
      <c r="VXE59" s="69"/>
      <c r="VXF59" s="69"/>
      <c r="VXG59" s="69"/>
      <c r="VXH59" s="69"/>
      <c r="VXI59" s="69"/>
      <c r="VXJ59" s="69"/>
      <c r="VXK59" s="69"/>
      <c r="VXL59" s="69"/>
      <c r="VXM59" s="69"/>
      <c r="VXN59" s="69"/>
      <c r="VXO59" s="69"/>
      <c r="VXP59" s="69"/>
      <c r="VXQ59" s="69"/>
      <c r="VXR59" s="69"/>
      <c r="VXS59" s="69"/>
      <c r="VXT59" s="69"/>
      <c r="VXU59" s="69"/>
      <c r="VXV59" s="69"/>
      <c r="VXW59" s="69"/>
      <c r="VXX59" s="69"/>
      <c r="VXY59" s="69" t="s">
        <v>116</v>
      </c>
      <c r="VXZ59" s="69"/>
      <c r="VYA59" s="69"/>
      <c r="VYB59" s="69"/>
      <c r="VYC59" s="69"/>
      <c r="VYD59" s="69"/>
      <c r="VYE59" s="69"/>
      <c r="VYF59" s="69"/>
      <c r="VYG59" s="69"/>
      <c r="VYH59" s="69"/>
      <c r="VYI59" s="69"/>
      <c r="VYJ59" s="69"/>
      <c r="VYK59" s="69"/>
      <c r="VYL59" s="69"/>
      <c r="VYM59" s="69"/>
      <c r="VYN59" s="69"/>
      <c r="VYO59" s="69"/>
      <c r="VYP59" s="69"/>
      <c r="VYQ59" s="69"/>
      <c r="VYR59" s="69"/>
      <c r="VYS59" s="69"/>
      <c r="VYT59" s="69"/>
      <c r="VYU59" s="69"/>
      <c r="VYV59" s="69"/>
      <c r="VYW59" s="69"/>
      <c r="VYX59" s="69"/>
      <c r="VYY59" s="69"/>
      <c r="VYZ59" s="69"/>
      <c r="VZA59" s="69"/>
      <c r="VZB59" s="69"/>
      <c r="VZC59" s="69"/>
      <c r="VZD59" s="69"/>
      <c r="VZE59" s="69" t="s">
        <v>116</v>
      </c>
      <c r="VZF59" s="69"/>
      <c r="VZG59" s="69"/>
      <c r="VZH59" s="69"/>
      <c r="VZI59" s="69"/>
      <c r="VZJ59" s="69"/>
      <c r="VZK59" s="69"/>
      <c r="VZL59" s="69"/>
      <c r="VZM59" s="69"/>
      <c r="VZN59" s="69"/>
      <c r="VZO59" s="69"/>
      <c r="VZP59" s="69"/>
      <c r="VZQ59" s="69"/>
      <c r="VZR59" s="69"/>
      <c r="VZS59" s="69"/>
      <c r="VZT59" s="69"/>
      <c r="VZU59" s="69"/>
      <c r="VZV59" s="69"/>
      <c r="VZW59" s="69"/>
      <c r="VZX59" s="69"/>
      <c r="VZY59" s="69"/>
      <c r="VZZ59" s="69"/>
      <c r="WAA59" s="69"/>
      <c r="WAB59" s="69"/>
      <c r="WAC59" s="69"/>
      <c r="WAD59" s="69"/>
      <c r="WAE59" s="69"/>
      <c r="WAF59" s="69"/>
      <c r="WAG59" s="69"/>
      <c r="WAH59" s="69"/>
      <c r="WAI59" s="69"/>
      <c r="WAJ59" s="69"/>
      <c r="WAK59" s="69" t="s">
        <v>116</v>
      </c>
      <c r="WAL59" s="69"/>
      <c r="WAM59" s="69"/>
      <c r="WAN59" s="69"/>
      <c r="WAO59" s="69"/>
      <c r="WAP59" s="69"/>
      <c r="WAQ59" s="69"/>
      <c r="WAR59" s="69"/>
      <c r="WAS59" s="69"/>
      <c r="WAT59" s="69"/>
      <c r="WAU59" s="69"/>
      <c r="WAV59" s="69"/>
      <c r="WAW59" s="69"/>
      <c r="WAX59" s="69"/>
      <c r="WAY59" s="69"/>
      <c r="WAZ59" s="69"/>
      <c r="WBA59" s="69"/>
      <c r="WBB59" s="69"/>
      <c r="WBC59" s="69"/>
      <c r="WBD59" s="69"/>
      <c r="WBE59" s="69"/>
      <c r="WBF59" s="69"/>
      <c r="WBG59" s="69"/>
      <c r="WBH59" s="69"/>
      <c r="WBI59" s="69"/>
      <c r="WBJ59" s="69"/>
      <c r="WBK59" s="69"/>
      <c r="WBL59" s="69"/>
      <c r="WBM59" s="69"/>
      <c r="WBN59" s="69"/>
      <c r="WBO59" s="69"/>
      <c r="WBP59" s="69"/>
      <c r="WBQ59" s="69" t="s">
        <v>116</v>
      </c>
      <c r="WBR59" s="69"/>
      <c r="WBS59" s="69"/>
      <c r="WBT59" s="69"/>
      <c r="WBU59" s="69"/>
      <c r="WBV59" s="69"/>
      <c r="WBW59" s="69"/>
      <c r="WBX59" s="69"/>
      <c r="WBY59" s="69"/>
      <c r="WBZ59" s="69"/>
      <c r="WCA59" s="69"/>
      <c r="WCB59" s="69"/>
      <c r="WCC59" s="69"/>
      <c r="WCD59" s="69"/>
      <c r="WCE59" s="69"/>
      <c r="WCF59" s="69"/>
      <c r="WCG59" s="69"/>
      <c r="WCH59" s="69"/>
      <c r="WCI59" s="69"/>
      <c r="WCJ59" s="69"/>
      <c r="WCK59" s="69"/>
      <c r="WCL59" s="69"/>
      <c r="WCM59" s="69"/>
      <c r="WCN59" s="69"/>
      <c r="WCO59" s="69"/>
      <c r="WCP59" s="69"/>
      <c r="WCQ59" s="69"/>
      <c r="WCR59" s="69"/>
      <c r="WCS59" s="69"/>
      <c r="WCT59" s="69"/>
      <c r="WCU59" s="69"/>
      <c r="WCV59" s="69"/>
      <c r="WCW59" s="69" t="s">
        <v>116</v>
      </c>
      <c r="WCX59" s="69"/>
      <c r="WCY59" s="69"/>
      <c r="WCZ59" s="69"/>
      <c r="WDA59" s="69"/>
      <c r="WDB59" s="69"/>
      <c r="WDC59" s="69"/>
      <c r="WDD59" s="69"/>
      <c r="WDE59" s="69"/>
      <c r="WDF59" s="69"/>
      <c r="WDG59" s="69"/>
      <c r="WDH59" s="69"/>
      <c r="WDI59" s="69"/>
      <c r="WDJ59" s="69"/>
      <c r="WDK59" s="69"/>
      <c r="WDL59" s="69"/>
      <c r="WDM59" s="69"/>
      <c r="WDN59" s="69"/>
      <c r="WDO59" s="69"/>
      <c r="WDP59" s="69"/>
      <c r="WDQ59" s="69"/>
      <c r="WDR59" s="69"/>
      <c r="WDS59" s="69"/>
      <c r="WDT59" s="69"/>
      <c r="WDU59" s="69"/>
      <c r="WDV59" s="69"/>
      <c r="WDW59" s="69"/>
      <c r="WDX59" s="69"/>
      <c r="WDY59" s="69"/>
      <c r="WDZ59" s="69"/>
      <c r="WEA59" s="69"/>
      <c r="WEB59" s="69"/>
      <c r="WEC59" s="69" t="s">
        <v>116</v>
      </c>
      <c r="WED59" s="69"/>
      <c r="WEE59" s="69"/>
      <c r="WEF59" s="69"/>
      <c r="WEG59" s="69"/>
      <c r="WEH59" s="69"/>
      <c r="WEI59" s="69"/>
      <c r="WEJ59" s="69"/>
      <c r="WEK59" s="69"/>
      <c r="WEL59" s="69"/>
      <c r="WEM59" s="69"/>
      <c r="WEN59" s="69"/>
      <c r="WEO59" s="69"/>
      <c r="WEP59" s="69"/>
      <c r="WEQ59" s="69"/>
      <c r="WER59" s="69"/>
      <c r="WES59" s="69"/>
      <c r="WET59" s="69"/>
      <c r="WEU59" s="69"/>
      <c r="WEV59" s="69"/>
      <c r="WEW59" s="69"/>
      <c r="WEX59" s="69"/>
      <c r="WEY59" s="69"/>
      <c r="WEZ59" s="69"/>
      <c r="WFA59" s="69"/>
      <c r="WFB59" s="69"/>
      <c r="WFC59" s="69"/>
      <c r="WFD59" s="69"/>
      <c r="WFE59" s="69"/>
      <c r="WFF59" s="69"/>
      <c r="WFG59" s="69"/>
      <c r="WFH59" s="69"/>
      <c r="WFI59" s="69" t="s">
        <v>116</v>
      </c>
      <c r="WFJ59" s="69"/>
      <c r="WFK59" s="69"/>
      <c r="WFL59" s="69"/>
      <c r="WFM59" s="69"/>
      <c r="WFN59" s="69"/>
      <c r="WFO59" s="69"/>
      <c r="WFP59" s="69"/>
      <c r="WFQ59" s="69"/>
      <c r="WFR59" s="69"/>
      <c r="WFS59" s="69"/>
      <c r="WFT59" s="69"/>
      <c r="WFU59" s="69"/>
      <c r="WFV59" s="69"/>
      <c r="WFW59" s="69"/>
      <c r="WFX59" s="69"/>
      <c r="WFY59" s="69"/>
      <c r="WFZ59" s="69"/>
      <c r="WGA59" s="69"/>
      <c r="WGB59" s="69"/>
      <c r="WGC59" s="69"/>
      <c r="WGD59" s="69"/>
      <c r="WGE59" s="69"/>
      <c r="WGF59" s="69"/>
      <c r="WGG59" s="69"/>
      <c r="WGH59" s="69"/>
      <c r="WGI59" s="69"/>
      <c r="WGJ59" s="69"/>
      <c r="WGK59" s="69"/>
      <c r="WGL59" s="69"/>
      <c r="WGM59" s="69"/>
      <c r="WGN59" s="69"/>
      <c r="WGO59" s="69" t="s">
        <v>116</v>
      </c>
      <c r="WGP59" s="69"/>
      <c r="WGQ59" s="69"/>
      <c r="WGR59" s="69"/>
      <c r="WGS59" s="69"/>
      <c r="WGT59" s="69"/>
      <c r="WGU59" s="69"/>
      <c r="WGV59" s="69"/>
      <c r="WGW59" s="69"/>
      <c r="WGX59" s="69"/>
      <c r="WGY59" s="69"/>
      <c r="WGZ59" s="69"/>
      <c r="WHA59" s="69"/>
      <c r="WHB59" s="69"/>
      <c r="WHC59" s="69"/>
      <c r="WHD59" s="69"/>
      <c r="WHE59" s="69"/>
      <c r="WHF59" s="69"/>
      <c r="WHG59" s="69"/>
      <c r="WHH59" s="69"/>
      <c r="WHI59" s="69"/>
      <c r="WHJ59" s="69"/>
      <c r="WHK59" s="69"/>
      <c r="WHL59" s="69"/>
      <c r="WHM59" s="69"/>
      <c r="WHN59" s="69"/>
      <c r="WHO59" s="69"/>
      <c r="WHP59" s="69"/>
      <c r="WHQ59" s="69"/>
      <c r="WHR59" s="69"/>
      <c r="WHS59" s="69"/>
      <c r="WHT59" s="69"/>
      <c r="WHU59" s="69" t="s">
        <v>116</v>
      </c>
      <c r="WHV59" s="69"/>
      <c r="WHW59" s="69"/>
      <c r="WHX59" s="69"/>
      <c r="WHY59" s="69"/>
      <c r="WHZ59" s="69"/>
      <c r="WIA59" s="69"/>
      <c r="WIB59" s="69"/>
      <c r="WIC59" s="69"/>
      <c r="WID59" s="69"/>
      <c r="WIE59" s="69"/>
      <c r="WIF59" s="69"/>
      <c r="WIG59" s="69"/>
      <c r="WIH59" s="69"/>
      <c r="WII59" s="69"/>
      <c r="WIJ59" s="69"/>
      <c r="WIK59" s="69"/>
      <c r="WIL59" s="69"/>
      <c r="WIM59" s="69"/>
      <c r="WIN59" s="69"/>
      <c r="WIO59" s="69"/>
      <c r="WIP59" s="69"/>
      <c r="WIQ59" s="69"/>
      <c r="WIR59" s="69"/>
      <c r="WIS59" s="69"/>
      <c r="WIT59" s="69"/>
      <c r="WIU59" s="69"/>
      <c r="WIV59" s="69"/>
      <c r="WIW59" s="69"/>
      <c r="WIX59" s="69"/>
      <c r="WIY59" s="69"/>
      <c r="WIZ59" s="69"/>
      <c r="WJA59" s="69" t="s">
        <v>116</v>
      </c>
      <c r="WJB59" s="69"/>
      <c r="WJC59" s="69"/>
      <c r="WJD59" s="69"/>
      <c r="WJE59" s="69"/>
      <c r="WJF59" s="69"/>
      <c r="WJG59" s="69"/>
      <c r="WJH59" s="69"/>
      <c r="WJI59" s="69"/>
      <c r="WJJ59" s="69"/>
      <c r="WJK59" s="69"/>
      <c r="WJL59" s="69"/>
      <c r="WJM59" s="69"/>
      <c r="WJN59" s="69"/>
      <c r="WJO59" s="69"/>
      <c r="WJP59" s="69"/>
      <c r="WJQ59" s="69"/>
      <c r="WJR59" s="69"/>
      <c r="WJS59" s="69"/>
      <c r="WJT59" s="69"/>
      <c r="WJU59" s="69"/>
      <c r="WJV59" s="69"/>
      <c r="WJW59" s="69"/>
      <c r="WJX59" s="69"/>
      <c r="WJY59" s="69"/>
      <c r="WJZ59" s="69"/>
      <c r="WKA59" s="69"/>
      <c r="WKB59" s="69"/>
      <c r="WKC59" s="69"/>
      <c r="WKD59" s="69"/>
      <c r="WKE59" s="69"/>
      <c r="WKF59" s="69"/>
      <c r="WKG59" s="69" t="s">
        <v>116</v>
      </c>
      <c r="WKH59" s="69"/>
      <c r="WKI59" s="69"/>
      <c r="WKJ59" s="69"/>
      <c r="WKK59" s="69"/>
      <c r="WKL59" s="69"/>
      <c r="WKM59" s="69"/>
      <c r="WKN59" s="69"/>
      <c r="WKO59" s="69"/>
      <c r="WKP59" s="69"/>
      <c r="WKQ59" s="69"/>
      <c r="WKR59" s="69"/>
      <c r="WKS59" s="69"/>
      <c r="WKT59" s="69"/>
      <c r="WKU59" s="69"/>
      <c r="WKV59" s="69"/>
      <c r="WKW59" s="69"/>
      <c r="WKX59" s="69"/>
      <c r="WKY59" s="69"/>
      <c r="WKZ59" s="69"/>
      <c r="WLA59" s="69"/>
      <c r="WLB59" s="69"/>
      <c r="WLC59" s="69"/>
      <c r="WLD59" s="69"/>
      <c r="WLE59" s="69"/>
      <c r="WLF59" s="69"/>
      <c r="WLG59" s="69"/>
      <c r="WLH59" s="69"/>
      <c r="WLI59" s="69"/>
      <c r="WLJ59" s="69"/>
      <c r="WLK59" s="69"/>
      <c r="WLL59" s="69"/>
      <c r="WLM59" s="69" t="s">
        <v>116</v>
      </c>
      <c r="WLN59" s="69"/>
      <c r="WLO59" s="69"/>
      <c r="WLP59" s="69"/>
      <c r="WLQ59" s="69"/>
      <c r="WLR59" s="69"/>
      <c r="WLS59" s="69"/>
      <c r="WLT59" s="69"/>
      <c r="WLU59" s="69"/>
      <c r="WLV59" s="69"/>
      <c r="WLW59" s="69"/>
      <c r="WLX59" s="69"/>
      <c r="WLY59" s="69"/>
      <c r="WLZ59" s="69"/>
      <c r="WMA59" s="69"/>
      <c r="WMB59" s="69"/>
      <c r="WMC59" s="69"/>
      <c r="WMD59" s="69"/>
      <c r="WME59" s="69"/>
      <c r="WMF59" s="69"/>
      <c r="WMG59" s="69"/>
      <c r="WMH59" s="69"/>
      <c r="WMI59" s="69"/>
      <c r="WMJ59" s="69"/>
      <c r="WMK59" s="69"/>
      <c r="WML59" s="69"/>
      <c r="WMM59" s="69"/>
      <c r="WMN59" s="69"/>
      <c r="WMO59" s="69"/>
      <c r="WMP59" s="69"/>
      <c r="WMQ59" s="69"/>
      <c r="WMR59" s="69"/>
      <c r="WMS59" s="69" t="s">
        <v>116</v>
      </c>
      <c r="WMT59" s="69"/>
      <c r="WMU59" s="69"/>
      <c r="WMV59" s="69"/>
      <c r="WMW59" s="69"/>
      <c r="WMX59" s="69"/>
      <c r="WMY59" s="69"/>
      <c r="WMZ59" s="69"/>
      <c r="WNA59" s="69"/>
      <c r="WNB59" s="69"/>
      <c r="WNC59" s="69"/>
      <c r="WND59" s="69"/>
      <c r="WNE59" s="69"/>
      <c r="WNF59" s="69"/>
      <c r="WNG59" s="69"/>
      <c r="WNH59" s="69"/>
      <c r="WNI59" s="69"/>
      <c r="WNJ59" s="69"/>
      <c r="WNK59" s="69"/>
      <c r="WNL59" s="69"/>
      <c r="WNM59" s="69"/>
      <c r="WNN59" s="69"/>
      <c r="WNO59" s="69"/>
      <c r="WNP59" s="69"/>
      <c r="WNQ59" s="69"/>
      <c r="WNR59" s="69"/>
      <c r="WNS59" s="69"/>
      <c r="WNT59" s="69"/>
      <c r="WNU59" s="69"/>
      <c r="WNV59" s="69"/>
      <c r="WNW59" s="69"/>
      <c r="WNX59" s="69"/>
      <c r="WNY59" s="69" t="s">
        <v>116</v>
      </c>
      <c r="WNZ59" s="69"/>
      <c r="WOA59" s="69"/>
      <c r="WOB59" s="69"/>
      <c r="WOC59" s="69"/>
      <c r="WOD59" s="69"/>
      <c r="WOE59" s="69"/>
      <c r="WOF59" s="69"/>
      <c r="WOG59" s="69"/>
      <c r="WOH59" s="69"/>
      <c r="WOI59" s="69"/>
      <c r="WOJ59" s="69"/>
      <c r="WOK59" s="69"/>
      <c r="WOL59" s="69"/>
      <c r="WOM59" s="69"/>
      <c r="WON59" s="69"/>
      <c r="WOO59" s="69"/>
      <c r="WOP59" s="69"/>
      <c r="WOQ59" s="69"/>
      <c r="WOR59" s="69"/>
      <c r="WOS59" s="69"/>
      <c r="WOT59" s="69"/>
      <c r="WOU59" s="69"/>
      <c r="WOV59" s="69"/>
      <c r="WOW59" s="69"/>
      <c r="WOX59" s="69"/>
      <c r="WOY59" s="69"/>
      <c r="WOZ59" s="69"/>
      <c r="WPA59" s="69"/>
      <c r="WPB59" s="69"/>
      <c r="WPC59" s="69"/>
      <c r="WPD59" s="69"/>
      <c r="WPE59" s="69" t="s">
        <v>116</v>
      </c>
      <c r="WPF59" s="69"/>
      <c r="WPG59" s="69"/>
      <c r="WPH59" s="69"/>
      <c r="WPI59" s="69"/>
      <c r="WPJ59" s="69"/>
      <c r="WPK59" s="69"/>
      <c r="WPL59" s="69"/>
      <c r="WPM59" s="69"/>
      <c r="WPN59" s="69"/>
      <c r="WPO59" s="69"/>
      <c r="WPP59" s="69"/>
      <c r="WPQ59" s="69"/>
      <c r="WPR59" s="69"/>
      <c r="WPS59" s="69"/>
      <c r="WPT59" s="69"/>
      <c r="WPU59" s="69"/>
      <c r="WPV59" s="69"/>
      <c r="WPW59" s="69"/>
      <c r="WPX59" s="69"/>
      <c r="WPY59" s="69"/>
      <c r="WPZ59" s="69"/>
      <c r="WQA59" s="69"/>
      <c r="WQB59" s="69"/>
      <c r="WQC59" s="69"/>
      <c r="WQD59" s="69"/>
      <c r="WQE59" s="69"/>
      <c r="WQF59" s="69"/>
      <c r="WQG59" s="69"/>
      <c r="WQH59" s="69"/>
      <c r="WQI59" s="69"/>
      <c r="WQJ59" s="69"/>
      <c r="WQK59" s="69" t="s">
        <v>116</v>
      </c>
      <c r="WQL59" s="69"/>
      <c r="WQM59" s="69"/>
      <c r="WQN59" s="69"/>
      <c r="WQO59" s="69"/>
      <c r="WQP59" s="69"/>
      <c r="WQQ59" s="69"/>
      <c r="WQR59" s="69"/>
      <c r="WQS59" s="69"/>
      <c r="WQT59" s="69"/>
      <c r="WQU59" s="69"/>
      <c r="WQV59" s="69"/>
      <c r="WQW59" s="69"/>
      <c r="WQX59" s="69"/>
      <c r="WQY59" s="69"/>
      <c r="WQZ59" s="69"/>
      <c r="WRA59" s="69"/>
      <c r="WRB59" s="69"/>
      <c r="WRC59" s="69"/>
      <c r="WRD59" s="69"/>
      <c r="WRE59" s="69"/>
      <c r="WRF59" s="69"/>
      <c r="WRG59" s="69"/>
      <c r="WRH59" s="69"/>
      <c r="WRI59" s="69"/>
      <c r="WRJ59" s="69"/>
      <c r="WRK59" s="69"/>
      <c r="WRL59" s="69"/>
      <c r="WRM59" s="69"/>
      <c r="WRN59" s="69"/>
      <c r="WRO59" s="69"/>
      <c r="WRP59" s="69"/>
      <c r="WRQ59" s="69" t="s">
        <v>116</v>
      </c>
      <c r="WRR59" s="69"/>
      <c r="WRS59" s="69"/>
      <c r="WRT59" s="69"/>
      <c r="WRU59" s="69"/>
      <c r="WRV59" s="69"/>
      <c r="WRW59" s="69"/>
      <c r="WRX59" s="69"/>
      <c r="WRY59" s="69"/>
      <c r="WRZ59" s="69"/>
      <c r="WSA59" s="69"/>
      <c r="WSB59" s="69"/>
      <c r="WSC59" s="69"/>
      <c r="WSD59" s="69"/>
      <c r="WSE59" s="69"/>
      <c r="WSF59" s="69"/>
      <c r="WSG59" s="69"/>
      <c r="WSH59" s="69"/>
      <c r="WSI59" s="69"/>
      <c r="WSJ59" s="69"/>
      <c r="WSK59" s="69"/>
      <c r="WSL59" s="69"/>
      <c r="WSM59" s="69"/>
      <c r="WSN59" s="69"/>
      <c r="WSO59" s="69"/>
      <c r="WSP59" s="69"/>
      <c r="WSQ59" s="69"/>
      <c r="WSR59" s="69"/>
      <c r="WSS59" s="69"/>
      <c r="WST59" s="69"/>
      <c r="WSU59" s="69"/>
      <c r="WSV59" s="69"/>
      <c r="WSW59" s="69" t="s">
        <v>116</v>
      </c>
      <c r="WSX59" s="69"/>
      <c r="WSY59" s="69"/>
      <c r="WSZ59" s="69"/>
      <c r="WTA59" s="69"/>
      <c r="WTB59" s="69"/>
      <c r="WTC59" s="69"/>
      <c r="WTD59" s="69"/>
      <c r="WTE59" s="69"/>
      <c r="WTF59" s="69"/>
      <c r="WTG59" s="69"/>
      <c r="WTH59" s="69"/>
      <c r="WTI59" s="69"/>
      <c r="WTJ59" s="69"/>
      <c r="WTK59" s="69"/>
      <c r="WTL59" s="69"/>
      <c r="WTM59" s="69"/>
      <c r="WTN59" s="69"/>
      <c r="WTO59" s="69"/>
      <c r="WTP59" s="69"/>
      <c r="WTQ59" s="69"/>
      <c r="WTR59" s="69"/>
      <c r="WTS59" s="69"/>
      <c r="WTT59" s="69"/>
      <c r="WTU59" s="69"/>
      <c r="WTV59" s="69"/>
      <c r="WTW59" s="69"/>
      <c r="WTX59" s="69"/>
      <c r="WTY59" s="69"/>
      <c r="WTZ59" s="69"/>
      <c r="WUA59" s="69"/>
      <c r="WUB59" s="69"/>
      <c r="WUC59" s="69" t="s">
        <v>116</v>
      </c>
      <c r="WUD59" s="69"/>
      <c r="WUE59" s="69"/>
      <c r="WUF59" s="69"/>
      <c r="WUG59" s="69"/>
      <c r="WUH59" s="69"/>
      <c r="WUI59" s="69"/>
      <c r="WUJ59" s="69"/>
      <c r="WUK59" s="69"/>
      <c r="WUL59" s="69"/>
      <c r="WUM59" s="69"/>
      <c r="WUN59" s="69"/>
      <c r="WUO59" s="69"/>
      <c r="WUP59" s="69"/>
      <c r="WUQ59" s="69"/>
      <c r="WUR59" s="69"/>
      <c r="WUS59" s="69"/>
      <c r="WUT59" s="69"/>
      <c r="WUU59" s="69"/>
      <c r="WUV59" s="69"/>
      <c r="WUW59" s="69"/>
      <c r="WUX59" s="69"/>
      <c r="WUY59" s="69"/>
      <c r="WUZ59" s="69"/>
      <c r="WVA59" s="69"/>
      <c r="WVB59" s="69"/>
      <c r="WVC59" s="69"/>
      <c r="WVD59" s="69"/>
      <c r="WVE59" s="69"/>
      <c r="WVF59" s="69"/>
      <c r="WVG59" s="69"/>
      <c r="WVH59" s="69"/>
      <c r="WVI59" s="69" t="s">
        <v>116</v>
      </c>
      <c r="WVJ59" s="69"/>
      <c r="WVK59" s="69"/>
      <c r="WVL59" s="69"/>
      <c r="WVM59" s="69"/>
      <c r="WVN59" s="69"/>
      <c r="WVO59" s="69"/>
      <c r="WVP59" s="69"/>
      <c r="WVQ59" s="69"/>
      <c r="WVR59" s="69"/>
      <c r="WVS59" s="69"/>
      <c r="WVT59" s="69"/>
      <c r="WVU59" s="69"/>
      <c r="WVV59" s="69"/>
      <c r="WVW59" s="69"/>
      <c r="WVX59" s="69"/>
      <c r="WVY59" s="69"/>
      <c r="WVZ59" s="69"/>
      <c r="WWA59" s="69"/>
      <c r="WWB59" s="69"/>
      <c r="WWC59" s="69"/>
      <c r="WWD59" s="69"/>
      <c r="WWE59" s="69"/>
      <c r="WWF59" s="69"/>
      <c r="WWG59" s="69"/>
      <c r="WWH59" s="69"/>
      <c r="WWI59" s="69"/>
      <c r="WWJ59" s="69"/>
      <c r="WWK59" s="69"/>
      <c r="WWL59" s="69"/>
      <c r="WWM59" s="69"/>
      <c r="WWN59" s="69"/>
      <c r="WWO59" s="69" t="s">
        <v>116</v>
      </c>
      <c r="WWP59" s="69"/>
      <c r="WWQ59" s="69"/>
      <c r="WWR59" s="69"/>
      <c r="WWS59" s="69"/>
      <c r="WWT59" s="69"/>
      <c r="WWU59" s="69"/>
      <c r="WWV59" s="69"/>
      <c r="WWW59" s="69"/>
      <c r="WWX59" s="69"/>
      <c r="WWY59" s="69"/>
      <c r="WWZ59" s="69"/>
      <c r="WXA59" s="69"/>
      <c r="WXB59" s="69"/>
      <c r="WXC59" s="69"/>
      <c r="WXD59" s="69"/>
      <c r="WXE59" s="69"/>
      <c r="WXF59" s="69"/>
      <c r="WXG59" s="69"/>
      <c r="WXH59" s="69"/>
      <c r="WXI59" s="69"/>
      <c r="WXJ59" s="69"/>
      <c r="WXK59" s="69"/>
      <c r="WXL59" s="69"/>
      <c r="WXM59" s="69"/>
      <c r="WXN59" s="69"/>
      <c r="WXO59" s="69"/>
      <c r="WXP59" s="69"/>
      <c r="WXQ59" s="69"/>
      <c r="WXR59" s="69"/>
      <c r="WXS59" s="69"/>
      <c r="WXT59" s="69"/>
      <c r="WXU59" s="69" t="s">
        <v>116</v>
      </c>
      <c r="WXV59" s="69"/>
      <c r="WXW59" s="69"/>
      <c r="WXX59" s="69"/>
      <c r="WXY59" s="69"/>
      <c r="WXZ59" s="69"/>
      <c r="WYA59" s="69"/>
      <c r="WYB59" s="69"/>
      <c r="WYC59" s="69"/>
      <c r="WYD59" s="69"/>
      <c r="WYE59" s="69"/>
      <c r="WYF59" s="69"/>
      <c r="WYG59" s="69"/>
      <c r="WYH59" s="69"/>
      <c r="WYI59" s="69"/>
      <c r="WYJ59" s="69"/>
      <c r="WYK59" s="69"/>
      <c r="WYL59" s="69"/>
      <c r="WYM59" s="69"/>
      <c r="WYN59" s="69"/>
      <c r="WYO59" s="69"/>
      <c r="WYP59" s="69"/>
      <c r="WYQ59" s="69"/>
      <c r="WYR59" s="69"/>
      <c r="WYS59" s="69"/>
      <c r="WYT59" s="69"/>
      <c r="WYU59" s="69"/>
      <c r="WYV59" s="69"/>
      <c r="WYW59" s="69"/>
      <c r="WYX59" s="69"/>
      <c r="WYY59" s="69"/>
      <c r="WYZ59" s="69"/>
      <c r="WZA59" s="69" t="s">
        <v>116</v>
      </c>
      <c r="WZB59" s="69"/>
      <c r="WZC59" s="69"/>
      <c r="WZD59" s="69"/>
      <c r="WZE59" s="69"/>
      <c r="WZF59" s="69"/>
      <c r="WZG59" s="69"/>
      <c r="WZH59" s="69"/>
      <c r="WZI59" s="69"/>
      <c r="WZJ59" s="69"/>
      <c r="WZK59" s="69"/>
      <c r="WZL59" s="69"/>
      <c r="WZM59" s="69"/>
      <c r="WZN59" s="69"/>
      <c r="WZO59" s="69"/>
      <c r="WZP59" s="69"/>
      <c r="WZQ59" s="69"/>
      <c r="WZR59" s="69"/>
      <c r="WZS59" s="69"/>
      <c r="WZT59" s="69"/>
      <c r="WZU59" s="69"/>
      <c r="WZV59" s="69"/>
      <c r="WZW59" s="69"/>
      <c r="WZX59" s="69"/>
      <c r="WZY59" s="69"/>
      <c r="WZZ59" s="69"/>
      <c r="XAA59" s="69"/>
      <c r="XAB59" s="69"/>
      <c r="XAC59" s="69"/>
      <c r="XAD59" s="69"/>
      <c r="XAE59" s="69"/>
      <c r="XAF59" s="69"/>
      <c r="XAG59" s="69" t="s">
        <v>116</v>
      </c>
      <c r="XAH59" s="69"/>
      <c r="XAI59" s="69"/>
      <c r="XAJ59" s="69"/>
      <c r="XAK59" s="69"/>
      <c r="XAL59" s="69"/>
      <c r="XAM59" s="69"/>
      <c r="XAN59" s="69"/>
      <c r="XAO59" s="69"/>
      <c r="XAP59" s="69"/>
      <c r="XAQ59" s="69"/>
      <c r="XAR59" s="69"/>
      <c r="XAS59" s="69"/>
      <c r="XAT59" s="69"/>
      <c r="XAU59" s="69"/>
      <c r="XAV59" s="69"/>
      <c r="XAW59" s="69"/>
      <c r="XAX59" s="69"/>
      <c r="XAY59" s="69"/>
      <c r="XAZ59" s="69"/>
      <c r="XBA59" s="69"/>
      <c r="XBB59" s="69"/>
      <c r="XBC59" s="69"/>
      <c r="XBD59" s="69"/>
      <c r="XBE59" s="69"/>
      <c r="XBF59" s="69"/>
      <c r="XBG59" s="69"/>
      <c r="XBH59" s="69"/>
      <c r="XBI59" s="69"/>
      <c r="XBJ59" s="69"/>
      <c r="XBK59" s="69"/>
      <c r="XBL59" s="69"/>
      <c r="XBM59" s="69" t="s">
        <v>116</v>
      </c>
      <c r="XBN59" s="69"/>
      <c r="XBO59" s="69"/>
      <c r="XBP59" s="69"/>
      <c r="XBQ59" s="69"/>
      <c r="XBR59" s="69"/>
      <c r="XBS59" s="69"/>
      <c r="XBT59" s="69"/>
      <c r="XBU59" s="69"/>
      <c r="XBV59" s="69"/>
      <c r="XBW59" s="69"/>
      <c r="XBX59" s="69"/>
      <c r="XBY59" s="69"/>
      <c r="XBZ59" s="69"/>
      <c r="XCA59" s="69"/>
      <c r="XCB59" s="69"/>
      <c r="XCC59" s="69"/>
      <c r="XCD59" s="69"/>
      <c r="XCE59" s="69"/>
      <c r="XCF59" s="69"/>
      <c r="XCG59" s="69"/>
      <c r="XCH59" s="69"/>
      <c r="XCI59" s="69"/>
      <c r="XCJ59" s="69"/>
      <c r="XCK59" s="69"/>
      <c r="XCL59" s="69"/>
      <c r="XCM59" s="69"/>
      <c r="XCN59" s="69"/>
      <c r="XCO59" s="69"/>
      <c r="XCP59" s="69"/>
      <c r="XCQ59" s="69"/>
      <c r="XCR59" s="69"/>
      <c r="XCS59" s="69" t="s">
        <v>116</v>
      </c>
      <c r="XCT59" s="69"/>
      <c r="XCU59" s="69"/>
      <c r="XCV59" s="69"/>
      <c r="XCW59" s="69"/>
      <c r="XCX59" s="69"/>
      <c r="XCY59" s="69"/>
      <c r="XCZ59" s="69"/>
      <c r="XDA59" s="69"/>
      <c r="XDB59" s="69"/>
      <c r="XDC59" s="69"/>
      <c r="XDD59" s="69"/>
      <c r="XDE59" s="69"/>
      <c r="XDF59" s="69"/>
      <c r="XDG59" s="69"/>
      <c r="XDH59" s="69"/>
      <c r="XDI59" s="69"/>
      <c r="XDJ59" s="69"/>
      <c r="XDK59" s="69"/>
      <c r="XDL59" s="69"/>
      <c r="XDM59" s="69"/>
      <c r="XDN59" s="69"/>
      <c r="XDO59" s="69"/>
      <c r="XDP59" s="69"/>
      <c r="XDQ59" s="69"/>
      <c r="XDR59" s="69"/>
      <c r="XDS59" s="69"/>
      <c r="XDT59" s="69"/>
      <c r="XDU59" s="69"/>
      <c r="XDV59" s="69"/>
      <c r="XDW59" s="69"/>
      <c r="XDX59" s="69"/>
      <c r="XDY59" s="69" t="s">
        <v>116</v>
      </c>
      <c r="XDZ59" s="69"/>
      <c r="XEA59" s="69"/>
      <c r="XEB59" s="69"/>
      <c r="XEC59" s="69"/>
      <c r="XED59" s="69"/>
      <c r="XEE59" s="69"/>
      <c r="XEF59" s="69"/>
      <c r="XEG59" s="69"/>
      <c r="XEH59" s="69"/>
      <c r="XEI59" s="69"/>
      <c r="XEJ59" s="69"/>
      <c r="XEK59" s="69"/>
      <c r="XEL59" s="69"/>
      <c r="XEM59" s="69"/>
      <c r="XEN59" s="69"/>
      <c r="XEO59" s="69"/>
      <c r="XEP59" s="69"/>
      <c r="XEQ59" s="69"/>
      <c r="XER59" s="69"/>
      <c r="XES59" s="69"/>
      <c r="XET59" s="69"/>
      <c r="XEU59" s="69"/>
      <c r="XEV59" s="69"/>
      <c r="XEW59" s="69"/>
      <c r="XEX59" s="69"/>
      <c r="XEY59" s="69"/>
      <c r="XEZ59" s="69"/>
      <c r="XFA59" s="69"/>
      <c r="XFB59" s="69"/>
      <c r="XFC59" s="69"/>
      <c r="XFD59" s="69"/>
    </row>
    <row r="60" spans="1:16384">
      <c r="A60" s="71"/>
      <c r="B60" s="72" t="s">
        <v>51</v>
      </c>
      <c r="C60" s="68" t="s">
        <v>52</v>
      </c>
      <c r="D60" s="73" t="s">
        <v>44</v>
      </c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</row>
    <row r="61" spans="1:16384">
      <c r="A61" s="72"/>
      <c r="B61" s="72" t="s">
        <v>53</v>
      </c>
      <c r="C61" s="68" t="s">
        <v>52</v>
      </c>
      <c r="D61" s="73" t="s">
        <v>54</v>
      </c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</row>
    <row r="62" spans="1:16384">
      <c r="A62" s="72"/>
      <c r="B62" s="72" t="s">
        <v>55</v>
      </c>
      <c r="C62" s="68" t="s">
        <v>52</v>
      </c>
      <c r="D62" s="73" t="s">
        <v>117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</row>
    <row r="63" spans="1:16384">
      <c r="A63" s="74" t="s">
        <v>57</v>
      </c>
      <c r="B63" s="74" t="s">
        <v>58</v>
      </c>
      <c r="C63" s="74">
        <v>1</v>
      </c>
      <c r="D63" s="74">
        <v>2</v>
      </c>
      <c r="E63" s="74">
        <v>3</v>
      </c>
      <c r="F63" s="74">
        <v>4</v>
      </c>
      <c r="G63" s="74">
        <v>5</v>
      </c>
      <c r="H63" s="74">
        <v>6</v>
      </c>
      <c r="I63" s="74">
        <v>7</v>
      </c>
      <c r="J63" s="74">
        <v>8</v>
      </c>
      <c r="K63" s="74">
        <v>9</v>
      </c>
      <c r="L63" s="74">
        <v>10</v>
      </c>
      <c r="M63" s="74">
        <v>11</v>
      </c>
      <c r="N63" s="74">
        <v>12</v>
      </c>
      <c r="O63" s="74">
        <v>13</v>
      </c>
      <c r="P63" s="74">
        <v>14</v>
      </c>
      <c r="Q63" s="74">
        <v>15</v>
      </c>
      <c r="R63" s="74">
        <v>16</v>
      </c>
      <c r="S63" s="74">
        <v>17</v>
      </c>
      <c r="T63" s="74">
        <v>18</v>
      </c>
      <c r="U63" s="74">
        <v>19</v>
      </c>
      <c r="V63" s="74">
        <v>20</v>
      </c>
      <c r="W63" s="74">
        <v>21</v>
      </c>
      <c r="X63" s="74">
        <v>22</v>
      </c>
      <c r="Y63" s="74">
        <v>23</v>
      </c>
      <c r="Z63" s="74">
        <v>24</v>
      </c>
      <c r="AA63" s="74">
        <v>25</v>
      </c>
      <c r="AB63" s="74">
        <v>26</v>
      </c>
      <c r="AC63" s="74">
        <v>27</v>
      </c>
      <c r="AD63" s="74">
        <v>28</v>
      </c>
      <c r="AE63" s="74">
        <v>29</v>
      </c>
      <c r="AF63" s="74">
        <v>30</v>
      </c>
      <c r="AG63" s="74">
        <v>31</v>
      </c>
      <c r="AH63" s="92" t="s">
        <v>59</v>
      </c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</row>
    <row r="64" spans="1:16384">
      <c r="A64" s="77">
        <v>1</v>
      </c>
      <c r="B64" s="97" t="s">
        <v>118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 t="s">
        <v>63</v>
      </c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98"/>
      <c r="AJ64" s="98"/>
      <c r="AK64" s="9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</row>
    <row r="65" spans="1:55">
      <c r="A65" s="77">
        <v>2</v>
      </c>
      <c r="B65" s="97" t="s">
        <v>119</v>
      </c>
      <c r="C65" s="79"/>
      <c r="D65" s="79"/>
      <c r="E65" s="79" t="s">
        <v>61</v>
      </c>
      <c r="F65" s="79"/>
      <c r="G65" s="79"/>
      <c r="H65" s="79"/>
      <c r="I65" s="79" t="s">
        <v>62</v>
      </c>
      <c r="J65" s="79"/>
      <c r="K65" s="79"/>
      <c r="L65" s="79"/>
      <c r="M65" s="79"/>
      <c r="N65" s="79" t="s">
        <v>63</v>
      </c>
      <c r="O65" s="79"/>
      <c r="P65" s="79" t="s">
        <v>63</v>
      </c>
      <c r="Q65" s="79"/>
      <c r="R65" s="79"/>
      <c r="S65" s="79" t="s">
        <v>61</v>
      </c>
      <c r="T65" s="79"/>
      <c r="U65" s="79" t="s">
        <v>62</v>
      </c>
      <c r="V65" s="79" t="s">
        <v>63</v>
      </c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99"/>
      <c r="AJ65" s="99"/>
      <c r="AK65" s="99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</row>
    <row r="66" spans="1:55">
      <c r="A66" s="77">
        <v>3</v>
      </c>
      <c r="B66" s="97" t="s">
        <v>120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 t="s">
        <v>61</v>
      </c>
      <c r="W66" s="79"/>
      <c r="X66" s="79" t="s">
        <v>61</v>
      </c>
      <c r="Y66" s="79"/>
      <c r="Z66" s="79" t="s">
        <v>62</v>
      </c>
      <c r="AA66" s="79"/>
      <c r="AB66" s="79"/>
      <c r="AC66" s="79"/>
      <c r="AD66" s="79"/>
      <c r="AE66" s="79"/>
      <c r="AF66" s="79"/>
      <c r="AG66" s="79"/>
      <c r="AH66" s="79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</row>
    <row r="67" spans="1:55">
      <c r="A67" s="77">
        <v>4</v>
      </c>
      <c r="B67" s="78" t="s">
        <v>121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 t="s">
        <v>63</v>
      </c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</row>
    <row r="68" spans="1:55">
      <c r="A68" s="77">
        <v>5</v>
      </c>
      <c r="B68" s="78" t="s">
        <v>122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 t="s">
        <v>61</v>
      </c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</row>
    <row r="69" spans="1:55" ht="17.25" customHeight="1">
      <c r="A69" s="77">
        <v>6</v>
      </c>
      <c r="B69" s="78" t="s">
        <v>123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 t="s">
        <v>61</v>
      </c>
      <c r="W69" s="79"/>
      <c r="X69" s="79"/>
      <c r="Y69" s="79"/>
      <c r="Z69" s="79" t="s">
        <v>62</v>
      </c>
      <c r="AA69" s="79"/>
      <c r="AB69" s="79"/>
      <c r="AC69" s="79"/>
      <c r="AD69" s="79"/>
      <c r="AE69" s="79"/>
      <c r="AF69" s="79"/>
      <c r="AG69" s="79"/>
      <c r="AH69" s="79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</row>
    <row r="70" spans="1:55">
      <c r="A70" s="77">
        <v>7</v>
      </c>
      <c r="B70" s="78" t="s">
        <v>124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 t="s">
        <v>62</v>
      </c>
      <c r="Z70" s="79"/>
      <c r="AA70" s="79"/>
      <c r="AB70" s="79"/>
      <c r="AC70" s="79"/>
      <c r="AD70" s="79"/>
      <c r="AE70" s="79"/>
      <c r="AF70" s="79"/>
      <c r="AG70" s="79"/>
      <c r="AH70" s="79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</row>
    <row r="71" spans="1:55">
      <c r="A71" s="77">
        <v>8</v>
      </c>
      <c r="B71" s="100" t="s">
        <v>125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 t="s">
        <v>61</v>
      </c>
      <c r="AF71" s="79"/>
      <c r="AG71" s="79"/>
      <c r="AH71" s="79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</row>
    <row r="72" spans="1:55">
      <c r="A72" s="77">
        <v>9</v>
      </c>
      <c r="B72" s="78" t="s">
        <v>78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 t="s">
        <v>62</v>
      </c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 t="s">
        <v>61</v>
      </c>
      <c r="AF72" s="79"/>
      <c r="AG72" s="79"/>
      <c r="AH72" s="79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</row>
    <row r="73" spans="1:55" ht="17.25" customHeight="1">
      <c r="A73" s="77">
        <v>10</v>
      </c>
      <c r="B73" s="78" t="s">
        <v>126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 t="s">
        <v>61</v>
      </c>
      <c r="R73" s="79"/>
      <c r="S73" s="79" t="s">
        <v>62</v>
      </c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</row>
    <row r="74" spans="1:55" ht="17.25" customHeight="1">
      <c r="A74" s="77">
        <v>11</v>
      </c>
      <c r="B74" s="78" t="s">
        <v>127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 t="s">
        <v>62</v>
      </c>
      <c r="Q74" s="79"/>
      <c r="R74" s="79"/>
      <c r="S74" s="79"/>
      <c r="T74" s="79"/>
      <c r="U74" s="79"/>
      <c r="V74" s="79" t="s">
        <v>62</v>
      </c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</row>
    <row r="75" spans="1:55">
      <c r="A75" s="77">
        <v>12</v>
      </c>
      <c r="B75" s="97" t="s">
        <v>128</v>
      </c>
      <c r="C75" s="79"/>
      <c r="D75" s="79"/>
      <c r="E75" s="79"/>
      <c r="F75" s="79"/>
      <c r="G75" s="79"/>
      <c r="H75" s="79"/>
      <c r="I75" s="79" t="s">
        <v>62</v>
      </c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</row>
    <row r="76" spans="1:55">
      <c r="A76" s="77">
        <v>13</v>
      </c>
      <c r="B76" s="97" t="s">
        <v>129</v>
      </c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 t="s">
        <v>61</v>
      </c>
      <c r="Y76" s="79" t="s">
        <v>62</v>
      </c>
      <c r="Z76" s="79"/>
      <c r="AA76" s="79"/>
      <c r="AB76" s="79"/>
      <c r="AC76" s="79"/>
      <c r="AD76" s="79"/>
      <c r="AE76" s="79"/>
      <c r="AF76" s="79"/>
      <c r="AG76" s="79"/>
      <c r="AH76" s="79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</row>
    <row r="77" spans="1:55">
      <c r="A77" s="77">
        <v>14</v>
      </c>
      <c r="B77" s="100" t="s">
        <v>130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 t="s">
        <v>61</v>
      </c>
      <c r="AF77" s="79"/>
      <c r="AG77" s="79" t="s">
        <v>62</v>
      </c>
      <c r="AH77" s="79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</row>
    <row r="78" spans="1:55">
      <c r="A78" s="77">
        <v>15</v>
      </c>
      <c r="B78" s="100" t="s">
        <v>131</v>
      </c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 t="s">
        <v>62</v>
      </c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</row>
    <row r="79" spans="1:55">
      <c r="A79" s="77">
        <v>16</v>
      </c>
      <c r="B79" s="97" t="s">
        <v>132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 t="s">
        <v>61</v>
      </c>
      <c r="W79" s="79"/>
      <c r="X79" s="79"/>
      <c r="Y79" s="79" t="s">
        <v>62</v>
      </c>
      <c r="Z79" s="79"/>
      <c r="AA79" s="79"/>
      <c r="AB79" s="79"/>
      <c r="AC79" s="79"/>
      <c r="AD79" s="79"/>
      <c r="AE79" s="79"/>
      <c r="AF79" s="79"/>
      <c r="AG79" s="79"/>
      <c r="AH79" s="79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</row>
    <row r="80" spans="1:55">
      <c r="A80" s="77">
        <v>17</v>
      </c>
      <c r="B80" s="78" t="s">
        <v>133</v>
      </c>
      <c r="C80" s="79"/>
      <c r="D80" s="79" t="s">
        <v>62</v>
      </c>
      <c r="E80" s="79"/>
      <c r="F80" s="79"/>
      <c r="G80" s="79"/>
      <c r="H80" s="79"/>
      <c r="I80" s="79"/>
      <c r="J80" s="79"/>
      <c r="K80" s="79" t="s">
        <v>62</v>
      </c>
      <c r="L80" s="79"/>
      <c r="M80" s="79"/>
      <c r="N80" s="79"/>
      <c r="O80" s="79" t="s">
        <v>62</v>
      </c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</row>
    <row r="81" spans="1:55">
      <c r="A81" s="77">
        <v>18</v>
      </c>
      <c r="B81" s="78" t="s">
        <v>134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 t="s">
        <v>62</v>
      </c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101"/>
      <c r="AJ81" s="102"/>
      <c r="AK81" s="103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</row>
    <row r="82" spans="1:55" ht="15" customHeight="1">
      <c r="A82" s="77">
        <v>19</v>
      </c>
      <c r="B82" s="78" t="s">
        <v>135</v>
      </c>
      <c r="C82" s="79"/>
      <c r="D82" s="79"/>
      <c r="E82" s="79"/>
      <c r="F82" s="79"/>
      <c r="G82" s="79"/>
      <c r="H82" s="79" t="s">
        <v>62</v>
      </c>
      <c r="I82" s="79"/>
      <c r="J82" s="79"/>
      <c r="K82" s="79"/>
      <c r="L82" s="79"/>
      <c r="M82" s="79"/>
      <c r="N82" s="79" t="s">
        <v>62</v>
      </c>
      <c r="O82" s="79"/>
      <c r="P82" s="79"/>
      <c r="Q82" s="79"/>
      <c r="R82" s="79"/>
      <c r="S82" s="79" t="s">
        <v>62</v>
      </c>
      <c r="T82" s="79"/>
      <c r="U82" s="79"/>
      <c r="V82" s="79"/>
      <c r="W82" s="79"/>
      <c r="X82" s="79" t="s">
        <v>62</v>
      </c>
      <c r="Y82" s="79"/>
      <c r="Z82" s="79"/>
      <c r="AA82" s="79"/>
      <c r="AB82" s="79" t="s">
        <v>62</v>
      </c>
      <c r="AC82" s="79"/>
      <c r="AD82" s="79"/>
      <c r="AE82" s="79"/>
      <c r="AF82" s="79"/>
      <c r="AG82" s="79"/>
      <c r="AH82" s="79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</row>
    <row r="83" spans="1:55">
      <c r="A83" s="77">
        <v>20</v>
      </c>
      <c r="B83" s="78" t="s">
        <v>136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 t="s">
        <v>62</v>
      </c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 t="s">
        <v>62</v>
      </c>
      <c r="AH83" s="79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</row>
    <row r="84" spans="1:55">
      <c r="A84" s="77">
        <v>21</v>
      </c>
      <c r="B84" s="100" t="s">
        <v>137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 t="s">
        <v>62</v>
      </c>
      <c r="W84" s="79"/>
      <c r="X84" s="79"/>
      <c r="Y84" s="79"/>
      <c r="Z84" s="79"/>
      <c r="AA84" s="79"/>
      <c r="AB84" s="79"/>
      <c r="AC84" s="79" t="s">
        <v>62</v>
      </c>
      <c r="AD84" s="79"/>
      <c r="AE84" s="79"/>
      <c r="AF84" s="79"/>
      <c r="AG84" s="79"/>
      <c r="AH84" s="79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</row>
    <row r="85" spans="1:55">
      <c r="A85" s="77">
        <v>22</v>
      </c>
      <c r="B85" s="100" t="s">
        <v>138</v>
      </c>
      <c r="C85" s="79"/>
      <c r="D85" s="79"/>
      <c r="E85" s="79" t="s">
        <v>62</v>
      </c>
      <c r="F85" s="79"/>
      <c r="G85" s="79"/>
      <c r="H85" s="79" t="s">
        <v>62</v>
      </c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 t="s">
        <v>62</v>
      </c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 t="s">
        <v>62</v>
      </c>
      <c r="AH85" s="79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</row>
    <row r="86" spans="1:55">
      <c r="A86" s="77">
        <v>23</v>
      </c>
      <c r="B86" s="78" t="s">
        <v>139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 t="s">
        <v>62</v>
      </c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</row>
    <row r="87" spans="1:55" hidden="1">
      <c r="A87" s="77">
        <v>24</v>
      </c>
      <c r="B87" s="78" t="s">
        <v>140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 t="s">
        <v>61</v>
      </c>
      <c r="Z87" s="79"/>
      <c r="AA87" s="79"/>
      <c r="AB87" s="79"/>
      <c r="AC87" s="79"/>
      <c r="AD87" s="79"/>
      <c r="AE87" s="79"/>
      <c r="AF87" s="79"/>
      <c r="AG87" s="79"/>
      <c r="AH87" s="79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</row>
    <row r="88" spans="1:55">
      <c r="A88" s="77">
        <v>25</v>
      </c>
      <c r="B88" s="100" t="s">
        <v>141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 t="s">
        <v>61</v>
      </c>
      <c r="Z88" s="79"/>
      <c r="AA88" s="79"/>
      <c r="AB88" s="79"/>
      <c r="AC88" s="79"/>
      <c r="AD88" s="79"/>
      <c r="AE88" s="79"/>
      <c r="AF88" s="79"/>
      <c r="AG88" s="79"/>
      <c r="AH88" s="79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</row>
    <row r="89" spans="1:55">
      <c r="A89" s="77">
        <v>26</v>
      </c>
      <c r="B89" s="97" t="s">
        <v>142</v>
      </c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 t="s">
        <v>61</v>
      </c>
      <c r="AE89" s="79"/>
      <c r="AF89" s="79"/>
      <c r="AG89" s="79"/>
      <c r="AH89" s="79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</row>
    <row r="90" spans="1:55">
      <c r="A90" s="77">
        <v>27</v>
      </c>
      <c r="B90" s="78" t="s">
        <v>143</v>
      </c>
      <c r="C90" s="79"/>
      <c r="D90" s="79"/>
      <c r="E90" s="79" t="s">
        <v>61</v>
      </c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 t="s">
        <v>62</v>
      </c>
      <c r="AC90" s="79"/>
      <c r="AD90" s="92"/>
      <c r="AE90" s="104"/>
      <c r="AF90" s="79"/>
      <c r="AG90" s="79"/>
      <c r="AH90" s="79"/>
      <c r="AI90" s="105">
        <f>COUNTIF(C90:AG123,"T")</f>
        <v>2</v>
      </c>
      <c r="AJ90" s="105">
        <f>COUNTIF(C90:AG123,"TB")</f>
        <v>0</v>
      </c>
      <c r="AK90" s="105">
        <f>COUNTIF(C90:AG123,"B")</f>
        <v>3</v>
      </c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</row>
    <row r="91" spans="1:55">
      <c r="A91" s="77">
        <v>28</v>
      </c>
      <c r="B91" s="78" t="s">
        <v>144</v>
      </c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 t="s">
        <v>61</v>
      </c>
      <c r="Z91" s="79"/>
      <c r="AA91" s="89" t="s">
        <v>62</v>
      </c>
      <c r="AB91" s="79"/>
      <c r="AC91" s="79"/>
      <c r="AD91" s="79"/>
      <c r="AE91" s="79"/>
      <c r="AF91" s="79"/>
      <c r="AG91" s="79"/>
      <c r="AH91" s="79"/>
      <c r="AI91" s="99"/>
      <c r="AJ91" s="99"/>
      <c r="AK91" s="99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</row>
    <row r="92" spans="1:55">
      <c r="A92" s="106"/>
      <c r="B92" s="107" t="s">
        <v>110</v>
      </c>
      <c r="C92" s="92">
        <f t="shared" ref="C92:AH92" si="2">COUNTA(C63:C90)</f>
        <v>1</v>
      </c>
      <c r="D92" s="92">
        <f t="shared" si="2"/>
        <v>2</v>
      </c>
      <c r="E92" s="92">
        <f t="shared" si="2"/>
        <v>4</v>
      </c>
      <c r="F92" s="92">
        <f t="shared" si="2"/>
        <v>1</v>
      </c>
      <c r="G92" s="92">
        <f t="shared" si="2"/>
        <v>1</v>
      </c>
      <c r="H92" s="92">
        <f t="shared" si="2"/>
        <v>3</v>
      </c>
      <c r="I92" s="92">
        <f t="shared" si="2"/>
        <v>3</v>
      </c>
      <c r="J92" s="92">
        <f t="shared" si="2"/>
        <v>1</v>
      </c>
      <c r="K92" s="92">
        <f t="shared" si="2"/>
        <v>2</v>
      </c>
      <c r="L92" s="92">
        <f t="shared" si="2"/>
        <v>1</v>
      </c>
      <c r="M92" s="92">
        <f t="shared" si="2"/>
        <v>1</v>
      </c>
      <c r="N92" s="92">
        <f t="shared" si="2"/>
        <v>4</v>
      </c>
      <c r="O92" s="92">
        <f t="shared" si="2"/>
        <v>2</v>
      </c>
      <c r="P92" s="92">
        <f t="shared" si="2"/>
        <v>4</v>
      </c>
      <c r="Q92" s="92">
        <f t="shared" si="2"/>
        <v>2</v>
      </c>
      <c r="R92" s="92">
        <f t="shared" si="2"/>
        <v>1</v>
      </c>
      <c r="S92" s="92">
        <f t="shared" si="2"/>
        <v>7</v>
      </c>
      <c r="T92" s="92">
        <f t="shared" si="2"/>
        <v>1</v>
      </c>
      <c r="U92" s="92">
        <f t="shared" si="2"/>
        <v>3</v>
      </c>
      <c r="V92" s="92">
        <f t="shared" si="2"/>
        <v>7</v>
      </c>
      <c r="W92" s="92">
        <f t="shared" si="2"/>
        <v>1</v>
      </c>
      <c r="X92" s="92">
        <f t="shared" si="2"/>
        <v>7</v>
      </c>
      <c r="Y92" s="92">
        <f t="shared" si="2"/>
        <v>6</v>
      </c>
      <c r="Z92" s="92">
        <f t="shared" si="2"/>
        <v>3</v>
      </c>
      <c r="AA92" s="92">
        <f t="shared" si="2"/>
        <v>1</v>
      </c>
      <c r="AB92" s="92">
        <f t="shared" si="2"/>
        <v>3</v>
      </c>
      <c r="AC92" s="92">
        <f t="shared" si="2"/>
        <v>2</v>
      </c>
      <c r="AD92" s="92">
        <f t="shared" si="2"/>
        <v>2</v>
      </c>
      <c r="AE92" s="92">
        <f t="shared" si="2"/>
        <v>4</v>
      </c>
      <c r="AF92" s="92">
        <f t="shared" si="2"/>
        <v>1</v>
      </c>
      <c r="AG92" s="92">
        <f t="shared" si="2"/>
        <v>4</v>
      </c>
      <c r="AH92" s="92">
        <f t="shared" si="2"/>
        <v>1</v>
      </c>
      <c r="AI92" s="108"/>
      <c r="AJ92" s="108"/>
      <c r="AK92" s="108"/>
    </row>
    <row r="93" spans="1:55" hidden="1">
      <c r="A93" s="77">
        <v>36</v>
      </c>
      <c r="B93" s="100" t="s">
        <v>145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 t="s">
        <v>62</v>
      </c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99"/>
      <c r="AJ93" s="99"/>
      <c r="AK93" s="99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</row>
    <row r="94" spans="1:55">
      <c r="W94" t="s">
        <v>111</v>
      </c>
    </row>
    <row r="95" spans="1:55">
      <c r="U95" t="s">
        <v>111</v>
      </c>
    </row>
    <row r="97" spans="15:28">
      <c r="AB97" t="s">
        <v>111</v>
      </c>
    </row>
    <row r="102" spans="15:28">
      <c r="O102" t="s">
        <v>113</v>
      </c>
    </row>
  </sheetData>
  <mergeCells count="517">
    <mergeCell ref="WXU59:WYZ59"/>
    <mergeCell ref="WZA59:XAF59"/>
    <mergeCell ref="XAG59:XBL59"/>
    <mergeCell ref="XBM59:XCR59"/>
    <mergeCell ref="XCS59:XDX59"/>
    <mergeCell ref="XDY59:XFD59"/>
    <mergeCell ref="WQK59:WRP59"/>
    <mergeCell ref="WRQ59:WSV59"/>
    <mergeCell ref="WSW59:WUB59"/>
    <mergeCell ref="WUC59:WVH59"/>
    <mergeCell ref="WVI59:WWN59"/>
    <mergeCell ref="WWO59:WXT59"/>
    <mergeCell ref="WJA59:WKF59"/>
    <mergeCell ref="WKG59:WLL59"/>
    <mergeCell ref="WLM59:WMR59"/>
    <mergeCell ref="WMS59:WNX59"/>
    <mergeCell ref="WNY59:WPD59"/>
    <mergeCell ref="WPE59:WQJ59"/>
    <mergeCell ref="WBQ59:WCV59"/>
    <mergeCell ref="WCW59:WEB59"/>
    <mergeCell ref="WEC59:WFH59"/>
    <mergeCell ref="WFI59:WGN59"/>
    <mergeCell ref="WGO59:WHT59"/>
    <mergeCell ref="WHU59:WIZ59"/>
    <mergeCell ref="VUG59:VVL59"/>
    <mergeCell ref="VVM59:VWR59"/>
    <mergeCell ref="VWS59:VXX59"/>
    <mergeCell ref="VXY59:VZD59"/>
    <mergeCell ref="VZE59:WAJ59"/>
    <mergeCell ref="WAK59:WBP59"/>
    <mergeCell ref="VMW59:VOB59"/>
    <mergeCell ref="VOC59:VPH59"/>
    <mergeCell ref="VPI59:VQN59"/>
    <mergeCell ref="VQO59:VRT59"/>
    <mergeCell ref="VRU59:VSZ59"/>
    <mergeCell ref="VTA59:VUF59"/>
    <mergeCell ref="VFM59:VGR59"/>
    <mergeCell ref="VGS59:VHX59"/>
    <mergeCell ref="VHY59:VJD59"/>
    <mergeCell ref="VJE59:VKJ59"/>
    <mergeCell ref="VKK59:VLP59"/>
    <mergeCell ref="VLQ59:VMV59"/>
    <mergeCell ref="UYC59:UZH59"/>
    <mergeCell ref="UZI59:VAN59"/>
    <mergeCell ref="VAO59:VBT59"/>
    <mergeCell ref="VBU59:VCZ59"/>
    <mergeCell ref="VDA59:VEF59"/>
    <mergeCell ref="VEG59:VFL59"/>
    <mergeCell ref="UQS59:URX59"/>
    <mergeCell ref="URY59:UTD59"/>
    <mergeCell ref="UTE59:UUJ59"/>
    <mergeCell ref="UUK59:UVP59"/>
    <mergeCell ref="UVQ59:UWV59"/>
    <mergeCell ref="UWW59:UYB59"/>
    <mergeCell ref="UJI59:UKN59"/>
    <mergeCell ref="UKO59:ULT59"/>
    <mergeCell ref="ULU59:UMZ59"/>
    <mergeCell ref="UNA59:UOF59"/>
    <mergeCell ref="UOG59:UPL59"/>
    <mergeCell ref="UPM59:UQR59"/>
    <mergeCell ref="UBY59:UDD59"/>
    <mergeCell ref="UDE59:UEJ59"/>
    <mergeCell ref="UEK59:UFP59"/>
    <mergeCell ref="UFQ59:UGV59"/>
    <mergeCell ref="UGW59:UIB59"/>
    <mergeCell ref="UIC59:UJH59"/>
    <mergeCell ref="TUO59:TVT59"/>
    <mergeCell ref="TVU59:TWZ59"/>
    <mergeCell ref="TXA59:TYF59"/>
    <mergeCell ref="TYG59:TZL59"/>
    <mergeCell ref="TZM59:UAR59"/>
    <mergeCell ref="UAS59:UBX59"/>
    <mergeCell ref="TNE59:TOJ59"/>
    <mergeCell ref="TOK59:TPP59"/>
    <mergeCell ref="TPQ59:TQV59"/>
    <mergeCell ref="TQW59:TSB59"/>
    <mergeCell ref="TSC59:TTH59"/>
    <mergeCell ref="TTI59:TUN59"/>
    <mergeCell ref="TFU59:TGZ59"/>
    <mergeCell ref="THA59:TIF59"/>
    <mergeCell ref="TIG59:TJL59"/>
    <mergeCell ref="TJM59:TKR59"/>
    <mergeCell ref="TKS59:TLX59"/>
    <mergeCell ref="TLY59:TND59"/>
    <mergeCell ref="SYK59:SZP59"/>
    <mergeCell ref="SZQ59:TAV59"/>
    <mergeCell ref="TAW59:TCB59"/>
    <mergeCell ref="TCC59:TDH59"/>
    <mergeCell ref="TDI59:TEN59"/>
    <mergeCell ref="TEO59:TFT59"/>
    <mergeCell ref="SRA59:SSF59"/>
    <mergeCell ref="SSG59:STL59"/>
    <mergeCell ref="STM59:SUR59"/>
    <mergeCell ref="SUS59:SVX59"/>
    <mergeCell ref="SVY59:SXD59"/>
    <mergeCell ref="SXE59:SYJ59"/>
    <mergeCell ref="SJQ59:SKV59"/>
    <mergeCell ref="SKW59:SMB59"/>
    <mergeCell ref="SMC59:SNH59"/>
    <mergeCell ref="SNI59:SON59"/>
    <mergeCell ref="SOO59:SPT59"/>
    <mergeCell ref="SPU59:SQZ59"/>
    <mergeCell ref="SCG59:SDL59"/>
    <mergeCell ref="SDM59:SER59"/>
    <mergeCell ref="SES59:SFX59"/>
    <mergeCell ref="SFY59:SHD59"/>
    <mergeCell ref="SHE59:SIJ59"/>
    <mergeCell ref="SIK59:SJP59"/>
    <mergeCell ref="RUW59:RWB59"/>
    <mergeCell ref="RWC59:RXH59"/>
    <mergeCell ref="RXI59:RYN59"/>
    <mergeCell ref="RYO59:RZT59"/>
    <mergeCell ref="RZU59:SAZ59"/>
    <mergeCell ref="SBA59:SCF59"/>
    <mergeCell ref="RNM59:ROR59"/>
    <mergeCell ref="ROS59:RPX59"/>
    <mergeCell ref="RPY59:RRD59"/>
    <mergeCell ref="RRE59:RSJ59"/>
    <mergeCell ref="RSK59:RTP59"/>
    <mergeCell ref="RTQ59:RUV59"/>
    <mergeCell ref="RGC59:RHH59"/>
    <mergeCell ref="RHI59:RIN59"/>
    <mergeCell ref="RIO59:RJT59"/>
    <mergeCell ref="RJU59:RKZ59"/>
    <mergeCell ref="RLA59:RMF59"/>
    <mergeCell ref="RMG59:RNL59"/>
    <mergeCell ref="QYS59:QZX59"/>
    <mergeCell ref="QZY59:RBD59"/>
    <mergeCell ref="RBE59:RCJ59"/>
    <mergeCell ref="RCK59:RDP59"/>
    <mergeCell ref="RDQ59:REV59"/>
    <mergeCell ref="REW59:RGB59"/>
    <mergeCell ref="QRI59:QSN59"/>
    <mergeCell ref="QSO59:QTT59"/>
    <mergeCell ref="QTU59:QUZ59"/>
    <mergeCell ref="QVA59:QWF59"/>
    <mergeCell ref="QWG59:QXL59"/>
    <mergeCell ref="QXM59:QYR59"/>
    <mergeCell ref="QJY59:QLD59"/>
    <mergeCell ref="QLE59:QMJ59"/>
    <mergeCell ref="QMK59:QNP59"/>
    <mergeCell ref="QNQ59:QOV59"/>
    <mergeCell ref="QOW59:QQB59"/>
    <mergeCell ref="QQC59:QRH59"/>
    <mergeCell ref="QCO59:QDT59"/>
    <mergeCell ref="QDU59:QEZ59"/>
    <mergeCell ref="QFA59:QGF59"/>
    <mergeCell ref="QGG59:QHL59"/>
    <mergeCell ref="QHM59:QIR59"/>
    <mergeCell ref="QIS59:QJX59"/>
    <mergeCell ref="PVE59:PWJ59"/>
    <mergeCell ref="PWK59:PXP59"/>
    <mergeCell ref="PXQ59:PYV59"/>
    <mergeCell ref="PYW59:QAB59"/>
    <mergeCell ref="QAC59:QBH59"/>
    <mergeCell ref="QBI59:QCN59"/>
    <mergeCell ref="PNU59:POZ59"/>
    <mergeCell ref="PPA59:PQF59"/>
    <mergeCell ref="PQG59:PRL59"/>
    <mergeCell ref="PRM59:PSR59"/>
    <mergeCell ref="PSS59:PTX59"/>
    <mergeCell ref="PTY59:PVD59"/>
    <mergeCell ref="PGK59:PHP59"/>
    <mergeCell ref="PHQ59:PIV59"/>
    <mergeCell ref="PIW59:PKB59"/>
    <mergeCell ref="PKC59:PLH59"/>
    <mergeCell ref="PLI59:PMN59"/>
    <mergeCell ref="PMO59:PNT59"/>
    <mergeCell ref="OZA59:PAF59"/>
    <mergeCell ref="PAG59:PBL59"/>
    <mergeCell ref="PBM59:PCR59"/>
    <mergeCell ref="PCS59:PDX59"/>
    <mergeCell ref="PDY59:PFD59"/>
    <mergeCell ref="PFE59:PGJ59"/>
    <mergeCell ref="ORQ59:OSV59"/>
    <mergeCell ref="OSW59:OUB59"/>
    <mergeCell ref="OUC59:OVH59"/>
    <mergeCell ref="OVI59:OWN59"/>
    <mergeCell ref="OWO59:OXT59"/>
    <mergeCell ref="OXU59:OYZ59"/>
    <mergeCell ref="OKG59:OLL59"/>
    <mergeCell ref="OLM59:OMR59"/>
    <mergeCell ref="OMS59:ONX59"/>
    <mergeCell ref="ONY59:OPD59"/>
    <mergeCell ref="OPE59:OQJ59"/>
    <mergeCell ref="OQK59:ORP59"/>
    <mergeCell ref="OCW59:OEB59"/>
    <mergeCell ref="OEC59:OFH59"/>
    <mergeCell ref="OFI59:OGN59"/>
    <mergeCell ref="OGO59:OHT59"/>
    <mergeCell ref="OHU59:OIZ59"/>
    <mergeCell ref="OJA59:OKF59"/>
    <mergeCell ref="NVM59:NWR59"/>
    <mergeCell ref="NWS59:NXX59"/>
    <mergeCell ref="NXY59:NZD59"/>
    <mergeCell ref="NZE59:OAJ59"/>
    <mergeCell ref="OAK59:OBP59"/>
    <mergeCell ref="OBQ59:OCV59"/>
    <mergeCell ref="NOC59:NPH59"/>
    <mergeCell ref="NPI59:NQN59"/>
    <mergeCell ref="NQO59:NRT59"/>
    <mergeCell ref="NRU59:NSZ59"/>
    <mergeCell ref="NTA59:NUF59"/>
    <mergeCell ref="NUG59:NVL59"/>
    <mergeCell ref="NGS59:NHX59"/>
    <mergeCell ref="NHY59:NJD59"/>
    <mergeCell ref="NJE59:NKJ59"/>
    <mergeCell ref="NKK59:NLP59"/>
    <mergeCell ref="NLQ59:NMV59"/>
    <mergeCell ref="NMW59:NOB59"/>
    <mergeCell ref="MZI59:NAN59"/>
    <mergeCell ref="NAO59:NBT59"/>
    <mergeCell ref="NBU59:NCZ59"/>
    <mergeCell ref="NDA59:NEF59"/>
    <mergeCell ref="NEG59:NFL59"/>
    <mergeCell ref="NFM59:NGR59"/>
    <mergeCell ref="MRY59:MTD59"/>
    <mergeCell ref="MTE59:MUJ59"/>
    <mergeCell ref="MUK59:MVP59"/>
    <mergeCell ref="MVQ59:MWV59"/>
    <mergeCell ref="MWW59:MYB59"/>
    <mergeCell ref="MYC59:MZH59"/>
    <mergeCell ref="MKO59:MLT59"/>
    <mergeCell ref="MLU59:MMZ59"/>
    <mergeCell ref="MNA59:MOF59"/>
    <mergeCell ref="MOG59:MPL59"/>
    <mergeCell ref="MPM59:MQR59"/>
    <mergeCell ref="MQS59:MRX59"/>
    <mergeCell ref="MDE59:MEJ59"/>
    <mergeCell ref="MEK59:MFP59"/>
    <mergeCell ref="MFQ59:MGV59"/>
    <mergeCell ref="MGW59:MIB59"/>
    <mergeCell ref="MIC59:MJH59"/>
    <mergeCell ref="MJI59:MKN59"/>
    <mergeCell ref="LVU59:LWZ59"/>
    <mergeCell ref="LXA59:LYF59"/>
    <mergeCell ref="LYG59:LZL59"/>
    <mergeCell ref="LZM59:MAR59"/>
    <mergeCell ref="MAS59:MBX59"/>
    <mergeCell ref="MBY59:MDD59"/>
    <mergeCell ref="LOK59:LPP59"/>
    <mergeCell ref="LPQ59:LQV59"/>
    <mergeCell ref="LQW59:LSB59"/>
    <mergeCell ref="LSC59:LTH59"/>
    <mergeCell ref="LTI59:LUN59"/>
    <mergeCell ref="LUO59:LVT59"/>
    <mergeCell ref="LHA59:LIF59"/>
    <mergeCell ref="LIG59:LJL59"/>
    <mergeCell ref="LJM59:LKR59"/>
    <mergeCell ref="LKS59:LLX59"/>
    <mergeCell ref="LLY59:LND59"/>
    <mergeCell ref="LNE59:LOJ59"/>
    <mergeCell ref="KZQ59:LAV59"/>
    <mergeCell ref="LAW59:LCB59"/>
    <mergeCell ref="LCC59:LDH59"/>
    <mergeCell ref="LDI59:LEN59"/>
    <mergeCell ref="LEO59:LFT59"/>
    <mergeCell ref="LFU59:LGZ59"/>
    <mergeCell ref="KSG59:KTL59"/>
    <mergeCell ref="KTM59:KUR59"/>
    <mergeCell ref="KUS59:KVX59"/>
    <mergeCell ref="KVY59:KXD59"/>
    <mergeCell ref="KXE59:KYJ59"/>
    <mergeCell ref="KYK59:KZP59"/>
    <mergeCell ref="KKW59:KMB59"/>
    <mergeCell ref="KMC59:KNH59"/>
    <mergeCell ref="KNI59:KON59"/>
    <mergeCell ref="KOO59:KPT59"/>
    <mergeCell ref="KPU59:KQZ59"/>
    <mergeCell ref="KRA59:KSF59"/>
    <mergeCell ref="KDM59:KER59"/>
    <mergeCell ref="KES59:KFX59"/>
    <mergeCell ref="KFY59:KHD59"/>
    <mergeCell ref="KHE59:KIJ59"/>
    <mergeCell ref="KIK59:KJP59"/>
    <mergeCell ref="KJQ59:KKV59"/>
    <mergeCell ref="JWC59:JXH59"/>
    <mergeCell ref="JXI59:JYN59"/>
    <mergeCell ref="JYO59:JZT59"/>
    <mergeCell ref="JZU59:KAZ59"/>
    <mergeCell ref="KBA59:KCF59"/>
    <mergeCell ref="KCG59:KDL59"/>
    <mergeCell ref="JOS59:JPX59"/>
    <mergeCell ref="JPY59:JRD59"/>
    <mergeCell ref="JRE59:JSJ59"/>
    <mergeCell ref="JSK59:JTP59"/>
    <mergeCell ref="JTQ59:JUV59"/>
    <mergeCell ref="JUW59:JWB59"/>
    <mergeCell ref="JHI59:JIN59"/>
    <mergeCell ref="JIO59:JJT59"/>
    <mergeCell ref="JJU59:JKZ59"/>
    <mergeCell ref="JLA59:JMF59"/>
    <mergeCell ref="JMG59:JNL59"/>
    <mergeCell ref="JNM59:JOR59"/>
    <mergeCell ref="IZY59:JBD59"/>
    <mergeCell ref="JBE59:JCJ59"/>
    <mergeCell ref="JCK59:JDP59"/>
    <mergeCell ref="JDQ59:JEV59"/>
    <mergeCell ref="JEW59:JGB59"/>
    <mergeCell ref="JGC59:JHH59"/>
    <mergeCell ref="ISO59:ITT59"/>
    <mergeCell ref="ITU59:IUZ59"/>
    <mergeCell ref="IVA59:IWF59"/>
    <mergeCell ref="IWG59:IXL59"/>
    <mergeCell ref="IXM59:IYR59"/>
    <mergeCell ref="IYS59:IZX59"/>
    <mergeCell ref="ILE59:IMJ59"/>
    <mergeCell ref="IMK59:INP59"/>
    <mergeCell ref="INQ59:IOV59"/>
    <mergeCell ref="IOW59:IQB59"/>
    <mergeCell ref="IQC59:IRH59"/>
    <mergeCell ref="IRI59:ISN59"/>
    <mergeCell ref="IDU59:IEZ59"/>
    <mergeCell ref="IFA59:IGF59"/>
    <mergeCell ref="IGG59:IHL59"/>
    <mergeCell ref="IHM59:IIR59"/>
    <mergeCell ref="IIS59:IJX59"/>
    <mergeCell ref="IJY59:ILD59"/>
    <mergeCell ref="HWK59:HXP59"/>
    <mergeCell ref="HXQ59:HYV59"/>
    <mergeCell ref="HYW59:IAB59"/>
    <mergeCell ref="IAC59:IBH59"/>
    <mergeCell ref="IBI59:ICN59"/>
    <mergeCell ref="ICO59:IDT59"/>
    <mergeCell ref="HPA59:HQF59"/>
    <mergeCell ref="HQG59:HRL59"/>
    <mergeCell ref="HRM59:HSR59"/>
    <mergeCell ref="HSS59:HTX59"/>
    <mergeCell ref="HTY59:HVD59"/>
    <mergeCell ref="HVE59:HWJ59"/>
    <mergeCell ref="HHQ59:HIV59"/>
    <mergeCell ref="HIW59:HKB59"/>
    <mergeCell ref="HKC59:HLH59"/>
    <mergeCell ref="HLI59:HMN59"/>
    <mergeCell ref="HMO59:HNT59"/>
    <mergeCell ref="HNU59:HOZ59"/>
    <mergeCell ref="HAG59:HBL59"/>
    <mergeCell ref="HBM59:HCR59"/>
    <mergeCell ref="HCS59:HDX59"/>
    <mergeCell ref="HDY59:HFD59"/>
    <mergeCell ref="HFE59:HGJ59"/>
    <mergeCell ref="HGK59:HHP59"/>
    <mergeCell ref="GSW59:GUB59"/>
    <mergeCell ref="GUC59:GVH59"/>
    <mergeCell ref="GVI59:GWN59"/>
    <mergeCell ref="GWO59:GXT59"/>
    <mergeCell ref="GXU59:GYZ59"/>
    <mergeCell ref="GZA59:HAF59"/>
    <mergeCell ref="GLM59:GMR59"/>
    <mergeCell ref="GMS59:GNX59"/>
    <mergeCell ref="GNY59:GPD59"/>
    <mergeCell ref="GPE59:GQJ59"/>
    <mergeCell ref="GQK59:GRP59"/>
    <mergeCell ref="GRQ59:GSV59"/>
    <mergeCell ref="GEC59:GFH59"/>
    <mergeCell ref="GFI59:GGN59"/>
    <mergeCell ref="GGO59:GHT59"/>
    <mergeCell ref="GHU59:GIZ59"/>
    <mergeCell ref="GJA59:GKF59"/>
    <mergeCell ref="GKG59:GLL59"/>
    <mergeCell ref="FWS59:FXX59"/>
    <mergeCell ref="FXY59:FZD59"/>
    <mergeCell ref="FZE59:GAJ59"/>
    <mergeCell ref="GAK59:GBP59"/>
    <mergeCell ref="GBQ59:GCV59"/>
    <mergeCell ref="GCW59:GEB59"/>
    <mergeCell ref="FPI59:FQN59"/>
    <mergeCell ref="FQO59:FRT59"/>
    <mergeCell ref="FRU59:FSZ59"/>
    <mergeCell ref="FTA59:FUF59"/>
    <mergeCell ref="FUG59:FVL59"/>
    <mergeCell ref="FVM59:FWR59"/>
    <mergeCell ref="FHY59:FJD59"/>
    <mergeCell ref="FJE59:FKJ59"/>
    <mergeCell ref="FKK59:FLP59"/>
    <mergeCell ref="FLQ59:FMV59"/>
    <mergeCell ref="FMW59:FOB59"/>
    <mergeCell ref="FOC59:FPH59"/>
    <mergeCell ref="FAO59:FBT59"/>
    <mergeCell ref="FBU59:FCZ59"/>
    <mergeCell ref="FDA59:FEF59"/>
    <mergeCell ref="FEG59:FFL59"/>
    <mergeCell ref="FFM59:FGR59"/>
    <mergeCell ref="FGS59:FHX59"/>
    <mergeCell ref="ETE59:EUJ59"/>
    <mergeCell ref="EUK59:EVP59"/>
    <mergeCell ref="EVQ59:EWV59"/>
    <mergeCell ref="EWW59:EYB59"/>
    <mergeCell ref="EYC59:EZH59"/>
    <mergeCell ref="EZI59:FAN59"/>
    <mergeCell ref="ELU59:EMZ59"/>
    <mergeCell ref="ENA59:EOF59"/>
    <mergeCell ref="EOG59:EPL59"/>
    <mergeCell ref="EPM59:EQR59"/>
    <mergeCell ref="EQS59:ERX59"/>
    <mergeCell ref="ERY59:ETD59"/>
    <mergeCell ref="EEK59:EFP59"/>
    <mergeCell ref="EFQ59:EGV59"/>
    <mergeCell ref="EGW59:EIB59"/>
    <mergeCell ref="EIC59:EJH59"/>
    <mergeCell ref="EJI59:EKN59"/>
    <mergeCell ref="EKO59:ELT59"/>
    <mergeCell ref="DXA59:DYF59"/>
    <mergeCell ref="DYG59:DZL59"/>
    <mergeCell ref="DZM59:EAR59"/>
    <mergeCell ref="EAS59:EBX59"/>
    <mergeCell ref="EBY59:EDD59"/>
    <mergeCell ref="EDE59:EEJ59"/>
    <mergeCell ref="DPQ59:DQV59"/>
    <mergeCell ref="DQW59:DSB59"/>
    <mergeCell ref="DSC59:DTH59"/>
    <mergeCell ref="DTI59:DUN59"/>
    <mergeCell ref="DUO59:DVT59"/>
    <mergeCell ref="DVU59:DWZ59"/>
    <mergeCell ref="DIG59:DJL59"/>
    <mergeCell ref="DJM59:DKR59"/>
    <mergeCell ref="DKS59:DLX59"/>
    <mergeCell ref="DLY59:DND59"/>
    <mergeCell ref="DNE59:DOJ59"/>
    <mergeCell ref="DOK59:DPP59"/>
    <mergeCell ref="DAW59:DCB59"/>
    <mergeCell ref="DCC59:DDH59"/>
    <mergeCell ref="DDI59:DEN59"/>
    <mergeCell ref="DEO59:DFT59"/>
    <mergeCell ref="DFU59:DGZ59"/>
    <mergeCell ref="DHA59:DIF59"/>
    <mergeCell ref="CTM59:CUR59"/>
    <mergeCell ref="CUS59:CVX59"/>
    <mergeCell ref="CVY59:CXD59"/>
    <mergeCell ref="CXE59:CYJ59"/>
    <mergeCell ref="CYK59:CZP59"/>
    <mergeCell ref="CZQ59:DAV59"/>
    <mergeCell ref="CMC59:CNH59"/>
    <mergeCell ref="CNI59:CON59"/>
    <mergeCell ref="COO59:CPT59"/>
    <mergeCell ref="CPU59:CQZ59"/>
    <mergeCell ref="CRA59:CSF59"/>
    <mergeCell ref="CSG59:CTL59"/>
    <mergeCell ref="CES59:CFX59"/>
    <mergeCell ref="CFY59:CHD59"/>
    <mergeCell ref="CHE59:CIJ59"/>
    <mergeCell ref="CIK59:CJP59"/>
    <mergeCell ref="CJQ59:CKV59"/>
    <mergeCell ref="CKW59:CMB59"/>
    <mergeCell ref="BXI59:BYN59"/>
    <mergeCell ref="BYO59:BZT59"/>
    <mergeCell ref="BZU59:CAZ59"/>
    <mergeCell ref="CBA59:CCF59"/>
    <mergeCell ref="CCG59:CDL59"/>
    <mergeCell ref="CDM59:CER59"/>
    <mergeCell ref="BPY59:BRD59"/>
    <mergeCell ref="BRE59:BSJ59"/>
    <mergeCell ref="BSK59:BTP59"/>
    <mergeCell ref="BTQ59:BUV59"/>
    <mergeCell ref="BUW59:BWB59"/>
    <mergeCell ref="BWC59:BXH59"/>
    <mergeCell ref="BIO59:BJT59"/>
    <mergeCell ref="BJU59:BKZ59"/>
    <mergeCell ref="BLA59:BMF59"/>
    <mergeCell ref="BMG59:BNL59"/>
    <mergeCell ref="BNM59:BOR59"/>
    <mergeCell ref="BOS59:BPX59"/>
    <mergeCell ref="BBE59:BCJ59"/>
    <mergeCell ref="BCK59:BDP59"/>
    <mergeCell ref="BDQ59:BEV59"/>
    <mergeCell ref="BEW59:BGB59"/>
    <mergeCell ref="BGC59:BHH59"/>
    <mergeCell ref="BHI59:BIN59"/>
    <mergeCell ref="ATU59:AUZ59"/>
    <mergeCell ref="AVA59:AWF59"/>
    <mergeCell ref="AWG59:AXL59"/>
    <mergeCell ref="AXM59:AYR59"/>
    <mergeCell ref="AYS59:AZX59"/>
    <mergeCell ref="AZY59:BBD59"/>
    <mergeCell ref="AMK59:ANP59"/>
    <mergeCell ref="ANQ59:AOV59"/>
    <mergeCell ref="AOW59:AQB59"/>
    <mergeCell ref="AQC59:ARH59"/>
    <mergeCell ref="ARI59:ASN59"/>
    <mergeCell ref="ASO59:ATT59"/>
    <mergeCell ref="AFA59:AGF59"/>
    <mergeCell ref="AGG59:AHL59"/>
    <mergeCell ref="AHM59:AIR59"/>
    <mergeCell ref="AIS59:AJX59"/>
    <mergeCell ref="AJY59:ALD59"/>
    <mergeCell ref="ALE59:AMJ59"/>
    <mergeCell ref="XQ59:YV59"/>
    <mergeCell ref="YW59:AAB59"/>
    <mergeCell ref="AAC59:ABH59"/>
    <mergeCell ref="ABI59:ACN59"/>
    <mergeCell ref="ACO59:ADT59"/>
    <mergeCell ref="ADU59:AEZ59"/>
    <mergeCell ref="QG59:RL59"/>
    <mergeCell ref="RM59:SR59"/>
    <mergeCell ref="SS59:TX59"/>
    <mergeCell ref="TY59:VD59"/>
    <mergeCell ref="VE59:WJ59"/>
    <mergeCell ref="WK59:XP59"/>
    <mergeCell ref="IW59:KB59"/>
    <mergeCell ref="KC59:LH59"/>
    <mergeCell ref="LI59:MN59"/>
    <mergeCell ref="MO59:NT59"/>
    <mergeCell ref="NU59:OZ59"/>
    <mergeCell ref="PA59:QF59"/>
    <mergeCell ref="BM59:CR59"/>
    <mergeCell ref="CS59:DX59"/>
    <mergeCell ref="DY59:FD59"/>
    <mergeCell ref="FE59:GJ59"/>
    <mergeCell ref="GK59:HP59"/>
    <mergeCell ref="HQ59:IV59"/>
    <mergeCell ref="A1:AG1"/>
    <mergeCell ref="A2:AF2"/>
    <mergeCell ref="AI7:AK7"/>
    <mergeCell ref="AM7:AO7"/>
    <mergeCell ref="A58:AG58"/>
    <mergeCell ref="A59:AF59"/>
    <mergeCell ref="AG59:BL59"/>
  </mergeCells>
  <conditionalFormatting sqref="C7:G7 C8:AD8 AF8:AH8 C9:AG11 I7:AG7 C12:G12 I12:AG12 C47:AG51 C31:AG39 C66:AG92">
    <cfRule type="containsText" dxfId="277" priority="76" operator="containsText" text="B">
      <formula>NOT(ISERROR(SEARCH("B",C7)))</formula>
    </cfRule>
    <cfRule type="containsText" dxfId="276" priority="77" operator="containsText" text="TB">
      <formula>NOT(ISERROR(SEARCH("TB",C7)))</formula>
    </cfRule>
    <cfRule type="containsText" dxfId="275" priority="78" operator="containsText" text="T">
      <formula>NOT(ISERROR(SEARCH("T",C7)))</formula>
    </cfRule>
  </conditionalFormatting>
  <conditionalFormatting sqref="C7:G7 C8:AD8 AF8:AH8 C9:AG11 C93:AH93 I7:AG7 C12:G12 I12:AG12 C47:AG52 C31:AG39 C66:AG92">
    <cfRule type="containsText" dxfId="274" priority="75" operator="containsText" text="TB">
      <formula>NOT(ISERROR(SEARCH("TB",C7)))</formula>
    </cfRule>
  </conditionalFormatting>
  <conditionalFormatting sqref="A54:A56">
    <cfRule type="containsText" dxfId="273" priority="72" operator="containsText" text="B">
      <formula>NOT(ISERROR(SEARCH("B",A54)))</formula>
    </cfRule>
    <cfRule type="containsText" dxfId="272" priority="73" operator="containsText" text="TB">
      <formula>NOT(ISERROR(SEARCH("TB",A54)))</formula>
    </cfRule>
    <cfRule type="containsText" dxfId="271" priority="74" operator="containsText" text="T">
      <formula>NOT(ISERROR(SEARCH("T",A54)))</formula>
    </cfRule>
  </conditionalFormatting>
  <conditionalFormatting sqref="A54:A56">
    <cfRule type="containsText" dxfId="270" priority="71" operator="containsText" text="TB">
      <formula>NOT(ISERROR(SEARCH("TB",A54)))</formula>
    </cfRule>
  </conditionalFormatting>
  <conditionalFormatting sqref="C40:AG45 C46:G46 I46:AG46">
    <cfRule type="containsText" dxfId="269" priority="68" operator="containsText" text="B">
      <formula>NOT(ISERROR(SEARCH("B",C40)))</formula>
    </cfRule>
    <cfRule type="containsText" dxfId="268" priority="69" operator="containsText" text="TB">
      <formula>NOT(ISERROR(SEARCH("TB",C40)))</formula>
    </cfRule>
    <cfRule type="containsText" dxfId="267" priority="70" operator="containsText" text="T">
      <formula>NOT(ISERROR(SEARCH("T",C40)))</formula>
    </cfRule>
  </conditionalFormatting>
  <conditionalFormatting sqref="C40:AG45 C46:G46 I46:AG46">
    <cfRule type="containsText" dxfId="266" priority="67" operator="containsText" text="TB">
      <formula>NOT(ISERROR(SEARCH("TB",C40)))</formula>
    </cfRule>
  </conditionalFormatting>
  <conditionalFormatting sqref="C64:AD65 AF64:AH65">
    <cfRule type="containsText" dxfId="265" priority="64" operator="containsText" text="B">
      <formula>NOT(ISERROR(SEARCH("B",C64)))</formula>
    </cfRule>
    <cfRule type="containsText" dxfId="264" priority="65" operator="containsText" text="TB">
      <formula>NOT(ISERROR(SEARCH("TB",C64)))</formula>
    </cfRule>
    <cfRule type="containsText" dxfId="263" priority="66" operator="containsText" text="T">
      <formula>NOT(ISERROR(SEARCH("T",C64)))</formula>
    </cfRule>
  </conditionalFormatting>
  <conditionalFormatting sqref="C64:AD65 AF64:AH65">
    <cfRule type="containsText" dxfId="262" priority="63" operator="containsText" text="TB">
      <formula>NOT(ISERROR(SEARCH("TB",C64)))</formula>
    </cfRule>
  </conditionalFormatting>
  <conditionalFormatting sqref="C13:AG21">
    <cfRule type="containsText" dxfId="261" priority="60" operator="containsText" text="B">
      <formula>NOT(ISERROR(SEARCH("B",C13)))</formula>
    </cfRule>
    <cfRule type="containsText" dxfId="260" priority="61" operator="containsText" text="TB">
      <formula>NOT(ISERROR(SEARCH("TB",C13)))</formula>
    </cfRule>
    <cfRule type="containsText" dxfId="259" priority="62" operator="containsText" text="T">
      <formula>NOT(ISERROR(SEARCH("T",C13)))</formula>
    </cfRule>
  </conditionalFormatting>
  <conditionalFormatting sqref="C13:AG21">
    <cfRule type="containsText" dxfId="258" priority="59" operator="containsText" text="TB">
      <formula>NOT(ISERROR(SEARCH("TB",C13)))</formula>
    </cfRule>
  </conditionalFormatting>
  <conditionalFormatting sqref="C22:AG30">
    <cfRule type="containsText" dxfId="257" priority="56" operator="containsText" text="B">
      <formula>NOT(ISERROR(SEARCH("B",C22)))</formula>
    </cfRule>
    <cfRule type="containsText" dxfId="256" priority="57" operator="containsText" text="TB">
      <formula>NOT(ISERROR(SEARCH("TB",C22)))</formula>
    </cfRule>
    <cfRule type="containsText" dxfId="255" priority="58" operator="containsText" text="T">
      <formula>NOT(ISERROR(SEARCH("T",C22)))</formula>
    </cfRule>
  </conditionalFormatting>
  <conditionalFormatting sqref="C22:AG30">
    <cfRule type="containsText" dxfId="254" priority="55" operator="containsText" text="TB">
      <formula>NOT(ISERROR(SEARCH("TB",C22)))</formula>
    </cfRule>
  </conditionalFormatting>
  <conditionalFormatting sqref="B7:B51">
    <cfRule type="expression" dxfId="253" priority="52">
      <formula>AND($AK7&gt;0,$W7&gt;89)</formula>
    </cfRule>
    <cfRule type="expression" dxfId="252" priority="53">
      <formula>AND($AK7&gt;0,$W7&gt;59)</formula>
    </cfRule>
    <cfRule type="expression" dxfId="251" priority="54">
      <formula>AND($AK7&gt;0,$W7&gt;44)</formula>
    </cfRule>
  </conditionalFormatting>
  <conditionalFormatting sqref="H7">
    <cfRule type="containsText" dxfId="250" priority="49" operator="containsText" text="B">
      <formula>NOT(ISERROR(SEARCH("B",H7)))</formula>
    </cfRule>
    <cfRule type="containsText" dxfId="249" priority="50" operator="containsText" text="TB">
      <formula>NOT(ISERROR(SEARCH("TB",H7)))</formula>
    </cfRule>
    <cfRule type="containsText" dxfId="248" priority="51" operator="containsText" text="T">
      <formula>NOT(ISERROR(SEARCH("T",H7)))</formula>
    </cfRule>
  </conditionalFormatting>
  <conditionalFormatting sqref="H7">
    <cfRule type="containsText" dxfId="247" priority="48" operator="containsText" text="TB">
      <formula>NOT(ISERROR(SEARCH("TB",H7)))</formula>
    </cfRule>
  </conditionalFormatting>
  <conditionalFormatting sqref="H12">
    <cfRule type="containsText" dxfId="246" priority="45" operator="containsText" text="B">
      <formula>NOT(ISERROR(SEARCH("B",H12)))</formula>
    </cfRule>
    <cfRule type="containsText" dxfId="245" priority="46" operator="containsText" text="TB">
      <formula>NOT(ISERROR(SEARCH("TB",H12)))</formula>
    </cfRule>
    <cfRule type="containsText" dxfId="244" priority="47" operator="containsText" text="T">
      <formula>NOT(ISERROR(SEARCH("T",H12)))</formula>
    </cfRule>
  </conditionalFormatting>
  <conditionalFormatting sqref="H12">
    <cfRule type="containsText" dxfId="243" priority="44" operator="containsText" text="TB">
      <formula>NOT(ISERROR(SEARCH("TB",H12)))</formula>
    </cfRule>
  </conditionalFormatting>
  <conditionalFormatting sqref="H46">
    <cfRule type="containsText" dxfId="242" priority="41" operator="containsText" text="B">
      <formula>NOT(ISERROR(SEARCH("B",H46)))</formula>
    </cfRule>
    <cfRule type="containsText" dxfId="241" priority="42" operator="containsText" text="TB">
      <formula>NOT(ISERROR(SEARCH("TB",H46)))</formula>
    </cfRule>
    <cfRule type="containsText" dxfId="240" priority="43" operator="containsText" text="T">
      <formula>NOT(ISERROR(SEARCH("T",H46)))</formula>
    </cfRule>
  </conditionalFormatting>
  <conditionalFormatting sqref="H46">
    <cfRule type="containsText" dxfId="239" priority="40" operator="containsText" text="TB">
      <formula>NOT(ISERROR(SEARCH("TB",H46)))</formula>
    </cfRule>
  </conditionalFormatting>
  <conditionalFormatting sqref="B64:B65 B70">
    <cfRule type="expression" dxfId="238" priority="37">
      <formula>AND($AK64&gt;0,$W64&gt;89)</formula>
    </cfRule>
    <cfRule type="expression" dxfId="237" priority="38">
      <formula>AND($AK64&gt;0,$W64&gt;59)</formula>
    </cfRule>
    <cfRule type="expression" dxfId="236" priority="39">
      <formula>AND($AK64&gt;0,$W64&gt;44)</formula>
    </cfRule>
  </conditionalFormatting>
  <conditionalFormatting sqref="B66">
    <cfRule type="expression" dxfId="235" priority="34">
      <formula>AND($AK66&gt;0,$W66&gt;89)</formula>
    </cfRule>
    <cfRule type="expression" dxfId="234" priority="35">
      <formula>AND($AK66&gt;0,$W66&gt;59)</formula>
    </cfRule>
    <cfRule type="expression" dxfId="233" priority="36">
      <formula>AND($AK66&gt;0,$W66&gt;44)</formula>
    </cfRule>
  </conditionalFormatting>
  <conditionalFormatting sqref="B67">
    <cfRule type="expression" dxfId="232" priority="31">
      <formula>AND($AK67&gt;0,$W67&gt;89)</formula>
    </cfRule>
    <cfRule type="expression" dxfId="231" priority="32">
      <formula>AND($AK67&gt;0,$W67&gt;59)</formula>
    </cfRule>
    <cfRule type="expression" dxfId="230" priority="33">
      <formula>AND($AK67&gt;0,$W67&gt;44)</formula>
    </cfRule>
  </conditionalFormatting>
  <conditionalFormatting sqref="B68">
    <cfRule type="expression" dxfId="229" priority="28">
      <formula>AND($AK68&gt;0,$W68&gt;89)</formula>
    </cfRule>
    <cfRule type="expression" dxfId="228" priority="29">
      <formula>AND($AK68&gt;0,$W68&gt;59)</formula>
    </cfRule>
    <cfRule type="expression" dxfId="227" priority="30">
      <formula>AND($AK68&gt;0,$W68&gt;44)</formula>
    </cfRule>
  </conditionalFormatting>
  <conditionalFormatting sqref="B69">
    <cfRule type="expression" dxfId="226" priority="25">
      <formula>AND($AK69&gt;0,$W69&gt;89)</formula>
    </cfRule>
    <cfRule type="expression" dxfId="225" priority="26">
      <formula>AND($AK69&gt;0,$W69&gt;59)</formula>
    </cfRule>
    <cfRule type="expression" dxfId="224" priority="27">
      <formula>AND($AK69&gt;0,$W69&gt;44)</formula>
    </cfRule>
  </conditionalFormatting>
  <conditionalFormatting sqref="B71">
    <cfRule type="expression" dxfId="223" priority="22">
      <formula>AND($AK71&gt;0,$W71&gt;89)</formula>
    </cfRule>
    <cfRule type="expression" dxfId="222" priority="23">
      <formula>AND($AK71&gt;0,$W71&gt;59)</formula>
    </cfRule>
    <cfRule type="expression" dxfId="221" priority="24">
      <formula>AND($AK71&gt;0,$W71&gt;44)</formula>
    </cfRule>
  </conditionalFormatting>
  <conditionalFormatting sqref="B72">
    <cfRule type="expression" dxfId="220" priority="19">
      <formula>AND($AK72&gt;0,$W72&gt;89)</formula>
    </cfRule>
    <cfRule type="expression" dxfId="219" priority="20">
      <formula>AND($AK72&gt;0,$W72&gt;59)</formula>
    </cfRule>
    <cfRule type="expression" dxfId="218" priority="21">
      <formula>AND($AK72&gt;0,$W72&gt;44)</formula>
    </cfRule>
  </conditionalFormatting>
  <conditionalFormatting sqref="B73:B74">
    <cfRule type="expression" dxfId="217" priority="16">
      <formula>AND($AK73&gt;0,$W73&gt;89)</formula>
    </cfRule>
    <cfRule type="expression" dxfId="216" priority="17">
      <formula>AND($AK73&gt;0,$W73&gt;59)</formula>
    </cfRule>
    <cfRule type="expression" dxfId="215" priority="18">
      <formula>AND($AK73&gt;0,$W73&gt;44)</formula>
    </cfRule>
  </conditionalFormatting>
  <conditionalFormatting sqref="B75:B76">
    <cfRule type="expression" dxfId="214" priority="13">
      <formula>AND($AK75&gt;0,$W75&gt;89)</formula>
    </cfRule>
    <cfRule type="expression" dxfId="213" priority="14">
      <formula>AND($AK75&gt;0,$W75&gt;59)</formula>
    </cfRule>
    <cfRule type="expression" dxfId="212" priority="15">
      <formula>AND($AK75&gt;0,$W75&gt;44)</formula>
    </cfRule>
  </conditionalFormatting>
  <conditionalFormatting sqref="B77">
    <cfRule type="expression" dxfId="211" priority="10">
      <formula>AND($AK77&gt;0,$W77&gt;89)</formula>
    </cfRule>
    <cfRule type="expression" dxfId="210" priority="11">
      <formula>AND($AK77&gt;0,$W77&gt;59)</formula>
    </cfRule>
    <cfRule type="expression" dxfId="209" priority="12">
      <formula>AND($AK77&gt;0,$W77&gt;44)</formula>
    </cfRule>
  </conditionalFormatting>
  <conditionalFormatting sqref="B78">
    <cfRule type="expression" dxfId="208" priority="7">
      <formula>AND($AK78&gt;0,$W78&gt;89)</formula>
    </cfRule>
    <cfRule type="expression" dxfId="207" priority="8">
      <formula>AND($AK78&gt;0,$W78&gt;59)</formula>
    </cfRule>
    <cfRule type="expression" dxfId="206" priority="9">
      <formula>AND($AK78&gt;0,$W78&gt;44)</formula>
    </cfRule>
  </conditionalFormatting>
  <conditionalFormatting sqref="B79">
    <cfRule type="expression" dxfId="205" priority="4">
      <formula>AND($AK79&gt;0,$W79&gt;89)</formula>
    </cfRule>
    <cfRule type="expression" dxfId="204" priority="5">
      <formula>AND($AK79&gt;0,$W79&gt;59)</formula>
    </cfRule>
    <cfRule type="expression" dxfId="203" priority="6">
      <formula>AND($AK79&gt;0,$W79&gt;44)</formula>
    </cfRule>
  </conditionalFormatting>
  <conditionalFormatting sqref="B80">
    <cfRule type="expression" dxfId="202" priority="1">
      <formula>AND($AK80&gt;0,$W80&gt;89)</formula>
    </cfRule>
    <cfRule type="expression" dxfId="201" priority="2">
      <formula>AND($AK80&gt;0,$W80&gt;59)</formula>
    </cfRule>
    <cfRule type="expression" dxfId="200" priority="3">
      <formula>AND($AK80&gt;0,$W80&gt;44)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218"/>
  <sheetViews>
    <sheetView showGridLines="0" tabSelected="1" zoomScale="90" zoomScaleNormal="9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C37" sqref="C37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31.42578125" style="135" customWidth="1"/>
    <col min="7" max="7" width="15.28515625" bestFit="1" customWidth="1"/>
    <col min="8" max="8" width="15" bestFit="1" customWidth="1"/>
    <col min="9" max="9" width="13.28515625" style="135" bestFit="1" customWidth="1"/>
  </cols>
  <sheetData>
    <row r="1" spans="1:13" ht="20.25" thickTop="1" thickBot="1">
      <c r="A1" s="109" t="s">
        <v>146</v>
      </c>
      <c r="B1" s="109"/>
      <c r="C1" s="109"/>
      <c r="D1" s="109"/>
      <c r="E1" s="109"/>
      <c r="F1" s="109"/>
      <c r="G1" s="109"/>
      <c r="H1" s="109"/>
      <c r="I1" s="109"/>
      <c r="J1" s="110"/>
      <c r="K1" s="110"/>
      <c r="L1" s="110"/>
      <c r="M1" s="110"/>
    </row>
    <row r="2" spans="1:13" ht="20.25" thickTop="1" thickBot="1">
      <c r="A2" s="109" t="s">
        <v>147</v>
      </c>
      <c r="B2" s="109"/>
      <c r="C2" s="109"/>
      <c r="D2" s="109"/>
      <c r="E2" s="109"/>
      <c r="F2" s="109"/>
      <c r="G2" s="109"/>
      <c r="H2" s="109"/>
      <c r="I2" s="109"/>
      <c r="J2" s="110"/>
      <c r="K2" s="110"/>
      <c r="L2" s="110"/>
      <c r="M2" s="110"/>
    </row>
    <row r="3" spans="1:13" ht="16.5" thickTop="1" thickBot="1">
      <c r="A3" s="111" t="s">
        <v>57</v>
      </c>
      <c r="B3" s="111" t="s">
        <v>58</v>
      </c>
      <c r="C3" s="111" t="s">
        <v>148</v>
      </c>
      <c r="D3" s="111" t="s">
        <v>149</v>
      </c>
      <c r="E3" s="111" t="s">
        <v>150</v>
      </c>
      <c r="F3" s="111" t="s">
        <v>151</v>
      </c>
      <c r="G3" s="111" t="s">
        <v>152</v>
      </c>
      <c r="H3" s="111" t="s">
        <v>153</v>
      </c>
      <c r="I3" s="111" t="s">
        <v>154</v>
      </c>
      <c r="J3" s="110"/>
      <c r="K3" s="110"/>
      <c r="L3" s="110"/>
      <c r="M3" s="110"/>
    </row>
    <row r="4" spans="1:13" ht="15.75" thickTop="1">
      <c r="A4" s="112"/>
      <c r="B4" s="113" t="s">
        <v>155</v>
      </c>
      <c r="C4" s="114">
        <f>SUM(C1:C3)</f>
        <v>0</v>
      </c>
      <c r="D4" s="114">
        <f>SUM(D1:D3)</f>
        <v>0</v>
      </c>
      <c r="E4" s="115">
        <f>SUM(E1:E3)</f>
        <v>0</v>
      </c>
      <c r="F4" s="116"/>
      <c r="G4" s="114">
        <f>SUM(G1:G3)</f>
        <v>0</v>
      </c>
      <c r="H4" s="115">
        <f>G4-D4</f>
        <v>0</v>
      </c>
      <c r="I4" s="112"/>
      <c r="J4" s="110"/>
      <c r="K4" s="110"/>
      <c r="L4" s="110"/>
      <c r="M4" s="110"/>
    </row>
    <row r="5" spans="1:13">
      <c r="A5" s="64">
        <v>1</v>
      </c>
      <c r="B5" s="78" t="s">
        <v>73</v>
      </c>
      <c r="C5" s="117">
        <v>1815290000</v>
      </c>
      <c r="D5" s="118">
        <v>1350000000</v>
      </c>
      <c r="E5" s="119">
        <f t="shared" ref="E5:E68" si="0">C5-D5</f>
        <v>465290000</v>
      </c>
      <c r="F5" s="118"/>
      <c r="G5" s="118"/>
      <c r="H5" s="120"/>
      <c r="I5" s="121"/>
      <c r="J5" s="110"/>
      <c r="K5" s="110"/>
      <c r="L5" s="110"/>
      <c r="M5" s="110"/>
    </row>
    <row r="6" spans="1:13">
      <c r="A6" s="64">
        <v>2</v>
      </c>
      <c r="B6" s="122" t="s">
        <v>98</v>
      </c>
      <c r="C6" s="117">
        <v>846454825</v>
      </c>
      <c r="D6" s="118">
        <v>800000000</v>
      </c>
      <c r="E6" s="119">
        <f t="shared" si="0"/>
        <v>46454825</v>
      </c>
      <c r="F6" s="118"/>
      <c r="G6" s="118"/>
      <c r="H6" s="120"/>
      <c r="I6" s="121"/>
      <c r="J6" s="110"/>
      <c r="K6" s="110"/>
      <c r="L6" s="110"/>
      <c r="M6" s="110"/>
    </row>
    <row r="7" spans="1:13">
      <c r="A7" s="64">
        <v>3</v>
      </c>
      <c r="B7" s="78" t="s">
        <v>119</v>
      </c>
      <c r="C7" s="117">
        <v>400627500</v>
      </c>
      <c r="D7" s="118">
        <v>400627500</v>
      </c>
      <c r="E7" s="119">
        <f t="shared" si="0"/>
        <v>0</v>
      </c>
      <c r="F7" s="118"/>
      <c r="G7" s="118"/>
      <c r="H7" s="120"/>
      <c r="I7" s="121"/>
      <c r="J7" s="110"/>
      <c r="K7" s="110"/>
      <c r="L7" s="110"/>
      <c r="M7" s="110"/>
    </row>
    <row r="8" spans="1:13">
      <c r="A8" s="64">
        <v>4</v>
      </c>
      <c r="B8" s="78" t="s">
        <v>100</v>
      </c>
      <c r="C8" s="117">
        <v>110496800</v>
      </c>
      <c r="D8" s="118">
        <v>110496800</v>
      </c>
      <c r="E8" s="119">
        <f t="shared" si="0"/>
        <v>0</v>
      </c>
      <c r="F8" s="118"/>
      <c r="G8" s="118"/>
      <c r="H8" s="120"/>
      <c r="I8" s="121"/>
      <c r="J8" s="110"/>
      <c r="K8" s="110"/>
      <c r="L8" s="110"/>
      <c r="M8" s="110"/>
    </row>
    <row r="9" spans="1:13">
      <c r="A9" s="64">
        <v>5</v>
      </c>
      <c r="B9" s="78" t="s">
        <v>96</v>
      </c>
      <c r="C9" s="117">
        <v>101101400</v>
      </c>
      <c r="D9" s="118">
        <v>101101400</v>
      </c>
      <c r="E9" s="119">
        <f t="shared" si="0"/>
        <v>0</v>
      </c>
      <c r="F9" s="118"/>
      <c r="G9" s="118"/>
      <c r="H9" s="120"/>
      <c r="I9" s="121"/>
      <c r="J9" s="110"/>
      <c r="K9" s="110"/>
      <c r="L9" s="110"/>
      <c r="M9" s="110"/>
    </row>
    <row r="10" spans="1:13">
      <c r="A10" s="64">
        <v>6</v>
      </c>
      <c r="B10" s="78" t="s">
        <v>65</v>
      </c>
      <c r="C10" s="117">
        <v>84690500</v>
      </c>
      <c r="D10" s="118">
        <v>71490500</v>
      </c>
      <c r="E10" s="119">
        <f t="shared" si="0"/>
        <v>13200000</v>
      </c>
      <c r="F10" s="118"/>
      <c r="G10" s="118"/>
      <c r="H10" s="120"/>
      <c r="I10" s="121"/>
      <c r="J10" s="110"/>
      <c r="K10" s="110"/>
      <c r="L10" s="110"/>
      <c r="M10" s="110"/>
    </row>
    <row r="11" spans="1:13">
      <c r="A11" s="64">
        <v>7</v>
      </c>
      <c r="B11" s="78" t="s">
        <v>97</v>
      </c>
      <c r="C11" s="117">
        <v>84012800</v>
      </c>
      <c r="D11" s="118">
        <v>54205000</v>
      </c>
      <c r="E11" s="119">
        <f t="shared" si="0"/>
        <v>29807800</v>
      </c>
      <c r="F11" s="118"/>
      <c r="G11" s="118"/>
      <c r="H11" s="120"/>
      <c r="I11" s="121"/>
      <c r="J11" s="110"/>
      <c r="K11" s="110"/>
      <c r="L11" s="110"/>
      <c r="M11" s="110"/>
    </row>
    <row r="12" spans="1:13">
      <c r="A12" s="64">
        <v>8</v>
      </c>
      <c r="B12" s="78" t="s">
        <v>103</v>
      </c>
      <c r="C12" s="117">
        <v>42625000</v>
      </c>
      <c r="D12" s="118">
        <v>42625000</v>
      </c>
      <c r="E12" s="119">
        <f t="shared" si="0"/>
        <v>0</v>
      </c>
      <c r="F12" s="118"/>
      <c r="G12" s="118"/>
      <c r="H12" s="120"/>
      <c r="I12" s="121"/>
      <c r="J12" s="110"/>
      <c r="K12" s="110"/>
      <c r="L12" s="110"/>
      <c r="M12" s="110"/>
    </row>
    <row r="13" spans="1:13">
      <c r="A13" s="64">
        <v>9</v>
      </c>
      <c r="B13" s="78" t="s">
        <v>81</v>
      </c>
      <c r="C13" s="117">
        <v>39790000</v>
      </c>
      <c r="D13" s="118">
        <v>39790000</v>
      </c>
      <c r="E13" s="119">
        <f t="shared" si="0"/>
        <v>0</v>
      </c>
      <c r="F13" s="118"/>
      <c r="G13" s="118"/>
      <c r="H13" s="120"/>
      <c r="I13" s="121"/>
      <c r="J13" s="110"/>
      <c r="K13" s="110"/>
      <c r="L13" s="110"/>
      <c r="M13" s="110"/>
    </row>
    <row r="14" spans="1:13">
      <c r="A14" s="64">
        <v>10</v>
      </c>
      <c r="B14" s="78" t="s">
        <v>67</v>
      </c>
      <c r="C14" s="117">
        <v>32380000</v>
      </c>
      <c r="D14" s="118">
        <v>32380000</v>
      </c>
      <c r="E14" s="119">
        <f t="shared" si="0"/>
        <v>0</v>
      </c>
      <c r="F14" s="118"/>
      <c r="G14" s="118"/>
      <c r="H14" s="120"/>
      <c r="I14" s="121"/>
      <c r="J14" s="110"/>
      <c r="K14" s="110"/>
      <c r="L14" s="110"/>
      <c r="M14" s="110"/>
    </row>
    <row r="15" spans="1:13">
      <c r="A15" s="64">
        <v>11</v>
      </c>
      <c r="B15" s="78" t="s">
        <v>77</v>
      </c>
      <c r="C15" s="117">
        <v>31332000</v>
      </c>
      <c r="D15" s="118">
        <v>31332000</v>
      </c>
      <c r="E15" s="119">
        <f t="shared" si="0"/>
        <v>0</v>
      </c>
      <c r="F15" s="118"/>
      <c r="G15" s="118"/>
      <c r="H15" s="120"/>
      <c r="I15" s="121"/>
      <c r="J15" s="110"/>
      <c r="K15" s="110"/>
      <c r="L15" s="110"/>
      <c r="M15" s="110"/>
    </row>
    <row r="16" spans="1:13">
      <c r="A16" s="64">
        <v>12</v>
      </c>
      <c r="B16" s="122" t="s">
        <v>94</v>
      </c>
      <c r="C16" s="117">
        <v>25348150</v>
      </c>
      <c r="D16" s="118">
        <v>25348150</v>
      </c>
      <c r="E16" s="119">
        <v>4000000</v>
      </c>
      <c r="F16" s="123"/>
      <c r="G16" s="118"/>
      <c r="H16" s="120"/>
      <c r="I16" s="121"/>
      <c r="J16" s="110"/>
      <c r="K16" s="110"/>
      <c r="L16" s="110"/>
      <c r="M16" s="110"/>
    </row>
    <row r="17" spans="1:13">
      <c r="A17" s="64">
        <v>13</v>
      </c>
      <c r="B17" s="78" t="s">
        <v>75</v>
      </c>
      <c r="C17" s="117">
        <v>21900000</v>
      </c>
      <c r="D17" s="117">
        <v>21900000</v>
      </c>
      <c r="E17" s="119">
        <f t="shared" si="0"/>
        <v>0</v>
      </c>
      <c r="F17" s="118"/>
      <c r="G17" s="118"/>
      <c r="H17" s="120"/>
      <c r="I17" s="121"/>
      <c r="J17" s="110"/>
      <c r="K17" s="110"/>
      <c r="L17" s="110"/>
      <c r="M17" s="110"/>
    </row>
    <row r="18" spans="1:13">
      <c r="A18" s="64">
        <v>14</v>
      </c>
      <c r="B18" s="78" t="s">
        <v>122</v>
      </c>
      <c r="C18" s="117">
        <v>16525000</v>
      </c>
      <c r="D18" s="118">
        <v>16525000</v>
      </c>
      <c r="E18" s="119">
        <f t="shared" si="0"/>
        <v>0</v>
      </c>
      <c r="F18" s="118"/>
      <c r="G18" s="118"/>
      <c r="H18" s="120"/>
      <c r="I18" s="121"/>
      <c r="J18" s="110"/>
      <c r="K18" s="110"/>
      <c r="L18" s="110"/>
      <c r="M18" s="110"/>
    </row>
    <row r="19" spans="1:13">
      <c r="A19" s="64">
        <v>15</v>
      </c>
      <c r="B19" s="78" t="s">
        <v>123</v>
      </c>
      <c r="C19" s="117">
        <v>16260000</v>
      </c>
      <c r="D19" s="118">
        <v>16260000</v>
      </c>
      <c r="E19" s="119">
        <f t="shared" si="0"/>
        <v>0</v>
      </c>
      <c r="F19" s="118"/>
      <c r="G19" s="118"/>
      <c r="H19" s="120"/>
      <c r="I19" s="121"/>
      <c r="J19" s="110"/>
      <c r="K19" s="110"/>
      <c r="L19" s="110"/>
      <c r="M19" s="110"/>
    </row>
    <row r="20" spans="1:13">
      <c r="A20" s="64">
        <v>16</v>
      </c>
      <c r="B20" s="78" t="s">
        <v>139</v>
      </c>
      <c r="C20" s="117">
        <v>14000000</v>
      </c>
      <c r="D20" s="118">
        <v>14000000</v>
      </c>
      <c r="E20" s="119">
        <f t="shared" si="0"/>
        <v>0</v>
      </c>
      <c r="F20" s="118"/>
      <c r="G20" s="118"/>
      <c r="H20" s="120"/>
      <c r="I20" s="121"/>
      <c r="J20" s="110"/>
      <c r="K20" s="110"/>
      <c r="L20" s="110"/>
      <c r="M20" s="110"/>
    </row>
    <row r="21" spans="1:13">
      <c r="A21" s="64">
        <v>17</v>
      </c>
      <c r="B21" s="78" t="s">
        <v>109</v>
      </c>
      <c r="C21" s="117">
        <v>13683500</v>
      </c>
      <c r="D21" s="118">
        <v>13683500</v>
      </c>
      <c r="E21" s="119">
        <f t="shared" si="0"/>
        <v>0</v>
      </c>
      <c r="F21" s="118"/>
      <c r="G21" s="118"/>
      <c r="H21" s="120"/>
      <c r="I21" s="121"/>
      <c r="J21" s="110"/>
      <c r="K21" s="110"/>
      <c r="L21" s="110"/>
      <c r="M21" s="110"/>
    </row>
    <row r="22" spans="1:13">
      <c r="A22" s="64">
        <v>18</v>
      </c>
      <c r="B22" s="78" t="s">
        <v>104</v>
      </c>
      <c r="C22" s="117">
        <v>9293000</v>
      </c>
      <c r="D22" s="118">
        <v>9293000</v>
      </c>
      <c r="E22" s="119">
        <f t="shared" si="0"/>
        <v>0</v>
      </c>
      <c r="F22" s="118"/>
      <c r="G22" s="118"/>
      <c r="H22" s="120"/>
      <c r="I22" s="121"/>
      <c r="J22" s="110"/>
      <c r="K22" s="110"/>
      <c r="L22" s="110"/>
      <c r="M22" s="110"/>
    </row>
    <row r="23" spans="1:13">
      <c r="A23" s="64">
        <v>19</v>
      </c>
      <c r="B23" s="78" t="s">
        <v>71</v>
      </c>
      <c r="C23" s="117">
        <v>8545000</v>
      </c>
      <c r="D23" s="118">
        <v>8545000</v>
      </c>
      <c r="E23" s="119">
        <f t="shared" si="0"/>
        <v>0</v>
      </c>
      <c r="F23" s="118"/>
      <c r="G23" s="118"/>
      <c r="H23" s="120"/>
      <c r="I23" s="121"/>
      <c r="J23" s="110"/>
      <c r="K23" s="110"/>
      <c r="L23" s="110"/>
      <c r="M23" s="110"/>
    </row>
    <row r="24" spans="1:13">
      <c r="A24" s="64">
        <v>20</v>
      </c>
      <c r="B24" s="78" t="s">
        <v>108</v>
      </c>
      <c r="C24" s="117">
        <v>8183800</v>
      </c>
      <c r="D24" s="118">
        <v>8183800</v>
      </c>
      <c r="E24" s="119">
        <f t="shared" si="0"/>
        <v>0</v>
      </c>
      <c r="F24" s="118"/>
      <c r="G24" s="118"/>
      <c r="H24" s="120"/>
      <c r="I24" s="121"/>
      <c r="J24" s="110"/>
      <c r="K24" s="110"/>
      <c r="L24" s="110"/>
      <c r="M24" s="110"/>
    </row>
    <row r="25" spans="1:13">
      <c r="A25" s="64">
        <v>21</v>
      </c>
      <c r="B25" s="78" t="s">
        <v>89</v>
      </c>
      <c r="C25" s="117">
        <v>8150000</v>
      </c>
      <c r="D25" s="118">
        <v>8150000</v>
      </c>
      <c r="E25" s="119">
        <f t="shared" si="0"/>
        <v>0</v>
      </c>
      <c r="F25" s="124"/>
      <c r="G25" s="118"/>
      <c r="H25" s="120"/>
      <c r="I25" s="121"/>
      <c r="J25" s="110"/>
      <c r="K25" s="110"/>
      <c r="L25" s="110"/>
      <c r="M25" s="110"/>
    </row>
    <row r="26" spans="1:13">
      <c r="A26" s="64">
        <v>22</v>
      </c>
      <c r="B26" s="78" t="s">
        <v>84</v>
      </c>
      <c r="C26" s="117">
        <v>8078750</v>
      </c>
      <c r="D26" s="118">
        <v>8078750</v>
      </c>
      <c r="E26" s="119">
        <f t="shared" si="0"/>
        <v>0</v>
      </c>
      <c r="F26" s="118"/>
      <c r="G26" s="118"/>
      <c r="H26" s="120"/>
      <c r="I26" s="121"/>
      <c r="J26" s="110"/>
      <c r="K26" s="110"/>
      <c r="L26" s="110"/>
      <c r="M26" s="110"/>
    </row>
    <row r="27" spans="1:13">
      <c r="A27" s="64">
        <v>23</v>
      </c>
      <c r="B27" s="122" t="s">
        <v>107</v>
      </c>
      <c r="C27" s="117">
        <v>7775000</v>
      </c>
      <c r="D27" s="118">
        <v>7775000</v>
      </c>
      <c r="E27" s="119">
        <f t="shared" si="0"/>
        <v>0</v>
      </c>
      <c r="F27" s="118"/>
      <c r="G27" s="118"/>
      <c r="H27" s="120"/>
      <c r="I27" s="121"/>
      <c r="J27" s="110"/>
      <c r="K27" s="110"/>
      <c r="L27" s="110"/>
      <c r="M27" s="110"/>
    </row>
    <row r="28" spans="1:13">
      <c r="A28" s="64">
        <v>24</v>
      </c>
      <c r="B28" s="78" t="s">
        <v>141</v>
      </c>
      <c r="C28" s="117">
        <v>6560000</v>
      </c>
      <c r="D28" s="118">
        <v>6560000</v>
      </c>
      <c r="E28" s="119">
        <f t="shared" si="0"/>
        <v>0</v>
      </c>
      <c r="F28" s="118"/>
      <c r="G28" s="118"/>
      <c r="H28" s="120"/>
      <c r="I28" s="121"/>
      <c r="J28" s="110"/>
      <c r="K28" s="110"/>
      <c r="L28" s="110"/>
      <c r="M28" s="110"/>
    </row>
    <row r="29" spans="1:13">
      <c r="A29" s="64">
        <v>25</v>
      </c>
      <c r="B29" s="122" t="s">
        <v>88</v>
      </c>
      <c r="C29" s="117">
        <v>5400000</v>
      </c>
      <c r="D29" s="118">
        <v>5400000</v>
      </c>
      <c r="E29" s="119">
        <f t="shared" si="0"/>
        <v>0</v>
      </c>
      <c r="F29" s="118"/>
      <c r="G29" s="118"/>
      <c r="H29" s="120"/>
      <c r="I29" s="121"/>
      <c r="J29" s="110"/>
      <c r="K29" s="110"/>
      <c r="L29" s="110"/>
      <c r="M29" s="110"/>
    </row>
    <row r="30" spans="1:13">
      <c r="A30" s="64">
        <v>26</v>
      </c>
      <c r="B30" s="78" t="s">
        <v>105</v>
      </c>
      <c r="C30" s="117">
        <v>5023000</v>
      </c>
      <c r="D30" s="118">
        <v>5023000</v>
      </c>
      <c r="E30" s="119">
        <f t="shared" si="0"/>
        <v>0</v>
      </c>
      <c r="F30" s="118"/>
      <c r="G30" s="118"/>
      <c r="H30" s="120"/>
      <c r="I30" s="121"/>
      <c r="J30" s="110"/>
      <c r="K30" s="110"/>
      <c r="L30" s="110"/>
      <c r="M30" s="110"/>
    </row>
    <row r="31" spans="1:13">
      <c r="A31" s="64">
        <v>27</v>
      </c>
      <c r="B31" s="122" t="s">
        <v>90</v>
      </c>
      <c r="C31" s="117">
        <v>4800000</v>
      </c>
      <c r="D31" s="118">
        <v>4800000</v>
      </c>
      <c r="E31" s="119">
        <f t="shared" si="0"/>
        <v>0</v>
      </c>
      <c r="F31" s="118"/>
      <c r="G31" s="118"/>
      <c r="H31" s="120"/>
      <c r="I31" s="121"/>
      <c r="J31" s="110"/>
      <c r="K31" s="110"/>
      <c r="L31" s="110"/>
      <c r="M31" s="110"/>
    </row>
    <row r="32" spans="1:13">
      <c r="A32" s="64">
        <v>28</v>
      </c>
      <c r="B32" s="78" t="s">
        <v>138</v>
      </c>
      <c r="C32" s="125">
        <v>2880000</v>
      </c>
      <c r="D32" s="118">
        <v>2880000</v>
      </c>
      <c r="E32" s="119">
        <f t="shared" si="0"/>
        <v>0</v>
      </c>
      <c r="F32" s="118"/>
      <c r="G32" s="118"/>
      <c r="H32" s="120"/>
      <c r="I32" s="121"/>
      <c r="J32" s="110"/>
      <c r="K32" s="110"/>
      <c r="L32" s="110"/>
      <c r="M32" s="110"/>
    </row>
    <row r="33" spans="1:13">
      <c r="A33" s="64">
        <v>29</v>
      </c>
      <c r="B33" s="78" t="s">
        <v>125</v>
      </c>
      <c r="C33" s="117">
        <v>2260000</v>
      </c>
      <c r="D33" s="117">
        <v>2260000</v>
      </c>
      <c r="E33" s="119">
        <f t="shared" si="0"/>
        <v>0</v>
      </c>
      <c r="F33" s="118"/>
      <c r="G33" s="118"/>
      <c r="H33" s="120"/>
      <c r="I33" s="121"/>
      <c r="J33" s="110"/>
      <c r="K33" s="110"/>
      <c r="L33" s="110"/>
      <c r="M33" s="110"/>
    </row>
    <row r="34" spans="1:13">
      <c r="A34" s="64">
        <v>30</v>
      </c>
      <c r="B34" s="78" t="s">
        <v>70</v>
      </c>
      <c r="C34" s="117">
        <v>2120000</v>
      </c>
      <c r="D34" s="118">
        <v>2120000</v>
      </c>
      <c r="E34" s="119">
        <f t="shared" si="0"/>
        <v>0</v>
      </c>
      <c r="F34" s="118"/>
      <c r="G34" s="118"/>
      <c r="H34" s="120"/>
      <c r="I34" s="121"/>
      <c r="J34" s="110"/>
      <c r="K34" s="110"/>
      <c r="L34" s="110"/>
      <c r="M34" s="110"/>
    </row>
    <row r="35" spans="1:13">
      <c r="A35" s="64">
        <v>31</v>
      </c>
      <c r="B35" s="78" t="s">
        <v>85</v>
      </c>
      <c r="C35" s="117">
        <v>1900000</v>
      </c>
      <c r="D35" s="118">
        <v>1900000</v>
      </c>
      <c r="E35" s="119">
        <f t="shared" si="0"/>
        <v>0</v>
      </c>
      <c r="F35" s="118"/>
      <c r="G35" s="118"/>
      <c r="H35" s="120"/>
      <c r="I35" s="121"/>
      <c r="J35" s="110"/>
      <c r="K35" s="110"/>
      <c r="L35" s="110"/>
      <c r="M35" s="110"/>
    </row>
    <row r="36" spans="1:13">
      <c r="A36" s="64">
        <v>32</v>
      </c>
      <c r="B36" s="78" t="s">
        <v>91</v>
      </c>
      <c r="C36" s="117">
        <v>1880000</v>
      </c>
      <c r="D36" s="118">
        <v>1880000</v>
      </c>
      <c r="E36" s="119">
        <f t="shared" si="0"/>
        <v>0</v>
      </c>
      <c r="F36" s="118"/>
      <c r="G36" s="118"/>
      <c r="H36" s="120"/>
      <c r="I36" s="121"/>
      <c r="J36" s="110"/>
      <c r="K36" s="110"/>
      <c r="L36" s="110"/>
      <c r="M36" s="110"/>
    </row>
    <row r="37" spans="1:13">
      <c r="A37" s="64">
        <v>33</v>
      </c>
      <c r="B37" s="78" t="s">
        <v>135</v>
      </c>
      <c r="C37" s="117">
        <v>1350000</v>
      </c>
      <c r="D37" s="118">
        <v>1350000</v>
      </c>
      <c r="E37" s="119">
        <f t="shared" si="0"/>
        <v>0</v>
      </c>
      <c r="F37" s="118"/>
      <c r="G37" s="118"/>
      <c r="H37" s="120"/>
      <c r="I37" s="121"/>
      <c r="J37" s="110"/>
      <c r="K37" s="110"/>
      <c r="L37" s="110"/>
      <c r="M37" s="110"/>
    </row>
    <row r="38" spans="1:13">
      <c r="A38" s="64">
        <v>34</v>
      </c>
      <c r="B38" s="122" t="s">
        <v>80</v>
      </c>
      <c r="C38" s="117">
        <v>1338000</v>
      </c>
      <c r="D38" s="118">
        <v>1338000</v>
      </c>
      <c r="E38" s="119">
        <v>1338000</v>
      </c>
      <c r="F38" s="118"/>
      <c r="G38" s="118"/>
      <c r="H38" s="120"/>
      <c r="I38" s="121"/>
      <c r="J38" s="110"/>
      <c r="K38" s="110"/>
      <c r="L38" s="110"/>
      <c r="M38" s="110"/>
    </row>
    <row r="39" spans="1:13">
      <c r="A39" s="64">
        <v>35</v>
      </c>
      <c r="B39" s="78" t="s">
        <v>87</v>
      </c>
      <c r="C39" s="117">
        <v>1150000</v>
      </c>
      <c r="D39" s="118">
        <v>1150000</v>
      </c>
      <c r="E39" s="119">
        <f t="shared" si="0"/>
        <v>0</v>
      </c>
      <c r="F39" s="118"/>
      <c r="G39" s="118"/>
      <c r="H39" s="120"/>
      <c r="I39" s="121"/>
      <c r="J39" s="110"/>
      <c r="K39" s="110"/>
      <c r="L39" s="110"/>
      <c r="M39" s="110"/>
    </row>
    <row r="40" spans="1:13" hidden="1">
      <c r="A40" s="64">
        <v>36</v>
      </c>
      <c r="B40" s="78"/>
      <c r="C40" s="117"/>
      <c r="D40" s="118"/>
      <c r="E40" s="119">
        <f t="shared" si="0"/>
        <v>0</v>
      </c>
      <c r="F40" s="126"/>
      <c r="G40" s="119"/>
      <c r="H40" s="120">
        <f t="shared" ref="H40:H103" si="1">C40-G40</f>
        <v>0</v>
      </c>
      <c r="I40" s="121">
        <f t="shared" ref="I40:I103" si="2">C40-G40</f>
        <v>0</v>
      </c>
      <c r="J40" s="110"/>
      <c r="K40" s="110"/>
      <c r="L40" s="110"/>
      <c r="M40" s="110"/>
    </row>
    <row r="41" spans="1:13" hidden="1">
      <c r="A41" s="64">
        <v>37</v>
      </c>
      <c r="B41" s="78"/>
      <c r="C41" s="125"/>
      <c r="D41" s="118"/>
      <c r="E41" s="119">
        <f t="shared" si="0"/>
        <v>0</v>
      </c>
      <c r="F41" s="126"/>
      <c r="G41" s="119"/>
      <c r="H41" s="120">
        <f t="shared" si="1"/>
        <v>0</v>
      </c>
      <c r="I41" s="121">
        <f t="shared" si="2"/>
        <v>0</v>
      </c>
      <c r="J41" s="110"/>
      <c r="K41" s="110"/>
      <c r="L41" s="110"/>
      <c r="M41" s="110"/>
    </row>
    <row r="42" spans="1:13" hidden="1">
      <c r="A42" s="64">
        <v>38</v>
      </c>
      <c r="B42" s="122"/>
      <c r="C42" s="117"/>
      <c r="D42" s="118"/>
      <c r="E42" s="119">
        <f t="shared" si="0"/>
        <v>0</v>
      </c>
      <c r="F42" s="126"/>
      <c r="G42" s="119"/>
      <c r="H42" s="120">
        <f t="shared" si="1"/>
        <v>0</v>
      </c>
      <c r="I42" s="121">
        <f t="shared" si="2"/>
        <v>0</v>
      </c>
      <c r="J42" s="110"/>
      <c r="K42" s="110"/>
      <c r="L42" s="110"/>
      <c r="M42" s="110"/>
    </row>
    <row r="43" spans="1:13" hidden="1">
      <c r="A43" s="64">
        <v>39</v>
      </c>
      <c r="B43" s="78"/>
      <c r="C43" s="117"/>
      <c r="D43" s="118"/>
      <c r="E43" s="119">
        <f t="shared" si="0"/>
        <v>0</v>
      </c>
      <c r="F43" s="126"/>
      <c r="G43" s="119"/>
      <c r="H43" s="120">
        <f t="shared" si="1"/>
        <v>0</v>
      </c>
      <c r="I43" s="121">
        <f t="shared" si="2"/>
        <v>0</v>
      </c>
      <c r="J43" s="110"/>
      <c r="K43" s="110"/>
      <c r="L43" s="110"/>
      <c r="M43" s="110"/>
    </row>
    <row r="44" spans="1:13" hidden="1">
      <c r="A44" s="64">
        <v>40</v>
      </c>
      <c r="B44" s="78"/>
      <c r="C44" s="117"/>
      <c r="D44" s="118"/>
      <c r="E44" s="119">
        <f t="shared" si="0"/>
        <v>0</v>
      </c>
      <c r="F44" s="126"/>
      <c r="G44" s="119"/>
      <c r="H44" s="120">
        <f t="shared" si="1"/>
        <v>0</v>
      </c>
      <c r="I44" s="121">
        <f t="shared" si="2"/>
        <v>0</v>
      </c>
      <c r="J44" s="110"/>
      <c r="K44" s="110"/>
      <c r="L44" s="110"/>
      <c r="M44" s="110"/>
    </row>
    <row r="45" spans="1:13" hidden="1">
      <c r="A45" s="64">
        <v>41</v>
      </c>
      <c r="B45" s="78"/>
      <c r="C45" s="117"/>
      <c r="D45" s="118"/>
      <c r="E45" s="119">
        <f t="shared" si="0"/>
        <v>0</v>
      </c>
      <c r="F45" s="126"/>
      <c r="G45" s="119"/>
      <c r="H45" s="120">
        <f t="shared" si="1"/>
        <v>0</v>
      </c>
      <c r="I45" s="121">
        <f t="shared" si="2"/>
        <v>0</v>
      </c>
      <c r="J45" s="110"/>
      <c r="K45" s="110"/>
      <c r="L45" s="110"/>
      <c r="M45" s="110"/>
    </row>
    <row r="46" spans="1:13" hidden="1">
      <c r="A46" s="64">
        <v>42</v>
      </c>
      <c r="B46" s="78"/>
      <c r="C46" s="117"/>
      <c r="D46" s="118"/>
      <c r="E46" s="119">
        <f t="shared" si="0"/>
        <v>0</v>
      </c>
      <c r="F46" s="126"/>
      <c r="G46" s="119"/>
      <c r="H46" s="120">
        <f t="shared" si="1"/>
        <v>0</v>
      </c>
      <c r="I46" s="121">
        <f t="shared" si="2"/>
        <v>0</v>
      </c>
      <c r="J46" s="110"/>
      <c r="K46" s="110"/>
      <c r="L46" s="110"/>
      <c r="M46" s="110"/>
    </row>
    <row r="47" spans="1:13" hidden="1">
      <c r="A47" s="64">
        <v>43</v>
      </c>
      <c r="B47" s="78"/>
      <c r="C47" s="125"/>
      <c r="D47" s="118"/>
      <c r="E47" s="119">
        <f t="shared" si="0"/>
        <v>0</v>
      </c>
      <c r="F47" s="126"/>
      <c r="G47" s="119"/>
      <c r="H47" s="120">
        <f t="shared" si="1"/>
        <v>0</v>
      </c>
      <c r="I47" s="121">
        <f t="shared" si="2"/>
        <v>0</v>
      </c>
      <c r="J47" s="110"/>
      <c r="K47" s="110"/>
      <c r="L47" s="110"/>
      <c r="M47" s="110"/>
    </row>
    <row r="48" spans="1:13" hidden="1">
      <c r="A48" s="64">
        <v>44</v>
      </c>
      <c r="B48" s="78"/>
      <c r="C48" s="117"/>
      <c r="D48" s="118"/>
      <c r="E48" s="119">
        <f t="shared" si="0"/>
        <v>0</v>
      </c>
      <c r="F48" s="126"/>
      <c r="G48" s="119"/>
      <c r="H48" s="120">
        <f t="shared" si="1"/>
        <v>0</v>
      </c>
      <c r="I48" s="121">
        <f t="shared" si="2"/>
        <v>0</v>
      </c>
      <c r="J48" s="110"/>
      <c r="K48" s="110"/>
      <c r="L48" s="110"/>
      <c r="M48" s="110"/>
    </row>
    <row r="49" spans="1:13" hidden="1">
      <c r="A49" s="64">
        <v>45</v>
      </c>
      <c r="B49" s="78"/>
      <c r="C49" s="127"/>
      <c r="D49" s="118"/>
      <c r="E49" s="119">
        <f t="shared" si="0"/>
        <v>0</v>
      </c>
      <c r="F49" s="126"/>
      <c r="G49" s="119"/>
      <c r="H49" s="120">
        <f t="shared" si="1"/>
        <v>0</v>
      </c>
      <c r="I49" s="121">
        <f t="shared" si="2"/>
        <v>0</v>
      </c>
      <c r="J49" s="110"/>
      <c r="K49" s="110"/>
      <c r="L49" s="110"/>
      <c r="M49" s="110"/>
    </row>
    <row r="50" spans="1:13" hidden="1">
      <c r="A50" s="64">
        <v>46</v>
      </c>
      <c r="B50" s="78"/>
      <c r="C50" s="117"/>
      <c r="D50" s="118"/>
      <c r="E50" s="119">
        <f t="shared" si="0"/>
        <v>0</v>
      </c>
      <c r="F50" s="126"/>
      <c r="G50" s="119"/>
      <c r="H50" s="120">
        <f t="shared" si="1"/>
        <v>0</v>
      </c>
      <c r="I50" s="121">
        <f t="shared" si="2"/>
        <v>0</v>
      </c>
      <c r="J50" s="110"/>
      <c r="K50" s="110"/>
      <c r="L50" s="110"/>
      <c r="M50" s="110"/>
    </row>
    <row r="51" spans="1:13" hidden="1">
      <c r="A51" s="64">
        <v>47</v>
      </c>
      <c r="B51" s="78"/>
      <c r="C51" s="117"/>
      <c r="D51" s="118"/>
      <c r="E51" s="119">
        <f t="shared" si="0"/>
        <v>0</v>
      </c>
      <c r="F51" s="126"/>
      <c r="G51" s="119"/>
      <c r="H51" s="120">
        <f t="shared" si="1"/>
        <v>0</v>
      </c>
      <c r="I51" s="121">
        <f t="shared" si="2"/>
        <v>0</v>
      </c>
      <c r="J51" s="110"/>
      <c r="K51" s="110"/>
      <c r="L51" s="110"/>
      <c r="M51" s="110"/>
    </row>
    <row r="52" spans="1:13" hidden="1">
      <c r="A52" s="64">
        <v>48</v>
      </c>
      <c r="B52" s="122"/>
      <c r="C52" s="117"/>
      <c r="D52" s="118"/>
      <c r="E52" s="119">
        <f t="shared" si="0"/>
        <v>0</v>
      </c>
      <c r="F52" s="126"/>
      <c r="G52" s="119"/>
      <c r="H52" s="120">
        <f t="shared" si="1"/>
        <v>0</v>
      </c>
      <c r="I52" s="121">
        <f t="shared" si="2"/>
        <v>0</v>
      </c>
      <c r="J52" s="110"/>
      <c r="K52" s="110"/>
      <c r="L52" s="110"/>
      <c r="M52" s="110"/>
    </row>
    <row r="53" spans="1:13" hidden="1">
      <c r="A53" s="64">
        <v>49</v>
      </c>
      <c r="B53" s="78"/>
      <c r="C53" s="117"/>
      <c r="D53" s="118"/>
      <c r="E53" s="119">
        <f t="shared" si="0"/>
        <v>0</v>
      </c>
      <c r="F53" s="126"/>
      <c r="G53" s="119"/>
      <c r="H53" s="120">
        <f t="shared" si="1"/>
        <v>0</v>
      </c>
      <c r="I53" s="121">
        <f t="shared" si="2"/>
        <v>0</v>
      </c>
      <c r="J53" s="110"/>
      <c r="K53" s="110"/>
      <c r="L53" s="110"/>
      <c r="M53" s="110"/>
    </row>
    <row r="54" spans="1:13" hidden="1">
      <c r="A54" s="64">
        <v>50</v>
      </c>
      <c r="B54" s="78"/>
      <c r="C54" s="117"/>
      <c r="D54" s="118"/>
      <c r="E54" s="119">
        <f t="shared" si="0"/>
        <v>0</v>
      </c>
      <c r="F54" s="126"/>
      <c r="G54" s="119"/>
      <c r="H54" s="120">
        <f t="shared" si="1"/>
        <v>0</v>
      </c>
      <c r="I54" s="121">
        <f t="shared" si="2"/>
        <v>0</v>
      </c>
      <c r="J54" s="110"/>
      <c r="K54" s="110"/>
      <c r="L54" s="110"/>
      <c r="M54" s="110"/>
    </row>
    <row r="55" spans="1:13" hidden="1">
      <c r="A55" s="64">
        <v>51</v>
      </c>
      <c r="B55" s="78"/>
      <c r="C55" s="117"/>
      <c r="D55" s="118"/>
      <c r="E55" s="119">
        <f t="shared" si="0"/>
        <v>0</v>
      </c>
      <c r="F55" s="126"/>
      <c r="G55" s="119"/>
      <c r="H55" s="120">
        <f t="shared" si="1"/>
        <v>0</v>
      </c>
      <c r="I55" s="121">
        <f t="shared" si="2"/>
        <v>0</v>
      </c>
      <c r="J55" s="110"/>
      <c r="K55" s="110"/>
      <c r="L55" s="110"/>
      <c r="M55" s="110"/>
    </row>
    <row r="56" spans="1:13" hidden="1">
      <c r="A56" s="64">
        <v>52</v>
      </c>
      <c r="B56" s="78"/>
      <c r="C56" s="117"/>
      <c r="D56" s="118"/>
      <c r="E56" s="119">
        <f t="shared" si="0"/>
        <v>0</v>
      </c>
      <c r="F56" s="126"/>
      <c r="G56" s="119"/>
      <c r="H56" s="120">
        <f t="shared" si="1"/>
        <v>0</v>
      </c>
      <c r="I56" s="121">
        <f t="shared" si="2"/>
        <v>0</v>
      </c>
      <c r="J56" s="110"/>
      <c r="K56" s="110"/>
      <c r="L56" s="110"/>
      <c r="M56" s="110"/>
    </row>
    <row r="57" spans="1:13" hidden="1">
      <c r="A57" s="64">
        <v>53</v>
      </c>
      <c r="B57" s="78"/>
      <c r="C57" s="117"/>
      <c r="D57" s="118"/>
      <c r="E57" s="119">
        <f t="shared" si="0"/>
        <v>0</v>
      </c>
      <c r="F57" s="126"/>
      <c r="G57" s="119"/>
      <c r="H57" s="120">
        <f t="shared" si="1"/>
        <v>0</v>
      </c>
      <c r="I57" s="121">
        <f t="shared" si="2"/>
        <v>0</v>
      </c>
      <c r="J57" s="110"/>
      <c r="K57" s="110"/>
      <c r="L57" s="110"/>
      <c r="M57" s="110"/>
    </row>
    <row r="58" spans="1:13" hidden="1">
      <c r="A58" s="64">
        <v>54</v>
      </c>
      <c r="B58" s="78"/>
      <c r="C58" s="117"/>
      <c r="D58" s="118"/>
      <c r="E58" s="119">
        <f t="shared" si="0"/>
        <v>0</v>
      </c>
      <c r="F58" s="126"/>
      <c r="G58" s="119"/>
      <c r="H58" s="120">
        <f t="shared" si="1"/>
        <v>0</v>
      </c>
      <c r="I58" s="121">
        <f t="shared" si="2"/>
        <v>0</v>
      </c>
      <c r="J58" s="110"/>
      <c r="K58" s="110"/>
      <c r="L58" s="110"/>
      <c r="M58" s="110"/>
    </row>
    <row r="59" spans="1:13" hidden="1">
      <c r="A59" s="64">
        <v>55</v>
      </c>
      <c r="B59" s="78"/>
      <c r="C59" s="127"/>
      <c r="D59" s="118"/>
      <c r="E59" s="119">
        <f t="shared" si="0"/>
        <v>0</v>
      </c>
      <c r="F59" s="126"/>
      <c r="G59" s="119"/>
      <c r="H59" s="120">
        <f t="shared" si="1"/>
        <v>0</v>
      </c>
      <c r="I59" s="121">
        <f t="shared" si="2"/>
        <v>0</v>
      </c>
      <c r="J59" s="110"/>
      <c r="K59" s="110"/>
      <c r="L59" s="110"/>
      <c r="M59" s="110"/>
    </row>
    <row r="60" spans="1:13" hidden="1">
      <c r="A60" s="64">
        <v>56</v>
      </c>
      <c r="B60" s="78"/>
      <c r="C60" s="117"/>
      <c r="D60" s="118"/>
      <c r="E60" s="119">
        <f t="shared" si="0"/>
        <v>0</v>
      </c>
      <c r="F60" s="126"/>
      <c r="G60" s="119"/>
      <c r="H60" s="120">
        <f t="shared" si="1"/>
        <v>0</v>
      </c>
      <c r="I60" s="121">
        <f t="shared" si="2"/>
        <v>0</v>
      </c>
      <c r="J60" s="110"/>
      <c r="K60" s="110"/>
      <c r="L60" s="110"/>
      <c r="M60" s="110"/>
    </row>
    <row r="61" spans="1:13" hidden="1">
      <c r="A61" s="64">
        <v>57</v>
      </c>
      <c r="B61" s="78"/>
      <c r="C61" s="117"/>
      <c r="D61" s="118"/>
      <c r="E61" s="119">
        <f t="shared" si="0"/>
        <v>0</v>
      </c>
      <c r="F61" s="126"/>
      <c r="G61" s="119"/>
      <c r="H61" s="120">
        <f t="shared" si="1"/>
        <v>0</v>
      </c>
      <c r="I61" s="121">
        <f t="shared" si="2"/>
        <v>0</v>
      </c>
      <c r="J61" s="110"/>
      <c r="K61" s="110"/>
      <c r="L61" s="110"/>
      <c r="M61" s="110"/>
    </row>
    <row r="62" spans="1:13" hidden="1">
      <c r="A62" s="64">
        <v>58</v>
      </c>
      <c r="B62" s="78"/>
      <c r="C62" s="127"/>
      <c r="D62" s="118"/>
      <c r="E62" s="119">
        <f t="shared" si="0"/>
        <v>0</v>
      </c>
      <c r="F62" s="126"/>
      <c r="G62" s="119"/>
      <c r="H62" s="120">
        <f t="shared" si="1"/>
        <v>0</v>
      </c>
      <c r="I62" s="121">
        <f t="shared" si="2"/>
        <v>0</v>
      </c>
      <c r="J62" s="110"/>
      <c r="K62" s="110"/>
      <c r="L62" s="110"/>
      <c r="M62" s="110"/>
    </row>
    <row r="63" spans="1:13" hidden="1">
      <c r="A63" s="64">
        <v>59</v>
      </c>
      <c r="B63" s="78"/>
      <c r="C63" s="117"/>
      <c r="D63" s="118"/>
      <c r="E63" s="119">
        <f t="shared" si="0"/>
        <v>0</v>
      </c>
      <c r="F63" s="126"/>
      <c r="G63" s="119"/>
      <c r="H63" s="120">
        <f t="shared" si="1"/>
        <v>0</v>
      </c>
      <c r="I63" s="121">
        <f t="shared" si="2"/>
        <v>0</v>
      </c>
      <c r="J63" s="110"/>
      <c r="K63" s="110"/>
      <c r="L63" s="110"/>
      <c r="M63" s="110"/>
    </row>
    <row r="64" spans="1:13" hidden="1">
      <c r="A64" s="64">
        <v>60</v>
      </c>
      <c r="B64" s="78"/>
      <c r="C64" s="127"/>
      <c r="D64" s="118"/>
      <c r="E64" s="119">
        <f t="shared" si="0"/>
        <v>0</v>
      </c>
      <c r="F64" s="126"/>
      <c r="G64" s="119"/>
      <c r="H64" s="120">
        <f t="shared" si="1"/>
        <v>0</v>
      </c>
      <c r="I64" s="121">
        <f t="shared" si="2"/>
        <v>0</v>
      </c>
      <c r="J64" s="110"/>
      <c r="K64" s="110"/>
      <c r="L64" s="110"/>
      <c r="M64" s="110"/>
    </row>
    <row r="65" spans="1:13" hidden="1">
      <c r="A65" s="64">
        <v>61</v>
      </c>
      <c r="B65" s="78"/>
      <c r="C65" s="117"/>
      <c r="D65" s="118"/>
      <c r="E65" s="119">
        <f t="shared" si="0"/>
        <v>0</v>
      </c>
      <c r="F65" s="126"/>
      <c r="G65" s="119"/>
      <c r="H65" s="120">
        <f t="shared" si="1"/>
        <v>0</v>
      </c>
      <c r="I65" s="121">
        <f t="shared" si="2"/>
        <v>0</v>
      </c>
      <c r="J65" s="110"/>
      <c r="K65" s="110"/>
      <c r="L65" s="110"/>
      <c r="M65" s="110"/>
    </row>
    <row r="66" spans="1:13" hidden="1">
      <c r="A66" s="64">
        <v>62</v>
      </c>
      <c r="B66" s="78"/>
      <c r="C66" s="117"/>
      <c r="D66" s="118"/>
      <c r="E66" s="119">
        <f t="shared" si="0"/>
        <v>0</v>
      </c>
      <c r="F66" s="126"/>
      <c r="G66" s="119"/>
      <c r="H66" s="120">
        <f t="shared" si="1"/>
        <v>0</v>
      </c>
      <c r="I66" s="121">
        <f t="shared" si="2"/>
        <v>0</v>
      </c>
      <c r="J66" s="110"/>
      <c r="K66" s="110"/>
      <c r="L66" s="110"/>
      <c r="M66" s="110"/>
    </row>
    <row r="67" spans="1:13" hidden="1">
      <c r="A67" s="64">
        <v>63</v>
      </c>
      <c r="B67" s="78"/>
      <c r="C67" s="117"/>
      <c r="D67" s="118"/>
      <c r="E67" s="119">
        <f t="shared" si="0"/>
        <v>0</v>
      </c>
      <c r="F67" s="126"/>
      <c r="G67" s="119"/>
      <c r="H67" s="120">
        <f t="shared" si="1"/>
        <v>0</v>
      </c>
      <c r="I67" s="121">
        <f t="shared" si="2"/>
        <v>0</v>
      </c>
      <c r="J67" s="110"/>
      <c r="K67" s="110"/>
      <c r="L67" s="110"/>
      <c r="M67" s="110"/>
    </row>
    <row r="68" spans="1:13" hidden="1">
      <c r="A68" s="64">
        <v>64</v>
      </c>
      <c r="B68" s="122"/>
      <c r="C68" s="117"/>
      <c r="D68" s="118"/>
      <c r="E68" s="119">
        <f t="shared" si="0"/>
        <v>0</v>
      </c>
      <c r="F68" s="126"/>
      <c r="G68" s="119"/>
      <c r="H68" s="120">
        <f t="shared" si="1"/>
        <v>0</v>
      </c>
      <c r="I68" s="121">
        <f t="shared" si="2"/>
        <v>0</v>
      </c>
      <c r="J68" s="110"/>
      <c r="K68" s="110"/>
      <c r="L68" s="110"/>
      <c r="M68" s="110"/>
    </row>
    <row r="69" spans="1:13" hidden="1">
      <c r="A69" s="64">
        <v>65</v>
      </c>
      <c r="B69" s="78"/>
      <c r="C69" s="117"/>
      <c r="D69" s="118"/>
      <c r="E69" s="119">
        <f t="shared" ref="E69:E132" si="3">C69-D69</f>
        <v>0</v>
      </c>
      <c r="F69" s="126"/>
      <c r="G69" s="119"/>
      <c r="H69" s="120">
        <f t="shared" si="1"/>
        <v>0</v>
      </c>
      <c r="I69" s="121">
        <f t="shared" si="2"/>
        <v>0</v>
      </c>
      <c r="J69" s="110"/>
      <c r="K69" s="110"/>
      <c r="L69" s="110"/>
      <c r="M69" s="110"/>
    </row>
    <row r="70" spans="1:13" hidden="1">
      <c r="A70" s="64">
        <v>66</v>
      </c>
      <c r="B70" s="78"/>
      <c r="C70" s="117"/>
      <c r="D70" s="118"/>
      <c r="E70" s="119">
        <f t="shared" si="3"/>
        <v>0</v>
      </c>
      <c r="F70" s="126"/>
      <c r="G70" s="119"/>
      <c r="H70" s="120">
        <f t="shared" si="1"/>
        <v>0</v>
      </c>
      <c r="I70" s="121">
        <f t="shared" si="2"/>
        <v>0</v>
      </c>
      <c r="J70" s="110"/>
      <c r="K70" s="110"/>
      <c r="L70" s="110"/>
      <c r="M70" s="110"/>
    </row>
    <row r="71" spans="1:13" hidden="1">
      <c r="A71" s="64">
        <v>67</v>
      </c>
      <c r="B71" s="78"/>
      <c r="C71" s="127"/>
      <c r="D71" s="118"/>
      <c r="E71" s="119">
        <f t="shared" si="3"/>
        <v>0</v>
      </c>
      <c r="F71" s="126"/>
      <c r="G71" s="119"/>
      <c r="H71" s="120">
        <f t="shared" si="1"/>
        <v>0</v>
      </c>
      <c r="I71" s="121">
        <f t="shared" si="2"/>
        <v>0</v>
      </c>
      <c r="J71" s="110"/>
      <c r="K71" s="110"/>
      <c r="L71" s="110"/>
      <c r="M71" s="110"/>
    </row>
    <row r="72" spans="1:13" hidden="1">
      <c r="A72" s="64">
        <v>68</v>
      </c>
      <c r="B72" s="122"/>
      <c r="C72" s="117"/>
      <c r="D72" s="118"/>
      <c r="E72" s="119">
        <f t="shared" si="3"/>
        <v>0</v>
      </c>
      <c r="F72" s="126"/>
      <c r="G72" s="119"/>
      <c r="H72" s="120">
        <f t="shared" si="1"/>
        <v>0</v>
      </c>
      <c r="I72" s="121">
        <f t="shared" si="2"/>
        <v>0</v>
      </c>
      <c r="J72" s="110"/>
      <c r="K72" s="110"/>
      <c r="L72" s="110"/>
      <c r="M72" s="110"/>
    </row>
    <row r="73" spans="1:13" hidden="1">
      <c r="A73" s="64">
        <v>69</v>
      </c>
      <c r="B73" s="78"/>
      <c r="C73" s="117"/>
      <c r="D73" s="118"/>
      <c r="E73" s="119">
        <f t="shared" si="3"/>
        <v>0</v>
      </c>
      <c r="F73" s="126"/>
      <c r="G73" s="119"/>
      <c r="H73" s="120">
        <f t="shared" si="1"/>
        <v>0</v>
      </c>
      <c r="I73" s="121">
        <f t="shared" si="2"/>
        <v>0</v>
      </c>
      <c r="J73" s="110"/>
      <c r="K73" s="110"/>
      <c r="L73" s="110"/>
      <c r="M73" s="110"/>
    </row>
    <row r="74" spans="1:13" hidden="1">
      <c r="A74" s="64">
        <v>70</v>
      </c>
      <c r="B74" s="78"/>
      <c r="C74" s="117"/>
      <c r="D74" s="118"/>
      <c r="E74" s="119">
        <f t="shared" si="3"/>
        <v>0</v>
      </c>
      <c r="F74" s="126"/>
      <c r="G74" s="119"/>
      <c r="H74" s="120">
        <f t="shared" si="1"/>
        <v>0</v>
      </c>
      <c r="I74" s="121">
        <f t="shared" si="2"/>
        <v>0</v>
      </c>
      <c r="J74" s="110"/>
      <c r="K74" s="110"/>
      <c r="L74" s="110"/>
      <c r="M74" s="110"/>
    </row>
    <row r="75" spans="1:13" hidden="1">
      <c r="A75" s="64">
        <v>71</v>
      </c>
      <c r="B75" s="78"/>
      <c r="C75" s="127"/>
      <c r="D75" s="118"/>
      <c r="E75" s="119">
        <f t="shared" si="3"/>
        <v>0</v>
      </c>
      <c r="F75" s="126"/>
      <c r="G75" s="119"/>
      <c r="H75" s="120">
        <f t="shared" si="1"/>
        <v>0</v>
      </c>
      <c r="I75" s="121">
        <f t="shared" si="2"/>
        <v>0</v>
      </c>
      <c r="J75" s="110"/>
      <c r="K75" s="110"/>
      <c r="L75" s="110"/>
      <c r="M75" s="110"/>
    </row>
    <row r="76" spans="1:13" hidden="1">
      <c r="A76" s="64">
        <v>72</v>
      </c>
      <c r="B76" s="78"/>
      <c r="C76" s="117"/>
      <c r="D76" s="118"/>
      <c r="E76" s="119">
        <f t="shared" si="3"/>
        <v>0</v>
      </c>
      <c r="F76" s="126"/>
      <c r="G76" s="119"/>
      <c r="H76" s="120">
        <f t="shared" si="1"/>
        <v>0</v>
      </c>
      <c r="I76" s="121">
        <f t="shared" si="2"/>
        <v>0</v>
      </c>
      <c r="J76" s="110"/>
      <c r="K76" s="110"/>
      <c r="L76" s="110"/>
      <c r="M76" s="110"/>
    </row>
    <row r="77" spans="1:13" hidden="1">
      <c r="A77" s="64">
        <v>73</v>
      </c>
      <c r="B77" s="78"/>
      <c r="C77" s="125"/>
      <c r="D77" s="118"/>
      <c r="E77" s="119">
        <f t="shared" si="3"/>
        <v>0</v>
      </c>
      <c r="F77" s="126"/>
      <c r="G77" s="119"/>
      <c r="H77" s="120">
        <f t="shared" si="1"/>
        <v>0</v>
      </c>
      <c r="I77" s="121">
        <f t="shared" si="2"/>
        <v>0</v>
      </c>
      <c r="J77" s="110"/>
      <c r="K77" s="110"/>
      <c r="L77" s="110"/>
      <c r="M77" s="110"/>
    </row>
    <row r="78" spans="1:13" hidden="1">
      <c r="A78" s="64">
        <v>74</v>
      </c>
      <c r="B78" s="78"/>
      <c r="C78" s="117"/>
      <c r="D78" s="118"/>
      <c r="E78" s="119">
        <f t="shared" si="3"/>
        <v>0</v>
      </c>
      <c r="F78" s="126"/>
      <c r="G78" s="119"/>
      <c r="H78" s="120">
        <f t="shared" si="1"/>
        <v>0</v>
      </c>
      <c r="I78" s="121">
        <f t="shared" si="2"/>
        <v>0</v>
      </c>
      <c r="J78" s="110"/>
      <c r="K78" s="110"/>
      <c r="L78" s="110"/>
      <c r="M78" s="110"/>
    </row>
    <row r="79" spans="1:13" hidden="1">
      <c r="A79" s="64">
        <v>75</v>
      </c>
      <c r="B79" s="122"/>
      <c r="C79" s="117"/>
      <c r="D79" s="118"/>
      <c r="E79" s="119">
        <f t="shared" si="3"/>
        <v>0</v>
      </c>
      <c r="F79" s="126"/>
      <c r="G79" s="119"/>
      <c r="H79" s="120">
        <f t="shared" si="1"/>
        <v>0</v>
      </c>
      <c r="I79" s="121">
        <f t="shared" si="2"/>
        <v>0</v>
      </c>
      <c r="J79" s="110"/>
      <c r="K79" s="110"/>
      <c r="L79" s="110"/>
      <c r="M79" s="110"/>
    </row>
    <row r="80" spans="1:13" hidden="1">
      <c r="A80" s="64">
        <v>76</v>
      </c>
      <c r="B80" s="78"/>
      <c r="C80" s="127"/>
      <c r="D80" s="118"/>
      <c r="E80" s="119">
        <f t="shared" si="3"/>
        <v>0</v>
      </c>
      <c r="F80" s="126"/>
      <c r="G80" s="119"/>
      <c r="H80" s="120">
        <f t="shared" si="1"/>
        <v>0</v>
      </c>
      <c r="I80" s="121">
        <f t="shared" si="2"/>
        <v>0</v>
      </c>
      <c r="J80" s="110"/>
      <c r="K80" s="110"/>
      <c r="L80" s="110"/>
      <c r="M80" s="110"/>
    </row>
    <row r="81" spans="1:13" hidden="1">
      <c r="A81" s="64">
        <v>77</v>
      </c>
      <c r="B81" s="78"/>
      <c r="C81" s="127"/>
      <c r="D81" s="118"/>
      <c r="E81" s="119">
        <f t="shared" si="3"/>
        <v>0</v>
      </c>
      <c r="F81" s="126"/>
      <c r="G81" s="119"/>
      <c r="H81" s="120">
        <f t="shared" si="1"/>
        <v>0</v>
      </c>
      <c r="I81" s="121">
        <f t="shared" si="2"/>
        <v>0</v>
      </c>
      <c r="J81" s="110"/>
      <c r="K81" s="110"/>
      <c r="L81" s="110"/>
      <c r="M81" s="110"/>
    </row>
    <row r="82" spans="1:13" hidden="1">
      <c r="A82" s="64">
        <v>78</v>
      </c>
      <c r="B82" s="78"/>
      <c r="C82" s="127"/>
      <c r="D82" s="118"/>
      <c r="E82" s="119">
        <f t="shared" si="3"/>
        <v>0</v>
      </c>
      <c r="F82" s="126"/>
      <c r="G82" s="119"/>
      <c r="H82" s="120">
        <f t="shared" si="1"/>
        <v>0</v>
      </c>
      <c r="I82" s="121">
        <f t="shared" si="2"/>
        <v>0</v>
      </c>
      <c r="J82" s="110"/>
      <c r="K82" s="110"/>
      <c r="L82" s="110"/>
      <c r="M82" s="110"/>
    </row>
    <row r="83" spans="1:13" hidden="1">
      <c r="A83" s="64">
        <v>79</v>
      </c>
      <c r="B83" s="78"/>
      <c r="C83" s="117"/>
      <c r="D83" s="118"/>
      <c r="E83" s="119">
        <f t="shared" si="3"/>
        <v>0</v>
      </c>
      <c r="F83" s="126"/>
      <c r="G83" s="119"/>
      <c r="H83" s="120">
        <f t="shared" si="1"/>
        <v>0</v>
      </c>
      <c r="I83" s="121">
        <f t="shared" si="2"/>
        <v>0</v>
      </c>
      <c r="J83" s="110"/>
      <c r="K83" s="110"/>
      <c r="L83" s="110"/>
      <c r="M83" s="110"/>
    </row>
    <row r="84" spans="1:13" hidden="1">
      <c r="A84" s="64">
        <v>80</v>
      </c>
      <c r="B84" s="78"/>
      <c r="C84" s="117"/>
      <c r="D84" s="118"/>
      <c r="E84" s="119">
        <f t="shared" si="3"/>
        <v>0</v>
      </c>
      <c r="F84" s="126"/>
      <c r="G84" s="119"/>
      <c r="H84" s="120">
        <f t="shared" si="1"/>
        <v>0</v>
      </c>
      <c r="I84" s="121">
        <f t="shared" si="2"/>
        <v>0</v>
      </c>
      <c r="J84" s="110"/>
      <c r="K84" s="110"/>
      <c r="L84" s="110"/>
      <c r="M84" s="110"/>
    </row>
    <row r="85" spans="1:13" hidden="1">
      <c r="A85" s="64">
        <v>81</v>
      </c>
      <c r="B85" s="78"/>
      <c r="C85" s="117"/>
      <c r="D85" s="118"/>
      <c r="E85" s="119">
        <f t="shared" si="3"/>
        <v>0</v>
      </c>
      <c r="F85" s="126"/>
      <c r="G85" s="119"/>
      <c r="H85" s="120">
        <f t="shared" si="1"/>
        <v>0</v>
      </c>
      <c r="I85" s="121">
        <f t="shared" si="2"/>
        <v>0</v>
      </c>
      <c r="J85" s="110"/>
      <c r="K85" s="110"/>
      <c r="L85" s="110"/>
      <c r="M85" s="110"/>
    </row>
    <row r="86" spans="1:13" hidden="1">
      <c r="A86" s="64">
        <v>82</v>
      </c>
      <c r="B86" s="78"/>
      <c r="C86" s="117"/>
      <c r="D86" s="118"/>
      <c r="E86" s="119">
        <f t="shared" si="3"/>
        <v>0</v>
      </c>
      <c r="F86" s="126"/>
      <c r="G86" s="119"/>
      <c r="H86" s="120">
        <f t="shared" si="1"/>
        <v>0</v>
      </c>
      <c r="I86" s="121">
        <f t="shared" si="2"/>
        <v>0</v>
      </c>
      <c r="J86" s="110"/>
      <c r="K86" s="110"/>
      <c r="L86" s="110"/>
      <c r="M86" s="110"/>
    </row>
    <row r="87" spans="1:13" hidden="1">
      <c r="A87" s="64">
        <v>83</v>
      </c>
      <c r="B87" s="78"/>
      <c r="C87" s="117"/>
      <c r="D87" s="118"/>
      <c r="E87" s="119">
        <f t="shared" si="3"/>
        <v>0</v>
      </c>
      <c r="F87" s="126"/>
      <c r="G87" s="119"/>
      <c r="H87" s="120">
        <f t="shared" si="1"/>
        <v>0</v>
      </c>
      <c r="I87" s="121">
        <f t="shared" si="2"/>
        <v>0</v>
      </c>
      <c r="J87" s="110"/>
      <c r="K87" s="110"/>
      <c r="L87" s="110"/>
      <c r="M87" s="110"/>
    </row>
    <row r="88" spans="1:13" hidden="1">
      <c r="A88" s="64">
        <v>84</v>
      </c>
      <c r="B88" s="78"/>
      <c r="C88" s="125"/>
      <c r="D88" s="118"/>
      <c r="E88" s="119">
        <f t="shared" si="3"/>
        <v>0</v>
      </c>
      <c r="F88" s="126"/>
      <c r="G88" s="119"/>
      <c r="H88" s="120">
        <f t="shared" si="1"/>
        <v>0</v>
      </c>
      <c r="I88" s="121">
        <f t="shared" si="2"/>
        <v>0</v>
      </c>
      <c r="J88" s="110"/>
      <c r="K88" s="110"/>
      <c r="L88" s="110"/>
      <c r="M88" s="110"/>
    </row>
    <row r="89" spans="1:13" hidden="1">
      <c r="A89" s="64">
        <v>85</v>
      </c>
      <c r="B89" s="78"/>
      <c r="C89" s="117"/>
      <c r="D89" s="118"/>
      <c r="E89" s="119">
        <f t="shared" si="3"/>
        <v>0</v>
      </c>
      <c r="F89" s="126"/>
      <c r="G89" s="119"/>
      <c r="H89" s="120">
        <f t="shared" si="1"/>
        <v>0</v>
      </c>
      <c r="I89" s="121">
        <f t="shared" si="2"/>
        <v>0</v>
      </c>
      <c r="J89" s="110"/>
      <c r="K89" s="110"/>
      <c r="L89" s="110"/>
      <c r="M89" s="110"/>
    </row>
    <row r="90" spans="1:13" hidden="1">
      <c r="A90" s="64">
        <v>86</v>
      </c>
      <c r="B90" s="122"/>
      <c r="C90" s="117"/>
      <c r="D90" s="118"/>
      <c r="E90" s="119">
        <f t="shared" si="3"/>
        <v>0</v>
      </c>
      <c r="F90" s="126"/>
      <c r="G90" s="119"/>
      <c r="H90" s="120">
        <f t="shared" si="1"/>
        <v>0</v>
      </c>
      <c r="I90" s="121">
        <f t="shared" si="2"/>
        <v>0</v>
      </c>
      <c r="J90" s="110"/>
      <c r="K90" s="110"/>
      <c r="L90" s="110"/>
      <c r="M90" s="110"/>
    </row>
    <row r="91" spans="1:13" hidden="1">
      <c r="A91" s="64">
        <v>87</v>
      </c>
      <c r="B91" s="78"/>
      <c r="C91" s="117"/>
      <c r="D91" s="118"/>
      <c r="E91" s="119">
        <f t="shared" si="3"/>
        <v>0</v>
      </c>
      <c r="F91" s="126"/>
      <c r="G91" s="119"/>
      <c r="H91" s="120">
        <f t="shared" si="1"/>
        <v>0</v>
      </c>
      <c r="I91" s="121">
        <f t="shared" si="2"/>
        <v>0</v>
      </c>
      <c r="J91" s="110"/>
      <c r="K91" s="110"/>
      <c r="L91" s="110"/>
      <c r="M91" s="110"/>
    </row>
    <row r="92" spans="1:13" hidden="1">
      <c r="A92" s="64">
        <v>88</v>
      </c>
      <c r="B92" s="78"/>
      <c r="C92" s="117"/>
      <c r="D92" s="118"/>
      <c r="E92" s="119">
        <f t="shared" si="3"/>
        <v>0</v>
      </c>
      <c r="F92" s="126"/>
      <c r="G92" s="119"/>
      <c r="H92" s="120">
        <f t="shared" si="1"/>
        <v>0</v>
      </c>
      <c r="I92" s="121">
        <f t="shared" si="2"/>
        <v>0</v>
      </c>
      <c r="J92" s="110"/>
      <c r="K92" s="110"/>
      <c r="L92" s="110"/>
      <c r="M92" s="110"/>
    </row>
    <row r="93" spans="1:13" hidden="1">
      <c r="A93" s="64">
        <v>89</v>
      </c>
      <c r="B93" s="78"/>
      <c r="C93" s="117"/>
      <c r="D93" s="118"/>
      <c r="E93" s="119">
        <f t="shared" si="3"/>
        <v>0</v>
      </c>
      <c r="F93" s="126"/>
      <c r="G93" s="119"/>
      <c r="H93" s="120">
        <f t="shared" si="1"/>
        <v>0</v>
      </c>
      <c r="I93" s="121">
        <f t="shared" si="2"/>
        <v>0</v>
      </c>
      <c r="J93" s="110"/>
      <c r="K93" s="110"/>
      <c r="L93" s="110"/>
      <c r="M93" s="110"/>
    </row>
    <row r="94" spans="1:13" hidden="1">
      <c r="A94" s="64">
        <v>90</v>
      </c>
      <c r="B94" s="78"/>
      <c r="C94" s="117"/>
      <c r="D94" s="118"/>
      <c r="E94" s="119">
        <f t="shared" si="3"/>
        <v>0</v>
      </c>
      <c r="F94" s="126"/>
      <c r="G94" s="119"/>
      <c r="H94" s="120">
        <f t="shared" si="1"/>
        <v>0</v>
      </c>
      <c r="I94" s="121">
        <f t="shared" si="2"/>
        <v>0</v>
      </c>
      <c r="J94" s="110"/>
      <c r="K94" s="110"/>
      <c r="L94" s="110"/>
      <c r="M94" s="110"/>
    </row>
    <row r="95" spans="1:13" hidden="1">
      <c r="A95" s="64">
        <v>91</v>
      </c>
      <c r="B95" s="122"/>
      <c r="C95" s="117"/>
      <c r="D95" s="118"/>
      <c r="E95" s="119">
        <f t="shared" si="3"/>
        <v>0</v>
      </c>
      <c r="F95" s="126"/>
      <c r="G95" s="119"/>
      <c r="H95" s="120">
        <f t="shared" si="1"/>
        <v>0</v>
      </c>
      <c r="I95" s="121">
        <f t="shared" si="2"/>
        <v>0</v>
      </c>
      <c r="J95" s="110"/>
      <c r="K95" s="110"/>
      <c r="L95" s="110"/>
      <c r="M95" s="110"/>
    </row>
    <row r="96" spans="1:13" hidden="1">
      <c r="A96" s="64">
        <v>92</v>
      </c>
      <c r="B96" s="78"/>
      <c r="C96" s="117"/>
      <c r="D96" s="118"/>
      <c r="E96" s="119">
        <f t="shared" si="3"/>
        <v>0</v>
      </c>
      <c r="F96" s="126"/>
      <c r="G96" s="119"/>
      <c r="H96" s="120">
        <f t="shared" si="1"/>
        <v>0</v>
      </c>
      <c r="I96" s="121">
        <f t="shared" si="2"/>
        <v>0</v>
      </c>
      <c r="J96" s="110"/>
      <c r="K96" s="110"/>
      <c r="L96" s="110"/>
      <c r="M96" s="110"/>
    </row>
    <row r="97" spans="1:13" hidden="1">
      <c r="A97" s="64">
        <v>93</v>
      </c>
      <c r="B97" s="78"/>
      <c r="C97" s="117"/>
      <c r="D97" s="118"/>
      <c r="E97" s="119">
        <f t="shared" si="3"/>
        <v>0</v>
      </c>
      <c r="F97" s="126"/>
      <c r="G97" s="119"/>
      <c r="H97" s="120">
        <f t="shared" si="1"/>
        <v>0</v>
      </c>
      <c r="I97" s="121">
        <f t="shared" si="2"/>
        <v>0</v>
      </c>
      <c r="J97" s="110"/>
      <c r="K97" s="110"/>
      <c r="L97" s="110"/>
      <c r="M97" s="110"/>
    </row>
    <row r="98" spans="1:13" hidden="1">
      <c r="A98" s="64">
        <v>94</v>
      </c>
      <c r="B98" s="78"/>
      <c r="C98" s="127"/>
      <c r="D98" s="118"/>
      <c r="E98" s="119">
        <f t="shared" si="3"/>
        <v>0</v>
      </c>
      <c r="F98" s="126"/>
      <c r="G98" s="119"/>
      <c r="H98" s="120">
        <f t="shared" si="1"/>
        <v>0</v>
      </c>
      <c r="I98" s="121">
        <f t="shared" si="2"/>
        <v>0</v>
      </c>
      <c r="J98" s="110"/>
      <c r="K98" s="110"/>
      <c r="L98" s="110"/>
      <c r="M98" s="110"/>
    </row>
    <row r="99" spans="1:13" hidden="1">
      <c r="A99" s="64">
        <v>95</v>
      </c>
      <c r="B99" s="78"/>
      <c r="C99" s="117"/>
      <c r="D99" s="118"/>
      <c r="E99" s="119">
        <f t="shared" si="3"/>
        <v>0</v>
      </c>
      <c r="F99" s="126"/>
      <c r="G99" s="119"/>
      <c r="H99" s="120">
        <f t="shared" si="1"/>
        <v>0</v>
      </c>
      <c r="I99" s="121">
        <f t="shared" si="2"/>
        <v>0</v>
      </c>
      <c r="J99" s="110"/>
      <c r="K99" s="110"/>
      <c r="L99" s="110"/>
      <c r="M99" s="110"/>
    </row>
    <row r="100" spans="1:13" hidden="1">
      <c r="A100" s="64">
        <v>96</v>
      </c>
      <c r="B100" s="78"/>
      <c r="C100" s="117"/>
      <c r="D100" s="118"/>
      <c r="E100" s="119">
        <f t="shared" si="3"/>
        <v>0</v>
      </c>
      <c r="F100" s="126"/>
      <c r="G100" s="119"/>
      <c r="H100" s="120">
        <f t="shared" si="1"/>
        <v>0</v>
      </c>
      <c r="I100" s="121">
        <f t="shared" si="2"/>
        <v>0</v>
      </c>
      <c r="J100" s="110"/>
      <c r="K100" s="110"/>
      <c r="L100" s="110"/>
      <c r="M100" s="110"/>
    </row>
    <row r="101" spans="1:13" hidden="1">
      <c r="A101" s="64">
        <v>97</v>
      </c>
      <c r="B101" s="78"/>
      <c r="C101" s="117"/>
      <c r="D101" s="118"/>
      <c r="E101" s="119">
        <f t="shared" si="3"/>
        <v>0</v>
      </c>
      <c r="F101" s="126"/>
      <c r="G101" s="119"/>
      <c r="H101" s="120">
        <f t="shared" si="1"/>
        <v>0</v>
      </c>
      <c r="I101" s="121">
        <f t="shared" si="2"/>
        <v>0</v>
      </c>
      <c r="J101" s="110"/>
      <c r="K101" s="110"/>
      <c r="L101" s="110"/>
      <c r="M101" s="110"/>
    </row>
    <row r="102" spans="1:13" hidden="1">
      <c r="A102" s="64">
        <v>98</v>
      </c>
      <c r="B102" s="78"/>
      <c r="C102" s="117"/>
      <c r="D102" s="118"/>
      <c r="E102" s="119">
        <f t="shared" si="3"/>
        <v>0</v>
      </c>
      <c r="F102" s="126"/>
      <c r="G102" s="119"/>
      <c r="H102" s="120">
        <f t="shared" si="1"/>
        <v>0</v>
      </c>
      <c r="I102" s="121">
        <f t="shared" si="2"/>
        <v>0</v>
      </c>
      <c r="J102" s="110"/>
      <c r="K102" s="110"/>
      <c r="L102" s="110"/>
      <c r="M102" s="110"/>
    </row>
    <row r="103" spans="1:13" hidden="1">
      <c r="A103" s="64">
        <v>99</v>
      </c>
      <c r="B103" s="78"/>
      <c r="C103" s="117"/>
      <c r="D103" s="118"/>
      <c r="E103" s="119">
        <f t="shared" si="3"/>
        <v>0</v>
      </c>
      <c r="F103" s="126"/>
      <c r="G103" s="119"/>
      <c r="H103" s="120">
        <f t="shared" si="1"/>
        <v>0</v>
      </c>
      <c r="I103" s="121">
        <f t="shared" si="2"/>
        <v>0</v>
      </c>
      <c r="J103" s="110"/>
      <c r="K103" s="110"/>
      <c r="L103" s="110"/>
      <c r="M103" s="110"/>
    </row>
    <row r="104" spans="1:13" hidden="1">
      <c r="A104" s="64">
        <v>100</v>
      </c>
      <c r="B104" s="78"/>
      <c r="C104" s="127"/>
      <c r="D104" s="118"/>
      <c r="E104" s="119">
        <f t="shared" si="3"/>
        <v>0</v>
      </c>
      <c r="F104" s="126"/>
      <c r="G104" s="119"/>
      <c r="H104" s="120">
        <f t="shared" ref="H104:H167" si="4">C104-G104</f>
        <v>0</v>
      </c>
      <c r="I104" s="121">
        <f t="shared" ref="I104:I167" si="5">C104-G104</f>
        <v>0</v>
      </c>
      <c r="J104" s="110"/>
      <c r="K104" s="110"/>
      <c r="L104" s="110"/>
      <c r="M104" s="110"/>
    </row>
    <row r="105" spans="1:13" hidden="1">
      <c r="A105" s="64">
        <v>101</v>
      </c>
      <c r="B105" s="78"/>
      <c r="C105" s="117"/>
      <c r="D105" s="118"/>
      <c r="E105" s="119">
        <f t="shared" si="3"/>
        <v>0</v>
      </c>
      <c r="F105" s="126"/>
      <c r="G105" s="119"/>
      <c r="H105" s="120">
        <f t="shared" si="4"/>
        <v>0</v>
      </c>
      <c r="I105" s="121">
        <f t="shared" si="5"/>
        <v>0</v>
      </c>
      <c r="J105" s="110"/>
      <c r="K105" s="110"/>
      <c r="L105" s="110"/>
      <c r="M105" s="110"/>
    </row>
    <row r="106" spans="1:13" hidden="1">
      <c r="A106" s="64">
        <v>102</v>
      </c>
      <c r="B106" s="78"/>
      <c r="C106" s="127"/>
      <c r="D106" s="118"/>
      <c r="E106" s="119">
        <f t="shared" si="3"/>
        <v>0</v>
      </c>
      <c r="F106" s="126"/>
      <c r="G106" s="119"/>
      <c r="H106" s="120">
        <f t="shared" si="4"/>
        <v>0</v>
      </c>
      <c r="I106" s="121">
        <f t="shared" si="5"/>
        <v>0</v>
      </c>
      <c r="J106" s="110"/>
      <c r="K106" s="110"/>
      <c r="L106" s="110"/>
      <c r="M106" s="110"/>
    </row>
    <row r="107" spans="1:13" hidden="1">
      <c r="A107" s="64">
        <v>103</v>
      </c>
      <c r="B107" s="78"/>
      <c r="C107" s="117"/>
      <c r="D107" s="118"/>
      <c r="E107" s="119">
        <f t="shared" si="3"/>
        <v>0</v>
      </c>
      <c r="F107" s="126"/>
      <c r="G107" s="119"/>
      <c r="H107" s="120">
        <f t="shared" si="4"/>
        <v>0</v>
      </c>
      <c r="I107" s="121">
        <f t="shared" si="5"/>
        <v>0</v>
      </c>
      <c r="J107" s="110"/>
      <c r="K107" s="110"/>
      <c r="L107" s="110"/>
      <c r="M107" s="110"/>
    </row>
    <row r="108" spans="1:13" hidden="1">
      <c r="A108" s="64">
        <v>104</v>
      </c>
      <c r="B108" s="78"/>
      <c r="C108" s="125"/>
      <c r="D108" s="118"/>
      <c r="E108" s="119">
        <f t="shared" si="3"/>
        <v>0</v>
      </c>
      <c r="F108" s="126"/>
      <c r="G108" s="119"/>
      <c r="H108" s="120">
        <f t="shared" si="4"/>
        <v>0</v>
      </c>
      <c r="I108" s="121">
        <f t="shared" si="5"/>
        <v>0</v>
      </c>
      <c r="J108" s="110"/>
      <c r="K108" s="110"/>
      <c r="L108" s="110"/>
      <c r="M108" s="110"/>
    </row>
    <row r="109" spans="1:13" hidden="1">
      <c r="A109" s="64">
        <v>105</v>
      </c>
      <c r="B109" s="122"/>
      <c r="C109" s="117"/>
      <c r="D109" s="118"/>
      <c r="E109" s="119">
        <f t="shared" si="3"/>
        <v>0</v>
      </c>
      <c r="F109" s="126"/>
      <c r="G109" s="119"/>
      <c r="H109" s="120">
        <f t="shared" si="4"/>
        <v>0</v>
      </c>
      <c r="I109" s="121">
        <f t="shared" si="5"/>
        <v>0</v>
      </c>
      <c r="J109" s="110"/>
      <c r="K109" s="110"/>
      <c r="L109" s="110"/>
      <c r="M109" s="110"/>
    </row>
    <row r="110" spans="1:13" hidden="1">
      <c r="A110" s="64">
        <v>106</v>
      </c>
      <c r="B110" s="122"/>
      <c r="C110" s="117"/>
      <c r="D110" s="118"/>
      <c r="E110" s="119">
        <f t="shared" si="3"/>
        <v>0</v>
      </c>
      <c r="F110" s="126"/>
      <c r="G110" s="119"/>
      <c r="H110" s="120">
        <f t="shared" si="4"/>
        <v>0</v>
      </c>
      <c r="I110" s="121">
        <f t="shared" si="5"/>
        <v>0</v>
      </c>
      <c r="J110" s="110"/>
      <c r="K110" s="110"/>
      <c r="L110" s="110"/>
      <c r="M110" s="110"/>
    </row>
    <row r="111" spans="1:13" hidden="1">
      <c r="A111" s="64">
        <v>107</v>
      </c>
      <c r="B111" s="78"/>
      <c r="C111" s="117"/>
      <c r="D111" s="118"/>
      <c r="E111" s="119">
        <f t="shared" si="3"/>
        <v>0</v>
      </c>
      <c r="F111" s="126"/>
      <c r="G111" s="119"/>
      <c r="H111" s="120">
        <f t="shared" si="4"/>
        <v>0</v>
      </c>
      <c r="I111" s="121">
        <f t="shared" si="5"/>
        <v>0</v>
      </c>
      <c r="J111" s="110"/>
      <c r="K111" s="110"/>
      <c r="L111" s="110"/>
      <c r="M111" s="110"/>
    </row>
    <row r="112" spans="1:13" hidden="1">
      <c r="A112" s="64">
        <v>108</v>
      </c>
      <c r="B112" s="78"/>
      <c r="C112" s="118"/>
      <c r="D112" s="118"/>
      <c r="E112" s="119">
        <f t="shared" si="3"/>
        <v>0</v>
      </c>
      <c r="F112" s="126"/>
      <c r="G112" s="119"/>
      <c r="H112" s="120">
        <f t="shared" si="4"/>
        <v>0</v>
      </c>
      <c r="I112" s="121">
        <f t="shared" si="5"/>
        <v>0</v>
      </c>
      <c r="J112" s="110"/>
      <c r="K112" s="110"/>
      <c r="L112" s="110"/>
      <c r="M112" s="110"/>
    </row>
    <row r="113" spans="1:13" hidden="1">
      <c r="A113" s="64">
        <v>109</v>
      </c>
      <c r="B113" s="78"/>
      <c r="C113" s="118"/>
      <c r="D113" s="118"/>
      <c r="E113" s="119">
        <f t="shared" si="3"/>
        <v>0</v>
      </c>
      <c r="F113" s="126"/>
      <c r="G113" s="119"/>
      <c r="H113" s="120">
        <f t="shared" si="4"/>
        <v>0</v>
      </c>
      <c r="I113" s="121">
        <f t="shared" si="5"/>
        <v>0</v>
      </c>
      <c r="J113" s="110"/>
      <c r="K113" s="110"/>
      <c r="L113" s="110"/>
      <c r="M113" s="110"/>
    </row>
    <row r="114" spans="1:13" hidden="1">
      <c r="A114" s="64">
        <v>110</v>
      </c>
      <c r="B114" s="78"/>
      <c r="C114" s="118"/>
      <c r="D114" s="118"/>
      <c r="E114" s="119">
        <f t="shared" si="3"/>
        <v>0</v>
      </c>
      <c r="F114" s="126"/>
      <c r="G114" s="119"/>
      <c r="H114" s="120">
        <f t="shared" si="4"/>
        <v>0</v>
      </c>
      <c r="I114" s="121">
        <f t="shared" si="5"/>
        <v>0</v>
      </c>
      <c r="J114" s="110"/>
      <c r="K114" s="110"/>
      <c r="L114" s="110"/>
      <c r="M114" s="110"/>
    </row>
    <row r="115" spans="1:13" hidden="1">
      <c r="A115" s="64">
        <v>111</v>
      </c>
      <c r="B115" s="78"/>
      <c r="C115" s="118"/>
      <c r="D115" s="118"/>
      <c r="E115" s="119">
        <f t="shared" si="3"/>
        <v>0</v>
      </c>
      <c r="F115" s="126"/>
      <c r="G115" s="119"/>
      <c r="H115" s="120">
        <f t="shared" si="4"/>
        <v>0</v>
      </c>
      <c r="I115" s="121">
        <f t="shared" si="5"/>
        <v>0</v>
      </c>
      <c r="J115" s="110"/>
      <c r="K115" s="110"/>
      <c r="L115" s="110"/>
      <c r="M115" s="110"/>
    </row>
    <row r="116" spans="1:13" hidden="1">
      <c r="A116" s="64">
        <v>112</v>
      </c>
      <c r="B116" s="78"/>
      <c r="C116" s="118"/>
      <c r="D116" s="118"/>
      <c r="E116" s="119">
        <f t="shared" si="3"/>
        <v>0</v>
      </c>
      <c r="F116" s="126"/>
      <c r="G116" s="119"/>
      <c r="H116" s="120">
        <f t="shared" si="4"/>
        <v>0</v>
      </c>
      <c r="I116" s="121">
        <f t="shared" si="5"/>
        <v>0</v>
      </c>
      <c r="J116" s="110"/>
      <c r="K116" s="110"/>
      <c r="L116" s="110"/>
      <c r="M116" s="110"/>
    </row>
    <row r="117" spans="1:13" hidden="1">
      <c r="A117" s="64">
        <v>113</v>
      </c>
      <c r="B117" s="78"/>
      <c r="C117" s="118"/>
      <c r="D117" s="118"/>
      <c r="E117" s="119">
        <f t="shared" si="3"/>
        <v>0</v>
      </c>
      <c r="F117" s="126"/>
      <c r="G117" s="119"/>
      <c r="H117" s="120">
        <f t="shared" si="4"/>
        <v>0</v>
      </c>
      <c r="I117" s="121">
        <f t="shared" si="5"/>
        <v>0</v>
      </c>
      <c r="J117" s="110"/>
      <c r="K117" s="110"/>
      <c r="L117" s="110"/>
      <c r="M117" s="110"/>
    </row>
    <row r="118" spans="1:13" hidden="1">
      <c r="A118" s="64">
        <v>114</v>
      </c>
      <c r="B118" s="78"/>
      <c r="C118" s="118"/>
      <c r="D118" s="118"/>
      <c r="E118" s="119">
        <f t="shared" si="3"/>
        <v>0</v>
      </c>
      <c r="F118" s="126"/>
      <c r="G118" s="119"/>
      <c r="H118" s="120">
        <f t="shared" si="4"/>
        <v>0</v>
      </c>
      <c r="I118" s="121">
        <f t="shared" si="5"/>
        <v>0</v>
      </c>
      <c r="J118" s="110"/>
      <c r="K118" s="110"/>
      <c r="L118" s="110"/>
      <c r="M118" s="110"/>
    </row>
    <row r="119" spans="1:13" hidden="1">
      <c r="A119" s="64">
        <v>115</v>
      </c>
      <c r="B119" s="78"/>
      <c r="C119" s="118"/>
      <c r="D119" s="118"/>
      <c r="E119" s="119">
        <f t="shared" si="3"/>
        <v>0</v>
      </c>
      <c r="F119" s="126"/>
      <c r="G119" s="119"/>
      <c r="H119" s="120">
        <f t="shared" si="4"/>
        <v>0</v>
      </c>
      <c r="I119" s="121">
        <f t="shared" si="5"/>
        <v>0</v>
      </c>
      <c r="J119" s="110"/>
      <c r="K119" s="110"/>
      <c r="L119" s="110"/>
      <c r="M119" s="110"/>
    </row>
    <row r="120" spans="1:13" hidden="1">
      <c r="A120" s="64">
        <v>116</v>
      </c>
      <c r="B120" s="78"/>
      <c r="C120" s="118"/>
      <c r="D120" s="118"/>
      <c r="E120" s="119">
        <f t="shared" si="3"/>
        <v>0</v>
      </c>
      <c r="F120" s="126"/>
      <c r="G120" s="119"/>
      <c r="H120" s="120">
        <f t="shared" si="4"/>
        <v>0</v>
      </c>
      <c r="I120" s="121">
        <f t="shared" si="5"/>
        <v>0</v>
      </c>
      <c r="J120" s="110"/>
      <c r="K120" s="110"/>
      <c r="L120" s="110"/>
      <c r="M120" s="110"/>
    </row>
    <row r="121" spans="1:13" hidden="1">
      <c r="A121" s="64">
        <v>117</v>
      </c>
      <c r="B121" s="78"/>
      <c r="C121" s="118"/>
      <c r="D121" s="118"/>
      <c r="E121" s="119">
        <f t="shared" si="3"/>
        <v>0</v>
      </c>
      <c r="F121" s="126"/>
      <c r="G121" s="119"/>
      <c r="H121" s="120">
        <f t="shared" si="4"/>
        <v>0</v>
      </c>
      <c r="I121" s="121">
        <f t="shared" si="5"/>
        <v>0</v>
      </c>
      <c r="J121" s="110"/>
      <c r="K121" s="110"/>
      <c r="L121" s="110"/>
      <c r="M121" s="110"/>
    </row>
    <row r="122" spans="1:13" hidden="1">
      <c r="A122" s="64">
        <v>118</v>
      </c>
      <c r="B122" s="78"/>
      <c r="C122" s="118"/>
      <c r="D122" s="118"/>
      <c r="E122" s="119">
        <f t="shared" si="3"/>
        <v>0</v>
      </c>
      <c r="F122" s="126"/>
      <c r="G122" s="119"/>
      <c r="H122" s="120">
        <f t="shared" si="4"/>
        <v>0</v>
      </c>
      <c r="I122" s="121">
        <f t="shared" si="5"/>
        <v>0</v>
      </c>
      <c r="J122" s="110"/>
      <c r="K122" s="110"/>
      <c r="L122" s="110"/>
      <c r="M122" s="110"/>
    </row>
    <row r="123" spans="1:13" hidden="1">
      <c r="A123" s="64">
        <v>119</v>
      </c>
      <c r="B123" s="78"/>
      <c r="C123" s="118"/>
      <c r="D123" s="118"/>
      <c r="E123" s="119">
        <f t="shared" si="3"/>
        <v>0</v>
      </c>
      <c r="F123" s="126"/>
      <c r="G123" s="119"/>
      <c r="H123" s="120">
        <f t="shared" si="4"/>
        <v>0</v>
      </c>
      <c r="I123" s="121">
        <f t="shared" si="5"/>
        <v>0</v>
      </c>
      <c r="J123" s="110"/>
      <c r="K123" s="110"/>
      <c r="L123" s="110"/>
      <c r="M123" s="110"/>
    </row>
    <row r="124" spans="1:13" hidden="1">
      <c r="A124" s="64">
        <v>120</v>
      </c>
      <c r="B124" s="78"/>
      <c r="C124" s="118"/>
      <c r="D124" s="118"/>
      <c r="E124" s="119">
        <f t="shared" si="3"/>
        <v>0</v>
      </c>
      <c r="F124" s="126"/>
      <c r="G124" s="119"/>
      <c r="H124" s="120">
        <f t="shared" si="4"/>
        <v>0</v>
      </c>
      <c r="I124" s="121">
        <f t="shared" si="5"/>
        <v>0</v>
      </c>
      <c r="J124" s="110"/>
      <c r="K124" s="110"/>
      <c r="L124" s="110"/>
      <c r="M124" s="110"/>
    </row>
    <row r="125" spans="1:13" hidden="1">
      <c r="A125" s="64">
        <v>121</v>
      </c>
      <c r="B125" s="78"/>
      <c r="C125" s="118"/>
      <c r="D125" s="118"/>
      <c r="E125" s="119">
        <f t="shared" si="3"/>
        <v>0</v>
      </c>
      <c r="F125" s="126"/>
      <c r="G125" s="119"/>
      <c r="H125" s="120">
        <f t="shared" si="4"/>
        <v>0</v>
      </c>
      <c r="I125" s="121">
        <f t="shared" si="5"/>
        <v>0</v>
      </c>
      <c r="J125" s="110"/>
      <c r="K125" s="110"/>
      <c r="L125" s="110"/>
      <c r="M125" s="110"/>
    </row>
    <row r="126" spans="1:13" hidden="1">
      <c r="A126" s="64">
        <v>122</v>
      </c>
      <c r="B126" s="78"/>
      <c r="C126" s="118"/>
      <c r="D126" s="118"/>
      <c r="E126" s="119">
        <f t="shared" si="3"/>
        <v>0</v>
      </c>
      <c r="F126" s="126"/>
      <c r="G126" s="119"/>
      <c r="H126" s="120">
        <f t="shared" si="4"/>
        <v>0</v>
      </c>
      <c r="I126" s="121">
        <f t="shared" si="5"/>
        <v>0</v>
      </c>
      <c r="J126" s="110"/>
      <c r="K126" s="110"/>
      <c r="L126" s="110"/>
      <c r="M126" s="110"/>
    </row>
    <row r="127" spans="1:13" hidden="1">
      <c r="A127" s="64">
        <v>123</v>
      </c>
      <c r="B127" s="78"/>
      <c r="C127" s="118"/>
      <c r="D127" s="118"/>
      <c r="E127" s="119">
        <f t="shared" si="3"/>
        <v>0</v>
      </c>
      <c r="F127" s="126"/>
      <c r="G127" s="119"/>
      <c r="H127" s="120">
        <f t="shared" si="4"/>
        <v>0</v>
      </c>
      <c r="I127" s="121">
        <f t="shared" si="5"/>
        <v>0</v>
      </c>
      <c r="J127" s="110"/>
      <c r="K127" s="110"/>
      <c r="L127" s="110"/>
      <c r="M127" s="110"/>
    </row>
    <row r="128" spans="1:13" hidden="1">
      <c r="A128" s="64">
        <v>124</v>
      </c>
      <c r="B128" s="78"/>
      <c r="C128" s="118"/>
      <c r="D128" s="118"/>
      <c r="E128" s="119">
        <f t="shared" si="3"/>
        <v>0</v>
      </c>
      <c r="F128" s="126"/>
      <c r="G128" s="119"/>
      <c r="H128" s="120">
        <f t="shared" si="4"/>
        <v>0</v>
      </c>
      <c r="I128" s="121">
        <f t="shared" si="5"/>
        <v>0</v>
      </c>
      <c r="J128" s="110"/>
      <c r="K128" s="110"/>
      <c r="L128" s="110"/>
      <c r="M128" s="110"/>
    </row>
    <row r="129" spans="1:13" hidden="1">
      <c r="A129" s="64">
        <v>125</v>
      </c>
      <c r="B129" s="78"/>
      <c r="C129" s="118"/>
      <c r="D129" s="118"/>
      <c r="E129" s="119">
        <f t="shared" si="3"/>
        <v>0</v>
      </c>
      <c r="F129" s="126"/>
      <c r="G129" s="119"/>
      <c r="H129" s="120">
        <f t="shared" si="4"/>
        <v>0</v>
      </c>
      <c r="I129" s="121">
        <f t="shared" si="5"/>
        <v>0</v>
      </c>
      <c r="J129" s="110"/>
      <c r="K129" s="110"/>
      <c r="L129" s="110"/>
      <c r="M129" s="110"/>
    </row>
    <row r="130" spans="1:13" hidden="1">
      <c r="A130" s="64">
        <v>126</v>
      </c>
      <c r="B130" s="78"/>
      <c r="C130" s="118"/>
      <c r="D130" s="118"/>
      <c r="E130" s="119">
        <f t="shared" si="3"/>
        <v>0</v>
      </c>
      <c r="F130" s="126"/>
      <c r="G130" s="119"/>
      <c r="H130" s="120">
        <f t="shared" si="4"/>
        <v>0</v>
      </c>
      <c r="I130" s="121">
        <f t="shared" si="5"/>
        <v>0</v>
      </c>
      <c r="J130" s="110"/>
      <c r="K130" s="110"/>
      <c r="L130" s="110"/>
      <c r="M130" s="110"/>
    </row>
    <row r="131" spans="1:13" hidden="1">
      <c r="A131" s="64">
        <v>127</v>
      </c>
      <c r="B131" s="78"/>
      <c r="C131" s="118"/>
      <c r="D131" s="118"/>
      <c r="E131" s="119">
        <f t="shared" si="3"/>
        <v>0</v>
      </c>
      <c r="F131" s="126"/>
      <c r="G131" s="119"/>
      <c r="H131" s="120">
        <f t="shared" si="4"/>
        <v>0</v>
      </c>
      <c r="I131" s="121">
        <f t="shared" si="5"/>
        <v>0</v>
      </c>
      <c r="J131" s="110"/>
      <c r="K131" s="110"/>
      <c r="L131" s="110"/>
      <c r="M131" s="110"/>
    </row>
    <row r="132" spans="1:13" hidden="1">
      <c r="A132" s="64">
        <v>128</v>
      </c>
      <c r="B132" s="78"/>
      <c r="C132" s="118"/>
      <c r="D132" s="118"/>
      <c r="E132" s="119">
        <f t="shared" si="3"/>
        <v>0</v>
      </c>
      <c r="F132" s="126"/>
      <c r="G132" s="119"/>
      <c r="H132" s="120">
        <f t="shared" si="4"/>
        <v>0</v>
      </c>
      <c r="I132" s="121">
        <f t="shared" si="5"/>
        <v>0</v>
      </c>
      <c r="J132" s="110"/>
      <c r="K132" s="110"/>
      <c r="L132" s="110"/>
      <c r="M132" s="110"/>
    </row>
    <row r="133" spans="1:13" hidden="1">
      <c r="A133" s="64">
        <v>129</v>
      </c>
      <c r="B133" s="78"/>
      <c r="C133" s="118"/>
      <c r="D133" s="118"/>
      <c r="E133" s="119">
        <f t="shared" ref="E133:E196" si="6">C133-D133</f>
        <v>0</v>
      </c>
      <c r="F133" s="126"/>
      <c r="G133" s="119"/>
      <c r="H133" s="120">
        <f t="shared" si="4"/>
        <v>0</v>
      </c>
      <c r="I133" s="121">
        <f t="shared" si="5"/>
        <v>0</v>
      </c>
      <c r="J133" s="110"/>
      <c r="K133" s="110"/>
      <c r="L133" s="110"/>
      <c r="M133" s="110"/>
    </row>
    <row r="134" spans="1:13" hidden="1">
      <c r="A134" s="64">
        <v>130</v>
      </c>
      <c r="B134" s="78"/>
      <c r="C134" s="118"/>
      <c r="D134" s="118"/>
      <c r="E134" s="119">
        <f t="shared" si="6"/>
        <v>0</v>
      </c>
      <c r="F134" s="126"/>
      <c r="G134" s="119"/>
      <c r="H134" s="120">
        <f t="shared" si="4"/>
        <v>0</v>
      </c>
      <c r="I134" s="121">
        <f t="shared" si="5"/>
        <v>0</v>
      </c>
      <c r="J134" s="110"/>
      <c r="K134" s="110"/>
      <c r="L134" s="110"/>
      <c r="M134" s="110"/>
    </row>
    <row r="135" spans="1:13" hidden="1">
      <c r="A135" s="64">
        <v>131</v>
      </c>
      <c r="B135" s="78"/>
      <c r="C135" s="118"/>
      <c r="D135" s="118"/>
      <c r="E135" s="119">
        <f t="shared" si="6"/>
        <v>0</v>
      </c>
      <c r="F135" s="126"/>
      <c r="G135" s="119"/>
      <c r="H135" s="120">
        <f t="shared" si="4"/>
        <v>0</v>
      </c>
      <c r="I135" s="121">
        <f t="shared" si="5"/>
        <v>0</v>
      </c>
      <c r="J135" s="110"/>
      <c r="K135" s="110"/>
      <c r="L135" s="110"/>
      <c r="M135" s="110"/>
    </row>
    <row r="136" spans="1:13" hidden="1">
      <c r="A136" s="64">
        <v>132</v>
      </c>
      <c r="B136" s="78"/>
      <c r="C136" s="118"/>
      <c r="D136" s="118"/>
      <c r="E136" s="119">
        <f t="shared" si="6"/>
        <v>0</v>
      </c>
      <c r="F136" s="126"/>
      <c r="G136" s="119"/>
      <c r="H136" s="120">
        <f t="shared" si="4"/>
        <v>0</v>
      </c>
      <c r="I136" s="121">
        <f t="shared" si="5"/>
        <v>0</v>
      </c>
      <c r="J136" s="110"/>
      <c r="K136" s="110"/>
      <c r="L136" s="110"/>
      <c r="M136" s="110"/>
    </row>
    <row r="137" spans="1:13" hidden="1">
      <c r="A137" s="64">
        <v>133</v>
      </c>
      <c r="B137" s="78"/>
      <c r="C137" s="118"/>
      <c r="D137" s="118"/>
      <c r="E137" s="119">
        <f t="shared" si="6"/>
        <v>0</v>
      </c>
      <c r="F137" s="126"/>
      <c r="G137" s="119"/>
      <c r="H137" s="120">
        <f t="shared" si="4"/>
        <v>0</v>
      </c>
      <c r="I137" s="121">
        <f t="shared" si="5"/>
        <v>0</v>
      </c>
      <c r="J137" s="110"/>
      <c r="K137" s="110"/>
      <c r="L137" s="110"/>
      <c r="M137" s="110"/>
    </row>
    <row r="138" spans="1:13" hidden="1">
      <c r="A138" s="64">
        <v>134</v>
      </c>
      <c r="B138" s="78"/>
      <c r="C138" s="118"/>
      <c r="D138" s="118"/>
      <c r="E138" s="119">
        <f t="shared" si="6"/>
        <v>0</v>
      </c>
      <c r="F138" s="126"/>
      <c r="G138" s="119"/>
      <c r="H138" s="120">
        <f t="shared" si="4"/>
        <v>0</v>
      </c>
      <c r="I138" s="121">
        <f t="shared" si="5"/>
        <v>0</v>
      </c>
      <c r="J138" s="110"/>
      <c r="K138" s="110"/>
      <c r="L138" s="110"/>
      <c r="M138" s="110"/>
    </row>
    <row r="139" spans="1:13" hidden="1">
      <c r="A139" s="64">
        <v>135</v>
      </c>
      <c r="B139" s="78"/>
      <c r="C139" s="118"/>
      <c r="D139" s="118"/>
      <c r="E139" s="119">
        <f t="shared" si="6"/>
        <v>0</v>
      </c>
      <c r="F139" s="126"/>
      <c r="G139" s="119"/>
      <c r="H139" s="120">
        <f t="shared" si="4"/>
        <v>0</v>
      </c>
      <c r="I139" s="121">
        <f t="shared" si="5"/>
        <v>0</v>
      </c>
      <c r="J139" s="110"/>
      <c r="K139" s="110"/>
      <c r="L139" s="110"/>
      <c r="M139" s="110"/>
    </row>
    <row r="140" spans="1:13" hidden="1">
      <c r="A140" s="64">
        <v>136</v>
      </c>
      <c r="B140" s="78"/>
      <c r="C140" s="118"/>
      <c r="D140" s="118"/>
      <c r="E140" s="119">
        <f t="shared" si="6"/>
        <v>0</v>
      </c>
      <c r="F140" s="126"/>
      <c r="G140" s="119">
        <f t="shared" ref="G140:G154" si="7">C140-D140</f>
        <v>0</v>
      </c>
      <c r="H140" s="120">
        <f t="shared" si="4"/>
        <v>0</v>
      </c>
      <c r="I140" s="121">
        <f t="shared" si="5"/>
        <v>0</v>
      </c>
      <c r="J140" s="110"/>
      <c r="K140" s="110"/>
      <c r="L140" s="110"/>
      <c r="M140" s="110"/>
    </row>
    <row r="141" spans="1:13" hidden="1">
      <c r="A141" s="64">
        <v>137</v>
      </c>
      <c r="B141" s="78"/>
      <c r="C141" s="118"/>
      <c r="D141" s="118"/>
      <c r="E141" s="119">
        <f t="shared" si="6"/>
        <v>0</v>
      </c>
      <c r="F141" s="126"/>
      <c r="G141" s="119">
        <f t="shared" si="7"/>
        <v>0</v>
      </c>
      <c r="H141" s="120">
        <f t="shared" si="4"/>
        <v>0</v>
      </c>
      <c r="I141" s="121">
        <f t="shared" si="5"/>
        <v>0</v>
      </c>
      <c r="J141" s="110"/>
      <c r="K141" s="110"/>
      <c r="L141" s="110"/>
      <c r="M141" s="110"/>
    </row>
    <row r="142" spans="1:13" hidden="1">
      <c r="A142" s="64">
        <v>138</v>
      </c>
      <c r="B142" s="78"/>
      <c r="C142" s="118"/>
      <c r="D142" s="119"/>
      <c r="E142" s="119">
        <f t="shared" si="6"/>
        <v>0</v>
      </c>
      <c r="F142" s="126"/>
      <c r="G142" s="119">
        <f t="shared" si="7"/>
        <v>0</v>
      </c>
      <c r="H142" s="120">
        <f t="shared" si="4"/>
        <v>0</v>
      </c>
      <c r="I142" s="121">
        <f t="shared" si="5"/>
        <v>0</v>
      </c>
      <c r="J142" s="110"/>
      <c r="K142" s="110"/>
      <c r="L142" s="110"/>
      <c r="M142" s="110"/>
    </row>
    <row r="143" spans="1:13" hidden="1">
      <c r="A143" s="64">
        <v>139</v>
      </c>
      <c r="B143" s="78"/>
      <c r="C143" s="118"/>
      <c r="D143" s="119"/>
      <c r="E143" s="119">
        <f t="shared" si="6"/>
        <v>0</v>
      </c>
      <c r="F143" s="126"/>
      <c r="G143" s="119">
        <f t="shared" si="7"/>
        <v>0</v>
      </c>
      <c r="H143" s="120">
        <f t="shared" si="4"/>
        <v>0</v>
      </c>
      <c r="I143" s="121">
        <f t="shared" si="5"/>
        <v>0</v>
      </c>
      <c r="J143" s="110"/>
      <c r="K143" s="110"/>
      <c r="L143" s="110"/>
      <c r="M143" s="110"/>
    </row>
    <row r="144" spans="1:13" hidden="1">
      <c r="A144" s="64">
        <v>140</v>
      </c>
      <c r="B144" s="78"/>
      <c r="C144" s="118"/>
      <c r="D144" s="119"/>
      <c r="E144" s="119">
        <f t="shared" si="6"/>
        <v>0</v>
      </c>
      <c r="F144" s="126"/>
      <c r="G144" s="119">
        <f t="shared" si="7"/>
        <v>0</v>
      </c>
      <c r="H144" s="120">
        <f t="shared" si="4"/>
        <v>0</v>
      </c>
      <c r="I144" s="121">
        <f t="shared" si="5"/>
        <v>0</v>
      </c>
      <c r="J144" s="110"/>
      <c r="K144" s="110"/>
      <c r="L144" s="110"/>
      <c r="M144" s="110"/>
    </row>
    <row r="145" spans="1:13" hidden="1">
      <c r="A145" s="64">
        <v>141</v>
      </c>
      <c r="B145" s="78"/>
      <c r="C145" s="118"/>
      <c r="D145" s="119"/>
      <c r="E145" s="119">
        <f t="shared" si="6"/>
        <v>0</v>
      </c>
      <c r="F145" s="126"/>
      <c r="G145" s="119">
        <f t="shared" si="7"/>
        <v>0</v>
      </c>
      <c r="H145" s="120">
        <f t="shared" si="4"/>
        <v>0</v>
      </c>
      <c r="I145" s="121">
        <f t="shared" si="5"/>
        <v>0</v>
      </c>
      <c r="J145" s="110"/>
      <c r="K145" s="110"/>
      <c r="L145" s="110"/>
      <c r="M145" s="110"/>
    </row>
    <row r="146" spans="1:13" hidden="1">
      <c r="A146" s="64">
        <v>142</v>
      </c>
      <c r="B146" s="78"/>
      <c r="C146" s="118"/>
      <c r="D146" s="118"/>
      <c r="E146" s="119">
        <f t="shared" si="6"/>
        <v>0</v>
      </c>
      <c r="F146" s="126"/>
      <c r="G146" s="119">
        <f t="shared" si="7"/>
        <v>0</v>
      </c>
      <c r="H146" s="120">
        <f t="shared" si="4"/>
        <v>0</v>
      </c>
      <c r="I146" s="121">
        <f t="shared" si="5"/>
        <v>0</v>
      </c>
      <c r="J146" s="110"/>
      <c r="K146" s="110"/>
      <c r="L146" s="110"/>
      <c r="M146" s="110"/>
    </row>
    <row r="147" spans="1:13" hidden="1">
      <c r="A147" s="64">
        <v>143</v>
      </c>
      <c r="B147" s="78"/>
      <c r="C147" s="118"/>
      <c r="D147" s="119"/>
      <c r="E147" s="119">
        <f t="shared" si="6"/>
        <v>0</v>
      </c>
      <c r="F147" s="126"/>
      <c r="G147" s="119">
        <f t="shared" si="7"/>
        <v>0</v>
      </c>
      <c r="H147" s="120">
        <f t="shared" si="4"/>
        <v>0</v>
      </c>
      <c r="I147" s="121">
        <f t="shared" si="5"/>
        <v>0</v>
      </c>
      <c r="J147" s="110"/>
      <c r="K147" s="110"/>
      <c r="L147" s="110"/>
      <c r="M147" s="110"/>
    </row>
    <row r="148" spans="1:13" hidden="1">
      <c r="A148" s="64">
        <v>144</v>
      </c>
      <c r="B148" s="78"/>
      <c r="C148" s="118"/>
      <c r="D148" s="119"/>
      <c r="E148" s="119">
        <f t="shared" si="6"/>
        <v>0</v>
      </c>
      <c r="F148" s="126"/>
      <c r="G148" s="119">
        <f t="shared" si="7"/>
        <v>0</v>
      </c>
      <c r="H148" s="120">
        <f t="shared" si="4"/>
        <v>0</v>
      </c>
      <c r="I148" s="121">
        <f t="shared" si="5"/>
        <v>0</v>
      </c>
      <c r="J148" s="110"/>
      <c r="K148" s="110"/>
      <c r="L148" s="110"/>
      <c r="M148" s="110"/>
    </row>
    <row r="149" spans="1:13" hidden="1">
      <c r="A149" s="64">
        <v>145</v>
      </c>
      <c r="B149" s="78"/>
      <c r="C149" s="118"/>
      <c r="D149" s="119"/>
      <c r="E149" s="119">
        <f t="shared" si="6"/>
        <v>0</v>
      </c>
      <c r="F149" s="126"/>
      <c r="G149" s="119">
        <f t="shared" si="7"/>
        <v>0</v>
      </c>
      <c r="H149" s="120">
        <f t="shared" si="4"/>
        <v>0</v>
      </c>
      <c r="I149" s="121">
        <f t="shared" si="5"/>
        <v>0</v>
      </c>
      <c r="J149" s="110"/>
      <c r="K149" s="110"/>
      <c r="L149" s="110"/>
      <c r="M149" s="110"/>
    </row>
    <row r="150" spans="1:13" hidden="1">
      <c r="A150" s="64">
        <v>146</v>
      </c>
      <c r="B150" s="78"/>
      <c r="C150" s="118"/>
      <c r="D150" s="119"/>
      <c r="E150" s="119">
        <f t="shared" si="6"/>
        <v>0</v>
      </c>
      <c r="F150" s="126"/>
      <c r="G150" s="119">
        <f t="shared" si="7"/>
        <v>0</v>
      </c>
      <c r="H150" s="120">
        <f t="shared" si="4"/>
        <v>0</v>
      </c>
      <c r="I150" s="121">
        <f t="shared" si="5"/>
        <v>0</v>
      </c>
      <c r="J150" s="110"/>
      <c r="K150" s="110"/>
      <c r="L150" s="110"/>
      <c r="M150" s="110"/>
    </row>
    <row r="151" spans="1:13" hidden="1">
      <c r="A151" s="64">
        <v>147</v>
      </c>
      <c r="B151" s="78"/>
      <c r="C151" s="118"/>
      <c r="D151" s="119"/>
      <c r="E151" s="119">
        <f t="shared" si="6"/>
        <v>0</v>
      </c>
      <c r="F151" s="126"/>
      <c r="G151" s="119">
        <f t="shared" si="7"/>
        <v>0</v>
      </c>
      <c r="H151" s="120">
        <f t="shared" si="4"/>
        <v>0</v>
      </c>
      <c r="I151" s="121">
        <f t="shared" si="5"/>
        <v>0</v>
      </c>
      <c r="J151" s="110"/>
      <c r="K151" s="110"/>
      <c r="L151" s="110"/>
      <c r="M151" s="110"/>
    </row>
    <row r="152" spans="1:13" hidden="1">
      <c r="A152" s="64">
        <v>148</v>
      </c>
      <c r="B152" s="78"/>
      <c r="C152" s="118"/>
      <c r="D152" s="119"/>
      <c r="E152" s="119">
        <f t="shared" si="6"/>
        <v>0</v>
      </c>
      <c r="F152" s="126"/>
      <c r="G152" s="119">
        <f t="shared" si="7"/>
        <v>0</v>
      </c>
      <c r="H152" s="120">
        <f t="shared" si="4"/>
        <v>0</v>
      </c>
      <c r="I152" s="121">
        <f t="shared" si="5"/>
        <v>0</v>
      </c>
      <c r="J152" s="110"/>
      <c r="K152" s="110"/>
      <c r="L152" s="110"/>
      <c r="M152" s="110"/>
    </row>
    <row r="153" spans="1:13" hidden="1">
      <c r="A153" s="64">
        <v>149</v>
      </c>
      <c r="B153" s="78"/>
      <c r="C153" s="118"/>
      <c r="D153" s="119"/>
      <c r="E153" s="119">
        <f t="shared" si="6"/>
        <v>0</v>
      </c>
      <c r="F153" s="126"/>
      <c r="G153" s="119">
        <f t="shared" si="7"/>
        <v>0</v>
      </c>
      <c r="H153" s="120">
        <f t="shared" si="4"/>
        <v>0</v>
      </c>
      <c r="I153" s="121">
        <f t="shared" si="5"/>
        <v>0</v>
      </c>
      <c r="J153" s="110"/>
      <c r="K153" s="110"/>
      <c r="L153" s="110"/>
      <c r="M153" s="110"/>
    </row>
    <row r="154" spans="1:13" hidden="1">
      <c r="A154" s="64">
        <v>150</v>
      </c>
      <c r="B154" s="78"/>
      <c r="C154" s="118"/>
      <c r="D154" s="119"/>
      <c r="E154" s="119">
        <f t="shared" si="6"/>
        <v>0</v>
      </c>
      <c r="F154" s="126"/>
      <c r="G154" s="119">
        <f t="shared" si="7"/>
        <v>0</v>
      </c>
      <c r="H154" s="120">
        <f t="shared" si="4"/>
        <v>0</v>
      </c>
      <c r="I154" s="121">
        <f t="shared" si="5"/>
        <v>0</v>
      </c>
      <c r="J154" s="110"/>
      <c r="K154" s="110"/>
      <c r="L154" s="110"/>
      <c r="M154" s="110"/>
    </row>
    <row r="155" spans="1:13" hidden="1">
      <c r="A155" s="64">
        <v>151</v>
      </c>
      <c r="B155" s="78"/>
      <c r="C155" s="118"/>
      <c r="D155" s="119"/>
      <c r="E155" s="119">
        <f t="shared" si="6"/>
        <v>0</v>
      </c>
      <c r="F155" s="126"/>
      <c r="G155" s="119"/>
      <c r="H155" s="120">
        <f t="shared" si="4"/>
        <v>0</v>
      </c>
      <c r="I155" s="121">
        <f t="shared" si="5"/>
        <v>0</v>
      </c>
      <c r="J155" s="110"/>
      <c r="K155" s="110"/>
      <c r="L155" s="110"/>
      <c r="M155" s="110"/>
    </row>
    <row r="156" spans="1:13" hidden="1">
      <c r="A156" s="64">
        <v>152</v>
      </c>
      <c r="B156" s="78"/>
      <c r="C156" s="118"/>
      <c r="D156" s="119"/>
      <c r="E156" s="119">
        <f t="shared" si="6"/>
        <v>0</v>
      </c>
      <c r="F156" s="126"/>
      <c r="G156" s="119"/>
      <c r="H156" s="120">
        <f t="shared" si="4"/>
        <v>0</v>
      </c>
      <c r="I156" s="121">
        <f t="shared" si="5"/>
        <v>0</v>
      </c>
      <c r="J156" s="110"/>
      <c r="K156" s="110"/>
      <c r="L156" s="110"/>
      <c r="M156" s="110"/>
    </row>
    <row r="157" spans="1:13" hidden="1">
      <c r="A157" s="64">
        <v>153</v>
      </c>
      <c r="B157" s="78"/>
      <c r="C157" s="118"/>
      <c r="D157" s="119"/>
      <c r="E157" s="119">
        <f t="shared" si="6"/>
        <v>0</v>
      </c>
      <c r="F157" s="126"/>
      <c r="G157" s="119"/>
      <c r="H157" s="120">
        <f t="shared" si="4"/>
        <v>0</v>
      </c>
      <c r="I157" s="121">
        <f t="shared" si="5"/>
        <v>0</v>
      </c>
      <c r="J157" s="110"/>
      <c r="K157" s="110"/>
      <c r="L157" s="110"/>
      <c r="M157" s="110"/>
    </row>
    <row r="158" spans="1:13" hidden="1">
      <c r="A158" s="64">
        <v>154</v>
      </c>
      <c r="B158" s="78"/>
      <c r="C158" s="118"/>
      <c r="D158" s="119"/>
      <c r="E158" s="119">
        <f t="shared" si="6"/>
        <v>0</v>
      </c>
      <c r="F158" s="126"/>
      <c r="G158" s="119"/>
      <c r="H158" s="120">
        <f t="shared" si="4"/>
        <v>0</v>
      </c>
      <c r="I158" s="121">
        <f t="shared" si="5"/>
        <v>0</v>
      </c>
      <c r="J158" s="110"/>
      <c r="K158" s="110"/>
      <c r="L158" s="110"/>
      <c r="M158" s="110"/>
    </row>
    <row r="159" spans="1:13" hidden="1">
      <c r="A159" s="64">
        <v>155</v>
      </c>
      <c r="B159" s="78"/>
      <c r="C159" s="118"/>
      <c r="D159" s="119"/>
      <c r="E159" s="119">
        <f t="shared" si="6"/>
        <v>0</v>
      </c>
      <c r="F159" s="126"/>
      <c r="G159" s="119"/>
      <c r="H159" s="120">
        <f t="shared" si="4"/>
        <v>0</v>
      </c>
      <c r="I159" s="121">
        <f t="shared" si="5"/>
        <v>0</v>
      </c>
      <c r="J159" s="110"/>
      <c r="K159" s="110"/>
      <c r="L159" s="110"/>
      <c r="M159" s="110"/>
    </row>
    <row r="160" spans="1:13" hidden="1">
      <c r="A160" s="64">
        <v>156</v>
      </c>
      <c r="B160" s="78"/>
      <c r="C160" s="118"/>
      <c r="D160" s="119"/>
      <c r="E160" s="119">
        <f t="shared" si="6"/>
        <v>0</v>
      </c>
      <c r="F160" s="126"/>
      <c r="G160" s="119"/>
      <c r="H160" s="120">
        <f t="shared" si="4"/>
        <v>0</v>
      </c>
      <c r="I160" s="121">
        <f t="shared" si="5"/>
        <v>0</v>
      </c>
      <c r="J160" s="110"/>
      <c r="K160" s="110"/>
      <c r="L160" s="110"/>
      <c r="M160" s="110"/>
    </row>
    <row r="161" spans="1:13" hidden="1">
      <c r="A161" s="64">
        <v>157</v>
      </c>
      <c r="B161" s="78"/>
      <c r="C161" s="118"/>
      <c r="D161" s="119"/>
      <c r="E161" s="119">
        <f t="shared" si="6"/>
        <v>0</v>
      </c>
      <c r="F161" s="126"/>
      <c r="G161" s="119"/>
      <c r="H161" s="120">
        <f t="shared" si="4"/>
        <v>0</v>
      </c>
      <c r="I161" s="121">
        <f t="shared" si="5"/>
        <v>0</v>
      </c>
      <c r="J161" s="110"/>
      <c r="K161" s="110"/>
      <c r="L161" s="110"/>
      <c r="M161" s="110"/>
    </row>
    <row r="162" spans="1:13" hidden="1">
      <c r="A162" s="64">
        <v>158</v>
      </c>
      <c r="B162" s="78"/>
      <c r="C162" s="118"/>
      <c r="D162" s="119"/>
      <c r="E162" s="119">
        <f t="shared" si="6"/>
        <v>0</v>
      </c>
      <c r="F162" s="126"/>
      <c r="G162" s="119"/>
      <c r="H162" s="120">
        <f t="shared" si="4"/>
        <v>0</v>
      </c>
      <c r="I162" s="121">
        <f t="shared" si="5"/>
        <v>0</v>
      </c>
      <c r="J162" s="110"/>
      <c r="K162" s="110"/>
      <c r="L162" s="110"/>
      <c r="M162" s="110"/>
    </row>
    <row r="163" spans="1:13" hidden="1">
      <c r="A163" s="64">
        <v>159</v>
      </c>
      <c r="B163" s="78"/>
      <c r="C163" s="118"/>
      <c r="D163" s="119"/>
      <c r="E163" s="119">
        <f t="shared" si="6"/>
        <v>0</v>
      </c>
      <c r="F163" s="126"/>
      <c r="G163" s="119"/>
      <c r="H163" s="120">
        <f t="shared" si="4"/>
        <v>0</v>
      </c>
      <c r="I163" s="121">
        <f t="shared" si="5"/>
        <v>0</v>
      </c>
      <c r="J163" s="110"/>
      <c r="K163" s="110"/>
      <c r="L163" s="110"/>
      <c r="M163" s="110"/>
    </row>
    <row r="164" spans="1:13" hidden="1">
      <c r="A164" s="64">
        <v>160</v>
      </c>
      <c r="B164" s="78"/>
      <c r="C164" s="118"/>
      <c r="D164" s="119"/>
      <c r="E164" s="119">
        <f t="shared" si="6"/>
        <v>0</v>
      </c>
      <c r="F164" s="126"/>
      <c r="G164" s="119"/>
      <c r="H164" s="120">
        <f t="shared" si="4"/>
        <v>0</v>
      </c>
      <c r="I164" s="121">
        <f t="shared" si="5"/>
        <v>0</v>
      </c>
      <c r="J164" s="110"/>
      <c r="K164" s="110"/>
      <c r="L164" s="110"/>
      <c r="M164" s="110"/>
    </row>
    <row r="165" spans="1:13" hidden="1">
      <c r="A165" s="64">
        <v>161</v>
      </c>
      <c r="B165" s="78"/>
      <c r="C165" s="118"/>
      <c r="D165" s="118"/>
      <c r="E165" s="119">
        <f t="shared" si="6"/>
        <v>0</v>
      </c>
      <c r="F165" s="126"/>
      <c r="G165" s="119"/>
      <c r="H165" s="120">
        <f t="shared" si="4"/>
        <v>0</v>
      </c>
      <c r="I165" s="121">
        <f t="shared" si="5"/>
        <v>0</v>
      </c>
      <c r="J165" s="110"/>
      <c r="K165" s="110"/>
      <c r="L165" s="110"/>
      <c r="M165" s="110"/>
    </row>
    <row r="166" spans="1:13" hidden="1">
      <c r="A166" s="64">
        <v>162</v>
      </c>
      <c r="B166" s="78"/>
      <c r="C166" s="118"/>
      <c r="D166" s="118"/>
      <c r="E166" s="119">
        <f t="shared" si="6"/>
        <v>0</v>
      </c>
      <c r="F166" s="126"/>
      <c r="G166" s="119"/>
      <c r="H166" s="120">
        <f t="shared" si="4"/>
        <v>0</v>
      </c>
      <c r="I166" s="121">
        <f t="shared" si="5"/>
        <v>0</v>
      </c>
      <c r="J166" s="110"/>
      <c r="K166" s="110"/>
      <c r="L166" s="110"/>
      <c r="M166" s="110"/>
    </row>
    <row r="167" spans="1:13" hidden="1">
      <c r="A167" s="64">
        <v>163</v>
      </c>
      <c r="B167" s="78"/>
      <c r="C167" s="118"/>
      <c r="D167" s="119"/>
      <c r="E167" s="119">
        <f t="shared" si="6"/>
        <v>0</v>
      </c>
      <c r="F167" s="126"/>
      <c r="G167" s="119"/>
      <c r="H167" s="120">
        <f t="shared" si="4"/>
        <v>0</v>
      </c>
      <c r="I167" s="121">
        <f t="shared" si="5"/>
        <v>0</v>
      </c>
      <c r="J167" s="110"/>
      <c r="K167" s="110"/>
      <c r="L167" s="110"/>
      <c r="M167" s="110"/>
    </row>
    <row r="168" spans="1:13" hidden="1">
      <c r="A168" s="64">
        <v>164</v>
      </c>
      <c r="B168" s="78"/>
      <c r="C168" s="118"/>
      <c r="D168" s="119"/>
      <c r="E168" s="119">
        <f t="shared" si="6"/>
        <v>0</v>
      </c>
      <c r="F168" s="126"/>
      <c r="G168" s="119"/>
      <c r="H168" s="120">
        <f t="shared" ref="H168:H203" si="8">C168-G168</f>
        <v>0</v>
      </c>
      <c r="I168" s="121">
        <f t="shared" ref="I168:I203" si="9">C168-G168</f>
        <v>0</v>
      </c>
      <c r="J168" s="110"/>
      <c r="K168" s="110"/>
      <c r="L168" s="110"/>
      <c r="M168" s="110"/>
    </row>
    <row r="169" spans="1:13" hidden="1">
      <c r="A169" s="64">
        <v>165</v>
      </c>
      <c r="B169" s="78"/>
      <c r="C169" s="118"/>
      <c r="D169" s="118"/>
      <c r="E169" s="119">
        <f t="shared" si="6"/>
        <v>0</v>
      </c>
      <c r="F169" s="126"/>
      <c r="G169" s="119"/>
      <c r="H169" s="120">
        <f t="shared" si="8"/>
        <v>0</v>
      </c>
      <c r="I169" s="121">
        <f t="shared" si="9"/>
        <v>0</v>
      </c>
      <c r="J169" s="110"/>
      <c r="K169" s="110"/>
      <c r="L169" s="110"/>
      <c r="M169" s="110"/>
    </row>
    <row r="170" spans="1:13" hidden="1">
      <c r="A170" s="64">
        <v>166</v>
      </c>
      <c r="B170" s="78"/>
      <c r="C170" s="118"/>
      <c r="D170" s="118"/>
      <c r="E170" s="119">
        <f t="shared" si="6"/>
        <v>0</v>
      </c>
      <c r="F170" s="126"/>
      <c r="G170" s="119"/>
      <c r="H170" s="120">
        <f t="shared" si="8"/>
        <v>0</v>
      </c>
      <c r="I170" s="121">
        <f t="shared" si="9"/>
        <v>0</v>
      </c>
      <c r="J170" s="110"/>
      <c r="K170" s="110"/>
      <c r="L170" s="110"/>
      <c r="M170" s="110"/>
    </row>
    <row r="171" spans="1:13" hidden="1">
      <c r="A171" s="64">
        <v>167</v>
      </c>
      <c r="B171" s="78"/>
      <c r="C171" s="118"/>
      <c r="D171" s="119"/>
      <c r="E171" s="119">
        <f t="shared" si="6"/>
        <v>0</v>
      </c>
      <c r="F171" s="126"/>
      <c r="G171" s="119"/>
      <c r="H171" s="120">
        <f t="shared" si="8"/>
        <v>0</v>
      </c>
      <c r="I171" s="121">
        <f t="shared" si="9"/>
        <v>0</v>
      </c>
      <c r="J171" s="110"/>
      <c r="K171" s="110"/>
      <c r="L171" s="110"/>
      <c r="M171" s="110"/>
    </row>
    <row r="172" spans="1:13" hidden="1">
      <c r="A172" s="64">
        <v>168</v>
      </c>
      <c r="B172" s="78"/>
      <c r="C172" s="118"/>
      <c r="D172" s="118"/>
      <c r="E172" s="119">
        <f t="shared" si="6"/>
        <v>0</v>
      </c>
      <c r="F172" s="126"/>
      <c r="G172" s="119"/>
      <c r="H172" s="120">
        <f t="shared" si="8"/>
        <v>0</v>
      </c>
      <c r="I172" s="121">
        <f t="shared" si="9"/>
        <v>0</v>
      </c>
      <c r="J172" s="110"/>
      <c r="K172" s="110"/>
      <c r="L172" s="110"/>
      <c r="M172" s="110"/>
    </row>
    <row r="173" spans="1:13" hidden="1">
      <c r="A173" s="64">
        <v>169</v>
      </c>
      <c r="B173" s="78"/>
      <c r="C173" s="118"/>
      <c r="D173" s="119"/>
      <c r="E173" s="119">
        <f t="shared" si="6"/>
        <v>0</v>
      </c>
      <c r="F173" s="126"/>
      <c r="G173" s="119"/>
      <c r="H173" s="120">
        <f t="shared" si="8"/>
        <v>0</v>
      </c>
      <c r="I173" s="121">
        <f t="shared" si="9"/>
        <v>0</v>
      </c>
      <c r="J173" s="110"/>
      <c r="K173" s="110"/>
      <c r="L173" s="110"/>
      <c r="M173" s="110"/>
    </row>
    <row r="174" spans="1:13" hidden="1">
      <c r="A174" s="64">
        <v>170</v>
      </c>
      <c r="B174" s="78"/>
      <c r="C174" s="118"/>
      <c r="D174" s="119"/>
      <c r="E174" s="119">
        <f t="shared" si="6"/>
        <v>0</v>
      </c>
      <c r="F174" s="126"/>
      <c r="G174" s="119"/>
      <c r="H174" s="120">
        <f t="shared" si="8"/>
        <v>0</v>
      </c>
      <c r="I174" s="121">
        <f t="shared" si="9"/>
        <v>0</v>
      </c>
      <c r="J174" s="110"/>
      <c r="K174" s="110"/>
      <c r="L174" s="110"/>
      <c r="M174" s="110"/>
    </row>
    <row r="175" spans="1:13" hidden="1">
      <c r="A175" s="64">
        <v>171</v>
      </c>
      <c r="B175" s="78"/>
      <c r="C175" s="118"/>
      <c r="D175" s="119"/>
      <c r="E175" s="119">
        <f t="shared" si="6"/>
        <v>0</v>
      </c>
      <c r="F175" s="126"/>
      <c r="G175" s="119"/>
      <c r="H175" s="120">
        <f t="shared" si="8"/>
        <v>0</v>
      </c>
      <c r="I175" s="121">
        <f t="shared" si="9"/>
        <v>0</v>
      </c>
      <c r="J175" s="110"/>
      <c r="K175" s="110"/>
      <c r="L175" s="110"/>
      <c r="M175" s="110"/>
    </row>
    <row r="176" spans="1:13" hidden="1">
      <c r="A176" s="64">
        <v>172</v>
      </c>
      <c r="B176" s="78"/>
      <c r="C176" s="118"/>
      <c r="D176" s="119"/>
      <c r="E176" s="119">
        <f t="shared" si="6"/>
        <v>0</v>
      </c>
      <c r="F176" s="126"/>
      <c r="G176" s="119"/>
      <c r="H176" s="120">
        <f t="shared" si="8"/>
        <v>0</v>
      </c>
      <c r="I176" s="121">
        <f t="shared" si="9"/>
        <v>0</v>
      </c>
      <c r="J176" s="110"/>
      <c r="K176" s="110"/>
      <c r="L176" s="110"/>
      <c r="M176" s="110"/>
    </row>
    <row r="177" spans="1:13" hidden="1">
      <c r="A177" s="64">
        <v>173</v>
      </c>
      <c r="B177" s="78"/>
      <c r="C177" s="118"/>
      <c r="D177" s="119"/>
      <c r="E177" s="119">
        <f t="shared" si="6"/>
        <v>0</v>
      </c>
      <c r="F177" s="126"/>
      <c r="G177" s="119"/>
      <c r="H177" s="120">
        <f t="shared" si="8"/>
        <v>0</v>
      </c>
      <c r="I177" s="121">
        <f t="shared" si="9"/>
        <v>0</v>
      </c>
      <c r="J177" s="110"/>
      <c r="K177" s="110"/>
      <c r="L177" s="110"/>
      <c r="M177" s="110"/>
    </row>
    <row r="178" spans="1:13" hidden="1">
      <c r="A178" s="64">
        <v>174</v>
      </c>
      <c r="B178" s="78"/>
      <c r="C178" s="118"/>
      <c r="D178" s="118"/>
      <c r="E178" s="119">
        <f t="shared" si="6"/>
        <v>0</v>
      </c>
      <c r="F178" s="126"/>
      <c r="G178" s="119"/>
      <c r="H178" s="120">
        <f t="shared" si="8"/>
        <v>0</v>
      </c>
      <c r="I178" s="121">
        <f t="shared" si="9"/>
        <v>0</v>
      </c>
      <c r="J178" s="110"/>
      <c r="K178" s="110"/>
      <c r="L178" s="110"/>
      <c r="M178" s="110"/>
    </row>
    <row r="179" spans="1:13" hidden="1">
      <c r="A179" s="64">
        <v>175</v>
      </c>
      <c r="B179" s="78"/>
      <c r="C179" s="118"/>
      <c r="D179" s="119"/>
      <c r="E179" s="119">
        <f t="shared" si="6"/>
        <v>0</v>
      </c>
      <c r="F179" s="126"/>
      <c r="G179" s="119"/>
      <c r="H179" s="120">
        <f t="shared" si="8"/>
        <v>0</v>
      </c>
      <c r="I179" s="121">
        <f t="shared" si="9"/>
        <v>0</v>
      </c>
      <c r="J179" s="110"/>
      <c r="K179" s="110"/>
      <c r="L179" s="110"/>
      <c r="M179" s="110"/>
    </row>
    <row r="180" spans="1:13" hidden="1">
      <c r="A180" s="64">
        <v>176</v>
      </c>
      <c r="B180" s="78"/>
      <c r="C180" s="118"/>
      <c r="D180" s="119"/>
      <c r="E180" s="119">
        <f t="shared" si="6"/>
        <v>0</v>
      </c>
      <c r="F180" s="126"/>
      <c r="G180" s="119"/>
      <c r="H180" s="120">
        <f t="shared" si="8"/>
        <v>0</v>
      </c>
      <c r="I180" s="121">
        <f t="shared" si="9"/>
        <v>0</v>
      </c>
      <c r="J180" s="110"/>
      <c r="K180" s="110"/>
      <c r="L180" s="110"/>
      <c r="M180" s="110"/>
    </row>
    <row r="181" spans="1:13" hidden="1">
      <c r="A181" s="64">
        <v>177</v>
      </c>
      <c r="B181" s="78"/>
      <c r="C181" s="118"/>
      <c r="D181" s="119"/>
      <c r="E181" s="119">
        <f t="shared" si="6"/>
        <v>0</v>
      </c>
      <c r="F181" s="126"/>
      <c r="G181" s="119"/>
      <c r="H181" s="120">
        <f t="shared" si="8"/>
        <v>0</v>
      </c>
      <c r="I181" s="121">
        <f t="shared" si="9"/>
        <v>0</v>
      </c>
      <c r="J181" s="110"/>
      <c r="K181" s="110"/>
      <c r="L181" s="110"/>
      <c r="M181" s="110"/>
    </row>
    <row r="182" spans="1:13" hidden="1">
      <c r="A182" s="64">
        <v>178</v>
      </c>
      <c r="B182" s="78"/>
      <c r="C182" s="118"/>
      <c r="D182" s="119"/>
      <c r="E182" s="119">
        <f t="shared" si="6"/>
        <v>0</v>
      </c>
      <c r="F182" s="126"/>
      <c r="G182" s="119"/>
      <c r="H182" s="120">
        <f t="shared" si="8"/>
        <v>0</v>
      </c>
      <c r="I182" s="121">
        <f t="shared" si="9"/>
        <v>0</v>
      </c>
      <c r="J182" s="110"/>
      <c r="K182" s="110"/>
      <c r="L182" s="110"/>
      <c r="M182" s="110"/>
    </row>
    <row r="183" spans="1:13" hidden="1">
      <c r="A183" s="64">
        <v>179</v>
      </c>
      <c r="B183" s="78"/>
      <c r="C183" s="118"/>
      <c r="D183" s="119"/>
      <c r="E183" s="119">
        <f t="shared" si="6"/>
        <v>0</v>
      </c>
      <c r="F183" s="126"/>
      <c r="G183" s="119"/>
      <c r="H183" s="120">
        <f t="shared" si="8"/>
        <v>0</v>
      </c>
      <c r="I183" s="121">
        <f t="shared" si="9"/>
        <v>0</v>
      </c>
      <c r="J183" s="110"/>
      <c r="K183" s="110"/>
      <c r="L183" s="110"/>
      <c r="M183" s="110"/>
    </row>
    <row r="184" spans="1:13" hidden="1">
      <c r="A184" s="64">
        <v>180</v>
      </c>
      <c r="B184" s="78"/>
      <c r="C184" s="118"/>
      <c r="D184" s="118"/>
      <c r="E184" s="119">
        <f t="shared" si="6"/>
        <v>0</v>
      </c>
      <c r="F184" s="126"/>
      <c r="G184" s="119"/>
      <c r="H184" s="120">
        <f t="shared" si="8"/>
        <v>0</v>
      </c>
      <c r="I184" s="121">
        <f t="shared" si="9"/>
        <v>0</v>
      </c>
      <c r="J184" s="110"/>
      <c r="K184" s="110"/>
      <c r="L184" s="110"/>
      <c r="M184" s="110"/>
    </row>
    <row r="185" spans="1:13" hidden="1">
      <c r="A185" s="64">
        <v>181</v>
      </c>
      <c r="B185" s="78"/>
      <c r="C185" s="118"/>
      <c r="D185" s="118"/>
      <c r="E185" s="119">
        <f t="shared" si="6"/>
        <v>0</v>
      </c>
      <c r="F185" s="126"/>
      <c r="G185" s="119"/>
      <c r="H185" s="120">
        <f t="shared" si="8"/>
        <v>0</v>
      </c>
      <c r="I185" s="121">
        <f t="shared" si="9"/>
        <v>0</v>
      </c>
      <c r="J185" s="110"/>
      <c r="K185" s="110"/>
      <c r="L185" s="110"/>
      <c r="M185" s="110"/>
    </row>
    <row r="186" spans="1:13" hidden="1">
      <c r="A186" s="64">
        <v>182</v>
      </c>
      <c r="B186" s="78"/>
      <c r="C186" s="118"/>
      <c r="D186" s="118"/>
      <c r="E186" s="119">
        <f t="shared" si="6"/>
        <v>0</v>
      </c>
      <c r="F186" s="126"/>
      <c r="G186" s="119"/>
      <c r="H186" s="120">
        <f t="shared" si="8"/>
        <v>0</v>
      </c>
      <c r="I186" s="121">
        <f t="shared" si="9"/>
        <v>0</v>
      </c>
      <c r="J186" s="110"/>
      <c r="K186" s="110"/>
      <c r="L186" s="110"/>
      <c r="M186" s="110"/>
    </row>
    <row r="187" spans="1:13" hidden="1">
      <c r="A187" s="64">
        <v>183</v>
      </c>
      <c r="B187" s="78"/>
      <c r="C187" s="118"/>
      <c r="D187" s="118"/>
      <c r="E187" s="119">
        <f t="shared" si="6"/>
        <v>0</v>
      </c>
      <c r="F187" s="126"/>
      <c r="G187" s="119"/>
      <c r="H187" s="120">
        <f t="shared" si="8"/>
        <v>0</v>
      </c>
      <c r="I187" s="121">
        <f t="shared" si="9"/>
        <v>0</v>
      </c>
      <c r="J187" s="110"/>
      <c r="K187" s="110"/>
      <c r="L187" s="110"/>
      <c r="M187" s="110"/>
    </row>
    <row r="188" spans="1:13" hidden="1">
      <c r="A188" s="64">
        <v>184</v>
      </c>
      <c r="B188" s="78"/>
      <c r="C188" s="118"/>
      <c r="D188" s="118"/>
      <c r="E188" s="119">
        <f t="shared" si="6"/>
        <v>0</v>
      </c>
      <c r="F188" s="126"/>
      <c r="G188" s="119"/>
      <c r="H188" s="120">
        <f t="shared" si="8"/>
        <v>0</v>
      </c>
      <c r="I188" s="121">
        <f t="shared" si="9"/>
        <v>0</v>
      </c>
      <c r="J188" s="110"/>
      <c r="K188" s="110"/>
      <c r="L188" s="110"/>
      <c r="M188" s="110"/>
    </row>
    <row r="189" spans="1:13" hidden="1">
      <c r="A189" s="64">
        <v>185</v>
      </c>
      <c r="B189" s="78"/>
      <c r="C189" s="118"/>
      <c r="D189" s="119"/>
      <c r="E189" s="119">
        <f t="shared" si="6"/>
        <v>0</v>
      </c>
      <c r="F189" s="126"/>
      <c r="G189" s="119"/>
      <c r="H189" s="120">
        <f t="shared" si="8"/>
        <v>0</v>
      </c>
      <c r="I189" s="121">
        <f t="shared" si="9"/>
        <v>0</v>
      </c>
      <c r="J189" s="110"/>
      <c r="K189" s="110"/>
      <c r="L189" s="110"/>
      <c r="M189" s="110"/>
    </row>
    <row r="190" spans="1:13" hidden="1">
      <c r="A190" s="64">
        <v>186</v>
      </c>
      <c r="B190" s="78"/>
      <c r="C190" s="118"/>
      <c r="D190" s="119"/>
      <c r="E190" s="119">
        <f t="shared" si="6"/>
        <v>0</v>
      </c>
      <c r="F190" s="126"/>
      <c r="G190" s="119"/>
      <c r="H190" s="120">
        <f t="shared" si="8"/>
        <v>0</v>
      </c>
      <c r="I190" s="121">
        <f t="shared" si="9"/>
        <v>0</v>
      </c>
      <c r="J190" s="110"/>
      <c r="K190" s="110"/>
      <c r="L190" s="110"/>
      <c r="M190" s="110"/>
    </row>
    <row r="191" spans="1:13" hidden="1">
      <c r="A191" s="64">
        <v>187</v>
      </c>
      <c r="B191" s="78"/>
      <c r="C191" s="118"/>
      <c r="D191" s="118"/>
      <c r="E191" s="119">
        <f t="shared" si="6"/>
        <v>0</v>
      </c>
      <c r="F191" s="126"/>
      <c r="G191" s="119"/>
      <c r="H191" s="120">
        <f t="shared" si="8"/>
        <v>0</v>
      </c>
      <c r="I191" s="121">
        <f t="shared" si="9"/>
        <v>0</v>
      </c>
      <c r="J191" s="110"/>
      <c r="K191" s="110"/>
      <c r="L191" s="110"/>
      <c r="M191" s="110"/>
    </row>
    <row r="192" spans="1:13" hidden="1">
      <c r="A192" s="64">
        <v>188</v>
      </c>
      <c r="B192" s="78"/>
      <c r="C192" s="118"/>
      <c r="D192" s="118"/>
      <c r="E192" s="119">
        <f t="shared" si="6"/>
        <v>0</v>
      </c>
      <c r="F192" s="126"/>
      <c r="G192" s="119"/>
      <c r="H192" s="120">
        <f t="shared" si="8"/>
        <v>0</v>
      </c>
      <c r="I192" s="121">
        <f t="shared" si="9"/>
        <v>0</v>
      </c>
      <c r="J192" s="110"/>
      <c r="K192" s="110"/>
      <c r="L192" s="110"/>
      <c r="M192" s="110"/>
    </row>
    <row r="193" spans="1:13" hidden="1">
      <c r="A193" s="64">
        <v>189</v>
      </c>
      <c r="B193" s="78"/>
      <c r="C193" s="118"/>
      <c r="D193" s="119"/>
      <c r="E193" s="119">
        <f t="shared" si="6"/>
        <v>0</v>
      </c>
      <c r="F193" s="126"/>
      <c r="G193" s="119"/>
      <c r="H193" s="120">
        <f t="shared" si="8"/>
        <v>0</v>
      </c>
      <c r="I193" s="121">
        <f t="shared" si="9"/>
        <v>0</v>
      </c>
      <c r="J193" s="110"/>
      <c r="K193" s="110"/>
      <c r="L193" s="110"/>
      <c r="M193" s="110"/>
    </row>
    <row r="194" spans="1:13" hidden="1">
      <c r="A194" s="64">
        <v>190</v>
      </c>
      <c r="B194" s="78"/>
      <c r="C194" s="118"/>
      <c r="D194" s="119"/>
      <c r="E194" s="119">
        <f t="shared" si="6"/>
        <v>0</v>
      </c>
      <c r="F194" s="126"/>
      <c r="G194" s="119"/>
      <c r="H194" s="120">
        <f t="shared" si="8"/>
        <v>0</v>
      </c>
      <c r="I194" s="121">
        <f t="shared" si="9"/>
        <v>0</v>
      </c>
      <c r="J194" s="110"/>
      <c r="K194" s="110"/>
      <c r="L194" s="110"/>
      <c r="M194" s="110"/>
    </row>
    <row r="195" spans="1:13" hidden="1">
      <c r="A195" s="64">
        <v>191</v>
      </c>
      <c r="B195" s="78"/>
      <c r="C195" s="118"/>
      <c r="D195" s="119"/>
      <c r="E195" s="119">
        <f t="shared" si="6"/>
        <v>0</v>
      </c>
      <c r="F195" s="126"/>
      <c r="G195" s="119"/>
      <c r="H195" s="120">
        <f t="shared" si="8"/>
        <v>0</v>
      </c>
      <c r="I195" s="121">
        <f t="shared" si="9"/>
        <v>0</v>
      </c>
      <c r="J195" s="110"/>
      <c r="K195" s="110"/>
      <c r="L195" s="110"/>
      <c r="M195" s="110"/>
    </row>
    <row r="196" spans="1:13" hidden="1">
      <c r="A196" s="64">
        <v>192</v>
      </c>
      <c r="B196" s="78"/>
      <c r="C196" s="118"/>
      <c r="D196" s="119"/>
      <c r="E196" s="119">
        <f t="shared" si="6"/>
        <v>0</v>
      </c>
      <c r="F196" s="126"/>
      <c r="G196" s="119"/>
      <c r="H196" s="120">
        <f t="shared" si="8"/>
        <v>0</v>
      </c>
      <c r="I196" s="121">
        <f t="shared" si="9"/>
        <v>0</v>
      </c>
      <c r="J196" s="110"/>
      <c r="K196" s="110"/>
      <c r="L196" s="110"/>
      <c r="M196" s="110"/>
    </row>
    <row r="197" spans="1:13" hidden="1">
      <c r="A197" s="64">
        <v>193</v>
      </c>
      <c r="B197" s="78"/>
      <c r="C197" s="118"/>
      <c r="D197" s="119"/>
      <c r="E197" s="119">
        <f t="shared" ref="E197:E204" si="10">C197-D197</f>
        <v>0</v>
      </c>
      <c r="F197" s="126"/>
      <c r="G197" s="119"/>
      <c r="H197" s="120">
        <f t="shared" si="8"/>
        <v>0</v>
      </c>
      <c r="I197" s="121">
        <f t="shared" si="9"/>
        <v>0</v>
      </c>
      <c r="J197" s="110"/>
      <c r="K197" s="110"/>
      <c r="L197" s="110"/>
      <c r="M197" s="110"/>
    </row>
    <row r="198" spans="1:13" hidden="1">
      <c r="A198" s="64">
        <v>194</v>
      </c>
      <c r="B198" s="78"/>
      <c r="C198" s="118"/>
      <c r="D198" s="119"/>
      <c r="E198" s="119">
        <f t="shared" si="10"/>
        <v>0</v>
      </c>
      <c r="F198" s="126"/>
      <c r="G198" s="119"/>
      <c r="H198" s="120">
        <f t="shared" si="8"/>
        <v>0</v>
      </c>
      <c r="I198" s="121">
        <f t="shared" si="9"/>
        <v>0</v>
      </c>
      <c r="J198" s="110"/>
      <c r="K198" s="110"/>
      <c r="L198" s="110"/>
      <c r="M198" s="110"/>
    </row>
    <row r="199" spans="1:13" hidden="1">
      <c r="A199" s="64">
        <v>195</v>
      </c>
      <c r="B199" s="78"/>
      <c r="C199" s="118"/>
      <c r="D199" s="119"/>
      <c r="E199" s="119">
        <f t="shared" si="10"/>
        <v>0</v>
      </c>
      <c r="F199" s="126"/>
      <c r="G199" s="119"/>
      <c r="H199" s="120">
        <f t="shared" si="8"/>
        <v>0</v>
      </c>
      <c r="I199" s="121">
        <f t="shared" si="9"/>
        <v>0</v>
      </c>
      <c r="J199" s="110"/>
      <c r="K199" s="110"/>
      <c r="L199" s="110"/>
      <c r="M199" s="110"/>
    </row>
    <row r="200" spans="1:13" hidden="1">
      <c r="A200" s="64">
        <v>196</v>
      </c>
      <c r="B200" s="78"/>
      <c r="C200" s="118"/>
      <c r="D200" s="119"/>
      <c r="E200" s="119">
        <f t="shared" si="10"/>
        <v>0</v>
      </c>
      <c r="F200" s="126"/>
      <c r="G200" s="119"/>
      <c r="H200" s="120">
        <f t="shared" si="8"/>
        <v>0</v>
      </c>
      <c r="I200" s="121">
        <f t="shared" si="9"/>
        <v>0</v>
      </c>
      <c r="J200" s="110"/>
      <c r="K200" s="110"/>
      <c r="L200" s="110"/>
      <c r="M200" s="110"/>
    </row>
    <row r="201" spans="1:13" hidden="1">
      <c r="A201" s="64">
        <v>197</v>
      </c>
      <c r="B201" s="78"/>
      <c r="C201" s="118"/>
      <c r="D201" s="119"/>
      <c r="E201" s="119">
        <f t="shared" si="10"/>
        <v>0</v>
      </c>
      <c r="F201" s="126"/>
      <c r="G201" s="119"/>
      <c r="H201" s="120">
        <f t="shared" si="8"/>
        <v>0</v>
      </c>
      <c r="I201" s="121">
        <f t="shared" si="9"/>
        <v>0</v>
      </c>
      <c r="J201" s="110"/>
      <c r="K201" s="110"/>
      <c r="L201" s="110"/>
      <c r="M201" s="110"/>
    </row>
    <row r="202" spans="1:13" hidden="1">
      <c r="A202" s="64">
        <v>198</v>
      </c>
      <c r="B202" s="78"/>
      <c r="C202" s="118"/>
      <c r="D202" s="119"/>
      <c r="E202" s="119">
        <f t="shared" si="10"/>
        <v>0</v>
      </c>
      <c r="F202" s="126"/>
      <c r="G202" s="119"/>
      <c r="H202" s="120">
        <f t="shared" si="8"/>
        <v>0</v>
      </c>
      <c r="I202" s="121">
        <f t="shared" si="9"/>
        <v>0</v>
      </c>
      <c r="J202" s="110"/>
      <c r="K202" s="110"/>
      <c r="L202" s="110"/>
      <c r="M202" s="110"/>
    </row>
    <row r="203" spans="1:13" hidden="1">
      <c r="A203" s="64">
        <v>199</v>
      </c>
      <c r="B203" s="78"/>
      <c r="C203" s="118"/>
      <c r="D203" s="118"/>
      <c r="E203" s="119">
        <f t="shared" si="10"/>
        <v>0</v>
      </c>
      <c r="F203" s="126"/>
      <c r="G203" s="119"/>
      <c r="H203" s="120">
        <f t="shared" si="8"/>
        <v>0</v>
      </c>
      <c r="I203" s="121">
        <f t="shared" si="9"/>
        <v>0</v>
      </c>
      <c r="J203" s="110"/>
      <c r="K203" s="110"/>
      <c r="L203" s="110"/>
      <c r="M203" s="110"/>
    </row>
    <row r="204" spans="1:13">
      <c r="A204" s="64">
        <v>36</v>
      </c>
      <c r="B204" s="78" t="s">
        <v>74</v>
      </c>
      <c r="C204" s="117">
        <v>1139500</v>
      </c>
      <c r="D204" s="118">
        <v>1139500</v>
      </c>
      <c r="E204" s="118">
        <f t="shared" si="10"/>
        <v>0</v>
      </c>
      <c r="F204" s="118"/>
      <c r="G204" s="118"/>
      <c r="H204" s="120"/>
      <c r="I204" s="121"/>
      <c r="J204" s="110"/>
      <c r="K204" s="110"/>
      <c r="L204" s="110"/>
      <c r="M204" s="110"/>
    </row>
    <row r="205" spans="1:13">
      <c r="A205" s="112"/>
      <c r="B205" s="113" t="s">
        <v>155</v>
      </c>
      <c r="C205" s="114">
        <f>SUM(C5:C204)</f>
        <v>3784343525</v>
      </c>
      <c r="D205" s="114">
        <f t="shared" ref="D205" si="11">SUM(D5:D204)</f>
        <v>3229590900</v>
      </c>
      <c r="E205" s="114">
        <f>SUM(E5:E204)</f>
        <v>560090625</v>
      </c>
      <c r="F205" s="114"/>
      <c r="G205" s="114">
        <f t="shared" ref="G205:H205" si="12">SUM(G5:G204)</f>
        <v>0</v>
      </c>
      <c r="H205" s="114">
        <f t="shared" si="12"/>
        <v>0</v>
      </c>
      <c r="I205" s="112"/>
      <c r="J205" s="110"/>
      <c r="K205" s="110"/>
      <c r="L205" s="110"/>
      <c r="M205" s="110"/>
    </row>
    <row r="206" spans="1:13" ht="15.75" thickBot="1">
      <c r="A206" s="128"/>
      <c r="B206" s="129"/>
      <c r="C206" s="130"/>
      <c r="D206" s="130"/>
      <c r="E206" s="130"/>
      <c r="F206" s="130"/>
      <c r="G206" s="130"/>
      <c r="H206" s="130"/>
      <c r="I206" s="128"/>
      <c r="J206" s="110"/>
      <c r="K206" s="110"/>
      <c r="L206" s="110"/>
      <c r="M206" s="110"/>
    </row>
    <row r="207" spans="1:13">
      <c r="C207" s="131">
        <f>+C205</f>
        <v>3784343525</v>
      </c>
      <c r="D207" s="132">
        <f>E205</f>
        <v>560090625</v>
      </c>
      <c r="E207" s="132">
        <f>C207-D207</f>
        <v>3224252900</v>
      </c>
      <c r="F207" s="133" t="s">
        <v>156</v>
      </c>
      <c r="G207" s="134" t="s">
        <v>157</v>
      </c>
    </row>
    <row r="208" spans="1:13" ht="15.75" thickBot="1">
      <c r="C208" s="136"/>
      <c r="D208" s="137"/>
      <c r="E208" s="138">
        <f>E207/C207</f>
        <v>0.85199794328925249</v>
      </c>
      <c r="F208" s="139"/>
    </row>
    <row r="209" spans="3:7" ht="12" customHeight="1" thickBot="1">
      <c r="C209" s="140"/>
      <c r="D209" s="140"/>
      <c r="E209" s="140"/>
    </row>
    <row r="210" spans="3:7">
      <c r="C210" s="131">
        <v>10000000000</v>
      </c>
      <c r="D210" s="132">
        <v>350000000</v>
      </c>
      <c r="E210" s="132">
        <f>C210-D210</f>
        <v>9650000000</v>
      </c>
      <c r="F210" s="133" t="s">
        <v>158</v>
      </c>
    </row>
    <row r="211" spans="3:7" ht="15.75" thickBot="1">
      <c r="C211" s="141" t="s">
        <v>159</v>
      </c>
      <c r="D211" s="142" t="s">
        <v>160</v>
      </c>
      <c r="E211" s="138">
        <f>E210/C210</f>
        <v>0.96499999999999997</v>
      </c>
      <c r="F211" s="139"/>
    </row>
    <row r="213" spans="3:7" ht="15.75" thickBot="1">
      <c r="E213" s="138">
        <f>D204/C204</f>
        <v>1</v>
      </c>
      <c r="F213" s="143" t="s">
        <v>161</v>
      </c>
    </row>
    <row r="215" spans="3:7">
      <c r="C215" s="144">
        <v>13000000000</v>
      </c>
      <c r="D215" s="145">
        <f>C215-E215-F215-G215</f>
        <v>13000000000</v>
      </c>
      <c r="E215" s="144">
        <f>E204-F215-G215</f>
        <v>-96433450</v>
      </c>
      <c r="F215" s="146">
        <v>52391050</v>
      </c>
      <c r="G215" s="144">
        <v>44042400</v>
      </c>
    </row>
    <row r="216" spans="3:7">
      <c r="C216" s="147" t="s">
        <v>162</v>
      </c>
      <c r="D216" s="148"/>
      <c r="E216" s="149">
        <f>(E215+F215)/C215</f>
        <v>-3.3878769230769232E-3</v>
      </c>
      <c r="F216" s="149"/>
    </row>
    <row r="218" spans="3:7">
      <c r="C218" s="147" t="s">
        <v>163</v>
      </c>
      <c r="D218" s="147" t="s">
        <v>117</v>
      </c>
      <c r="E218" s="150">
        <v>30</v>
      </c>
      <c r="F218" s="151">
        <v>60</v>
      </c>
      <c r="G218" s="147">
        <v>90</v>
      </c>
    </row>
  </sheetData>
  <autoFilter ref="A3:M204">
    <sortState ref="A4:M204">
      <sortCondition descending="1" ref="C3:C204"/>
    </sortState>
  </autoFilter>
  <mergeCells count="3">
    <mergeCell ref="A1:I1"/>
    <mergeCell ref="A2:I2"/>
    <mergeCell ref="E216:F216"/>
  </mergeCells>
  <conditionalFormatting sqref="B199:B204">
    <cfRule type="expression" dxfId="199" priority="199">
      <formula>AND($Z199&gt;0,$L199&gt;89)</formula>
    </cfRule>
    <cfRule type="expression" dxfId="198" priority="200">
      <formula>AND($Z199&gt;0,$L199&gt;59)</formula>
    </cfRule>
  </conditionalFormatting>
  <conditionalFormatting sqref="E169:E170 G169:G170 G186:G204 C199:E204 H4:H203 E4:E39">
    <cfRule type="expression" dxfId="197" priority="197">
      <formula>AND(#REF!&gt;0,$H4&gt;89)</formula>
    </cfRule>
    <cfRule type="expression" dxfId="196" priority="198">
      <formula>AND(#REF!&gt;0,$H4&gt;59)</formula>
    </cfRule>
  </conditionalFormatting>
  <conditionalFormatting sqref="D207">
    <cfRule type="expression" dxfId="195" priority="195">
      <formula>AND(#REF!&gt;0,$H207&gt;89)</formula>
    </cfRule>
    <cfRule type="expression" dxfId="194" priority="196">
      <formula>AND(#REF!&gt;0,$H207&gt;59)</formula>
    </cfRule>
  </conditionalFormatting>
  <conditionalFormatting sqref="E207">
    <cfRule type="expression" dxfId="193" priority="193">
      <formula>AND(#REF!&gt;0,$H207&gt;89)</formula>
    </cfRule>
    <cfRule type="expression" dxfId="192" priority="194">
      <formula>AND(#REF!&gt;0,$H207&gt;59)</formula>
    </cfRule>
  </conditionalFormatting>
  <conditionalFormatting sqref="H204">
    <cfRule type="expression" dxfId="191" priority="191">
      <formula>AND(#REF!&gt;0,$H204&gt;89)</formula>
    </cfRule>
    <cfRule type="expression" dxfId="190" priority="192">
      <formula>AND(#REF!&gt;0,$H204&gt;59)</formula>
    </cfRule>
  </conditionalFormatting>
  <conditionalFormatting sqref="F4:F39">
    <cfRule type="expression" dxfId="189" priority="189">
      <formula>AND(#REF!&gt;0,$M4&gt;89)</formula>
    </cfRule>
    <cfRule type="expression" dxfId="188" priority="190">
      <formula>AND(#REF!&gt;0,$M4&gt;59)</formula>
    </cfRule>
  </conditionalFormatting>
  <conditionalFormatting sqref="C210">
    <cfRule type="expression" dxfId="187" priority="187">
      <formula>AND(#REF!&gt;0,$H210&gt;89)</formula>
    </cfRule>
    <cfRule type="expression" dxfId="186" priority="188">
      <formula>AND(#REF!&gt;0,$H210&gt;59)</formula>
    </cfRule>
  </conditionalFormatting>
  <conditionalFormatting sqref="D210">
    <cfRule type="expression" dxfId="185" priority="185">
      <formula>AND(#REF!&gt;0,$H210&gt;89)</formula>
    </cfRule>
    <cfRule type="expression" dxfId="184" priority="186">
      <formula>AND(#REF!&gt;0,$H210&gt;59)</formula>
    </cfRule>
  </conditionalFormatting>
  <conditionalFormatting sqref="E210">
    <cfRule type="expression" dxfId="183" priority="183">
      <formula>AND(#REF!&gt;0,$H210&gt;89)</formula>
    </cfRule>
    <cfRule type="expression" dxfId="182" priority="184">
      <formula>AND(#REF!&gt;0,$H210&gt;59)</formula>
    </cfRule>
  </conditionalFormatting>
  <conditionalFormatting sqref="B169:B170 I4:I203">
    <cfRule type="expression" dxfId="181" priority="181">
      <formula>AND($AD4&gt;0,$P4&gt;89)</formula>
    </cfRule>
    <cfRule type="expression" dxfId="180" priority="182">
      <formula>AND($AD4&gt;0,$P4&gt;59)</formula>
    </cfRule>
  </conditionalFormatting>
  <conditionalFormatting sqref="C169:C170 D25:D32">
    <cfRule type="expression" dxfId="179" priority="179">
      <formula>AND(#REF!&gt;0,$L25&gt;89)</formula>
    </cfRule>
    <cfRule type="expression" dxfId="178" priority="180">
      <formula>AND(#REF!&gt;0,$L25&gt;59)</formula>
    </cfRule>
  </conditionalFormatting>
  <conditionalFormatting sqref="B185 B195:B198">
    <cfRule type="expression" dxfId="177" priority="177">
      <formula>AND($Z185&gt;0,$L185&gt;89)</formula>
    </cfRule>
    <cfRule type="expression" dxfId="176" priority="178">
      <formula>AND($Z185&gt;0,$L185&gt;59)</formula>
    </cfRule>
  </conditionalFormatting>
  <conditionalFormatting sqref="C185 C195:E198 G185 E185">
    <cfRule type="expression" dxfId="175" priority="175">
      <formula>AND(#REF!&gt;0,$H185&gt;89)</formula>
    </cfRule>
    <cfRule type="expression" dxfId="174" priority="176">
      <formula>AND(#REF!&gt;0,$H185&gt;59)</formula>
    </cfRule>
  </conditionalFormatting>
  <conditionalFormatting sqref="B186:B194">
    <cfRule type="expression" dxfId="173" priority="173">
      <formula>AND($Z186&gt;0,$L186&gt;89)</formula>
    </cfRule>
    <cfRule type="expression" dxfId="172" priority="174">
      <formula>AND($Z186&gt;0,$L186&gt;59)</formula>
    </cfRule>
  </conditionalFormatting>
  <conditionalFormatting sqref="C186 E186 C187:E194">
    <cfRule type="expression" dxfId="171" priority="171">
      <formula>AND(#REF!&gt;0,$H186&gt;89)</formula>
    </cfRule>
    <cfRule type="expression" dxfId="170" priority="172">
      <formula>AND(#REF!&gt;0,$H186&gt;59)</formula>
    </cfRule>
  </conditionalFormatting>
  <conditionalFormatting sqref="B171 B181:B184">
    <cfRule type="expression" dxfId="169" priority="169">
      <formula>AND($Z171&gt;0,$L171&gt;89)</formula>
    </cfRule>
    <cfRule type="expression" dxfId="168" priority="170">
      <formula>AND($Z171&gt;0,$L171&gt;59)</formula>
    </cfRule>
  </conditionalFormatting>
  <conditionalFormatting sqref="C171:E171 G181:G184 C181:E183 G171 C184 E184">
    <cfRule type="expression" dxfId="167" priority="167">
      <formula>AND(#REF!&gt;0,$H171&gt;89)</formula>
    </cfRule>
    <cfRule type="expression" dxfId="166" priority="168">
      <formula>AND(#REF!&gt;0,$H171&gt;59)</formula>
    </cfRule>
  </conditionalFormatting>
  <conditionalFormatting sqref="B172:B180">
    <cfRule type="expression" dxfId="165" priority="165">
      <formula>AND($Z172&gt;0,$L172&gt;89)</formula>
    </cfRule>
    <cfRule type="expression" dxfId="164" priority="166">
      <formula>AND($Z172&gt;0,$L172&gt;59)</formula>
    </cfRule>
  </conditionalFormatting>
  <conditionalFormatting sqref="G172:G180 C172:E180">
    <cfRule type="expression" dxfId="163" priority="163">
      <formula>AND(#REF!&gt;0,$H172&gt;89)</formula>
    </cfRule>
    <cfRule type="expression" dxfId="162" priority="164">
      <formula>AND(#REF!&gt;0,$H172&gt;59)</formula>
    </cfRule>
  </conditionalFormatting>
  <conditionalFormatting sqref="D169:D170">
    <cfRule type="expression" dxfId="161" priority="161">
      <formula>AND(#REF!&gt;0,$L169&gt;89)</formula>
    </cfRule>
    <cfRule type="expression" dxfId="160" priority="162">
      <formula>AND(#REF!&gt;0,$L169&gt;59)</formula>
    </cfRule>
  </conditionalFormatting>
  <conditionalFormatting sqref="D185">
    <cfRule type="expression" dxfId="159" priority="159">
      <formula>AND(#REF!&gt;0,$H185&gt;89)</formula>
    </cfRule>
    <cfRule type="expression" dxfId="158" priority="160">
      <formula>AND(#REF!&gt;0,$H185&gt;59)</formula>
    </cfRule>
  </conditionalFormatting>
  <conditionalFormatting sqref="D186">
    <cfRule type="expression" dxfId="157" priority="157">
      <formula>AND(#REF!&gt;0,$H186&gt;89)</formula>
    </cfRule>
    <cfRule type="expression" dxfId="156" priority="158">
      <formula>AND(#REF!&gt;0,$H186&gt;59)</formula>
    </cfRule>
  </conditionalFormatting>
  <conditionalFormatting sqref="D184">
    <cfRule type="expression" dxfId="155" priority="155">
      <formula>AND(#REF!&gt;0,$H184&gt;89)</formula>
    </cfRule>
    <cfRule type="expression" dxfId="154" priority="156">
      <formula>AND(#REF!&gt;0,$H184&gt;59)</formula>
    </cfRule>
  </conditionalFormatting>
  <conditionalFormatting sqref="B161">
    <cfRule type="expression" dxfId="153" priority="153">
      <formula>AND($Z161&gt;0,$L161&gt;89)</formula>
    </cfRule>
    <cfRule type="expression" dxfId="152" priority="154">
      <formula>AND($Z161&gt;0,$L161&gt;59)</formula>
    </cfRule>
  </conditionalFormatting>
  <conditionalFormatting sqref="C161:E161 E40:E41 G40:G41">
    <cfRule type="expression" dxfId="151" priority="151">
      <formula>AND(#REF!&gt;0,$H40&gt;89)</formula>
    </cfRule>
    <cfRule type="expression" dxfId="150" priority="152">
      <formula>AND(#REF!&gt;0,$H40&gt;59)</formula>
    </cfRule>
  </conditionalFormatting>
  <conditionalFormatting sqref="B162:B168">
    <cfRule type="expression" dxfId="149" priority="149">
      <formula>AND($Z162&gt;0,$L162&gt;89)</formula>
    </cfRule>
    <cfRule type="expression" dxfId="148" priority="150">
      <formula>AND($Z162&gt;0,$L162&gt;59)</formula>
    </cfRule>
  </conditionalFormatting>
  <conditionalFormatting sqref="C162:E168">
    <cfRule type="expression" dxfId="147" priority="147">
      <formula>AND(#REF!&gt;0,$H162&gt;89)</formula>
    </cfRule>
    <cfRule type="expression" dxfId="146" priority="148">
      <formula>AND(#REF!&gt;0,$H162&gt;59)</formula>
    </cfRule>
  </conditionalFormatting>
  <conditionalFormatting sqref="G56 E56 E66:E67 E92:E93">
    <cfRule type="expression" dxfId="145" priority="145">
      <formula>AND(#REF!&gt;0,$H56&gt;89)</formula>
    </cfRule>
    <cfRule type="expression" dxfId="144" priority="146">
      <formula>AND(#REF!&gt;0,$H56&gt;59)</formula>
    </cfRule>
  </conditionalFormatting>
  <conditionalFormatting sqref="G57:G67 G92:G93 G161:G168 E57:E65">
    <cfRule type="expression" dxfId="143" priority="143">
      <formula>AND(#REF!&gt;0,$H57&gt;89)</formula>
    </cfRule>
    <cfRule type="expression" dxfId="142" priority="144">
      <formula>AND(#REF!&gt;0,$H57&gt;59)</formula>
    </cfRule>
  </conditionalFormatting>
  <conditionalFormatting sqref="G52:G55 G42 E52:E55 E42">
    <cfRule type="expression" dxfId="141" priority="141">
      <formula>AND(#REF!&gt;0,$H42&gt;89)</formula>
    </cfRule>
    <cfRule type="expression" dxfId="140" priority="142">
      <formula>AND(#REF!&gt;0,$H42&gt;59)</formula>
    </cfRule>
  </conditionalFormatting>
  <conditionalFormatting sqref="G43:G51 E43:E51">
    <cfRule type="expression" dxfId="139" priority="139">
      <formula>AND(#REF!&gt;0,$H43&gt;89)</formula>
    </cfRule>
    <cfRule type="expression" dxfId="138" priority="140">
      <formula>AND(#REF!&gt;0,$H43&gt;59)</formula>
    </cfRule>
  </conditionalFormatting>
  <conditionalFormatting sqref="E78:E79 G78:G79">
    <cfRule type="expression" dxfId="137" priority="137">
      <formula>AND(#REF!&gt;0,$H78&gt;89)</formula>
    </cfRule>
    <cfRule type="expression" dxfId="136" priority="138">
      <formula>AND(#REF!&gt;0,$H78&gt;59)</formula>
    </cfRule>
  </conditionalFormatting>
  <conditionalFormatting sqref="G90:G91 G80 E80 E90:E91">
    <cfRule type="expression" dxfId="135" priority="135">
      <formula>AND(#REF!&gt;0,$H80&gt;89)</formula>
    </cfRule>
    <cfRule type="expression" dxfId="134" priority="136">
      <formula>AND(#REF!&gt;0,$H80&gt;59)</formula>
    </cfRule>
  </conditionalFormatting>
  <conditionalFormatting sqref="G81:G89 E81:E89">
    <cfRule type="expression" dxfId="133" priority="133">
      <formula>AND(#REF!&gt;0,$H81&gt;89)</formula>
    </cfRule>
    <cfRule type="expression" dxfId="132" priority="134">
      <formula>AND(#REF!&gt;0,$H81&gt;59)</formula>
    </cfRule>
  </conditionalFormatting>
  <conditionalFormatting sqref="E70">
    <cfRule type="expression" dxfId="131" priority="131">
      <formula>AND(#REF!&gt;0,$H70&gt;89)</formula>
    </cfRule>
    <cfRule type="expression" dxfId="130" priority="132">
      <formula>AND(#REF!&gt;0,$H70&gt;59)</formula>
    </cfRule>
  </conditionalFormatting>
  <conditionalFormatting sqref="E71:E77">
    <cfRule type="expression" dxfId="129" priority="129">
      <formula>AND(#REF!&gt;0,$H71&gt;89)</formula>
    </cfRule>
    <cfRule type="expression" dxfId="128" priority="130">
      <formula>AND(#REF!&gt;0,$H71&gt;59)</formula>
    </cfRule>
  </conditionalFormatting>
  <conditionalFormatting sqref="E68:E69">
    <cfRule type="expression" dxfId="127" priority="127">
      <formula>AND(#REF!&gt;0,$H68&gt;89)</formula>
    </cfRule>
    <cfRule type="expression" dxfId="126" priority="128">
      <formula>AND(#REF!&gt;0,$H68&gt;59)</formula>
    </cfRule>
  </conditionalFormatting>
  <conditionalFormatting sqref="G68:G77">
    <cfRule type="expression" dxfId="125" priority="125">
      <formula>AND(#REF!&gt;0,$H68&gt;89)</formula>
    </cfRule>
    <cfRule type="expression" dxfId="124" priority="126">
      <formula>AND(#REF!&gt;0,$H68&gt;59)</formula>
    </cfRule>
  </conditionalFormatting>
  <conditionalFormatting sqref="B132 B142:B145">
    <cfRule type="expression" dxfId="123" priority="123">
      <formula>AND($Z132&gt;0,$L132&gt;89)</formula>
    </cfRule>
    <cfRule type="expression" dxfId="122" priority="124">
      <formula>AND($Z132&gt;0,$L132&gt;59)</formula>
    </cfRule>
  </conditionalFormatting>
  <conditionalFormatting sqref="C132 C142:E145 E102:E103 G102:G103 E132">
    <cfRule type="expression" dxfId="121" priority="121">
      <formula>AND(#REF!&gt;0,$H102&gt;89)</formula>
    </cfRule>
    <cfRule type="expression" dxfId="120" priority="122">
      <formula>AND(#REF!&gt;0,$H102&gt;59)</formula>
    </cfRule>
  </conditionalFormatting>
  <conditionalFormatting sqref="B133:B141">
    <cfRule type="expression" dxfId="119" priority="119">
      <formula>AND($Z133&gt;0,$L133&gt;89)</formula>
    </cfRule>
    <cfRule type="expression" dxfId="118" priority="120">
      <formula>AND($Z133&gt;0,$L133&gt;59)</formula>
    </cfRule>
  </conditionalFormatting>
  <conditionalFormatting sqref="C133:C141 E133:E141">
    <cfRule type="expression" dxfId="117" priority="117">
      <formula>AND(#REF!&gt;0,$H133&gt;89)</formula>
    </cfRule>
    <cfRule type="expression" dxfId="116" priority="118">
      <formula>AND(#REF!&gt;0,$H133&gt;59)</formula>
    </cfRule>
  </conditionalFormatting>
  <conditionalFormatting sqref="B118 B128:B131">
    <cfRule type="expression" dxfId="115" priority="115">
      <formula>AND($Z118&gt;0,$L118&gt;89)</formula>
    </cfRule>
    <cfRule type="expression" dxfId="114" priority="116">
      <formula>AND($Z118&gt;0,$L118&gt;59)</formula>
    </cfRule>
  </conditionalFormatting>
  <conditionalFormatting sqref="C118 G118 E118 C128:C131 E128:E131">
    <cfRule type="expression" dxfId="113" priority="113">
      <formula>AND(#REF!&gt;0,$H118&gt;89)</formula>
    </cfRule>
    <cfRule type="expression" dxfId="112" priority="114">
      <formula>AND(#REF!&gt;0,$H118&gt;59)</formula>
    </cfRule>
  </conditionalFormatting>
  <conditionalFormatting sqref="B119:B127">
    <cfRule type="expression" dxfId="111" priority="111">
      <formula>AND($Z119&gt;0,$L119&gt;89)</formula>
    </cfRule>
    <cfRule type="expression" dxfId="110" priority="112">
      <formula>AND($Z119&gt;0,$L119&gt;59)</formula>
    </cfRule>
  </conditionalFormatting>
  <conditionalFormatting sqref="G119:G154 C119:C127 E119:E127">
    <cfRule type="expression" dxfId="109" priority="109">
      <formula>AND(#REF!&gt;0,$H119&gt;89)</formula>
    </cfRule>
    <cfRule type="expression" dxfId="108" priority="110">
      <formula>AND(#REF!&gt;0,$H119&gt;59)</formula>
    </cfRule>
  </conditionalFormatting>
  <conditionalFormatting sqref="B114:B117">
    <cfRule type="expression" dxfId="107" priority="107">
      <formula>AND($Z114&gt;0,$L114&gt;89)</formula>
    </cfRule>
    <cfRule type="expression" dxfId="106" priority="108">
      <formula>AND($Z114&gt;0,$L114&gt;59)</formula>
    </cfRule>
  </conditionalFormatting>
  <conditionalFormatting sqref="G114:G117 G104 C114:C117 E114:E117 E104">
    <cfRule type="expression" dxfId="105" priority="105">
      <formula>AND(#REF!&gt;0,$H104&gt;89)</formula>
    </cfRule>
    <cfRule type="expression" dxfId="104" priority="106">
      <formula>AND(#REF!&gt;0,$H104&gt;59)</formula>
    </cfRule>
  </conditionalFormatting>
  <conditionalFormatting sqref="B112:B113">
    <cfRule type="expression" dxfId="103" priority="103">
      <formula>AND($Z112&gt;0,$L112&gt;89)</formula>
    </cfRule>
    <cfRule type="expression" dxfId="102" priority="104">
      <formula>AND($Z112&gt;0,$L112&gt;59)</formula>
    </cfRule>
  </conditionalFormatting>
  <conditionalFormatting sqref="G105:G113 C112:C113 E105:E113">
    <cfRule type="expression" dxfId="101" priority="101">
      <formula>AND(#REF!&gt;0,$H105&gt;89)</formula>
    </cfRule>
    <cfRule type="expression" dxfId="100" priority="102">
      <formula>AND(#REF!&gt;0,$H105&gt;59)</formula>
    </cfRule>
  </conditionalFormatting>
  <conditionalFormatting sqref="B157:B160">
    <cfRule type="expression" dxfId="99" priority="99">
      <formula>AND($Z157&gt;0,$L157&gt;89)</formula>
    </cfRule>
    <cfRule type="expression" dxfId="98" priority="100">
      <formula>AND($Z157&gt;0,$L157&gt;59)</formula>
    </cfRule>
  </conditionalFormatting>
  <conditionalFormatting sqref="C157:E160 G157:G160">
    <cfRule type="expression" dxfId="97" priority="97">
      <formula>AND(#REF!&gt;0,$H157&gt;89)</formula>
    </cfRule>
    <cfRule type="expression" dxfId="96" priority="98">
      <formula>AND(#REF!&gt;0,$H157&gt;59)</formula>
    </cfRule>
  </conditionalFormatting>
  <conditionalFormatting sqref="B152:B156">
    <cfRule type="expression" dxfId="95" priority="95">
      <formula>AND($Z152&gt;0,$L152&gt;89)</formula>
    </cfRule>
    <cfRule type="expression" dxfId="94" priority="96">
      <formula>AND($Z152&gt;0,$L152&gt;59)</formula>
    </cfRule>
  </conditionalFormatting>
  <conditionalFormatting sqref="C152:E156 G155:G156">
    <cfRule type="expression" dxfId="93" priority="93">
      <formula>AND(#REF!&gt;0,$H152&gt;89)</formula>
    </cfRule>
    <cfRule type="expression" dxfId="92" priority="94">
      <formula>AND(#REF!&gt;0,$H152&gt;59)</formula>
    </cfRule>
  </conditionalFormatting>
  <conditionalFormatting sqref="B146:B151">
    <cfRule type="expression" dxfId="91" priority="91">
      <formula>AND($Z146&gt;0,$L146&gt;89)</formula>
    </cfRule>
    <cfRule type="expression" dxfId="90" priority="92">
      <formula>AND($Z146&gt;0,$L146&gt;59)</formula>
    </cfRule>
  </conditionalFormatting>
  <conditionalFormatting sqref="C146:E151">
    <cfRule type="expression" dxfId="89" priority="89">
      <formula>AND(#REF!&gt;0,$H146&gt;89)</formula>
    </cfRule>
    <cfRule type="expression" dxfId="88" priority="90">
      <formula>AND(#REF!&gt;0,$H146&gt;59)</formula>
    </cfRule>
  </conditionalFormatting>
  <conditionalFormatting sqref="E94">
    <cfRule type="expression" dxfId="87" priority="87">
      <formula>AND(#REF!&gt;0,$H94&gt;89)</formula>
    </cfRule>
    <cfRule type="expression" dxfId="86" priority="88">
      <formula>AND(#REF!&gt;0,$H94&gt;59)</formula>
    </cfRule>
  </conditionalFormatting>
  <conditionalFormatting sqref="E95:E101">
    <cfRule type="expression" dxfId="85" priority="85">
      <formula>AND(#REF!&gt;0,$H95&gt;89)</formula>
    </cfRule>
    <cfRule type="expression" dxfId="84" priority="86">
      <formula>AND(#REF!&gt;0,$H95&gt;59)</formula>
    </cfRule>
  </conditionalFormatting>
  <conditionalFormatting sqref="G94:G101">
    <cfRule type="expression" dxfId="83" priority="83">
      <formula>AND(#REF!&gt;0,$H94&gt;89)</formula>
    </cfRule>
    <cfRule type="expression" dxfId="82" priority="84">
      <formula>AND(#REF!&gt;0,$H94&gt;59)</formula>
    </cfRule>
  </conditionalFormatting>
  <conditionalFormatting sqref="C207">
    <cfRule type="expression" dxfId="81" priority="81">
      <formula>AND(#REF!&gt;0,$H207&gt;89)</formula>
    </cfRule>
    <cfRule type="expression" dxfId="80" priority="82">
      <formula>AND(#REF!&gt;0,$H207&gt;59)</formula>
    </cfRule>
  </conditionalFormatting>
  <conditionalFormatting sqref="D10:D12">
    <cfRule type="expression" dxfId="79" priority="79">
      <formula>AND(#REF!&gt;0,$L10&gt;89)</formula>
    </cfRule>
    <cfRule type="expression" dxfId="78" priority="80">
      <formula>AND(#REF!&gt;0,$L10&gt;59)</formula>
    </cfRule>
  </conditionalFormatting>
  <conditionalFormatting sqref="D15:D16">
    <cfRule type="expression" dxfId="77" priority="77">
      <formula>AND(#REF!&gt;0,$L15&gt;89)</formula>
    </cfRule>
    <cfRule type="expression" dxfId="76" priority="78">
      <formula>AND(#REF!&gt;0,$L15&gt;59)</formula>
    </cfRule>
  </conditionalFormatting>
  <conditionalFormatting sqref="D43">
    <cfRule type="expression" dxfId="75" priority="75">
      <formula>AND(#REF!&gt;0,$H43&gt;89)</formula>
    </cfRule>
    <cfRule type="expression" dxfId="74" priority="76">
      <formula>AND(#REF!&gt;0,$H43&gt;59)</formula>
    </cfRule>
  </conditionalFormatting>
  <conditionalFormatting sqref="D52">
    <cfRule type="expression" dxfId="73" priority="73">
      <formula>AND(#REF!&gt;0,$H52&gt;89)</formula>
    </cfRule>
    <cfRule type="expression" dxfId="72" priority="74">
      <formula>AND(#REF!&gt;0,$H52&gt;59)</formula>
    </cfRule>
  </conditionalFormatting>
  <conditionalFormatting sqref="D66">
    <cfRule type="expression" dxfId="71" priority="71">
      <formula>AND(#REF!&gt;0,$H66&gt;89)</formula>
    </cfRule>
    <cfRule type="expression" dxfId="70" priority="72">
      <formula>AND(#REF!&gt;0,$H66&gt;59)</formula>
    </cfRule>
  </conditionalFormatting>
  <conditionalFormatting sqref="D68">
    <cfRule type="expression" dxfId="69" priority="69">
      <formula>AND(#REF!&gt;0,$H68&gt;89)</formula>
    </cfRule>
    <cfRule type="expression" dxfId="68" priority="70">
      <formula>AND(#REF!&gt;0,$H68&gt;59)</formula>
    </cfRule>
  </conditionalFormatting>
  <conditionalFormatting sqref="D132">
    <cfRule type="expression" dxfId="67" priority="67">
      <formula>AND(#REF!&gt;0,$H132&gt;89)</formula>
    </cfRule>
    <cfRule type="expression" dxfId="66" priority="68">
      <formula>AND(#REF!&gt;0,$H132&gt;59)</formula>
    </cfRule>
  </conditionalFormatting>
  <conditionalFormatting sqref="D133:D141">
    <cfRule type="expression" dxfId="65" priority="65">
      <formula>AND(#REF!&gt;0,$H133&gt;89)</formula>
    </cfRule>
    <cfRule type="expression" dxfId="64" priority="66">
      <formula>AND(#REF!&gt;0,$H133&gt;59)</formula>
    </cfRule>
  </conditionalFormatting>
  <conditionalFormatting sqref="D118 D128:D131">
    <cfRule type="expression" dxfId="63" priority="63">
      <formula>AND(#REF!&gt;0,$H118&gt;89)</formula>
    </cfRule>
    <cfRule type="expression" dxfId="62" priority="64">
      <formula>AND(#REF!&gt;0,$H118&gt;59)</formula>
    </cfRule>
  </conditionalFormatting>
  <conditionalFormatting sqref="D119:D127">
    <cfRule type="expression" dxfId="61" priority="61">
      <formula>AND(#REF!&gt;0,$H119&gt;89)</formula>
    </cfRule>
    <cfRule type="expression" dxfId="60" priority="62">
      <formula>AND(#REF!&gt;0,$H119&gt;59)</formula>
    </cfRule>
  </conditionalFormatting>
  <conditionalFormatting sqref="D114:D117">
    <cfRule type="expression" dxfId="59" priority="59">
      <formula>AND(#REF!&gt;0,$H114&gt;89)</formula>
    </cfRule>
    <cfRule type="expression" dxfId="58" priority="60">
      <formula>AND(#REF!&gt;0,$H114&gt;59)</formula>
    </cfRule>
  </conditionalFormatting>
  <conditionalFormatting sqref="D112:D113">
    <cfRule type="expression" dxfId="57" priority="57">
      <formula>AND(#REF!&gt;0,$H112&gt;89)</formula>
    </cfRule>
    <cfRule type="expression" dxfId="56" priority="58">
      <formula>AND(#REF!&gt;0,$H112&gt;59)</formula>
    </cfRule>
  </conditionalFormatting>
  <conditionalFormatting sqref="D93">
    <cfRule type="expression" dxfId="55" priority="55">
      <formula>AND(#REF!&gt;0,$H93&gt;89)</formula>
    </cfRule>
    <cfRule type="expression" dxfId="54" priority="56">
      <formula>AND(#REF!&gt;0,$H93&gt;59)</formula>
    </cfRule>
  </conditionalFormatting>
  <conditionalFormatting sqref="D102:D103">
    <cfRule type="expression" dxfId="53" priority="53">
      <formula>AND(#REF!&gt;0,$L102&gt;89)</formula>
    </cfRule>
    <cfRule type="expression" dxfId="52" priority="54">
      <formula>AND(#REF!&gt;0,$L102&gt;59)</formula>
    </cfRule>
  </conditionalFormatting>
  <conditionalFormatting sqref="D104">
    <cfRule type="expression" dxfId="51" priority="51">
      <formula>AND(#REF!&gt;0,$H104&gt;89)</formula>
    </cfRule>
    <cfRule type="expression" dxfId="50" priority="52">
      <formula>AND(#REF!&gt;0,$H104&gt;59)</formula>
    </cfRule>
  </conditionalFormatting>
  <conditionalFormatting sqref="D105:D111">
    <cfRule type="expression" dxfId="49" priority="49">
      <formula>AND(#REF!&gt;0,$H105&gt;89)</formula>
    </cfRule>
    <cfRule type="expression" dxfId="48" priority="50">
      <formula>AND(#REF!&gt;0,$H105&gt;59)</formula>
    </cfRule>
  </conditionalFormatting>
  <conditionalFormatting sqref="D94">
    <cfRule type="expression" dxfId="47" priority="47">
      <formula>AND(#REF!&gt;0,$H94&gt;89)</formula>
    </cfRule>
    <cfRule type="expression" dxfId="46" priority="48">
      <formula>AND(#REF!&gt;0,$H94&gt;59)</formula>
    </cfRule>
  </conditionalFormatting>
  <conditionalFormatting sqref="D95:D101">
    <cfRule type="expression" dxfId="45" priority="45">
      <formula>AND(#REF!&gt;0,$H95&gt;89)</formula>
    </cfRule>
    <cfRule type="expression" dxfId="44" priority="46">
      <formula>AND(#REF!&gt;0,$H95&gt;59)</formula>
    </cfRule>
  </conditionalFormatting>
  <conditionalFormatting sqref="D92">
    <cfRule type="expression" dxfId="43" priority="43">
      <formula>AND(#REF!&gt;0,$H92&gt;89)</formula>
    </cfRule>
    <cfRule type="expression" dxfId="42" priority="44">
      <formula>AND(#REF!&gt;0,$H92&gt;59)</formula>
    </cfRule>
  </conditionalFormatting>
  <conditionalFormatting sqref="D78:D79">
    <cfRule type="expression" dxfId="41" priority="41">
      <formula>AND(#REF!&gt;0,$L78&gt;89)</formula>
    </cfRule>
    <cfRule type="expression" dxfId="40" priority="42">
      <formula>AND(#REF!&gt;0,$L78&gt;59)</formula>
    </cfRule>
  </conditionalFormatting>
  <conditionalFormatting sqref="D90:D91 D80">
    <cfRule type="expression" dxfId="39" priority="39">
      <formula>AND(#REF!&gt;0,$H80&gt;89)</formula>
    </cfRule>
    <cfRule type="expression" dxfId="38" priority="40">
      <formula>AND(#REF!&gt;0,$H80&gt;59)</formula>
    </cfRule>
  </conditionalFormatting>
  <conditionalFormatting sqref="D81:D89">
    <cfRule type="expression" dxfId="37" priority="37">
      <formula>AND(#REF!&gt;0,$H81&gt;89)</formula>
    </cfRule>
    <cfRule type="expression" dxfId="36" priority="38">
      <formula>AND(#REF!&gt;0,$H81&gt;59)</formula>
    </cfRule>
  </conditionalFormatting>
  <conditionalFormatting sqref="D70">
    <cfRule type="expression" dxfId="35" priority="35">
      <formula>AND(#REF!&gt;0,$H70&gt;89)</formula>
    </cfRule>
    <cfRule type="expression" dxfId="34" priority="36">
      <formula>AND(#REF!&gt;0,$H70&gt;59)</formula>
    </cfRule>
  </conditionalFormatting>
  <conditionalFormatting sqref="D71:D77">
    <cfRule type="expression" dxfId="33" priority="33">
      <formula>AND(#REF!&gt;0,$H71&gt;89)</formula>
    </cfRule>
    <cfRule type="expression" dxfId="32" priority="34">
      <formula>AND(#REF!&gt;0,$H71&gt;59)</formula>
    </cfRule>
  </conditionalFormatting>
  <conditionalFormatting sqref="D69">
    <cfRule type="expression" dxfId="31" priority="31">
      <formula>AND(#REF!&gt;0,$H69&gt;89)</formula>
    </cfRule>
    <cfRule type="expression" dxfId="30" priority="32">
      <formula>AND(#REF!&gt;0,$H69&gt;59)</formula>
    </cfRule>
  </conditionalFormatting>
  <conditionalFormatting sqref="D9">
    <cfRule type="expression" dxfId="29" priority="27">
      <formula>AND(#REF!&gt;0,$L9&gt;89)</formula>
    </cfRule>
    <cfRule type="expression" dxfId="28" priority="28">
      <formula>AND(#REF!&gt;0,$L9&gt;59)</formula>
    </cfRule>
  </conditionalFormatting>
  <conditionalFormatting sqref="D4:D8">
    <cfRule type="expression" dxfId="27" priority="29">
      <formula>AND(#REF!&gt;0,$L4&gt;89)</formula>
    </cfRule>
    <cfRule type="expression" dxfId="26" priority="30">
      <formula>AND(#REF!&gt;0,$L4&gt;59)</formula>
    </cfRule>
  </conditionalFormatting>
  <conditionalFormatting sqref="D13:D14">
    <cfRule type="expression" dxfId="25" priority="25">
      <formula>AND(#REF!&gt;0,$L13&gt;89)</formula>
    </cfRule>
    <cfRule type="expression" dxfId="24" priority="26">
      <formula>AND(#REF!&gt;0,$L13&gt;59)</formula>
    </cfRule>
  </conditionalFormatting>
  <conditionalFormatting sqref="D18:D24">
    <cfRule type="expression" dxfId="23" priority="23">
      <formula>AND(#REF!&gt;0,$L18&gt;89)</formula>
    </cfRule>
    <cfRule type="expression" dxfId="22" priority="24">
      <formula>AND(#REF!&gt;0,$L18&gt;59)</formula>
    </cfRule>
  </conditionalFormatting>
  <conditionalFormatting sqref="D34:D39">
    <cfRule type="expression" dxfId="21" priority="21">
      <formula>AND(#REF!&gt;0,$L34&gt;89)</formula>
    </cfRule>
    <cfRule type="expression" dxfId="20" priority="22">
      <formula>AND(#REF!&gt;0,$L34&gt;59)</formula>
    </cfRule>
  </conditionalFormatting>
  <conditionalFormatting sqref="D40:D41">
    <cfRule type="expression" dxfId="19" priority="19">
      <formula>AND(#REF!&gt;0,$L40&gt;89)</formula>
    </cfRule>
    <cfRule type="expression" dxfId="18" priority="20">
      <formula>AND(#REF!&gt;0,$L40&gt;59)</formula>
    </cfRule>
  </conditionalFormatting>
  <conditionalFormatting sqref="D42">
    <cfRule type="expression" dxfId="17" priority="17">
      <formula>AND(#REF!&gt;0,$H42&gt;89)</formula>
    </cfRule>
    <cfRule type="expression" dxfId="16" priority="18">
      <formula>AND(#REF!&gt;0,$H42&gt;59)</formula>
    </cfRule>
  </conditionalFormatting>
  <conditionalFormatting sqref="D44:D51">
    <cfRule type="expression" dxfId="15" priority="15">
      <formula>AND(#REF!&gt;0,$H44&gt;89)</formula>
    </cfRule>
    <cfRule type="expression" dxfId="14" priority="16">
      <formula>AND(#REF!&gt;0,$H44&gt;59)</formula>
    </cfRule>
  </conditionalFormatting>
  <conditionalFormatting sqref="D56">
    <cfRule type="expression" dxfId="13" priority="13">
      <formula>AND(#REF!&gt;0,$H56&gt;89)</formula>
    </cfRule>
    <cfRule type="expression" dxfId="12" priority="14">
      <formula>AND(#REF!&gt;0,$H56&gt;59)</formula>
    </cfRule>
  </conditionalFormatting>
  <conditionalFormatting sqref="D57:D65">
    <cfRule type="expression" dxfId="11" priority="11">
      <formula>AND(#REF!&gt;0,$H57&gt;89)</formula>
    </cfRule>
    <cfRule type="expression" dxfId="10" priority="12">
      <formula>AND(#REF!&gt;0,$H57&gt;59)</formula>
    </cfRule>
  </conditionalFormatting>
  <conditionalFormatting sqref="D53:D55">
    <cfRule type="expression" dxfId="9" priority="9">
      <formula>AND(#REF!&gt;0,$H53&gt;89)</formula>
    </cfRule>
    <cfRule type="expression" dxfId="8" priority="10">
      <formula>AND(#REF!&gt;0,$H53&gt;59)</formula>
    </cfRule>
  </conditionalFormatting>
  <conditionalFormatting sqref="D67">
    <cfRule type="expression" dxfId="7" priority="7">
      <formula>AND(#REF!&gt;0,$H67&gt;89)</formula>
    </cfRule>
    <cfRule type="expression" dxfId="6" priority="8">
      <formula>AND(#REF!&gt;0,$H67&gt;59)</formula>
    </cfRule>
  </conditionalFormatting>
  <conditionalFormatting sqref="G4:G39">
    <cfRule type="expression" dxfId="5" priority="5">
      <formula>AND(#REF!&gt;0,$M4&gt;89)</formula>
    </cfRule>
    <cfRule type="expression" dxfId="4" priority="6">
      <formula>AND(#REF!&gt;0,$M4&gt;59)</formula>
    </cfRule>
  </conditionalFormatting>
  <conditionalFormatting sqref="B205:B206">
    <cfRule type="expression" dxfId="3" priority="3">
      <formula>AND($Z205&gt;0,$L205&gt;89)</formula>
    </cfRule>
    <cfRule type="expression" dxfId="2" priority="4">
      <formula>AND($Z205&gt;0,$L205&gt;59)</formula>
    </cfRule>
  </conditionalFormatting>
  <conditionalFormatting sqref="C205:H206">
    <cfRule type="expression" dxfId="1" priority="1">
      <formula>AND(#REF!&gt;0,$H205&gt;89)</formula>
    </cfRule>
    <cfRule type="expression" dxfId="0" priority="2">
      <formula>AND(#REF!&gt;0,$H205&gt;59)</formula>
    </cfRule>
  </conditionalFormatting>
  <printOptions horizontalCentered="1"/>
  <pageMargins left="0.25" right="0.25" top="0.25" bottom="0.25" header="0.3" footer="0.3"/>
  <pageSetup paperSize="9" scale="6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 &amp; BG TF</vt:lpstr>
      <vt:lpstr>kalender </vt:lpstr>
      <vt:lpstr>Simulasi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Kurniati</dc:creator>
  <cp:lastModifiedBy>Nanda Kurniati</cp:lastModifiedBy>
  <dcterms:created xsi:type="dcterms:W3CDTF">2026-02-21T03:18:06Z</dcterms:created>
  <dcterms:modified xsi:type="dcterms:W3CDTF">2026-02-21T03:22:41Z</dcterms:modified>
</cp:coreProperties>
</file>