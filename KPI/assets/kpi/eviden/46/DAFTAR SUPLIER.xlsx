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375" windowWidth="19875" windowHeight="7470"/>
  </bookViews>
  <sheets>
    <sheet name="Sheet1" sheetId="1" r:id="rId1"/>
    <sheet name="Sheet3" sheetId="3" r:id="rId2"/>
  </sheets>
  <definedNames>
    <definedName name="_xlnm.Print_Area" localSheetId="0">Sheet1!$H$4:$AH$64</definedName>
  </definedNames>
  <calcPr calcId="145621"/>
</workbook>
</file>

<file path=xl/calcChain.xml><?xml version="1.0" encoding="utf-8"?>
<calcChain xmlns="http://schemas.openxmlformats.org/spreadsheetml/2006/main">
  <c r="AD59" i="1" l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5" i="1" l="1"/>
  <c r="C28" i="1"/>
  <c r="A21" i="1"/>
  <c r="A22" i="1" s="1"/>
  <c r="A23" i="1" s="1"/>
  <c r="A24" i="1" s="1"/>
  <c r="A25" i="1" s="1"/>
  <c r="A26" i="1" s="1"/>
  <c r="A27" i="1" s="1"/>
  <c r="A28" i="1" s="1"/>
  <c r="F31" i="1"/>
  <c r="E31" i="1" s="1"/>
  <c r="D31" i="1"/>
  <c r="B31" i="1"/>
  <c r="A31" i="1" s="1"/>
  <c r="T18" i="1" l="1"/>
  <c r="F59" i="1" l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E18" i="1" s="1"/>
  <c r="F17" i="1"/>
  <c r="E17" i="1" s="1"/>
  <c r="F16" i="1"/>
  <c r="F15" i="1"/>
  <c r="E15" i="1" s="1"/>
  <c r="F14" i="1"/>
  <c r="E14" i="1" s="1"/>
  <c r="F13" i="1"/>
  <c r="E13" i="1" s="1"/>
  <c r="F12" i="1"/>
  <c r="E12" i="1" s="1"/>
  <c r="F11" i="1"/>
  <c r="E11" i="1" s="1"/>
  <c r="F10" i="1"/>
  <c r="E10" i="1" s="1"/>
  <c r="F9" i="1"/>
  <c r="F8" i="1"/>
  <c r="E8" i="1" s="1"/>
  <c r="F7" i="1"/>
  <c r="E7" i="1" s="1"/>
  <c r="D59" i="1"/>
  <c r="C59" i="1" s="1"/>
  <c r="D58" i="1"/>
  <c r="C58" i="1" s="1"/>
  <c r="D57" i="1"/>
  <c r="C57" i="1" s="1"/>
  <c r="D56" i="1"/>
  <c r="C56" i="1" s="1"/>
  <c r="D55" i="1"/>
  <c r="C55" i="1" s="1"/>
  <c r="D54" i="1"/>
  <c r="C54" i="1" s="1"/>
  <c r="D53" i="1"/>
  <c r="C53" i="1" s="1"/>
  <c r="D52" i="1"/>
  <c r="C52" i="1" s="1"/>
  <c r="D51" i="1"/>
  <c r="C51" i="1" s="1"/>
  <c r="D50" i="1"/>
  <c r="C50" i="1" s="1"/>
  <c r="D49" i="1"/>
  <c r="C49" i="1" s="1"/>
  <c r="D48" i="1"/>
  <c r="C48" i="1" s="1"/>
  <c r="D47" i="1"/>
  <c r="C47" i="1" s="1"/>
  <c r="D46" i="1"/>
  <c r="C46" i="1" s="1"/>
  <c r="D45" i="1"/>
  <c r="C45" i="1" s="1"/>
  <c r="D44" i="1"/>
  <c r="C44" i="1" s="1"/>
  <c r="D43" i="1"/>
  <c r="C43" i="1" s="1"/>
  <c r="D42" i="1"/>
  <c r="D41" i="1"/>
  <c r="D40" i="1"/>
  <c r="C40" i="1" s="1"/>
  <c r="D39" i="1"/>
  <c r="C39" i="1" s="1"/>
  <c r="D38" i="1"/>
  <c r="C38" i="1" s="1"/>
  <c r="D37" i="1"/>
  <c r="C37" i="1" s="1"/>
  <c r="D36" i="1"/>
  <c r="C36" i="1" s="1"/>
  <c r="D35" i="1"/>
  <c r="D34" i="1"/>
  <c r="D33" i="1"/>
  <c r="D32" i="1"/>
  <c r="D30" i="1"/>
  <c r="D29" i="1"/>
  <c r="C29" i="1" s="1"/>
  <c r="D28" i="1"/>
  <c r="D27" i="1"/>
  <c r="D26" i="1"/>
  <c r="D25" i="1"/>
  <c r="D24" i="1"/>
  <c r="C24" i="1" s="1"/>
  <c r="D23" i="1"/>
  <c r="C23" i="1" s="1"/>
  <c r="D22" i="1"/>
  <c r="C22" i="1" s="1"/>
  <c r="D21" i="1"/>
  <c r="D20" i="1"/>
  <c r="D19" i="1"/>
  <c r="C19" i="1" s="1"/>
  <c r="D18" i="1"/>
  <c r="C18" i="1" s="1"/>
  <c r="D17" i="1"/>
  <c r="C17" i="1" s="1"/>
  <c r="D16" i="1"/>
  <c r="D15" i="1"/>
  <c r="C15" i="1" s="1"/>
  <c r="D14" i="1"/>
  <c r="C14" i="1" s="1"/>
  <c r="D13" i="1"/>
  <c r="C13" i="1" s="1"/>
  <c r="D12" i="1"/>
  <c r="C12" i="1" s="1"/>
  <c r="D11" i="1"/>
  <c r="C11" i="1" s="1"/>
  <c r="D10" i="1"/>
  <c r="C10" i="1" s="1"/>
  <c r="D9" i="1"/>
  <c r="C9" i="1" s="1"/>
  <c r="D8" i="1"/>
  <c r="C8" i="1" s="1"/>
  <c r="D7" i="1"/>
  <c r="C7" i="1" s="1"/>
  <c r="B59" i="1"/>
  <c r="A59" i="1" s="1"/>
  <c r="B58" i="1"/>
  <c r="A58" i="1" s="1"/>
  <c r="B57" i="1"/>
  <c r="A57" i="1" s="1"/>
  <c r="B56" i="1"/>
  <c r="A56" i="1" s="1"/>
  <c r="B55" i="1"/>
  <c r="A55" i="1" s="1"/>
  <c r="B54" i="1"/>
  <c r="A54" i="1" s="1"/>
  <c r="B53" i="1"/>
  <c r="A53" i="1" s="1"/>
  <c r="B52" i="1"/>
  <c r="A52" i="1" s="1"/>
  <c r="B51" i="1"/>
  <c r="A51" i="1" s="1"/>
  <c r="B50" i="1"/>
  <c r="A50" i="1" s="1"/>
  <c r="B49" i="1"/>
  <c r="A49" i="1" s="1"/>
  <c r="B48" i="1"/>
  <c r="A48" i="1" s="1"/>
  <c r="B47" i="1"/>
  <c r="A47" i="1" s="1"/>
  <c r="B46" i="1"/>
  <c r="A46" i="1" s="1"/>
  <c r="B45" i="1"/>
  <c r="A45" i="1" s="1"/>
  <c r="B44" i="1"/>
  <c r="A44" i="1" s="1"/>
  <c r="B43" i="1"/>
  <c r="A43" i="1" s="1"/>
  <c r="B42" i="1"/>
  <c r="A42" i="1" s="1"/>
  <c r="B41" i="1"/>
  <c r="A41" i="1" s="1"/>
  <c r="B40" i="1"/>
  <c r="A40" i="1" s="1"/>
  <c r="B39" i="1"/>
  <c r="A39" i="1" s="1"/>
  <c r="B38" i="1"/>
  <c r="A38" i="1" s="1"/>
  <c r="B37" i="1"/>
  <c r="A37" i="1" s="1"/>
  <c r="B36" i="1"/>
  <c r="A36" i="1" s="1"/>
  <c r="B35" i="1"/>
  <c r="A35" i="1" s="1"/>
  <c r="B34" i="1"/>
  <c r="A34" i="1" s="1"/>
  <c r="B33" i="1"/>
  <c r="A33" i="1" s="1"/>
  <c r="B32" i="1"/>
  <c r="A32" i="1" s="1"/>
  <c r="B30" i="1"/>
  <c r="A30" i="1" s="1"/>
  <c r="B29" i="1"/>
  <c r="A29" i="1" s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A7" i="1" s="1"/>
  <c r="C30" i="1" l="1"/>
  <c r="C31" i="1" s="1"/>
  <c r="C32" i="1"/>
  <c r="C33" i="1" s="1"/>
  <c r="C34" i="1" s="1"/>
  <c r="C35" i="1" s="1"/>
  <c r="E16" i="1"/>
  <c r="C16" i="1"/>
  <c r="C20" i="1"/>
  <c r="C21" i="1" s="1"/>
  <c r="E19" i="1"/>
  <c r="E20" i="1" s="1"/>
  <c r="E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C41" i="1"/>
  <c r="C42" i="1" s="1"/>
  <c r="B4" i="3"/>
  <c r="C25" i="1"/>
  <c r="C26" i="1" s="1"/>
  <c r="C27" i="1" s="1"/>
  <c r="AC65" i="1"/>
  <c r="AB65" i="1"/>
  <c r="AA65" i="1"/>
  <c r="Z65" i="1"/>
  <c r="Y65" i="1"/>
  <c r="X65" i="1"/>
  <c r="W65" i="1"/>
  <c r="V65" i="1"/>
  <c r="U65" i="1"/>
  <c r="T65" i="1"/>
  <c r="S65" i="1"/>
  <c r="R65" i="1"/>
  <c r="B12" i="3" l="1"/>
  <c r="B11" i="3"/>
  <c r="B7" i="3"/>
  <c r="B8" i="3"/>
  <c r="B5" i="3"/>
  <c r="B9" i="3"/>
  <c r="B6" i="3"/>
  <c r="B10" i="3"/>
  <c r="B32" i="3"/>
  <c r="B13" i="3"/>
  <c r="B22" i="3"/>
  <c r="E38" i="3"/>
  <c r="E21" i="1"/>
  <c r="E5" i="3"/>
  <c r="E9" i="3"/>
  <c r="E13" i="3"/>
  <c r="E17" i="3"/>
  <c r="E21" i="3"/>
  <c r="E25" i="3"/>
  <c r="E29" i="3"/>
  <c r="E33" i="3"/>
  <c r="E37" i="3"/>
  <c r="E4" i="3"/>
  <c r="E8" i="3"/>
  <c r="E12" i="3"/>
  <c r="E16" i="3"/>
  <c r="E20" i="3"/>
  <c r="E24" i="3"/>
  <c r="E28" i="3"/>
  <c r="E32" i="3"/>
  <c r="E36" i="3"/>
  <c r="E40" i="3"/>
  <c r="E7" i="3"/>
  <c r="E11" i="3"/>
  <c r="E15" i="3"/>
  <c r="E19" i="3"/>
  <c r="E23" i="3"/>
  <c r="E27" i="3"/>
  <c r="E31" i="3"/>
  <c r="E35" i="3"/>
  <c r="E39" i="3"/>
  <c r="E6" i="3"/>
  <c r="E10" i="3"/>
  <c r="E14" i="3"/>
  <c r="E18" i="3"/>
  <c r="E22" i="3"/>
  <c r="E26" i="3"/>
  <c r="E30" i="3"/>
  <c r="E34" i="3"/>
  <c r="B21" i="3" l="1"/>
  <c r="B23" i="3"/>
  <c r="B37" i="3"/>
  <c r="B39" i="3"/>
  <c r="B15" i="3"/>
  <c r="B19" i="3"/>
  <c r="B38" i="3"/>
  <c r="B24" i="3"/>
  <c r="B26" i="3"/>
  <c r="B29" i="3"/>
  <c r="B30" i="3"/>
  <c r="B27" i="3"/>
  <c r="B36" i="3"/>
  <c r="B28" i="3"/>
  <c r="B20" i="3"/>
  <c r="B34" i="3"/>
  <c r="B18" i="3"/>
  <c r="B33" i="3"/>
  <c r="B25" i="3"/>
  <c r="B17" i="3"/>
  <c r="B31" i="3"/>
  <c r="B40" i="3"/>
  <c r="B35" i="3"/>
  <c r="B14" i="3"/>
  <c r="B16" i="3"/>
  <c r="E22" i="1"/>
  <c r="E23" i="1" l="1"/>
  <c r="E24" i="1" l="1"/>
  <c r="E25" i="1" l="1"/>
  <c r="E26" i="1" s="1"/>
  <c r="E27" i="1"/>
  <c r="E28" i="1" l="1"/>
  <c r="E29" i="1" l="1"/>
  <c r="E30" i="1" l="1"/>
  <c r="E32" i="1" l="1"/>
  <c r="E33" i="1" l="1"/>
  <c r="E34" i="1" l="1"/>
  <c r="E35" i="1" l="1"/>
  <c r="E36" i="1" l="1"/>
  <c r="H4" i="3" s="1"/>
  <c r="E37" i="1" l="1"/>
  <c r="H5" i="3" l="1"/>
  <c r="E38" i="1"/>
  <c r="E39" i="1" l="1"/>
  <c r="H6" i="3" s="1"/>
  <c r="E40" i="1" l="1"/>
  <c r="E41" i="1" l="1"/>
  <c r="H8" i="3" l="1"/>
  <c r="E42" i="1"/>
  <c r="H9" i="3" l="1"/>
  <c r="H10" i="3"/>
  <c r="E43" i="1"/>
  <c r="E44" i="1" l="1"/>
  <c r="H11" i="3" l="1"/>
  <c r="E45" i="1"/>
  <c r="H12" i="3" s="1"/>
  <c r="E46" i="1" l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H47" i="3" s="1"/>
  <c r="H45" i="3"/>
  <c r="H7" i="3"/>
  <c r="H32" i="3"/>
  <c r="H31" i="3"/>
  <c r="H34" i="3"/>
  <c r="H19" i="3"/>
  <c r="H39" i="3"/>
  <c r="H14" i="3"/>
  <c r="H27" i="3"/>
  <c r="H33" i="3"/>
  <c r="H24" i="3"/>
  <c r="H36" i="3"/>
  <c r="H22" i="3"/>
  <c r="H26" i="3"/>
  <c r="H44" i="3"/>
  <c r="H40" i="3"/>
  <c r="H38" i="3"/>
  <c r="H41" i="3" l="1"/>
  <c r="H37" i="3"/>
  <c r="H25" i="3"/>
  <c r="H29" i="3"/>
  <c r="H17" i="3"/>
  <c r="H28" i="3"/>
  <c r="H21" i="3"/>
  <c r="H23" i="3"/>
  <c r="H30" i="3"/>
  <c r="H42" i="3"/>
  <c r="H46" i="3"/>
  <c r="H43" i="3"/>
  <c r="H16" i="3"/>
  <c r="H18" i="3"/>
  <c r="H35" i="3"/>
  <c r="H20" i="3"/>
  <c r="H15" i="3"/>
  <c r="H13" i="3"/>
</calcChain>
</file>

<file path=xl/sharedStrings.xml><?xml version="1.0" encoding="utf-8"?>
<sst xmlns="http://schemas.openxmlformats.org/spreadsheetml/2006/main" count="318" uniqueCount="232">
  <si>
    <t>MITRA KREASI DHARMA, PT</t>
  </si>
  <si>
    <t>BENIH CITRA ASIA, PT</t>
  </si>
  <si>
    <t>SARI KRESNA KIMIA, PT</t>
  </si>
  <si>
    <t>AGRI MAKMUR PERTIWI, PT</t>
  </si>
  <si>
    <t>JAVA KARLOS INDONESIA, PT</t>
  </si>
  <si>
    <t>ASIANA CHEMICALINDO LESTARI, PT</t>
  </si>
  <si>
    <t>ADVANSIA INDOTANI, PT</t>
  </si>
  <si>
    <t>EXCEL MEG INDO, PT</t>
  </si>
  <si>
    <t>GLOBAL AGROTECH, PT</t>
  </si>
  <si>
    <t>SINERGI CHEM INDONESIA, PT</t>
  </si>
  <si>
    <t>SINAR GENERAL INDUSTRIES, PT</t>
  </si>
  <si>
    <t>MITRA TANI ABADI JAYA, CV</t>
  </si>
  <si>
    <t>AGROIRIS CROP PROTECTION INDONESIA, PT</t>
  </si>
  <si>
    <t>PRIMA KARYA BERJAYA, PT</t>
  </si>
  <si>
    <t>KARUNIA SUKSES UTAMA, PT</t>
  </si>
  <si>
    <t>NUFARM INDONESIA, PT</t>
  </si>
  <si>
    <t>BASF DISTRIBUTION INDONESIA, PT</t>
  </si>
  <si>
    <t>LESTARI INTI AGRO, CV</t>
  </si>
  <si>
    <t>AGRICULTURE CONSTRACTION INDONESIA, PT</t>
  </si>
  <si>
    <t>MAJU MAKMUR UTOMO, PT</t>
  </si>
  <si>
    <t>PETROKIMIA KAYAKU, PT</t>
  </si>
  <si>
    <t>KALATHAM, PT</t>
  </si>
  <si>
    <t>TANAMAN MAKMUR MANDIRI, PT</t>
  </si>
  <si>
    <t>BAYER INDONESIA, PT</t>
  </si>
  <si>
    <t>BEHN MEYER AGRICARE, PT</t>
  </si>
  <si>
    <t>AGRO GUNA MAKMUR, PT</t>
  </si>
  <si>
    <t>OAT MITOKU AGRIO, PT</t>
  </si>
  <si>
    <t>STAR METAL WARE INDUSTRY, PT</t>
  </si>
  <si>
    <t>SAPROTAN UTAMA NUSANTARA, PT</t>
  </si>
  <si>
    <t>JAWA AGRINDO INTERNASIONAL, PT</t>
  </si>
  <si>
    <t>SENTRAL TANI NUSANTARA, PT</t>
  </si>
  <si>
    <t>SARANA TANI MAKMUR, CV</t>
  </si>
  <si>
    <t>INTER AGRO INDONESIA, PT</t>
  </si>
  <si>
    <t>BAYER SEEDS INDONESIA, PT</t>
  </si>
  <si>
    <t>CORTEVA AGRISCIENCE INDONESIA, PT</t>
  </si>
  <si>
    <t>TRIMARGA NUSANTARA INDONESIA, PT</t>
  </si>
  <si>
    <t>AGROMANNA JAYA LESTARI, PT</t>
  </si>
  <si>
    <t>TIGA MUARA EMAS MAKMUR, PT</t>
  </si>
  <si>
    <t>PETROSIDA GRESIK, PT</t>
  </si>
  <si>
    <t>BAHTERA BONIAGA LESTARI, PT</t>
  </si>
  <si>
    <t>ADIL MAKMUR FAJAR, PT</t>
  </si>
  <si>
    <t>AGRO NATURAL TECHNOLOGY, PT</t>
  </si>
  <si>
    <t>ALFA BETA AGROCHEMICAL, PT</t>
  </si>
  <si>
    <t>BISI INTERNATIONAL, TBK - CORN</t>
  </si>
  <si>
    <t>CATUR AGRODAYA MANDIRI, PT</t>
  </si>
  <si>
    <t>DANKEN INDONESIA, PT</t>
  </si>
  <si>
    <t>GOLDEN PLANTER INDONESIA, PT</t>
  </si>
  <si>
    <t>KENSO INDONESIA, PT</t>
  </si>
  <si>
    <t>KRISTALINDO KARUNIA INTERNASIONAL, PT</t>
  </si>
  <si>
    <t>SONGGOLANGIT PERSADA - DENPASAR</t>
  </si>
  <si>
    <t>SONGGOLANGIT PERSADA - SURABAYA</t>
  </si>
  <si>
    <t>TANI ABADI, CV</t>
  </si>
  <si>
    <t>TANI MURNI PASKAL, CV</t>
  </si>
  <si>
    <t>ZENITH CROPSCIENCES INDONESIA, PT</t>
  </si>
  <si>
    <t>ARTHA BUANA MANDIRI/GRAHA NIAGA MANDIRI, CV</t>
  </si>
  <si>
    <t>CHAMPION AGROCHEMICALS INDONESIA, PT</t>
  </si>
  <si>
    <t>MULTIDAYA PUTRA SEJAHTERA, PT</t>
  </si>
  <si>
    <t>NUSA PALAPA GEMILANG, PT.</t>
  </si>
  <si>
    <t>PERSADA AGRO SUKSES, PT</t>
  </si>
  <si>
    <t>PETANI PANEN MAKMUR, PT</t>
  </si>
  <si>
    <t>PUPUK KARYA POLOWIJO, PT</t>
  </si>
  <si>
    <t>SAKASAKI INDONESIA, CV</t>
  </si>
  <si>
    <t>STELLAR AGRI INDONESIA, PT</t>
  </si>
  <si>
    <t>SUMANS MANDIRI SEJAHTERA, PT</t>
  </si>
  <si>
    <t>SURYA BERKAH PLASTINDO, PT</t>
  </si>
  <si>
    <t>SYNGENTA INDONESIA, PT</t>
  </si>
  <si>
    <t>SYNGENTA SEED, PT</t>
  </si>
  <si>
    <t>TANGGUH AGRO NUSA INDONESIA, PT</t>
  </si>
  <si>
    <t>UTOMO UTOMO, PT</t>
  </si>
  <si>
    <t>WELL INDONESIA DUTA AGRICULTURE, PT</t>
  </si>
  <si>
    <t>WINON INTERNATIONAL, PT</t>
  </si>
  <si>
    <t>ZINON AGRO INDONESIA, PT</t>
  </si>
  <si>
    <t>NAMA SUPLIER</t>
  </si>
  <si>
    <t>No.</t>
  </si>
  <si>
    <r>
      <t xml:space="preserve">DAFTAR SUPLIER </t>
    </r>
    <r>
      <rPr>
        <b/>
        <sz val="11"/>
        <color rgb="FFFF0000"/>
        <rFont val="Calibri"/>
        <family val="2"/>
        <scheme val="minor"/>
      </rPr>
      <t>YANG TIDAK</t>
    </r>
    <r>
      <rPr>
        <b/>
        <sz val="11"/>
        <color theme="1"/>
        <rFont val="Calibri"/>
        <family val="2"/>
        <scheme val="minor"/>
      </rPr>
      <t xml:space="preserve"> DIKIRIMI PROPOSAL EXTRAVAGANZA</t>
    </r>
  </si>
  <si>
    <t>tahun 2025 tidak di kirimi</t>
  </si>
  <si>
    <t>001/KIU/EXT/2026</t>
  </si>
  <si>
    <t>SURAT</t>
  </si>
  <si>
    <t>NOMER</t>
  </si>
  <si>
    <t>TANGGAL</t>
  </si>
  <si>
    <t>PENERIMA</t>
  </si>
  <si>
    <t>PIC</t>
  </si>
  <si>
    <t>WA/EMAIL</t>
  </si>
  <si>
    <t>Edy</t>
  </si>
  <si>
    <t>WA</t>
  </si>
  <si>
    <t>002/KIU/EXT/2026</t>
  </si>
  <si>
    <t>Sholeh</t>
  </si>
  <si>
    <t>003/KIU/EXT/2026</t>
  </si>
  <si>
    <t>Iqbal</t>
  </si>
  <si>
    <t>004/KIU/EXT/2026</t>
  </si>
  <si>
    <t>Putu</t>
  </si>
  <si>
    <t>005/KIU/EXT/2026</t>
  </si>
  <si>
    <t>Sularmanto</t>
  </si>
  <si>
    <t>006/KIU/EXT/2026</t>
  </si>
  <si>
    <t>Agus Iwan</t>
  </si>
  <si>
    <t>007/KIU/EXT/2026</t>
  </si>
  <si>
    <t>Anas</t>
  </si>
  <si>
    <t>008/KIU/EXT/2026</t>
  </si>
  <si>
    <t>Arik</t>
  </si>
  <si>
    <t>009/KIU/EXT/2026</t>
  </si>
  <si>
    <t>Rudiyanto</t>
  </si>
  <si>
    <t>010/KIU/EXT/2026</t>
  </si>
  <si>
    <t>Yohanes</t>
  </si>
  <si>
    <t>TERKIRIM</t>
  </si>
  <si>
    <t>KONFIRMASI PENERIMAAN</t>
  </si>
  <si>
    <t>011/KIU/EXT/2026</t>
  </si>
  <si>
    <t>012/KIU/EXT/2026</t>
  </si>
  <si>
    <t>013/KIU/EXT/2026</t>
  </si>
  <si>
    <t>014/KIU/EXT/2026</t>
  </si>
  <si>
    <t>015/KIU/EXT/2026</t>
  </si>
  <si>
    <t>016/KIU/EXT/2026</t>
  </si>
  <si>
    <t>017/KIU/EXT/2026</t>
  </si>
  <si>
    <t>018/KIU/EXT/2026</t>
  </si>
  <si>
    <t>019/KIU/EXT/2026</t>
  </si>
  <si>
    <t>020/KIU/EXT/2026</t>
  </si>
  <si>
    <t>021/KIU/EXT/2026</t>
  </si>
  <si>
    <t>022/KIU/EXT/2026</t>
  </si>
  <si>
    <t>023/KIU/EXT/2026</t>
  </si>
  <si>
    <t>024/KIU/EXT/2026</t>
  </si>
  <si>
    <t>025/KIU/EXT/2026</t>
  </si>
  <si>
    <t>026/KIU/EXT/2026</t>
  </si>
  <si>
    <t>027/KIU/EXT/2026</t>
  </si>
  <si>
    <t>028/KIU/EXT/2026</t>
  </si>
  <si>
    <t>029/KIU/EXT/2026</t>
  </si>
  <si>
    <t>030/KIU/EXT/2026</t>
  </si>
  <si>
    <t>Cahyo</t>
  </si>
  <si>
    <t>Arif</t>
  </si>
  <si>
    <t>Tri</t>
  </si>
  <si>
    <t>Amin</t>
  </si>
  <si>
    <t>Huda</t>
  </si>
  <si>
    <t>Suwarno</t>
  </si>
  <si>
    <t>Adhika</t>
  </si>
  <si>
    <t>Agung</t>
  </si>
  <si>
    <t>Wahyu</t>
  </si>
  <si>
    <t>Lily</t>
  </si>
  <si>
    <t>Nugroho</t>
  </si>
  <si>
    <t>Nitsya</t>
  </si>
  <si>
    <t>Daltry</t>
  </si>
  <si>
    <t>Fifi</t>
  </si>
  <si>
    <t>Ricky</t>
  </si>
  <si>
    <t>Evi</t>
  </si>
  <si>
    <t>email</t>
  </si>
  <si>
    <t>Rudy</t>
  </si>
  <si>
    <t>031/KIU/EXT/2026</t>
  </si>
  <si>
    <t>032/KIU/EXT/2026</t>
  </si>
  <si>
    <t>033/KIU/EXT/2026</t>
  </si>
  <si>
    <t>034/KIU/EXT/2026</t>
  </si>
  <si>
    <t>035/KIU/EXT/2026</t>
  </si>
  <si>
    <t>036/KIU/EXT/2026</t>
  </si>
  <si>
    <t>037/KIU/EXT/2026</t>
  </si>
  <si>
    <t>038/KIU/EXT/2026</t>
  </si>
  <si>
    <t>039/KIU/EXT/2026</t>
  </si>
  <si>
    <t>040/KIU/EXT/2026</t>
  </si>
  <si>
    <t>041/KIU/EXT/2026</t>
  </si>
  <si>
    <t>Rina</t>
  </si>
  <si>
    <t>Erwin</t>
  </si>
  <si>
    <t>Kambali</t>
  </si>
  <si>
    <t>Arindra</t>
  </si>
  <si>
    <t>Aang</t>
  </si>
  <si>
    <t>Irkham</t>
  </si>
  <si>
    <t>Alim</t>
  </si>
  <si>
    <t>Deni</t>
  </si>
  <si>
    <t>Herlis/Danu</t>
  </si>
  <si>
    <t>email &amp; WA</t>
  </si>
  <si>
    <t>042/KIU/EXT/2026</t>
  </si>
  <si>
    <t>043/KIU/EXT/2026</t>
  </si>
  <si>
    <t>044/KIU/EXT/2026</t>
  </si>
  <si>
    <t>045/KIU/EXT/2026</t>
  </si>
  <si>
    <t>046/KIU/EXT/2026</t>
  </si>
  <si>
    <t>047/KIU/EXT/2026</t>
  </si>
  <si>
    <t>048/KIU/EXT/2026</t>
  </si>
  <si>
    <t>049/KIU/EXT/2026</t>
  </si>
  <si>
    <t>050/KIU/EXT/2026</t>
  </si>
  <si>
    <t>051/KIU/EXT/2026</t>
  </si>
  <si>
    <t>052/KIU/EXT/2026</t>
  </si>
  <si>
    <t>053/KIU/EXT/2026</t>
  </si>
  <si>
    <t>Arief / Iwan</t>
  </si>
  <si>
    <t>Albert</t>
  </si>
  <si>
    <t>Badri</t>
  </si>
  <si>
    <t>Fahri</t>
  </si>
  <si>
    <t>Mulyadi</t>
  </si>
  <si>
    <t>Widya</t>
  </si>
  <si>
    <t>Yos</t>
  </si>
  <si>
    <t>Adm</t>
  </si>
  <si>
    <t>Lithus</t>
  </si>
  <si>
    <t>Indra</t>
  </si>
  <si>
    <t>Faizal</t>
  </si>
  <si>
    <t>Ita S, Khoirul</t>
  </si>
  <si>
    <t>Teguh, Herdinah</t>
  </si>
  <si>
    <t>Martin / Wahyu</t>
  </si>
  <si>
    <t>HASIL</t>
  </si>
  <si>
    <t>OMSET SMT 1 - 2026</t>
  </si>
  <si>
    <t>0.5% U/ Alfatox dan Kaliandra, 1% u/ RG</t>
  </si>
  <si>
    <t>sales 2026</t>
  </si>
  <si>
    <t>pembayaran 2026</t>
  </si>
  <si>
    <t>PENCAIRAN DANA EXTRAVAGANZA</t>
  </si>
  <si>
    <t>JAN</t>
  </si>
  <si>
    <t>FEB</t>
  </si>
  <si>
    <t>MAR</t>
  </si>
  <si>
    <t>APR</t>
  </si>
  <si>
    <t>MEI</t>
  </si>
  <si>
    <t>JUN</t>
  </si>
  <si>
    <t>JUL</t>
  </si>
  <si>
    <t>AGT</t>
  </si>
  <si>
    <t>SEPT</t>
  </si>
  <si>
    <t>OKT</t>
  </si>
  <si>
    <t>NOP</t>
  </si>
  <si>
    <t>DES</t>
  </si>
  <si>
    <t>Dedi</t>
  </si>
  <si>
    <t>Thripmat</t>
  </si>
  <si>
    <t>DAFTAR SUPLIER YANG SUDAH DIKIRIMI PROPOSAL EXTRAVAGANZA</t>
  </si>
  <si>
    <t>2% omset 2025</t>
  </si>
  <si>
    <t>Alfi</t>
  </si>
  <si>
    <t>Transfer</t>
  </si>
  <si>
    <t>omset sd sebelum acara</t>
  </si>
  <si>
    <t>omset produk tertentu</t>
  </si>
  <si>
    <t>1% DP Khusus</t>
  </si>
  <si>
    <t>non Round up</t>
  </si>
  <si>
    <t xml:space="preserve">30 Jt dari </t>
  </si>
  <si>
    <t>dari PO 02 &amp; 03</t>
  </si>
  <si>
    <t>09/02 pak saat ini Mr Wesley sedang di China, nanti ketika sudah di Indonesia saya update reviewnya ya pak</t>
  </si>
  <si>
    <t>06/03 blm dibaca</t>
  </si>
  <si>
    <t>HIJAU</t>
  </si>
  <si>
    <t>MERAH</t>
  </si>
  <si>
    <t>DAFTAR HASIL KONFIRMASI PROPOSAL EXTRAVAGANZA</t>
  </si>
  <si>
    <t>dari pembayaran</t>
  </si>
  <si>
    <t>target Rp. 2.478.241.714</t>
  </si>
  <si>
    <t>Mutual, Bump, Bahsan</t>
  </si>
  <si>
    <t>Agil, Agus, Amolin</t>
  </si>
  <si>
    <t>50 jt target tercapai 100%</t>
  </si>
  <si>
    <t>produk Bamex</t>
  </si>
  <si>
    <t>YTD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</si>
</sst>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9"/>
      <color theme="1"/>
      <name val="Arial Narrow"/>
      <family val="2"/>
      <charset val="1"/>
    </font>
    <font>
      <sz val="8"/>
      <color rgb="FF000000"/>
      <name val="Tahoma"/>
      <family val="2"/>
    </font>
    <font>
      <sz val="11"/>
      <color theme="1"/>
      <name val="Calibri"/>
      <family val="2"/>
      <charset val="1"/>
      <scheme val="minor"/>
    </font>
    <font>
      <b/>
      <sz val="8"/>
      <color rgb="FF000000"/>
      <name val="Arial"/>
      <family val="2"/>
    </font>
    <font>
      <b/>
      <sz val="11"/>
      <color rgb="FFFF0000"/>
      <name val="Calibri"/>
      <family val="2"/>
      <scheme val="minor"/>
    </font>
    <font>
      <b/>
      <sz val="11.5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.5"/>
      <name val="Calibri"/>
      <family val="2"/>
      <scheme val="minor"/>
    </font>
    <font>
      <sz val="9"/>
      <color indexed="8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>
      <alignment horizontal="left" vertical="top"/>
    </xf>
    <xf numFmtId="0" fontId="3" fillId="0" borderId="0"/>
    <xf numFmtId="0" fontId="4" fillId="2" borderId="0">
      <alignment horizontal="left" vertical="top"/>
    </xf>
    <xf numFmtId="0" fontId="5" fillId="0" borderId="0"/>
    <xf numFmtId="0" fontId="6" fillId="2" borderId="0">
      <alignment horizontal="right" vertical="top"/>
    </xf>
    <xf numFmtId="0" fontId="4" fillId="0" borderId="0">
      <alignment horizontal="left" vertical="top"/>
    </xf>
    <xf numFmtId="0" fontId="6" fillId="0" borderId="0">
      <alignment horizontal="right" vertical="top"/>
    </xf>
    <xf numFmtId="43" fontId="10" fillId="0" borderId="0" applyFont="0" applyFill="0" applyBorder="0" applyAlignment="0" applyProtection="0"/>
    <xf numFmtId="0" fontId="10" fillId="0" borderId="0"/>
  </cellStyleXfs>
  <cellXfs count="47">
    <xf numFmtId="0" fontId="0" fillId="0" borderId="0" xfId="0"/>
    <xf numFmtId="0" fontId="8" fillId="0" borderId="1" xfId="0" applyFont="1" applyBorder="1" applyAlignment="1">
      <alignment horizontal="center"/>
    </xf>
    <xf numFmtId="0" fontId="9" fillId="0" borderId="0" xfId="0" applyFont="1"/>
    <xf numFmtId="0" fontId="8" fillId="3" borderId="1" xfId="0" applyFont="1" applyFill="1" applyBorder="1" applyAlignment="1">
      <alignment horizontal="center"/>
    </xf>
    <xf numFmtId="0" fontId="9" fillId="0" borderId="1" xfId="0" applyFont="1" applyBorder="1"/>
    <xf numFmtId="0" fontId="9" fillId="3" borderId="1" xfId="0" applyFont="1" applyFill="1" applyBorder="1"/>
    <xf numFmtId="0" fontId="0" fillId="3" borderId="0" xfId="0" applyFill="1"/>
    <xf numFmtId="0" fontId="9" fillId="0" borderId="0" xfId="0" applyFont="1" applyFill="1" applyBorder="1"/>
    <xf numFmtId="0" fontId="1" fillId="0" borderId="0" xfId="0" applyFont="1" applyBorder="1" applyAlignment="1">
      <alignment horizontal="center" wrapText="1"/>
    </xf>
    <xf numFmtId="0" fontId="9" fillId="0" borderId="0" xfId="0" applyFont="1" applyBorder="1"/>
    <xf numFmtId="16" fontId="9" fillId="0" borderId="0" xfId="0" applyNumberFormat="1" applyFont="1" applyBorder="1"/>
    <xf numFmtId="0" fontId="8" fillId="4" borderId="0" xfId="0" applyFont="1" applyFill="1" applyBorder="1" applyAlignment="1">
      <alignment horizontal="center"/>
    </xf>
    <xf numFmtId="164" fontId="9" fillId="0" borderId="0" xfId="8" applyNumberFormat="1" applyFont="1" applyBorder="1"/>
    <xf numFmtId="164" fontId="0" fillId="0" borderId="0" xfId="0" applyNumberFormat="1"/>
    <xf numFmtId="0" fontId="8" fillId="4" borderId="3" xfId="0" applyFont="1" applyFill="1" applyBorder="1" applyAlignment="1">
      <alignment horizontal="center" vertical="center"/>
    </xf>
    <xf numFmtId="0" fontId="9" fillId="3" borderId="4" xfId="0" applyFont="1" applyFill="1" applyBorder="1"/>
    <xf numFmtId="0" fontId="8" fillId="4" borderId="3" xfId="0" applyFont="1" applyFill="1" applyBorder="1" applyAlignment="1">
      <alignment horizontal="center" vertical="center" wrapText="1"/>
    </xf>
    <xf numFmtId="16" fontId="9" fillId="0" borderId="1" xfId="0" applyNumberFormat="1" applyFont="1" applyBorder="1"/>
    <xf numFmtId="164" fontId="9" fillId="0" borderId="1" xfId="8" applyNumberFormat="1" applyFont="1" applyBorder="1"/>
    <xf numFmtId="10" fontId="9" fillId="0" borderId="1" xfId="0" applyNumberFormat="1" applyFont="1" applyBorder="1"/>
    <xf numFmtId="9" fontId="9" fillId="0" borderId="1" xfId="0" applyNumberFormat="1" applyFont="1" applyBorder="1"/>
    <xf numFmtId="0" fontId="8" fillId="4" borderId="0" xfId="0" applyFont="1" applyFill="1" applyBorder="1" applyAlignment="1">
      <alignment horizontal="left"/>
    </xf>
    <xf numFmtId="0" fontId="9" fillId="5" borderId="1" xfId="0" applyFont="1" applyFill="1" applyBorder="1"/>
    <xf numFmtId="0" fontId="11" fillId="6" borderId="1" xfId="0" applyFont="1" applyFill="1" applyBorder="1"/>
    <xf numFmtId="0" fontId="11" fillId="0" borderId="1" xfId="0" applyFont="1" applyBorder="1"/>
    <xf numFmtId="0" fontId="0" fillId="5" borderId="0" xfId="0" applyFill="1"/>
    <xf numFmtId="0" fontId="0" fillId="6" borderId="0" xfId="0" applyFill="1"/>
    <xf numFmtId="0" fontId="0" fillId="0" borderId="1" xfId="0" applyBorder="1"/>
    <xf numFmtId="41" fontId="12" fillId="0" borderId="1" xfId="9" applyNumberFormat="1" applyFont="1" applyBorder="1" applyAlignment="1">
      <alignment vertical="center"/>
    </xf>
    <xf numFmtId="0" fontId="9" fillId="8" borderId="1" xfId="0" applyFont="1" applyFill="1" applyBorder="1"/>
    <xf numFmtId="0" fontId="0" fillId="9" borderId="1" xfId="0" applyFill="1" applyBorder="1"/>
    <xf numFmtId="0" fontId="13" fillId="6" borderId="1" xfId="0" applyFont="1" applyFill="1" applyBorder="1"/>
    <xf numFmtId="0" fontId="1" fillId="0" borderId="0" xfId="0" applyFont="1" applyBorder="1" applyAlignment="1">
      <alignment horizontal="center" wrapText="1"/>
    </xf>
    <xf numFmtId="0" fontId="8" fillId="4" borderId="0" xfId="0" applyFont="1" applyFill="1" applyBorder="1" applyAlignment="1">
      <alignment horizontal="center"/>
    </xf>
    <xf numFmtId="0" fontId="0" fillId="8" borderId="1" xfId="0" applyFill="1" applyBorder="1"/>
    <xf numFmtId="0" fontId="0" fillId="5" borderId="1" xfId="0" applyFill="1" applyBorder="1"/>
    <xf numFmtId="0" fontId="1" fillId="0" borderId="0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</cellXfs>
  <cellStyles count="10">
    <cellStyle name="Comma" xfId="8" builtinId="3"/>
    <cellStyle name="Normal" xfId="0" builtinId="0"/>
    <cellStyle name="Normal 2" xfId="9"/>
    <cellStyle name="Normal 2 4 3" xfId="2"/>
    <cellStyle name="Normal 8 3" xfId="4"/>
    <cellStyle name="S8 11" xfId="7"/>
    <cellStyle name="S9 10 3" xfId="6"/>
    <cellStyle name="S9 10 4" xfId="3"/>
    <cellStyle name="S9 12" xfId="5"/>
    <cellStyle name="S9 12 4" xfId="1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AH66"/>
  <sheetViews>
    <sheetView showGridLines="0" tabSelected="1" workbookViewId="0">
      <pane xSplit="8" ySplit="6" topLeftCell="U46" activePane="bottomRight" state="frozen"/>
      <selection pane="topRight" activeCell="C1" sqref="C1"/>
      <selection pane="bottomLeft" activeCell="A8" sqref="A8"/>
      <selection pane="bottomRight" activeCell="AD7" sqref="AD7:AD59"/>
    </sheetView>
  </sheetViews>
  <sheetFormatPr defaultRowHeight="15" x14ac:dyDescent="0.25"/>
  <cols>
    <col min="2" max="2" width="2" bestFit="1" customWidth="1"/>
    <col min="3" max="4" width="2" customWidth="1"/>
    <col min="5" max="5" width="3" bestFit="1" customWidth="1"/>
    <col min="6" max="6" width="2" customWidth="1"/>
    <col min="8" max="8" width="3.85546875" customWidth="1"/>
    <col min="9" max="9" width="42.140625" bestFit="1" customWidth="1"/>
    <col min="10" max="10" width="16.85546875" bestFit="1" customWidth="1"/>
    <col min="11" max="11" width="9.7109375" bestFit="1" customWidth="1"/>
    <col min="12" max="12" width="7.140625" bestFit="1" customWidth="1"/>
    <col min="13" max="13" width="10.7109375" bestFit="1" customWidth="1"/>
    <col min="14" max="14" width="9.7109375" bestFit="1" customWidth="1"/>
    <col min="15" max="15" width="14.7109375" customWidth="1"/>
    <col min="16" max="16" width="9.7109375" customWidth="1"/>
    <col min="17" max="17" width="18.5703125" bestFit="1" customWidth="1"/>
    <col min="18" max="24" width="18.5703125" customWidth="1"/>
    <col min="25" max="29" width="9.7109375" customWidth="1"/>
    <col min="30" max="30" width="12.5703125" bestFit="1" customWidth="1"/>
    <col min="31" max="31" width="9.7109375" customWidth="1"/>
    <col min="32" max="32" width="3.140625" customWidth="1"/>
    <col min="33" max="33" width="4.140625" bestFit="1" customWidth="1"/>
    <col min="34" max="34" width="48.85546875" bestFit="1" customWidth="1"/>
  </cols>
  <sheetData>
    <row r="4" spans="1:34" ht="30.75" customHeight="1" x14ac:dyDescent="0.25">
      <c r="H4" s="36" t="s">
        <v>210</v>
      </c>
      <c r="I4" s="3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32"/>
      <c r="AE4" s="32"/>
      <c r="AG4" s="37" t="s">
        <v>74</v>
      </c>
      <c r="AH4" s="37"/>
    </row>
    <row r="5" spans="1:34" x14ac:dyDescent="0.25">
      <c r="H5" s="42" t="s">
        <v>73</v>
      </c>
      <c r="I5" s="39" t="s">
        <v>72</v>
      </c>
      <c r="J5" s="38" t="s">
        <v>77</v>
      </c>
      <c r="K5" s="38"/>
      <c r="L5" s="38" t="s">
        <v>80</v>
      </c>
      <c r="M5" s="38"/>
      <c r="N5" s="38" t="s">
        <v>79</v>
      </c>
      <c r="O5" s="38"/>
      <c r="P5" s="41" t="s">
        <v>190</v>
      </c>
      <c r="Q5" s="41"/>
      <c r="R5" s="21" t="s">
        <v>195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33"/>
      <c r="AE5" s="33"/>
      <c r="AF5" s="2"/>
      <c r="AG5" s="1" t="s">
        <v>73</v>
      </c>
      <c r="AH5" s="3" t="s">
        <v>72</v>
      </c>
    </row>
    <row r="6" spans="1:34" ht="30" x14ac:dyDescent="0.25">
      <c r="B6" s="25"/>
      <c r="D6" s="26"/>
      <c r="H6" s="43"/>
      <c r="I6" s="40"/>
      <c r="J6" s="14" t="s">
        <v>78</v>
      </c>
      <c r="K6" s="14" t="s">
        <v>79</v>
      </c>
      <c r="L6" s="14" t="s">
        <v>81</v>
      </c>
      <c r="M6" s="14" t="s">
        <v>82</v>
      </c>
      <c r="N6" s="14" t="s">
        <v>103</v>
      </c>
      <c r="O6" s="16" t="s">
        <v>104</v>
      </c>
      <c r="P6" s="41"/>
      <c r="Q6" s="41"/>
      <c r="R6" s="11" t="s">
        <v>196</v>
      </c>
      <c r="S6" s="11" t="s">
        <v>197</v>
      </c>
      <c r="T6" s="11" t="s">
        <v>198</v>
      </c>
      <c r="U6" s="11" t="s">
        <v>199</v>
      </c>
      <c r="V6" s="11" t="s">
        <v>200</v>
      </c>
      <c r="W6" s="11" t="s">
        <v>201</v>
      </c>
      <c r="X6" s="11" t="s">
        <v>202</v>
      </c>
      <c r="Y6" s="11" t="s">
        <v>203</v>
      </c>
      <c r="Z6" s="11" t="s">
        <v>204</v>
      </c>
      <c r="AA6" s="11" t="s">
        <v>205</v>
      </c>
      <c r="AB6" s="11" t="s">
        <v>206</v>
      </c>
      <c r="AC6" s="11" t="s">
        <v>207</v>
      </c>
      <c r="AD6" s="33" t="s">
        <v>231</v>
      </c>
      <c r="AE6" s="33"/>
      <c r="AF6" s="2"/>
      <c r="AG6" s="1"/>
      <c r="AH6" s="3"/>
    </row>
    <row r="7" spans="1:34" ht="15" customHeight="1" x14ac:dyDescent="0.25">
      <c r="A7">
        <f>IF(B7="A",A6+1,0)</f>
        <v>1</v>
      </c>
      <c r="B7" t="str">
        <f>IF(G7="HIJAU","A",0)</f>
        <v>A</v>
      </c>
      <c r="C7">
        <f>IF(D7="B",C6+1,0)</f>
        <v>0</v>
      </c>
      <c r="D7">
        <f>IF(G7="MERAH","B",0)</f>
        <v>0</v>
      </c>
      <c r="E7">
        <f>IF(F7="C",E6+1,0)</f>
        <v>0</v>
      </c>
      <c r="F7">
        <f>IF(G7=0,"C",0)</f>
        <v>0</v>
      </c>
      <c r="G7" t="s">
        <v>222</v>
      </c>
      <c r="H7" s="29">
        <v>1</v>
      </c>
      <c r="I7" s="22" t="s">
        <v>25</v>
      </c>
      <c r="J7" s="4" t="s">
        <v>105</v>
      </c>
      <c r="K7" s="17">
        <v>46044</v>
      </c>
      <c r="L7" s="4" t="s">
        <v>127</v>
      </c>
      <c r="M7" s="4" t="s">
        <v>84</v>
      </c>
      <c r="N7" s="17">
        <v>46044</v>
      </c>
      <c r="O7" s="17">
        <v>46044</v>
      </c>
      <c r="P7" s="24" t="s">
        <v>192</v>
      </c>
      <c r="Q7" s="4" t="s">
        <v>193</v>
      </c>
      <c r="R7" s="18">
        <v>674127</v>
      </c>
      <c r="S7" s="18">
        <v>0</v>
      </c>
      <c r="T7" s="18">
        <v>385699</v>
      </c>
      <c r="U7" s="18">
        <v>3387075</v>
      </c>
      <c r="V7" s="18">
        <v>2485592.5</v>
      </c>
      <c r="W7" s="18"/>
      <c r="X7" s="18"/>
      <c r="Y7" s="18"/>
      <c r="Z7" s="18"/>
      <c r="AA7" s="18"/>
      <c r="AB7" s="18"/>
      <c r="AC7" s="18"/>
      <c r="AD7" s="12">
        <f>SUM(R7:AC7)</f>
        <v>6932493.5</v>
      </c>
      <c r="AE7" s="12"/>
      <c r="AF7" s="2"/>
      <c r="AG7" s="4">
        <v>1</v>
      </c>
      <c r="AH7" s="4" t="s">
        <v>54</v>
      </c>
    </row>
    <row r="8" spans="1:34" ht="15" customHeight="1" x14ac:dyDescent="0.25">
      <c r="A8">
        <f t="shared" ref="A8:A59" si="0">IF(B8="A",A7+1,0)</f>
        <v>2</v>
      </c>
      <c r="B8" t="str">
        <f t="shared" ref="B8:B59" si="1">IF(G8="HIJAU","A",0)</f>
        <v>A</v>
      </c>
      <c r="C8">
        <f t="shared" ref="C8:C59" si="2">IF(D8="B",C7+1,0)</f>
        <v>0</v>
      </c>
      <c r="D8">
        <f t="shared" ref="D8:D59" si="3">IF(G8="MERAH","B",0)</f>
        <v>0</v>
      </c>
      <c r="E8">
        <f t="shared" ref="E8:E59" si="4">IF(F8="C",E7+1,0)</f>
        <v>0</v>
      </c>
      <c r="F8">
        <f t="shared" ref="F8:F59" si="5">IF(G8=0,"C",0)</f>
        <v>0</v>
      </c>
      <c r="G8" t="s">
        <v>222</v>
      </c>
      <c r="H8" s="29">
        <v>2</v>
      </c>
      <c r="I8" s="22" t="s">
        <v>41</v>
      </c>
      <c r="J8" s="4" t="s">
        <v>106</v>
      </c>
      <c r="K8" s="17">
        <v>46042</v>
      </c>
      <c r="L8" s="4" t="s">
        <v>154</v>
      </c>
      <c r="M8" s="4" t="s">
        <v>84</v>
      </c>
      <c r="N8" s="17">
        <v>46049</v>
      </c>
      <c r="O8" s="17">
        <v>46049</v>
      </c>
      <c r="P8" s="4"/>
      <c r="Q8" s="4" t="s">
        <v>213</v>
      </c>
      <c r="R8" s="18"/>
      <c r="S8" s="18">
        <v>10000000</v>
      </c>
      <c r="T8" s="18"/>
      <c r="U8" s="18"/>
      <c r="V8" s="18"/>
      <c r="W8" s="18"/>
      <c r="X8" s="18"/>
      <c r="Y8" s="18"/>
      <c r="Z8" s="18"/>
      <c r="AA8" s="18"/>
      <c r="AB8" s="18"/>
      <c r="AC8" s="18"/>
      <c r="AD8" s="12">
        <f t="shared" ref="AD8:AD59" si="6">SUM(R8:AC8)</f>
        <v>10000000</v>
      </c>
      <c r="AE8" s="12"/>
      <c r="AF8" s="2"/>
      <c r="AG8" s="4">
        <v>2</v>
      </c>
      <c r="AH8" s="4" t="s">
        <v>55</v>
      </c>
    </row>
    <row r="9" spans="1:34" ht="15" customHeight="1" x14ac:dyDescent="0.25">
      <c r="A9">
        <f t="shared" si="0"/>
        <v>3</v>
      </c>
      <c r="B9" t="str">
        <f t="shared" si="1"/>
        <v>A</v>
      </c>
      <c r="C9">
        <f t="shared" si="2"/>
        <v>0</v>
      </c>
      <c r="D9">
        <f t="shared" si="3"/>
        <v>0</v>
      </c>
      <c r="E9">
        <f t="shared" si="4"/>
        <v>0</v>
      </c>
      <c r="F9">
        <f t="shared" si="5"/>
        <v>0</v>
      </c>
      <c r="G9" t="s">
        <v>222</v>
      </c>
      <c r="H9" s="29">
        <v>3</v>
      </c>
      <c r="I9" s="22" t="s">
        <v>16</v>
      </c>
      <c r="J9" s="4" t="s">
        <v>164</v>
      </c>
      <c r="K9" s="17">
        <v>46050</v>
      </c>
      <c r="L9" s="4" t="s">
        <v>178</v>
      </c>
      <c r="M9" s="4" t="s">
        <v>84</v>
      </c>
      <c r="N9" s="17">
        <v>46051</v>
      </c>
      <c r="O9" s="17">
        <v>46051</v>
      </c>
      <c r="P9" s="4" t="s">
        <v>219</v>
      </c>
      <c r="Q9" s="4" t="s">
        <v>218</v>
      </c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2">
        <f t="shared" si="6"/>
        <v>0</v>
      </c>
      <c r="AE9" s="12"/>
      <c r="AF9" s="2"/>
      <c r="AG9" s="4">
        <v>4</v>
      </c>
      <c r="AH9" s="4" t="s">
        <v>56</v>
      </c>
    </row>
    <row r="10" spans="1:34" ht="15" customHeight="1" x14ac:dyDescent="0.25">
      <c r="A10">
        <f t="shared" si="0"/>
        <v>4</v>
      </c>
      <c r="B10" t="str">
        <f t="shared" si="1"/>
        <v>A</v>
      </c>
      <c r="C10">
        <f t="shared" si="2"/>
        <v>0</v>
      </c>
      <c r="D10">
        <f t="shared" si="3"/>
        <v>0</v>
      </c>
      <c r="E10">
        <f t="shared" si="4"/>
        <v>0</v>
      </c>
      <c r="F10">
        <f t="shared" si="5"/>
        <v>0</v>
      </c>
      <c r="G10" t="s">
        <v>222</v>
      </c>
      <c r="H10" s="29">
        <v>4</v>
      </c>
      <c r="I10" s="22" t="s">
        <v>1</v>
      </c>
      <c r="J10" s="4" t="s">
        <v>165</v>
      </c>
      <c r="K10" s="17">
        <v>46050</v>
      </c>
      <c r="L10" s="4" t="s">
        <v>179</v>
      </c>
      <c r="M10" s="4" t="s">
        <v>84</v>
      </c>
      <c r="N10" s="17">
        <v>46051</v>
      </c>
      <c r="O10" s="17">
        <v>46051</v>
      </c>
      <c r="P10" s="4"/>
      <c r="Q10" s="4"/>
      <c r="R10" s="18"/>
      <c r="S10" s="18"/>
      <c r="T10" s="18"/>
      <c r="U10" s="18"/>
      <c r="V10" s="18">
        <v>251941452</v>
      </c>
      <c r="W10" s="18"/>
      <c r="X10" s="18"/>
      <c r="Y10" s="18"/>
      <c r="Z10" s="18"/>
      <c r="AA10" s="18"/>
      <c r="AB10" s="18"/>
      <c r="AC10" s="18"/>
      <c r="AD10" s="12">
        <f t="shared" si="6"/>
        <v>251941452</v>
      </c>
      <c r="AE10" s="12"/>
      <c r="AF10" s="2"/>
      <c r="AG10" s="4">
        <v>5</v>
      </c>
      <c r="AH10" s="4" t="s">
        <v>57</v>
      </c>
    </row>
    <row r="11" spans="1:34" ht="15" customHeight="1" x14ac:dyDescent="0.25">
      <c r="A11">
        <f t="shared" si="0"/>
        <v>5</v>
      </c>
      <c r="B11" t="str">
        <f t="shared" si="1"/>
        <v>A</v>
      </c>
      <c r="C11">
        <f t="shared" si="2"/>
        <v>0</v>
      </c>
      <c r="D11">
        <f t="shared" si="3"/>
        <v>0</v>
      </c>
      <c r="E11">
        <f t="shared" si="4"/>
        <v>0</v>
      </c>
      <c r="F11">
        <f t="shared" si="5"/>
        <v>0</v>
      </c>
      <c r="G11" t="s">
        <v>222</v>
      </c>
      <c r="H11" s="29">
        <v>5</v>
      </c>
      <c r="I11" s="22" t="s">
        <v>4</v>
      </c>
      <c r="J11" s="4" t="s">
        <v>115</v>
      </c>
      <c r="K11" s="17">
        <v>46044</v>
      </c>
      <c r="L11" s="4" t="s">
        <v>137</v>
      </c>
      <c r="M11" s="4" t="s">
        <v>84</v>
      </c>
      <c r="N11" s="17">
        <v>46044</v>
      </c>
      <c r="O11" s="17">
        <v>46044</v>
      </c>
      <c r="P11" s="4" t="s">
        <v>211</v>
      </c>
      <c r="Q11" s="4"/>
      <c r="R11" s="18"/>
      <c r="S11" s="18"/>
      <c r="T11" s="18"/>
      <c r="U11" s="18">
        <v>125390172</v>
      </c>
      <c r="V11" s="18"/>
      <c r="W11" s="18"/>
      <c r="X11" s="18"/>
      <c r="Y11" s="18"/>
      <c r="Z11" s="18"/>
      <c r="AA11" s="18"/>
      <c r="AB11" s="18"/>
      <c r="AC11" s="18"/>
      <c r="AD11" s="12">
        <f t="shared" si="6"/>
        <v>125390172</v>
      </c>
      <c r="AE11" s="12"/>
      <c r="AF11" s="2"/>
      <c r="AG11" s="4">
        <v>6</v>
      </c>
      <c r="AH11" s="4" t="s">
        <v>58</v>
      </c>
    </row>
    <row r="12" spans="1:34" ht="15" customHeight="1" x14ac:dyDescent="0.25">
      <c r="A12">
        <f t="shared" si="0"/>
        <v>6</v>
      </c>
      <c r="B12" t="str">
        <f t="shared" si="1"/>
        <v>A</v>
      </c>
      <c r="C12">
        <f t="shared" si="2"/>
        <v>0</v>
      </c>
      <c r="D12">
        <f t="shared" si="3"/>
        <v>0</v>
      </c>
      <c r="E12">
        <f t="shared" si="4"/>
        <v>0</v>
      </c>
      <c r="F12">
        <f t="shared" si="5"/>
        <v>0</v>
      </c>
      <c r="G12" t="s">
        <v>222</v>
      </c>
      <c r="H12" s="29">
        <v>6</v>
      </c>
      <c r="I12" s="22" t="s">
        <v>0</v>
      </c>
      <c r="J12" s="4" t="s">
        <v>91</v>
      </c>
      <c r="K12" s="17">
        <v>46037</v>
      </c>
      <c r="L12" s="4" t="s">
        <v>92</v>
      </c>
      <c r="M12" s="4" t="s">
        <v>84</v>
      </c>
      <c r="N12" s="17">
        <v>46037</v>
      </c>
      <c r="O12" s="17">
        <v>46037</v>
      </c>
      <c r="P12" s="19">
        <v>1.4999999999999999E-2</v>
      </c>
      <c r="Q12" s="4" t="s">
        <v>191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2">
        <f t="shared" si="6"/>
        <v>0</v>
      </c>
      <c r="AE12" s="12"/>
      <c r="AF12" s="2"/>
      <c r="AG12" s="4">
        <v>7</v>
      </c>
      <c r="AH12" s="4" t="s">
        <v>59</v>
      </c>
    </row>
    <row r="13" spans="1:34" ht="15" customHeight="1" x14ac:dyDescent="0.25">
      <c r="A13">
        <f t="shared" si="0"/>
        <v>7</v>
      </c>
      <c r="B13" t="str">
        <f t="shared" si="1"/>
        <v>A</v>
      </c>
      <c r="C13">
        <f t="shared" si="2"/>
        <v>0</v>
      </c>
      <c r="D13">
        <f t="shared" si="3"/>
        <v>0</v>
      </c>
      <c r="E13">
        <f t="shared" si="4"/>
        <v>0</v>
      </c>
      <c r="F13">
        <f t="shared" si="5"/>
        <v>0</v>
      </c>
      <c r="G13" t="s">
        <v>222</v>
      </c>
      <c r="H13" s="29">
        <v>7</v>
      </c>
      <c r="I13" s="22" t="s">
        <v>11</v>
      </c>
      <c r="J13" s="4" t="s">
        <v>120</v>
      </c>
      <c r="K13" s="17">
        <v>46044</v>
      </c>
      <c r="L13" s="4" t="s">
        <v>130</v>
      </c>
      <c r="M13" s="4" t="s">
        <v>84</v>
      </c>
      <c r="N13" s="17">
        <v>46044</v>
      </c>
      <c r="O13" s="17">
        <v>46044</v>
      </c>
      <c r="P13" s="20">
        <v>0.01</v>
      </c>
      <c r="Q13" s="4" t="s">
        <v>194</v>
      </c>
      <c r="R13" s="18">
        <v>12589924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2">
        <f t="shared" si="6"/>
        <v>12589924</v>
      </c>
      <c r="AE13" s="12"/>
      <c r="AF13" s="2"/>
      <c r="AG13" s="4">
        <v>8</v>
      </c>
      <c r="AH13" s="4" t="s">
        <v>60</v>
      </c>
    </row>
    <row r="14" spans="1:34" ht="15" customHeight="1" x14ac:dyDescent="0.25">
      <c r="A14">
        <f t="shared" si="0"/>
        <v>8</v>
      </c>
      <c r="B14" t="str">
        <f t="shared" si="1"/>
        <v>A</v>
      </c>
      <c r="C14">
        <f t="shared" si="2"/>
        <v>0</v>
      </c>
      <c r="D14">
        <f t="shared" si="3"/>
        <v>0</v>
      </c>
      <c r="E14">
        <f t="shared" si="4"/>
        <v>0</v>
      </c>
      <c r="F14">
        <f t="shared" si="5"/>
        <v>0</v>
      </c>
      <c r="G14" t="s">
        <v>222</v>
      </c>
      <c r="H14" s="29">
        <v>8</v>
      </c>
      <c r="I14" s="22" t="s">
        <v>15</v>
      </c>
      <c r="J14" s="4" t="s">
        <v>93</v>
      </c>
      <c r="K14" s="17">
        <v>46037</v>
      </c>
      <c r="L14" s="4" t="s">
        <v>94</v>
      </c>
      <c r="M14" s="4" t="s">
        <v>84</v>
      </c>
      <c r="N14" s="17">
        <v>46037</v>
      </c>
      <c r="O14" s="17">
        <v>46037</v>
      </c>
      <c r="P14" s="20" t="s">
        <v>216</v>
      </c>
      <c r="Q14" s="4" t="s">
        <v>217</v>
      </c>
      <c r="R14" s="18">
        <v>9942500</v>
      </c>
      <c r="S14" s="18">
        <v>6220000</v>
      </c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2">
        <f t="shared" si="6"/>
        <v>16162500</v>
      </c>
      <c r="AE14" s="12"/>
      <c r="AF14" s="2"/>
      <c r="AG14" s="4">
        <v>9</v>
      </c>
      <c r="AH14" s="4" t="s">
        <v>61</v>
      </c>
    </row>
    <row r="15" spans="1:34" ht="15" customHeight="1" x14ac:dyDescent="0.25">
      <c r="A15">
        <f t="shared" si="0"/>
        <v>9</v>
      </c>
      <c r="B15" t="str">
        <f t="shared" si="1"/>
        <v>A</v>
      </c>
      <c r="C15">
        <f t="shared" si="2"/>
        <v>0</v>
      </c>
      <c r="D15">
        <f t="shared" si="3"/>
        <v>0</v>
      </c>
      <c r="E15">
        <f t="shared" si="4"/>
        <v>0</v>
      </c>
      <c r="F15">
        <f t="shared" si="5"/>
        <v>0</v>
      </c>
      <c r="G15" t="s">
        <v>222</v>
      </c>
      <c r="H15" s="29">
        <v>9</v>
      </c>
      <c r="I15" s="22" t="s">
        <v>10</v>
      </c>
      <c r="J15" s="4" t="s">
        <v>121</v>
      </c>
      <c r="K15" s="17">
        <v>46044</v>
      </c>
      <c r="L15" s="4" t="s">
        <v>140</v>
      </c>
      <c r="M15" s="4" t="s">
        <v>141</v>
      </c>
      <c r="N15" s="17">
        <v>46044</v>
      </c>
      <c r="O15" s="17">
        <v>46044</v>
      </c>
      <c r="P15" s="20">
        <v>0.01</v>
      </c>
      <c r="Q15" s="4" t="s">
        <v>215</v>
      </c>
      <c r="R15" s="18"/>
      <c r="S15" s="18">
        <v>46935504</v>
      </c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2">
        <f t="shared" si="6"/>
        <v>46935504</v>
      </c>
      <c r="AE15" s="12"/>
      <c r="AF15" s="2"/>
      <c r="AG15" s="4">
        <v>10</v>
      </c>
      <c r="AH15" s="4" t="s">
        <v>62</v>
      </c>
    </row>
    <row r="16" spans="1:34" ht="15" customHeight="1" x14ac:dyDescent="0.25">
      <c r="A16">
        <f t="shared" si="0"/>
        <v>10</v>
      </c>
      <c r="B16" t="str">
        <f t="shared" si="1"/>
        <v>A</v>
      </c>
      <c r="C16">
        <f t="shared" si="2"/>
        <v>0</v>
      </c>
      <c r="D16">
        <f t="shared" si="3"/>
        <v>0</v>
      </c>
      <c r="E16">
        <f t="shared" si="4"/>
        <v>0</v>
      </c>
      <c r="F16">
        <f t="shared" si="5"/>
        <v>0</v>
      </c>
      <c r="G16" t="s">
        <v>222</v>
      </c>
      <c r="H16" s="29">
        <v>11</v>
      </c>
      <c r="I16" s="22" t="s">
        <v>49</v>
      </c>
      <c r="J16" s="4" t="s">
        <v>152</v>
      </c>
      <c r="K16" s="17">
        <v>46049</v>
      </c>
      <c r="L16" s="4" t="s">
        <v>159</v>
      </c>
      <c r="M16" s="4" t="s">
        <v>84</v>
      </c>
      <c r="N16" s="17">
        <v>46049</v>
      </c>
      <c r="O16" s="17">
        <v>46049</v>
      </c>
      <c r="P16" s="20">
        <v>0.01</v>
      </c>
      <c r="Q16" s="4" t="s">
        <v>214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2">
        <f t="shared" si="6"/>
        <v>0</v>
      </c>
      <c r="AE16" s="12"/>
      <c r="AF16" s="2"/>
      <c r="AG16" s="4">
        <v>11</v>
      </c>
      <c r="AH16" s="4" t="s">
        <v>63</v>
      </c>
    </row>
    <row r="17" spans="1:34" ht="15" customHeight="1" x14ac:dyDescent="0.25">
      <c r="A17">
        <f t="shared" si="0"/>
        <v>11</v>
      </c>
      <c r="B17" t="str">
        <f t="shared" si="1"/>
        <v>A</v>
      </c>
      <c r="C17">
        <f t="shared" si="2"/>
        <v>0</v>
      </c>
      <c r="D17">
        <f t="shared" si="3"/>
        <v>0</v>
      </c>
      <c r="E17">
        <f t="shared" si="4"/>
        <v>0</v>
      </c>
      <c r="F17">
        <f t="shared" si="5"/>
        <v>0</v>
      </c>
      <c r="G17" t="s">
        <v>222</v>
      </c>
      <c r="H17" s="29">
        <v>12</v>
      </c>
      <c r="I17" s="22" t="s">
        <v>51</v>
      </c>
      <c r="J17" s="4" t="s">
        <v>173</v>
      </c>
      <c r="K17" s="17">
        <v>46050</v>
      </c>
      <c r="L17" s="4" t="s">
        <v>184</v>
      </c>
      <c r="M17" s="4" t="s">
        <v>84</v>
      </c>
      <c r="N17" s="17">
        <v>46051</v>
      </c>
      <c r="O17" s="17">
        <v>46051</v>
      </c>
      <c r="P17" s="20">
        <v>0.01</v>
      </c>
      <c r="Q17" s="4" t="s">
        <v>226</v>
      </c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2">
        <f t="shared" si="6"/>
        <v>0</v>
      </c>
      <c r="AE17" s="12"/>
      <c r="AF17" s="2"/>
      <c r="AG17" s="4"/>
      <c r="AH17" s="4"/>
    </row>
    <row r="18" spans="1:34" ht="15" customHeight="1" x14ac:dyDescent="0.25">
      <c r="A18">
        <f t="shared" si="0"/>
        <v>12</v>
      </c>
      <c r="B18" t="str">
        <f t="shared" si="1"/>
        <v>A</v>
      </c>
      <c r="C18">
        <f t="shared" si="2"/>
        <v>0</v>
      </c>
      <c r="D18">
        <f t="shared" si="3"/>
        <v>0</v>
      </c>
      <c r="E18">
        <f t="shared" si="4"/>
        <v>0</v>
      </c>
      <c r="F18">
        <f t="shared" si="5"/>
        <v>0</v>
      </c>
      <c r="G18" t="s">
        <v>222</v>
      </c>
      <c r="H18" s="29">
        <v>13</v>
      </c>
      <c r="I18" s="22" t="s">
        <v>5</v>
      </c>
      <c r="J18" s="4" t="s">
        <v>89</v>
      </c>
      <c r="K18" s="17">
        <v>46037</v>
      </c>
      <c r="L18" s="4" t="s">
        <v>90</v>
      </c>
      <c r="M18" s="4" t="s">
        <v>84</v>
      </c>
      <c r="N18" s="17">
        <v>46037</v>
      </c>
      <c r="O18" s="17">
        <v>46037</v>
      </c>
      <c r="P18" s="20">
        <v>0.01</v>
      </c>
      <c r="Q18" s="4" t="s">
        <v>225</v>
      </c>
      <c r="R18" s="18"/>
      <c r="S18" s="18"/>
      <c r="T18" s="28">
        <f>3333300+1023416</f>
        <v>4356716</v>
      </c>
      <c r="U18" s="18"/>
      <c r="V18" s="18">
        <v>1567571</v>
      </c>
      <c r="W18" s="18"/>
      <c r="X18" s="18"/>
      <c r="Y18" s="18"/>
      <c r="Z18" s="18"/>
      <c r="AA18" s="18"/>
      <c r="AB18" s="18"/>
      <c r="AC18" s="18"/>
      <c r="AD18" s="12">
        <f t="shared" si="6"/>
        <v>5924287</v>
      </c>
      <c r="AE18" s="12"/>
      <c r="AF18" s="2"/>
      <c r="AG18" s="4">
        <v>12</v>
      </c>
      <c r="AH18" s="4" t="s">
        <v>64</v>
      </c>
    </row>
    <row r="19" spans="1:34" ht="15" customHeight="1" x14ac:dyDescent="0.25">
      <c r="A19">
        <f t="shared" si="0"/>
        <v>13</v>
      </c>
      <c r="B19" t="str">
        <f t="shared" si="1"/>
        <v>A</v>
      </c>
      <c r="C19">
        <f t="shared" si="2"/>
        <v>0</v>
      </c>
      <c r="D19">
        <f t="shared" si="3"/>
        <v>0</v>
      </c>
      <c r="E19">
        <f t="shared" si="4"/>
        <v>0</v>
      </c>
      <c r="F19">
        <f t="shared" si="5"/>
        <v>0</v>
      </c>
      <c r="G19" t="s">
        <v>222</v>
      </c>
      <c r="H19" s="29">
        <v>14</v>
      </c>
      <c r="I19" s="22" t="s">
        <v>39</v>
      </c>
      <c r="J19" s="4" t="s">
        <v>109</v>
      </c>
      <c r="K19" s="17">
        <v>46044</v>
      </c>
      <c r="L19" s="4" t="s">
        <v>88</v>
      </c>
      <c r="M19" s="4" t="s">
        <v>84</v>
      </c>
      <c r="N19" s="17">
        <v>46044</v>
      </c>
      <c r="O19" s="17">
        <v>46044</v>
      </c>
      <c r="P19" s="4"/>
      <c r="Q19" s="4" t="s">
        <v>227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2">
        <f t="shared" si="6"/>
        <v>0</v>
      </c>
      <c r="AE19" s="12"/>
      <c r="AF19" s="2"/>
      <c r="AG19" s="4">
        <v>14</v>
      </c>
      <c r="AH19" s="4" t="s">
        <v>67</v>
      </c>
    </row>
    <row r="20" spans="1:34" ht="15" customHeight="1" x14ac:dyDescent="0.25">
      <c r="A20">
        <f t="shared" si="0"/>
        <v>14</v>
      </c>
      <c r="B20" t="str">
        <f t="shared" si="1"/>
        <v>A</v>
      </c>
      <c r="C20">
        <f t="shared" si="2"/>
        <v>0</v>
      </c>
      <c r="D20">
        <f t="shared" si="3"/>
        <v>0</v>
      </c>
      <c r="E20">
        <f t="shared" si="4"/>
        <v>0</v>
      </c>
      <c r="F20">
        <f t="shared" si="5"/>
        <v>0</v>
      </c>
      <c r="G20" t="s">
        <v>222</v>
      </c>
      <c r="H20" s="29">
        <v>15</v>
      </c>
      <c r="I20" s="22" t="s">
        <v>24</v>
      </c>
      <c r="J20" s="4" t="s">
        <v>110</v>
      </c>
      <c r="K20" s="17">
        <v>46081</v>
      </c>
      <c r="L20" s="4" t="s">
        <v>212</v>
      </c>
      <c r="M20" s="4" t="s">
        <v>141</v>
      </c>
      <c r="N20" s="17">
        <v>46081</v>
      </c>
      <c r="O20" s="17">
        <v>46081</v>
      </c>
      <c r="P20" s="4"/>
      <c r="Q20" s="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2">
        <f t="shared" si="6"/>
        <v>0</v>
      </c>
      <c r="AE20" s="12"/>
      <c r="AF20" s="2"/>
      <c r="AG20" s="4">
        <v>15</v>
      </c>
      <c r="AH20" s="4" t="s">
        <v>68</v>
      </c>
    </row>
    <row r="21" spans="1:34" ht="15" customHeight="1" x14ac:dyDescent="0.25">
      <c r="A21">
        <f t="shared" si="0"/>
        <v>15</v>
      </c>
      <c r="B21" t="str">
        <f t="shared" si="1"/>
        <v>A</v>
      </c>
      <c r="C21">
        <f t="shared" si="2"/>
        <v>0</v>
      </c>
      <c r="D21">
        <f t="shared" si="3"/>
        <v>0</v>
      </c>
      <c r="E21">
        <f t="shared" si="4"/>
        <v>0</v>
      </c>
      <c r="F21">
        <f t="shared" si="5"/>
        <v>0</v>
      </c>
      <c r="G21" t="s">
        <v>222</v>
      </c>
      <c r="H21" s="29">
        <v>16</v>
      </c>
      <c r="I21" s="22" t="s">
        <v>7</v>
      </c>
      <c r="J21" s="4" t="s">
        <v>112</v>
      </c>
      <c r="K21" s="17">
        <v>46044</v>
      </c>
      <c r="L21" s="4" t="s">
        <v>132</v>
      </c>
      <c r="M21" s="4" t="s">
        <v>84</v>
      </c>
      <c r="N21" s="17">
        <v>46044</v>
      </c>
      <c r="O21" s="17">
        <v>46044</v>
      </c>
      <c r="P21" s="4"/>
      <c r="Q21" s="4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2">
        <f t="shared" si="6"/>
        <v>0</v>
      </c>
      <c r="AE21" s="12"/>
      <c r="AF21" s="2"/>
      <c r="AG21" s="4">
        <v>17</v>
      </c>
      <c r="AH21" s="4" t="s">
        <v>69</v>
      </c>
    </row>
    <row r="22" spans="1:34" ht="15" customHeight="1" x14ac:dyDescent="0.25">
      <c r="A22">
        <f t="shared" si="0"/>
        <v>16</v>
      </c>
      <c r="B22" t="str">
        <f t="shared" si="1"/>
        <v>A</v>
      </c>
      <c r="C22">
        <f t="shared" si="2"/>
        <v>0</v>
      </c>
      <c r="D22">
        <f t="shared" si="3"/>
        <v>0</v>
      </c>
      <c r="E22">
        <f t="shared" si="4"/>
        <v>0</v>
      </c>
      <c r="F22">
        <f t="shared" si="5"/>
        <v>0</v>
      </c>
      <c r="G22" t="s">
        <v>222</v>
      </c>
      <c r="H22" s="29">
        <v>17</v>
      </c>
      <c r="I22" s="22" t="s">
        <v>8</v>
      </c>
      <c r="J22" s="4" t="s">
        <v>113</v>
      </c>
      <c r="K22" s="17">
        <v>46044</v>
      </c>
      <c r="L22" s="4" t="s">
        <v>125</v>
      </c>
      <c r="M22" s="4" t="s">
        <v>84</v>
      </c>
      <c r="N22" s="17">
        <v>46044</v>
      </c>
      <c r="O22" s="17">
        <v>46044</v>
      </c>
      <c r="P22" s="4"/>
      <c r="Q22" s="4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2">
        <f t="shared" si="6"/>
        <v>0</v>
      </c>
      <c r="AE22" s="12"/>
      <c r="AF22" s="2"/>
      <c r="AG22" s="4">
        <v>18</v>
      </c>
      <c r="AH22" s="4" t="s">
        <v>70</v>
      </c>
    </row>
    <row r="23" spans="1:34" ht="15" customHeight="1" x14ac:dyDescent="0.25">
      <c r="A23">
        <f t="shared" si="0"/>
        <v>17</v>
      </c>
      <c r="B23" t="str">
        <f t="shared" si="1"/>
        <v>A</v>
      </c>
      <c r="C23">
        <f t="shared" si="2"/>
        <v>0</v>
      </c>
      <c r="D23">
        <f t="shared" si="3"/>
        <v>0</v>
      </c>
      <c r="E23">
        <f t="shared" si="4"/>
        <v>0</v>
      </c>
      <c r="F23">
        <f t="shared" si="5"/>
        <v>0</v>
      </c>
      <c r="G23" t="s">
        <v>222</v>
      </c>
      <c r="H23" s="29">
        <v>18</v>
      </c>
      <c r="I23" s="22" t="s">
        <v>21</v>
      </c>
      <c r="J23" s="4" t="s">
        <v>117</v>
      </c>
      <c r="K23" s="17">
        <v>46044</v>
      </c>
      <c r="L23" s="4" t="s">
        <v>128</v>
      </c>
      <c r="M23" s="4" t="s">
        <v>84</v>
      </c>
      <c r="N23" s="17">
        <v>46044</v>
      </c>
      <c r="O23" s="17">
        <v>46044</v>
      </c>
      <c r="P23" s="4"/>
      <c r="Q23" s="4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2">
        <f t="shared" si="6"/>
        <v>0</v>
      </c>
      <c r="AE23" s="12"/>
      <c r="AF23" s="2"/>
      <c r="AG23" s="4">
        <v>19</v>
      </c>
      <c r="AH23" s="4" t="s">
        <v>71</v>
      </c>
    </row>
    <row r="24" spans="1:34" ht="15" customHeight="1" x14ac:dyDescent="0.25">
      <c r="A24">
        <f t="shared" si="0"/>
        <v>18</v>
      </c>
      <c r="B24" t="str">
        <f t="shared" si="1"/>
        <v>A</v>
      </c>
      <c r="C24">
        <f t="shared" si="2"/>
        <v>0</v>
      </c>
      <c r="D24">
        <f t="shared" si="3"/>
        <v>0</v>
      </c>
      <c r="E24">
        <f t="shared" si="4"/>
        <v>0</v>
      </c>
      <c r="F24">
        <f t="shared" si="5"/>
        <v>0</v>
      </c>
      <c r="G24" t="s">
        <v>222</v>
      </c>
      <c r="H24" s="29">
        <v>19</v>
      </c>
      <c r="I24" s="22" t="s">
        <v>14</v>
      </c>
      <c r="J24" s="4" t="s">
        <v>118</v>
      </c>
      <c r="K24" s="17">
        <v>46044</v>
      </c>
      <c r="L24" s="4" t="s">
        <v>142</v>
      </c>
      <c r="M24" s="4" t="s">
        <v>84</v>
      </c>
      <c r="N24" s="17">
        <v>46044</v>
      </c>
      <c r="O24" s="17">
        <v>46044</v>
      </c>
      <c r="P24" s="4"/>
      <c r="Q24" s="4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2">
        <f t="shared" si="6"/>
        <v>0</v>
      </c>
      <c r="AE24" s="12"/>
      <c r="AF24" s="2"/>
      <c r="AG24" s="4"/>
      <c r="AH24" s="4"/>
    </row>
    <row r="25" spans="1:34" ht="15" customHeight="1" x14ac:dyDescent="0.25">
      <c r="A25">
        <f t="shared" si="0"/>
        <v>19</v>
      </c>
      <c r="B25" t="str">
        <f t="shared" si="1"/>
        <v>A</v>
      </c>
      <c r="C25">
        <f t="shared" si="2"/>
        <v>0</v>
      </c>
      <c r="D25">
        <f t="shared" si="3"/>
        <v>0</v>
      </c>
      <c r="E25">
        <f t="shared" si="4"/>
        <v>0</v>
      </c>
      <c r="F25">
        <f t="shared" si="5"/>
        <v>0</v>
      </c>
      <c r="G25" t="s">
        <v>222</v>
      </c>
      <c r="H25" s="29">
        <v>20</v>
      </c>
      <c r="I25" s="22" t="s">
        <v>3</v>
      </c>
      <c r="J25" s="4" t="s">
        <v>143</v>
      </c>
      <c r="K25" s="17">
        <v>46049</v>
      </c>
      <c r="L25" s="4" t="s">
        <v>155</v>
      </c>
      <c r="M25" s="4" t="s">
        <v>84</v>
      </c>
      <c r="N25" s="17">
        <v>46049</v>
      </c>
      <c r="O25" s="17">
        <v>46049</v>
      </c>
      <c r="P25" s="4"/>
      <c r="Q25" s="4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2">
        <f t="shared" si="6"/>
        <v>0</v>
      </c>
      <c r="AE25" s="12"/>
      <c r="AF25" s="2"/>
      <c r="AG25" s="2"/>
      <c r="AH25" s="2"/>
    </row>
    <row r="26" spans="1:34" ht="15" customHeight="1" x14ac:dyDescent="0.25">
      <c r="A26">
        <f t="shared" si="0"/>
        <v>20</v>
      </c>
      <c r="B26" t="str">
        <f t="shared" si="1"/>
        <v>A</v>
      </c>
      <c r="C26">
        <f t="shared" si="2"/>
        <v>0</v>
      </c>
      <c r="D26">
        <f t="shared" si="3"/>
        <v>0</v>
      </c>
      <c r="E26">
        <f t="shared" si="4"/>
        <v>0</v>
      </c>
      <c r="F26">
        <f t="shared" si="5"/>
        <v>0</v>
      </c>
      <c r="G26" t="s">
        <v>222</v>
      </c>
      <c r="H26" s="29">
        <v>21</v>
      </c>
      <c r="I26" s="22" t="s">
        <v>6</v>
      </c>
      <c r="J26" s="4" t="s">
        <v>85</v>
      </c>
      <c r="K26" s="17">
        <v>46037</v>
      </c>
      <c r="L26" s="4" t="s">
        <v>86</v>
      </c>
      <c r="M26" s="4" t="s">
        <v>84</v>
      </c>
      <c r="N26" s="17">
        <v>46037</v>
      </c>
      <c r="O26" s="17">
        <v>46042</v>
      </c>
      <c r="P26" s="19">
        <v>5.0000000000000001E-3</v>
      </c>
      <c r="Q26" s="4" t="s">
        <v>228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2">
        <f t="shared" si="6"/>
        <v>0</v>
      </c>
      <c r="AE26" s="12"/>
      <c r="AF26" s="2"/>
      <c r="AG26" s="2"/>
      <c r="AH26" s="2"/>
    </row>
    <row r="27" spans="1:34" ht="15" customHeight="1" x14ac:dyDescent="0.25">
      <c r="A27">
        <f t="shared" si="0"/>
        <v>21</v>
      </c>
      <c r="B27" t="str">
        <f t="shared" si="1"/>
        <v>A</v>
      </c>
      <c r="C27">
        <f t="shared" si="2"/>
        <v>0</v>
      </c>
      <c r="D27">
        <f t="shared" si="3"/>
        <v>0</v>
      </c>
      <c r="E27">
        <f t="shared" si="4"/>
        <v>0</v>
      </c>
      <c r="F27">
        <f t="shared" si="5"/>
        <v>0</v>
      </c>
      <c r="G27" t="s">
        <v>222</v>
      </c>
      <c r="H27" s="29">
        <v>22</v>
      </c>
      <c r="I27" s="22" t="s">
        <v>12</v>
      </c>
      <c r="J27" s="4" t="s">
        <v>107</v>
      </c>
      <c r="K27" s="17">
        <v>46044</v>
      </c>
      <c r="L27" s="4" t="s">
        <v>133</v>
      </c>
      <c r="M27" s="4" t="s">
        <v>84</v>
      </c>
      <c r="N27" s="17">
        <v>46044</v>
      </c>
      <c r="O27" s="17">
        <v>46044</v>
      </c>
      <c r="P27" s="4"/>
      <c r="Q27" s="4"/>
      <c r="R27" s="18"/>
      <c r="S27" s="18"/>
      <c r="T27" s="12"/>
      <c r="U27" s="18"/>
      <c r="V27" s="18"/>
      <c r="W27" s="18"/>
      <c r="X27" s="18"/>
      <c r="Y27" s="18"/>
      <c r="Z27" s="18"/>
      <c r="AA27" s="18"/>
      <c r="AB27" s="18"/>
      <c r="AC27" s="18"/>
      <c r="AD27" s="12">
        <f t="shared" si="6"/>
        <v>0</v>
      </c>
      <c r="AE27" s="12"/>
      <c r="AF27" s="2"/>
      <c r="AG27" s="2"/>
      <c r="AH27" s="2"/>
    </row>
    <row r="28" spans="1:34" ht="15" customHeight="1" x14ac:dyDescent="0.25">
      <c r="A28">
        <f t="shared" si="0"/>
        <v>22</v>
      </c>
      <c r="B28" t="str">
        <f t="shared" si="1"/>
        <v>A</v>
      </c>
      <c r="C28">
        <f t="shared" si="2"/>
        <v>0</v>
      </c>
      <c r="D28">
        <f t="shared" si="3"/>
        <v>0</v>
      </c>
      <c r="E28">
        <f t="shared" si="4"/>
        <v>0</v>
      </c>
      <c r="F28">
        <f t="shared" si="5"/>
        <v>0</v>
      </c>
      <c r="G28" t="s">
        <v>222</v>
      </c>
      <c r="H28" s="29">
        <v>23</v>
      </c>
      <c r="I28" s="22" t="s">
        <v>38</v>
      </c>
      <c r="J28" s="4" t="s">
        <v>95</v>
      </c>
      <c r="K28" s="17">
        <v>46037</v>
      </c>
      <c r="L28" s="4" t="s">
        <v>96</v>
      </c>
      <c r="M28" s="4" t="s">
        <v>84</v>
      </c>
      <c r="N28" s="17">
        <v>46037</v>
      </c>
      <c r="O28" s="17">
        <v>46037</v>
      </c>
      <c r="P28" s="4"/>
      <c r="Q28" s="4" t="s">
        <v>229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2">
        <f t="shared" si="6"/>
        <v>0</v>
      </c>
      <c r="AE28" s="12"/>
      <c r="AF28" s="2"/>
      <c r="AG28" s="2"/>
      <c r="AH28" s="2"/>
    </row>
    <row r="29" spans="1:34" ht="15" customHeight="1" x14ac:dyDescent="0.25">
      <c r="A29">
        <f t="shared" si="0"/>
        <v>23</v>
      </c>
      <c r="B29" t="str">
        <f t="shared" si="1"/>
        <v>A</v>
      </c>
      <c r="C29">
        <f t="shared" si="2"/>
        <v>0</v>
      </c>
      <c r="D29">
        <f t="shared" si="3"/>
        <v>0</v>
      </c>
      <c r="E29">
        <f>IF(F29="C",#REF!+1,0)</f>
        <v>0</v>
      </c>
      <c r="F29">
        <f t="shared" si="5"/>
        <v>0</v>
      </c>
      <c r="G29" t="s">
        <v>222</v>
      </c>
      <c r="H29" s="5">
        <v>40</v>
      </c>
      <c r="I29" s="22" t="s">
        <v>2</v>
      </c>
      <c r="J29" s="4" t="s">
        <v>99</v>
      </c>
      <c r="K29" s="17">
        <v>46037</v>
      </c>
      <c r="L29" s="4" t="s">
        <v>100</v>
      </c>
      <c r="M29" s="4" t="s">
        <v>84</v>
      </c>
      <c r="N29" s="17">
        <v>46037</v>
      </c>
      <c r="O29" s="17">
        <v>46037</v>
      </c>
      <c r="P29" s="4"/>
      <c r="Q29" s="4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2">
        <f t="shared" si="6"/>
        <v>0</v>
      </c>
      <c r="AE29" s="12"/>
      <c r="AF29" s="2"/>
      <c r="AG29" s="2"/>
      <c r="AH29" s="2"/>
    </row>
    <row r="30" spans="1:34" ht="15" customHeight="1" x14ac:dyDescent="0.25">
      <c r="A30">
        <f t="shared" si="0"/>
        <v>24</v>
      </c>
      <c r="B30" t="str">
        <f t="shared" si="1"/>
        <v>A</v>
      </c>
      <c r="C30">
        <f t="shared" si="2"/>
        <v>0</v>
      </c>
      <c r="D30">
        <f t="shared" si="3"/>
        <v>0</v>
      </c>
      <c r="E30">
        <f t="shared" si="4"/>
        <v>0</v>
      </c>
      <c r="F30">
        <f t="shared" si="5"/>
        <v>0</v>
      </c>
      <c r="G30" t="s">
        <v>222</v>
      </c>
      <c r="H30" s="5">
        <v>30</v>
      </c>
      <c r="I30" s="22" t="s">
        <v>19</v>
      </c>
      <c r="J30" s="4" t="s">
        <v>119</v>
      </c>
      <c r="K30" s="17">
        <v>46044</v>
      </c>
      <c r="L30" s="4" t="s">
        <v>129</v>
      </c>
      <c r="M30" s="4" t="s">
        <v>84</v>
      </c>
      <c r="N30" s="17">
        <v>46044</v>
      </c>
      <c r="O30" s="17">
        <v>46044</v>
      </c>
      <c r="P30" s="4"/>
      <c r="Q30" s="4" t="s">
        <v>230</v>
      </c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2">
        <f t="shared" si="6"/>
        <v>0</v>
      </c>
      <c r="AE30" s="12"/>
      <c r="AF30" s="2"/>
      <c r="AG30" s="2"/>
      <c r="AH30" s="2"/>
    </row>
    <row r="31" spans="1:34" ht="15" customHeight="1" x14ac:dyDescent="0.25">
      <c r="A31">
        <f t="shared" si="0"/>
        <v>25</v>
      </c>
      <c r="B31" t="str">
        <f t="shared" ref="B31" si="7">IF(G31="HIJAU","A",0)</f>
        <v>A</v>
      </c>
      <c r="C31">
        <f t="shared" si="2"/>
        <v>0</v>
      </c>
      <c r="D31">
        <f t="shared" ref="D31" si="8">IF(G31="MERAH","B",0)</f>
        <v>0</v>
      </c>
      <c r="E31">
        <f t="shared" ref="E31" si="9">IF(F31="C",E30+1,0)</f>
        <v>0</v>
      </c>
      <c r="F31">
        <f t="shared" ref="F31" si="10">IF(G31=0,"C",0)</f>
        <v>0</v>
      </c>
      <c r="G31" t="s">
        <v>222</v>
      </c>
      <c r="H31" s="5">
        <v>45</v>
      </c>
      <c r="I31" s="22" t="s">
        <v>50</v>
      </c>
      <c r="J31" s="4" t="s">
        <v>153</v>
      </c>
      <c r="K31" s="17">
        <v>46049</v>
      </c>
      <c r="L31" s="4" t="s">
        <v>160</v>
      </c>
      <c r="M31" s="4" t="s">
        <v>84</v>
      </c>
      <c r="N31" s="17">
        <v>46049</v>
      </c>
      <c r="O31" s="17">
        <v>46049</v>
      </c>
      <c r="P31" s="20">
        <v>0.01</v>
      </c>
      <c r="Q31" s="4" t="s">
        <v>214</v>
      </c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2">
        <f t="shared" si="6"/>
        <v>0</v>
      </c>
      <c r="AE31" s="12"/>
      <c r="AF31" s="2"/>
      <c r="AG31" s="2"/>
      <c r="AH31" s="2"/>
    </row>
    <row r="32" spans="1:34" ht="15" customHeight="1" x14ac:dyDescent="0.25">
      <c r="A32">
        <f t="shared" si="0"/>
        <v>26</v>
      </c>
      <c r="B32" t="str">
        <f t="shared" si="1"/>
        <v>A</v>
      </c>
      <c r="C32">
        <f t="shared" si="2"/>
        <v>0</v>
      </c>
      <c r="D32">
        <f t="shared" si="3"/>
        <v>0</v>
      </c>
      <c r="E32">
        <f>IF(F32="C",E30+1,0)</f>
        <v>0</v>
      </c>
      <c r="F32">
        <f t="shared" si="5"/>
        <v>0</v>
      </c>
      <c r="G32" t="s">
        <v>222</v>
      </c>
      <c r="H32" s="5">
        <v>4</v>
      </c>
      <c r="I32" s="22" t="s">
        <v>18</v>
      </c>
      <c r="J32" s="4" t="s">
        <v>144</v>
      </c>
      <c r="K32" s="17">
        <v>46049</v>
      </c>
      <c r="L32" s="4" t="s">
        <v>161</v>
      </c>
      <c r="M32" s="4" t="s">
        <v>84</v>
      </c>
      <c r="N32" s="17">
        <v>46049</v>
      </c>
      <c r="O32" s="17">
        <v>46049</v>
      </c>
      <c r="P32" s="4"/>
      <c r="Q32" s="4" t="s">
        <v>213</v>
      </c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2">
        <f t="shared" si="6"/>
        <v>0</v>
      </c>
      <c r="AE32" s="12"/>
      <c r="AF32" s="2"/>
      <c r="AG32" s="2"/>
      <c r="AH32" s="2"/>
    </row>
    <row r="33" spans="1:34" ht="15" customHeight="1" x14ac:dyDescent="0.25">
      <c r="A33">
        <f t="shared" si="0"/>
        <v>0</v>
      </c>
      <c r="B33">
        <f t="shared" si="1"/>
        <v>0</v>
      </c>
      <c r="C33">
        <f t="shared" si="2"/>
        <v>1</v>
      </c>
      <c r="D33" t="str">
        <f t="shared" si="3"/>
        <v>B</v>
      </c>
      <c r="E33">
        <f t="shared" si="4"/>
        <v>0</v>
      </c>
      <c r="F33">
        <f t="shared" si="5"/>
        <v>0</v>
      </c>
      <c r="G33" t="s">
        <v>223</v>
      </c>
      <c r="H33" s="5">
        <v>1</v>
      </c>
      <c r="I33" s="23" t="s">
        <v>48</v>
      </c>
      <c r="J33" s="4" t="s">
        <v>149</v>
      </c>
      <c r="K33" s="17">
        <v>46049</v>
      </c>
      <c r="L33" s="4" t="s">
        <v>177</v>
      </c>
      <c r="M33" s="4" t="s">
        <v>84</v>
      </c>
      <c r="N33" s="17">
        <v>46050</v>
      </c>
      <c r="O33" s="17">
        <v>46055</v>
      </c>
      <c r="P33" s="4"/>
      <c r="Q33" s="4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2">
        <f t="shared" si="6"/>
        <v>0</v>
      </c>
      <c r="AE33" s="12"/>
      <c r="AF33" s="2"/>
      <c r="AG33" s="2"/>
      <c r="AH33" s="2"/>
    </row>
    <row r="34" spans="1:34" ht="15" customHeight="1" x14ac:dyDescent="0.25">
      <c r="A34">
        <f t="shared" si="0"/>
        <v>0</v>
      </c>
      <c r="B34">
        <f t="shared" si="1"/>
        <v>0</v>
      </c>
      <c r="C34">
        <f t="shared" si="2"/>
        <v>2</v>
      </c>
      <c r="D34" t="str">
        <f t="shared" si="3"/>
        <v>B</v>
      </c>
      <c r="E34">
        <f t="shared" si="4"/>
        <v>0</v>
      </c>
      <c r="F34">
        <f t="shared" si="5"/>
        <v>0</v>
      </c>
      <c r="G34" t="s">
        <v>223</v>
      </c>
      <c r="H34" s="5">
        <v>2</v>
      </c>
      <c r="I34" s="23" t="s">
        <v>17</v>
      </c>
      <c r="J34" s="4" t="s">
        <v>167</v>
      </c>
      <c r="K34" s="17">
        <v>46050</v>
      </c>
      <c r="L34" s="4" t="s">
        <v>181</v>
      </c>
      <c r="M34" s="4" t="s">
        <v>84</v>
      </c>
      <c r="N34" s="17">
        <v>46051</v>
      </c>
      <c r="O34" s="17">
        <v>46051</v>
      </c>
      <c r="P34" s="4"/>
      <c r="Q34" s="4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2">
        <f t="shared" si="6"/>
        <v>0</v>
      </c>
      <c r="AE34" s="12"/>
      <c r="AF34" s="2"/>
      <c r="AG34" s="2"/>
      <c r="AH34" s="2"/>
    </row>
    <row r="35" spans="1:34" ht="15" customHeight="1" x14ac:dyDescent="0.25">
      <c r="A35">
        <f t="shared" si="0"/>
        <v>0</v>
      </c>
      <c r="B35">
        <f t="shared" si="1"/>
        <v>0</v>
      </c>
      <c r="C35">
        <f t="shared" si="2"/>
        <v>3</v>
      </c>
      <c r="D35" t="str">
        <f t="shared" si="3"/>
        <v>B</v>
      </c>
      <c r="E35">
        <f t="shared" si="4"/>
        <v>0</v>
      </c>
      <c r="F35">
        <f t="shared" si="5"/>
        <v>0</v>
      </c>
      <c r="G35" t="s">
        <v>223</v>
      </c>
      <c r="H35" s="5">
        <v>3</v>
      </c>
      <c r="I35" s="23" t="s">
        <v>9</v>
      </c>
      <c r="J35" s="4" t="s">
        <v>122</v>
      </c>
      <c r="K35" s="17">
        <v>46044</v>
      </c>
      <c r="L35" s="4" t="s">
        <v>131</v>
      </c>
      <c r="M35" s="4" t="s">
        <v>84</v>
      </c>
      <c r="N35" s="17">
        <v>46044</v>
      </c>
      <c r="O35" s="4"/>
      <c r="P35" s="19">
        <v>5.0000000000000001E-3</v>
      </c>
      <c r="Q35" s="4" t="s">
        <v>209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2">
        <f t="shared" si="6"/>
        <v>0</v>
      </c>
      <c r="AE35" s="12"/>
      <c r="AF35" s="2"/>
      <c r="AG35" s="2"/>
      <c r="AH35" s="2"/>
    </row>
    <row r="36" spans="1:34" ht="15" customHeight="1" x14ac:dyDescent="0.25">
      <c r="A36">
        <f t="shared" si="0"/>
        <v>0</v>
      </c>
      <c r="B36">
        <f t="shared" si="1"/>
        <v>0</v>
      </c>
      <c r="C36">
        <f t="shared" si="2"/>
        <v>0</v>
      </c>
      <c r="D36">
        <f t="shared" si="3"/>
        <v>0</v>
      </c>
      <c r="E36">
        <f t="shared" si="4"/>
        <v>1</v>
      </c>
      <c r="F36" t="str">
        <f t="shared" si="5"/>
        <v>C</v>
      </c>
      <c r="H36" s="5">
        <v>1</v>
      </c>
      <c r="I36" s="4" t="s">
        <v>40</v>
      </c>
      <c r="J36" s="4" t="s">
        <v>76</v>
      </c>
      <c r="K36" s="17">
        <v>46034</v>
      </c>
      <c r="L36" s="4" t="s">
        <v>83</v>
      </c>
      <c r="M36" s="4" t="s">
        <v>84</v>
      </c>
      <c r="N36" s="17">
        <v>46035</v>
      </c>
      <c r="O36" s="17">
        <v>46035</v>
      </c>
      <c r="P36" s="17"/>
      <c r="Q36" s="17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2">
        <f t="shared" si="6"/>
        <v>0</v>
      </c>
      <c r="AE36" s="12"/>
      <c r="AF36" s="2"/>
      <c r="AG36" s="2"/>
      <c r="AH36" s="2"/>
    </row>
    <row r="37" spans="1:34" ht="15" customHeight="1" x14ac:dyDescent="0.25">
      <c r="A37">
        <f t="shared" si="0"/>
        <v>0</v>
      </c>
      <c r="B37">
        <f t="shared" si="1"/>
        <v>0</v>
      </c>
      <c r="C37">
        <f t="shared" si="2"/>
        <v>0</v>
      </c>
      <c r="D37">
        <f t="shared" si="3"/>
        <v>0</v>
      </c>
      <c r="E37">
        <f t="shared" si="4"/>
        <v>2</v>
      </c>
      <c r="F37" t="str">
        <f t="shared" si="5"/>
        <v>C</v>
      </c>
      <c r="H37" s="5">
        <v>8</v>
      </c>
      <c r="I37" s="4" t="s">
        <v>36</v>
      </c>
      <c r="J37" s="4" t="s">
        <v>108</v>
      </c>
      <c r="K37" s="17">
        <v>46044</v>
      </c>
      <c r="L37" s="4" t="s">
        <v>134</v>
      </c>
      <c r="M37" s="4" t="s">
        <v>84</v>
      </c>
      <c r="N37" s="17">
        <v>46044</v>
      </c>
      <c r="O37" s="17">
        <v>46044</v>
      </c>
      <c r="P37" s="4"/>
      <c r="Q37" s="4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2">
        <f t="shared" si="6"/>
        <v>0</v>
      </c>
      <c r="AE37" s="12"/>
      <c r="AF37" s="2"/>
      <c r="AG37" s="2"/>
      <c r="AH37" s="2"/>
    </row>
    <row r="38" spans="1:34" ht="15" customHeight="1" x14ac:dyDescent="0.25">
      <c r="A38">
        <f t="shared" si="0"/>
        <v>0</v>
      </c>
      <c r="B38">
        <f t="shared" si="1"/>
        <v>0</v>
      </c>
      <c r="C38">
        <f t="shared" si="2"/>
        <v>0</v>
      </c>
      <c r="D38">
        <f t="shared" si="3"/>
        <v>0</v>
      </c>
      <c r="E38">
        <f t="shared" si="4"/>
        <v>3</v>
      </c>
      <c r="F38" t="str">
        <f t="shared" si="5"/>
        <v>C</v>
      </c>
      <c r="H38" s="5">
        <v>9</v>
      </c>
      <c r="I38" s="4" t="s">
        <v>42</v>
      </c>
      <c r="J38" s="4" t="s">
        <v>87</v>
      </c>
      <c r="K38" s="17">
        <v>46037</v>
      </c>
      <c r="L38" s="4" t="s">
        <v>88</v>
      </c>
      <c r="M38" s="4" t="s">
        <v>84</v>
      </c>
      <c r="N38" s="17">
        <v>46037</v>
      </c>
      <c r="O38" s="17">
        <v>46062</v>
      </c>
      <c r="P38" s="4"/>
      <c r="Q38" s="4" t="s">
        <v>220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2">
        <f t="shared" si="6"/>
        <v>0</v>
      </c>
      <c r="AE38" s="12"/>
      <c r="AF38" s="2"/>
      <c r="AG38" s="2"/>
      <c r="AH38" s="2"/>
    </row>
    <row r="39" spans="1:34" ht="15" customHeight="1" x14ac:dyDescent="0.25">
      <c r="A39">
        <f t="shared" si="0"/>
        <v>0</v>
      </c>
      <c r="B39">
        <f t="shared" si="1"/>
        <v>0</v>
      </c>
      <c r="C39">
        <f t="shared" si="2"/>
        <v>0</v>
      </c>
      <c r="D39">
        <f t="shared" si="3"/>
        <v>0</v>
      </c>
      <c r="E39">
        <f t="shared" si="4"/>
        <v>4</v>
      </c>
      <c r="F39" t="str">
        <f t="shared" si="5"/>
        <v>C</v>
      </c>
      <c r="H39" s="5">
        <v>13</v>
      </c>
      <c r="I39" s="4" t="s">
        <v>23</v>
      </c>
      <c r="J39" s="4" t="s">
        <v>145</v>
      </c>
      <c r="K39" s="17">
        <v>46049</v>
      </c>
      <c r="L39" s="4" t="s">
        <v>162</v>
      </c>
      <c r="M39" s="4" t="s">
        <v>163</v>
      </c>
      <c r="N39" s="17">
        <v>46049</v>
      </c>
      <c r="O39" s="17">
        <v>46049</v>
      </c>
      <c r="P39" s="4"/>
      <c r="Q39" s="4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2">
        <f t="shared" si="6"/>
        <v>0</v>
      </c>
      <c r="AE39" s="12"/>
      <c r="AF39" s="2"/>
      <c r="AG39" s="2"/>
      <c r="AH39" s="2"/>
    </row>
    <row r="40" spans="1:34" ht="15" customHeight="1" x14ac:dyDescent="0.25">
      <c r="A40">
        <f t="shared" si="0"/>
        <v>0</v>
      </c>
      <c r="B40">
        <f t="shared" si="1"/>
        <v>0</v>
      </c>
      <c r="C40">
        <f t="shared" si="2"/>
        <v>0</v>
      </c>
      <c r="D40">
        <f t="shared" si="3"/>
        <v>0</v>
      </c>
      <c r="E40">
        <f t="shared" si="4"/>
        <v>5</v>
      </c>
      <c r="F40" t="str">
        <f t="shared" si="5"/>
        <v>C</v>
      </c>
      <c r="H40" s="5">
        <v>14</v>
      </c>
      <c r="I40" s="4" t="s">
        <v>33</v>
      </c>
      <c r="J40" s="4" t="s">
        <v>146</v>
      </c>
      <c r="K40" s="17">
        <v>46049</v>
      </c>
      <c r="L40" s="4" t="s">
        <v>189</v>
      </c>
      <c r="M40" s="4" t="s">
        <v>84</v>
      </c>
      <c r="N40" s="17">
        <v>46050</v>
      </c>
      <c r="O40" s="17">
        <v>46055</v>
      </c>
      <c r="P40" s="4"/>
      <c r="Q40" s="4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2">
        <f t="shared" si="6"/>
        <v>0</v>
      </c>
      <c r="AE40" s="12"/>
      <c r="AF40" s="2"/>
      <c r="AG40" s="2"/>
      <c r="AH40" s="2"/>
    </row>
    <row r="41" spans="1:34" ht="15" customHeight="1" x14ac:dyDescent="0.25">
      <c r="A41">
        <f t="shared" si="0"/>
        <v>0</v>
      </c>
      <c r="B41">
        <f t="shared" si="1"/>
        <v>0</v>
      </c>
      <c r="C41">
        <f t="shared" si="2"/>
        <v>0</v>
      </c>
      <c r="D41">
        <f t="shared" si="3"/>
        <v>0</v>
      </c>
      <c r="E41">
        <f t="shared" si="4"/>
        <v>6</v>
      </c>
      <c r="F41" t="str">
        <f t="shared" si="5"/>
        <v>C</v>
      </c>
      <c r="H41" s="5">
        <v>17</v>
      </c>
      <c r="I41" s="4" t="s">
        <v>43</v>
      </c>
      <c r="J41" s="4" t="s">
        <v>111</v>
      </c>
      <c r="K41" s="17">
        <v>46044</v>
      </c>
      <c r="L41" s="4" t="s">
        <v>135</v>
      </c>
      <c r="M41" s="4" t="s">
        <v>84</v>
      </c>
      <c r="N41" s="17">
        <v>46044</v>
      </c>
      <c r="O41" s="17">
        <v>46044</v>
      </c>
      <c r="P41" s="4"/>
      <c r="Q41" s="4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2">
        <f t="shared" si="6"/>
        <v>0</v>
      </c>
      <c r="AE41" s="12"/>
      <c r="AF41" s="2"/>
      <c r="AG41" s="2"/>
      <c r="AH41" s="2"/>
    </row>
    <row r="42" spans="1:34" ht="15" customHeight="1" x14ac:dyDescent="0.25">
      <c r="A42">
        <f t="shared" si="0"/>
        <v>0</v>
      </c>
      <c r="B42">
        <f t="shared" si="1"/>
        <v>0</v>
      </c>
      <c r="C42">
        <f t="shared" si="2"/>
        <v>0</v>
      </c>
      <c r="D42">
        <f t="shared" si="3"/>
        <v>0</v>
      </c>
      <c r="E42">
        <f t="shared" si="4"/>
        <v>7</v>
      </c>
      <c r="F42" t="str">
        <f t="shared" si="5"/>
        <v>C</v>
      </c>
      <c r="H42" s="5">
        <v>18</v>
      </c>
      <c r="I42" s="4" t="s">
        <v>44</v>
      </c>
      <c r="J42" s="4" t="s">
        <v>147</v>
      </c>
      <c r="K42" s="17">
        <v>46049</v>
      </c>
      <c r="L42" s="4" t="s">
        <v>156</v>
      </c>
      <c r="M42" s="4" t="s">
        <v>84</v>
      </c>
      <c r="N42" s="17">
        <v>46049</v>
      </c>
      <c r="O42" s="17">
        <v>46049</v>
      </c>
      <c r="P42" s="4"/>
      <c r="Q42" s="4" t="s">
        <v>221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2">
        <f t="shared" si="6"/>
        <v>0</v>
      </c>
      <c r="AE42" s="12"/>
      <c r="AF42" s="2"/>
      <c r="AG42" s="2"/>
      <c r="AH42" s="2"/>
    </row>
    <row r="43" spans="1:34" ht="15" customHeight="1" x14ac:dyDescent="0.25">
      <c r="A43">
        <f t="shared" si="0"/>
        <v>0</v>
      </c>
      <c r="B43">
        <f t="shared" si="1"/>
        <v>0</v>
      </c>
      <c r="C43">
        <f t="shared" si="2"/>
        <v>0</v>
      </c>
      <c r="D43">
        <f t="shared" si="3"/>
        <v>0</v>
      </c>
      <c r="E43">
        <f t="shared" si="4"/>
        <v>8</v>
      </c>
      <c r="F43" t="str">
        <f t="shared" si="5"/>
        <v>C</v>
      </c>
      <c r="H43" s="5">
        <v>19</v>
      </c>
      <c r="I43" s="4" t="s">
        <v>34</v>
      </c>
      <c r="J43" s="4" t="s">
        <v>148</v>
      </c>
      <c r="K43" s="17">
        <v>46049</v>
      </c>
      <c r="L43" s="4" t="s">
        <v>176</v>
      </c>
      <c r="M43" s="4" t="s">
        <v>84</v>
      </c>
      <c r="N43" s="17">
        <v>46050</v>
      </c>
      <c r="O43" s="17">
        <v>46050</v>
      </c>
      <c r="P43" s="4"/>
      <c r="Q43" s="4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2">
        <f t="shared" si="6"/>
        <v>0</v>
      </c>
      <c r="AE43" s="12"/>
      <c r="AF43" s="2"/>
      <c r="AG43" s="2"/>
      <c r="AH43" s="2"/>
    </row>
    <row r="44" spans="1:34" ht="15" customHeight="1" x14ac:dyDescent="0.25">
      <c r="A44">
        <f t="shared" si="0"/>
        <v>0</v>
      </c>
      <c r="B44">
        <f t="shared" si="1"/>
        <v>0</v>
      </c>
      <c r="C44">
        <f t="shared" si="2"/>
        <v>0</v>
      </c>
      <c r="D44">
        <f t="shared" si="3"/>
        <v>0</v>
      </c>
      <c r="E44">
        <f t="shared" si="4"/>
        <v>9</v>
      </c>
      <c r="F44" t="str">
        <f t="shared" si="5"/>
        <v>C</v>
      </c>
      <c r="H44" s="5">
        <v>22</v>
      </c>
      <c r="I44" s="4" t="s">
        <v>32</v>
      </c>
      <c r="J44" s="4" t="s">
        <v>114</v>
      </c>
      <c r="K44" s="17">
        <v>46044</v>
      </c>
      <c r="L44" s="4" t="s">
        <v>126</v>
      </c>
      <c r="M44" s="4" t="s">
        <v>84</v>
      </c>
      <c r="N44" s="17">
        <v>46044</v>
      </c>
      <c r="O44" s="17">
        <v>46044</v>
      </c>
      <c r="P44" s="4"/>
      <c r="Q44" s="4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2">
        <f t="shared" si="6"/>
        <v>0</v>
      </c>
      <c r="AE44" s="12"/>
      <c r="AF44" s="2"/>
      <c r="AG44" s="2"/>
      <c r="AH44" s="2"/>
    </row>
    <row r="45" spans="1:34" ht="15" customHeight="1" x14ac:dyDescent="0.25">
      <c r="A45">
        <f t="shared" si="0"/>
        <v>0</v>
      </c>
      <c r="B45">
        <f t="shared" si="1"/>
        <v>0</v>
      </c>
      <c r="C45">
        <f t="shared" si="2"/>
        <v>0</v>
      </c>
      <c r="D45">
        <f t="shared" si="3"/>
        <v>0</v>
      </c>
      <c r="E45">
        <f t="shared" si="4"/>
        <v>10</v>
      </c>
      <c r="F45" t="str">
        <f t="shared" si="5"/>
        <v>C</v>
      </c>
      <c r="H45" s="5">
        <v>24</v>
      </c>
      <c r="I45" s="4" t="s">
        <v>29</v>
      </c>
      <c r="J45" s="4" t="s">
        <v>116</v>
      </c>
      <c r="K45" s="17">
        <v>46044</v>
      </c>
      <c r="L45" s="4" t="s">
        <v>139</v>
      </c>
      <c r="M45" s="4" t="s">
        <v>84</v>
      </c>
      <c r="N45" s="17">
        <v>46044</v>
      </c>
      <c r="O45" s="17">
        <v>46044</v>
      </c>
      <c r="P45" s="4"/>
      <c r="Q45" s="4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2">
        <f t="shared" si="6"/>
        <v>0</v>
      </c>
      <c r="AE45" s="12"/>
      <c r="AF45" s="2"/>
      <c r="AG45" s="2"/>
      <c r="AH45" s="2"/>
    </row>
    <row r="46" spans="1:34" ht="15" customHeight="1" x14ac:dyDescent="0.25">
      <c r="A46">
        <f t="shared" si="0"/>
        <v>0</v>
      </c>
      <c r="B46">
        <f t="shared" si="1"/>
        <v>0</v>
      </c>
      <c r="C46">
        <f t="shared" si="2"/>
        <v>0</v>
      </c>
      <c r="D46">
        <f t="shared" si="3"/>
        <v>0</v>
      </c>
      <c r="E46">
        <f t="shared" si="4"/>
        <v>11</v>
      </c>
      <c r="F46" t="str">
        <f t="shared" si="5"/>
        <v>C</v>
      </c>
      <c r="H46" s="5">
        <v>27</v>
      </c>
      <c r="I46" s="4" t="s">
        <v>47</v>
      </c>
      <c r="J46" s="4" t="s">
        <v>166</v>
      </c>
      <c r="K46" s="17">
        <v>46050</v>
      </c>
      <c r="L46" s="4" t="s">
        <v>180</v>
      </c>
      <c r="M46" s="4" t="s">
        <v>84</v>
      </c>
      <c r="N46" s="17">
        <v>46051</v>
      </c>
      <c r="O46" s="17">
        <v>46051</v>
      </c>
      <c r="P46" s="4"/>
      <c r="Q46" s="4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2">
        <f t="shared" si="6"/>
        <v>0</v>
      </c>
      <c r="AE46" s="12"/>
      <c r="AF46" s="2"/>
      <c r="AG46" s="2"/>
      <c r="AH46" s="2"/>
    </row>
    <row r="47" spans="1:34" ht="15" customHeight="1" x14ac:dyDescent="0.25">
      <c r="A47">
        <f t="shared" si="0"/>
        <v>0</v>
      </c>
      <c r="B47">
        <f t="shared" si="1"/>
        <v>0</v>
      </c>
      <c r="C47">
        <f t="shared" si="2"/>
        <v>0</v>
      </c>
      <c r="D47">
        <f t="shared" si="3"/>
        <v>0</v>
      </c>
      <c r="E47">
        <f t="shared" si="4"/>
        <v>12</v>
      </c>
      <c r="F47" t="str">
        <f t="shared" si="5"/>
        <v>C</v>
      </c>
      <c r="H47" s="5">
        <v>34</v>
      </c>
      <c r="I47" s="4" t="s">
        <v>26</v>
      </c>
      <c r="J47" s="4" t="s">
        <v>150</v>
      </c>
      <c r="K47" s="17">
        <v>46049</v>
      </c>
      <c r="L47" s="4" t="s">
        <v>157</v>
      </c>
      <c r="M47" s="4" t="s">
        <v>84</v>
      </c>
      <c r="N47" s="17">
        <v>46049</v>
      </c>
      <c r="O47" s="17">
        <v>46049</v>
      </c>
      <c r="P47" s="4"/>
      <c r="Q47" s="4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2">
        <f t="shared" si="6"/>
        <v>0</v>
      </c>
      <c r="AE47" s="12"/>
      <c r="AF47" s="2"/>
      <c r="AG47" s="2"/>
      <c r="AH47" s="2"/>
    </row>
    <row r="48" spans="1:34" ht="15" customHeight="1" x14ac:dyDescent="0.25">
      <c r="A48">
        <f t="shared" si="0"/>
        <v>0</v>
      </c>
      <c r="B48">
        <f t="shared" si="1"/>
        <v>0</v>
      </c>
      <c r="C48">
        <f t="shared" si="2"/>
        <v>0</v>
      </c>
      <c r="D48">
        <f t="shared" si="3"/>
        <v>0</v>
      </c>
      <c r="E48">
        <f t="shared" si="4"/>
        <v>13</v>
      </c>
      <c r="F48" t="str">
        <f t="shared" si="5"/>
        <v>C</v>
      </c>
      <c r="H48" s="5">
        <v>35</v>
      </c>
      <c r="I48" s="4" t="s">
        <v>20</v>
      </c>
      <c r="J48" s="4" t="s">
        <v>151</v>
      </c>
      <c r="K48" s="17">
        <v>46049</v>
      </c>
      <c r="L48" s="4" t="s">
        <v>158</v>
      </c>
      <c r="M48" s="4" t="s">
        <v>84</v>
      </c>
      <c r="N48" s="17">
        <v>46049</v>
      </c>
      <c r="O48" s="17">
        <v>46049</v>
      </c>
      <c r="P48" s="4"/>
      <c r="Q48" s="4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2">
        <f t="shared" si="6"/>
        <v>0</v>
      </c>
      <c r="AE48" s="12"/>
      <c r="AF48" s="2"/>
      <c r="AG48" s="2"/>
      <c r="AH48" s="2"/>
    </row>
    <row r="49" spans="1:34" ht="15" customHeight="1" x14ac:dyDescent="0.25">
      <c r="A49">
        <f t="shared" si="0"/>
        <v>0</v>
      </c>
      <c r="B49">
        <f t="shared" si="1"/>
        <v>0</v>
      </c>
      <c r="C49">
        <f t="shared" si="2"/>
        <v>0</v>
      </c>
      <c r="D49">
        <f t="shared" si="3"/>
        <v>0</v>
      </c>
      <c r="E49">
        <f t="shared" si="4"/>
        <v>14</v>
      </c>
      <c r="F49" t="str">
        <f t="shared" si="5"/>
        <v>C</v>
      </c>
      <c r="H49" s="5">
        <v>37</v>
      </c>
      <c r="I49" s="4" t="s">
        <v>13</v>
      </c>
      <c r="J49" s="4" t="s">
        <v>97</v>
      </c>
      <c r="K49" s="17">
        <v>46037</v>
      </c>
      <c r="L49" s="4" t="s">
        <v>98</v>
      </c>
      <c r="M49" s="4" t="s">
        <v>84</v>
      </c>
      <c r="N49" s="17">
        <v>46037</v>
      </c>
      <c r="O49" s="17">
        <v>46037</v>
      </c>
      <c r="P49" s="4"/>
      <c r="Q49" s="4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2">
        <f t="shared" si="6"/>
        <v>0</v>
      </c>
      <c r="AE49" s="12"/>
      <c r="AF49" s="2"/>
      <c r="AG49" s="2"/>
      <c r="AH49" s="2"/>
    </row>
    <row r="50" spans="1:34" ht="15" customHeight="1" x14ac:dyDescent="0.25">
      <c r="A50">
        <f t="shared" si="0"/>
        <v>0</v>
      </c>
      <c r="B50">
        <f t="shared" si="1"/>
        <v>0</v>
      </c>
      <c r="C50">
        <f t="shared" si="2"/>
        <v>0</v>
      </c>
      <c r="D50">
        <f t="shared" si="3"/>
        <v>0</v>
      </c>
      <c r="E50">
        <f t="shared" si="4"/>
        <v>15</v>
      </c>
      <c r="F50" t="str">
        <f t="shared" si="5"/>
        <v>C</v>
      </c>
      <c r="H50" s="5">
        <v>38</v>
      </c>
      <c r="I50" s="4" t="s">
        <v>28</v>
      </c>
      <c r="J50" s="4" t="s">
        <v>168</v>
      </c>
      <c r="K50" s="17">
        <v>46050</v>
      </c>
      <c r="L50" s="4" t="s">
        <v>208</v>
      </c>
      <c r="M50" s="4" t="s">
        <v>84</v>
      </c>
      <c r="N50" s="17">
        <v>46060</v>
      </c>
      <c r="O50" s="17">
        <v>46061</v>
      </c>
      <c r="P50" s="4"/>
      <c r="Q50" s="4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2">
        <f t="shared" si="6"/>
        <v>0</v>
      </c>
      <c r="AE50" s="12"/>
      <c r="AF50" s="2"/>
      <c r="AG50" s="2"/>
      <c r="AH50" s="2"/>
    </row>
    <row r="51" spans="1:34" ht="15" customHeight="1" x14ac:dyDescent="0.25">
      <c r="A51">
        <f t="shared" si="0"/>
        <v>0</v>
      </c>
      <c r="B51">
        <f t="shared" si="1"/>
        <v>0</v>
      </c>
      <c r="C51">
        <f t="shared" si="2"/>
        <v>0</v>
      </c>
      <c r="D51">
        <f t="shared" si="3"/>
        <v>0</v>
      </c>
      <c r="E51">
        <f t="shared" si="4"/>
        <v>16</v>
      </c>
      <c r="F51" t="str">
        <f t="shared" si="5"/>
        <v>C</v>
      </c>
      <c r="H51" s="5">
        <v>39</v>
      </c>
      <c r="I51" s="4" t="s">
        <v>31</v>
      </c>
      <c r="J51" s="4" t="s">
        <v>169</v>
      </c>
      <c r="K51" s="17">
        <v>46050</v>
      </c>
      <c r="L51" s="4" t="s">
        <v>182</v>
      </c>
      <c r="M51" s="4" t="s">
        <v>84</v>
      </c>
      <c r="N51" s="17">
        <v>46051</v>
      </c>
      <c r="O51" s="17">
        <v>46051</v>
      </c>
      <c r="P51" s="4"/>
      <c r="Q51" s="4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2">
        <f t="shared" si="6"/>
        <v>0</v>
      </c>
      <c r="AE51" s="12"/>
      <c r="AF51" s="2"/>
      <c r="AG51" s="2"/>
      <c r="AH51" s="2"/>
    </row>
    <row r="52" spans="1:34" ht="15" customHeight="1" x14ac:dyDescent="0.25">
      <c r="A52">
        <f t="shared" si="0"/>
        <v>0</v>
      </c>
      <c r="B52">
        <f t="shared" si="1"/>
        <v>0</v>
      </c>
      <c r="C52">
        <f t="shared" si="2"/>
        <v>0</v>
      </c>
      <c r="D52">
        <f t="shared" si="3"/>
        <v>0</v>
      </c>
      <c r="E52">
        <f t="shared" si="4"/>
        <v>17</v>
      </c>
      <c r="F52" t="str">
        <f t="shared" si="5"/>
        <v>C</v>
      </c>
      <c r="H52" s="5">
        <v>41</v>
      </c>
      <c r="I52" s="4" t="s">
        <v>30</v>
      </c>
      <c r="J52" s="4" t="s">
        <v>170</v>
      </c>
      <c r="K52" s="17">
        <v>46050</v>
      </c>
      <c r="L52" s="4" t="s">
        <v>183</v>
      </c>
      <c r="M52" s="4" t="s">
        <v>84</v>
      </c>
      <c r="N52" s="17">
        <v>46051</v>
      </c>
      <c r="O52" s="17">
        <v>46051</v>
      </c>
      <c r="P52" s="4"/>
      <c r="Q52" s="4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2">
        <f t="shared" si="6"/>
        <v>0</v>
      </c>
      <c r="AE52" s="12"/>
      <c r="AF52" s="2"/>
      <c r="AG52" s="2"/>
      <c r="AH52" s="2"/>
    </row>
    <row r="53" spans="1:34" ht="15" customHeight="1" x14ac:dyDescent="0.25">
      <c r="A53">
        <f t="shared" si="0"/>
        <v>0</v>
      </c>
      <c r="B53">
        <f t="shared" si="1"/>
        <v>0</v>
      </c>
      <c r="C53">
        <f t="shared" si="2"/>
        <v>0</v>
      </c>
      <c r="D53">
        <f t="shared" si="3"/>
        <v>0</v>
      </c>
      <c r="E53">
        <f t="shared" si="4"/>
        <v>18</v>
      </c>
      <c r="F53" t="str">
        <f t="shared" si="5"/>
        <v>C</v>
      </c>
      <c r="H53" s="5">
        <v>46</v>
      </c>
      <c r="I53" s="4" t="s">
        <v>27</v>
      </c>
      <c r="J53" s="4" t="s">
        <v>123</v>
      </c>
      <c r="K53" s="17">
        <v>46044</v>
      </c>
      <c r="L53" s="4" t="s">
        <v>136</v>
      </c>
      <c r="M53" s="4" t="s">
        <v>84</v>
      </c>
      <c r="N53" s="17">
        <v>46044</v>
      </c>
      <c r="O53" s="17">
        <v>46044</v>
      </c>
      <c r="P53" s="4"/>
      <c r="Q53" s="4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2">
        <f t="shared" si="6"/>
        <v>0</v>
      </c>
      <c r="AE53" s="12"/>
      <c r="AF53" s="2"/>
      <c r="AG53" s="2"/>
      <c r="AH53" s="2"/>
    </row>
    <row r="54" spans="1:34" ht="15" customHeight="1" x14ac:dyDescent="0.25">
      <c r="A54">
        <f t="shared" si="0"/>
        <v>0</v>
      </c>
      <c r="B54">
        <f t="shared" si="1"/>
        <v>0</v>
      </c>
      <c r="C54">
        <f t="shared" si="2"/>
        <v>0</v>
      </c>
      <c r="D54">
        <f t="shared" si="3"/>
        <v>0</v>
      </c>
      <c r="E54">
        <f t="shared" si="4"/>
        <v>19</v>
      </c>
      <c r="F54" t="str">
        <f t="shared" si="5"/>
        <v>C</v>
      </c>
      <c r="H54" s="5">
        <v>47</v>
      </c>
      <c r="I54" s="4" t="s">
        <v>65</v>
      </c>
      <c r="J54" s="4" t="s">
        <v>171</v>
      </c>
      <c r="K54" s="17">
        <v>46050</v>
      </c>
      <c r="L54" s="4" t="s">
        <v>187</v>
      </c>
      <c r="M54" s="4" t="s">
        <v>141</v>
      </c>
      <c r="N54" s="17">
        <v>46052</v>
      </c>
      <c r="O54" s="17">
        <v>46052</v>
      </c>
      <c r="P54" s="4"/>
      <c r="Q54" s="4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2">
        <f t="shared" si="6"/>
        <v>0</v>
      </c>
      <c r="AE54" s="12"/>
      <c r="AF54" s="2"/>
      <c r="AG54" s="2"/>
      <c r="AH54" s="2"/>
    </row>
    <row r="55" spans="1:34" ht="15" customHeight="1" x14ac:dyDescent="0.25">
      <c r="A55">
        <f t="shared" si="0"/>
        <v>0</v>
      </c>
      <c r="B55">
        <f t="shared" si="1"/>
        <v>0</v>
      </c>
      <c r="C55">
        <f t="shared" si="2"/>
        <v>0</v>
      </c>
      <c r="D55">
        <f t="shared" si="3"/>
        <v>0</v>
      </c>
      <c r="E55">
        <f t="shared" si="4"/>
        <v>20</v>
      </c>
      <c r="F55" t="str">
        <f t="shared" si="5"/>
        <v>C</v>
      </c>
      <c r="H55" s="5">
        <v>48</v>
      </c>
      <c r="I55" s="4" t="s">
        <v>66</v>
      </c>
      <c r="J55" s="4" t="s">
        <v>172</v>
      </c>
      <c r="K55" s="17">
        <v>46050</v>
      </c>
      <c r="L55" s="4" t="s">
        <v>188</v>
      </c>
      <c r="M55" s="4" t="s">
        <v>141</v>
      </c>
      <c r="N55" s="17">
        <v>46052</v>
      </c>
      <c r="O55" s="17">
        <v>46052</v>
      </c>
      <c r="P55" s="4"/>
      <c r="Q55" s="4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2">
        <f t="shared" si="6"/>
        <v>0</v>
      </c>
      <c r="AE55" s="12"/>
      <c r="AF55" s="2"/>
      <c r="AG55" s="2"/>
      <c r="AH55" s="2"/>
    </row>
    <row r="56" spans="1:34" ht="15" customHeight="1" x14ac:dyDescent="0.25">
      <c r="A56">
        <f t="shared" si="0"/>
        <v>0</v>
      </c>
      <c r="B56">
        <f t="shared" si="1"/>
        <v>0</v>
      </c>
      <c r="C56">
        <f t="shared" si="2"/>
        <v>0</v>
      </c>
      <c r="D56">
        <f t="shared" si="3"/>
        <v>0</v>
      </c>
      <c r="E56">
        <f t="shared" si="4"/>
        <v>21</v>
      </c>
      <c r="F56" t="str">
        <f t="shared" si="5"/>
        <v>C</v>
      </c>
      <c r="H56" s="5">
        <v>49</v>
      </c>
      <c r="I56" s="4" t="s">
        <v>22</v>
      </c>
      <c r="J56" s="4" t="s">
        <v>124</v>
      </c>
      <c r="K56" s="17">
        <v>46044</v>
      </c>
      <c r="L56" s="4" t="s">
        <v>138</v>
      </c>
      <c r="M56" s="4" t="s">
        <v>84</v>
      </c>
      <c r="N56" s="17">
        <v>46044</v>
      </c>
      <c r="O56" s="17">
        <v>46044</v>
      </c>
      <c r="P56" s="4"/>
      <c r="Q56" s="4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2">
        <f t="shared" si="6"/>
        <v>0</v>
      </c>
      <c r="AE56" s="12"/>
      <c r="AF56" s="2"/>
      <c r="AG56" s="2"/>
      <c r="AH56" s="2"/>
    </row>
    <row r="57" spans="1:34" ht="15" customHeight="1" x14ac:dyDescent="0.25">
      <c r="A57">
        <f t="shared" si="0"/>
        <v>0</v>
      </c>
      <c r="B57">
        <f t="shared" si="1"/>
        <v>0</v>
      </c>
      <c r="C57">
        <f t="shared" si="2"/>
        <v>0</v>
      </c>
      <c r="D57">
        <f t="shared" si="3"/>
        <v>0</v>
      </c>
      <c r="E57">
        <f t="shared" si="4"/>
        <v>22</v>
      </c>
      <c r="F57" t="str">
        <f t="shared" si="5"/>
        <v>C</v>
      </c>
      <c r="H57" s="5">
        <v>51</v>
      </c>
      <c r="I57" s="4" t="s">
        <v>37</v>
      </c>
      <c r="J57" s="4" t="s">
        <v>101</v>
      </c>
      <c r="K57" s="17">
        <v>46037</v>
      </c>
      <c r="L57" s="4" t="s">
        <v>102</v>
      </c>
      <c r="M57" s="4" t="s">
        <v>84</v>
      </c>
      <c r="N57" s="17">
        <v>46037</v>
      </c>
      <c r="O57" s="17">
        <v>46037</v>
      </c>
      <c r="P57" s="4"/>
      <c r="Q57" s="4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2">
        <f t="shared" si="6"/>
        <v>0</v>
      </c>
      <c r="AE57" s="12"/>
      <c r="AF57" s="2"/>
      <c r="AG57" s="2"/>
      <c r="AH57" s="2"/>
    </row>
    <row r="58" spans="1:34" ht="15" customHeight="1" x14ac:dyDescent="0.25">
      <c r="A58">
        <f t="shared" si="0"/>
        <v>0</v>
      </c>
      <c r="B58">
        <f t="shared" si="1"/>
        <v>0</v>
      </c>
      <c r="C58">
        <f t="shared" si="2"/>
        <v>0</v>
      </c>
      <c r="D58">
        <f t="shared" si="3"/>
        <v>0</v>
      </c>
      <c r="E58">
        <f t="shared" si="4"/>
        <v>23</v>
      </c>
      <c r="F58" t="str">
        <f t="shared" si="5"/>
        <v>C</v>
      </c>
      <c r="H58" s="5">
        <v>52</v>
      </c>
      <c r="I58" s="4" t="s">
        <v>35</v>
      </c>
      <c r="J58" s="4" t="s">
        <v>174</v>
      </c>
      <c r="K58" s="17">
        <v>46050</v>
      </c>
      <c r="L58" s="4" t="s">
        <v>185</v>
      </c>
      <c r="M58" s="4" t="s">
        <v>84</v>
      </c>
      <c r="N58" s="17">
        <v>46051</v>
      </c>
      <c r="O58" s="17">
        <v>46051</v>
      </c>
      <c r="P58" s="4"/>
      <c r="Q58" s="4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2">
        <f t="shared" si="6"/>
        <v>0</v>
      </c>
      <c r="AE58" s="12"/>
      <c r="AF58" s="2"/>
      <c r="AG58" s="2"/>
      <c r="AH58" s="2"/>
    </row>
    <row r="59" spans="1:34" ht="15" customHeight="1" x14ac:dyDescent="0.25">
      <c r="A59">
        <f t="shared" si="0"/>
        <v>0</v>
      </c>
      <c r="B59">
        <f t="shared" si="1"/>
        <v>0</v>
      </c>
      <c r="C59">
        <f t="shared" si="2"/>
        <v>0</v>
      </c>
      <c r="D59">
        <f t="shared" si="3"/>
        <v>0</v>
      </c>
      <c r="E59">
        <f t="shared" si="4"/>
        <v>24</v>
      </c>
      <c r="F59" t="str">
        <f t="shared" si="5"/>
        <v>C</v>
      </c>
      <c r="H59" s="5">
        <v>53</v>
      </c>
      <c r="I59" s="4" t="s">
        <v>53</v>
      </c>
      <c r="J59" s="4" t="s">
        <v>175</v>
      </c>
      <c r="K59" s="17">
        <v>46050</v>
      </c>
      <c r="L59" s="4" t="s">
        <v>186</v>
      </c>
      <c r="M59" s="4" t="s">
        <v>84</v>
      </c>
      <c r="N59" s="17">
        <v>46051</v>
      </c>
      <c r="O59" s="17">
        <v>46051</v>
      </c>
      <c r="P59" s="4"/>
      <c r="Q59" s="4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2">
        <f t="shared" si="6"/>
        <v>0</v>
      </c>
      <c r="AE59" s="12"/>
      <c r="AF59" s="2"/>
      <c r="AG59" s="2"/>
      <c r="AH59" s="2"/>
    </row>
    <row r="60" spans="1:34" ht="15" customHeight="1" x14ac:dyDescent="0.25">
      <c r="H60" s="15"/>
      <c r="P60" s="9"/>
      <c r="Q60" s="9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2"/>
      <c r="AG60" s="2"/>
      <c r="AH60" s="2"/>
    </row>
    <row r="61" spans="1:34" ht="15" customHeight="1" x14ac:dyDescent="0.25">
      <c r="H61" s="5"/>
      <c r="I61" s="4"/>
      <c r="J61" s="9"/>
      <c r="K61" s="10"/>
      <c r="L61" s="9"/>
      <c r="M61" s="9"/>
      <c r="N61" s="10"/>
      <c r="O61" s="9"/>
      <c r="P61" s="9"/>
      <c r="Q61" s="9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2"/>
      <c r="AG61" s="2"/>
      <c r="AH61" s="2"/>
    </row>
    <row r="62" spans="1:34" ht="15" customHeight="1" x14ac:dyDescent="0.25">
      <c r="H62" s="5">
        <v>20</v>
      </c>
      <c r="I62" s="4" t="s">
        <v>45</v>
      </c>
      <c r="J62" s="9"/>
      <c r="K62" s="9"/>
      <c r="L62" s="9"/>
      <c r="M62" s="9"/>
      <c r="N62" s="9"/>
      <c r="O62" s="9"/>
      <c r="P62" s="9"/>
      <c r="Q62" s="9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2"/>
      <c r="AG62" s="2"/>
      <c r="AH62" s="2"/>
    </row>
    <row r="63" spans="1:34" ht="15" customHeight="1" x14ac:dyDescent="0.25">
      <c r="H63" s="5">
        <v>23</v>
      </c>
      <c r="I63" s="4" t="s">
        <v>46</v>
      </c>
      <c r="J63" s="9"/>
      <c r="K63" s="9"/>
      <c r="L63" s="9"/>
      <c r="M63" s="9"/>
      <c r="N63" s="9"/>
      <c r="O63" s="9"/>
      <c r="P63" s="9"/>
      <c r="Q63" s="9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2"/>
      <c r="AG63" s="2"/>
      <c r="AH63" s="2"/>
    </row>
    <row r="64" spans="1:34" ht="15" customHeight="1" x14ac:dyDescent="0.25">
      <c r="H64" s="5">
        <v>53</v>
      </c>
      <c r="I64" s="4" t="s">
        <v>52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2"/>
      <c r="AG64" s="2"/>
      <c r="AH64" s="2"/>
    </row>
    <row r="65" spans="8:32" x14ac:dyDescent="0.25">
      <c r="R65" s="13">
        <f>SUM(R7:R64)</f>
        <v>23206551</v>
      </c>
      <c r="S65" s="13">
        <f t="shared" ref="S65:AD65" si="11">SUM(S7:S64)</f>
        <v>63155504</v>
      </c>
      <c r="T65" s="13">
        <f t="shared" si="11"/>
        <v>4742415</v>
      </c>
      <c r="U65" s="13">
        <f t="shared" si="11"/>
        <v>128777247</v>
      </c>
      <c r="V65" s="13">
        <f t="shared" si="11"/>
        <v>255994615.5</v>
      </c>
      <c r="W65" s="13">
        <f t="shared" si="11"/>
        <v>0</v>
      </c>
      <c r="X65" s="13">
        <f t="shared" si="11"/>
        <v>0</v>
      </c>
      <c r="Y65" s="13">
        <f t="shared" si="11"/>
        <v>0</v>
      </c>
      <c r="Z65" s="13">
        <f t="shared" si="11"/>
        <v>0</v>
      </c>
      <c r="AA65" s="13">
        <f t="shared" si="11"/>
        <v>0</v>
      </c>
      <c r="AB65" s="13">
        <f t="shared" si="11"/>
        <v>0</v>
      </c>
      <c r="AC65" s="13">
        <f t="shared" si="11"/>
        <v>0</v>
      </c>
      <c r="AD65" s="13">
        <f t="shared" si="11"/>
        <v>475876332.5</v>
      </c>
      <c r="AE65" s="13"/>
      <c r="AF65" s="13"/>
    </row>
    <row r="66" spans="8:32" x14ac:dyDescent="0.25">
      <c r="H66" s="6"/>
      <c r="I66" s="7" t="s">
        <v>75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</sheetData>
  <sortState ref="G32:AC59">
    <sortCondition ref="G32:G59"/>
    <sortCondition ref="I32:I59"/>
  </sortState>
  <mergeCells count="8">
    <mergeCell ref="H4:I4"/>
    <mergeCell ref="AG4:AH4"/>
    <mergeCell ref="J5:K5"/>
    <mergeCell ref="L5:M5"/>
    <mergeCell ref="N5:O5"/>
    <mergeCell ref="I5:I6"/>
    <mergeCell ref="P5:Q6"/>
    <mergeCell ref="H5:H6"/>
  </mergeCells>
  <pageMargins left="0" right="0" top="0.25" bottom="0.25" header="0.3" footer="0.3"/>
  <pageSetup paperSize="1000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47"/>
  <sheetViews>
    <sheetView showGridLines="0" topLeftCell="A18" workbookViewId="0">
      <selection activeCell="B30" sqref="B30"/>
    </sheetView>
  </sheetViews>
  <sheetFormatPr defaultRowHeight="15" x14ac:dyDescent="0.25"/>
  <cols>
    <col min="1" max="1" width="3" bestFit="1" customWidth="1"/>
    <col min="2" max="2" width="41.85546875" customWidth="1"/>
    <col min="3" max="3" width="7.42578125" customWidth="1"/>
    <col min="4" max="4" width="3" bestFit="1" customWidth="1"/>
    <col min="5" max="5" width="40.28515625" bestFit="1" customWidth="1"/>
    <col min="7" max="7" width="3" bestFit="1" customWidth="1"/>
    <col min="8" max="8" width="42.140625" bestFit="1" customWidth="1"/>
  </cols>
  <sheetData>
    <row r="1" spans="1:8" x14ac:dyDescent="0.25">
      <c r="B1" t="s">
        <v>224</v>
      </c>
    </row>
    <row r="3" spans="1:8" x14ac:dyDescent="0.25">
      <c r="A3" s="44" t="s">
        <v>72</v>
      </c>
      <c r="B3" s="44"/>
      <c r="D3" s="46" t="s">
        <v>72</v>
      </c>
      <c r="E3" s="46"/>
      <c r="G3" s="45" t="s">
        <v>72</v>
      </c>
      <c r="H3" s="45"/>
    </row>
    <row r="4" spans="1:8" x14ac:dyDescent="0.25">
      <c r="A4" s="27">
        <v>1</v>
      </c>
      <c r="B4" s="27" t="str">
        <f>IFERROR(VLOOKUP(A4,Sheet1!$A$7:$I$59,9,0),"")</f>
        <v>AGRO GUNA MAKMUR, PT</v>
      </c>
      <c r="D4" s="27">
        <v>1</v>
      </c>
      <c r="E4" s="27" t="str">
        <f>IFERROR(VLOOKUP(D4,Sheet1!$C$7:$I$59,7,0),"")</f>
        <v>KRISTALINDO KARUNIA INTERNASIONAL, PT</v>
      </c>
      <c r="G4" s="27">
        <v>1</v>
      </c>
      <c r="H4" s="30" t="str">
        <f>IFERROR(VLOOKUP(G4,Sheet1!$E$7:$I$59,5,0),"")</f>
        <v>ADIL MAKMUR FAJAR, PT</v>
      </c>
    </row>
    <row r="5" spans="1:8" x14ac:dyDescent="0.25">
      <c r="A5" s="27">
        <v>2</v>
      </c>
      <c r="B5" s="27" t="str">
        <f>IFERROR(VLOOKUP(A5,Sheet1!$A$7:$I$59,9,0),"")</f>
        <v>AGRO NATURAL TECHNOLOGY, PT</v>
      </c>
      <c r="D5" s="27">
        <v>2</v>
      </c>
      <c r="E5" s="27" t="str">
        <f>IFERROR(VLOOKUP(D5,Sheet1!$C$7:$I$59,7,0),"")</f>
        <v>LESTARI INTI AGRO, CV</v>
      </c>
      <c r="G5" s="27">
        <v>2</v>
      </c>
      <c r="H5" s="30" t="str">
        <f>IFERROR(VLOOKUP(G5,Sheet1!$E$7:$I$59,5,0),"")</f>
        <v>AGROMANNA JAYA LESTARI, PT</v>
      </c>
    </row>
    <row r="6" spans="1:8" x14ac:dyDescent="0.25">
      <c r="A6" s="27">
        <v>3</v>
      </c>
      <c r="B6" s="27" t="str">
        <f>IFERROR(VLOOKUP(A6,Sheet1!$A$7:$I$59,9,0),"")</f>
        <v>BASF DISTRIBUTION INDONESIA, PT</v>
      </c>
      <c r="D6" s="27">
        <v>3</v>
      </c>
      <c r="E6" s="31" t="str">
        <f>IFERROR(VLOOKUP(D6,Sheet1!$C$7:$I$59,7,0),"")</f>
        <v>SINERGI CHEM INDONESIA, PT</v>
      </c>
      <c r="G6" s="27">
        <v>3</v>
      </c>
      <c r="H6" s="30" t="str">
        <f>IFERROR(VLOOKUP(G6,Sheet1!$E$7:$I$59,5,0),"")</f>
        <v>ALFA BETA AGROCHEMICAL, PT</v>
      </c>
    </row>
    <row r="7" spans="1:8" x14ac:dyDescent="0.25">
      <c r="A7" s="27">
        <v>4</v>
      </c>
      <c r="B7" s="27" t="str">
        <f>IFERROR(VLOOKUP(A7,Sheet1!$A$7:$I$59,9,0),"")</f>
        <v>BENIH CITRA ASIA, PT</v>
      </c>
      <c r="D7" s="27">
        <v>4</v>
      </c>
      <c r="E7" s="27" t="str">
        <f>IFERROR(VLOOKUP(D7,Sheet1!$C$7:$I$59,7,0),"")</f>
        <v/>
      </c>
      <c r="G7" s="27">
        <v>4</v>
      </c>
      <c r="H7" s="30" t="str">
        <f>IFERROR(VLOOKUP(G7,Sheet1!$E$7:$I$59,5,0),"")</f>
        <v>BAYER INDONESIA, PT</v>
      </c>
    </row>
    <row r="8" spans="1:8" x14ac:dyDescent="0.25">
      <c r="A8" s="27">
        <v>5</v>
      </c>
      <c r="B8" s="27" t="str">
        <f>IFERROR(VLOOKUP(A8,Sheet1!$A$7:$I$59,9,0),"")</f>
        <v>JAVA KARLOS INDONESIA, PT</v>
      </c>
      <c r="D8" s="27">
        <v>5</v>
      </c>
      <c r="E8" s="27" t="str">
        <f>IFERROR(VLOOKUP(D8,Sheet1!$C$7:$I$59,7,0),"")</f>
        <v/>
      </c>
      <c r="G8" s="27">
        <v>5</v>
      </c>
      <c r="H8" s="30" t="str">
        <f>IFERROR(VLOOKUP(G8,Sheet1!$E$7:$I$59,5,0),"")</f>
        <v>BAYER SEEDS INDONESIA, PT</v>
      </c>
    </row>
    <row r="9" spans="1:8" x14ac:dyDescent="0.25">
      <c r="A9" s="27">
        <v>6</v>
      </c>
      <c r="B9" s="27" t="str">
        <f>IFERROR(VLOOKUP(A9,Sheet1!$A$7:$I$59,9,0),"")</f>
        <v>MITRA KREASI DHARMA, PT</v>
      </c>
      <c r="D9" s="27">
        <v>6</v>
      </c>
      <c r="E9" s="27" t="str">
        <f>IFERROR(VLOOKUP(D9,Sheet1!$C$7:$I$59,7,0),"")</f>
        <v/>
      </c>
      <c r="G9" s="27">
        <v>6</v>
      </c>
      <c r="H9" s="30" t="str">
        <f>IFERROR(VLOOKUP(G9,Sheet1!$E$7:$I$59,5,0),"")</f>
        <v>BISI INTERNATIONAL, TBK - CORN</v>
      </c>
    </row>
    <row r="10" spans="1:8" x14ac:dyDescent="0.25">
      <c r="A10" s="27">
        <v>7</v>
      </c>
      <c r="B10" s="27" t="str">
        <f>IFERROR(VLOOKUP(A10,Sheet1!$A$7:$I$59,9,0),"")</f>
        <v>MITRA TANI ABADI JAYA, CV</v>
      </c>
      <c r="D10" s="27">
        <v>7</v>
      </c>
      <c r="E10" s="27" t="str">
        <f>IFERROR(VLOOKUP(D10,Sheet1!$C$7:$I$59,7,0),"")</f>
        <v/>
      </c>
      <c r="G10" s="27">
        <v>7</v>
      </c>
      <c r="H10" s="30" t="str">
        <f>IFERROR(VLOOKUP(G10,Sheet1!$E$7:$I$59,5,0),"")</f>
        <v>CATUR AGRODAYA MANDIRI, PT</v>
      </c>
    </row>
    <row r="11" spans="1:8" x14ac:dyDescent="0.25">
      <c r="A11" s="27">
        <v>8</v>
      </c>
      <c r="B11" s="27" t="str">
        <f>IFERROR(VLOOKUP(A11,Sheet1!$A$7:$I$59,9,0),"")</f>
        <v>NUFARM INDONESIA, PT</v>
      </c>
      <c r="D11" s="27">
        <v>8</v>
      </c>
      <c r="E11" s="27" t="str">
        <f>IFERROR(VLOOKUP(D11,Sheet1!$C$7:$I$59,7,0),"")</f>
        <v/>
      </c>
      <c r="G11" s="27">
        <v>8</v>
      </c>
      <c r="H11" s="30" t="str">
        <f>IFERROR(VLOOKUP(G11,Sheet1!$E$7:$I$59,5,0),"")</f>
        <v>CORTEVA AGRISCIENCE INDONESIA, PT</v>
      </c>
    </row>
    <row r="12" spans="1:8" x14ac:dyDescent="0.25">
      <c r="A12" s="27">
        <v>9</v>
      </c>
      <c r="B12" s="27" t="str">
        <f>IFERROR(VLOOKUP(A12,Sheet1!$A$7:$I$59,9,0),"")</f>
        <v>SINAR GENERAL INDUSTRIES, PT</v>
      </c>
      <c r="D12" s="27">
        <v>9</v>
      </c>
      <c r="E12" s="27" t="str">
        <f>IFERROR(VLOOKUP(D12,Sheet1!$C$7:$I$59,7,0),"")</f>
        <v/>
      </c>
      <c r="G12" s="27">
        <v>9</v>
      </c>
      <c r="H12" s="30" t="str">
        <f>IFERROR(VLOOKUP(G12,Sheet1!$E$7:$I$59,5,0),"")</f>
        <v>INTER AGRO INDONESIA, PT</v>
      </c>
    </row>
    <row r="13" spans="1:8" x14ac:dyDescent="0.25">
      <c r="A13" s="27">
        <v>10</v>
      </c>
      <c r="B13" s="27" t="str">
        <f>IFERROR(VLOOKUP(A13,Sheet1!$A$7:$I$59,9,0),"")</f>
        <v>SONGGOLANGIT PERSADA - DENPASAR</v>
      </c>
      <c r="D13" s="27">
        <v>10</v>
      </c>
      <c r="E13" s="27" t="str">
        <f>IFERROR(VLOOKUP(D13,Sheet1!$C$7:$I$59,7,0),"")</f>
        <v/>
      </c>
      <c r="G13" s="27">
        <v>10</v>
      </c>
      <c r="H13" s="30" t="str">
        <f>IFERROR(VLOOKUP(G13,Sheet1!$E$7:$I$59,5,0),"")</f>
        <v>JAWA AGRINDO INTERNASIONAL, PT</v>
      </c>
    </row>
    <row r="14" spans="1:8" x14ac:dyDescent="0.25">
      <c r="A14" s="27">
        <v>11</v>
      </c>
      <c r="B14" s="27" t="str">
        <f>IFERROR(VLOOKUP(A14,Sheet1!$A$7:$I$59,9,0),"")</f>
        <v>TANI ABADI, CV</v>
      </c>
      <c r="D14" s="27">
        <v>11</v>
      </c>
      <c r="E14" s="27" t="str">
        <f>IFERROR(VLOOKUP(D14,Sheet1!$C$7:$I$59,7,0),"")</f>
        <v/>
      </c>
      <c r="G14" s="27">
        <v>11</v>
      </c>
      <c r="H14" s="30" t="str">
        <f>IFERROR(VLOOKUP(G14,Sheet1!$E$7:$I$59,5,0),"")</f>
        <v>KENSO INDONESIA, PT</v>
      </c>
    </row>
    <row r="15" spans="1:8" x14ac:dyDescent="0.25">
      <c r="A15" s="34">
        <v>12</v>
      </c>
      <c r="B15" s="34" t="str">
        <f>IFERROR(VLOOKUP(A15,Sheet1!$A$7:$I$59,9,0),"")</f>
        <v>ASIANA CHEMICALINDO LESTARI, PT</v>
      </c>
      <c r="D15" s="27">
        <v>12</v>
      </c>
      <c r="E15" s="27" t="str">
        <f>IFERROR(VLOOKUP(D15,Sheet1!$C$7:$I$59,7,0),"")</f>
        <v/>
      </c>
      <c r="G15" s="27">
        <v>12</v>
      </c>
      <c r="H15" s="30" t="str">
        <f>IFERROR(VLOOKUP(G15,Sheet1!$E$7:$I$59,5,0),"")</f>
        <v>OAT MITOKU AGRIO, PT</v>
      </c>
    </row>
    <row r="16" spans="1:8" x14ac:dyDescent="0.25">
      <c r="A16" s="34">
        <v>13</v>
      </c>
      <c r="B16" s="34" t="str">
        <f>IFERROR(VLOOKUP(A16,Sheet1!$A$7:$I$59,9,0),"")</f>
        <v>BAHTERA BONIAGA LESTARI, PT</v>
      </c>
      <c r="D16" s="27">
        <v>13</v>
      </c>
      <c r="E16" s="27" t="str">
        <f>IFERROR(VLOOKUP(D16,Sheet1!$C$7:$I$59,7,0),"")</f>
        <v/>
      </c>
      <c r="G16" s="27">
        <v>13</v>
      </c>
      <c r="H16" s="30" t="str">
        <f>IFERROR(VLOOKUP(G16,Sheet1!$E$7:$I$59,5,0),"")</f>
        <v>PETROKIMIA KAYAKU, PT</v>
      </c>
    </row>
    <row r="17" spans="1:8" x14ac:dyDescent="0.25">
      <c r="A17" s="34">
        <v>14</v>
      </c>
      <c r="B17" s="34" t="str">
        <f>IFERROR(VLOOKUP(A17,Sheet1!$A$7:$I$59,9,0),"")</f>
        <v>BEHN MEYER AGRICARE, PT</v>
      </c>
      <c r="D17" s="27">
        <v>14</v>
      </c>
      <c r="E17" s="27" t="str">
        <f>IFERROR(VLOOKUP(D17,Sheet1!$C$7:$I$59,7,0),"")</f>
        <v/>
      </c>
      <c r="G17" s="27">
        <v>14</v>
      </c>
      <c r="H17" s="30" t="str">
        <f>IFERROR(VLOOKUP(G17,Sheet1!$E$7:$I$59,5,0),"")</f>
        <v>PRIMA KARYA BERJAYA, PT</v>
      </c>
    </row>
    <row r="18" spans="1:8" x14ac:dyDescent="0.25">
      <c r="A18" s="34">
        <v>15</v>
      </c>
      <c r="B18" s="34" t="str">
        <f>IFERROR(VLOOKUP(A18,Sheet1!$A$7:$I$59,9,0),"")</f>
        <v>EXCEL MEG INDO, PT</v>
      </c>
      <c r="D18" s="27">
        <v>15</v>
      </c>
      <c r="E18" s="27" t="str">
        <f>IFERROR(VLOOKUP(D18,Sheet1!$C$7:$I$59,7,0),"")</f>
        <v/>
      </c>
      <c r="G18" s="27">
        <v>15</v>
      </c>
      <c r="H18" s="30" t="str">
        <f>IFERROR(VLOOKUP(G18,Sheet1!$E$7:$I$59,5,0),"")</f>
        <v>SAPROTAN UTAMA NUSANTARA, PT</v>
      </c>
    </row>
    <row r="19" spans="1:8" x14ac:dyDescent="0.25">
      <c r="A19" s="34">
        <v>16</v>
      </c>
      <c r="B19" s="34" t="str">
        <f>IFERROR(VLOOKUP(A19,Sheet1!$A$7:$I$59,9,0),"")</f>
        <v>GLOBAL AGROTECH, PT</v>
      </c>
      <c r="D19" s="27">
        <v>16</v>
      </c>
      <c r="E19" s="27" t="str">
        <f>IFERROR(VLOOKUP(D19,Sheet1!$C$7:$I$59,7,0),"")</f>
        <v/>
      </c>
      <c r="G19" s="27">
        <v>16</v>
      </c>
      <c r="H19" s="30" t="str">
        <f>IFERROR(VLOOKUP(G19,Sheet1!$E$7:$I$59,5,0),"")</f>
        <v>SARANA TANI MAKMUR, CV</v>
      </c>
    </row>
    <row r="20" spans="1:8" x14ac:dyDescent="0.25">
      <c r="A20" s="34">
        <v>17</v>
      </c>
      <c r="B20" s="34" t="str">
        <f>IFERROR(VLOOKUP(A20,Sheet1!$A$7:$I$59,9,0),"")</f>
        <v>KALATHAM, PT</v>
      </c>
      <c r="D20" s="27">
        <v>17</v>
      </c>
      <c r="E20" s="27" t="str">
        <f>IFERROR(VLOOKUP(D20,Sheet1!$C$7:$I$59,7,0),"")</f>
        <v/>
      </c>
      <c r="G20" s="27">
        <v>17</v>
      </c>
      <c r="H20" s="30" t="str">
        <f>IFERROR(VLOOKUP(G20,Sheet1!$E$7:$I$59,5,0),"")</f>
        <v>SENTRAL TANI NUSANTARA, PT</v>
      </c>
    </row>
    <row r="21" spans="1:8" x14ac:dyDescent="0.25">
      <c r="A21" s="34">
        <v>18</v>
      </c>
      <c r="B21" s="34" t="str">
        <f>IFERROR(VLOOKUP(A21,Sheet1!$A$7:$I$59,9,0),"")</f>
        <v>KARUNIA SUKSES UTAMA, PT</v>
      </c>
      <c r="D21" s="27">
        <v>18</v>
      </c>
      <c r="E21" s="27" t="str">
        <f>IFERROR(VLOOKUP(D21,Sheet1!$C$7:$I$59,7,0),"")</f>
        <v/>
      </c>
      <c r="G21" s="27">
        <v>18</v>
      </c>
      <c r="H21" s="30" t="str">
        <f>IFERROR(VLOOKUP(G21,Sheet1!$E$7:$I$59,5,0),"")</f>
        <v>STAR METAL WARE INDUSTRY, PT</v>
      </c>
    </row>
    <row r="22" spans="1:8" x14ac:dyDescent="0.25">
      <c r="A22" s="34">
        <v>19</v>
      </c>
      <c r="B22" s="34" t="str">
        <f>IFERROR(VLOOKUP(A22,Sheet1!$A$7:$I$59,9,0),"")</f>
        <v>AGRI MAKMUR PERTIWI, PT</v>
      </c>
      <c r="D22" s="27">
        <v>19</v>
      </c>
      <c r="E22" s="27" t="str">
        <f>IFERROR(VLOOKUP(D22,Sheet1!$C$7:$I$59,7,0),"")</f>
        <v/>
      </c>
      <c r="G22" s="27">
        <v>19</v>
      </c>
      <c r="H22" s="30" t="str">
        <f>IFERROR(VLOOKUP(G22,Sheet1!$E$7:$I$59,5,0),"")</f>
        <v>SYNGENTA INDONESIA, PT</v>
      </c>
    </row>
    <row r="23" spans="1:8" x14ac:dyDescent="0.25">
      <c r="A23" s="34">
        <v>20</v>
      </c>
      <c r="B23" s="34" t="str">
        <f>IFERROR(VLOOKUP(A23,Sheet1!$A$7:$I$59,9,0),"")</f>
        <v>ADVANSIA INDOTANI, PT</v>
      </c>
      <c r="D23" s="27">
        <v>20</v>
      </c>
      <c r="E23" s="27" t="str">
        <f>IFERROR(VLOOKUP(D23,Sheet1!$C$7:$I$59,7,0),"")</f>
        <v/>
      </c>
      <c r="G23" s="27">
        <v>20</v>
      </c>
      <c r="H23" s="30" t="str">
        <f>IFERROR(VLOOKUP(G23,Sheet1!$E$7:$I$59,5,0),"")</f>
        <v>SYNGENTA SEED, PT</v>
      </c>
    </row>
    <row r="24" spans="1:8" x14ac:dyDescent="0.25">
      <c r="A24" s="34">
        <v>21</v>
      </c>
      <c r="B24" s="34" t="str">
        <f>IFERROR(VLOOKUP(A24,Sheet1!$A$7:$I$59,9,0),"")</f>
        <v>AGROIRIS CROP PROTECTION INDONESIA, PT</v>
      </c>
      <c r="D24" s="27">
        <v>21</v>
      </c>
      <c r="E24" s="27" t="str">
        <f>IFERROR(VLOOKUP(D24,Sheet1!$C$7:$I$59,7,0),"")</f>
        <v/>
      </c>
      <c r="G24" s="27">
        <v>21</v>
      </c>
      <c r="H24" s="30" t="str">
        <f>IFERROR(VLOOKUP(G24,Sheet1!$E$7:$I$59,5,0),"")</f>
        <v>TANAMAN MAKMUR MANDIRI, PT</v>
      </c>
    </row>
    <row r="25" spans="1:8" x14ac:dyDescent="0.25">
      <c r="A25" s="34">
        <v>22</v>
      </c>
      <c r="B25" s="34" t="str">
        <f>IFERROR(VLOOKUP(A25,Sheet1!$A$7:$I$59,9,0),"")</f>
        <v>PETROSIDA GRESIK, PT</v>
      </c>
      <c r="D25" s="27">
        <v>22</v>
      </c>
      <c r="E25" s="27" t="str">
        <f>IFERROR(VLOOKUP(D25,Sheet1!$C$7:$I$59,7,0),"")</f>
        <v/>
      </c>
      <c r="G25" s="27">
        <v>22</v>
      </c>
      <c r="H25" s="30" t="str">
        <f>IFERROR(VLOOKUP(G25,Sheet1!$E$7:$I$59,5,0),"")</f>
        <v>TIGA MUARA EMAS MAKMUR, PT</v>
      </c>
    </row>
    <row r="26" spans="1:8" x14ac:dyDescent="0.25">
      <c r="A26" s="34">
        <v>23</v>
      </c>
      <c r="B26" s="34" t="str">
        <f>IFERROR(VLOOKUP(A26,Sheet1!$A$7:$I$59,9,0),"")</f>
        <v>SARI KRESNA KIMIA, PT</v>
      </c>
      <c r="D26" s="27">
        <v>23</v>
      </c>
      <c r="E26" s="27" t="str">
        <f>IFERROR(VLOOKUP(D26,Sheet1!$C$7:$I$59,7,0),"")</f>
        <v/>
      </c>
      <c r="G26" s="27">
        <v>23</v>
      </c>
      <c r="H26" s="30" t="str">
        <f>IFERROR(VLOOKUP(G26,Sheet1!$E$7:$I$59,5,0),"")</f>
        <v>TRIMARGA NUSANTARA INDONESIA, PT</v>
      </c>
    </row>
    <row r="27" spans="1:8" x14ac:dyDescent="0.25">
      <c r="A27" s="27">
        <v>24</v>
      </c>
      <c r="B27" s="35" t="str">
        <f>IFERROR(VLOOKUP(A27,Sheet1!$A$7:$I$59,9,0),"")</f>
        <v>MAJU MAKMUR UTOMO, PT</v>
      </c>
      <c r="D27" s="27">
        <v>24</v>
      </c>
      <c r="E27" s="27" t="str">
        <f>IFERROR(VLOOKUP(D27,Sheet1!$C$7:$I$59,7,0),"")</f>
        <v/>
      </c>
      <c r="G27" s="27">
        <v>24</v>
      </c>
      <c r="H27" s="30" t="str">
        <f>IFERROR(VLOOKUP(G27,Sheet1!$E$7:$I$59,5,0),"")</f>
        <v>ZENITH CROPSCIENCES INDONESIA, PT</v>
      </c>
    </row>
    <row r="28" spans="1:8" x14ac:dyDescent="0.25">
      <c r="A28" s="27">
        <v>25</v>
      </c>
      <c r="B28" s="35" t="str">
        <f>IFERROR(VLOOKUP(A28,Sheet1!$A$7:$I$59,9,0),"")</f>
        <v>SONGGOLANGIT PERSADA - SURABAYA</v>
      </c>
      <c r="D28" s="27">
        <v>25</v>
      </c>
      <c r="E28" s="27" t="str">
        <f>IFERROR(VLOOKUP(D28,Sheet1!$C$7:$I$59,7,0),"")</f>
        <v/>
      </c>
      <c r="G28" s="27">
        <v>25</v>
      </c>
      <c r="H28" s="30" t="str">
        <f>IFERROR(VLOOKUP(G28,Sheet1!$E$7:$I$59,5,0),"")</f>
        <v/>
      </c>
    </row>
    <row r="29" spans="1:8" x14ac:dyDescent="0.25">
      <c r="A29" s="27">
        <v>26</v>
      </c>
      <c r="B29" s="35" t="str">
        <f>IFERROR(VLOOKUP(A29,Sheet1!$A$7:$I$59,9,0),"")</f>
        <v>AGRICULTURE CONSTRACTION INDONESIA, PT</v>
      </c>
      <c r="D29" s="27">
        <v>26</v>
      </c>
      <c r="E29" s="27" t="str">
        <f>IFERROR(VLOOKUP(D29,Sheet1!$C$7:$I$59,7,0),"")</f>
        <v/>
      </c>
      <c r="G29" s="27">
        <v>26</v>
      </c>
      <c r="H29" s="30" t="str">
        <f>IFERROR(VLOOKUP(G29,Sheet1!$E$7:$I$59,5,0),"")</f>
        <v/>
      </c>
    </row>
    <row r="30" spans="1:8" x14ac:dyDescent="0.25">
      <c r="A30" s="27">
        <v>27</v>
      </c>
      <c r="B30" s="27" t="str">
        <f>IFERROR(VLOOKUP(A30,Sheet1!$A$7:$I$59,9,0),"")</f>
        <v/>
      </c>
      <c r="D30" s="27">
        <v>27</v>
      </c>
      <c r="E30" s="27" t="str">
        <f>IFERROR(VLOOKUP(D30,Sheet1!$C$7:$I$59,7,0),"")</f>
        <v/>
      </c>
      <c r="G30" s="27">
        <v>27</v>
      </c>
      <c r="H30" s="30" t="str">
        <f>IFERROR(VLOOKUP(G30,Sheet1!$E$7:$I$59,5,0),"")</f>
        <v/>
      </c>
    </row>
    <row r="31" spans="1:8" x14ac:dyDescent="0.25">
      <c r="A31" s="27">
        <v>28</v>
      </c>
      <c r="B31" s="27" t="str">
        <f>IFERROR(VLOOKUP(A31,Sheet1!$A$7:$I$59,9,0),"")</f>
        <v/>
      </c>
      <c r="D31" s="27">
        <v>28</v>
      </c>
      <c r="E31" s="27" t="str">
        <f>IFERROR(VLOOKUP(D31,Sheet1!$C$7:$I$59,7,0),"")</f>
        <v/>
      </c>
      <c r="G31" s="27">
        <v>28</v>
      </c>
      <c r="H31" s="30" t="str">
        <f>IFERROR(VLOOKUP(G31,Sheet1!$E$7:$I$59,5,0),"")</f>
        <v/>
      </c>
    </row>
    <row r="32" spans="1:8" x14ac:dyDescent="0.25">
      <c r="A32" s="27">
        <v>29</v>
      </c>
      <c r="B32" s="27" t="str">
        <f>IFERROR(VLOOKUP(A32,Sheet1!$A$7:$I$59,9,0),"")</f>
        <v/>
      </c>
      <c r="D32" s="27">
        <v>29</v>
      </c>
      <c r="E32" s="27" t="str">
        <f>IFERROR(VLOOKUP(D32,Sheet1!$C$7:$I$59,7,0),"")</f>
        <v/>
      </c>
      <c r="G32" s="27">
        <v>29</v>
      </c>
      <c r="H32" s="27" t="str">
        <f>IFERROR(VLOOKUP(G32,Sheet1!$E$7:$I$59,5,0),"")</f>
        <v/>
      </c>
    </row>
    <row r="33" spans="1:8" x14ac:dyDescent="0.25">
      <c r="A33" s="27">
        <v>30</v>
      </c>
      <c r="B33" s="27" t="str">
        <f>IFERROR(VLOOKUP(A33,Sheet1!$A$7:$I$59,9,0),"")</f>
        <v/>
      </c>
      <c r="D33" s="27">
        <v>30</v>
      </c>
      <c r="E33" s="27" t="str">
        <f>IFERROR(VLOOKUP(D33,Sheet1!$C$7:$I$59,7,0),"")</f>
        <v/>
      </c>
      <c r="G33" s="27">
        <v>30</v>
      </c>
      <c r="H33" s="27" t="str">
        <f>IFERROR(VLOOKUP(G33,Sheet1!$E$7:$I$59,5,0),"")</f>
        <v/>
      </c>
    </row>
    <row r="34" spans="1:8" x14ac:dyDescent="0.25">
      <c r="A34" s="27">
        <v>31</v>
      </c>
      <c r="B34" s="27" t="str">
        <f>IFERROR(VLOOKUP(A34,Sheet1!$A$7:$I$59,9,0),"")</f>
        <v/>
      </c>
      <c r="D34" s="27">
        <v>31</v>
      </c>
      <c r="E34" s="27" t="str">
        <f>IFERROR(VLOOKUP(D34,Sheet1!$C$7:$I$59,7,0),"")</f>
        <v/>
      </c>
      <c r="G34" s="27">
        <v>31</v>
      </c>
      <c r="H34" s="27" t="str">
        <f>IFERROR(VLOOKUP(G34,Sheet1!$E$7:$I$59,5,0),"")</f>
        <v/>
      </c>
    </row>
    <row r="35" spans="1:8" x14ac:dyDescent="0.25">
      <c r="A35" s="27">
        <v>32</v>
      </c>
      <c r="B35" s="27" t="str">
        <f>IFERROR(VLOOKUP(A35,Sheet1!$A$7:$I$59,9,0),"")</f>
        <v/>
      </c>
      <c r="D35" s="27">
        <v>32</v>
      </c>
      <c r="E35" s="27" t="str">
        <f>IFERROR(VLOOKUP(D35,Sheet1!$C$7:$I$59,7,0),"")</f>
        <v/>
      </c>
      <c r="G35" s="27">
        <v>32</v>
      </c>
      <c r="H35" s="27" t="str">
        <f>IFERROR(VLOOKUP(G35,Sheet1!$E$7:$I$59,5,0),"")</f>
        <v/>
      </c>
    </row>
    <row r="36" spans="1:8" x14ac:dyDescent="0.25">
      <c r="A36" s="27">
        <v>33</v>
      </c>
      <c r="B36" s="27" t="str">
        <f>IFERROR(VLOOKUP(A36,Sheet1!$A$7:$I$59,9,0),"")</f>
        <v/>
      </c>
      <c r="D36" s="27">
        <v>33</v>
      </c>
      <c r="E36" s="27" t="str">
        <f>IFERROR(VLOOKUP(D36,Sheet1!$C$7:$I$59,7,0),"")</f>
        <v/>
      </c>
      <c r="G36" s="27">
        <v>33</v>
      </c>
      <c r="H36" s="27" t="str">
        <f>IFERROR(VLOOKUP(G36,Sheet1!$E$7:$I$59,5,0),"")</f>
        <v/>
      </c>
    </row>
    <row r="37" spans="1:8" x14ac:dyDescent="0.25">
      <c r="A37" s="27">
        <v>34</v>
      </c>
      <c r="B37" s="27" t="str">
        <f>IFERROR(VLOOKUP(A37,Sheet1!$A$7:$I$59,9,0),"")</f>
        <v/>
      </c>
      <c r="D37" s="27">
        <v>34</v>
      </c>
      <c r="E37" s="27" t="str">
        <f>IFERROR(VLOOKUP(D37,Sheet1!$C$7:$I$59,7,0),"")</f>
        <v/>
      </c>
      <c r="G37" s="27">
        <v>34</v>
      </c>
      <c r="H37" s="27" t="str">
        <f>IFERROR(VLOOKUP(G37,Sheet1!$E$7:$I$59,5,0),"")</f>
        <v/>
      </c>
    </row>
    <row r="38" spans="1:8" x14ac:dyDescent="0.25">
      <c r="A38" s="27">
        <v>35</v>
      </c>
      <c r="B38" s="27" t="str">
        <f>IFERROR(VLOOKUP(A38,Sheet1!$A$7:$I$59,9,0),"")</f>
        <v/>
      </c>
      <c r="D38" s="27">
        <v>35</v>
      </c>
      <c r="E38" s="27" t="str">
        <f>IFERROR(VLOOKUP(D38,Sheet1!$C$7:$I$59,7,0),"")</f>
        <v/>
      </c>
      <c r="G38" s="27">
        <v>35</v>
      </c>
      <c r="H38" s="27" t="str">
        <f>IFERROR(VLOOKUP(G38,Sheet1!$E$7:$I$59,5,0),"")</f>
        <v/>
      </c>
    </row>
    <row r="39" spans="1:8" x14ac:dyDescent="0.25">
      <c r="A39" s="27">
        <v>36</v>
      </c>
      <c r="B39" s="27" t="str">
        <f>IFERROR(VLOOKUP(A39,Sheet1!$A$7:$I$59,9,0),"")</f>
        <v/>
      </c>
      <c r="D39" s="27">
        <v>36</v>
      </c>
      <c r="E39" s="27" t="str">
        <f>IFERROR(VLOOKUP(D39,Sheet1!$C$7:$I$59,7,0),"")</f>
        <v/>
      </c>
      <c r="G39" s="27">
        <v>36</v>
      </c>
      <c r="H39" s="27" t="str">
        <f>IFERROR(VLOOKUP(G39,Sheet1!$E$7:$I$59,5,0),"")</f>
        <v/>
      </c>
    </row>
    <row r="40" spans="1:8" x14ac:dyDescent="0.25">
      <c r="A40" s="27">
        <v>37</v>
      </c>
      <c r="B40" s="27" t="str">
        <f>IFERROR(VLOOKUP(A40,Sheet1!$A$7:$I$59,9,0),"")</f>
        <v/>
      </c>
      <c r="D40" s="27">
        <v>37</v>
      </c>
      <c r="E40" s="27" t="str">
        <f>IFERROR(VLOOKUP(D40,Sheet1!$C$7:$I$59,7,0),"")</f>
        <v/>
      </c>
      <c r="G40" s="27">
        <v>37</v>
      </c>
      <c r="H40" s="27" t="str">
        <f>IFERROR(VLOOKUP(G40,Sheet1!$E$7:$I$59,5,0),"")</f>
        <v/>
      </c>
    </row>
    <row r="41" spans="1:8" x14ac:dyDescent="0.25">
      <c r="G41" s="27">
        <v>38</v>
      </c>
      <c r="H41" s="27" t="str">
        <f>IFERROR(VLOOKUP(G41,Sheet1!$E$7:$I$59,5,0),"")</f>
        <v/>
      </c>
    </row>
    <row r="42" spans="1:8" x14ac:dyDescent="0.25">
      <c r="G42" s="27">
        <v>39</v>
      </c>
      <c r="H42" s="27" t="str">
        <f>IFERROR(VLOOKUP(G42,Sheet1!$E$7:$I$59,5,0),"")</f>
        <v/>
      </c>
    </row>
    <row r="43" spans="1:8" x14ac:dyDescent="0.25">
      <c r="G43" s="27">
        <v>40</v>
      </c>
      <c r="H43" s="27" t="str">
        <f>IFERROR(VLOOKUP(G43,Sheet1!$E$7:$I$59,5,0),"")</f>
        <v/>
      </c>
    </row>
    <row r="44" spans="1:8" x14ac:dyDescent="0.25">
      <c r="G44" s="27">
        <v>41</v>
      </c>
      <c r="H44" s="27" t="str">
        <f>IFERROR(VLOOKUP(G44,Sheet1!$E$7:$I$59,5,0),"")</f>
        <v/>
      </c>
    </row>
    <row r="45" spans="1:8" x14ac:dyDescent="0.25">
      <c r="G45" s="27">
        <v>42</v>
      </c>
      <c r="H45" s="27" t="str">
        <f>IFERROR(VLOOKUP(G45,Sheet1!$E$7:$I$59,5,0),"")</f>
        <v/>
      </c>
    </row>
    <row r="46" spans="1:8" x14ac:dyDescent="0.25">
      <c r="G46" s="27">
        <v>43</v>
      </c>
      <c r="H46" s="27" t="str">
        <f>IFERROR(VLOOKUP(G46,Sheet1!$E$7:$I$59,5,0),"")</f>
        <v/>
      </c>
    </row>
    <row r="47" spans="1:8" x14ac:dyDescent="0.25">
      <c r="G47" s="27">
        <v>44</v>
      </c>
      <c r="H47" s="27" t="str">
        <f>IFERROR(VLOOKUP(G47,Sheet1!$E$7:$I$59,5,0),"")</f>
        <v/>
      </c>
    </row>
  </sheetData>
  <mergeCells count="3">
    <mergeCell ref="A3:B3"/>
    <mergeCell ref="G3:H3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Supriyanto</dc:creator>
  <cp:lastModifiedBy>Supriyanto</cp:lastModifiedBy>
  <cp:lastPrinted>2026-01-10T07:03:10Z</cp:lastPrinted>
  <dcterms:created xsi:type="dcterms:W3CDTF">2026-01-10T06:09:20Z</dcterms:created>
  <dcterms:modified xsi:type="dcterms:W3CDTF">2026-06-05T07:46:52Z</dcterms:modified>
</cp:coreProperties>
</file>