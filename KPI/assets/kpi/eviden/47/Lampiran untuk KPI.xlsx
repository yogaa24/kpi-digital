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60" windowWidth="19635" windowHeight="6930" activeTab="1"/>
  </bookViews>
  <sheets>
    <sheet name="2025" sheetId="2" r:id="rId1"/>
    <sheet name="2026" sheetId="3" r:id="rId2"/>
  </sheets>
  <calcPr calcId="145621"/>
</workbook>
</file>

<file path=xl/calcChain.xml><?xml version="1.0" encoding="utf-8"?>
<calcChain xmlns="http://schemas.openxmlformats.org/spreadsheetml/2006/main">
  <c r="M37" i="3" l="1"/>
  <c r="L37" i="3"/>
  <c r="K37" i="3" l="1"/>
  <c r="J37" i="3"/>
  <c r="I37" i="3" l="1"/>
  <c r="H37" i="3"/>
  <c r="G37" i="3" l="1"/>
  <c r="F37" i="3"/>
  <c r="E37" i="3" l="1"/>
  <c r="D37" i="3"/>
  <c r="C37" i="3"/>
  <c r="B37" i="3"/>
  <c r="AA37" i="3"/>
  <c r="D3" i="3" l="1"/>
  <c r="F3" i="3" s="1"/>
  <c r="H3" i="3" s="1"/>
  <c r="J3" i="3" s="1"/>
  <c r="L3" i="3" s="1"/>
  <c r="N3" i="3" s="1"/>
  <c r="P3" i="3" s="1"/>
  <c r="R3" i="3" s="1"/>
  <c r="T3" i="3" s="1"/>
  <c r="V3" i="3" s="1"/>
  <c r="X3" i="3" s="1"/>
  <c r="Z3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C69" i="2" l="1"/>
  <c r="AB69" i="2"/>
  <c r="X69" i="2"/>
  <c r="W69" i="2"/>
  <c r="S69" i="2" l="1"/>
  <c r="R69" i="2"/>
  <c r="N69" i="2" l="1"/>
  <c r="M69" i="2"/>
  <c r="I69" i="2" l="1"/>
  <c r="H69" i="2"/>
  <c r="D69" i="2" l="1"/>
  <c r="C69" i="2"/>
  <c r="AC34" i="2" l="1"/>
  <c r="AB34" i="2"/>
  <c r="X34" i="2" l="1"/>
  <c r="W34" i="2"/>
  <c r="S34" i="2" l="1"/>
  <c r="R34" i="2"/>
  <c r="N34" i="2" l="1"/>
  <c r="M34" i="2"/>
  <c r="H34" i="2" l="1"/>
  <c r="H1" i="2" s="1"/>
  <c r="I34" i="2"/>
  <c r="I1" i="2" s="1"/>
</calcChain>
</file>

<file path=xl/sharedStrings.xml><?xml version="1.0" encoding="utf-8"?>
<sst xmlns="http://schemas.openxmlformats.org/spreadsheetml/2006/main" count="116" uniqueCount="32">
  <si>
    <t>Bulan</t>
  </si>
  <si>
    <t>Register</t>
  </si>
  <si>
    <t>Driver</t>
  </si>
  <si>
    <t>Tgl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</si>
  <si>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</si>
  <si>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</si>
  <si>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</si>
  <si>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</si>
  <si>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</si>
  <si>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</si>
  <si>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</si>
  <si>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</si>
  <si>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</si>
  <si>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</si>
  <si>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</si>
  <si>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</si>
  <si>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</si>
  <si>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</si>
  <si>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22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</si>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</sst>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mmmm\ yy"/>
    <numFmt numFmtId="165" formatCode="[$-F400]h:mm:ss\ AM/PM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20" fontId="0" fillId="0" borderId="0" xfId="0" applyNumberFormat="1"/>
    <xf numFmtId="20" fontId="0" fillId="2" borderId="1" xfId="0" applyNumberFormat="1" applyFont="1" applyFill="1" applyBorder="1"/>
    <xf numFmtId="20" fontId="0" fillId="0" borderId="1" xfId="0" applyNumberFormat="1" applyBorder="1"/>
    <xf numFmtId="20" fontId="0" fillId="0" borderId="2" xfId="0" applyNumberFormat="1" applyBorder="1"/>
    <xf numFmtId="0" fontId="2" fillId="0" borderId="0" xfId="1" applyNumberFormat="1" applyFont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20" fontId="0" fillId="0" borderId="6" xfId="0" applyNumberFormat="1" applyBorder="1"/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5">
    <dxf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mmmm\ 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mmmm\ 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mmmm\ 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mmmm\ 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mmmm\ 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 patternType="solid"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mmmm\ 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5" formatCode="[$-F400]h:mm:ss\ AM/PM"/>
      <fill>
        <patternFill>
          <fgColor indexed="64"/>
          <bgColor theme="0"/>
        </patternFill>
      </fill>
    </dxf>
    <dxf>
      <numFmt numFmtId="164" formatCode="mmmm\ yy"/>
    </dxf>
    <dxf>
      <alignment horizontal="center" vertical="center" textRotation="0" wrapText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4" formatCode="mmmm\ yy"/>
    </dxf>
    <dxf>
      <alignment horizontal="center" vertical="center" textRotation="0" wrapText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4" formatCode="mmmm\ yy"/>
    </dxf>
    <dxf>
      <alignment horizontal="center" vertical="center" textRotation="0" wrapText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4" formatCode="mmmm\ yy"/>
    </dxf>
    <dxf>
      <alignment horizontal="center" vertical="center" textRotation="0" wrapText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4" formatCode="mmmm\ yy"/>
    </dxf>
    <dxf>
      <alignment horizontal="center" vertical="center" textRotation="0" wrapText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4" formatCode="mmmm\ yy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F2:I34" totalsRowCount="1" headerRowDxfId="198">
  <autoFilter ref="F2:I33"/>
  <tableColumns count="4">
    <tableColumn id="1" name="Bulan" totalsRowLabel="Total" dataDxfId="197"/>
    <tableColumn id="2" name="Tgl"/>
    <tableColumn id="3" name="Register" totalsRowFunction="average" dataDxfId="196" totalsRowDxfId="195"/>
    <tableColumn id="4" name="Driver" totalsRowFunction="average" dataDxfId="194" totalsRowDxfId="193"/>
  </tableColumns>
  <tableStyleInfo name="TableStyleLight15" showFirstColumn="1" showLastColumn="1" showRowStripes="1" showColumnStripes="1"/>
</table>
</file>

<file path=xl/tables/table2.xml><?xml version="1.0" encoding="utf-8"?>
<table xmlns="http://schemas.openxmlformats.org/spreadsheetml/2006/main" id="2" name="Table13" displayName="Table13" ref="K2:N34" totalsRowCount="1" headerRowDxfId="192">
  <autoFilter ref="K2:N33"/>
  <tableColumns count="4">
    <tableColumn id="1" name="Bulan" totalsRowLabel="Total" dataDxfId="191"/>
    <tableColumn id="2" name="Tgl"/>
    <tableColumn id="3" name="Register" totalsRowFunction="average" dataDxfId="190" totalsRowDxfId="189"/>
    <tableColumn id="4" name="Driver" totalsRowFunction="average" dataDxfId="188" totalsRowDxfId="187"/>
  </tableColumns>
  <tableStyleInfo name="TableStyleLight15" showFirstColumn="1" showLastColumn="1" showRowStripes="1" showColumnStripes="1"/>
</table>
</file>

<file path=xl/tables/table3.xml><?xml version="1.0" encoding="utf-8"?>
<table xmlns="http://schemas.openxmlformats.org/spreadsheetml/2006/main" id="3" name="Table14" displayName="Table14" ref="A2:D34" totalsRowCount="1" headerRowDxfId="186">
  <autoFilter ref="A2:D33"/>
  <tableColumns count="4">
    <tableColumn id="1" name="Bulan" totalsRowLabel="Total" dataDxfId="185"/>
    <tableColumn id="2" name="Tgl"/>
    <tableColumn id="3" name="Register" dataDxfId="184" totalsRowDxfId="183"/>
    <tableColumn id="4" name="Driver" dataDxfId="182" totalsRowDxfId="181"/>
  </tableColumns>
  <tableStyleInfo name="TableStyleLight15" showFirstColumn="1" showLastColumn="1" showRowStripes="1" showColumnStripes="1"/>
</table>
</file>

<file path=xl/tables/table4.xml><?xml version="1.0" encoding="utf-8"?>
<table xmlns="http://schemas.openxmlformats.org/spreadsheetml/2006/main" id="4" name="Table135" displayName="Table135" ref="P2:S34" totalsRowCount="1" headerRowDxfId="180">
  <autoFilter ref="P2:S33"/>
  <tableColumns count="4">
    <tableColumn id="1" name="Bulan" totalsRowLabel="Total" dataDxfId="179"/>
    <tableColumn id="2" name="Tgl"/>
    <tableColumn id="3" name="Register" totalsRowFunction="average" dataDxfId="178" totalsRowDxfId="177"/>
    <tableColumn id="4" name="Driver" totalsRowFunction="average" dataDxfId="176" totalsRowDxfId="175"/>
  </tableColumns>
  <tableStyleInfo name="TableStyleLight15" showFirstColumn="1" showLastColumn="1" showRowStripes="1" showColumnStripes="1"/>
</table>
</file>

<file path=xl/tables/table5.xml><?xml version="1.0" encoding="utf-8"?>
<table xmlns="http://schemas.openxmlformats.org/spreadsheetml/2006/main" id="5" name="Table1356" displayName="Table1356" ref="U2:X34" totalsRowCount="1" headerRowDxfId="174">
  <autoFilter ref="U2:X33"/>
  <tableColumns count="4">
    <tableColumn id="1" name="Bulan" totalsRowLabel="Total" dataDxfId="173"/>
    <tableColumn id="2" name="Tgl"/>
    <tableColumn id="3" name="Register" totalsRowFunction="average" dataDxfId="172" totalsRowDxfId="171"/>
    <tableColumn id="4" name="Driver" totalsRowFunction="average" dataDxfId="170" totalsRowDxfId="169"/>
  </tableColumns>
  <tableStyleInfo name="TableStyleLight15" showFirstColumn="1" showLastColumn="1" showRowStripes="1" showColumnStripes="1"/>
</table>
</file>

<file path=xl/tables/table6.xml><?xml version="1.0" encoding="utf-8"?>
<table xmlns="http://schemas.openxmlformats.org/spreadsheetml/2006/main" id="6" name="Table13567" displayName="Table13567" ref="Z2:AC34" totalsRowCount="1" headerRowDxfId="168">
  <autoFilter ref="Z2:AC33"/>
  <tableColumns count="4">
    <tableColumn id="1" name="Bulan" totalsRowLabel="Total" dataDxfId="167"/>
    <tableColumn id="2" name="Tgl"/>
    <tableColumn id="3" name="Register" totalsRowFunction="average" dataDxfId="166" totalsRowDxfId="165"/>
    <tableColumn id="4" name="Driver" totalsRowFunction="average" dataDxfId="164" totalsRowDxfId="163"/>
  </tableColumns>
  <tableStyleInfo name="TableStyleLight15" showFirstColumn="1" showLastColumn="1" showRowStripes="1" showColumnStripes="1"/>
</table>
</file>

<file path=xl/tables/table7.xml><?xml version="1.0" encoding="utf-8"?>
<table xmlns="http://schemas.openxmlformats.org/spreadsheetml/2006/main" id="7" name="Table135678" displayName="Table135678" ref="A37:D69" totalsRowCount="1" headerRowDxfId="162" dataDxfId="161" totalsRowDxfId="160">
  <autoFilter ref="A37:D68"/>
  <tableColumns count="4">
    <tableColumn id="1" name="Bulan" totalsRowLabel="Total" dataDxfId="159" totalsRowDxfId="158"/>
    <tableColumn id="2" name="Tgl" dataDxfId="157" totalsRowDxfId="156"/>
    <tableColumn id="3" name="Register" totalsRowFunction="average" dataDxfId="155" totalsRowDxfId="154"/>
    <tableColumn id="4" name="Driver" totalsRowFunction="average" dataDxfId="153" totalsRowDxfId="152"/>
  </tableColumns>
  <tableStyleInfo name="TableStyleLight15" showFirstColumn="1" showLastColumn="1" showRowStripes="1" showColumnStripes="1"/>
</table>
</file>

<file path=xl/tables/table8.xml><?xml version="1.0" encoding="utf-8"?>
<table xmlns="http://schemas.openxmlformats.org/spreadsheetml/2006/main" id="8" name="Table1356789" displayName="Table1356789" ref="F37:I69" totalsRowCount="1" headerRowDxfId="151" dataDxfId="150" totalsRowDxfId="149">
  <autoFilter ref="F37:I68"/>
  <tableColumns count="4">
    <tableColumn id="1" name="Bulan" totalsRowLabel="Total" dataDxfId="148" totalsRowDxfId="147"/>
    <tableColumn id="2" name="Tgl" dataDxfId="146" totalsRowDxfId="145"/>
    <tableColumn id="3" name="Register" totalsRowFunction="average" dataDxfId="144" totalsRowDxfId="143"/>
    <tableColumn id="4" name="Driver" totalsRowFunction="average" dataDxfId="142" totalsRowDxfId="141"/>
  </tableColumns>
  <tableStyleInfo name="TableStyleLight15" showFirstColumn="1" showLastColumn="1" showRowStripes="1" showColumnStripes="1"/>
</table>
</file>

<file path=xl/tables/table9.xml><?xml version="1.0" encoding="utf-8"?>
<table xmlns="http://schemas.openxmlformats.org/spreadsheetml/2006/main" id="9" name="Table135678910" displayName="Table135678910" ref="K37:N69" totalsRowCount="1" headerRowDxfId="140" dataDxfId="139" totalsRowDxfId="138">
  <autoFilter ref="K37:N68"/>
  <tableColumns count="4">
    <tableColumn id="1" name="Bulan" totalsRowLabel="Total" dataDxfId="137" totalsRowDxfId="136"/>
    <tableColumn id="2" name="Tgl" dataDxfId="135" totalsRowDxfId="134"/>
    <tableColumn id="3" name="Register" totalsRowFunction="average" dataDxfId="133" totalsRowDxfId="132"/>
    <tableColumn id="4" name="Driver" totalsRowFunction="average" dataDxfId="131" totalsRowDxfId="130"/>
  </tableColumns>
  <tableStyleInfo name="TableStyleLight15" showFirstColumn="1" showLastColumn="1" showRowStripes="1" showColumnStripes="1"/>
</table>
</file>

<file path=xl/tables/table10.xml><?xml version="1.0" encoding="utf-8"?>
<table xmlns="http://schemas.openxmlformats.org/spreadsheetml/2006/main" id="10" name="Table13567891011" displayName="Table13567891011" ref="P37:S69" totalsRowCount="1" headerRowDxfId="129" dataDxfId="128" totalsRowDxfId="127">
  <autoFilter ref="P37:S68"/>
  <tableColumns count="4">
    <tableColumn id="1" name="Bulan" totalsRowLabel="Total" dataDxfId="126" totalsRowDxfId="125"/>
    <tableColumn id="2" name="Tgl" dataDxfId="124" totalsRowDxfId="123"/>
    <tableColumn id="3" name="Register" totalsRowFunction="average" dataDxfId="122" totalsRowDxfId="121"/>
    <tableColumn id="4" name="Driver" totalsRowFunction="average" dataDxfId="120" totalsRowDxfId="119"/>
  </tableColumns>
  <tableStyleInfo name="TableStyleLight15" showFirstColumn="1" showLastColumn="1" showRowStripes="1" showColumnStripes="1"/>
</table>
</file>

<file path=xl/tables/table11.xml><?xml version="1.0" encoding="utf-8"?>
<table xmlns="http://schemas.openxmlformats.org/spreadsheetml/2006/main" id="11" name="Table1356789101112" displayName="Table1356789101112" ref="U37:X69" totalsRowCount="1" headerRowDxfId="118" dataDxfId="117" totalsRowDxfId="116">
  <autoFilter ref="U37:X68"/>
  <tableColumns count="4">
    <tableColumn id="1" name="Bulan" totalsRowLabel="Total" dataDxfId="115" totalsRowDxfId="114"/>
    <tableColumn id="2" name="Tgl" dataDxfId="113" totalsRowDxfId="112"/>
    <tableColumn id="3" name="Register" totalsRowFunction="average" dataDxfId="111" totalsRowDxfId="110"/>
    <tableColumn id="4" name="Driver" totalsRowFunction="average" dataDxfId="109" totalsRowDxfId="108"/>
  </tableColumns>
  <tableStyleInfo name="TableStyleLight15" showFirstColumn="1" showLastColumn="1" showRowStripes="1" showColumnStripes="1"/>
</table>
</file>

<file path=xl/tables/table12.xml><?xml version="1.0" encoding="utf-8"?>
<table xmlns="http://schemas.openxmlformats.org/spreadsheetml/2006/main" id="12" name="Table1356789101113" displayName="Table1356789101113" ref="Z37:AC69" totalsRowCount="1" headerRowDxfId="107" dataDxfId="106" totalsRowDxfId="105">
  <autoFilter ref="Z37:AC68"/>
  <tableColumns count="4">
    <tableColumn id="1" name="Bulan" totalsRowLabel="Total" dataDxfId="104" totalsRowDxfId="103"/>
    <tableColumn id="2" name="Tgl" dataDxfId="102" totalsRowDxfId="101"/>
    <tableColumn id="3" name="Register" totalsRowFunction="average" dataDxfId="100" totalsRowDxfId="99"/>
    <tableColumn id="4" name="Driver" totalsRowFunction="average" dataDxfId="98" totalsRowDxfId="97"/>
  </tableColumns>
  <tableStyleInfo name="TableStyleLight15" showFirstColumn="1" showLastColumn="1" showRowStripes="1" showColumnStripes="1"/>
</table>
</file>

<file path=xl/tables/table13.xml><?xml version="1.0" encoding="utf-8"?>
<table xmlns="http://schemas.openxmlformats.org/spreadsheetml/2006/main" id="14" name="Table15" displayName="Table15" ref="A5:AA37" totalsRowCount="1" headerRowDxfId="53" tableBorderDxfId="52">
  <autoFilter ref="A5:AA36"/>
  <tableColumns count="27">
    <tableColumn id="1" name="1" totalsRowLabel="Total">
      <calculatedColumnFormula>+A5+1</calculatedColumnFormula>
    </tableColumn>
    <tableColumn id="2" name="2" totalsRowFunction="average" dataDxfId="51" totalsRowDxfId="25"/>
    <tableColumn id="3" name="3" totalsRowFunction="average" dataDxfId="50" totalsRowDxfId="24"/>
    <tableColumn id="4" name="4" totalsRowFunction="average" dataDxfId="49" totalsRowDxfId="23"/>
    <tableColumn id="5" name="5" totalsRowFunction="average" dataDxfId="48" totalsRowDxfId="22"/>
    <tableColumn id="6" name="6" totalsRowFunction="average" dataDxfId="47" totalsRowDxfId="21"/>
    <tableColumn id="7" name="7" totalsRowFunction="average" dataDxfId="46" totalsRowDxfId="20"/>
    <tableColumn id="8" name="8" totalsRowFunction="average" dataDxfId="45" totalsRowDxfId="19"/>
    <tableColumn id="9" name="9" totalsRowFunction="average" dataDxfId="44" totalsRowDxfId="18"/>
    <tableColumn id="10" name="10" totalsRowFunction="average" dataDxfId="43" totalsRowDxfId="17"/>
    <tableColumn id="11" name="11" totalsRowFunction="average" dataDxfId="42" totalsRowDxfId="16"/>
    <tableColumn id="12" name="12" totalsRowFunction="average" dataDxfId="41" totalsRowDxfId="15"/>
    <tableColumn id="13" name="13" totalsRowFunction="average" dataDxfId="40" totalsRowDxfId="14"/>
    <tableColumn id="14" name="14" dataDxfId="39" totalsRowDxfId="13"/>
    <tableColumn id="15" name="15" dataDxfId="38" totalsRowDxfId="12"/>
    <tableColumn id="16" name="16" dataDxfId="37" totalsRowDxfId="11"/>
    <tableColumn id="17" name="17" dataDxfId="36" totalsRowDxfId="10"/>
    <tableColumn id="18" name="18" dataDxfId="35" totalsRowDxfId="9"/>
    <tableColumn id="19" name="19" dataDxfId="34" totalsRowDxfId="8"/>
    <tableColumn id="20" name="20" dataDxfId="33" totalsRowDxfId="7"/>
    <tableColumn id="21" name="21" dataDxfId="32" totalsRowDxfId="6"/>
    <tableColumn id="22" name="22" dataDxfId="31" totalsRowDxfId="5"/>
    <tableColumn id="23" name="23" dataDxfId="30" totalsRowDxfId="4"/>
    <tableColumn id="24" name="24" dataDxfId="29" totalsRowDxfId="3"/>
    <tableColumn id="25" name="25" dataDxfId="28" totalsRowDxfId="2"/>
    <tableColumn id="26" name="26" dataDxfId="27" totalsRowDxfId="1"/>
    <tableColumn id="27" name="27" totalsRowFunction="count" dataDxfId="26" totalsRowDxfId="0"/>
  </tableColumns>
  <tableStyleInfo name="TableStyleLight15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"/>
  <sheetViews>
    <sheetView showGridLines="0" topLeftCell="A10" zoomScale="80" zoomScaleNormal="80" workbookViewId="0">
      <selection activeCell="AC38" sqref="AC38:AC61"/>
    </sheetView>
  </sheetViews>
  <sheetFormatPr defaultRowHeight="15" x14ac:dyDescent="0.25"/>
  <cols>
    <col min="1" max="1" width="10.85546875" bestFit="1" customWidth="1"/>
    <col min="2" max="2" width="5.7109375" customWidth="1"/>
    <col min="5" max="5" width="3.42578125" customWidth="1"/>
    <col min="6" max="6" width="11" style="1" customWidth="1"/>
    <col min="7" max="7" width="5.7109375" customWidth="1"/>
    <col min="8" max="8" width="9.140625" style="2"/>
    <col min="9" max="9" width="11" style="2" customWidth="1"/>
    <col min="10" max="10" width="3.7109375" customWidth="1"/>
    <col min="11" max="11" width="13.5703125" bestFit="1" customWidth="1"/>
    <col min="12" max="12" width="5.7109375" customWidth="1"/>
    <col min="15" max="15" width="3.140625" customWidth="1"/>
    <col min="16" max="16" width="11" bestFit="1" customWidth="1"/>
    <col min="17" max="17" width="5.7109375" customWidth="1"/>
    <col min="20" max="20" width="3.85546875" customWidth="1"/>
    <col min="21" max="21" width="13.140625" bestFit="1" customWidth="1"/>
    <col min="22" max="22" width="5.7109375" customWidth="1"/>
    <col min="25" max="25" width="3.42578125" customWidth="1"/>
    <col min="26" max="26" width="13" bestFit="1" customWidth="1"/>
    <col min="27" max="27" width="5.7109375" customWidth="1"/>
    <col min="28" max="29" width="9.140625" style="10"/>
  </cols>
  <sheetData>
    <row r="1" spans="1:29" x14ac:dyDescent="0.25">
      <c r="H1" s="2">
        <f>+Table1[[#Totals],[Register]]</f>
        <v>0.42009803921568634</v>
      </c>
      <c r="I1" s="2">
        <f>+Table1[[#Totals],[Driver]]</f>
        <v>0.42986111111111114</v>
      </c>
    </row>
    <row r="2" spans="1:29" ht="31.5" customHeight="1" x14ac:dyDescent="0.25">
      <c r="A2" s="3" t="s">
        <v>0</v>
      </c>
      <c r="B2" s="4" t="s">
        <v>3</v>
      </c>
      <c r="C2" s="5" t="s">
        <v>1</v>
      </c>
      <c r="D2" s="5" t="s">
        <v>2</v>
      </c>
      <c r="F2" s="3" t="s">
        <v>0</v>
      </c>
      <c r="G2" s="4" t="s">
        <v>3</v>
      </c>
      <c r="H2" s="5" t="s">
        <v>1</v>
      </c>
      <c r="I2" s="5" t="s">
        <v>2</v>
      </c>
      <c r="K2" s="3" t="s">
        <v>0</v>
      </c>
      <c r="L2" s="4" t="s">
        <v>3</v>
      </c>
      <c r="M2" s="5" t="s">
        <v>1</v>
      </c>
      <c r="N2" s="5" t="s">
        <v>2</v>
      </c>
      <c r="P2" s="3" t="s">
        <v>0</v>
      </c>
      <c r="Q2" s="4" t="s">
        <v>3</v>
      </c>
      <c r="R2" s="5" t="s">
        <v>1</v>
      </c>
      <c r="S2" s="5" t="s">
        <v>2</v>
      </c>
      <c r="U2" s="3" t="s">
        <v>0</v>
      </c>
      <c r="V2" s="4" t="s">
        <v>3</v>
      </c>
      <c r="W2" s="5" t="s">
        <v>1</v>
      </c>
      <c r="X2" s="5" t="s">
        <v>2</v>
      </c>
      <c r="Z2" s="3" t="s">
        <v>0</v>
      </c>
      <c r="AA2" s="4" t="s">
        <v>3</v>
      </c>
      <c r="AB2" s="8" t="s">
        <v>1</v>
      </c>
      <c r="AC2" s="8" t="s">
        <v>2</v>
      </c>
    </row>
    <row r="3" spans="1:29" x14ac:dyDescent="0.25">
      <c r="A3" s="1">
        <v>45658</v>
      </c>
      <c r="B3">
        <v>1</v>
      </c>
      <c r="C3" s="2"/>
      <c r="D3" s="2"/>
      <c r="F3" s="1">
        <v>45689</v>
      </c>
      <c r="G3">
        <v>1</v>
      </c>
      <c r="K3" s="1">
        <v>45717</v>
      </c>
      <c r="L3">
        <v>1</v>
      </c>
      <c r="M3" s="2">
        <v>0.39583333333333331</v>
      </c>
      <c r="N3" s="2">
        <v>0.40902777777777777</v>
      </c>
      <c r="P3" s="1">
        <v>45748</v>
      </c>
      <c r="Q3">
        <v>1</v>
      </c>
      <c r="R3" s="2"/>
      <c r="S3" s="2"/>
      <c r="U3" s="1">
        <v>45778</v>
      </c>
      <c r="V3">
        <v>1</v>
      </c>
      <c r="W3" s="2"/>
      <c r="X3" s="2"/>
      <c r="Z3" s="1">
        <v>45809</v>
      </c>
      <c r="AA3">
        <v>1</v>
      </c>
      <c r="AB3" s="11"/>
      <c r="AC3" s="11"/>
    </row>
    <row r="4" spans="1:29" x14ac:dyDescent="0.25">
      <c r="A4" s="1">
        <v>45658</v>
      </c>
      <c r="B4">
        <v>2</v>
      </c>
      <c r="C4" s="2"/>
      <c r="D4" s="2"/>
      <c r="F4" s="1">
        <v>45689</v>
      </c>
      <c r="G4">
        <v>2</v>
      </c>
      <c r="K4" s="1">
        <v>45717</v>
      </c>
      <c r="L4">
        <v>2</v>
      </c>
      <c r="M4" s="2"/>
      <c r="N4" s="2"/>
      <c r="P4" s="1">
        <v>45748</v>
      </c>
      <c r="Q4">
        <v>2</v>
      </c>
      <c r="R4" s="2"/>
      <c r="S4" s="2"/>
      <c r="U4" s="1">
        <v>45778</v>
      </c>
      <c r="V4">
        <v>2</v>
      </c>
      <c r="W4" s="2"/>
      <c r="X4" s="2"/>
      <c r="Z4" s="1">
        <v>45809</v>
      </c>
      <c r="AA4">
        <v>2</v>
      </c>
      <c r="AB4" s="11">
        <v>0.42708333333333331</v>
      </c>
      <c r="AC4" s="11">
        <v>0.46875</v>
      </c>
    </row>
    <row r="5" spans="1:29" x14ac:dyDescent="0.25">
      <c r="A5" s="1">
        <v>45658</v>
      </c>
      <c r="B5">
        <v>3</v>
      </c>
      <c r="C5" s="2"/>
      <c r="D5" s="2"/>
      <c r="F5" s="1">
        <v>45689</v>
      </c>
      <c r="G5">
        <v>3</v>
      </c>
      <c r="K5" s="1">
        <v>45717</v>
      </c>
      <c r="L5">
        <v>3</v>
      </c>
      <c r="M5" s="2">
        <v>0.38194444444444442</v>
      </c>
      <c r="N5" s="2">
        <v>0.38541666666666669</v>
      </c>
      <c r="P5" s="1">
        <v>45748</v>
      </c>
      <c r="Q5">
        <v>3</v>
      </c>
      <c r="R5" s="2"/>
      <c r="S5" s="2"/>
      <c r="U5" s="1">
        <v>45778</v>
      </c>
      <c r="V5">
        <v>3</v>
      </c>
      <c r="W5" s="2"/>
      <c r="X5" s="2"/>
      <c r="Z5" s="1">
        <v>45809</v>
      </c>
      <c r="AA5">
        <v>3</v>
      </c>
      <c r="AB5" s="11">
        <v>0.40625</v>
      </c>
      <c r="AC5" s="11">
        <v>0.44791666666666669</v>
      </c>
    </row>
    <row r="6" spans="1:29" x14ac:dyDescent="0.25">
      <c r="A6" s="1">
        <v>45658</v>
      </c>
      <c r="B6">
        <v>4</v>
      </c>
      <c r="C6" s="2"/>
      <c r="D6" s="2"/>
      <c r="F6" s="1">
        <v>45689</v>
      </c>
      <c r="G6">
        <v>4</v>
      </c>
      <c r="K6" s="1">
        <v>45717</v>
      </c>
      <c r="L6">
        <v>4</v>
      </c>
      <c r="M6" s="2">
        <v>0.4284722222222222</v>
      </c>
      <c r="N6" s="2">
        <v>0.44305555555555554</v>
      </c>
      <c r="P6" s="1">
        <v>45748</v>
      </c>
      <c r="Q6">
        <v>4</v>
      </c>
      <c r="R6" s="2"/>
      <c r="S6" s="2"/>
      <c r="U6" s="1">
        <v>45778</v>
      </c>
      <c r="V6">
        <v>4</v>
      </c>
      <c r="W6" s="2"/>
      <c r="X6" s="2"/>
      <c r="Z6" s="1">
        <v>45809</v>
      </c>
      <c r="AA6">
        <v>4</v>
      </c>
      <c r="AB6" s="11">
        <v>0.42708333333333331</v>
      </c>
      <c r="AC6" s="11">
        <v>0.45833333333333331</v>
      </c>
    </row>
    <row r="7" spans="1:29" x14ac:dyDescent="0.25">
      <c r="A7" s="1">
        <v>45658</v>
      </c>
      <c r="B7">
        <v>5</v>
      </c>
      <c r="C7" s="2"/>
      <c r="D7" s="2"/>
      <c r="F7" s="1">
        <v>45689</v>
      </c>
      <c r="G7">
        <v>5</v>
      </c>
      <c r="K7" s="1">
        <v>45717</v>
      </c>
      <c r="L7">
        <v>5</v>
      </c>
      <c r="M7" s="2">
        <v>0.4465277777777778</v>
      </c>
      <c r="N7" s="2">
        <v>0.45833333333333331</v>
      </c>
      <c r="P7" s="1">
        <v>45748</v>
      </c>
      <c r="Q7">
        <v>5</v>
      </c>
      <c r="R7" s="2"/>
      <c r="S7" s="2"/>
      <c r="U7" s="1">
        <v>45778</v>
      </c>
      <c r="V7">
        <v>5</v>
      </c>
      <c r="W7" s="2">
        <v>0.4375</v>
      </c>
      <c r="X7" s="2">
        <v>0.44097222222222227</v>
      </c>
      <c r="Z7" s="1">
        <v>45809</v>
      </c>
      <c r="AA7">
        <v>5</v>
      </c>
      <c r="AB7" s="11">
        <v>0.44791666666666669</v>
      </c>
      <c r="AC7" s="11">
        <v>0.46875</v>
      </c>
    </row>
    <row r="8" spans="1:29" x14ac:dyDescent="0.25">
      <c r="A8" s="1">
        <v>45658</v>
      </c>
      <c r="B8">
        <v>6</v>
      </c>
      <c r="C8" s="2"/>
      <c r="D8" s="2"/>
      <c r="F8" s="1">
        <v>45689</v>
      </c>
      <c r="G8">
        <v>6</v>
      </c>
      <c r="K8" s="1">
        <v>45717</v>
      </c>
      <c r="L8">
        <v>6</v>
      </c>
      <c r="M8" s="2">
        <v>0.4548611111111111</v>
      </c>
      <c r="N8" s="2">
        <v>0.45833333333333331</v>
      </c>
      <c r="P8" s="1">
        <v>45748</v>
      </c>
      <c r="Q8">
        <v>6</v>
      </c>
      <c r="R8" s="2"/>
      <c r="S8" s="2"/>
      <c r="U8" s="1">
        <v>45778</v>
      </c>
      <c r="V8">
        <v>6</v>
      </c>
      <c r="W8" s="2"/>
      <c r="X8" s="2"/>
      <c r="Z8" s="1">
        <v>45809</v>
      </c>
      <c r="AA8">
        <v>6</v>
      </c>
      <c r="AB8" s="11"/>
      <c r="AC8" s="11"/>
    </row>
    <row r="9" spans="1:29" x14ac:dyDescent="0.25">
      <c r="A9" s="1">
        <v>45658</v>
      </c>
      <c r="B9">
        <v>7</v>
      </c>
      <c r="C9" s="2"/>
      <c r="D9" s="2"/>
      <c r="F9" s="1">
        <v>45689</v>
      </c>
      <c r="G9">
        <v>7</v>
      </c>
      <c r="K9" s="1">
        <v>45717</v>
      </c>
      <c r="L9">
        <v>7</v>
      </c>
      <c r="M9" s="2">
        <v>0.4201388888888889</v>
      </c>
      <c r="N9" s="2">
        <v>0.42708333333333331</v>
      </c>
      <c r="P9" s="1">
        <v>45748</v>
      </c>
      <c r="Q9">
        <v>7</v>
      </c>
      <c r="R9" s="2"/>
      <c r="S9" s="2"/>
      <c r="U9" s="1">
        <v>45778</v>
      </c>
      <c r="V9">
        <v>7</v>
      </c>
      <c r="W9" s="2">
        <v>0.4548611111111111</v>
      </c>
      <c r="X9" s="2">
        <v>0.4604166666666667</v>
      </c>
      <c r="Z9" s="1">
        <v>45809</v>
      </c>
      <c r="AA9">
        <v>7</v>
      </c>
      <c r="AB9" s="11">
        <v>0.4548611111111111</v>
      </c>
      <c r="AC9" s="11">
        <v>0.47569444444444442</v>
      </c>
    </row>
    <row r="10" spans="1:29" x14ac:dyDescent="0.25">
      <c r="A10" s="1">
        <v>45658</v>
      </c>
      <c r="B10">
        <v>8</v>
      </c>
      <c r="C10" s="2"/>
      <c r="D10" s="2"/>
      <c r="F10" s="1">
        <v>45689</v>
      </c>
      <c r="G10">
        <v>8</v>
      </c>
      <c r="K10" s="1">
        <v>45717</v>
      </c>
      <c r="L10">
        <v>8</v>
      </c>
      <c r="M10" s="2">
        <v>0.38055555555555554</v>
      </c>
      <c r="N10" s="2">
        <v>0.39583333333333331</v>
      </c>
      <c r="P10" s="1">
        <v>45748</v>
      </c>
      <c r="Q10">
        <v>8</v>
      </c>
      <c r="R10" s="2">
        <v>0.41319444444444442</v>
      </c>
      <c r="S10" s="2">
        <v>0.4201388888888889</v>
      </c>
      <c r="U10" s="1">
        <v>45778</v>
      </c>
      <c r="V10">
        <v>8</v>
      </c>
      <c r="W10" s="2">
        <v>0.47916666666666669</v>
      </c>
      <c r="X10" s="2">
        <v>0.50069444444444444</v>
      </c>
      <c r="Z10" s="1">
        <v>45809</v>
      </c>
      <c r="AA10">
        <v>8</v>
      </c>
      <c r="AB10" s="11"/>
      <c r="AC10" s="11"/>
    </row>
    <row r="11" spans="1:29" x14ac:dyDescent="0.25">
      <c r="A11" s="1">
        <v>45658</v>
      </c>
      <c r="B11">
        <v>9</v>
      </c>
      <c r="C11" s="2"/>
      <c r="D11" s="2"/>
      <c r="F11" s="1">
        <v>45689</v>
      </c>
      <c r="G11">
        <v>9</v>
      </c>
      <c r="K11" s="1">
        <v>45717</v>
      </c>
      <c r="L11">
        <v>9</v>
      </c>
      <c r="M11" s="2"/>
      <c r="N11" s="2"/>
      <c r="P11" s="1">
        <v>45748</v>
      </c>
      <c r="Q11">
        <v>9</v>
      </c>
      <c r="R11" s="2">
        <v>0.45833333333333331</v>
      </c>
      <c r="S11" s="2">
        <v>0.46180555555555558</v>
      </c>
      <c r="U11" s="1">
        <v>45778</v>
      </c>
      <c r="V11">
        <v>9</v>
      </c>
      <c r="W11" s="2">
        <v>0.41666666666666669</v>
      </c>
      <c r="X11" s="2">
        <v>0.42708333333333331</v>
      </c>
      <c r="Z11" s="1">
        <v>45809</v>
      </c>
      <c r="AA11">
        <v>9</v>
      </c>
      <c r="AB11" s="11">
        <v>0.40625</v>
      </c>
      <c r="AC11" s="11">
        <v>0.42708333333333331</v>
      </c>
    </row>
    <row r="12" spans="1:29" x14ac:dyDescent="0.25">
      <c r="A12" s="1">
        <v>45658</v>
      </c>
      <c r="B12">
        <v>10</v>
      </c>
      <c r="C12" s="2"/>
      <c r="D12" s="2"/>
      <c r="F12" s="1">
        <v>45689</v>
      </c>
      <c r="G12">
        <v>10</v>
      </c>
      <c r="H12" s="2">
        <v>0.44791666666666669</v>
      </c>
      <c r="I12" s="2">
        <v>0.46180555555555558</v>
      </c>
      <c r="K12" s="1">
        <v>45717</v>
      </c>
      <c r="L12">
        <v>10</v>
      </c>
      <c r="M12" s="2">
        <v>0.45833333333333331</v>
      </c>
      <c r="N12" s="2">
        <v>0.45902777777777781</v>
      </c>
      <c r="P12" s="1">
        <v>45748</v>
      </c>
      <c r="Q12">
        <v>10</v>
      </c>
      <c r="R12" s="2">
        <v>0.42222222222222222</v>
      </c>
      <c r="S12" s="2">
        <v>0.42708333333333331</v>
      </c>
      <c r="U12" s="1">
        <v>45778</v>
      </c>
      <c r="V12">
        <v>10</v>
      </c>
      <c r="W12" s="2">
        <v>0.40972222222222227</v>
      </c>
      <c r="X12" s="2">
        <v>0.41666666666666669</v>
      </c>
      <c r="Z12" s="1">
        <v>45809</v>
      </c>
      <c r="AA12">
        <v>10</v>
      </c>
      <c r="AB12" s="11">
        <v>0.42569444444444443</v>
      </c>
      <c r="AC12" s="11">
        <v>0.43055555555555558</v>
      </c>
    </row>
    <row r="13" spans="1:29" x14ac:dyDescent="0.25">
      <c r="A13" s="1">
        <v>45658</v>
      </c>
      <c r="B13">
        <v>11</v>
      </c>
      <c r="C13" s="2"/>
      <c r="D13" s="2"/>
      <c r="F13" s="1">
        <v>45689</v>
      </c>
      <c r="G13">
        <v>11</v>
      </c>
      <c r="H13" s="2">
        <v>0.42430555555555555</v>
      </c>
      <c r="I13" s="2">
        <v>0.43402777777777773</v>
      </c>
      <c r="K13" s="1">
        <v>45717</v>
      </c>
      <c r="L13">
        <v>11</v>
      </c>
      <c r="M13" s="2">
        <v>0.40625</v>
      </c>
      <c r="N13" s="2">
        <v>0.40972222222222227</v>
      </c>
      <c r="P13" s="1">
        <v>45748</v>
      </c>
      <c r="Q13">
        <v>11</v>
      </c>
      <c r="R13" s="2">
        <v>0.45833333333333331</v>
      </c>
      <c r="S13" s="2">
        <v>0.51944444444444449</v>
      </c>
      <c r="U13" s="1">
        <v>45778</v>
      </c>
      <c r="V13">
        <v>11</v>
      </c>
      <c r="W13" s="2"/>
      <c r="X13" s="2"/>
      <c r="Z13" s="1">
        <v>45809</v>
      </c>
      <c r="AA13">
        <v>11</v>
      </c>
      <c r="AB13" s="11">
        <v>0.44791666666666669</v>
      </c>
      <c r="AC13" s="11">
        <v>0.46875</v>
      </c>
    </row>
    <row r="14" spans="1:29" x14ac:dyDescent="0.25">
      <c r="A14" s="1">
        <v>45658</v>
      </c>
      <c r="B14">
        <v>12</v>
      </c>
      <c r="C14" s="2"/>
      <c r="D14" s="2"/>
      <c r="F14" s="1">
        <v>45689</v>
      </c>
      <c r="G14">
        <v>12</v>
      </c>
      <c r="H14" s="2">
        <v>0.40069444444444446</v>
      </c>
      <c r="I14" s="2">
        <v>0.41319444444444442</v>
      </c>
      <c r="K14" s="1">
        <v>45717</v>
      </c>
      <c r="L14">
        <v>12</v>
      </c>
      <c r="M14" s="2">
        <v>0.43611111111111112</v>
      </c>
      <c r="N14" s="2">
        <v>0.4375</v>
      </c>
      <c r="P14" s="1">
        <v>45748</v>
      </c>
      <c r="Q14">
        <v>12</v>
      </c>
      <c r="R14" s="2">
        <v>0.43263888888888885</v>
      </c>
      <c r="S14" s="2">
        <v>0.44097222222222227</v>
      </c>
      <c r="U14" s="1">
        <v>45778</v>
      </c>
      <c r="V14">
        <v>12</v>
      </c>
      <c r="W14" s="2"/>
      <c r="X14" s="2"/>
      <c r="Z14" s="1">
        <v>45809</v>
      </c>
      <c r="AA14">
        <v>12</v>
      </c>
      <c r="AB14" s="11">
        <v>0.44097222222222227</v>
      </c>
      <c r="AC14" s="11">
        <v>0.46527777777777773</v>
      </c>
    </row>
    <row r="15" spans="1:29" x14ac:dyDescent="0.25">
      <c r="A15" s="1">
        <v>45658</v>
      </c>
      <c r="B15">
        <v>13</v>
      </c>
      <c r="C15" s="2"/>
      <c r="D15" s="2"/>
      <c r="F15" s="1">
        <v>45689</v>
      </c>
      <c r="G15">
        <v>13</v>
      </c>
      <c r="H15" s="2">
        <v>0.44375000000000003</v>
      </c>
      <c r="I15" s="2">
        <v>0.4513888888888889</v>
      </c>
      <c r="K15" s="1">
        <v>45717</v>
      </c>
      <c r="L15">
        <v>13</v>
      </c>
      <c r="M15" s="2">
        <v>0.45416666666666666</v>
      </c>
      <c r="N15" s="2">
        <v>0.45763888888888887</v>
      </c>
      <c r="P15" s="1">
        <v>45748</v>
      </c>
      <c r="Q15">
        <v>13</v>
      </c>
      <c r="R15" s="2"/>
      <c r="S15" s="2"/>
      <c r="U15" s="1">
        <v>45778</v>
      </c>
      <c r="V15">
        <v>13</v>
      </c>
      <c r="W15" s="2">
        <v>0.48402777777777778</v>
      </c>
      <c r="X15" s="2">
        <v>0.48958333333333331</v>
      </c>
      <c r="Z15" s="1">
        <v>45809</v>
      </c>
      <c r="AA15">
        <v>13</v>
      </c>
      <c r="AB15" s="11">
        <v>0.41666666666666669</v>
      </c>
      <c r="AC15" s="11">
        <v>0.42708333333333331</v>
      </c>
    </row>
    <row r="16" spans="1:29" x14ac:dyDescent="0.25">
      <c r="A16" s="1">
        <v>45658</v>
      </c>
      <c r="B16">
        <v>14</v>
      </c>
      <c r="C16" s="2"/>
      <c r="D16" s="2"/>
      <c r="F16" s="1">
        <v>45689</v>
      </c>
      <c r="G16">
        <v>14</v>
      </c>
      <c r="H16" s="2">
        <v>0.3979166666666667</v>
      </c>
      <c r="I16" s="2">
        <v>0.40625</v>
      </c>
      <c r="K16" s="1">
        <v>45717</v>
      </c>
      <c r="L16">
        <v>14</v>
      </c>
      <c r="M16" s="2">
        <v>0.45347222222222222</v>
      </c>
      <c r="N16" s="2">
        <v>0.45694444444444443</v>
      </c>
      <c r="P16" s="1">
        <v>45748</v>
      </c>
      <c r="Q16">
        <v>14</v>
      </c>
      <c r="R16" s="2">
        <v>0.53125</v>
      </c>
      <c r="S16" s="2">
        <v>0.54166666666666663</v>
      </c>
      <c r="U16" s="1">
        <v>45778</v>
      </c>
      <c r="V16">
        <v>14</v>
      </c>
      <c r="W16" s="2">
        <v>0.44166666666666665</v>
      </c>
      <c r="X16" s="2">
        <v>0.44791666666666669</v>
      </c>
      <c r="Z16" s="1">
        <v>45809</v>
      </c>
      <c r="AA16">
        <v>14</v>
      </c>
      <c r="AB16" s="11">
        <v>0.39166666666666666</v>
      </c>
      <c r="AC16" s="11">
        <v>0.42708333333333331</v>
      </c>
    </row>
    <row r="17" spans="1:29" x14ac:dyDescent="0.25">
      <c r="A17" s="1">
        <v>45658</v>
      </c>
      <c r="B17">
        <v>15</v>
      </c>
      <c r="C17" s="2"/>
      <c r="D17" s="2"/>
      <c r="F17" s="1">
        <v>45689</v>
      </c>
      <c r="G17">
        <v>15</v>
      </c>
      <c r="H17" s="2">
        <v>0.40069444444444446</v>
      </c>
      <c r="I17" s="2">
        <v>0.41250000000000003</v>
      </c>
      <c r="K17" s="1">
        <v>45717</v>
      </c>
      <c r="L17">
        <v>15</v>
      </c>
      <c r="M17" s="2">
        <v>0.4145833333333333</v>
      </c>
      <c r="N17" s="2">
        <v>0.4152777777777778</v>
      </c>
      <c r="P17" s="1">
        <v>45748</v>
      </c>
      <c r="Q17">
        <v>15</v>
      </c>
      <c r="R17" s="2">
        <v>0.44791666666666669</v>
      </c>
      <c r="S17" s="2">
        <v>0.45833333333333331</v>
      </c>
      <c r="U17" s="1">
        <v>45778</v>
      </c>
      <c r="V17">
        <v>15</v>
      </c>
      <c r="W17" s="2"/>
      <c r="X17" s="2"/>
      <c r="Z17" s="1">
        <v>45809</v>
      </c>
      <c r="AA17">
        <v>15</v>
      </c>
      <c r="AB17" s="11"/>
      <c r="AC17" s="11"/>
    </row>
    <row r="18" spans="1:29" x14ac:dyDescent="0.25">
      <c r="A18" s="1">
        <v>45658</v>
      </c>
      <c r="B18">
        <v>16</v>
      </c>
      <c r="C18" s="2"/>
      <c r="D18" s="2"/>
      <c r="F18" s="1">
        <v>45689</v>
      </c>
      <c r="G18">
        <v>16</v>
      </c>
      <c r="K18" s="1">
        <v>45717</v>
      </c>
      <c r="L18">
        <v>16</v>
      </c>
      <c r="M18" s="2"/>
      <c r="N18" s="2"/>
      <c r="P18" s="1">
        <v>45748</v>
      </c>
      <c r="Q18">
        <v>16</v>
      </c>
      <c r="R18" s="2">
        <v>0.41180555555555554</v>
      </c>
      <c r="S18" s="2">
        <v>0.4152777777777778</v>
      </c>
      <c r="U18" s="1">
        <v>45778</v>
      </c>
      <c r="V18">
        <v>16</v>
      </c>
      <c r="W18" s="2">
        <v>0.42777777777777781</v>
      </c>
      <c r="X18" s="2">
        <v>0.43472222222222223</v>
      </c>
      <c r="Z18" s="1">
        <v>45809</v>
      </c>
      <c r="AA18">
        <v>16</v>
      </c>
      <c r="AB18" s="11">
        <v>0.39583333333333331</v>
      </c>
      <c r="AC18" s="11">
        <v>0.42708333333333331</v>
      </c>
    </row>
    <row r="19" spans="1:29" x14ac:dyDescent="0.25">
      <c r="A19" s="1">
        <v>45658</v>
      </c>
      <c r="B19">
        <v>17</v>
      </c>
      <c r="C19" s="2"/>
      <c r="D19" s="2"/>
      <c r="F19" s="1">
        <v>45689</v>
      </c>
      <c r="G19">
        <v>17</v>
      </c>
      <c r="H19" s="2">
        <v>0.39583333333333331</v>
      </c>
      <c r="I19" s="2">
        <v>0.42708333333333331</v>
      </c>
      <c r="K19" s="1">
        <v>45717</v>
      </c>
      <c r="L19">
        <v>17</v>
      </c>
      <c r="M19" s="2">
        <v>0.42986111111111108</v>
      </c>
      <c r="N19" s="2">
        <v>0.43194444444444446</v>
      </c>
      <c r="P19" s="1">
        <v>45748</v>
      </c>
      <c r="Q19">
        <v>17</v>
      </c>
      <c r="R19" s="2">
        <v>0.45833333333333331</v>
      </c>
      <c r="S19" s="2">
        <v>0.46875</v>
      </c>
      <c r="U19" s="1">
        <v>45778</v>
      </c>
      <c r="V19">
        <v>17</v>
      </c>
      <c r="W19" s="2">
        <v>0.41111111111111115</v>
      </c>
      <c r="X19" s="2">
        <v>0.41666666666666669</v>
      </c>
      <c r="Z19" s="1">
        <v>45809</v>
      </c>
      <c r="AA19">
        <v>17</v>
      </c>
      <c r="AB19" s="11">
        <v>0.42708333333333331</v>
      </c>
      <c r="AC19" s="11">
        <v>0.44097222222222227</v>
      </c>
    </row>
    <row r="20" spans="1:29" x14ac:dyDescent="0.25">
      <c r="A20" s="1">
        <v>45658</v>
      </c>
      <c r="B20">
        <v>18</v>
      </c>
      <c r="C20" s="2"/>
      <c r="D20" s="2"/>
      <c r="F20" s="1">
        <v>45689</v>
      </c>
      <c r="G20">
        <v>18</v>
      </c>
      <c r="H20" s="2">
        <v>0.4284722222222222</v>
      </c>
      <c r="I20" s="2">
        <v>0.43611111111111112</v>
      </c>
      <c r="K20" s="1">
        <v>45717</v>
      </c>
      <c r="L20">
        <v>18</v>
      </c>
      <c r="M20" s="2">
        <v>0.41597222222222219</v>
      </c>
      <c r="N20" s="2">
        <v>0.41666666666666669</v>
      </c>
      <c r="P20" s="1">
        <v>45748</v>
      </c>
      <c r="Q20">
        <v>18</v>
      </c>
      <c r="R20" s="2"/>
      <c r="S20" s="2"/>
      <c r="U20" s="1">
        <v>45778</v>
      </c>
      <c r="V20">
        <v>18</v>
      </c>
      <c r="W20" s="2"/>
      <c r="X20" s="2"/>
      <c r="Z20" s="1">
        <v>45809</v>
      </c>
      <c r="AA20">
        <v>18</v>
      </c>
      <c r="AB20" s="11">
        <v>0.43402777777777773</v>
      </c>
      <c r="AC20" s="11">
        <v>0.44444444444444442</v>
      </c>
    </row>
    <row r="21" spans="1:29" x14ac:dyDescent="0.25">
      <c r="A21" s="1">
        <v>45658</v>
      </c>
      <c r="B21">
        <v>19</v>
      </c>
      <c r="C21" s="2"/>
      <c r="D21" s="2"/>
      <c r="F21" s="1">
        <v>45689</v>
      </c>
      <c r="G21">
        <v>19</v>
      </c>
      <c r="H21" s="2">
        <v>0.41666666666666669</v>
      </c>
      <c r="I21" s="2">
        <v>0.42291666666666666</v>
      </c>
      <c r="K21" s="1">
        <v>45717</v>
      </c>
      <c r="L21">
        <v>19</v>
      </c>
      <c r="M21" s="2">
        <v>0.4548611111111111</v>
      </c>
      <c r="N21" s="2">
        <v>0.45624999999999999</v>
      </c>
      <c r="P21" s="1">
        <v>45748</v>
      </c>
      <c r="Q21">
        <v>19</v>
      </c>
      <c r="R21" s="2">
        <v>0.47430555555555554</v>
      </c>
      <c r="S21" s="2">
        <v>0.4861111111111111</v>
      </c>
      <c r="U21" s="1">
        <v>45778</v>
      </c>
      <c r="V21">
        <v>19</v>
      </c>
      <c r="W21" s="2">
        <v>0.45833333333333331</v>
      </c>
      <c r="X21" s="2">
        <v>0.46875</v>
      </c>
      <c r="Z21" s="1">
        <v>45809</v>
      </c>
      <c r="AA21">
        <v>19</v>
      </c>
      <c r="AB21" s="11">
        <v>0.39930555555555558</v>
      </c>
      <c r="AC21" s="11">
        <v>0.4375</v>
      </c>
    </row>
    <row r="22" spans="1:29" x14ac:dyDescent="0.25">
      <c r="A22" s="1">
        <v>45658</v>
      </c>
      <c r="B22">
        <v>20</v>
      </c>
      <c r="C22" s="2"/>
      <c r="D22" s="2"/>
      <c r="F22" s="1">
        <v>45689</v>
      </c>
      <c r="G22">
        <v>20</v>
      </c>
      <c r="H22" s="2">
        <v>0.41319444444444442</v>
      </c>
      <c r="I22" s="2">
        <v>0.42777777777777781</v>
      </c>
      <c r="K22" s="1">
        <v>45717</v>
      </c>
      <c r="L22">
        <v>20</v>
      </c>
      <c r="M22" s="2">
        <v>0.40347222222222223</v>
      </c>
      <c r="N22" s="2">
        <v>0.40902777777777777</v>
      </c>
      <c r="P22" s="1">
        <v>45748</v>
      </c>
      <c r="Q22">
        <v>20</v>
      </c>
      <c r="R22" s="2">
        <v>0.47361111111111115</v>
      </c>
      <c r="S22" s="2">
        <v>0.47916666666666669</v>
      </c>
      <c r="U22" s="1">
        <v>45778</v>
      </c>
      <c r="V22">
        <v>20</v>
      </c>
      <c r="W22" s="2">
        <v>0.44791666666666669</v>
      </c>
      <c r="X22" s="2">
        <v>0.45833333333333331</v>
      </c>
      <c r="Z22" s="1">
        <v>45809</v>
      </c>
      <c r="AA22">
        <v>20</v>
      </c>
      <c r="AB22" s="11">
        <v>0.38541666666666669</v>
      </c>
      <c r="AC22" s="11">
        <v>0.40625</v>
      </c>
    </row>
    <row r="23" spans="1:29" x14ac:dyDescent="0.25">
      <c r="A23" s="1">
        <v>45658</v>
      </c>
      <c r="B23">
        <v>21</v>
      </c>
      <c r="C23" s="2"/>
      <c r="D23" s="2"/>
      <c r="F23" s="1">
        <v>45689</v>
      </c>
      <c r="G23">
        <v>21</v>
      </c>
      <c r="H23" s="2">
        <v>0.42222222222222222</v>
      </c>
      <c r="I23" s="2">
        <v>0.43541666666666662</v>
      </c>
      <c r="K23" s="1">
        <v>45717</v>
      </c>
      <c r="L23">
        <v>21</v>
      </c>
      <c r="M23" s="2">
        <v>0.4201388888888889</v>
      </c>
      <c r="N23" s="2">
        <v>0.42708333333333331</v>
      </c>
      <c r="P23" s="1">
        <v>45748</v>
      </c>
      <c r="Q23">
        <v>21</v>
      </c>
      <c r="R23" s="2">
        <v>0.37638888888888888</v>
      </c>
      <c r="S23" s="2">
        <v>0.38541666666666669</v>
      </c>
      <c r="U23" s="1">
        <v>45778</v>
      </c>
      <c r="V23">
        <v>21</v>
      </c>
      <c r="W23" s="2">
        <v>0.45069444444444445</v>
      </c>
      <c r="X23" s="2">
        <v>0.4513888888888889</v>
      </c>
      <c r="Z23" s="1">
        <v>45809</v>
      </c>
      <c r="AA23">
        <v>21</v>
      </c>
      <c r="AB23" s="11">
        <v>0.39583333333333331</v>
      </c>
      <c r="AC23" s="11">
        <v>0.42708333333333331</v>
      </c>
    </row>
    <row r="24" spans="1:29" x14ac:dyDescent="0.25">
      <c r="A24" s="1">
        <v>45658</v>
      </c>
      <c r="B24">
        <v>22</v>
      </c>
      <c r="C24" s="2"/>
      <c r="D24" s="2"/>
      <c r="F24" s="1">
        <v>45689</v>
      </c>
      <c r="G24">
        <v>22</v>
      </c>
      <c r="H24" s="2">
        <v>0.42291666666666666</v>
      </c>
      <c r="I24" s="2">
        <v>0.4291666666666667</v>
      </c>
      <c r="K24" s="1">
        <v>45717</v>
      </c>
      <c r="L24">
        <v>22</v>
      </c>
      <c r="M24" s="2">
        <v>0.44791666666666669</v>
      </c>
      <c r="N24" s="2">
        <v>0.4548611111111111</v>
      </c>
      <c r="P24" s="1">
        <v>45748</v>
      </c>
      <c r="Q24">
        <v>22</v>
      </c>
      <c r="R24" s="2">
        <v>0.51736111111111105</v>
      </c>
      <c r="S24" s="2">
        <v>0.52708333333333335</v>
      </c>
      <c r="U24" s="1">
        <v>45778</v>
      </c>
      <c r="V24">
        <v>22</v>
      </c>
      <c r="W24" s="2">
        <v>0.42708333333333331</v>
      </c>
      <c r="X24" s="2">
        <v>0.4368055555555555</v>
      </c>
      <c r="Z24" s="1">
        <v>45809</v>
      </c>
      <c r="AA24">
        <v>22</v>
      </c>
      <c r="AB24" s="11"/>
      <c r="AC24" s="11"/>
    </row>
    <row r="25" spans="1:29" x14ac:dyDescent="0.25">
      <c r="A25" s="1">
        <v>45658</v>
      </c>
      <c r="B25">
        <v>23</v>
      </c>
      <c r="C25" s="2"/>
      <c r="D25" s="2"/>
      <c r="F25" s="1">
        <v>45689</v>
      </c>
      <c r="G25">
        <v>23</v>
      </c>
      <c r="K25" s="1">
        <v>45717</v>
      </c>
      <c r="L25">
        <v>23</v>
      </c>
      <c r="M25" s="2"/>
      <c r="N25" s="2"/>
      <c r="P25" s="1">
        <v>45748</v>
      </c>
      <c r="Q25">
        <v>23</v>
      </c>
      <c r="R25" s="2">
        <v>0.4375</v>
      </c>
      <c r="S25" s="2">
        <v>0.44097222222222227</v>
      </c>
      <c r="U25" s="1">
        <v>45778</v>
      </c>
      <c r="V25">
        <v>23</v>
      </c>
      <c r="W25" s="2">
        <v>0.45833333333333331</v>
      </c>
      <c r="X25" s="2">
        <v>0.52152777777777781</v>
      </c>
      <c r="Z25" s="1">
        <v>45809</v>
      </c>
      <c r="AA25">
        <v>23</v>
      </c>
      <c r="AB25" s="11">
        <v>0.41388888888888892</v>
      </c>
      <c r="AC25" s="11">
        <v>0.4284722222222222</v>
      </c>
    </row>
    <row r="26" spans="1:29" x14ac:dyDescent="0.25">
      <c r="A26" s="1">
        <v>45658</v>
      </c>
      <c r="B26">
        <v>24</v>
      </c>
      <c r="C26" s="2"/>
      <c r="D26" s="2"/>
      <c r="F26" s="1">
        <v>45689</v>
      </c>
      <c r="G26">
        <v>24</v>
      </c>
      <c r="H26" s="2">
        <v>0.43958333333333338</v>
      </c>
      <c r="I26" s="2">
        <v>0.45069444444444445</v>
      </c>
      <c r="K26" s="1">
        <v>45717</v>
      </c>
      <c r="L26">
        <v>24</v>
      </c>
      <c r="M26" s="2">
        <v>0.48958333333333331</v>
      </c>
      <c r="N26" s="2">
        <v>0.50347222222222221</v>
      </c>
      <c r="P26" s="1">
        <v>45748</v>
      </c>
      <c r="Q26">
        <v>24</v>
      </c>
      <c r="R26" s="2">
        <v>0.4375</v>
      </c>
      <c r="S26" s="2">
        <v>0.44097222222222227</v>
      </c>
      <c r="U26" s="1">
        <v>45778</v>
      </c>
      <c r="V26">
        <v>24</v>
      </c>
      <c r="W26" s="2">
        <v>0.38541666666666669</v>
      </c>
      <c r="X26" s="2">
        <v>0.44791666666666669</v>
      </c>
      <c r="Z26" s="1">
        <v>45809</v>
      </c>
      <c r="AA26">
        <v>24</v>
      </c>
      <c r="AB26" s="11">
        <v>0.39583333333333331</v>
      </c>
      <c r="AC26" s="11">
        <v>0.44791666666666669</v>
      </c>
    </row>
    <row r="27" spans="1:29" x14ac:dyDescent="0.25">
      <c r="A27" s="1">
        <v>45658</v>
      </c>
      <c r="B27">
        <v>25</v>
      </c>
      <c r="C27" s="2"/>
      <c r="D27" s="2"/>
      <c r="F27" s="1">
        <v>45689</v>
      </c>
      <c r="G27">
        <v>25</v>
      </c>
      <c r="H27" s="2">
        <v>0.43472222222222223</v>
      </c>
      <c r="I27" s="2">
        <v>0.4375</v>
      </c>
      <c r="K27" s="1">
        <v>45717</v>
      </c>
      <c r="L27">
        <v>25</v>
      </c>
      <c r="M27" s="2">
        <v>0.40277777777777773</v>
      </c>
      <c r="N27" s="2">
        <v>0.41319444444444442</v>
      </c>
      <c r="P27" s="1">
        <v>45748</v>
      </c>
      <c r="Q27">
        <v>25</v>
      </c>
      <c r="R27" s="2">
        <v>0.42499999999999999</v>
      </c>
      <c r="S27" s="2">
        <v>0.4375</v>
      </c>
      <c r="U27" s="1">
        <v>45778</v>
      </c>
      <c r="V27">
        <v>25</v>
      </c>
      <c r="W27" s="2"/>
      <c r="X27" s="2"/>
      <c r="Z27" s="1">
        <v>45809</v>
      </c>
      <c r="AA27">
        <v>25</v>
      </c>
      <c r="AB27" s="11">
        <v>0.40625</v>
      </c>
      <c r="AC27" s="11">
        <v>0.44791666666666669</v>
      </c>
    </row>
    <row r="28" spans="1:29" x14ac:dyDescent="0.25">
      <c r="A28" s="1">
        <v>45658</v>
      </c>
      <c r="B28">
        <v>26</v>
      </c>
      <c r="C28" s="2"/>
      <c r="D28" s="2"/>
      <c r="F28" s="1">
        <v>45689</v>
      </c>
      <c r="G28">
        <v>26</v>
      </c>
      <c r="H28" s="2">
        <v>0.43402777777777773</v>
      </c>
      <c r="I28" s="2">
        <v>0.43541666666666662</v>
      </c>
      <c r="K28" s="1">
        <v>45717</v>
      </c>
      <c r="L28">
        <v>26</v>
      </c>
      <c r="M28" s="2">
        <v>0.40625</v>
      </c>
      <c r="N28" s="2">
        <v>0.42708333333333331</v>
      </c>
      <c r="P28" s="1">
        <v>45748</v>
      </c>
      <c r="Q28">
        <v>26</v>
      </c>
      <c r="R28" s="2">
        <v>0.46666666666666662</v>
      </c>
      <c r="S28" s="2">
        <v>0.46875</v>
      </c>
      <c r="U28" s="1">
        <v>45778</v>
      </c>
      <c r="V28">
        <v>26</v>
      </c>
      <c r="W28" s="2">
        <v>0.4916666666666667</v>
      </c>
      <c r="X28" s="2">
        <v>0.49305555555555558</v>
      </c>
      <c r="Z28" s="1">
        <v>45809</v>
      </c>
      <c r="AA28">
        <v>26</v>
      </c>
      <c r="AB28" s="11">
        <v>0.4548611111111111</v>
      </c>
      <c r="AC28" s="11">
        <v>0.47013888888888888</v>
      </c>
    </row>
    <row r="29" spans="1:29" x14ac:dyDescent="0.25">
      <c r="A29" s="1">
        <v>45658</v>
      </c>
      <c r="B29">
        <v>27</v>
      </c>
      <c r="C29" s="2"/>
      <c r="D29" s="2"/>
      <c r="F29" s="1">
        <v>45689</v>
      </c>
      <c r="G29">
        <v>27</v>
      </c>
      <c r="H29" s="2">
        <v>0.39861111111111108</v>
      </c>
      <c r="I29" s="2">
        <v>0.39930555555555558</v>
      </c>
      <c r="K29" s="1">
        <v>45717</v>
      </c>
      <c r="L29">
        <v>27</v>
      </c>
      <c r="M29" s="2">
        <v>0.42708333333333331</v>
      </c>
      <c r="N29" s="2">
        <v>0.4548611111111111</v>
      </c>
      <c r="P29" s="1">
        <v>45748</v>
      </c>
      <c r="Q29">
        <v>27</v>
      </c>
      <c r="R29" s="2"/>
      <c r="S29" s="2"/>
      <c r="U29" s="1">
        <v>45778</v>
      </c>
      <c r="V29">
        <v>27</v>
      </c>
      <c r="W29" s="2">
        <v>0.41111111111111115</v>
      </c>
      <c r="X29" s="2">
        <v>0.41666666666666669</v>
      </c>
      <c r="Z29" s="1">
        <v>45809</v>
      </c>
      <c r="AA29">
        <v>27</v>
      </c>
      <c r="AB29" s="11"/>
      <c r="AC29" s="11"/>
    </row>
    <row r="30" spans="1:29" x14ac:dyDescent="0.25">
      <c r="A30" s="1">
        <v>45658</v>
      </c>
      <c r="B30">
        <v>28</v>
      </c>
      <c r="C30" s="2"/>
      <c r="D30" s="2"/>
      <c r="F30" s="1">
        <v>45689</v>
      </c>
      <c r="G30">
        <v>28</v>
      </c>
      <c r="H30" s="2">
        <v>0.4201388888888889</v>
      </c>
      <c r="I30" s="2">
        <v>0.42708333333333331</v>
      </c>
      <c r="K30" s="1">
        <v>45717</v>
      </c>
      <c r="L30">
        <v>28</v>
      </c>
      <c r="M30" s="2">
        <v>0.40972222222222227</v>
      </c>
      <c r="N30" s="2">
        <v>0.41319444444444442</v>
      </c>
      <c r="P30" s="1">
        <v>45748</v>
      </c>
      <c r="Q30">
        <v>28</v>
      </c>
      <c r="R30" s="2">
        <v>0.45277777777777778</v>
      </c>
      <c r="S30" s="2">
        <v>0.46597222222222223</v>
      </c>
      <c r="U30" s="1">
        <v>45778</v>
      </c>
      <c r="V30">
        <v>28</v>
      </c>
      <c r="W30" s="2">
        <v>0.45833333333333331</v>
      </c>
      <c r="X30" s="2">
        <v>0.47083333333333338</v>
      </c>
      <c r="Z30" s="1">
        <v>45809</v>
      </c>
      <c r="AA30">
        <v>28</v>
      </c>
      <c r="AB30" s="11">
        <v>0.42708333333333331</v>
      </c>
      <c r="AC30" s="11">
        <v>0.44791666666666669</v>
      </c>
    </row>
    <row r="31" spans="1:29" x14ac:dyDescent="0.25">
      <c r="A31" s="1">
        <v>45658</v>
      </c>
      <c r="B31">
        <v>29</v>
      </c>
      <c r="C31" s="2"/>
      <c r="D31" s="2"/>
      <c r="F31" s="1">
        <v>45689</v>
      </c>
      <c r="G31">
        <v>29</v>
      </c>
      <c r="K31" s="1">
        <v>45717</v>
      </c>
      <c r="L31">
        <v>29</v>
      </c>
      <c r="M31" s="2"/>
      <c r="N31" s="2"/>
      <c r="P31" s="1">
        <v>45748</v>
      </c>
      <c r="Q31">
        <v>29</v>
      </c>
      <c r="R31" s="2">
        <v>0.42708333333333331</v>
      </c>
      <c r="S31" s="2">
        <v>0.43472222222222223</v>
      </c>
      <c r="U31" s="1">
        <v>45778</v>
      </c>
      <c r="V31">
        <v>29</v>
      </c>
      <c r="W31" s="2"/>
      <c r="X31" s="2"/>
      <c r="Z31" s="1">
        <v>45809</v>
      </c>
      <c r="AA31">
        <v>29</v>
      </c>
      <c r="AB31" s="11"/>
      <c r="AC31" s="11"/>
    </row>
    <row r="32" spans="1:29" x14ac:dyDescent="0.25">
      <c r="A32" s="1">
        <v>45658</v>
      </c>
      <c r="B32">
        <v>30</v>
      </c>
      <c r="C32" s="2"/>
      <c r="D32" s="2"/>
      <c r="F32" s="1">
        <v>45689</v>
      </c>
      <c r="G32">
        <v>30</v>
      </c>
      <c r="K32" s="1">
        <v>45717</v>
      </c>
      <c r="L32">
        <v>30</v>
      </c>
      <c r="M32" s="2"/>
      <c r="N32" s="2"/>
      <c r="P32" s="1">
        <v>45748</v>
      </c>
      <c r="Q32">
        <v>30</v>
      </c>
      <c r="R32" s="2">
        <v>0.42430555555555555</v>
      </c>
      <c r="S32" s="2">
        <v>0.42708333333333331</v>
      </c>
      <c r="U32" s="1">
        <v>45778</v>
      </c>
      <c r="V32">
        <v>30</v>
      </c>
      <c r="W32" s="2"/>
      <c r="X32" s="2"/>
      <c r="Z32" s="1">
        <v>45809</v>
      </c>
      <c r="AA32">
        <v>30</v>
      </c>
      <c r="AB32" s="11">
        <v>0.40625</v>
      </c>
      <c r="AC32" s="11">
        <v>0.44097222222222227</v>
      </c>
    </row>
    <row r="33" spans="1:29" x14ac:dyDescent="0.25">
      <c r="A33" s="1">
        <v>45658</v>
      </c>
      <c r="B33">
        <v>31</v>
      </c>
      <c r="C33" s="2"/>
      <c r="D33" s="2"/>
      <c r="F33" s="1">
        <v>45689</v>
      </c>
      <c r="G33">
        <v>31</v>
      </c>
      <c r="K33" s="1">
        <v>45717</v>
      </c>
      <c r="L33">
        <v>31</v>
      </c>
      <c r="M33" s="2"/>
      <c r="N33" s="2"/>
      <c r="P33" s="1">
        <v>45748</v>
      </c>
      <c r="Q33">
        <v>31</v>
      </c>
      <c r="R33" s="2"/>
      <c r="S33" s="2"/>
      <c r="U33" s="1">
        <v>45778</v>
      </c>
      <c r="V33">
        <v>31</v>
      </c>
      <c r="W33" s="2">
        <v>0.43888888888888888</v>
      </c>
      <c r="X33" s="2">
        <v>0.44097222222222227</v>
      </c>
      <c r="Z33" s="1">
        <v>45809</v>
      </c>
      <c r="AA33">
        <v>31</v>
      </c>
      <c r="AB33" s="11"/>
      <c r="AC33" s="11"/>
    </row>
    <row r="34" spans="1:29" x14ac:dyDescent="0.25">
      <c r="A34" t="s">
        <v>4</v>
      </c>
      <c r="C34" s="2"/>
      <c r="D34" s="2"/>
      <c r="F34" t="s">
        <v>4</v>
      </c>
      <c r="H34" s="2">
        <f>SUBTOTAL(101,Table1[Register])</f>
        <v>0.42009803921568634</v>
      </c>
      <c r="I34" s="2">
        <f>SUBTOTAL(101,Table1[Driver])</f>
        <v>0.42986111111111114</v>
      </c>
      <c r="K34" t="s">
        <v>4</v>
      </c>
      <c r="M34" s="2">
        <f>SUBTOTAL(101,Table13[Register])</f>
        <v>0.42662037037037037</v>
      </c>
      <c r="N34" s="2">
        <f>SUBTOTAL(101,Table13[Driver])</f>
        <v>0.43420138888888893</v>
      </c>
      <c r="P34" t="s">
        <v>4</v>
      </c>
      <c r="R34" s="2">
        <f>SUBTOTAL(101,Table135[Register])</f>
        <v>0.44732638888888887</v>
      </c>
      <c r="S34" s="2">
        <f>SUBTOTAL(101,Table135[Driver])</f>
        <v>0.45736111111111111</v>
      </c>
      <c r="U34" t="s">
        <v>4</v>
      </c>
      <c r="W34" s="2">
        <f>SUBTOTAL(101,Table1356[Register])</f>
        <v>0.44159356725146209</v>
      </c>
      <c r="X34" s="2">
        <f>SUBTOTAL(101,Table1356[Driver])</f>
        <v>0.45478801169590644</v>
      </c>
      <c r="Z34" t="s">
        <v>4</v>
      </c>
      <c r="AB34" s="11">
        <f>SUBTOTAL(101,Table13567[Register])</f>
        <v>0.41887077294685982</v>
      </c>
      <c r="AC34" s="11">
        <f>SUBTOTAL(101,Table13567[Driver])</f>
        <v>0.44486714975845393</v>
      </c>
    </row>
    <row r="37" spans="1:29" x14ac:dyDescent="0.25">
      <c r="A37" s="6" t="s">
        <v>0</v>
      </c>
      <c r="B37" s="7" t="s">
        <v>3</v>
      </c>
      <c r="C37" s="8" t="s">
        <v>1</v>
      </c>
      <c r="D37" s="8" t="s">
        <v>2</v>
      </c>
      <c r="F37" s="6" t="s">
        <v>0</v>
      </c>
      <c r="G37" s="7" t="s">
        <v>3</v>
      </c>
      <c r="H37" s="8" t="s">
        <v>1</v>
      </c>
      <c r="I37" s="8" t="s">
        <v>2</v>
      </c>
      <c r="K37" s="6" t="s">
        <v>0</v>
      </c>
      <c r="L37" s="7" t="s">
        <v>3</v>
      </c>
      <c r="M37" s="8" t="s">
        <v>1</v>
      </c>
      <c r="N37" s="8" t="s">
        <v>2</v>
      </c>
      <c r="P37" s="6" t="s">
        <v>0</v>
      </c>
      <c r="Q37" s="7" t="s">
        <v>3</v>
      </c>
      <c r="R37" s="8" t="s">
        <v>1</v>
      </c>
      <c r="S37" s="8" t="s">
        <v>2</v>
      </c>
      <c r="U37" s="6" t="s">
        <v>0</v>
      </c>
      <c r="V37" s="7" t="s">
        <v>3</v>
      </c>
      <c r="W37" s="8" t="s">
        <v>1</v>
      </c>
      <c r="X37" s="8" t="s">
        <v>2</v>
      </c>
      <c r="Z37" s="6" t="s">
        <v>0</v>
      </c>
      <c r="AA37" s="7" t="s">
        <v>3</v>
      </c>
      <c r="AB37" s="8" t="s">
        <v>1</v>
      </c>
      <c r="AC37" s="8" t="s">
        <v>2</v>
      </c>
    </row>
    <row r="38" spans="1:29" x14ac:dyDescent="0.25">
      <c r="A38" s="9">
        <v>45839</v>
      </c>
      <c r="B38" s="10">
        <v>1</v>
      </c>
      <c r="C38" s="11">
        <v>0.42708333333333331</v>
      </c>
      <c r="D38" s="11">
        <v>0.46875</v>
      </c>
      <c r="F38" s="9">
        <v>45870</v>
      </c>
      <c r="G38" s="10">
        <v>1</v>
      </c>
      <c r="H38" s="11">
        <v>0.42708333333333331</v>
      </c>
      <c r="I38" s="11">
        <v>0.49652777777777773</v>
      </c>
      <c r="K38" s="9">
        <v>45901</v>
      </c>
      <c r="L38" s="10">
        <v>1</v>
      </c>
      <c r="M38" s="11">
        <v>0.49722222222222223</v>
      </c>
      <c r="N38" s="11">
        <v>0.51874999999999993</v>
      </c>
      <c r="P38" s="9">
        <v>45931</v>
      </c>
      <c r="Q38" s="10">
        <v>1</v>
      </c>
      <c r="R38" s="11">
        <v>0.40625</v>
      </c>
      <c r="S38" s="11">
        <v>0.4368055555555555</v>
      </c>
      <c r="U38" s="9">
        <v>45962</v>
      </c>
      <c r="V38" s="10">
        <v>1</v>
      </c>
      <c r="W38" s="11">
        <v>0.44791666666666669</v>
      </c>
      <c r="X38" s="11">
        <v>0.47916666666666669</v>
      </c>
      <c r="Z38" s="9">
        <v>45992</v>
      </c>
      <c r="AA38" s="10">
        <v>1</v>
      </c>
      <c r="AB38" s="11">
        <v>0.46597222222222223</v>
      </c>
      <c r="AC38" s="11">
        <v>0.48958333333333331</v>
      </c>
    </row>
    <row r="39" spans="1:29" x14ac:dyDescent="0.25">
      <c r="A39" s="9">
        <v>45839</v>
      </c>
      <c r="B39" s="10">
        <v>2</v>
      </c>
      <c r="C39" s="11">
        <v>0.42708333333333331</v>
      </c>
      <c r="D39" s="11">
        <v>0.46875</v>
      </c>
      <c r="F39" s="9">
        <v>45870</v>
      </c>
      <c r="G39" s="10">
        <v>2</v>
      </c>
      <c r="H39" s="11">
        <v>0.42708333333333331</v>
      </c>
      <c r="I39" s="11">
        <v>0.49652777777777773</v>
      </c>
      <c r="K39" s="9">
        <v>45901</v>
      </c>
      <c r="L39" s="10">
        <v>2</v>
      </c>
      <c r="M39" s="11">
        <v>0.42569444444444443</v>
      </c>
      <c r="N39" s="11">
        <v>0.45416666666666666</v>
      </c>
      <c r="P39" s="9">
        <v>45931</v>
      </c>
      <c r="Q39" s="10">
        <v>2</v>
      </c>
      <c r="R39" s="11">
        <v>0.44097222222222227</v>
      </c>
      <c r="S39" s="11">
        <v>0.48472222222222222</v>
      </c>
      <c r="U39" s="9">
        <v>45962</v>
      </c>
      <c r="V39" s="10">
        <v>2</v>
      </c>
      <c r="W39" s="11"/>
      <c r="X39" s="11"/>
      <c r="Z39" s="9">
        <v>45992</v>
      </c>
      <c r="AA39" s="10">
        <v>2</v>
      </c>
      <c r="AB39" s="11">
        <v>0.44791666666666669</v>
      </c>
      <c r="AC39" s="11">
        <v>0.49652777777777773</v>
      </c>
    </row>
    <row r="40" spans="1:29" x14ac:dyDescent="0.25">
      <c r="A40" s="9">
        <v>45839</v>
      </c>
      <c r="B40" s="10">
        <v>3</v>
      </c>
      <c r="C40" s="11">
        <v>0.40625</v>
      </c>
      <c r="D40" s="11">
        <v>0.44791666666666669</v>
      </c>
      <c r="F40" s="9">
        <v>45870</v>
      </c>
      <c r="G40" s="10">
        <v>3</v>
      </c>
      <c r="H40" s="11"/>
      <c r="I40" s="11"/>
      <c r="K40" s="9">
        <v>45901</v>
      </c>
      <c r="L40" s="10">
        <v>3</v>
      </c>
      <c r="M40" s="11">
        <v>0.42291666666666666</v>
      </c>
      <c r="N40" s="11">
        <v>0.45347222222222222</v>
      </c>
      <c r="P40" s="9">
        <v>45931</v>
      </c>
      <c r="Q40" s="10">
        <v>3</v>
      </c>
      <c r="R40" s="11">
        <v>0.42708333333333331</v>
      </c>
      <c r="S40" s="11">
        <v>0.45833333333333331</v>
      </c>
      <c r="U40" s="9">
        <v>45962</v>
      </c>
      <c r="V40" s="10">
        <v>3</v>
      </c>
      <c r="W40" s="11">
        <v>0.4458333333333333</v>
      </c>
      <c r="X40" s="11">
        <v>0.51041666666666663</v>
      </c>
      <c r="Z40" s="9">
        <v>45992</v>
      </c>
      <c r="AA40" s="10">
        <v>3</v>
      </c>
      <c r="AB40" s="11">
        <v>0.40972222222222227</v>
      </c>
      <c r="AC40" s="11">
        <v>0.45694444444444443</v>
      </c>
    </row>
    <row r="41" spans="1:29" x14ac:dyDescent="0.25">
      <c r="A41" s="9">
        <v>45839</v>
      </c>
      <c r="B41" s="10">
        <v>4</v>
      </c>
      <c r="C41" s="11">
        <v>0.42708333333333331</v>
      </c>
      <c r="D41" s="11">
        <v>0.45833333333333331</v>
      </c>
      <c r="F41" s="9">
        <v>45870</v>
      </c>
      <c r="G41" s="10">
        <v>4</v>
      </c>
      <c r="H41" s="11">
        <v>0.42708333333333331</v>
      </c>
      <c r="I41" s="11">
        <v>0.48958333333333331</v>
      </c>
      <c r="K41" s="9">
        <v>45901</v>
      </c>
      <c r="L41" s="10">
        <v>4</v>
      </c>
      <c r="M41" s="11">
        <v>0.4201388888888889</v>
      </c>
      <c r="N41" s="11">
        <v>0.44513888888888892</v>
      </c>
      <c r="P41" s="9">
        <v>45931</v>
      </c>
      <c r="Q41" s="10">
        <v>4</v>
      </c>
      <c r="R41" s="11">
        <v>0.44791666666666669</v>
      </c>
      <c r="S41" s="11">
        <v>0.48958333333333331</v>
      </c>
      <c r="U41" s="9">
        <v>45962</v>
      </c>
      <c r="V41" s="10">
        <v>4</v>
      </c>
      <c r="W41" s="11">
        <v>0.42708333333333331</v>
      </c>
      <c r="X41" s="11">
        <v>0.4993055555555555</v>
      </c>
      <c r="Z41" s="9">
        <v>45992</v>
      </c>
      <c r="AA41" s="10">
        <v>4</v>
      </c>
      <c r="AB41" s="11">
        <v>0.46875</v>
      </c>
      <c r="AC41" s="11">
        <v>0.52083333333333337</v>
      </c>
    </row>
    <row r="42" spans="1:29" x14ac:dyDescent="0.25">
      <c r="A42" s="9">
        <v>45839</v>
      </c>
      <c r="B42" s="10">
        <v>5</v>
      </c>
      <c r="C42" s="11">
        <v>0.44791666666666669</v>
      </c>
      <c r="D42" s="11">
        <v>0.46875</v>
      </c>
      <c r="F42" s="9">
        <v>45870</v>
      </c>
      <c r="G42" s="10">
        <v>5</v>
      </c>
      <c r="H42" s="11">
        <v>0.44791666666666669</v>
      </c>
      <c r="I42" s="11">
        <v>0.49652777777777773</v>
      </c>
      <c r="K42" s="9">
        <v>45901</v>
      </c>
      <c r="L42" s="10">
        <v>5</v>
      </c>
      <c r="M42" s="11"/>
      <c r="N42" s="11"/>
      <c r="P42" s="9">
        <v>45931</v>
      </c>
      <c r="Q42" s="10">
        <v>5</v>
      </c>
      <c r="R42" s="11"/>
      <c r="S42" s="11"/>
      <c r="U42" s="9">
        <v>45962</v>
      </c>
      <c r="V42" s="10">
        <v>5</v>
      </c>
      <c r="W42" s="11">
        <v>0.45694444444444443</v>
      </c>
      <c r="X42" s="11">
        <v>0.50069444444444444</v>
      </c>
      <c r="Z42" s="9">
        <v>45992</v>
      </c>
      <c r="AA42" s="10">
        <v>5</v>
      </c>
      <c r="AB42" s="11">
        <v>0.39583333333333331</v>
      </c>
      <c r="AC42" s="11">
        <v>0.4548611111111111</v>
      </c>
    </row>
    <row r="43" spans="1:29" x14ac:dyDescent="0.25">
      <c r="A43" s="9">
        <v>45839</v>
      </c>
      <c r="B43" s="10">
        <v>6</v>
      </c>
      <c r="C43" s="11"/>
      <c r="D43" s="11"/>
      <c r="F43" s="9">
        <v>45870</v>
      </c>
      <c r="G43" s="10">
        <v>6</v>
      </c>
      <c r="H43" s="11">
        <v>0.40625</v>
      </c>
      <c r="I43" s="11">
        <v>0.47569444444444442</v>
      </c>
      <c r="K43" s="9">
        <v>45901</v>
      </c>
      <c r="L43" s="10">
        <v>6</v>
      </c>
      <c r="M43" s="11">
        <v>0.44791666666666669</v>
      </c>
      <c r="N43" s="11">
        <v>0.4826388888888889</v>
      </c>
      <c r="P43" s="9">
        <v>45931</v>
      </c>
      <c r="Q43" s="10">
        <v>6</v>
      </c>
      <c r="R43" s="11">
        <v>0.44375000000000003</v>
      </c>
      <c r="S43" s="11">
        <v>0.47638888888888892</v>
      </c>
      <c r="U43" s="9">
        <v>45962</v>
      </c>
      <c r="V43" s="10">
        <v>6</v>
      </c>
      <c r="W43" s="11">
        <v>0.4201388888888889</v>
      </c>
      <c r="X43" s="11">
        <v>0.46875</v>
      </c>
      <c r="Z43" s="9">
        <v>45992</v>
      </c>
      <c r="AA43" s="10">
        <v>6</v>
      </c>
      <c r="AB43" s="11">
        <v>0.4375</v>
      </c>
      <c r="AC43" s="11">
        <v>0.48958333333333331</v>
      </c>
    </row>
    <row r="44" spans="1:29" x14ac:dyDescent="0.25">
      <c r="A44" s="9">
        <v>45839</v>
      </c>
      <c r="B44" s="10">
        <v>7</v>
      </c>
      <c r="C44" s="11">
        <v>0.4548611111111111</v>
      </c>
      <c r="D44" s="11">
        <v>0.47569444444444442</v>
      </c>
      <c r="F44" s="9">
        <v>45870</v>
      </c>
      <c r="G44" s="10">
        <v>7</v>
      </c>
      <c r="H44" s="11">
        <v>0.4548611111111111</v>
      </c>
      <c r="I44" s="11">
        <v>0.51041666666666663</v>
      </c>
      <c r="K44" s="9">
        <v>45901</v>
      </c>
      <c r="L44" s="10">
        <v>7</v>
      </c>
      <c r="M44" s="11"/>
      <c r="N44" s="11"/>
      <c r="P44" s="9">
        <v>45931</v>
      </c>
      <c r="Q44" s="10">
        <v>7</v>
      </c>
      <c r="R44" s="11">
        <v>0.39513888888888887</v>
      </c>
      <c r="S44" s="11">
        <v>0.43611111111111112</v>
      </c>
      <c r="U44" s="9">
        <v>45962</v>
      </c>
      <c r="V44" s="10">
        <v>7</v>
      </c>
      <c r="W44" s="11">
        <v>0.44444444444444442</v>
      </c>
      <c r="X44" s="11">
        <v>0.54513888888888895</v>
      </c>
      <c r="Z44" s="9">
        <v>45992</v>
      </c>
      <c r="AA44" s="10">
        <v>7</v>
      </c>
      <c r="AB44" s="11"/>
      <c r="AC44" s="11"/>
    </row>
    <row r="45" spans="1:29" x14ac:dyDescent="0.25">
      <c r="A45" s="9">
        <v>45839</v>
      </c>
      <c r="B45" s="10">
        <v>8</v>
      </c>
      <c r="C45" s="11">
        <v>0.4548611111111111</v>
      </c>
      <c r="D45" s="11">
        <v>0.47569444444444442</v>
      </c>
      <c r="F45" s="9">
        <v>45870</v>
      </c>
      <c r="G45" s="10">
        <v>8</v>
      </c>
      <c r="H45" s="11">
        <v>0.4548611111111111</v>
      </c>
      <c r="I45" s="11">
        <v>0.50347222222222221</v>
      </c>
      <c r="K45" s="9">
        <v>45901</v>
      </c>
      <c r="L45" s="10">
        <v>8</v>
      </c>
      <c r="M45" s="11">
        <v>0.4458333333333333</v>
      </c>
      <c r="N45" s="11">
        <v>0.47916666666666669</v>
      </c>
      <c r="P45" s="9">
        <v>45931</v>
      </c>
      <c r="Q45" s="10">
        <v>8</v>
      </c>
      <c r="R45" s="11">
        <v>0.40972222222222227</v>
      </c>
      <c r="S45" s="11">
        <v>0.45555555555555555</v>
      </c>
      <c r="U45" s="9">
        <v>45962</v>
      </c>
      <c r="V45" s="10">
        <v>8</v>
      </c>
      <c r="W45" s="11">
        <v>0.44097222222222227</v>
      </c>
      <c r="X45" s="11">
        <v>0.47916666666666669</v>
      </c>
      <c r="Z45" s="9">
        <v>45992</v>
      </c>
      <c r="AA45" s="10">
        <v>8</v>
      </c>
      <c r="AB45" s="11">
        <v>0.42708333333333331</v>
      </c>
      <c r="AC45" s="11">
        <v>0.48125000000000001</v>
      </c>
    </row>
    <row r="46" spans="1:29" x14ac:dyDescent="0.25">
      <c r="A46" s="9">
        <v>45839</v>
      </c>
      <c r="B46" s="10">
        <v>9</v>
      </c>
      <c r="C46" s="11">
        <v>0.40625</v>
      </c>
      <c r="D46" s="11">
        <v>0.42708333333333331</v>
      </c>
      <c r="F46" s="9">
        <v>45870</v>
      </c>
      <c r="G46" s="10">
        <v>9</v>
      </c>
      <c r="H46" s="11">
        <v>0.40625</v>
      </c>
      <c r="I46" s="11">
        <v>0.45902777777777781</v>
      </c>
      <c r="K46" s="9">
        <v>45901</v>
      </c>
      <c r="L46" s="10">
        <v>9</v>
      </c>
      <c r="M46" s="11">
        <v>0.4458333333333333</v>
      </c>
      <c r="N46" s="11">
        <v>0.47986111111111113</v>
      </c>
      <c r="P46" s="9">
        <v>45931</v>
      </c>
      <c r="Q46" s="10">
        <v>9</v>
      </c>
      <c r="R46" s="11">
        <v>0.41180555555555554</v>
      </c>
      <c r="S46" s="11">
        <v>0.45277777777777778</v>
      </c>
      <c r="U46" s="9">
        <v>45962</v>
      </c>
      <c r="V46" s="10">
        <v>9</v>
      </c>
      <c r="W46" s="11"/>
      <c r="X46" s="11"/>
      <c r="Z46" s="9">
        <v>45992</v>
      </c>
      <c r="AA46" s="10">
        <v>9</v>
      </c>
      <c r="AB46" s="11">
        <v>0.42708333333333331</v>
      </c>
      <c r="AC46" s="11">
        <v>0.47569444444444442</v>
      </c>
    </row>
    <row r="47" spans="1:29" x14ac:dyDescent="0.25">
      <c r="A47" s="9">
        <v>45839</v>
      </c>
      <c r="B47" s="10">
        <v>10</v>
      </c>
      <c r="C47" s="11">
        <v>0.42569444444444443</v>
      </c>
      <c r="D47" s="11">
        <v>0.43055555555555558</v>
      </c>
      <c r="F47" s="9">
        <v>45870</v>
      </c>
      <c r="G47" s="10">
        <v>10</v>
      </c>
      <c r="H47" s="11"/>
      <c r="I47" s="11"/>
      <c r="K47" s="9">
        <v>45901</v>
      </c>
      <c r="L47" s="10">
        <v>10</v>
      </c>
      <c r="M47" s="11">
        <v>0.43472222222222223</v>
      </c>
      <c r="N47" s="11">
        <v>0.47638888888888892</v>
      </c>
      <c r="P47" s="9">
        <v>45931</v>
      </c>
      <c r="Q47" s="10">
        <v>10</v>
      </c>
      <c r="R47" s="11">
        <v>0.3923611111111111</v>
      </c>
      <c r="S47" s="11">
        <v>0.45833333333333331</v>
      </c>
      <c r="U47" s="9">
        <v>45962</v>
      </c>
      <c r="V47" s="10">
        <v>10</v>
      </c>
      <c r="W47" s="11">
        <v>0.46527777777777773</v>
      </c>
      <c r="X47" s="11">
        <v>0.4861111111111111</v>
      </c>
      <c r="Z47" s="9">
        <v>45992</v>
      </c>
      <c r="AA47" s="10">
        <v>10</v>
      </c>
      <c r="AB47" s="11">
        <v>0.43055555555555558</v>
      </c>
      <c r="AC47" s="11">
        <v>0.48958333333333331</v>
      </c>
    </row>
    <row r="48" spans="1:29" x14ac:dyDescent="0.25">
      <c r="A48" s="9">
        <v>45839</v>
      </c>
      <c r="B48" s="10">
        <v>11</v>
      </c>
      <c r="C48" s="11">
        <v>0.44791666666666669</v>
      </c>
      <c r="D48" s="11">
        <v>0.46875</v>
      </c>
      <c r="F48" s="9">
        <v>45870</v>
      </c>
      <c r="G48" s="10">
        <v>11</v>
      </c>
      <c r="H48" s="11">
        <v>0.4375</v>
      </c>
      <c r="I48" s="11">
        <v>0.46597222222222223</v>
      </c>
      <c r="K48" s="9">
        <v>45901</v>
      </c>
      <c r="L48" s="10">
        <v>11</v>
      </c>
      <c r="M48" s="11">
        <v>0.4236111111111111</v>
      </c>
      <c r="N48" s="11">
        <v>0.46458333333333335</v>
      </c>
      <c r="P48" s="9">
        <v>45931</v>
      </c>
      <c r="Q48" s="10">
        <v>11</v>
      </c>
      <c r="R48" s="11">
        <v>0.38541666666666669</v>
      </c>
      <c r="S48" s="11">
        <v>0.4375</v>
      </c>
      <c r="U48" s="9">
        <v>45962</v>
      </c>
      <c r="V48" s="10">
        <v>11</v>
      </c>
      <c r="W48" s="11">
        <v>0.42708333333333331</v>
      </c>
      <c r="X48" s="11">
        <v>0.44722222222222219</v>
      </c>
      <c r="Z48" s="9">
        <v>45992</v>
      </c>
      <c r="AA48" s="10">
        <v>11</v>
      </c>
      <c r="AB48" s="11">
        <v>0.4375</v>
      </c>
      <c r="AC48" s="11">
        <v>0.47916666666666669</v>
      </c>
    </row>
    <row r="49" spans="1:29" x14ac:dyDescent="0.25">
      <c r="A49" s="9">
        <v>45839</v>
      </c>
      <c r="B49" s="10">
        <v>12</v>
      </c>
      <c r="C49" s="11">
        <v>0.44097222222222227</v>
      </c>
      <c r="D49" s="11">
        <v>0.46527777777777773</v>
      </c>
      <c r="F49" s="9">
        <v>45870</v>
      </c>
      <c r="G49" s="10">
        <v>12</v>
      </c>
      <c r="H49" s="11">
        <v>0.375</v>
      </c>
      <c r="I49" s="11">
        <v>0.42569444444444443</v>
      </c>
      <c r="K49" s="9">
        <v>45901</v>
      </c>
      <c r="L49" s="10">
        <v>12</v>
      </c>
      <c r="M49" s="11">
        <v>0.43402777777777773</v>
      </c>
      <c r="N49" s="11">
        <v>0.45833333333333331</v>
      </c>
      <c r="P49" s="9">
        <v>45931</v>
      </c>
      <c r="Q49" s="10">
        <v>12</v>
      </c>
      <c r="R49" s="11"/>
      <c r="S49" s="11"/>
      <c r="U49" s="9">
        <v>45962</v>
      </c>
      <c r="V49" s="10">
        <v>12</v>
      </c>
      <c r="W49" s="11">
        <v>0.42708333333333331</v>
      </c>
      <c r="X49" s="11">
        <v>0.47569444444444442</v>
      </c>
      <c r="Z49" s="9">
        <v>45992</v>
      </c>
      <c r="AA49" s="10">
        <v>12</v>
      </c>
      <c r="AB49" s="11">
        <v>0.40625</v>
      </c>
      <c r="AC49" s="11">
        <v>0.45833333333333331</v>
      </c>
    </row>
    <row r="50" spans="1:29" x14ac:dyDescent="0.25">
      <c r="A50" s="9">
        <v>45839</v>
      </c>
      <c r="B50" s="10">
        <v>13</v>
      </c>
      <c r="C50" s="11"/>
      <c r="D50" s="11"/>
      <c r="F50" s="9">
        <v>45870</v>
      </c>
      <c r="G50" s="10">
        <v>13</v>
      </c>
      <c r="H50" s="11">
        <v>0.44791666666666669</v>
      </c>
      <c r="I50" s="11">
        <v>0.48958333333333331</v>
      </c>
      <c r="K50" s="9">
        <v>45901</v>
      </c>
      <c r="L50" s="10">
        <v>13</v>
      </c>
      <c r="M50" s="11">
        <v>0.44930555555555557</v>
      </c>
      <c r="N50" s="11">
        <v>0.4826388888888889</v>
      </c>
      <c r="P50" s="9">
        <v>45931</v>
      </c>
      <c r="Q50" s="10">
        <v>13</v>
      </c>
      <c r="R50" s="11">
        <v>0.43402777777777773</v>
      </c>
      <c r="S50" s="11">
        <v>0.46597222222222223</v>
      </c>
      <c r="U50" s="9">
        <v>45962</v>
      </c>
      <c r="V50" s="10">
        <v>13</v>
      </c>
      <c r="W50" s="11">
        <v>0.38541666666666669</v>
      </c>
      <c r="X50" s="11">
        <v>0.82152777777777775</v>
      </c>
      <c r="Z50" s="9">
        <v>45992</v>
      </c>
      <c r="AA50" s="10">
        <v>13</v>
      </c>
      <c r="AB50" s="11">
        <v>0.41666666666666669</v>
      </c>
      <c r="AC50" s="11">
        <v>0.48958333333333331</v>
      </c>
    </row>
    <row r="51" spans="1:29" x14ac:dyDescent="0.25">
      <c r="A51" s="9">
        <v>45839</v>
      </c>
      <c r="B51" s="10">
        <v>14</v>
      </c>
      <c r="C51" s="11">
        <v>0.39166666666666666</v>
      </c>
      <c r="D51" s="11">
        <v>0.42708333333333331</v>
      </c>
      <c r="F51" s="9">
        <v>45870</v>
      </c>
      <c r="G51" s="10">
        <v>14</v>
      </c>
      <c r="H51" s="11">
        <v>0.44097222222222227</v>
      </c>
      <c r="I51" s="11">
        <v>0.46875</v>
      </c>
      <c r="K51" s="9">
        <v>45901</v>
      </c>
      <c r="L51" s="10">
        <v>14</v>
      </c>
      <c r="M51" s="11"/>
      <c r="N51" s="11"/>
      <c r="P51" s="9">
        <v>45931</v>
      </c>
      <c r="Q51" s="10">
        <v>14</v>
      </c>
      <c r="R51" s="11">
        <v>0.40625</v>
      </c>
      <c r="S51" s="11">
        <v>0.4680555555555555</v>
      </c>
      <c r="U51" s="9">
        <v>45962</v>
      </c>
      <c r="V51" s="10">
        <v>14</v>
      </c>
      <c r="W51" s="11">
        <v>0.44791666666666669</v>
      </c>
      <c r="X51" s="11">
        <v>0.56944444444444442</v>
      </c>
      <c r="Z51" s="9">
        <v>45992</v>
      </c>
      <c r="AA51" s="10">
        <v>14</v>
      </c>
      <c r="AB51" s="11"/>
      <c r="AC51" s="11"/>
    </row>
    <row r="52" spans="1:29" x14ac:dyDescent="0.25">
      <c r="A52" s="9">
        <v>45839</v>
      </c>
      <c r="B52" s="10">
        <v>15</v>
      </c>
      <c r="C52" s="11">
        <v>0.39166666666666666</v>
      </c>
      <c r="D52" s="11">
        <v>0.42708333333333331</v>
      </c>
      <c r="F52" s="9">
        <v>45870</v>
      </c>
      <c r="G52" s="10">
        <v>15</v>
      </c>
      <c r="H52" s="11">
        <v>0.40486111111111112</v>
      </c>
      <c r="I52" s="11">
        <v>0.43124999999999997</v>
      </c>
      <c r="K52" s="9">
        <v>45901</v>
      </c>
      <c r="L52" s="10">
        <v>15</v>
      </c>
      <c r="M52" s="11">
        <v>0.44097222222222227</v>
      </c>
      <c r="N52" s="11">
        <v>0.47916666666666669</v>
      </c>
      <c r="P52" s="9">
        <v>45931</v>
      </c>
      <c r="Q52" s="10">
        <v>15</v>
      </c>
      <c r="R52" s="11">
        <v>0.41111111111111115</v>
      </c>
      <c r="S52" s="11">
        <v>0.43611111111111112</v>
      </c>
      <c r="U52" s="9">
        <v>45962</v>
      </c>
      <c r="V52" s="10">
        <v>15</v>
      </c>
      <c r="W52" s="11">
        <v>0.48125000000000001</v>
      </c>
      <c r="X52" s="11">
        <v>0.53125</v>
      </c>
      <c r="Z52" s="9">
        <v>45992</v>
      </c>
      <c r="AA52" s="10">
        <v>15</v>
      </c>
      <c r="AB52" s="11">
        <v>0.46180555555555558</v>
      </c>
      <c r="AC52" s="11">
        <v>0.48958333333333331</v>
      </c>
    </row>
    <row r="53" spans="1:29" x14ac:dyDescent="0.25">
      <c r="A53" s="9">
        <v>45839</v>
      </c>
      <c r="B53" s="10">
        <v>16</v>
      </c>
      <c r="C53" s="11">
        <v>0.39583333333333331</v>
      </c>
      <c r="D53" s="11">
        <v>0.42708333333333331</v>
      </c>
      <c r="F53" s="9">
        <v>45870</v>
      </c>
      <c r="G53" s="10">
        <v>16</v>
      </c>
      <c r="H53" s="11">
        <v>0.44305555555555554</v>
      </c>
      <c r="I53" s="11">
        <v>0.4680555555555555</v>
      </c>
      <c r="K53" s="9">
        <v>45901</v>
      </c>
      <c r="L53" s="10">
        <v>16</v>
      </c>
      <c r="M53" s="11">
        <v>0.44791666666666669</v>
      </c>
      <c r="N53" s="11">
        <v>0.4826388888888889</v>
      </c>
      <c r="P53" s="9">
        <v>45931</v>
      </c>
      <c r="Q53" s="10">
        <v>16</v>
      </c>
      <c r="R53" s="11">
        <v>0.37152777777777773</v>
      </c>
      <c r="S53" s="11">
        <v>0.40625</v>
      </c>
      <c r="U53" s="9">
        <v>45962</v>
      </c>
      <c r="V53" s="10">
        <v>16</v>
      </c>
      <c r="W53" s="11"/>
      <c r="X53" s="11"/>
      <c r="Z53" s="9">
        <v>45992</v>
      </c>
      <c r="AA53" s="10">
        <v>16</v>
      </c>
      <c r="AB53" s="11">
        <v>0.46875</v>
      </c>
      <c r="AC53" s="11">
        <v>0.52083333333333337</v>
      </c>
    </row>
    <row r="54" spans="1:29" x14ac:dyDescent="0.25">
      <c r="A54" s="9">
        <v>45839</v>
      </c>
      <c r="B54" s="10">
        <v>17</v>
      </c>
      <c r="C54" s="11">
        <v>0.42708333333333331</v>
      </c>
      <c r="D54" s="11">
        <v>0.44097222222222227</v>
      </c>
      <c r="F54" s="9">
        <v>45870</v>
      </c>
      <c r="G54" s="10">
        <v>17</v>
      </c>
      <c r="H54" s="11"/>
      <c r="I54" s="11"/>
      <c r="K54" s="9">
        <v>45901</v>
      </c>
      <c r="L54" s="10">
        <v>17</v>
      </c>
      <c r="M54" s="11">
        <v>0.46180555555555558</v>
      </c>
      <c r="N54" s="11">
        <v>0.48958333333333331</v>
      </c>
      <c r="P54" s="9">
        <v>45931</v>
      </c>
      <c r="Q54" s="10">
        <v>17</v>
      </c>
      <c r="R54" s="11">
        <v>0.38541666666666669</v>
      </c>
      <c r="S54" s="11">
        <v>0.44791666666666669</v>
      </c>
      <c r="U54" s="9">
        <v>45962</v>
      </c>
      <c r="V54" s="10">
        <v>17</v>
      </c>
      <c r="W54" s="11">
        <v>0.44791666666666669</v>
      </c>
      <c r="X54" s="11">
        <v>0.52430555555555558</v>
      </c>
      <c r="Z54" s="9">
        <v>45992</v>
      </c>
      <c r="AA54" s="10">
        <v>17</v>
      </c>
      <c r="AB54" s="11">
        <v>0.4548611111111111</v>
      </c>
      <c r="AC54" s="11">
        <v>0.50347222222222221</v>
      </c>
    </row>
    <row r="55" spans="1:29" x14ac:dyDescent="0.25">
      <c r="A55" s="9">
        <v>45839</v>
      </c>
      <c r="B55" s="10">
        <v>18</v>
      </c>
      <c r="C55" s="11">
        <v>0.43402777777777773</v>
      </c>
      <c r="D55" s="11">
        <v>0.44444444444444442</v>
      </c>
      <c r="F55" s="9">
        <v>45870</v>
      </c>
      <c r="G55" s="10">
        <v>18</v>
      </c>
      <c r="H55" s="11">
        <v>0.52986111111111112</v>
      </c>
      <c r="I55" s="11">
        <v>0.57638888888888895</v>
      </c>
      <c r="K55" s="9">
        <v>45901</v>
      </c>
      <c r="L55" s="10">
        <v>18</v>
      </c>
      <c r="M55" s="11">
        <v>0.43402777777777773</v>
      </c>
      <c r="N55" s="11">
        <v>0.47569444444444442</v>
      </c>
      <c r="P55" s="9">
        <v>45931</v>
      </c>
      <c r="Q55" s="10">
        <v>18</v>
      </c>
      <c r="R55" s="11">
        <v>0.42708333333333331</v>
      </c>
      <c r="S55" s="11">
        <v>0.46597222222222223</v>
      </c>
      <c r="U55" s="9">
        <v>45962</v>
      </c>
      <c r="V55" s="10">
        <v>18</v>
      </c>
      <c r="W55" s="11">
        <v>0.38194444444444442</v>
      </c>
      <c r="X55" s="11">
        <v>0.40347222222222223</v>
      </c>
      <c r="Z55" s="9">
        <v>45992</v>
      </c>
      <c r="AA55" s="10">
        <v>18</v>
      </c>
      <c r="AB55" s="11">
        <v>0.4548611111111111</v>
      </c>
      <c r="AC55" s="11">
        <v>0.48958333333333331</v>
      </c>
    </row>
    <row r="56" spans="1:29" x14ac:dyDescent="0.25">
      <c r="A56" s="9">
        <v>45839</v>
      </c>
      <c r="B56" s="10">
        <v>19</v>
      </c>
      <c r="C56" s="11">
        <v>0.39930555555555558</v>
      </c>
      <c r="D56" s="11">
        <v>0.4375</v>
      </c>
      <c r="F56" s="9">
        <v>45870</v>
      </c>
      <c r="G56" s="10">
        <v>19</v>
      </c>
      <c r="H56" s="11">
        <v>0.36458333333333331</v>
      </c>
      <c r="I56" s="11">
        <v>0.4201388888888889</v>
      </c>
      <c r="K56" s="9">
        <v>45901</v>
      </c>
      <c r="L56" s="10">
        <v>19</v>
      </c>
      <c r="M56" s="11">
        <v>0.41666666666666669</v>
      </c>
      <c r="N56" s="11">
        <v>0.47916666666666669</v>
      </c>
      <c r="P56" s="9">
        <v>45931</v>
      </c>
      <c r="Q56" s="10">
        <v>19</v>
      </c>
      <c r="R56" s="11"/>
      <c r="S56" s="11"/>
      <c r="U56" s="9">
        <v>45962</v>
      </c>
      <c r="V56" s="10">
        <v>19</v>
      </c>
      <c r="W56" s="11">
        <v>0.4368055555555555</v>
      </c>
      <c r="X56" s="11">
        <v>0.4513888888888889</v>
      </c>
      <c r="Z56" s="9">
        <v>45992</v>
      </c>
      <c r="AA56" s="10">
        <v>19</v>
      </c>
      <c r="AB56" s="11">
        <v>0.41319444444444442</v>
      </c>
      <c r="AC56" s="11">
        <v>0.45833333333333331</v>
      </c>
    </row>
    <row r="57" spans="1:29" x14ac:dyDescent="0.25">
      <c r="A57" s="9">
        <v>45839</v>
      </c>
      <c r="B57" s="10">
        <v>20</v>
      </c>
      <c r="C57" s="11"/>
      <c r="D57" s="11"/>
      <c r="F57" s="9">
        <v>45870</v>
      </c>
      <c r="G57" s="10">
        <v>20</v>
      </c>
      <c r="H57" s="11">
        <v>0.44791666666666669</v>
      </c>
      <c r="I57" s="11">
        <v>0.48125000000000001</v>
      </c>
      <c r="K57" s="9">
        <v>45901</v>
      </c>
      <c r="L57" s="10">
        <v>20</v>
      </c>
      <c r="M57" s="11">
        <v>0.38541666666666669</v>
      </c>
      <c r="N57" s="11">
        <v>0.4368055555555555</v>
      </c>
      <c r="P57" s="9">
        <v>45931</v>
      </c>
      <c r="Q57" s="10">
        <v>20</v>
      </c>
      <c r="R57" s="11">
        <v>0.44791666666666669</v>
      </c>
      <c r="S57" s="11">
        <v>0.48125000000000001</v>
      </c>
      <c r="U57" s="9">
        <v>45962</v>
      </c>
      <c r="V57" s="10">
        <v>20</v>
      </c>
      <c r="W57" s="11">
        <v>0.41666666666666669</v>
      </c>
      <c r="X57" s="11">
        <v>0.46666666666666662</v>
      </c>
      <c r="Z57" s="9">
        <v>45992</v>
      </c>
      <c r="AA57" s="10">
        <v>20</v>
      </c>
      <c r="AB57" s="11">
        <v>0.37847222222222227</v>
      </c>
      <c r="AC57" s="11">
        <v>0.40833333333333338</v>
      </c>
    </row>
    <row r="58" spans="1:29" x14ac:dyDescent="0.25">
      <c r="A58" s="9">
        <v>45839</v>
      </c>
      <c r="B58" s="10">
        <v>21</v>
      </c>
      <c r="C58" s="11">
        <v>0.39583333333333331</v>
      </c>
      <c r="D58" s="11">
        <v>0.42708333333333331</v>
      </c>
      <c r="F58" s="9">
        <v>45870</v>
      </c>
      <c r="G58" s="10">
        <v>21</v>
      </c>
      <c r="H58" s="11">
        <v>0.4548611111111111</v>
      </c>
      <c r="I58" s="11">
        <v>0.49652777777777773</v>
      </c>
      <c r="K58" s="9">
        <v>45901</v>
      </c>
      <c r="L58" s="10">
        <v>21</v>
      </c>
      <c r="M58" s="11"/>
      <c r="N58" s="11"/>
      <c r="P58" s="9">
        <v>45931</v>
      </c>
      <c r="Q58" s="10">
        <v>21</v>
      </c>
      <c r="R58" s="11">
        <v>0.43124999999999997</v>
      </c>
      <c r="S58" s="11">
        <v>0.45833333333333331</v>
      </c>
      <c r="U58" s="9">
        <v>45962</v>
      </c>
      <c r="V58" s="10">
        <v>21</v>
      </c>
      <c r="W58" s="11">
        <v>0.41666666666666669</v>
      </c>
      <c r="X58" s="11">
        <v>0.45833333333333331</v>
      </c>
      <c r="Z58" s="9">
        <v>45992</v>
      </c>
      <c r="AA58" s="10">
        <v>21</v>
      </c>
      <c r="AB58" s="11"/>
      <c r="AC58" s="11"/>
    </row>
    <row r="59" spans="1:29" x14ac:dyDescent="0.25">
      <c r="A59" s="9">
        <v>45839</v>
      </c>
      <c r="B59" s="10">
        <v>22</v>
      </c>
      <c r="C59" s="11">
        <v>0.39583333333333331</v>
      </c>
      <c r="D59" s="11">
        <v>0.42708333333333331</v>
      </c>
      <c r="F59" s="9">
        <v>45870</v>
      </c>
      <c r="G59" s="10">
        <v>22</v>
      </c>
      <c r="H59" s="11">
        <v>0.5229166666666667</v>
      </c>
      <c r="I59" s="11">
        <v>0.57291666666666663</v>
      </c>
      <c r="K59" s="9">
        <v>45901</v>
      </c>
      <c r="L59" s="10">
        <v>22</v>
      </c>
      <c r="M59" s="11">
        <v>0.44027777777777777</v>
      </c>
      <c r="N59" s="11">
        <v>0.49513888888888885</v>
      </c>
      <c r="P59" s="9">
        <v>45931</v>
      </c>
      <c r="Q59" s="10">
        <v>22</v>
      </c>
      <c r="R59" s="11">
        <v>0.45763888888888887</v>
      </c>
      <c r="S59" s="11">
        <v>0.49305555555555558</v>
      </c>
      <c r="U59" s="9">
        <v>45962</v>
      </c>
      <c r="V59" s="10">
        <v>22</v>
      </c>
      <c r="W59" s="11">
        <v>0.42986111111111108</v>
      </c>
      <c r="X59" s="11">
        <v>0.47638888888888892</v>
      </c>
      <c r="Z59" s="9">
        <v>45992</v>
      </c>
      <c r="AA59" s="10">
        <v>22</v>
      </c>
      <c r="AB59" s="11">
        <v>0.44791666666666669</v>
      </c>
      <c r="AC59" s="11">
        <v>0.46875</v>
      </c>
    </row>
    <row r="60" spans="1:29" x14ac:dyDescent="0.25">
      <c r="A60" s="9">
        <v>45839</v>
      </c>
      <c r="B60" s="10">
        <v>23</v>
      </c>
      <c r="C60" s="11">
        <v>0.41388888888888892</v>
      </c>
      <c r="D60" s="11">
        <v>0.4284722222222222</v>
      </c>
      <c r="F60" s="9">
        <v>45870</v>
      </c>
      <c r="G60" s="10">
        <v>23</v>
      </c>
      <c r="H60" s="11"/>
      <c r="I60" s="11"/>
      <c r="K60" s="9">
        <v>45901</v>
      </c>
      <c r="L60" s="10">
        <v>23</v>
      </c>
      <c r="M60" s="11">
        <v>0.42708333333333331</v>
      </c>
      <c r="N60" s="11">
        <v>0.46249999999999997</v>
      </c>
      <c r="P60" s="9">
        <v>45931</v>
      </c>
      <c r="Q60" s="10">
        <v>23</v>
      </c>
      <c r="R60" s="11">
        <v>0.45833333333333331</v>
      </c>
      <c r="S60" s="11">
        <v>0.4861111111111111</v>
      </c>
      <c r="U60" s="9">
        <v>45962</v>
      </c>
      <c r="V60" s="10">
        <v>23</v>
      </c>
      <c r="W60" s="11"/>
      <c r="X60" s="11"/>
      <c r="Z60" s="9">
        <v>45992</v>
      </c>
      <c r="AA60" s="10">
        <v>23</v>
      </c>
      <c r="AB60" s="11">
        <v>0.40972222222222227</v>
      </c>
      <c r="AC60" s="11">
        <v>0.4826388888888889</v>
      </c>
    </row>
    <row r="61" spans="1:29" x14ac:dyDescent="0.25">
      <c r="A61" s="9">
        <v>45839</v>
      </c>
      <c r="B61" s="10">
        <v>24</v>
      </c>
      <c r="C61" s="11">
        <v>0.39583333333333331</v>
      </c>
      <c r="D61" s="11">
        <v>0.44791666666666669</v>
      </c>
      <c r="F61" s="9">
        <v>45870</v>
      </c>
      <c r="G61" s="10">
        <v>24</v>
      </c>
      <c r="H61" s="11"/>
      <c r="I61" s="11"/>
      <c r="K61" s="9">
        <v>45901</v>
      </c>
      <c r="L61" s="10">
        <v>24</v>
      </c>
      <c r="M61" s="11">
        <v>0.42083333333333334</v>
      </c>
      <c r="N61" s="11">
        <v>0.47638888888888892</v>
      </c>
      <c r="P61" s="9">
        <v>45931</v>
      </c>
      <c r="Q61" s="10">
        <v>24</v>
      </c>
      <c r="R61" s="11">
        <v>0.40625</v>
      </c>
      <c r="S61" s="11">
        <v>0.46180555555555558</v>
      </c>
      <c r="U61" s="9">
        <v>45962</v>
      </c>
      <c r="V61" s="10">
        <v>24</v>
      </c>
      <c r="W61" s="11">
        <v>0.4604166666666667</v>
      </c>
      <c r="X61" s="11">
        <v>0.51180555555555551</v>
      </c>
      <c r="Z61" s="9">
        <v>45992</v>
      </c>
      <c r="AA61" s="10">
        <v>24</v>
      </c>
      <c r="AB61" s="11">
        <v>0.37847222222222227</v>
      </c>
      <c r="AC61" s="11">
        <v>0.41041666666666665</v>
      </c>
    </row>
    <row r="62" spans="1:29" x14ac:dyDescent="0.25">
      <c r="A62" s="9">
        <v>45839</v>
      </c>
      <c r="B62" s="10">
        <v>25</v>
      </c>
      <c r="C62" s="11">
        <v>0.40625</v>
      </c>
      <c r="D62" s="11">
        <v>0.44791666666666669</v>
      </c>
      <c r="F62" s="9">
        <v>45870</v>
      </c>
      <c r="G62" s="10">
        <v>25</v>
      </c>
      <c r="H62" s="11">
        <v>0.44791666666666669</v>
      </c>
      <c r="I62" s="11">
        <v>0.47222222222222227</v>
      </c>
      <c r="K62" s="9">
        <v>45901</v>
      </c>
      <c r="L62" s="10">
        <v>25</v>
      </c>
      <c r="M62" s="11">
        <v>0.45833333333333331</v>
      </c>
      <c r="N62" s="11">
        <v>0.49791666666666662</v>
      </c>
      <c r="P62" s="9">
        <v>45931</v>
      </c>
      <c r="Q62" s="10">
        <v>25</v>
      </c>
      <c r="R62" s="11">
        <v>0.4201388888888889</v>
      </c>
      <c r="S62" s="11">
        <v>0.46527777777777773</v>
      </c>
      <c r="U62" s="9">
        <v>45962</v>
      </c>
      <c r="V62" s="10">
        <v>25</v>
      </c>
      <c r="W62" s="11">
        <v>0.40138888888888885</v>
      </c>
      <c r="X62" s="11">
        <v>0.45416666666666666</v>
      </c>
      <c r="Z62" s="9">
        <v>45992</v>
      </c>
      <c r="AA62" s="10">
        <v>25</v>
      </c>
      <c r="AB62" s="11"/>
      <c r="AC62" s="11"/>
    </row>
    <row r="63" spans="1:29" x14ac:dyDescent="0.25">
      <c r="A63" s="9">
        <v>45839</v>
      </c>
      <c r="B63" s="10">
        <v>26</v>
      </c>
      <c r="C63" s="11">
        <v>0.4548611111111111</v>
      </c>
      <c r="D63" s="11">
        <v>0.47013888888888888</v>
      </c>
      <c r="F63" s="9">
        <v>45870</v>
      </c>
      <c r="G63" s="10">
        <v>26</v>
      </c>
      <c r="H63" s="11">
        <v>0.44722222222222219</v>
      </c>
      <c r="I63" s="11">
        <v>0.49444444444444446</v>
      </c>
      <c r="K63" s="9">
        <v>45901</v>
      </c>
      <c r="L63" s="10">
        <v>26</v>
      </c>
      <c r="M63" s="11">
        <v>0.40625</v>
      </c>
      <c r="N63" s="11">
        <v>0.44930555555555557</v>
      </c>
      <c r="P63" s="9">
        <v>45931</v>
      </c>
      <c r="Q63" s="10">
        <v>26</v>
      </c>
      <c r="R63" s="11"/>
      <c r="S63" s="11"/>
      <c r="U63" s="9">
        <v>45962</v>
      </c>
      <c r="V63" s="10">
        <v>26</v>
      </c>
      <c r="W63" s="11">
        <v>0.45833333333333331</v>
      </c>
      <c r="X63" s="11">
        <v>0.49652777777777773</v>
      </c>
      <c r="Z63" s="9">
        <v>45992</v>
      </c>
      <c r="AA63" s="10">
        <v>26</v>
      </c>
      <c r="AB63" s="11"/>
      <c r="AC63" s="11"/>
    </row>
    <row r="64" spans="1:29" x14ac:dyDescent="0.25">
      <c r="A64" s="9">
        <v>45839</v>
      </c>
      <c r="B64" s="10">
        <v>27</v>
      </c>
      <c r="C64" s="11"/>
      <c r="D64" s="11"/>
      <c r="F64" s="9">
        <v>45870</v>
      </c>
      <c r="G64" s="10">
        <v>27</v>
      </c>
      <c r="H64" s="11">
        <v>0.46527777777777773</v>
      </c>
      <c r="I64" s="11">
        <v>0.48749999999999999</v>
      </c>
      <c r="K64" s="9">
        <v>45901</v>
      </c>
      <c r="L64" s="10">
        <v>27</v>
      </c>
      <c r="M64" s="11">
        <v>0.4548611111111111</v>
      </c>
      <c r="N64" s="11">
        <v>0.50972222222222219</v>
      </c>
      <c r="P64" s="9">
        <v>45931</v>
      </c>
      <c r="Q64" s="10">
        <v>27</v>
      </c>
      <c r="R64" s="11">
        <v>0.45833333333333331</v>
      </c>
      <c r="S64" s="11">
        <v>0.52430555555555558</v>
      </c>
      <c r="U64" s="9">
        <v>45962</v>
      </c>
      <c r="V64" s="10">
        <v>27</v>
      </c>
      <c r="W64" s="11">
        <v>0.45347222222222222</v>
      </c>
      <c r="X64" s="11">
        <v>0.4909722222222222</v>
      </c>
      <c r="Z64" s="9">
        <v>45992</v>
      </c>
      <c r="AA64" s="10">
        <v>27</v>
      </c>
      <c r="AB64" s="11"/>
      <c r="AC64" s="11"/>
    </row>
    <row r="65" spans="1:29" x14ac:dyDescent="0.25">
      <c r="A65" s="9">
        <v>45839</v>
      </c>
      <c r="B65" s="10">
        <v>28</v>
      </c>
      <c r="C65" s="11">
        <v>0.42708333333333331</v>
      </c>
      <c r="D65" s="11">
        <v>0.44791666666666669</v>
      </c>
      <c r="F65" s="9">
        <v>45870</v>
      </c>
      <c r="G65" s="10">
        <v>28</v>
      </c>
      <c r="H65" s="11">
        <v>0.42708333333333331</v>
      </c>
      <c r="I65" s="11">
        <v>0.4548611111111111</v>
      </c>
      <c r="K65" s="9">
        <v>45901</v>
      </c>
      <c r="L65" s="10">
        <v>28</v>
      </c>
      <c r="M65" s="11"/>
      <c r="N65" s="11"/>
      <c r="P65" s="9">
        <v>45931</v>
      </c>
      <c r="Q65" s="10">
        <v>28</v>
      </c>
      <c r="R65" s="11">
        <v>0.50624999999999998</v>
      </c>
      <c r="S65" s="11">
        <v>0.55069444444444449</v>
      </c>
      <c r="U65" s="9">
        <v>45962</v>
      </c>
      <c r="V65" s="10">
        <v>28</v>
      </c>
      <c r="W65" s="11">
        <v>0.42708333333333331</v>
      </c>
      <c r="X65" s="11">
        <v>0.4513888888888889</v>
      </c>
      <c r="Z65" s="9">
        <v>45992</v>
      </c>
      <c r="AA65" s="10">
        <v>28</v>
      </c>
      <c r="AB65" s="11"/>
      <c r="AC65" s="11"/>
    </row>
    <row r="66" spans="1:29" x14ac:dyDescent="0.25">
      <c r="A66" s="9">
        <v>45839</v>
      </c>
      <c r="B66" s="10">
        <v>29</v>
      </c>
      <c r="C66" s="11">
        <v>0.42708333333333331</v>
      </c>
      <c r="D66" s="11">
        <v>0.44791666666666669</v>
      </c>
      <c r="F66" s="9">
        <v>45870</v>
      </c>
      <c r="G66" s="10">
        <v>29</v>
      </c>
      <c r="H66" s="11">
        <v>0.4284722222222222</v>
      </c>
      <c r="I66" s="11">
        <v>0.45694444444444443</v>
      </c>
      <c r="K66" s="9">
        <v>45901</v>
      </c>
      <c r="L66" s="10">
        <v>29</v>
      </c>
      <c r="M66" s="11">
        <v>0.42638888888888887</v>
      </c>
      <c r="N66" s="11">
        <v>0.46180555555555558</v>
      </c>
      <c r="P66" s="9">
        <v>45931</v>
      </c>
      <c r="Q66" s="10">
        <v>29</v>
      </c>
      <c r="R66" s="11">
        <v>0.42708333333333331</v>
      </c>
      <c r="S66" s="11">
        <v>0.47222222222222227</v>
      </c>
      <c r="U66" s="9">
        <v>45962</v>
      </c>
      <c r="V66" s="10">
        <v>29</v>
      </c>
      <c r="W66" s="11">
        <v>0.43124999999999997</v>
      </c>
      <c r="X66" s="11">
        <v>0.4909722222222222</v>
      </c>
      <c r="Z66" s="9">
        <v>45992</v>
      </c>
      <c r="AA66" s="10">
        <v>29</v>
      </c>
      <c r="AB66" s="11"/>
      <c r="AC66" s="11"/>
    </row>
    <row r="67" spans="1:29" x14ac:dyDescent="0.25">
      <c r="A67" s="9">
        <v>45839</v>
      </c>
      <c r="B67" s="10">
        <v>30</v>
      </c>
      <c r="C67" s="11">
        <v>0.40625</v>
      </c>
      <c r="D67" s="11">
        <v>0.44097222222222227</v>
      </c>
      <c r="F67" s="9">
        <v>45870</v>
      </c>
      <c r="G67" s="10">
        <v>30</v>
      </c>
      <c r="H67" s="11">
        <v>0.44097222222222227</v>
      </c>
      <c r="I67" s="11">
        <v>0.46875</v>
      </c>
      <c r="K67" s="9">
        <v>45901</v>
      </c>
      <c r="L67" s="10">
        <v>30</v>
      </c>
      <c r="M67" s="11">
        <v>0.47222222222222227</v>
      </c>
      <c r="N67" s="11">
        <v>0.49791666666666662</v>
      </c>
      <c r="P67" s="9">
        <v>45931</v>
      </c>
      <c r="Q67" s="10">
        <v>30</v>
      </c>
      <c r="R67" s="11">
        <v>0.45833333333333331</v>
      </c>
      <c r="S67" s="11">
        <v>0.50347222222222221</v>
      </c>
      <c r="U67" s="9">
        <v>45962</v>
      </c>
      <c r="V67" s="10">
        <v>30</v>
      </c>
      <c r="W67" s="11"/>
      <c r="X67" s="11"/>
      <c r="Z67" s="9">
        <v>45992</v>
      </c>
      <c r="AA67" s="10">
        <v>30</v>
      </c>
      <c r="AB67" s="11"/>
      <c r="AC67" s="11"/>
    </row>
    <row r="68" spans="1:29" x14ac:dyDescent="0.25">
      <c r="A68" s="9">
        <v>45839</v>
      </c>
      <c r="B68" s="10">
        <v>31</v>
      </c>
      <c r="C68" s="11">
        <v>0.40625</v>
      </c>
      <c r="D68" s="11">
        <v>0.44097222222222227</v>
      </c>
      <c r="F68" s="9">
        <v>45870</v>
      </c>
      <c r="G68" s="10">
        <v>31</v>
      </c>
      <c r="H68" s="11"/>
      <c r="I68" s="11"/>
      <c r="K68" s="9">
        <v>45901</v>
      </c>
      <c r="L68" s="10">
        <v>31</v>
      </c>
      <c r="M68" s="11"/>
      <c r="N68" s="11"/>
      <c r="P68" s="9">
        <v>45931</v>
      </c>
      <c r="Q68" s="10">
        <v>31</v>
      </c>
      <c r="R68" s="11">
        <v>0.38611111111111113</v>
      </c>
      <c r="S68" s="11">
        <v>0.44236111111111115</v>
      </c>
      <c r="U68" s="9">
        <v>45962</v>
      </c>
      <c r="V68" s="10">
        <v>31</v>
      </c>
      <c r="W68" s="11"/>
      <c r="X68" s="11"/>
      <c r="Z68" s="9">
        <v>45992</v>
      </c>
      <c r="AA68" s="10">
        <v>31</v>
      </c>
      <c r="AB68" s="11"/>
      <c r="AC68" s="11"/>
    </row>
    <row r="69" spans="1:29" x14ac:dyDescent="0.25">
      <c r="A69" s="10" t="s">
        <v>4</v>
      </c>
      <c r="B69" s="10"/>
      <c r="C69" s="11">
        <f>SUBTOTAL(101,Table135678[Register])</f>
        <v>0.41980452674897117</v>
      </c>
      <c r="D69" s="11">
        <f>SUBTOTAL(101,Table135678[Driver])</f>
        <v>0.44763374485596691</v>
      </c>
      <c r="F69" s="10" t="s">
        <v>4</v>
      </c>
      <c r="G69" s="10"/>
      <c r="H69" s="11">
        <f>SUBTOTAL(101,Table1356789[Register])</f>
        <v>0.43911111111111112</v>
      </c>
      <c r="I69" s="11">
        <f>SUBTOTAL(101,Table1356789[Driver])</f>
        <v>0.48236111111111107</v>
      </c>
      <c r="K69" s="10" t="s">
        <v>4</v>
      </c>
      <c r="L69" s="10"/>
      <c r="M69" s="11">
        <f>SUBTOTAL(101,Table135678910[Register])</f>
        <v>0.43761111111111106</v>
      </c>
      <c r="N69" s="11">
        <f>SUBTOTAL(101,Table135678910[Driver])</f>
        <v>0.47555555555555562</v>
      </c>
      <c r="P69" s="10" t="s">
        <v>4</v>
      </c>
      <c r="Q69" s="10"/>
      <c r="R69" s="11">
        <f>SUBTOTAL(101,Table13567891011[Register])</f>
        <v>0.42420267489711949</v>
      </c>
      <c r="S69" s="11">
        <f>SUBTOTAL(101,Table13567891011[Driver])</f>
        <v>0.46723251028806584</v>
      </c>
      <c r="U69" s="10" t="s">
        <v>4</v>
      </c>
      <c r="V69" s="10"/>
      <c r="W69" s="11">
        <f>SUBTOTAL(101,Table1356789101112[Register])</f>
        <v>0.43516666666666681</v>
      </c>
      <c r="X69" s="11">
        <f>SUBTOTAL(101,Table1356789101112[Driver])</f>
        <v>0.49961111111111128</v>
      </c>
      <c r="Z69" s="10" t="s">
        <v>4</v>
      </c>
      <c r="AA69" s="10"/>
      <c r="AB69" s="11">
        <f>SUBTOTAL(101,Table1356789101113[Register])</f>
        <v>0.43042328042328037</v>
      </c>
      <c r="AC69" s="11">
        <f>SUBTOTAL(101,Table1356789101113[Driver])</f>
        <v>0.4768518518518518</v>
      </c>
    </row>
  </sheetData>
  <conditionalFormatting sqref="M38:N68">
    <cfRule type="cellIs" dxfId="204" priority="6" operator="equal">
      <formula>0</formula>
    </cfRule>
  </conditionalFormatting>
  <conditionalFormatting sqref="R38:S68">
    <cfRule type="cellIs" dxfId="203" priority="5" operator="equal">
      <formula>0</formula>
    </cfRule>
  </conditionalFormatting>
  <conditionalFormatting sqref="H38:I68">
    <cfRule type="cellIs" dxfId="202" priority="4" operator="equal">
      <formula>0</formula>
    </cfRule>
  </conditionalFormatting>
  <conditionalFormatting sqref="C38:D68">
    <cfRule type="cellIs" dxfId="201" priority="3" operator="equal">
      <formula>0</formula>
    </cfRule>
  </conditionalFormatting>
  <conditionalFormatting sqref="W38:X68">
    <cfRule type="cellIs" dxfId="200" priority="2" operator="equal">
      <formula>0</formula>
    </cfRule>
  </conditionalFormatting>
  <conditionalFormatting sqref="AB38:AC68">
    <cfRule type="cellIs" dxfId="199" priority="1" operator="equal">
      <formula>0</formula>
    </cfRule>
  </conditionalFormatting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7"/>
  <sheetViews>
    <sheetView showGridLines="0"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14" sqref="O14"/>
    </sheetView>
  </sheetViews>
  <sheetFormatPr defaultRowHeight="15" x14ac:dyDescent="0.25"/>
  <cols>
    <col min="1" max="1" width="7.28515625" bestFit="1" customWidth="1"/>
    <col min="2" max="2" width="8.28515625" style="12" bestFit="1" customWidth="1"/>
    <col min="3" max="3" width="7.28515625" bestFit="1" customWidth="1"/>
    <col min="4" max="4" width="8.28515625" bestFit="1" customWidth="1"/>
    <col min="5" max="5" width="7.28515625" bestFit="1" customWidth="1"/>
    <col min="6" max="6" width="8.28515625" bestFit="1" customWidth="1"/>
    <col min="7" max="7" width="7.28515625" bestFit="1" customWidth="1"/>
    <col min="8" max="8" width="8.28515625" bestFit="1" customWidth="1"/>
    <col min="9" max="9" width="7.28515625" bestFit="1" customWidth="1"/>
    <col min="10" max="27" width="8.42578125" bestFit="1" customWidth="1"/>
  </cols>
  <sheetData>
    <row r="2" spans="1:27" x14ac:dyDescent="0.25">
      <c r="A2" s="23" t="s">
        <v>3</v>
      </c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</row>
    <row r="3" spans="1:27" x14ac:dyDescent="0.25">
      <c r="A3" s="23"/>
      <c r="B3" s="29">
        <v>45992</v>
      </c>
      <c r="C3" s="29"/>
      <c r="D3" s="24">
        <f>+B3+31</f>
        <v>46023</v>
      </c>
      <c r="E3" s="25"/>
      <c r="F3" s="24">
        <f>+D3+31</f>
        <v>46054</v>
      </c>
      <c r="G3" s="25"/>
      <c r="H3" s="24">
        <f>+F3+31</f>
        <v>46085</v>
      </c>
      <c r="I3" s="25"/>
      <c r="J3" s="24">
        <f>+H3+31</f>
        <v>46116</v>
      </c>
      <c r="K3" s="25"/>
      <c r="L3" s="24">
        <f>+J3+31</f>
        <v>46147</v>
      </c>
      <c r="M3" s="25"/>
      <c r="N3" s="24">
        <f>+L3+31</f>
        <v>46178</v>
      </c>
      <c r="O3" s="25"/>
      <c r="P3" s="24">
        <f>+N3+31</f>
        <v>46209</v>
      </c>
      <c r="Q3" s="25"/>
      <c r="R3" s="24">
        <f>+P3+31</f>
        <v>46240</v>
      </c>
      <c r="S3" s="25"/>
      <c r="T3" s="24">
        <f>+R3+31</f>
        <v>46271</v>
      </c>
      <c r="U3" s="25"/>
      <c r="V3" s="24">
        <f>+T3+31</f>
        <v>46302</v>
      </c>
      <c r="W3" s="25"/>
      <c r="X3" s="24">
        <f>+V3+31</f>
        <v>46333</v>
      </c>
      <c r="Y3" s="25"/>
      <c r="Z3" s="24">
        <f t="shared" ref="Z3" si="0">+X3+31</f>
        <v>46364</v>
      </c>
      <c r="AA3" s="25"/>
    </row>
    <row r="4" spans="1:27" x14ac:dyDescent="0.25">
      <c r="A4" s="23"/>
      <c r="B4" s="19" t="s">
        <v>1</v>
      </c>
      <c r="C4" s="18" t="s">
        <v>2</v>
      </c>
      <c r="D4" s="19" t="s">
        <v>1</v>
      </c>
      <c r="E4" s="18" t="s">
        <v>2</v>
      </c>
      <c r="F4" s="19" t="s">
        <v>1</v>
      </c>
      <c r="G4" s="18" t="s">
        <v>2</v>
      </c>
      <c r="H4" s="19" t="s">
        <v>1</v>
      </c>
      <c r="I4" s="18" t="s">
        <v>2</v>
      </c>
      <c r="J4" s="19" t="s">
        <v>1</v>
      </c>
      <c r="K4" s="18" t="s">
        <v>2</v>
      </c>
      <c r="L4" s="19" t="s">
        <v>1</v>
      </c>
      <c r="M4" s="18" t="s">
        <v>2</v>
      </c>
      <c r="N4" s="19" t="s">
        <v>1</v>
      </c>
      <c r="O4" s="18" t="s">
        <v>2</v>
      </c>
      <c r="P4" s="19" t="s">
        <v>1</v>
      </c>
      <c r="Q4" s="18" t="s">
        <v>2</v>
      </c>
      <c r="R4" s="19" t="s">
        <v>1</v>
      </c>
      <c r="S4" s="18" t="s">
        <v>2</v>
      </c>
      <c r="T4" s="19" t="s">
        <v>1</v>
      </c>
      <c r="U4" s="18" t="s">
        <v>2</v>
      </c>
      <c r="V4" s="19" t="s">
        <v>1</v>
      </c>
      <c r="W4" s="18" t="s">
        <v>2</v>
      </c>
      <c r="X4" s="19" t="s">
        <v>1</v>
      </c>
      <c r="Y4" s="18" t="s">
        <v>2</v>
      </c>
      <c r="Z4" s="19" t="s">
        <v>1</v>
      </c>
      <c r="AA4" s="18" t="s">
        <v>2</v>
      </c>
    </row>
    <row r="5" spans="1:27" x14ac:dyDescent="0.25">
      <c r="A5" s="16" t="s">
        <v>5</v>
      </c>
      <c r="B5" s="17" t="s">
        <v>6</v>
      </c>
      <c r="C5" s="16" t="s">
        <v>7</v>
      </c>
      <c r="D5" s="17" t="s">
        <v>8</v>
      </c>
      <c r="E5" s="16" t="s">
        <v>9</v>
      </c>
      <c r="F5" s="17" t="s">
        <v>10</v>
      </c>
      <c r="G5" s="16" t="s">
        <v>11</v>
      </c>
      <c r="H5" s="17" t="s">
        <v>12</v>
      </c>
      <c r="I5" s="16" t="s">
        <v>13</v>
      </c>
      <c r="J5" s="17" t="s">
        <v>14</v>
      </c>
      <c r="K5" s="16" t="s">
        <v>15</v>
      </c>
      <c r="L5" s="17" t="s">
        <v>16</v>
      </c>
      <c r="M5" s="16" t="s">
        <v>17</v>
      </c>
      <c r="N5" s="17" t="s">
        <v>19</v>
      </c>
      <c r="O5" s="16" t="s">
        <v>20</v>
      </c>
      <c r="P5" s="17" t="s">
        <v>21</v>
      </c>
      <c r="Q5" s="16" t="s">
        <v>22</v>
      </c>
      <c r="R5" s="17" t="s">
        <v>23</v>
      </c>
      <c r="S5" s="16" t="s">
        <v>24</v>
      </c>
      <c r="T5" s="17" t="s">
        <v>25</v>
      </c>
      <c r="U5" s="16" t="s">
        <v>26</v>
      </c>
      <c r="V5" s="17" t="s">
        <v>18</v>
      </c>
      <c r="W5" s="16" t="s">
        <v>27</v>
      </c>
      <c r="X5" s="17" t="s">
        <v>28</v>
      </c>
      <c r="Y5" s="16" t="s">
        <v>29</v>
      </c>
      <c r="Z5" s="17" t="s">
        <v>30</v>
      </c>
      <c r="AA5" s="16" t="s">
        <v>31</v>
      </c>
    </row>
    <row r="6" spans="1:27" x14ac:dyDescent="0.25">
      <c r="A6">
        <v>1</v>
      </c>
      <c r="B6" s="13">
        <v>0.46597222222222223</v>
      </c>
      <c r="C6" s="14">
        <v>0.48958333333333331</v>
      </c>
      <c r="D6" s="13">
        <v>0.46180555555555558</v>
      </c>
      <c r="E6" s="14">
        <v>0.48958333333333331</v>
      </c>
      <c r="F6" s="13"/>
      <c r="G6" s="14"/>
      <c r="H6" s="13">
        <v>0.47986111111111113</v>
      </c>
      <c r="I6" s="14">
        <v>0.54375000000000007</v>
      </c>
      <c r="J6" s="13">
        <v>0.48055555555555557</v>
      </c>
      <c r="K6" s="14">
        <v>0.50347222222222221</v>
      </c>
      <c r="L6" s="13"/>
      <c r="M6" s="14"/>
      <c r="N6" s="13"/>
      <c r="O6" s="14"/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5"/>
    </row>
    <row r="7" spans="1:27" x14ac:dyDescent="0.25">
      <c r="A7">
        <f>+A6+1</f>
        <v>2</v>
      </c>
      <c r="B7" s="13">
        <v>0.44791666666666669</v>
      </c>
      <c r="C7" s="14">
        <v>0.49652777777777773</v>
      </c>
      <c r="D7" s="13">
        <v>0.46875</v>
      </c>
      <c r="E7" s="14">
        <v>0.52083333333333337</v>
      </c>
      <c r="F7" s="13">
        <v>0.44791666666666669</v>
      </c>
      <c r="G7" s="14">
        <v>0.49652777777777773</v>
      </c>
      <c r="H7" s="13">
        <v>0.4375</v>
      </c>
      <c r="I7" s="14">
        <v>0.48958333333333331</v>
      </c>
      <c r="J7" s="13">
        <v>0.5</v>
      </c>
      <c r="K7" s="14">
        <v>0.5229166666666667</v>
      </c>
      <c r="L7" s="13">
        <v>0.38194444444444442</v>
      </c>
      <c r="M7" s="14">
        <v>0.42430555555555555</v>
      </c>
      <c r="N7" s="13">
        <v>0.38263888888888892</v>
      </c>
      <c r="O7" s="14">
        <v>0.40069444444444446</v>
      </c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15"/>
    </row>
    <row r="8" spans="1:27" x14ac:dyDescent="0.25">
      <c r="A8">
        <f t="shared" ref="A8:A36" si="1">+A7+1</f>
        <v>3</v>
      </c>
      <c r="B8" s="13">
        <v>0.40972222222222227</v>
      </c>
      <c r="C8" s="14">
        <v>0.45694444444444443</v>
      </c>
      <c r="D8" s="13">
        <v>0.4548611111111111</v>
      </c>
      <c r="E8" s="14">
        <v>0.50347222222222221</v>
      </c>
      <c r="F8" s="13">
        <v>0.41319444444444442</v>
      </c>
      <c r="G8" s="14">
        <v>0.4548611111111111</v>
      </c>
      <c r="H8" s="13">
        <v>0.40625</v>
      </c>
      <c r="I8" s="14">
        <v>0.4770833333333333</v>
      </c>
      <c r="J8" s="13"/>
      <c r="K8" s="14"/>
      <c r="L8" s="13"/>
      <c r="M8" s="14"/>
      <c r="N8" s="13">
        <v>0.42499999999999999</v>
      </c>
      <c r="O8" s="14">
        <v>0.45347222222222222</v>
      </c>
      <c r="P8" s="13"/>
      <c r="Q8" s="14"/>
      <c r="R8" s="13"/>
      <c r="S8" s="14"/>
      <c r="T8" s="13"/>
      <c r="U8" s="14"/>
      <c r="V8" s="13"/>
      <c r="W8" s="14"/>
      <c r="X8" s="13"/>
      <c r="Y8" s="14"/>
      <c r="Z8" s="13"/>
      <c r="AA8" s="15"/>
    </row>
    <row r="9" spans="1:27" x14ac:dyDescent="0.25">
      <c r="A9">
        <f t="shared" si="1"/>
        <v>4</v>
      </c>
      <c r="B9" s="13">
        <v>0.46875</v>
      </c>
      <c r="C9" s="14">
        <v>0.52083333333333337</v>
      </c>
      <c r="D9" s="13"/>
      <c r="E9" s="14"/>
      <c r="F9" s="13">
        <v>0.41319444444444442</v>
      </c>
      <c r="G9" s="14">
        <v>0.49652777777777773</v>
      </c>
      <c r="H9" s="13">
        <v>0.4909722222222222</v>
      </c>
      <c r="I9" s="14">
        <v>0.53472222222222221</v>
      </c>
      <c r="J9" s="13">
        <v>0.52083333333333337</v>
      </c>
      <c r="K9" s="14">
        <v>0.55208333333333337</v>
      </c>
      <c r="L9" s="13">
        <v>0.48958333333333331</v>
      </c>
      <c r="M9" s="14">
        <v>0.52430555555555558</v>
      </c>
      <c r="N9" s="13">
        <v>0.48402777777777778</v>
      </c>
      <c r="O9" s="14">
        <v>0.49652777777777773</v>
      </c>
      <c r="P9" s="13"/>
      <c r="Q9" s="14"/>
      <c r="R9" s="13"/>
      <c r="S9" s="14"/>
      <c r="T9" s="13"/>
      <c r="U9" s="14"/>
      <c r="V9" s="13"/>
      <c r="W9" s="14"/>
      <c r="X9" s="13"/>
      <c r="Y9" s="14"/>
      <c r="Z9" s="13"/>
      <c r="AA9" s="15"/>
    </row>
    <row r="10" spans="1:27" x14ac:dyDescent="0.25">
      <c r="A10">
        <f t="shared" si="1"/>
        <v>5</v>
      </c>
      <c r="B10" s="13">
        <v>0.39583333333333331</v>
      </c>
      <c r="C10" s="14">
        <v>0.4548611111111111</v>
      </c>
      <c r="D10" s="13">
        <v>0.4548611111111111</v>
      </c>
      <c r="E10" s="14">
        <v>0.48958333333333331</v>
      </c>
      <c r="F10" s="13">
        <v>0.45694444444444443</v>
      </c>
      <c r="G10" s="14">
        <v>0.50694444444444442</v>
      </c>
      <c r="H10" s="13">
        <v>0.43055555555555558</v>
      </c>
      <c r="I10" s="14">
        <v>0.47847222222222219</v>
      </c>
      <c r="J10" s="13"/>
      <c r="K10" s="14"/>
      <c r="L10" s="13">
        <v>0.38541666666666669</v>
      </c>
      <c r="M10" s="14">
        <v>0.44791666666666669</v>
      </c>
      <c r="N10" s="13">
        <v>0.44930555555555557</v>
      </c>
      <c r="O10" s="14">
        <v>0.55902777777777779</v>
      </c>
      <c r="P10" s="13"/>
      <c r="Q10" s="14"/>
      <c r="R10" s="13"/>
      <c r="S10" s="14"/>
      <c r="T10" s="13"/>
      <c r="U10" s="14"/>
      <c r="V10" s="13"/>
      <c r="W10" s="14"/>
      <c r="X10" s="13"/>
      <c r="Y10" s="14"/>
      <c r="Z10" s="13"/>
      <c r="AA10" s="15"/>
    </row>
    <row r="11" spans="1:27" x14ac:dyDescent="0.25">
      <c r="A11">
        <f t="shared" si="1"/>
        <v>6</v>
      </c>
      <c r="B11" s="13">
        <v>0.4375</v>
      </c>
      <c r="C11" s="14">
        <v>0.48958333333333331</v>
      </c>
      <c r="D11" s="13">
        <v>0.41319444444444442</v>
      </c>
      <c r="E11" s="14">
        <v>0.45833333333333331</v>
      </c>
      <c r="F11" s="13">
        <v>0.4375</v>
      </c>
      <c r="G11" s="14">
        <v>0.55208333333333337</v>
      </c>
      <c r="H11" s="13">
        <v>0.44097222222222227</v>
      </c>
      <c r="I11" s="14">
        <v>0.56944444444444442</v>
      </c>
      <c r="J11" s="13">
        <v>0.41319444444444442</v>
      </c>
      <c r="K11" s="14">
        <v>0.4826388888888889</v>
      </c>
      <c r="L11" s="13">
        <v>0.46180555555555558</v>
      </c>
      <c r="M11" s="14">
        <v>0.50347222222222221</v>
      </c>
      <c r="N11" s="13">
        <v>0.41944444444444445</v>
      </c>
      <c r="O11" s="14">
        <v>0.44236111111111115</v>
      </c>
      <c r="P11" s="13"/>
      <c r="Q11" s="14"/>
      <c r="R11" s="13"/>
      <c r="S11" s="14"/>
      <c r="T11" s="13"/>
      <c r="U11" s="14"/>
      <c r="V11" s="13"/>
      <c r="W11" s="14"/>
      <c r="X11" s="13"/>
      <c r="Y11" s="14"/>
      <c r="Z11" s="13"/>
      <c r="AA11" s="15"/>
    </row>
    <row r="12" spans="1:27" x14ac:dyDescent="0.25">
      <c r="A12">
        <f t="shared" si="1"/>
        <v>7</v>
      </c>
      <c r="B12" s="13"/>
      <c r="C12" s="14"/>
      <c r="D12" s="13">
        <v>0.37847222222222227</v>
      </c>
      <c r="E12" s="14">
        <v>0.40833333333333338</v>
      </c>
      <c r="F12" s="13">
        <v>0.4375</v>
      </c>
      <c r="G12" s="14">
        <v>0.48958333333333331</v>
      </c>
      <c r="H12" s="13">
        <v>0.3888888888888889</v>
      </c>
      <c r="I12" s="14">
        <v>0.42222222222222222</v>
      </c>
      <c r="J12" s="13">
        <v>0.46527777777777773</v>
      </c>
      <c r="K12" s="14">
        <v>0.54583333333333328</v>
      </c>
      <c r="L12" s="13">
        <v>0.4465277777777778</v>
      </c>
      <c r="M12" s="14">
        <v>0.48888888888888887</v>
      </c>
      <c r="N12" s="13"/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5"/>
    </row>
    <row r="13" spans="1:27" x14ac:dyDescent="0.25">
      <c r="A13">
        <f t="shared" si="1"/>
        <v>8</v>
      </c>
      <c r="B13" s="13">
        <v>0.42708333333333331</v>
      </c>
      <c r="C13" s="14">
        <v>0.48125000000000001</v>
      </c>
      <c r="D13" s="13">
        <v>0.4375</v>
      </c>
      <c r="E13" s="14">
        <v>0.47916666666666669</v>
      </c>
      <c r="F13" s="13"/>
      <c r="G13" s="14"/>
      <c r="H13" s="13"/>
      <c r="I13" s="14"/>
      <c r="J13" s="13">
        <v>0.42708333333333331</v>
      </c>
      <c r="K13" s="14">
        <v>0.47916666666666669</v>
      </c>
      <c r="L13" s="13">
        <v>0.42708333333333331</v>
      </c>
      <c r="M13" s="14">
        <v>0.53819444444444442</v>
      </c>
      <c r="N13" s="13">
        <v>0.41736111111111113</v>
      </c>
      <c r="O13" s="14">
        <v>0.4458333333333333</v>
      </c>
      <c r="P13" s="13"/>
      <c r="Q13" s="14"/>
      <c r="R13" s="13"/>
      <c r="S13" s="14"/>
      <c r="T13" s="13"/>
      <c r="U13" s="14"/>
      <c r="V13" s="13"/>
      <c r="W13" s="14"/>
      <c r="X13" s="13"/>
      <c r="Y13" s="14"/>
      <c r="Z13" s="13"/>
      <c r="AA13" s="15"/>
    </row>
    <row r="14" spans="1:27" x14ac:dyDescent="0.25">
      <c r="A14">
        <f t="shared" si="1"/>
        <v>9</v>
      </c>
      <c r="B14" s="13">
        <v>0.42708333333333331</v>
      </c>
      <c r="C14" s="14">
        <v>0.47569444444444442</v>
      </c>
      <c r="D14" s="13">
        <v>0.41666666666666669</v>
      </c>
      <c r="E14" s="14">
        <v>0.45833333333333331</v>
      </c>
      <c r="F14" s="13">
        <v>0.42708333333333331</v>
      </c>
      <c r="G14" s="14">
        <v>0.48125000000000001</v>
      </c>
      <c r="H14" s="13">
        <v>0.48680555555555555</v>
      </c>
      <c r="I14" s="14">
        <v>0.50347222222222221</v>
      </c>
      <c r="J14" s="13">
        <v>0.4826388888888889</v>
      </c>
      <c r="K14" s="14">
        <v>0.53402777777777777</v>
      </c>
      <c r="L14" s="13">
        <v>0.4381944444444445</v>
      </c>
      <c r="M14" s="14">
        <v>0.45416666666666666</v>
      </c>
      <c r="N14" s="13"/>
      <c r="O14" s="14"/>
      <c r="P14" s="13"/>
      <c r="Q14" s="14"/>
      <c r="R14" s="13"/>
      <c r="S14" s="14"/>
      <c r="T14" s="13"/>
      <c r="U14" s="14"/>
      <c r="V14" s="13"/>
      <c r="W14" s="14"/>
      <c r="X14" s="13"/>
      <c r="Y14" s="14"/>
      <c r="Z14" s="13"/>
      <c r="AA14" s="15"/>
    </row>
    <row r="15" spans="1:27" x14ac:dyDescent="0.25">
      <c r="A15">
        <f t="shared" si="1"/>
        <v>10</v>
      </c>
      <c r="B15" s="13">
        <v>0.43055555555555558</v>
      </c>
      <c r="C15" s="14">
        <v>0.48958333333333331</v>
      </c>
      <c r="D15" s="13">
        <v>0.40625</v>
      </c>
      <c r="E15" s="14">
        <v>0.48958333333333331</v>
      </c>
      <c r="F15" s="13">
        <v>0.42708333333333331</v>
      </c>
      <c r="G15" s="14">
        <v>0.47569444444444442</v>
      </c>
      <c r="H15" s="13">
        <v>0.44791666666666669</v>
      </c>
      <c r="I15" s="14">
        <v>0.48749999999999999</v>
      </c>
      <c r="J15" s="13">
        <v>0.45833333333333331</v>
      </c>
      <c r="K15" s="14">
        <v>0.55208333333333337</v>
      </c>
      <c r="L15" s="13"/>
      <c r="M15" s="14"/>
      <c r="N15" s="13"/>
      <c r="O15" s="14"/>
      <c r="P15" s="13"/>
      <c r="Q15" s="14"/>
      <c r="R15" s="13"/>
      <c r="S15" s="14"/>
      <c r="T15" s="13"/>
      <c r="U15" s="14"/>
      <c r="V15" s="13"/>
      <c r="W15" s="14"/>
      <c r="X15" s="13"/>
      <c r="Y15" s="14"/>
      <c r="Z15" s="13"/>
      <c r="AA15" s="15"/>
    </row>
    <row r="16" spans="1:27" x14ac:dyDescent="0.25">
      <c r="A16">
        <f t="shared" si="1"/>
        <v>11</v>
      </c>
      <c r="B16" s="13">
        <v>0.4375</v>
      </c>
      <c r="C16" s="14">
        <v>0.47916666666666669</v>
      </c>
      <c r="D16" s="13"/>
      <c r="E16" s="14"/>
      <c r="F16" s="13">
        <v>0.43055555555555558</v>
      </c>
      <c r="G16" s="14">
        <v>0.48958333333333331</v>
      </c>
      <c r="H16" s="13">
        <v>0.42638888888888887</v>
      </c>
      <c r="I16" s="14">
        <v>0.46111111111111108</v>
      </c>
      <c r="J16" s="13">
        <v>0.41180555555555554</v>
      </c>
      <c r="K16" s="14">
        <v>0.48958333333333331</v>
      </c>
      <c r="L16" s="13">
        <v>0.40625</v>
      </c>
      <c r="M16" s="14">
        <v>0.43055555555555558</v>
      </c>
      <c r="N16" s="13"/>
      <c r="O16" s="14"/>
      <c r="P16" s="13"/>
      <c r="Q16" s="14"/>
      <c r="R16" s="13"/>
      <c r="S16" s="14"/>
      <c r="T16" s="13"/>
      <c r="U16" s="14"/>
      <c r="V16" s="13"/>
      <c r="W16" s="14"/>
      <c r="X16" s="13"/>
      <c r="Y16" s="14"/>
      <c r="Z16" s="13"/>
      <c r="AA16" s="15"/>
    </row>
    <row r="17" spans="1:27" x14ac:dyDescent="0.25">
      <c r="A17">
        <f t="shared" si="1"/>
        <v>12</v>
      </c>
      <c r="B17" s="13">
        <v>0.40625</v>
      </c>
      <c r="C17" s="14">
        <v>0.45833333333333331</v>
      </c>
      <c r="D17" s="13">
        <v>0.47222222222222227</v>
      </c>
      <c r="E17" s="14">
        <v>0.51458333333333328</v>
      </c>
      <c r="F17" s="13">
        <v>0.4375</v>
      </c>
      <c r="G17" s="14">
        <v>0.47916666666666669</v>
      </c>
      <c r="H17" s="13">
        <v>0.44722222222222219</v>
      </c>
      <c r="I17" s="14">
        <v>0.4513888888888889</v>
      </c>
      <c r="J17" s="13"/>
      <c r="K17" s="14"/>
      <c r="L17" s="13">
        <v>0.39930555555555558</v>
      </c>
      <c r="M17" s="14">
        <v>0.4548611111111111</v>
      </c>
      <c r="N17" s="13"/>
      <c r="O17" s="14"/>
      <c r="P17" s="13"/>
      <c r="Q17" s="14"/>
      <c r="R17" s="13"/>
      <c r="S17" s="14"/>
      <c r="T17" s="13"/>
      <c r="U17" s="14"/>
      <c r="V17" s="13"/>
      <c r="W17" s="14"/>
      <c r="X17" s="13"/>
      <c r="Y17" s="14"/>
      <c r="Z17" s="13"/>
      <c r="AA17" s="15"/>
    </row>
    <row r="18" spans="1:27" x14ac:dyDescent="0.25">
      <c r="A18">
        <f t="shared" si="1"/>
        <v>13</v>
      </c>
      <c r="B18" s="13">
        <v>0.41666666666666669</v>
      </c>
      <c r="C18" s="14">
        <v>0.48958333333333331</v>
      </c>
      <c r="D18" s="13">
        <v>0.45763888888888887</v>
      </c>
      <c r="E18" s="14">
        <v>0.49027777777777781</v>
      </c>
      <c r="F18" s="13">
        <v>0.41666666666666669</v>
      </c>
      <c r="G18" s="14">
        <v>0.51041666666666663</v>
      </c>
      <c r="H18" s="13">
        <v>0.41666666666666669</v>
      </c>
      <c r="I18" s="14">
        <v>0.44444444444444442</v>
      </c>
      <c r="J18" s="13">
        <v>0.45833333333333331</v>
      </c>
      <c r="K18" s="14">
        <v>0.52430555555555558</v>
      </c>
      <c r="L18" s="13">
        <v>0.40625</v>
      </c>
      <c r="M18" s="14">
        <v>0.44444444444444442</v>
      </c>
      <c r="N18" s="13"/>
      <c r="O18" s="14"/>
      <c r="P18" s="13"/>
      <c r="Q18" s="14"/>
      <c r="R18" s="13"/>
      <c r="S18" s="14"/>
      <c r="T18" s="13"/>
      <c r="U18" s="14"/>
      <c r="V18" s="13"/>
      <c r="W18" s="14"/>
      <c r="X18" s="13"/>
      <c r="Y18" s="14"/>
      <c r="Z18" s="13"/>
      <c r="AA18" s="15"/>
    </row>
    <row r="19" spans="1:27" x14ac:dyDescent="0.25">
      <c r="A19">
        <f t="shared" si="1"/>
        <v>14</v>
      </c>
      <c r="B19" s="13"/>
      <c r="C19" s="14"/>
      <c r="D19" s="13">
        <v>0.46180555555555558</v>
      </c>
      <c r="E19" s="14">
        <v>0.53125</v>
      </c>
      <c r="F19" s="13">
        <v>0.41666666666666669</v>
      </c>
      <c r="G19" s="14">
        <v>0.48958333333333331</v>
      </c>
      <c r="H19" s="13">
        <v>0.4284722222222222</v>
      </c>
      <c r="I19" s="14">
        <v>0.51041666666666663</v>
      </c>
      <c r="J19" s="13">
        <v>0.4826388888888889</v>
      </c>
      <c r="K19" s="14">
        <v>0.51041666666666663</v>
      </c>
      <c r="L19" s="13"/>
      <c r="M19" s="14"/>
      <c r="N19" s="13"/>
      <c r="O19" s="14"/>
      <c r="P19" s="13"/>
      <c r="Q19" s="14"/>
      <c r="R19" s="13"/>
      <c r="S19" s="14"/>
      <c r="T19" s="13"/>
      <c r="U19" s="14"/>
      <c r="V19" s="13"/>
      <c r="W19" s="14"/>
      <c r="X19" s="13"/>
      <c r="Y19" s="14"/>
      <c r="Z19" s="13"/>
      <c r="AA19" s="15"/>
    </row>
    <row r="20" spans="1:27" x14ac:dyDescent="0.25">
      <c r="A20">
        <f t="shared" si="1"/>
        <v>15</v>
      </c>
      <c r="B20" s="13">
        <v>0.46180555555555558</v>
      </c>
      <c r="C20" s="14">
        <v>0.48958333333333331</v>
      </c>
      <c r="D20" s="13">
        <v>0.40625</v>
      </c>
      <c r="E20" s="14">
        <v>0.44097222222222227</v>
      </c>
      <c r="F20" s="13"/>
      <c r="G20" s="14"/>
      <c r="H20" s="13"/>
      <c r="I20" s="14"/>
      <c r="J20" s="13">
        <v>0.3979166666666667</v>
      </c>
      <c r="K20" s="14">
        <v>0.4548611111111111</v>
      </c>
      <c r="L20" s="13">
        <v>0.44791666666666669</v>
      </c>
      <c r="M20" s="14">
        <v>0.55277777777777781</v>
      </c>
      <c r="N20" s="13"/>
      <c r="O20" s="14"/>
      <c r="P20" s="13"/>
      <c r="Q20" s="14"/>
      <c r="R20" s="13"/>
      <c r="S20" s="14"/>
      <c r="T20" s="13"/>
      <c r="U20" s="14"/>
      <c r="V20" s="13"/>
      <c r="W20" s="14"/>
      <c r="X20" s="13"/>
      <c r="Y20" s="14"/>
      <c r="Z20" s="13"/>
      <c r="AA20" s="15"/>
    </row>
    <row r="21" spans="1:27" x14ac:dyDescent="0.25">
      <c r="A21">
        <f t="shared" si="1"/>
        <v>16</v>
      </c>
      <c r="B21" s="13">
        <v>0.46875</v>
      </c>
      <c r="C21" s="14">
        <v>0.52083333333333337</v>
      </c>
      <c r="D21" s="13"/>
      <c r="E21" s="14"/>
      <c r="F21" s="13">
        <v>0.4548611111111111</v>
      </c>
      <c r="G21" s="14">
        <v>0.48958333333333331</v>
      </c>
      <c r="H21" s="13">
        <v>0.42569444444444443</v>
      </c>
      <c r="I21" s="14">
        <v>0.45624999999999999</v>
      </c>
      <c r="J21" s="13">
        <v>0.47222222222222227</v>
      </c>
      <c r="K21" s="14">
        <v>0.50347222222222221</v>
      </c>
      <c r="L21" s="13">
        <v>0.42777777777777781</v>
      </c>
      <c r="M21" s="14">
        <v>0.47569444444444442</v>
      </c>
      <c r="N21" s="13"/>
      <c r="O21" s="14"/>
      <c r="P21" s="13"/>
      <c r="Q21" s="14"/>
      <c r="R21" s="13"/>
      <c r="S21" s="14"/>
      <c r="T21" s="13"/>
      <c r="U21" s="14"/>
      <c r="V21" s="13"/>
      <c r="W21" s="14"/>
      <c r="X21" s="13"/>
      <c r="Y21" s="14"/>
      <c r="Z21" s="13"/>
      <c r="AA21" s="15"/>
    </row>
    <row r="22" spans="1:27" x14ac:dyDescent="0.25">
      <c r="A22">
        <f t="shared" si="1"/>
        <v>17</v>
      </c>
      <c r="B22" s="13">
        <v>0.4548611111111111</v>
      </c>
      <c r="C22" s="14">
        <v>0.50347222222222221</v>
      </c>
      <c r="D22" s="13">
        <v>0.45763888888888887</v>
      </c>
      <c r="E22" s="14">
        <v>0.49027777777777781</v>
      </c>
      <c r="F22" s="13"/>
      <c r="G22" s="14"/>
      <c r="H22" s="13">
        <v>0.38541666666666669</v>
      </c>
      <c r="I22" s="14">
        <v>0.4548611111111111</v>
      </c>
      <c r="J22" s="13">
        <v>0.45833333333333331</v>
      </c>
      <c r="K22" s="14">
        <v>0.57986111111111105</v>
      </c>
      <c r="L22" s="13"/>
      <c r="M22" s="14"/>
      <c r="N22" s="13"/>
      <c r="O22" s="14"/>
      <c r="P22" s="13"/>
      <c r="Q22" s="14"/>
      <c r="R22" s="13"/>
      <c r="S22" s="14"/>
      <c r="T22" s="13"/>
      <c r="U22" s="14"/>
      <c r="V22" s="13"/>
      <c r="W22" s="14"/>
      <c r="X22" s="13"/>
      <c r="Y22" s="14"/>
      <c r="Z22" s="13"/>
      <c r="AA22" s="15"/>
    </row>
    <row r="23" spans="1:27" x14ac:dyDescent="0.25">
      <c r="A23">
        <f t="shared" si="1"/>
        <v>18</v>
      </c>
      <c r="B23" s="13">
        <v>0.4548611111111111</v>
      </c>
      <c r="C23" s="14">
        <v>0.48958333333333331</v>
      </c>
      <c r="D23" s="13"/>
      <c r="E23" s="14"/>
      <c r="F23" s="13">
        <v>0.4548611111111111</v>
      </c>
      <c r="G23" s="14">
        <v>0.48958333333333331</v>
      </c>
      <c r="H23" s="13">
        <v>0.46180555555555558</v>
      </c>
      <c r="I23" s="14">
        <v>0.52222222222222225</v>
      </c>
      <c r="J23" s="13">
        <v>0.42499999999999999</v>
      </c>
      <c r="K23" s="14">
        <v>0.4826388888888889</v>
      </c>
      <c r="L23" s="13">
        <v>0.42777777777777781</v>
      </c>
      <c r="M23" s="14">
        <v>0.45694444444444443</v>
      </c>
      <c r="N23" s="13"/>
      <c r="O23" s="14"/>
      <c r="P23" s="13"/>
      <c r="Q23" s="14"/>
      <c r="R23" s="13"/>
      <c r="S23" s="14"/>
      <c r="T23" s="13"/>
      <c r="U23" s="14"/>
      <c r="V23" s="13"/>
      <c r="W23" s="14"/>
      <c r="X23" s="13"/>
      <c r="Y23" s="14"/>
      <c r="Z23" s="13"/>
      <c r="AA23" s="15"/>
    </row>
    <row r="24" spans="1:27" x14ac:dyDescent="0.25">
      <c r="A24">
        <f t="shared" si="1"/>
        <v>19</v>
      </c>
      <c r="B24" s="13">
        <v>0.41319444444444442</v>
      </c>
      <c r="C24" s="14">
        <v>0.45833333333333331</v>
      </c>
      <c r="D24" s="13">
        <v>0.4548611111111111</v>
      </c>
      <c r="E24" s="14">
        <v>0.50347222222222221</v>
      </c>
      <c r="F24" s="13">
        <v>0.41319444444444442</v>
      </c>
      <c r="G24" s="14">
        <v>0.45833333333333331</v>
      </c>
      <c r="H24" s="13">
        <v>0.45555555555555555</v>
      </c>
      <c r="I24" s="14">
        <v>0.5180555555555556</v>
      </c>
      <c r="J24" s="13"/>
      <c r="K24" s="14"/>
      <c r="L24" s="13">
        <v>0.37152777777777773</v>
      </c>
      <c r="M24" s="14">
        <v>0.40138888888888885</v>
      </c>
      <c r="N24" s="13"/>
      <c r="O24" s="14"/>
      <c r="P24" s="13"/>
      <c r="Q24" s="14"/>
      <c r="R24" s="13"/>
      <c r="S24" s="14"/>
      <c r="T24" s="13"/>
      <c r="U24" s="14"/>
      <c r="V24" s="13"/>
      <c r="W24" s="14"/>
      <c r="X24" s="13"/>
      <c r="Y24" s="14"/>
      <c r="Z24" s="13"/>
      <c r="AA24" s="15"/>
    </row>
    <row r="25" spans="1:27" x14ac:dyDescent="0.25">
      <c r="A25">
        <f>+A24+1</f>
        <v>20</v>
      </c>
      <c r="B25" s="13">
        <v>0.37847222222222227</v>
      </c>
      <c r="C25" s="14">
        <v>0.40833333333333338</v>
      </c>
      <c r="D25" s="13">
        <v>0.45763888888888887</v>
      </c>
      <c r="E25" s="14">
        <v>0.49027777777777781</v>
      </c>
      <c r="F25" s="13">
        <v>0.4236111111111111</v>
      </c>
      <c r="G25" s="14">
        <v>0.53680555555555554</v>
      </c>
      <c r="H25" s="13"/>
      <c r="I25" s="14"/>
      <c r="J25" s="13">
        <v>0.48958333333333331</v>
      </c>
      <c r="K25" s="14">
        <v>0.55833333333333335</v>
      </c>
      <c r="L25" s="13">
        <v>0.39999999999999997</v>
      </c>
      <c r="M25" s="14">
        <v>0.42569444444444443</v>
      </c>
      <c r="N25" s="13"/>
      <c r="O25" s="14"/>
      <c r="P25" s="13"/>
      <c r="Q25" s="14"/>
      <c r="R25" s="13"/>
      <c r="S25" s="14"/>
      <c r="T25" s="13"/>
      <c r="U25" s="14"/>
      <c r="V25" s="13"/>
      <c r="W25" s="14"/>
      <c r="X25" s="13"/>
      <c r="Y25" s="14"/>
      <c r="Z25" s="13"/>
      <c r="AA25" s="15"/>
    </row>
    <row r="26" spans="1:27" x14ac:dyDescent="0.25">
      <c r="A26">
        <f t="shared" si="1"/>
        <v>21</v>
      </c>
      <c r="B26" s="13"/>
      <c r="C26" s="14"/>
      <c r="D26" s="13">
        <v>0.38541666666666669</v>
      </c>
      <c r="E26" s="14">
        <v>0.4375</v>
      </c>
      <c r="F26" s="13">
        <v>0.42708333333333331</v>
      </c>
      <c r="G26" s="14">
        <v>0.4770833333333333</v>
      </c>
      <c r="H26" s="13"/>
      <c r="I26" s="14"/>
      <c r="J26" s="13">
        <v>0.44097222222222227</v>
      </c>
      <c r="K26" s="14">
        <v>0.47222222222222227</v>
      </c>
      <c r="L26" s="13">
        <v>0.46388888888888885</v>
      </c>
      <c r="M26" s="14">
        <v>0.49444444444444446</v>
      </c>
      <c r="N26" s="13"/>
      <c r="O26" s="14"/>
      <c r="P26" s="13"/>
      <c r="Q26" s="14"/>
      <c r="R26" s="13"/>
      <c r="S26" s="14"/>
      <c r="T26" s="13"/>
      <c r="U26" s="14"/>
      <c r="V26" s="13"/>
      <c r="W26" s="14"/>
      <c r="X26" s="13"/>
      <c r="Y26" s="14"/>
      <c r="Z26" s="13"/>
      <c r="AA26" s="15"/>
    </row>
    <row r="27" spans="1:27" x14ac:dyDescent="0.25">
      <c r="A27">
        <f t="shared" si="1"/>
        <v>22</v>
      </c>
      <c r="B27" s="13">
        <v>0.44791666666666669</v>
      </c>
      <c r="C27" s="14">
        <v>0.46875</v>
      </c>
      <c r="D27" s="13">
        <v>0.44027777777777777</v>
      </c>
      <c r="E27" s="14">
        <v>0.48958333333333331</v>
      </c>
      <c r="F27" s="13"/>
      <c r="G27" s="14"/>
      <c r="H27" s="13"/>
      <c r="I27" s="14"/>
      <c r="J27" s="13">
        <v>0.44791666666666669</v>
      </c>
      <c r="K27" s="14">
        <v>0.47916666666666669</v>
      </c>
      <c r="L27" s="13">
        <v>0.42569444444444443</v>
      </c>
      <c r="M27" s="14">
        <v>0.4548611111111111</v>
      </c>
      <c r="N27" s="13"/>
      <c r="O27" s="14"/>
      <c r="P27" s="13"/>
      <c r="Q27" s="14"/>
      <c r="R27" s="13"/>
      <c r="S27" s="14"/>
      <c r="T27" s="13"/>
      <c r="U27" s="14"/>
      <c r="V27" s="13"/>
      <c r="W27" s="14"/>
      <c r="X27" s="13"/>
      <c r="Y27" s="14"/>
      <c r="Z27" s="13"/>
      <c r="AA27" s="15"/>
    </row>
    <row r="28" spans="1:27" x14ac:dyDescent="0.25">
      <c r="A28">
        <f t="shared" si="1"/>
        <v>23</v>
      </c>
      <c r="B28" s="13">
        <v>0.40972222222222227</v>
      </c>
      <c r="C28" s="14">
        <v>0.4826388888888889</v>
      </c>
      <c r="D28" s="13">
        <v>0.3888888888888889</v>
      </c>
      <c r="E28" s="14">
        <v>0.40902777777777777</v>
      </c>
      <c r="F28" s="13">
        <v>0.46875</v>
      </c>
      <c r="G28" s="14">
        <v>0.56597222222222221</v>
      </c>
      <c r="H28" s="13"/>
      <c r="I28" s="14"/>
      <c r="J28" s="13">
        <v>0.40763888888888888</v>
      </c>
      <c r="K28" s="14">
        <v>0.4381944444444445</v>
      </c>
      <c r="L28" s="13">
        <v>0.42708333333333331</v>
      </c>
      <c r="M28" s="14">
        <v>0.48194444444444445</v>
      </c>
      <c r="N28" s="13"/>
      <c r="O28" s="14"/>
      <c r="P28" s="13"/>
      <c r="Q28" s="14"/>
      <c r="R28" s="13"/>
      <c r="S28" s="14"/>
      <c r="T28" s="13"/>
      <c r="U28" s="14"/>
      <c r="V28" s="13"/>
      <c r="W28" s="14"/>
      <c r="X28" s="13"/>
      <c r="Y28" s="14"/>
      <c r="Z28" s="13"/>
      <c r="AA28" s="15"/>
    </row>
    <row r="29" spans="1:27" x14ac:dyDescent="0.25">
      <c r="A29">
        <f t="shared" si="1"/>
        <v>24</v>
      </c>
      <c r="B29" s="13">
        <v>0.37847222222222227</v>
      </c>
      <c r="C29" s="14">
        <v>0.41041666666666665</v>
      </c>
      <c r="D29" s="13">
        <v>0.3923611111111111</v>
      </c>
      <c r="E29" s="14">
        <v>0.43055555555555558</v>
      </c>
      <c r="F29" s="13">
        <v>0.39930555555555558</v>
      </c>
      <c r="G29" s="14">
        <v>0.42222222222222222</v>
      </c>
      <c r="H29" s="13"/>
      <c r="I29" s="14"/>
      <c r="J29" s="13">
        <v>0.45208333333333334</v>
      </c>
      <c r="K29" s="14">
        <v>0.53611111111111109</v>
      </c>
      <c r="L29" s="13"/>
      <c r="M29" s="14"/>
      <c r="N29" s="13"/>
      <c r="O29" s="14"/>
      <c r="P29" s="13"/>
      <c r="Q29" s="14"/>
      <c r="R29" s="13"/>
      <c r="S29" s="14"/>
      <c r="T29" s="13"/>
      <c r="U29" s="14"/>
      <c r="V29" s="13"/>
      <c r="W29" s="14"/>
      <c r="X29" s="13"/>
      <c r="Y29" s="14"/>
      <c r="Z29" s="13"/>
      <c r="AA29" s="15"/>
    </row>
    <row r="30" spans="1:27" x14ac:dyDescent="0.25">
      <c r="A30">
        <f t="shared" si="1"/>
        <v>25</v>
      </c>
      <c r="B30" s="14">
        <v>0.42708333333333331</v>
      </c>
      <c r="C30" s="14">
        <v>0.48958333333333331</v>
      </c>
      <c r="D30" s="14"/>
      <c r="E30" s="14"/>
      <c r="F30" s="14">
        <v>0.45416666666666666</v>
      </c>
      <c r="G30" s="14">
        <v>0.5444444444444444</v>
      </c>
      <c r="H30" s="14"/>
      <c r="I30" s="14"/>
      <c r="J30" s="14">
        <v>0.44930555555555557</v>
      </c>
      <c r="K30" s="14">
        <v>0.51041666666666663</v>
      </c>
      <c r="L30" s="14">
        <v>0.4548611111111111</v>
      </c>
      <c r="M30" s="14">
        <v>0.47569444444444442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 spans="1:27" x14ac:dyDescent="0.25">
      <c r="A31">
        <f t="shared" si="1"/>
        <v>26</v>
      </c>
      <c r="B31" s="14">
        <v>0.45833333333333331</v>
      </c>
      <c r="C31" s="14">
        <v>0.48125000000000001</v>
      </c>
      <c r="D31" s="14">
        <v>0.45</v>
      </c>
      <c r="E31" s="14">
        <v>0.54236111111111118</v>
      </c>
      <c r="F31" s="14">
        <v>0.42708333333333331</v>
      </c>
      <c r="G31" s="14">
        <v>0.54236111111111118</v>
      </c>
      <c r="H31" s="14">
        <v>0.46875</v>
      </c>
      <c r="I31" s="14">
        <v>0.52430555555555558</v>
      </c>
      <c r="J31" s="14"/>
      <c r="K31" s="14"/>
      <c r="L31" s="14">
        <v>0.41319444444444442</v>
      </c>
      <c r="M31" s="14">
        <v>0.4291666666666667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5"/>
    </row>
    <row r="32" spans="1:27" x14ac:dyDescent="0.25">
      <c r="A32">
        <f t="shared" si="1"/>
        <v>27</v>
      </c>
      <c r="B32" s="14">
        <v>0.4548611111111111</v>
      </c>
      <c r="C32" s="14">
        <v>0.47569444444444442</v>
      </c>
      <c r="D32" s="14">
        <v>0.42708333333333331</v>
      </c>
      <c r="E32" s="14">
        <v>0.46180555555555558</v>
      </c>
      <c r="F32" s="14">
        <v>0.4236111111111111</v>
      </c>
      <c r="G32" s="14">
        <v>0.55208333333333337</v>
      </c>
      <c r="H32" s="14">
        <v>0.38541666666666669</v>
      </c>
      <c r="I32" s="14">
        <v>0.53472222222222221</v>
      </c>
      <c r="J32" s="14">
        <v>0.4548611111111111</v>
      </c>
      <c r="K32" s="14">
        <v>0.49027777777777781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</row>
    <row r="33" spans="1:27" x14ac:dyDescent="0.25">
      <c r="A33">
        <f t="shared" si="1"/>
        <v>28</v>
      </c>
      <c r="B33" s="14"/>
      <c r="C33" s="14"/>
      <c r="D33" s="14">
        <v>0.45694444444444443</v>
      </c>
      <c r="E33" s="14">
        <v>0.50347222222222221</v>
      </c>
      <c r="F33" s="14">
        <v>0.4375</v>
      </c>
      <c r="G33" s="14">
        <v>0.51041666666666663</v>
      </c>
      <c r="H33" s="14">
        <v>0.44097222222222227</v>
      </c>
      <c r="I33" s="14">
        <v>0.51041666666666663</v>
      </c>
      <c r="J33" s="14">
        <v>0.39583333333333331</v>
      </c>
      <c r="K33" s="14">
        <v>0.42083333333333334</v>
      </c>
      <c r="L33" s="14">
        <v>0.43055555555555558</v>
      </c>
      <c r="M33" s="14">
        <v>0.45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5"/>
    </row>
    <row r="34" spans="1:27" x14ac:dyDescent="0.25">
      <c r="A34">
        <f t="shared" si="1"/>
        <v>29</v>
      </c>
      <c r="B34" s="14">
        <v>0.46875</v>
      </c>
      <c r="C34" s="14">
        <v>0.47916666666666669</v>
      </c>
      <c r="D34" s="14">
        <v>0.36458333333333331</v>
      </c>
      <c r="E34" s="14">
        <v>0.38611111111111113</v>
      </c>
      <c r="F34" s="14"/>
      <c r="G34" s="14"/>
      <c r="H34" s="14"/>
      <c r="I34" s="14"/>
      <c r="J34" s="14">
        <v>0.44236111111111115</v>
      </c>
      <c r="K34" s="14">
        <v>0.48055555555555557</v>
      </c>
      <c r="L34" s="14">
        <v>0.37847222222222227</v>
      </c>
      <c r="M34" s="14">
        <v>0.3840277777777778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/>
    </row>
    <row r="35" spans="1:27" x14ac:dyDescent="0.25">
      <c r="A35">
        <f t="shared" si="1"/>
        <v>30</v>
      </c>
      <c r="B35" s="14">
        <v>0.44791666666666669</v>
      </c>
      <c r="C35" s="14">
        <v>0.45833333333333331</v>
      </c>
      <c r="D35" s="14">
        <v>0.4201388888888889</v>
      </c>
      <c r="E35" s="14">
        <v>0.58402777777777781</v>
      </c>
      <c r="F35" s="14"/>
      <c r="G35" s="14"/>
      <c r="H35" s="14">
        <v>0.50277777777777777</v>
      </c>
      <c r="I35" s="14">
        <v>0.53749999999999998</v>
      </c>
      <c r="J35" s="14"/>
      <c r="K35" s="14"/>
      <c r="L35" s="14">
        <v>0.38750000000000001</v>
      </c>
      <c r="M35" s="14">
        <v>0.42222222222222222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</row>
    <row r="36" spans="1:27" x14ac:dyDescent="0.25">
      <c r="A36">
        <f t="shared" si="1"/>
        <v>31</v>
      </c>
      <c r="B36" s="14">
        <v>0.46180555555555558</v>
      </c>
      <c r="C36" s="14">
        <v>0.49652777777777773</v>
      </c>
      <c r="D36" s="14"/>
      <c r="E36" s="14"/>
      <c r="F36" s="14"/>
      <c r="G36" s="14"/>
      <c r="H36" s="14">
        <v>0.46180555555555558</v>
      </c>
      <c r="I36" s="14">
        <v>0.48958333333333331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5"/>
    </row>
    <row r="37" spans="1:27" x14ac:dyDescent="0.25">
      <c r="A37" t="s">
        <v>4</v>
      </c>
      <c r="B37" s="22">
        <f>SUBTOTAL(101,Table15[2])</f>
        <v>0.43546810699588473</v>
      </c>
      <c r="C37" s="22">
        <f>SUBTOTAL(101,Table15[3])</f>
        <v>0.47757201646090536</v>
      </c>
      <c r="D37" s="22">
        <f>SUBTOTAL(101,Table15[4])</f>
        <v>0.43144444444444446</v>
      </c>
      <c r="E37" s="22">
        <f>SUBTOTAL(101,Table15[5])</f>
        <v>0.48011111111111116</v>
      </c>
      <c r="F37" s="22">
        <f>SUBTOTAL(101,Table15[6])</f>
        <v>0.43242753623188412</v>
      </c>
      <c r="G37" s="22">
        <f>SUBTOTAL(101,Table15[7])</f>
        <v>0.50048309178743955</v>
      </c>
      <c r="H37" s="22">
        <f>SUBTOTAL(101,Table15[8])</f>
        <v>0.44166666666666665</v>
      </c>
      <c r="I37" s="22">
        <f>SUBTOTAL(101,Table15[9])</f>
        <v>0.49643308080808074</v>
      </c>
      <c r="J37" s="22">
        <f>SUBTOTAL(101,Table15[10])</f>
        <v>0.45144675925925926</v>
      </c>
      <c r="K37" s="22">
        <f>SUBTOTAL(101,Table15[11])</f>
        <v>0.50431134259259247</v>
      </c>
      <c r="L37" s="22">
        <f>SUBTOTAL(101,Table15[12])</f>
        <v>0.42167874396135263</v>
      </c>
      <c r="M37" s="22">
        <f>SUBTOTAL(101,Table15[13])</f>
        <v>0.46156400966183575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1">
        <f>SUBTOTAL(103,Table15[27])</f>
        <v>0</v>
      </c>
    </row>
  </sheetData>
  <mergeCells count="15">
    <mergeCell ref="A2:A4"/>
    <mergeCell ref="D3:E3"/>
    <mergeCell ref="F3:G3"/>
    <mergeCell ref="H3:I3"/>
    <mergeCell ref="J3:K3"/>
    <mergeCell ref="B2:AA2"/>
    <mergeCell ref="P3:Q3"/>
    <mergeCell ref="R3:S3"/>
    <mergeCell ref="T3:U3"/>
    <mergeCell ref="V3:W3"/>
    <mergeCell ref="X3:Y3"/>
    <mergeCell ref="Z3:AA3"/>
    <mergeCell ref="B3:C3"/>
    <mergeCell ref="L3:M3"/>
    <mergeCell ref="N3:O3"/>
  </mergeCells>
  <conditionalFormatting sqref="B6:B29">
    <cfRule type="cellIs" dxfId="96" priority="67" operator="equal">
      <formula>0</formula>
    </cfRule>
  </conditionalFormatting>
  <conditionalFormatting sqref="B6:C36">
    <cfRule type="cellIs" dxfId="95" priority="66" operator="equal">
      <formula>0</formula>
    </cfRule>
  </conditionalFormatting>
  <conditionalFormatting sqref="D12 D14:D23 D25:D29">
    <cfRule type="cellIs" dxfId="94" priority="65" operator="equal">
      <formula>0</formula>
    </cfRule>
  </conditionalFormatting>
  <conditionalFormatting sqref="D12:E12 D14:E23 D25:E36">
    <cfRule type="cellIs" dxfId="93" priority="64" operator="equal">
      <formula>0</formula>
    </cfRule>
  </conditionalFormatting>
  <conditionalFormatting sqref="F6:F11 F13 F20 F22 F25:F29">
    <cfRule type="cellIs" dxfId="92" priority="63" operator="equal">
      <formula>0</formula>
    </cfRule>
  </conditionalFormatting>
  <conditionalFormatting sqref="F6:G11 F13:G13 F20:G20 F22:G22 F25:G36">
    <cfRule type="cellIs" dxfId="91" priority="62" operator="equal">
      <formula>0</formula>
    </cfRule>
  </conditionalFormatting>
  <conditionalFormatting sqref="H6:H29">
    <cfRule type="cellIs" dxfId="90" priority="61" operator="equal">
      <formula>0</formula>
    </cfRule>
  </conditionalFormatting>
  <conditionalFormatting sqref="H6:I36">
    <cfRule type="cellIs" dxfId="89" priority="60" operator="equal">
      <formula>0</formula>
    </cfRule>
  </conditionalFormatting>
  <conditionalFormatting sqref="J6:J29">
    <cfRule type="cellIs" dxfId="88" priority="59" operator="equal">
      <formula>0</formula>
    </cfRule>
  </conditionalFormatting>
  <conditionalFormatting sqref="J6:K36">
    <cfRule type="cellIs" dxfId="87" priority="58" operator="equal">
      <formula>0</formula>
    </cfRule>
  </conditionalFormatting>
  <conditionalFormatting sqref="L6:L29">
    <cfRule type="cellIs" dxfId="86" priority="57" operator="equal">
      <formula>0</formula>
    </cfRule>
  </conditionalFormatting>
  <conditionalFormatting sqref="L6:M36">
    <cfRule type="cellIs" dxfId="85" priority="56" operator="equal">
      <formula>0</formula>
    </cfRule>
  </conditionalFormatting>
  <conditionalFormatting sqref="N6:N29">
    <cfRule type="cellIs" dxfId="84" priority="55" operator="equal">
      <formula>0</formula>
    </cfRule>
  </conditionalFormatting>
  <conditionalFormatting sqref="N6:O36">
    <cfRule type="cellIs" dxfId="83" priority="54" operator="equal">
      <formula>0</formula>
    </cfRule>
  </conditionalFormatting>
  <conditionalFormatting sqref="P6:P29">
    <cfRule type="cellIs" dxfId="82" priority="53" operator="equal">
      <formula>0</formula>
    </cfRule>
  </conditionalFormatting>
  <conditionalFormatting sqref="P6:Q36">
    <cfRule type="cellIs" dxfId="81" priority="52" operator="equal">
      <formula>0</formula>
    </cfRule>
  </conditionalFormatting>
  <conditionalFormatting sqref="R6:R29">
    <cfRule type="cellIs" dxfId="80" priority="51" operator="equal">
      <formula>0</formula>
    </cfRule>
  </conditionalFormatting>
  <conditionalFormatting sqref="R6:S36">
    <cfRule type="cellIs" dxfId="79" priority="50" operator="equal">
      <formula>0</formula>
    </cfRule>
  </conditionalFormatting>
  <conditionalFormatting sqref="T6:T29">
    <cfRule type="cellIs" dxfId="78" priority="49" operator="equal">
      <formula>0</formula>
    </cfRule>
  </conditionalFormatting>
  <conditionalFormatting sqref="T6:U36">
    <cfRule type="cellIs" dxfId="77" priority="48" operator="equal">
      <formula>0</formula>
    </cfRule>
  </conditionalFormatting>
  <conditionalFormatting sqref="V6:V29">
    <cfRule type="cellIs" dxfId="76" priority="47" operator="equal">
      <formula>0</formula>
    </cfRule>
  </conditionalFormatting>
  <conditionalFormatting sqref="V6:W36">
    <cfRule type="cellIs" dxfId="75" priority="46" operator="equal">
      <formula>0</formula>
    </cfRule>
  </conditionalFormatting>
  <conditionalFormatting sqref="X6:X29">
    <cfRule type="cellIs" dxfId="74" priority="45" operator="equal">
      <formula>0</formula>
    </cfRule>
  </conditionalFormatting>
  <conditionalFormatting sqref="X6:Y36">
    <cfRule type="cellIs" dxfId="73" priority="44" operator="equal">
      <formula>0</formula>
    </cfRule>
  </conditionalFormatting>
  <conditionalFormatting sqref="Z6:Z29">
    <cfRule type="cellIs" dxfId="72" priority="43" operator="equal">
      <formula>0</formula>
    </cfRule>
  </conditionalFormatting>
  <conditionalFormatting sqref="Z6:AA36">
    <cfRule type="cellIs" dxfId="71" priority="42" operator="equal">
      <formula>0</formula>
    </cfRule>
  </conditionalFormatting>
  <conditionalFormatting sqref="B5 D5 F5 H5 J5 L5 N5 P5 R5 T5 V5 X5 Z5">
    <cfRule type="cellIs" dxfId="70" priority="41" operator="equal">
      <formula>0</formula>
    </cfRule>
  </conditionalFormatting>
  <conditionalFormatting sqref="B5 D5 F5 H5 J5 L5 N5 P5 R5 T5 V5 X5 Z5">
    <cfRule type="cellIs" dxfId="69" priority="40" operator="equal">
      <formula>0</formula>
    </cfRule>
  </conditionalFormatting>
  <conditionalFormatting sqref="D6:D12">
    <cfRule type="cellIs" dxfId="68" priority="15" operator="equal">
      <formula>0</formula>
    </cfRule>
  </conditionalFormatting>
  <conditionalFormatting sqref="D6:D12">
    <cfRule type="cellIs" dxfId="67" priority="14" operator="equal">
      <formula>0</formula>
    </cfRule>
  </conditionalFormatting>
  <conditionalFormatting sqref="E6:E12">
    <cfRule type="cellIs" dxfId="66" priority="13" operator="equal">
      <formula>0</formula>
    </cfRule>
  </conditionalFormatting>
  <conditionalFormatting sqref="D13">
    <cfRule type="cellIs" dxfId="65" priority="12" operator="equal">
      <formula>0</formula>
    </cfRule>
  </conditionalFormatting>
  <conditionalFormatting sqref="D13:E13">
    <cfRule type="cellIs" dxfId="64" priority="11" operator="equal">
      <formula>0</formula>
    </cfRule>
  </conditionalFormatting>
  <conditionalFormatting sqref="D24">
    <cfRule type="cellIs" dxfId="63" priority="10" operator="equal">
      <formula>0</formula>
    </cfRule>
  </conditionalFormatting>
  <conditionalFormatting sqref="D24:E24">
    <cfRule type="cellIs" dxfId="62" priority="9" operator="equal">
      <formula>0</formula>
    </cfRule>
  </conditionalFormatting>
  <conditionalFormatting sqref="F12">
    <cfRule type="cellIs" dxfId="61" priority="8" operator="equal">
      <formula>0</formula>
    </cfRule>
  </conditionalFormatting>
  <conditionalFormatting sqref="F12:G12">
    <cfRule type="cellIs" dxfId="60" priority="7" operator="equal">
      <formula>0</formula>
    </cfRule>
  </conditionalFormatting>
  <conditionalFormatting sqref="F14:F19">
    <cfRule type="cellIs" dxfId="59" priority="6" operator="equal">
      <formula>0</formula>
    </cfRule>
  </conditionalFormatting>
  <conditionalFormatting sqref="F14:G19">
    <cfRule type="cellIs" dxfId="58" priority="5" operator="equal">
      <formula>0</formula>
    </cfRule>
  </conditionalFormatting>
  <conditionalFormatting sqref="F21">
    <cfRule type="cellIs" dxfId="57" priority="4" operator="equal">
      <formula>0</formula>
    </cfRule>
  </conditionalFormatting>
  <conditionalFormatting sqref="F21:G21">
    <cfRule type="cellIs" dxfId="56" priority="3" operator="equal">
      <formula>0</formula>
    </cfRule>
  </conditionalFormatting>
  <conditionalFormatting sqref="F23:F24">
    <cfRule type="cellIs" dxfId="55" priority="2" operator="equal">
      <formula>0</formula>
    </cfRule>
  </conditionalFormatting>
  <conditionalFormatting sqref="F23:G24">
    <cfRule type="cellIs" dxfId="54" priority="1" operator="equal">
      <formula>0</formula>
    </cfRule>
  </conditionalFormatting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S. A. K</dc:creator>
  <cp:lastModifiedBy>Tri S. A. K</cp:lastModifiedBy>
  <dcterms:created xsi:type="dcterms:W3CDTF">2025-02-10T07:36:35Z</dcterms:created>
  <dcterms:modified xsi:type="dcterms:W3CDTF">2026-06-08T03:42:06Z</dcterms:modified>
</cp:coreProperties>
</file>