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480" windowWidth="20115" windowHeight="6120" firstSheet="1" activeTab="1"/>
  </bookViews>
  <sheets>
    <sheet name="KPI" sheetId="4" state="hidden" r:id="rId1"/>
    <sheet name="Retur" sheetId="97" r:id="rId2"/>
    <sheet name="PL" sheetId="94" r:id="rId3"/>
    <sheet name="Program" sheetId="96" r:id="rId4"/>
    <sheet name="BACK UP" sheetId="95" r:id="rId5"/>
    <sheet name="Olah Data Penjualan" sheetId="92" r:id="rId6"/>
    <sheet name="BONUS" sheetId="93" r:id="rId7"/>
  </sheets>
  <externalReferences>
    <externalReference r:id="rId8"/>
    <externalReference r:id="rId9"/>
  </externalReferences>
  <definedNames>
    <definedName name="_xlnm._FilterDatabase" localSheetId="2" hidden="1">PL!$A$1:$O$449</definedName>
    <definedName name="_xlnm._FilterDatabase" localSheetId="1" hidden="1">Retur!#REF!</definedName>
    <definedName name="Progresit" localSheetId="4">'[1]PROGRES TUGAS IT 2020'!$B$3:$L$215</definedName>
    <definedName name="Progresit" localSheetId="2">'[1]PROGRES TUGAS IT 2020'!$B$3:$L$215</definedName>
    <definedName name="Progresit" localSheetId="3">'[1]PROGRES TUGAS IT 2020'!$B$3:$L$215</definedName>
    <definedName name="Progresit" localSheetId="1">'[1]PROGRES TUGAS IT 2020'!$B$3:$L$215</definedName>
    <definedName name="Progresit">'[2]PROGRES TUGAS IT 2020'!$B$3:$L$215</definedName>
    <definedName name="sortsummary" localSheetId="6">#REF!</definedName>
    <definedName name="sortsummary" localSheetId="5">#REF!</definedName>
    <definedName name="sortsummary">#REF!</definedName>
  </definedNames>
  <calcPr calcId="144525"/>
</workbook>
</file>

<file path=xl/calcChain.xml><?xml version="1.0" encoding="utf-8"?>
<calcChain xmlns="http://schemas.openxmlformats.org/spreadsheetml/2006/main">
  <c r="N27" i="94" l="1"/>
  <c r="K32" i="97" l="1"/>
  <c r="K4" i="97"/>
  <c r="K31" i="97"/>
  <c r="K30" i="97"/>
  <c r="K29" i="97"/>
  <c r="K28" i="97"/>
  <c r="K27" i="97"/>
  <c r="K26" i="97"/>
  <c r="K25" i="97"/>
  <c r="K24" i="97"/>
  <c r="K23" i="97"/>
  <c r="K17" i="97"/>
  <c r="K16" i="97"/>
  <c r="K15" i="97"/>
  <c r="K14" i="97"/>
  <c r="K13" i="97"/>
  <c r="K12" i="97"/>
  <c r="K11" i="97"/>
  <c r="K8" i="97"/>
  <c r="K7" i="97"/>
  <c r="D20" i="96" l="1"/>
  <c r="F20" i="92" l="1"/>
  <c r="L174" i="4" l="1"/>
  <c r="L175" i="4" s="1"/>
  <c r="I171" i="4"/>
  <c r="L167" i="4"/>
  <c r="L168" i="4" s="1"/>
  <c r="I164" i="4"/>
  <c r="H148" i="4"/>
  <c r="I148" i="4" s="1"/>
  <c r="I120" i="4"/>
  <c r="I109" i="4"/>
  <c r="I98" i="4"/>
  <c r="I88" i="4"/>
  <c r="I76" i="4"/>
  <c r="I62" i="4"/>
  <c r="I54" i="4"/>
  <c r="I44" i="4"/>
  <c r="I37" i="4"/>
  <c r="I26" i="4"/>
  <c r="O25" i="4"/>
  <c r="Q24" i="4"/>
  <c r="I18" i="4"/>
  <c r="O16" i="4"/>
  <c r="H34" i="4" l="1"/>
  <c r="P13" i="4" s="1"/>
  <c r="Q13" i="4" s="1"/>
  <c r="H177" i="4"/>
  <c r="P15" i="4" s="1"/>
  <c r="Q15" i="4" s="1"/>
  <c r="H129" i="4"/>
  <c r="P23" i="4" s="1"/>
  <c r="Q23" i="4" s="1"/>
  <c r="H71" i="4"/>
  <c r="P22" i="4" s="1"/>
  <c r="Q22" i="4" s="1"/>
  <c r="H95" i="4"/>
  <c r="P14" i="4" s="1"/>
  <c r="Q14" i="4" s="1"/>
  <c r="Q16" i="4" l="1"/>
  <c r="Q19" i="4" s="1"/>
  <c r="Q25" i="4"/>
  <c r="Q28" i="4" s="1"/>
  <c r="P31" i="4" l="1"/>
  <c r="P33" i="4" s="1"/>
</calcChain>
</file>

<file path=xl/sharedStrings.xml><?xml version="1.0" encoding="utf-8"?>
<sst xmlns="http://schemas.openxmlformats.org/spreadsheetml/2006/main" count="1037" uniqueCount="712">
  <si>
    <t>DETAIL</t>
  </si>
  <si>
    <t>Nama Karyawan</t>
  </si>
  <si>
    <t>Wahyu Arif Prasetyo</t>
  </si>
  <si>
    <t>Atasan langsung</t>
  </si>
  <si>
    <t>Diana Wulandari</t>
  </si>
  <si>
    <t>Penilai Tambahan</t>
  </si>
  <si>
    <t>Annelia Kartika</t>
  </si>
  <si>
    <t>Tanggal pembuatan</t>
  </si>
  <si>
    <t>Tanggal review triwulan</t>
  </si>
  <si>
    <t>Januari 2020</t>
  </si>
  <si>
    <t>Tanggal review akhir tahun</t>
  </si>
  <si>
    <t>Tujuan - tujuan individu</t>
  </si>
  <si>
    <t>Kapan</t>
  </si>
  <si>
    <r>
      <t xml:space="preserve">Meningkatkan Performa IT </t>
    </r>
    <r>
      <rPr>
        <b/>
        <u/>
        <sz val="10"/>
        <color theme="1"/>
        <rFont val="Arial"/>
        <family val="2"/>
      </rPr>
      <t xml:space="preserve">(BOBOT 40%) </t>
    </r>
  </si>
  <si>
    <t>poor</t>
  </si>
  <si>
    <t>&lt;90</t>
  </si>
  <si>
    <t>WHAT</t>
  </si>
  <si>
    <t>BOBOT</t>
  </si>
  <si>
    <t>Penilaian Bersama</t>
  </si>
  <si>
    <t>NILAI KPI</t>
  </si>
  <si>
    <t>good</t>
  </si>
  <si>
    <t>90-100</t>
  </si>
  <si>
    <t>Meningkatkan performa IT</t>
  </si>
  <si>
    <t>Verygood</t>
  </si>
  <si>
    <t>&gt;100-110</t>
  </si>
  <si>
    <t>Penyelesaian pembuatan/pengembangan program</t>
  </si>
  <si>
    <t>Excelent</t>
  </si>
  <si>
    <t>Kedisiplinan</t>
  </si>
  <si>
    <t>What:</t>
  </si>
  <si>
    <t>Indikator</t>
  </si>
  <si>
    <t>TOTAL NILAI</t>
  </si>
  <si>
    <t xml:space="preserve">Membuat aplikasi sederhana untuk mendukung efektifitas pekerjaan departemen lain, (inisiatif baru harus dapat approval dari kadep dan direktur ) Target Minimal 2 aplikasi baru dalam setahun. (60%)
</t>
  </si>
  <si>
    <t>Nilai</t>
  </si>
  <si>
    <t>What 1 tercapai</t>
  </si>
  <si>
    <t>Applikasi</t>
  </si>
  <si>
    <t>NILAI WHAT</t>
  </si>
  <si>
    <t>HOW</t>
  </si>
  <si>
    <t>Hasil :</t>
  </si>
  <si>
    <t>Sudah ada 4 aplikasi yang di buat (data terlampir 1/1)</t>
  </si>
  <si>
    <t>Efektifitas SOP IT. Target dalam 1 tahun minimal 6 SOP dan 100% dijalankan tanpa pelanggaran (40%)</t>
  </si>
  <si>
    <t>What 2 tercapai</t>
  </si>
  <si>
    <t>Sop</t>
  </si>
  <si>
    <t>2020 ada 8 SOP yang sdh dibuat. Dan semuanya sdh dijalankan, sd saat ini blm ada pelanggaran ( data SOP terlampir 1.2 )</t>
  </si>
  <si>
    <t>NILAI TOTAL KPI</t>
  </si>
  <si>
    <t>WHAT + HOW</t>
  </si>
  <si>
    <t>Summary</t>
  </si>
  <si>
    <t>TOTAL WHAT</t>
  </si>
  <si>
    <t>How</t>
  </si>
  <si>
    <t>Koordinasi dengan masing2 kadep tentang permasalahn IT dan system yg bisa dibantu. Minimal sebulan 1X ditunjukkan dg Form Koordinasi (25%)</t>
  </si>
  <si>
    <t>How 1 tercapai</t>
  </si>
  <si>
    <t>Koordinasi</t>
  </si>
  <si>
    <t>Untuk kordinasi 8 kita sudah jalan dan form koordinasi  (lampiran 1.3)</t>
  </si>
  <si>
    <t>Membuat Planing Project Aplikasi, Nama aplikasi, tujuan, pemakai &amp; timeline utk di ttd atasan dan Direktur. Sbg start pengerjaan. Max H+3 setelah pesanan atau inisiatif disampaikan.(30%)</t>
  </si>
  <si>
    <t>How 2 tercapai</t>
  </si>
  <si>
    <t>1 (98)</t>
  </si>
  <si>
    <t>H+</t>
  </si>
  <si>
    <t>Membuat Planing Project dan untuk timeline masih 1 (multiprice) (Lampiran 1.4)</t>
  </si>
  <si>
    <t>Mereview SOP yang sudah ada, supervisi apakah sudah dijalankan. Minimal dalam 1 bulan melakukan Supervisi 2 SOP, dan dilaporkan kpd atasan dalam bentuk laporan checklist (25%)</t>
  </si>
  <si>
    <t>SOP</t>
  </si>
  <si>
    <t>SOP sudah di jalankan untuk check list (Lampiran 1.2)</t>
  </si>
  <si>
    <t>Membuat SOP baru minimal YTD dalam 1 tahun 6 SOP baru (20%)</t>
  </si>
  <si>
    <t>9 SOP yang sdh dibuat. Dan semuanya sdh dijalankan ( data SOP terlampir 1.2 )</t>
  </si>
  <si>
    <t>TOTAL HOW</t>
  </si>
  <si>
    <r>
      <t>Penyelesaian Pembuatan/Pengembangan Program (pesenan dari kadep)</t>
    </r>
    <r>
      <rPr>
        <u/>
        <sz val="10"/>
        <color rgb="FF002060"/>
        <rFont val="Arial"/>
        <family val="2"/>
      </rPr>
      <t xml:space="preserve"> </t>
    </r>
    <r>
      <rPr>
        <b/>
        <u/>
        <sz val="10"/>
        <color rgb="FF002060"/>
        <rFont val="Arial"/>
        <family val="2"/>
      </rPr>
      <t>(</t>
    </r>
    <r>
      <rPr>
        <b/>
        <u/>
        <sz val="10"/>
        <color rgb="FF548DD4"/>
        <rFont val="Arial"/>
        <family val="2"/>
      </rPr>
      <t>BOBOT 40%)</t>
    </r>
  </si>
  <si>
    <t>What :</t>
  </si>
  <si>
    <t xml:space="preserve">Target Waktu Pembuatan Program selesai pada tanggal  yang telah di sepekati di Meeting management ( Bobot 60%)
Nilai bisa diatas 100 jika 100% selesai sebelum tgl yg disepakati 
Target Waktu Pembuatan Program selesai pada tanggal  yang telah di sepekati di Meeting management ( Bobot 60%) Nilai bisa diatas 100 jika 100% selesai sebelum tgl yg disepakati 
</t>
  </si>
  <si>
    <t>100% selesai , setiap penyelesaian lbh awal +5 point, berlaku kelipatan'</t>
  </si>
  <si>
    <t>100% selesai sesuai tgl = 100</t>
  </si>
  <si>
    <t>Dari data yg terlampir pembuatan program sudah sesuai dengan yg di sepakati / terkecuali yang ada tambahan saat program selesai
13 Program  (lampiran 1.6)</t>
  </si>
  <si>
    <t>Jika ada yg tidak selesai sesuai tgl target, nilai -5 point, berlaku kelipatan</t>
  </si>
  <si>
    <t xml:space="preserve">Program bisa diaplikasikan dan mendapat konfirmasi tertulis dari user.
Target 100% sdh bisa diaplikasikan. ( Bobot 40% )
Nilai bisa diatas 100 jika 100% bisa diaplikasikan dan tanpa Bug
</t>
  </si>
  <si>
    <t>100% diaplikasikan tanpa Bug  = 110</t>
  </si>
  <si>
    <t>100% terselesaikan = 100</t>
  </si>
  <si>
    <t>Setiap program yg blm bisa diaplikasikan -5 point, berlaku kelipatan</t>
  </si>
  <si>
    <t xml:space="preserve">13 Program sudah berjalan (lampiran 1.6) dan konfrim tertulis (lampiran bukti) </t>
  </si>
  <si>
    <t>Mengupdate data progress project semua pekerjaan pembuatan/pengembangan program. Yang dilaporkan ke atasan setiap bulan max H+5 (40%)</t>
  </si>
  <si>
    <t>H+0</t>
  </si>
  <si>
    <t>H+1</t>
  </si>
  <si>
    <t>H+2</t>
  </si>
  <si>
    <t xml:space="preserve">Pengembangan program terus berjalan akan tetapi laporan untuk atasan belum update </t>
  </si>
  <si>
    <t>H+3</t>
  </si>
  <si>
    <t>H+4</t>
  </si>
  <si>
    <t>H+5</t>
  </si>
  <si>
    <t>H+6</t>
  </si>
  <si>
    <t>H+7</t>
  </si>
  <si>
    <t>H+8</t>
  </si>
  <si>
    <t>Membuat time line pembuatan program atau pengembangan program yang dilaporkan sebulan sekali. Max H+5 (30%)</t>
  </si>
  <si>
    <t>Timeline untuk MultiPrice  (Contoh sheet TimeLine MultiPrice)</t>
  </si>
  <si>
    <t>Maintenance program, memastikan semua program yang sudah jalan, bisa berjalan dengan baik, dg membuat laporan kondisi program terupdate. Max H+5 bulan berikutnya (30%)</t>
  </si>
  <si>
    <t xml:space="preserve"> </t>
  </si>
  <si>
    <t>Penurunan biaya pemeliharaan Inventaris yg berhub dg IT (BOBOT 20%) Rencana ditambahkan di KPI 2021</t>
  </si>
  <si>
    <t>Biaya pemeliharaan inventaris IT menurun 5% dari tahun 2019 (100%)</t>
  </si>
  <si>
    <t>Melakukan control Perangkat Komputer Karyawan sesuai jadwal yang sudah ditetapkan. Minimal 1 Bulan semua PC 100% terkontrol</t>
  </si>
  <si>
    <t>Kedisiplinan Bobot 20%</t>
  </si>
  <si>
    <t>Absensi 70%</t>
  </si>
  <si>
    <t>Sisa Cuti</t>
  </si>
  <si>
    <t>Hasil:</t>
  </si>
  <si>
    <t>Absen Sakit</t>
  </si>
  <si>
    <t>Absen 1 dst nilai -5</t>
  </si>
  <si>
    <t>Briefing Pagi 20%</t>
  </si>
  <si>
    <t>Tidak ikut Briefing dan kelipatannya -2.5</t>
  </si>
  <si>
    <t>Tdk ikut briefing 1X start Oktober</t>
  </si>
  <si>
    <t>Senam Pagi 10%</t>
  </si>
  <si>
    <t>Tidak ikut senam pagi dan kelipatannya -2.5</t>
  </si>
  <si>
    <t>Selalu ikut senam pagi start Oktober</t>
  </si>
  <si>
    <r>
      <t xml:space="preserve">Komentar Karyawan:  </t>
    </r>
    <r>
      <rPr>
        <sz val="10"/>
        <rFont val="Arial"/>
        <family val="2"/>
      </rPr>
      <t>Berikan kesimpulan secara keseluruhan dari performance/kinerja anda tahun ini dan komentar-komentar tambahan jika ada.</t>
    </r>
  </si>
  <si>
    <r>
      <t xml:space="preserve">Komentar atasan langsung: </t>
    </r>
    <r>
      <rPr>
        <sz val="10"/>
        <rFont val="Arial"/>
        <family val="2"/>
      </rPr>
      <t>Berikan kesimpulan secara keseluruhan dari performance/kinerja bawahan anda tahun ini dan komentar-komentar tambahan jika ada</t>
    </r>
  </si>
  <si>
    <t>Nilai Kinerja/Performance secara keseluruhan</t>
  </si>
  <si>
    <t>What</t>
  </si>
  <si>
    <t>Biasa</t>
  </si>
  <si>
    <t>Baik</t>
  </si>
  <si>
    <t>Sangat Baik</t>
  </si>
  <si>
    <t>APPROVAL</t>
  </si>
  <si>
    <t>Karyawan :</t>
  </si>
  <si>
    <t>Atasan Langsung :</t>
  </si>
  <si>
    <t>Level Manager Berikutnya</t>
  </si>
  <si>
    <t>Tanggal</t>
  </si>
  <si>
    <t>Nama Barang</t>
  </si>
  <si>
    <t>Jumlah Item</t>
  </si>
  <si>
    <t>Terima info</t>
  </si>
  <si>
    <t>Harga Update</t>
  </si>
  <si>
    <t>Durasi per barang (menit)</t>
  </si>
  <si>
    <t>Note</t>
  </si>
  <si>
    <t>Cek Pertama</t>
  </si>
  <si>
    <t>Selesai Cek harga s/d laporan</t>
  </si>
  <si>
    <t>√</t>
  </si>
  <si>
    <t>Cek Program</t>
  </si>
  <si>
    <t>Tanggal Terima</t>
  </si>
  <si>
    <t>Jumlah Program</t>
  </si>
  <si>
    <t>Program ke Admin Stok</t>
  </si>
  <si>
    <t>Durasi max H+0</t>
  </si>
  <si>
    <t>No</t>
  </si>
  <si>
    <t>Nama Toko</t>
  </si>
  <si>
    <t>Tgl Distribusi</t>
  </si>
  <si>
    <t>Rata2</t>
  </si>
  <si>
    <t>Point</t>
  </si>
  <si>
    <t>No Retur</t>
  </si>
  <si>
    <t>Retur</t>
  </si>
  <si>
    <t>Merdeka Tani/Sugiono</t>
  </si>
  <si>
    <t xml:space="preserve">HOW : </t>
  </si>
  <si>
    <t>Ambil &amp; Mengolah data penjualan dari admin Penjualan Max Tgl 20 bulan berikutnya</t>
  </si>
  <si>
    <t>Tahun 2025</t>
  </si>
  <si>
    <t>BULAN</t>
  </si>
  <si>
    <t>Dewi</t>
  </si>
  <si>
    <t>Ket</t>
  </si>
  <si>
    <t>Mengolah Data Penjualan</t>
  </si>
  <si>
    <t>Tercapai (Hari)</t>
  </si>
  <si>
    <t>Penyerahan data Kpd Adm. Pajak U/ Efaktur</t>
  </si>
  <si>
    <t>KET</t>
  </si>
  <si>
    <t>Tgl 20 Tiap Bulan</t>
  </si>
  <si>
    <t xml:space="preserve">NO. </t>
  </si>
  <si>
    <t>NAMA FILE</t>
  </si>
  <si>
    <t>Alamat Email &amp; Kirim Faktur Pajak</t>
  </si>
  <si>
    <t>P</t>
  </si>
  <si>
    <t>Kartu NPWP/ KTP Asli</t>
  </si>
  <si>
    <t>Kwitansi Bermaterai</t>
  </si>
  <si>
    <t>PL Cek Harga</t>
  </si>
  <si>
    <t>Pricelist New sekali 1</t>
  </si>
  <si>
    <t>Rumus Barang QTY FIXXXX</t>
  </si>
  <si>
    <t>Expotan</t>
  </si>
  <si>
    <t>Cek Harga 2025 - SMT 2</t>
  </si>
  <si>
    <t>Daftar ACC Harga 2025</t>
  </si>
  <si>
    <t>KET.  LPB &amp; SPR</t>
  </si>
  <si>
    <t>Durasi H+</t>
  </si>
  <si>
    <t>Rata-Rata</t>
  </si>
  <si>
    <t>Tercapai (H+)</t>
  </si>
  <si>
    <t>Selesai Rekap  Data Penj. u/Upload E Faktur</t>
  </si>
  <si>
    <t>5 Okt libur</t>
  </si>
  <si>
    <t>Input data tambahan dari Pembelian atas bonus / transksi lain- lain yang perlu diterbitkan Faktur Pajaknya</t>
  </si>
  <si>
    <t>NO.</t>
  </si>
  <si>
    <t>Customer</t>
  </si>
  <si>
    <t>Rekap Data Bonus/Transaksi Lain-Lain</t>
  </si>
  <si>
    <t>Januari 2025</t>
  </si>
  <si>
    <t>Yudianto Sastrodiarjo</t>
  </si>
  <si>
    <t>CV. Sarana Tani Makmur</t>
  </si>
  <si>
    <t>PT. Mitra Indotani Abadi</t>
  </si>
  <si>
    <t>Februari 2025</t>
  </si>
  <si>
    <t>Dedik Susianto</t>
  </si>
  <si>
    <t>Maret 2025</t>
  </si>
  <si>
    <t>Sedulur Tani/Eko Galih</t>
  </si>
  <si>
    <t>Tani Sukses/Muklis, H</t>
  </si>
  <si>
    <t>Podo Tani/Supri</t>
  </si>
  <si>
    <t>Koko Tani</t>
  </si>
  <si>
    <t>Mujahidin Delapan, UD</t>
  </si>
  <si>
    <t>Prima Tani/Candra Sanjaya</t>
  </si>
  <si>
    <t>Kumpul Tani/Hendro</t>
  </si>
  <si>
    <t>Al Badar/Badar, H</t>
  </si>
  <si>
    <t>Sugeng Makmur, Toko</t>
  </si>
  <si>
    <t>Enggal Unggul</t>
  </si>
  <si>
    <t>April</t>
  </si>
  <si>
    <t>Juni</t>
  </si>
  <si>
    <t>Ghufron</t>
  </si>
  <si>
    <t>September</t>
  </si>
  <si>
    <t>Perli Heru Basuki</t>
  </si>
  <si>
    <t>Willyadi</t>
  </si>
  <si>
    <t>Petrokimia Kayaku, PT</t>
  </si>
  <si>
    <t>Jasa Pembuatan Sarana Promosi Film, Iklan</t>
  </si>
  <si>
    <t>Jual Kendraan</t>
  </si>
  <si>
    <t>Oktober</t>
  </si>
  <si>
    <t>Bumi Jaya, UD/Farida</t>
  </si>
  <si>
    <t>Serba Hasil/Ansori</t>
  </si>
  <si>
    <t>Insentif Program PT. Agri Makmur Pertiwi</t>
  </si>
  <si>
    <t>Terima Lampiran Bonus/Transaksi Lain-Lain</t>
  </si>
  <si>
    <t>geser November</t>
  </si>
  <si>
    <t>PL Khusus</t>
  </si>
  <si>
    <t>No LPB</t>
  </si>
  <si>
    <t>Tgl Fak Retur</t>
  </si>
  <si>
    <t>No. Faktur</t>
  </si>
  <si>
    <t>Kategori</t>
  </si>
  <si>
    <t>2 Nov libur</t>
  </si>
  <si>
    <t>7 Des libur</t>
  </si>
  <si>
    <t>Backup data di Kiuserver 2026</t>
  </si>
  <si>
    <t>1 &amp; 4 Januari libur</t>
  </si>
  <si>
    <t>Mesin Cuci Sharp</t>
  </si>
  <si>
    <t>Tani Maju, TK / Samsuni</t>
  </si>
  <si>
    <t>Jasa Perantara dan/atau Keagenan</t>
  </si>
  <si>
    <t>Bina Guna Kimia, PT</t>
  </si>
  <si>
    <t>Donasi Extravaganza 2025</t>
  </si>
  <si>
    <t>pending</t>
  </si>
  <si>
    <t xml:space="preserve">Agromanna Jaya Lestari, PT </t>
  </si>
  <si>
    <t>Desember</t>
  </si>
  <si>
    <t>Format Faktur Pajak 2026</t>
  </si>
  <si>
    <t>1 &amp; 8 Feb minggu</t>
  </si>
  <si>
    <t>1 &amp; 8 Mar minggu</t>
  </si>
  <si>
    <t>Bawang Bahana 12 X 10 X 20 gr</t>
  </si>
  <si>
    <t>Bayam Amarin 30 X 500 gr</t>
  </si>
  <si>
    <t>Bayam Amarin 90 X 100 gr</t>
  </si>
  <si>
    <t>Bayam Belang 30 X 500 gr</t>
  </si>
  <si>
    <t>Bayam Belang 35 X 500 gr</t>
  </si>
  <si>
    <t>Bayam Belang 90 X 100 gr</t>
  </si>
  <si>
    <t>Bayam Red 30 X 500 gr</t>
  </si>
  <si>
    <t>Bayam Red 500 gr</t>
  </si>
  <si>
    <t>Bayam Red 90 X 100 gr</t>
  </si>
  <si>
    <t>Blewah Blaster F1 12 X 15 X 15 gr</t>
  </si>
  <si>
    <t>Buncis Elastis 30 X 500 gr</t>
  </si>
  <si>
    <t>Buncis Elastis 90 X 100 gr</t>
  </si>
  <si>
    <t>Buncis Grand Bayu 30 X 500 gr</t>
  </si>
  <si>
    <t>Buncis Grand Bayu 90 X 100 gr</t>
  </si>
  <si>
    <t>Cabe Balebat F1 12 X 15 X 10 gr</t>
  </si>
  <si>
    <t>Cabe Darmais F1 12 X 15 X 10 gr</t>
  </si>
  <si>
    <t>Cabe Genie 12 X 15 X 10 gr</t>
  </si>
  <si>
    <t>Cabe Hagan F1 12 X 15 X 10 gr</t>
  </si>
  <si>
    <t>Cabe Kara F1 12 X 15 X 10 gr</t>
  </si>
  <si>
    <t>Cabe Prentul 12 X 15 X 10 gr</t>
  </si>
  <si>
    <t>Cabe Sigantung 12 X 15 X 10 gr</t>
  </si>
  <si>
    <t>Cabe Sret 12 X 15 X 10 gr</t>
  </si>
  <si>
    <t>Cabe Tegar F1 12 X 15 X 10 gr</t>
  </si>
  <si>
    <t>Jagung Manis Asia 86 F1 40 X 250 gr</t>
  </si>
  <si>
    <t>Kac. Panj. Katrina 30 X 500 gr</t>
  </si>
  <si>
    <t>Kac. Panj. Katrina 90 X 100 gr</t>
  </si>
  <si>
    <t>Kac. Panj. Panzer 30 X 500 gr</t>
  </si>
  <si>
    <t>Kangkung Dampit 30 X 500 gr</t>
  </si>
  <si>
    <t>Kangkung Dampit 40 X 500 gr</t>
  </si>
  <si>
    <t>Kangkung Dampit 90 X 100 gr</t>
  </si>
  <si>
    <t>Kangkung Shanghai 15 X 1 kg</t>
  </si>
  <si>
    <t>Kangkung Shanghai 30 X 500 gr</t>
  </si>
  <si>
    <t>Labu Almond F1 12 X 15 X 10 gr</t>
  </si>
  <si>
    <t>Labu Samina 12 X 15 X 10 gr</t>
  </si>
  <si>
    <t>Manisa 12 X 10 X 10 gr</t>
  </si>
  <si>
    <t>Manisa 12 X 15 X 10 gr</t>
  </si>
  <si>
    <t>Melon Jumbo F1 12 X 10 X 20 gr</t>
  </si>
  <si>
    <t>Melon Leoni F1 12 X 10 X 20 gr</t>
  </si>
  <si>
    <t>Melon Leoni MH F1 12 X 10 X 20 gr</t>
  </si>
  <si>
    <t>Melon Merlin F1 12 X 10 X 20 gr</t>
  </si>
  <si>
    <t>Oyong Hanoman F1 12 X 15 X 10 gr</t>
  </si>
  <si>
    <t>Oyong Maskur F1 12 X 15 X 10 gr</t>
  </si>
  <si>
    <t>Oyong Sasi F1 12 X 15 X 10 gr</t>
  </si>
  <si>
    <t>Pare Awan 12 X 15 X 10 gr</t>
  </si>
  <si>
    <t>Pare Datuk F1 12 X 15 X 10 gr</t>
  </si>
  <si>
    <t>Pare Hokian 12 X 15 X 10 gr</t>
  </si>
  <si>
    <t>Sawi Cakcoy 12 X 15 X 10 gr</t>
  </si>
  <si>
    <t>Sawi Dora 12 X 15 X 25 gr</t>
  </si>
  <si>
    <t>Sawi Dora 36 X 100 gr</t>
  </si>
  <si>
    <t>Sawi Majapahit 12 X 15 X 25 gr</t>
  </si>
  <si>
    <t>Sawi Majapahit 12 X 15 X 25 gr*</t>
  </si>
  <si>
    <t>Sawi Packchoy Masbro 12 X 15 X 10 gr</t>
  </si>
  <si>
    <t>Sawi Puteri 12 X 15 X 25 gr</t>
  </si>
  <si>
    <t>Selada Kriebo 12 X 15 X 10 gr</t>
  </si>
  <si>
    <t>Seledri Aroma 12 X 10 X 20 gr</t>
  </si>
  <si>
    <t>Smk. Big Maduri F1 12 X 10 X 20 gr</t>
  </si>
  <si>
    <t>Smk. Big Mardy F1 12 X 10 X 20 gr</t>
  </si>
  <si>
    <t>Smk. Inden F1 12 X 10 X 20 gr</t>
  </si>
  <si>
    <t>Smk. Made F1 12 X 10 X 20 gr</t>
  </si>
  <si>
    <t>Smk. Maduri 12 X 10 X 20 gr</t>
  </si>
  <si>
    <t>Smk. Mardy F1 12 X 10 X 20 gr</t>
  </si>
  <si>
    <t>Terong Bondan 12 X 15 X 10 gr</t>
  </si>
  <si>
    <t>Terong Bungo 12 X 20 X 5 gr</t>
  </si>
  <si>
    <t>Terong Bungo F1 12 X 20 X 5 gr</t>
  </si>
  <si>
    <t>Terong Hijo 12 X 15 X 10 gr</t>
  </si>
  <si>
    <t>Terong Kenari 12 X 15 X 10 gr</t>
  </si>
  <si>
    <t>Terong Ronggo 12 X 15 X 10 gr</t>
  </si>
  <si>
    <t>Terong Welut 12 X 15 X 10 gr</t>
  </si>
  <si>
    <t>Timun Komandan F1 12 X 10 X 20 gr</t>
  </si>
  <si>
    <t>Timun Lalap Hijau 12 X 10 X 20 gr</t>
  </si>
  <si>
    <t>Timun Monas F1 12 X 10 X 20 gr</t>
  </si>
  <si>
    <t>Timun Renes F1 12 X 15 X 10 gr</t>
  </si>
  <si>
    <t>Timun Wuku 12 x 10 x 20 gr</t>
  </si>
  <si>
    <t>Tomat Citra Asia 12 X 20 X 5 gr</t>
  </si>
  <si>
    <t>Tomat Citra Asia F1 12 X 20 X 5 gr</t>
  </si>
  <si>
    <t>Tomat Fiesta F1 12 X 20 X 5 gr</t>
  </si>
  <si>
    <t>Tomat Grand Sakina F1 12 X 20 X 5 gr</t>
  </si>
  <si>
    <t>Tomat Maleo F1 12 X 20 X 5 gr</t>
  </si>
  <si>
    <t>Tomat Mawar 12 X 15 X 10 gr</t>
  </si>
  <si>
    <t>Tomat Vitalia F1 12 X 20 X 5 gr</t>
  </si>
  <si>
    <t>Tomat Warda 12 X 20 X 5 gr</t>
  </si>
  <si>
    <t>Jagung Romanza F1 40 x 250 gr</t>
  </si>
  <si>
    <t>Calcium 99 20 X 1 kg</t>
  </si>
  <si>
    <t>Calcium D-Diana 20 X 1 kg</t>
  </si>
  <si>
    <t>Hara Garuda 20 X 1 kg</t>
  </si>
  <si>
    <t>Winda 20 X 1 kg</t>
  </si>
  <si>
    <t>Manohara 20 X 1 kg</t>
  </si>
  <si>
    <t>Bestani OK 300 SL 20 X 1 ltr</t>
  </si>
  <si>
    <t>Mulsa Coboy 60 cm X 1 kg</t>
  </si>
  <si>
    <t>Mulsa Coboy 80 cm X 1 kg</t>
  </si>
  <si>
    <t>Mulsa Karisma 50 cm / 10 kg</t>
  </si>
  <si>
    <t>Mulsa Karisma 50 cm / 10 kg (Roll)</t>
  </si>
  <si>
    <t>Mulsa Karisma 50 cm / 20 kg</t>
  </si>
  <si>
    <t>Mulsa Karisma 50 cm / 20 kg (Roll)</t>
  </si>
  <si>
    <t>Mulsa Karisma 60 cm / 10 kg</t>
  </si>
  <si>
    <t>Mulsa Karisma 60 cm / 10 kg (Roll)</t>
  </si>
  <si>
    <t>Mulsa Karisma 60 cm / 20 kg</t>
  </si>
  <si>
    <t>Mulsa Karisma 60 cm / 20 kg (Roll)</t>
  </si>
  <si>
    <t>Mulsa Karisma 70 cm / 10 kg (Roll)</t>
  </si>
  <si>
    <t>Mulsa Karisma 70 cm / 20 kg</t>
  </si>
  <si>
    <t>Mulsa Karisma 70 cm / 20 kg (Roll)</t>
  </si>
  <si>
    <t>Mulsa Karisma 80 cm / 10 kg (Roll)</t>
  </si>
  <si>
    <t>Mulsa Karisma 80 cm / 20 kg</t>
  </si>
  <si>
    <t>Mulsa Ori Gajah 0.3 60 cm X 18 kg (Roll)</t>
  </si>
  <si>
    <t>Mulsa Ori Universal 0.25 50 cm X 18 kg (Roll)</t>
  </si>
  <si>
    <t>Mulsa Ori Universal 0.25 50 cm X 9 kg (Roll)</t>
  </si>
  <si>
    <t>Mulsa Ori Universal 0.25 60 cm X 18 kg (Roll)</t>
  </si>
  <si>
    <t>Mulsa Ori Universal 0.25 60 cm X 9 kg (Roll)</t>
  </si>
  <si>
    <t>Timun Hercules Plus 20 X 12 X 20 gr</t>
  </si>
  <si>
    <t>Timun Hercules Plus 20 X 6 X 20 gr</t>
  </si>
  <si>
    <t>Buniken 60/10 WP 20 X 100 gr</t>
  </si>
  <si>
    <t>Agrogibb 40 SL 30 X 15 X 35 ml</t>
  </si>
  <si>
    <t>Smk. Madrid F1 12 X 10 X 20 gr</t>
  </si>
  <si>
    <t>Timun Semi F1 12 X 10 X 20 gr</t>
  </si>
  <si>
    <t>Plantguard 0,4 SL 20 X 100 ml</t>
  </si>
  <si>
    <t>Gandasil B</t>
  </si>
  <si>
    <t>Gandasil D</t>
  </si>
  <si>
    <t>Kacang Panjang Lambardo 30 X 500 gr</t>
  </si>
  <si>
    <t>Simodis 100 DC 50 X 100 ml</t>
  </si>
  <si>
    <t>Dewa Dewi 15 X 1 ltr</t>
  </si>
  <si>
    <t>Dewa Dewi 20 X 500 ml</t>
  </si>
  <si>
    <t>Hijau 15 X 1 ltr</t>
  </si>
  <si>
    <t>Hijau Buah 15 X 1 ltr</t>
  </si>
  <si>
    <t>Manohara PPC 15 X 1 ltr</t>
  </si>
  <si>
    <t>Manohara Buah 20 X 500 ml</t>
  </si>
  <si>
    <t>Manohara Buah 15 X 1 ltr</t>
  </si>
  <si>
    <t>You Stick 15 X 1 ltr</t>
  </si>
  <si>
    <t>You Stick 20 X 500 ml</t>
  </si>
  <si>
    <t>NPK Novatec 12-12-17 25 kg</t>
  </si>
  <si>
    <t>Round Up 486 SL 12 X 1 ltr</t>
  </si>
  <si>
    <t>Fascinate Flash 250 ml</t>
  </si>
  <si>
    <t>Shenzi 100 ml</t>
  </si>
  <si>
    <t>Basrata 150 SL 20 X 1 ltr*</t>
  </si>
  <si>
    <t>Benang Pe mlg</t>
  </si>
  <si>
    <t>BM Conzole 250 EC 20 X 500 ml</t>
  </si>
  <si>
    <t>Tali Gawar 989 40 X 600 gr</t>
  </si>
  <si>
    <t>KNO3 Merah P Tani 15 X 2 kg</t>
  </si>
  <si>
    <t>KNO3 Putih P Tani 15 X 2 kg</t>
  </si>
  <si>
    <t>KNO3 Putih P Tani 25 X 2 kg</t>
  </si>
  <si>
    <t>Flonipro 75/75 SE 50 X 100 ml</t>
  </si>
  <si>
    <t>Flonipro 75/75 SE 40 X 250 ml</t>
  </si>
  <si>
    <t>Grandprix 200/125 SC 50 X 100 ml</t>
  </si>
  <si>
    <t>Grandprix 200/125 SC 40 X 250 ml</t>
  </si>
  <si>
    <t>Rayaxone 400/60 SL 20 X 500 ml</t>
  </si>
  <si>
    <t>Rayaxone 400/60 SL 40 X 250 ml</t>
  </si>
  <si>
    <t>Flonipro 400 ml</t>
  </si>
  <si>
    <t>Rayaxone 400/60 SL 1 ltr</t>
  </si>
  <si>
    <t>Jagung Pertiwi 3 20 X 1 kg</t>
  </si>
  <si>
    <t>Metalik 15 X 500 ml</t>
  </si>
  <si>
    <t>Metalik 25 X 100 ml</t>
  </si>
  <si>
    <t>Cyperban 590 EC 20 X 1 ltr</t>
  </si>
  <si>
    <t>Cyperban 590 EC 20 X 500 ml</t>
  </si>
  <si>
    <t>Karimazu 590 EC 20 X 400 ml (Label Baru)</t>
  </si>
  <si>
    <t>Karimazu 590 EC 20 X 800 ml</t>
  </si>
  <si>
    <t>Karimazu 590 EC 25 X 400 ml</t>
  </si>
  <si>
    <t>Karimazu 590 EC 40 X 200 ml</t>
  </si>
  <si>
    <t>Karimazu 590 EC 40 X 200 ml (Label Baru)*</t>
  </si>
  <si>
    <t>Karimazu 590 EC 50 X 100 ml</t>
  </si>
  <si>
    <t>Karimazu 590 EC 50 X 100 ml (Label Baru)*</t>
  </si>
  <si>
    <t>Chlordin 100/200 SC 20 X 250 ml</t>
  </si>
  <si>
    <t>Ga Plus 40 SL 30 X 15 X 35 ml*</t>
  </si>
  <si>
    <t>Osmocote Dekastar Daun 17-11-10 24 X 500 gr</t>
  </si>
  <si>
    <t>MKP 20 X 1 kg</t>
  </si>
  <si>
    <t>Qiutane 80 WP 25 X 800 gr Biru</t>
  </si>
  <si>
    <t>Reader-x 20 X 1 kg</t>
  </si>
  <si>
    <t>Sprayer Elektrik Quda Karisma 5 L 1 x 6 pcs</t>
  </si>
  <si>
    <t>Pupuk Fosfat 50 kg MPS</t>
  </si>
  <si>
    <t>Jagung NK 7328 BTGT 20 X 1 kg</t>
  </si>
  <si>
    <t>Fost Up 1 liter</t>
  </si>
  <si>
    <t>Stardon 60 WP 10 X 8 X 100 gr</t>
  </si>
  <si>
    <t>Dekamon 22.43 L 20 X 500 ml</t>
  </si>
  <si>
    <t>Dekamon 22.43 L 48 X 100 ml</t>
  </si>
  <si>
    <t>Dekamon 22.43 L 50 X 100 ml</t>
  </si>
  <si>
    <t>Dekamon 22.43 L 12 X 1 ltr</t>
  </si>
  <si>
    <t>Dekapirim 400 SC 12 X 1 ltr</t>
  </si>
  <si>
    <t>Dekapirim 400 SC 20 X 500 ml</t>
  </si>
  <si>
    <t>Dekapirim 400 SC 50 X 100 ml</t>
  </si>
  <si>
    <t>Dektin 30 WG 20 X 200 gr</t>
  </si>
  <si>
    <t>Dektin 30 WG 50 X 50 gr</t>
  </si>
  <si>
    <t>Dimacide 400 EC 20 X 500 ml</t>
  </si>
  <si>
    <t>Gandapan Maxima 40 X 200 gr</t>
  </si>
  <si>
    <t>Gandasil B 144 X 100 gr</t>
  </si>
  <si>
    <t>Gandasil B 24 X 500 gr</t>
  </si>
  <si>
    <t>Gandasil D 144 X 100 gr</t>
  </si>
  <si>
    <t>Gandasil D 24 X 500 gr</t>
  </si>
  <si>
    <t>Osmocote Dekastar Buah 6-13-25 24 X 500 gr</t>
  </si>
  <si>
    <t>Osmocote Dekastar Buah 6-13-25 40 X 100 gr</t>
  </si>
  <si>
    <t>Osmocote Dekastar Imbang 13-13-13 24 X 500 gr</t>
  </si>
  <si>
    <t>Osmocote Dekastar Imbang 13-13-13 40 X 100 gr</t>
  </si>
  <si>
    <t>Jagung Pertiwi 2 20 X 1 kg</t>
  </si>
  <si>
    <t>Jagung Pertiwi 6 20 X 1 kg</t>
  </si>
  <si>
    <t>Glykill 480 SL 20 X 1 ltr</t>
  </si>
  <si>
    <t>Centafur 3G 10 X 2 kg</t>
  </si>
  <si>
    <t>Ace One 75 SP 100 X 100 gr</t>
  </si>
  <si>
    <t>Ace One 75 SP 20 X 400 gr</t>
  </si>
  <si>
    <t>Ace One 75 SP 25 X 400 gr</t>
  </si>
  <si>
    <t>Almix 247 ZC 20 X 250 ml</t>
  </si>
  <si>
    <t>Almix 247 ZC 50 X 100 ml</t>
  </si>
  <si>
    <t>Almix 141/106 SC 40 X 250 ml</t>
  </si>
  <si>
    <t>Almix 141/106 SC 50 X 100 ml</t>
  </si>
  <si>
    <t>Astana 60 WP 50 X 100 gr</t>
  </si>
  <si>
    <t>Astana 85 WP 50 X 100 gr</t>
  </si>
  <si>
    <t>Astana 85 WP 80 X 100 gr</t>
  </si>
  <si>
    <t>Dellacid 525 EC 20 X 1 ltr</t>
  </si>
  <si>
    <t>Dellacid 525 EC 20 X 500 ml</t>
  </si>
  <si>
    <t>Dellacid 525 EC 25 X 500 ml</t>
  </si>
  <si>
    <t>Dellacid 525 EC 40 X 200 ml</t>
  </si>
  <si>
    <t>Extra One 680 SC 10 X 1 ltr</t>
  </si>
  <si>
    <t>Extra One 680 SC 10 X 500 ml</t>
  </si>
  <si>
    <t>Extra One 680 SC 18 X 250 ml</t>
  </si>
  <si>
    <t>Extra One 680 SC 20 X 250 ml</t>
  </si>
  <si>
    <t>Format 360/120 SL 20 ltr</t>
  </si>
  <si>
    <t>Format 360/120 SL 20 X 1 ltr</t>
  </si>
  <si>
    <t>Genitop 138 SL 20 ltr</t>
  </si>
  <si>
    <t>Genitop 138 SL 20 X 1 ltr</t>
  </si>
  <si>
    <t>Genitop 138 SL 4 X 5 ltr</t>
  </si>
  <si>
    <t>Hexacar 100 SC 100 X 100 ml</t>
  </si>
  <si>
    <t>Hexacar 100 SC 20 X 1 ltr</t>
  </si>
  <si>
    <t>Hexacar 100 SC 40 X 250 ml</t>
  </si>
  <si>
    <t>Hexacar 100 SC 50 X 100 ml</t>
  </si>
  <si>
    <t>Jagung Bisi 18 20 X 1 kg</t>
  </si>
  <si>
    <t>Jagung Bisi 18 20 X 1 kg (+Kaos)</t>
  </si>
  <si>
    <t>Kingdom 550 SC 1 ltr</t>
  </si>
  <si>
    <t>Kingdom 550 SC 20 ltr</t>
  </si>
  <si>
    <t>Kingdom 550 SC 20 X 1 ltr</t>
  </si>
  <si>
    <t>Kingdom 550 SC 4 X 5 ltr</t>
  </si>
  <si>
    <t>Logamate 440 EC 100 x 100 ml</t>
  </si>
  <si>
    <t>Logamate 440 EC 20 x 500 ml</t>
  </si>
  <si>
    <t>Logamate 440 EC 30 X 250 ml</t>
  </si>
  <si>
    <t>Logamate 440 EC 40 x 250 ml</t>
  </si>
  <si>
    <t>Logamate 440 EC 50 X 100 ml</t>
  </si>
  <si>
    <t>Mandoxone 276 SL 20 ltr</t>
  </si>
  <si>
    <t>Mandoxone 276 SL 20 X 1 ltr</t>
  </si>
  <si>
    <t>Mandoxone 276 SL 4 X 5 ltr</t>
  </si>
  <si>
    <t>Metachlor 550/100 EC 100 X 100 ml</t>
  </si>
  <si>
    <t>Metachlor 550/100 EC 25 X 400 ml</t>
  </si>
  <si>
    <t>Metachlor 650 EC 100 X 100 ml</t>
  </si>
  <si>
    <t>Metachlor 550/100 EC 20 X 800 ml</t>
  </si>
  <si>
    <t>Metachlor 650 EC 20 X 800 ml</t>
  </si>
  <si>
    <t>Metachlor 650 EC 25 X 400 ml</t>
  </si>
  <si>
    <t>Money 865 SL 20 ltr</t>
  </si>
  <si>
    <t>Money 865 SL 20 X 1 ltr</t>
  </si>
  <si>
    <t>Money 865 SL 20 X 400 ml</t>
  </si>
  <si>
    <t>Money 865 SL 30 X 200 ml</t>
  </si>
  <si>
    <t>Money 865 SL 40 X 200 ml</t>
  </si>
  <si>
    <t>Money 865 SL 4 X 5 ltr</t>
  </si>
  <si>
    <t>Prima-Best 150 SL 20 X 1 ltr</t>
  </si>
  <si>
    <t>Prima-Kuat 276 SL 20 X 1 ltr</t>
  </si>
  <si>
    <t>Prima-Kuat 276 SL 4 X 5 ltr</t>
  </si>
  <si>
    <t>Profuron 600 EC 20 X 500 ml</t>
  </si>
  <si>
    <t>Profuron 600 EC 25 X 500 ml</t>
  </si>
  <si>
    <t>Profuron 600 EC 40 X 250 ml</t>
  </si>
  <si>
    <t>Profuron 600 EC 50 X 100 ml</t>
  </si>
  <si>
    <t>Progressive 50 SC 40 X 250 ml</t>
  </si>
  <si>
    <t>Progressive 50 SC 50 X 100 ml</t>
  </si>
  <si>
    <t>Sangit 50 EC 20 X 1 ltr</t>
  </si>
  <si>
    <t>Topida 25 WP 100 X 100 gr</t>
  </si>
  <si>
    <t>Topida 25 WP 50 X 100 gr*</t>
  </si>
  <si>
    <t>Walang 50 EC 20 X 1 ltr</t>
  </si>
  <si>
    <t>Walang 50 EC 20 X 400 ml</t>
  </si>
  <si>
    <t>Walang 50 EC 25 X 400 ml</t>
  </si>
  <si>
    <t>Zessnoit 60 WP 100 X 100 gr</t>
  </si>
  <si>
    <t>Metachlor 650 EC 250</t>
  </si>
  <si>
    <t>Zessnoit 60 WP 200 X 50gr</t>
  </si>
  <si>
    <t>Bahsan 650 EC 100 X 80 ml</t>
  </si>
  <si>
    <t>Bahsan 650 EC 50 X 200 ml</t>
  </si>
  <si>
    <t>Mutual 25/25 WP 100 X 100 gr</t>
  </si>
  <si>
    <t>Mutual 25/25 WP 40 X 250 gr</t>
  </si>
  <si>
    <t>Mutual 25/25 WP 50 X 100 gr*</t>
  </si>
  <si>
    <t>Pembino 20 X 500 ml</t>
  </si>
  <si>
    <t>Pembino 12 X 1 ltr</t>
  </si>
  <si>
    <t>Tronton 50 EC 100 X 100 ml</t>
  </si>
  <si>
    <t>Tronton 50 EC 50 X 200 ml</t>
  </si>
  <si>
    <t>Konsep 50 EC 20 X 1 ltr</t>
  </si>
  <si>
    <t>Konsep 50 EC 25 X 500 ml</t>
  </si>
  <si>
    <t>Konsep 50 EC 40 X 250 ml</t>
  </si>
  <si>
    <t>Ace One 75 SP 1 kg</t>
  </si>
  <si>
    <t>Almix 141/106 SC 500 ml</t>
  </si>
  <si>
    <t>Dellacid 525 EC 100 ml</t>
  </si>
  <si>
    <t>Astana 60 WP 15 gr</t>
  </si>
  <si>
    <t>Astana 60 WP 50 gr</t>
  </si>
  <si>
    <t>Noqweed 400 100 ml</t>
  </si>
  <si>
    <t>Noqweed 400 400 ml</t>
  </si>
  <si>
    <t>Sangit / Walang 100 ml</t>
  </si>
  <si>
    <t>Kingdom 550 SC 250 ml</t>
  </si>
  <si>
    <t>Kingdom 550 SC 500 ml</t>
  </si>
  <si>
    <t>Amco Up 486 SL 20 ltr</t>
  </si>
  <si>
    <t>Amco Up 486 SL 20 X 1 ltr</t>
  </si>
  <si>
    <t>Amco Up 486 SL 4 X 5 ltr</t>
  </si>
  <si>
    <t>Ampang 240 SL 20 ltr</t>
  </si>
  <si>
    <t>Ampang 240 SL 20 X 1 ltr</t>
  </si>
  <si>
    <t>Ampang 240 SL 4 X 5 ltr</t>
  </si>
  <si>
    <t>Calgary 480 SL 20 ltr</t>
  </si>
  <si>
    <t>Calgary 480 SL 20 X 1 ltr</t>
  </si>
  <si>
    <t>Calgary 480 SL 4 X 5 ltr</t>
  </si>
  <si>
    <t>Chief 480 SL 20 ltr</t>
  </si>
  <si>
    <t>Chief 480 SL 20 X 1 ltr</t>
  </si>
  <si>
    <t>Chief 480 SL 4 X 5 ltr</t>
  </si>
  <si>
    <t>Gibas 240 SL 20 ltr</t>
  </si>
  <si>
    <t>Gibas 240 SL 20 X 1 ltr</t>
  </si>
  <si>
    <t>Gibas 240 SL 4 X 5 ltr</t>
  </si>
  <si>
    <t>Grasso 480 SL 20 ltr</t>
  </si>
  <si>
    <t>Grasso 480 SL 20 X 1 ltr</t>
  </si>
  <si>
    <t>Grasso 480 SL 4 X 5 ltr</t>
  </si>
  <si>
    <t>Malabar 480 SL 20 ltr</t>
  </si>
  <si>
    <t>Orca 480 SL 20 ltr</t>
  </si>
  <si>
    <t>Orca 480 SL 20 X 1 ltr</t>
  </si>
  <si>
    <t>Orca 480 SL 4 X 5 ltr</t>
  </si>
  <si>
    <t>Papandayan 486 SL 20 ltr</t>
  </si>
  <si>
    <t>Papandayan 486 SL 20 X 1 ltr</t>
  </si>
  <si>
    <t>Papandayan 486 SL 4 X 5 ltr</t>
  </si>
  <si>
    <t>Penta So-Z 505 SL 20 X 1 ltr</t>
  </si>
  <si>
    <t>Penta Up-Z 480 SL 20 ltr + 20 pack Penta-Furon 5 gr</t>
  </si>
  <si>
    <t>Penta Up-Z 480 SL 20 X 1 ltr + 1 pack Penta-Furon 5 gr</t>
  </si>
  <si>
    <t>Penta Up-Z 480 SL 4 X 5 ltr + 5 pack Penta-Furon 5 gr</t>
  </si>
  <si>
    <t>Powersorb Max 550 SL 20 X 1 ltr</t>
  </si>
  <si>
    <t>Prima-Lima 555 SL 20 X 1 ltr + 1 pack Penta-Furon 5 gr</t>
  </si>
  <si>
    <t>Prima-Lima 555 SL 4 X 5 ltr + 5 pack Penta-Furon 5 gr</t>
  </si>
  <si>
    <t>Prima-Lima 555 SL 20 ltr + 20 pack Penta-Furon 5 gr</t>
  </si>
  <si>
    <t>ReAktif 490 SL 20 ltr</t>
  </si>
  <si>
    <t>ReAktif 490 SL 20 X 1 ltr</t>
  </si>
  <si>
    <t>ReAktif 490 SL 4 X 5 ltr</t>
  </si>
  <si>
    <t>Roupix 455/100 SL 20 X 1 ltr</t>
  </si>
  <si>
    <t>Terbas 490 SL 20 X 1 ltr</t>
  </si>
  <si>
    <t>Triplelima 555 SL 20 X 1 ltr</t>
  </si>
  <si>
    <t>Triplelima 555 SL 4 X 5 ltr</t>
  </si>
  <si>
    <t>Tuntas 300/100 SL 16 X 1 ltr</t>
  </si>
  <si>
    <t>Tuntas 300/100 SL 20 ltr</t>
  </si>
  <si>
    <t>Tuntas 300/100 SL 20 X 1 ltr</t>
  </si>
  <si>
    <t>Tuntas 300/100 SL 4 X 5 ltr</t>
  </si>
  <si>
    <t>Smk. Non Biji MU F1 5 X 15 X 20 gr</t>
  </si>
  <si>
    <t>Kubis Hibrida F1 Kaelo 30 X 15 gr</t>
  </si>
  <si>
    <t>Bastnate 200 SL 12 X 1 ltr</t>
  </si>
  <si>
    <t>Novlect 100/20 EC 20 X 500 ml</t>
  </si>
  <si>
    <t>Manzate 82 WP 20 X 500 gr</t>
  </si>
  <si>
    <t>Jagung Manis Exsotic F1 40 X 1750 biji</t>
  </si>
  <si>
    <t>Jagung Manis Panglima F1 40 X 1750 biji</t>
  </si>
  <si>
    <t>Joker 75 SP 50 X 100 gr</t>
  </si>
  <si>
    <t>Hexacar 100 SC 20 X 500 ml</t>
  </si>
  <si>
    <t>R26000015B</t>
  </si>
  <si>
    <t>R26000016B</t>
  </si>
  <si>
    <t>R26000018B</t>
  </si>
  <si>
    <t>R26000050</t>
  </si>
  <si>
    <t>R26000051</t>
  </si>
  <si>
    <t>R26000052</t>
  </si>
  <si>
    <t>R26000053</t>
  </si>
  <si>
    <t>R26000054</t>
  </si>
  <si>
    <t>R26000055</t>
  </si>
  <si>
    <t>R26000056</t>
  </si>
  <si>
    <t>R26000057</t>
  </si>
  <si>
    <t>R26000058</t>
  </si>
  <si>
    <t>R26000059</t>
  </si>
  <si>
    <t>R26000060</t>
  </si>
  <si>
    <t>R2600017B</t>
  </si>
  <si>
    <t>RA2600016B</t>
  </si>
  <si>
    <t>RA2600020B</t>
  </si>
  <si>
    <t>RA2600021B</t>
  </si>
  <si>
    <t>RA2600056</t>
  </si>
  <si>
    <t>RA2600059</t>
  </si>
  <si>
    <t>RA2600061</t>
  </si>
  <si>
    <t>RA2600062</t>
  </si>
  <si>
    <t>RA2600066</t>
  </si>
  <si>
    <t>RA2600067</t>
  </si>
  <si>
    <t>RA2600068</t>
  </si>
  <si>
    <t>RA2600070</t>
  </si>
  <si>
    <t>RA2600071</t>
  </si>
  <si>
    <t>RA2600072</t>
  </si>
  <si>
    <t>00038</t>
  </si>
  <si>
    <t>00039</t>
  </si>
  <si>
    <t>00046</t>
  </si>
  <si>
    <t>R000055</t>
  </si>
  <si>
    <t>R000057</t>
  </si>
  <si>
    <t>R000060</t>
  </si>
  <si>
    <t>R000062</t>
  </si>
  <si>
    <t>00042</t>
  </si>
  <si>
    <t>00043</t>
  </si>
  <si>
    <t>00044</t>
  </si>
  <si>
    <t>00045</t>
  </si>
  <si>
    <t>00047</t>
  </si>
  <si>
    <t>00048</t>
  </si>
  <si>
    <t>R000071</t>
  </si>
  <si>
    <t>00040</t>
  </si>
  <si>
    <t>00041</t>
  </si>
  <si>
    <t>R000067</t>
  </si>
  <si>
    <t>R000068</t>
  </si>
  <si>
    <t>R000056</t>
  </si>
  <si>
    <t>R000058</t>
  </si>
  <si>
    <t>R000059</t>
  </si>
  <si>
    <t>R000061</t>
  </si>
  <si>
    <t>R000063</t>
  </si>
  <si>
    <t>R000066</t>
  </si>
  <si>
    <t>R000064</t>
  </si>
  <si>
    <t>R000065</t>
  </si>
  <si>
    <t>R000069</t>
  </si>
  <si>
    <t>R000070</t>
  </si>
  <si>
    <t>D25013916</t>
  </si>
  <si>
    <t>B25016459</t>
  </si>
  <si>
    <t>B26001103</t>
  </si>
  <si>
    <t>A26000431</t>
  </si>
  <si>
    <t>A26000519</t>
  </si>
  <si>
    <t>D26005809</t>
  </si>
  <si>
    <t>A26000573</t>
  </si>
  <si>
    <t>D26000170</t>
  </si>
  <si>
    <t>D26000331</t>
  </si>
  <si>
    <t>D25017231</t>
  </si>
  <si>
    <t>D25013830</t>
  </si>
  <si>
    <t>B25007091</t>
  </si>
  <si>
    <t>D25000651</t>
  </si>
  <si>
    <t>A26000614</t>
  </si>
  <si>
    <t>B25012121</t>
  </si>
  <si>
    <t>Z24002746</t>
  </si>
  <si>
    <t>R26000010</t>
  </si>
  <si>
    <t>T26000026</t>
  </si>
  <si>
    <t>T25001726</t>
  </si>
  <si>
    <t>R26000016</t>
  </si>
  <si>
    <t>T26000025</t>
  </si>
  <si>
    <t>T25001556K</t>
  </si>
  <si>
    <t>R26000001</t>
  </si>
  <si>
    <t>R25000117</t>
  </si>
  <si>
    <t>T26000491</t>
  </si>
  <si>
    <t>T25001792</t>
  </si>
  <si>
    <t>T25001852k</t>
  </si>
  <si>
    <t>T26000028</t>
  </si>
  <si>
    <t>Tani Makmur/Ahmad Sofyan</t>
  </si>
  <si>
    <t>Harry Santoso</t>
  </si>
  <si>
    <t>Bumi Tani/Aji Santoso</t>
  </si>
  <si>
    <t>Online Shop Shopee</t>
  </si>
  <si>
    <t>Mulur, UD</t>
  </si>
  <si>
    <t>Madani, UD</t>
  </si>
  <si>
    <t>Indra, Toko</t>
  </si>
  <si>
    <t>Berkah Izzam/Adif</t>
  </si>
  <si>
    <t>Kampung Tani/Aguk</t>
  </si>
  <si>
    <t>Tani Subur/Suwandi</t>
  </si>
  <si>
    <t>Putra Tani/I Putu Agus</t>
  </si>
  <si>
    <t>Online Shop Tik tok</t>
  </si>
  <si>
    <t>Tani Mulyo Lestari/Puguh</t>
  </si>
  <si>
    <t>Arinda/KIU</t>
  </si>
  <si>
    <t>Tani Mulyo/Tarmi</t>
  </si>
  <si>
    <t>Rika Tani/Gimun</t>
  </si>
  <si>
    <t>Diva Jaya</t>
  </si>
  <si>
    <t>Green Tani</t>
  </si>
  <si>
    <t>Lisgianto/KIU</t>
  </si>
  <si>
    <t>Mulyo Tani/Danang</t>
  </si>
  <si>
    <t>Puma Tani</t>
  </si>
  <si>
    <t>Baru Rejo/Haris</t>
  </si>
  <si>
    <t>Karya Tani/Hariman</t>
  </si>
  <si>
    <t>LPB (04/4/26 11.41) + SPR (04/04/26 10.15)</t>
  </si>
  <si>
    <t>LPB (10/4/26 09.15) + SPR (10/04/26 08.26)</t>
  </si>
  <si>
    <t>LPB (28/4/26 10.52) + SPR (28/04/26 09.04)</t>
  </si>
  <si>
    <t>LPB (31/3/26 10.33) + SPR (02/04/26 11.35)</t>
  </si>
  <si>
    <t>LPB (10/4/26 09.13) + SPR (10/04/26 08.31)</t>
  </si>
  <si>
    <t>LPB (18/4/26 09.25) + SPR (18/04/26 08.33)</t>
  </si>
  <si>
    <t>LPB (20/4/26 10.12) + SPR (20/04/26 09.58)</t>
  </si>
  <si>
    <t>LPB (22/4/26 10.16) + SPR (22/04/26 09.10)</t>
  </si>
  <si>
    <t>LPB (24/4/26 10.44) + SPR (24/04/26 10.15)</t>
  </si>
  <si>
    <t>LPB (24/4/26 11.06) + SPR (24/04/26 10.17)</t>
  </si>
  <si>
    <t>LPB (24/4/26 13.29) + SPR (24/04/26 10.30)</t>
  </si>
  <si>
    <t>LPB (30/4/26 11.38) + SPR (30/04/26 09.52)</t>
  </si>
  <si>
    <t>LPB (30/4/26 11.41) + SPR (30/04/26 09.50)</t>
  </si>
  <si>
    <t>LPB (30/4/26 13.12) + TT (30/04/26 13.06)</t>
  </si>
  <si>
    <t>LPB (16/4/26 13.57) + SPR (16/04/26 13.31)</t>
  </si>
  <si>
    <t>LPB (21/4/26 10.12) + SPR (21/04/26 09.02)</t>
  </si>
  <si>
    <t>LPB (25/4/26 14.21) + TT (25/04/26 11.31)</t>
  </si>
  <si>
    <t>LPB (28/4/26 10.55) + SPR (28/04/26 09.04)</t>
  </si>
  <si>
    <t>LPB (07/4/26 13.21) + SPR (07/04/26 11.44)</t>
  </si>
  <si>
    <t>LPB (13/4/26 14.51) + Rekap (13/04/26 11.24)</t>
  </si>
  <si>
    <t>LPB (18/4/26 09.16) + SPR (18/04/26 08.32)</t>
  </si>
  <si>
    <t>LPB (18/4/26 11.15) + SPR (18/04/26 10.23)</t>
  </si>
  <si>
    <t>LPB (23/4/26 11.18) + TT 1475 (23/04/26 11.07)</t>
  </si>
  <si>
    <t>LPB (25/4/26 14.05) + TT (25/04/26 11.31)</t>
  </si>
  <si>
    <t>LPB (27/4/26 10.48) + SPR (27/04/26 10.19)</t>
  </si>
  <si>
    <t>LPB (27/4/26 11.46) + SPR (27/04/26 11.30)</t>
  </si>
  <si>
    <t>LPB (29/4/26 10.00) + SPR (29/04/26 09.45)</t>
  </si>
  <si>
    <t>LPB (30/4/26 08.54) + SPR (30/04/26 15.45)</t>
  </si>
  <si>
    <t>Revisi Nota</t>
  </si>
  <si>
    <t>Replacement</t>
  </si>
  <si>
    <t>Retur Intren</t>
  </si>
  <si>
    <t>Rata - Rata</t>
  </si>
  <si>
    <t>Tgl 5 merah, 4 cuti</t>
  </si>
  <si>
    <t>Tgl 3 &amp; 5 merah, 4 cuti</t>
  </si>
  <si>
    <t>26 Minggu</t>
  </si>
  <si>
    <t>Maestro 200 EC</t>
  </si>
  <si>
    <t>Loyant 25 EC</t>
  </si>
  <si>
    <t xml:space="preserve">Abojo 60 WP </t>
  </si>
  <si>
    <t xml:space="preserve">Vertibak 60 SP </t>
  </si>
  <si>
    <t>Pinamec</t>
  </si>
  <si>
    <t>Karimazu</t>
  </si>
  <si>
    <t>Calaris 550 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</si>
</sst>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1" formatCode="_(* #,##0_);_(* \(#,##0\);_(* &quot;-&quot;_);_(@_)"/>
    <numFmt numFmtId="43" formatCode="_(* #,##0.00_);_(* \(#,##0.00\);_(* &quot;-&quot;??_);_(@_)"/>
    <numFmt numFmtId="164" formatCode="_-* #,##0.00_-;\-* #,##0.00_-;_-* &quot;-&quot;??_-;_-@_-"/>
    <numFmt numFmtId="165" formatCode="_(* #,##0.0_);_(* \(#,##0.0\);_(* &quot;-&quot;??_);_(@_)"/>
    <numFmt numFmtId="166" formatCode="0.0"/>
    <numFmt numFmtId="167" formatCode="d\-mmm"/>
    <numFmt numFmtId="168" formatCode="[$-409]d\-mmm\-yy;@"/>
    <numFmt numFmtId="169" formatCode="[$-409]d\-mmm;@"/>
    <numFmt numFmtId="170" formatCode="[$-409]dd\-mmm\-yy;@"/>
  </numFmts>
  <fonts count="9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626469"/>
      <name val="Arial"/>
      <family val="2"/>
    </font>
    <font>
      <b/>
      <sz val="10"/>
      <color rgb="FF626469"/>
      <name val="Arial"/>
      <family val="2"/>
    </font>
    <font>
      <sz val="9.5"/>
      <color rgb="FF000000"/>
      <name val="Arial"/>
      <family val="2"/>
    </font>
    <font>
      <sz val="10"/>
      <color rgb="FF0070C0"/>
      <name val="Arial"/>
      <family val="2"/>
    </font>
    <font>
      <sz val="16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u/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rgb="FF808080"/>
      <name val="Arial"/>
      <family val="2"/>
    </font>
    <font>
      <u/>
      <sz val="10"/>
      <color rgb="FF002060"/>
      <name val="Arial"/>
      <family val="2"/>
    </font>
    <font>
      <b/>
      <u/>
      <sz val="10"/>
      <color rgb="FF002060"/>
      <name val="Arial"/>
      <family val="2"/>
    </font>
    <font>
      <b/>
      <u/>
      <sz val="10"/>
      <color rgb="FF548DD4"/>
      <name val="Arial"/>
      <family val="2"/>
    </font>
    <font>
      <sz val="10"/>
      <color theme="1"/>
      <name val="Arial"/>
      <family val="2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color indexed="8"/>
      <name val="Calibri"/>
      <family val="2"/>
    </font>
    <font>
      <sz val="11"/>
      <name val="Calibri"/>
      <family val="2"/>
      <scheme val="minor"/>
    </font>
    <font>
      <sz val="11"/>
      <name val="Arial"/>
      <family val="2"/>
    </font>
    <font>
      <b/>
      <sz val="8"/>
      <color theme="1"/>
      <name val="Arial"/>
      <family val="2"/>
    </font>
    <font>
      <sz val="8"/>
      <color rgb="FF000000"/>
      <name val="Tahoma"/>
      <family val="2"/>
    </font>
    <font>
      <sz val="9"/>
      <color rgb="FF000000"/>
      <name val="Tahoma"/>
      <family val="2"/>
    </font>
    <font>
      <sz val="11"/>
      <name val="Arial"/>
      <family val="2"/>
    </font>
    <font>
      <sz val="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name val="Arial"/>
      <family val="2"/>
    </font>
    <font>
      <sz val="8"/>
      <color rgb="FF000000"/>
      <name val="Arial"/>
      <family val="2"/>
    </font>
    <font>
      <sz val="1"/>
      <color rgb="FF0000A0"/>
      <name val="Calibri"/>
      <family val="2"/>
      <scheme val="minor"/>
    </font>
    <font>
      <b/>
      <i/>
      <sz val="16"/>
      <color rgb="FF0000A0"/>
      <name val="Tahoma"/>
      <family val="2"/>
    </font>
    <font>
      <sz val="9"/>
      <color rgb="FF000000"/>
      <name val="Segoe UI"/>
      <family val="2"/>
    </font>
    <font>
      <b/>
      <i/>
      <sz val="16"/>
      <color indexed="18"/>
      <name val="Tahoma"/>
      <family val="2"/>
    </font>
    <font>
      <sz val="1"/>
      <color rgb="FF000000"/>
      <name val="Calibri"/>
      <family val="2"/>
      <scheme val="minor"/>
    </font>
    <font>
      <b/>
      <sz val="14"/>
      <color rgb="FF000000"/>
      <name val="Arial"/>
      <family val="2"/>
    </font>
    <font>
      <b/>
      <sz val="14"/>
      <color indexed="8"/>
      <name val="Arial"/>
      <family val="2"/>
    </font>
    <font>
      <sz val="8"/>
      <color rgb="FF000000"/>
      <name val="Segoe UI"/>
      <family val="2"/>
    </font>
    <font>
      <sz val="10"/>
      <color rgb="FF000000"/>
      <name val="Arial"/>
      <family val="2"/>
    </font>
    <font>
      <b/>
      <sz val="9"/>
      <color rgb="FF000080"/>
      <name val="Arial"/>
      <family val="2"/>
    </font>
    <font>
      <b/>
      <sz val="8"/>
      <color rgb="FF000000"/>
      <name val="Arial"/>
      <family val="2"/>
    </font>
    <font>
      <b/>
      <sz val="8"/>
      <color rgb="FF000080"/>
      <name val="Arial"/>
      <family val="2"/>
    </font>
    <font>
      <sz val="8"/>
      <color indexed="8"/>
      <name val="Tahoma"/>
      <family val="2"/>
    </font>
    <font>
      <sz val="8"/>
      <color indexed="8"/>
      <name val="Arial"/>
      <family val="2"/>
    </font>
    <font>
      <sz val="8"/>
      <color rgb="FF000000"/>
      <name val="Wingdings"/>
      <charset val="2"/>
    </font>
    <font>
      <b/>
      <sz val="9"/>
      <color rgb="FF000000"/>
      <name val="Arial"/>
      <family val="2"/>
    </font>
    <font>
      <sz val="1"/>
      <color rgb="FF000000"/>
      <name val="Arial"/>
      <family val="2"/>
    </font>
    <font>
      <b/>
      <sz val="8"/>
      <color rgb="FF000000"/>
      <name val="Segoe UI"/>
      <family val="2"/>
    </font>
    <font>
      <b/>
      <sz val="8"/>
      <color indexed="8"/>
      <name val="Arial"/>
      <family val="2"/>
    </font>
    <font>
      <sz val="1"/>
      <color rgb="FF800000"/>
      <name val="Calibri"/>
      <family val="2"/>
      <scheme val="minor"/>
    </font>
    <font>
      <b/>
      <sz val="9"/>
      <color rgb="FF800000"/>
      <name val="Arial"/>
      <family val="2"/>
    </font>
    <font>
      <b/>
      <sz val="9"/>
      <color indexed="16"/>
      <name val="Arial"/>
      <family val="2"/>
    </font>
    <font>
      <b/>
      <sz val="16"/>
      <color rgb="FF1079AE"/>
      <name val="Segoe UI"/>
      <family val="2"/>
    </font>
    <font>
      <b/>
      <sz val="18"/>
      <color rgb="FF0000A0"/>
      <name val="Arial"/>
      <family val="2"/>
    </font>
    <font>
      <b/>
      <sz val="8"/>
      <color rgb="FF000000"/>
      <name val="Tahoma"/>
      <family val="2"/>
    </font>
    <font>
      <b/>
      <sz val="8"/>
      <color indexed="8"/>
      <name val="Tahoma"/>
      <family val="2"/>
    </font>
    <font>
      <b/>
      <sz val="13"/>
      <color rgb="FF000000"/>
      <name val="Segoe UI"/>
      <family val="2"/>
    </font>
    <font>
      <b/>
      <sz val="8"/>
      <color rgb="FF800000"/>
      <name val="Segoe UI"/>
      <family val="2"/>
    </font>
    <font>
      <b/>
      <sz val="11"/>
      <color rgb="FF1079AE"/>
      <name val="Segoe UI"/>
      <family val="2"/>
    </font>
    <font>
      <b/>
      <sz val="9"/>
      <color rgb="FF1079AE"/>
      <name val="Segoe UI"/>
      <family val="2"/>
    </font>
    <font>
      <b/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Arial"/>
      <family val="2"/>
    </font>
    <font>
      <b/>
      <sz val="14"/>
      <color theme="1"/>
      <name val="Calibri"/>
      <family val="2"/>
      <scheme val="minor"/>
    </font>
    <font>
      <b/>
      <sz val="10"/>
      <color theme="1"/>
      <name val="Wingdings 2"/>
      <family val="1"/>
      <charset val="2"/>
    </font>
    <font>
      <sz val="10"/>
      <color theme="1"/>
      <name val="Wingdings 2"/>
      <family val="1"/>
      <charset val="2"/>
    </font>
    <font>
      <b/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1" tint="0.14999847407452621"/>
      <name val="Calibri"/>
      <family val="2"/>
      <scheme val="minor"/>
    </font>
    <font>
      <sz val="12"/>
      <color theme="1" tint="0.14999847407452621"/>
      <name val="Calibri"/>
      <family val="2"/>
      <scheme val="minor"/>
    </font>
    <font>
      <b/>
      <sz val="9"/>
      <color rgb="FF0000FF"/>
      <name val="Calibri"/>
      <family val="2"/>
      <scheme val="minor"/>
    </font>
    <font>
      <b/>
      <sz val="9"/>
      <color rgb="FF0033CC"/>
      <name val="Calibri"/>
      <family val="2"/>
      <scheme val="minor"/>
    </font>
    <font>
      <sz val="9"/>
      <name val="Calibri"/>
      <family val="2"/>
      <scheme val="minor"/>
    </font>
    <font>
      <sz val="8"/>
      <color theme="1"/>
      <name val="Khmer UI"/>
      <family val="2"/>
    </font>
    <font>
      <b/>
      <sz val="9"/>
      <name val="Arial"/>
      <family val="2"/>
    </font>
    <font>
      <sz val="9"/>
      <name val="Arial"/>
      <family val="2"/>
    </font>
    <font>
      <sz val="8"/>
      <color theme="1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sz val="8"/>
      <name val="Khmer UI"/>
      <family val="2"/>
    </font>
    <font>
      <sz val="8"/>
      <color rgb="FF0000FF"/>
      <name val="Khmer UI"/>
      <family val="2"/>
    </font>
    <font>
      <sz val="8"/>
      <color rgb="FFFF0000"/>
      <name val="Khmer UI"/>
      <family val="2"/>
    </font>
    <font>
      <b/>
      <sz val="8"/>
      <name val="Khmer UI"/>
      <family val="2"/>
    </font>
    <font>
      <sz val="8"/>
      <color rgb="FF0000FF"/>
      <name val="Arial"/>
      <family val="2"/>
    </font>
    <font>
      <sz val="8"/>
      <color rgb="FFFF0000"/>
      <name val="Arial"/>
      <family val="2"/>
    </font>
    <font>
      <sz val="8"/>
      <color theme="1"/>
      <name val="Tahoma"/>
      <family val="2"/>
    </font>
    <font>
      <b/>
      <sz val="8"/>
      <color rgb="FF0000FF"/>
      <name val="Arial"/>
      <family val="2"/>
    </font>
    <font>
      <b/>
      <sz val="8"/>
      <color rgb="FF0000FF"/>
      <name val="Khmer UI"/>
      <family val="2"/>
    </font>
    <font>
      <b/>
      <sz val="8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9"/>
      </patternFill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ck">
        <color auto="1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</borders>
  <cellStyleXfs count="110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0" fontId="23" fillId="0" borderId="0">
      <alignment vertical="center"/>
    </xf>
    <xf numFmtId="0" fontId="25" fillId="0" borderId="0">
      <alignment horizontal="left" vertical="top"/>
    </xf>
    <xf numFmtId="0" fontId="26" fillId="0" borderId="0">
      <alignment horizontal="left" vertical="top"/>
    </xf>
    <xf numFmtId="0" fontId="27" fillId="0" borderId="0">
      <alignment vertical="center"/>
    </xf>
    <xf numFmtId="43" fontId="23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0" fontId="28" fillId="0" borderId="0"/>
    <xf numFmtId="0" fontId="28" fillId="0" borderId="0"/>
    <xf numFmtId="0" fontId="19" fillId="0" borderId="0"/>
    <xf numFmtId="0" fontId="1" fillId="0" borderId="0"/>
    <xf numFmtId="0" fontId="30" fillId="8" borderId="0"/>
    <xf numFmtId="0" fontId="19" fillId="0" borderId="0"/>
    <xf numFmtId="168" fontId="1" fillId="0" borderId="0"/>
    <xf numFmtId="168" fontId="1" fillId="0" borderId="0"/>
    <xf numFmtId="168" fontId="1" fillId="0" borderId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31" fillId="0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center" vertical="top"/>
    </xf>
    <xf numFmtId="0" fontId="28" fillId="0" borderId="0">
      <alignment horizontal="center" vertical="top"/>
    </xf>
    <xf numFmtId="0" fontId="28" fillId="0" borderId="0">
      <alignment horizontal="left" vertical="top"/>
    </xf>
    <xf numFmtId="0" fontId="32" fillId="0" borderId="0">
      <alignment horizontal="left" vertical="top"/>
    </xf>
    <xf numFmtId="0" fontId="33" fillId="0" borderId="0">
      <alignment horizontal="left" vertical="top"/>
    </xf>
    <xf numFmtId="0" fontId="28" fillId="9" borderId="0">
      <alignment horizontal="center" vertical="top"/>
    </xf>
    <xf numFmtId="0" fontId="31" fillId="0" borderId="0">
      <alignment horizontal="left" vertical="top"/>
    </xf>
    <xf numFmtId="0" fontId="31" fillId="0" borderId="0">
      <alignment horizontal="left" vertical="top"/>
    </xf>
    <xf numFmtId="0" fontId="34" fillId="0" borderId="0">
      <alignment horizontal="righ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35" fillId="0" borderId="0">
      <alignment horizontal="left" vertical="top"/>
    </xf>
    <xf numFmtId="0" fontId="31" fillId="0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center" vertical="top"/>
    </xf>
    <xf numFmtId="0" fontId="28" fillId="0" borderId="0">
      <alignment horizontal="center" vertical="top"/>
    </xf>
    <xf numFmtId="0" fontId="28" fillId="0" borderId="0">
      <alignment horizontal="left" vertical="top"/>
    </xf>
    <xf numFmtId="0" fontId="36" fillId="0" borderId="0">
      <alignment horizontal="left" vertical="top"/>
    </xf>
    <xf numFmtId="0" fontId="37" fillId="0" borderId="0">
      <alignment horizontal="left" vertical="top"/>
    </xf>
    <xf numFmtId="0" fontId="28" fillId="9" borderId="0">
      <alignment horizontal="center" vertical="top"/>
    </xf>
    <xf numFmtId="0" fontId="31" fillId="0" borderId="0">
      <alignment horizontal="left" vertical="top"/>
    </xf>
    <xf numFmtId="0" fontId="31" fillId="0" borderId="0">
      <alignment horizontal="left" vertical="top"/>
    </xf>
    <xf numFmtId="0" fontId="34" fillId="0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38" fillId="0" borderId="0">
      <alignment horizontal="left" vertical="top"/>
    </xf>
    <xf numFmtId="0" fontId="39" fillId="0" borderId="0">
      <alignment horizontal="left" vertical="top"/>
    </xf>
    <xf numFmtId="0" fontId="36" fillId="0" borderId="0">
      <alignment horizontal="left" vertical="top"/>
    </xf>
    <xf numFmtId="0" fontId="40" fillId="0" borderId="0">
      <alignment horizontal="left" vertical="top"/>
    </xf>
    <xf numFmtId="0" fontId="25" fillId="0" borderId="0">
      <alignment horizontal="left" vertical="top"/>
    </xf>
    <xf numFmtId="0" fontId="28" fillId="9" borderId="0">
      <alignment horizontal="left" vertical="top"/>
    </xf>
    <xf numFmtId="0" fontId="41" fillId="0" borderId="0">
      <alignment horizontal="left" vertical="top"/>
    </xf>
    <xf numFmtId="0" fontId="42" fillId="0" borderId="0">
      <alignment horizontal="right" vertical="top"/>
    </xf>
    <xf numFmtId="0" fontId="43" fillId="0" borderId="0">
      <alignment horizontal="right" vertical="center"/>
    </xf>
    <xf numFmtId="0" fontId="31" fillId="0" borderId="0">
      <alignment horizontal="right" vertical="top"/>
    </xf>
    <xf numFmtId="0" fontId="31" fillId="0" borderId="0">
      <alignment horizontal="left" vertical="top"/>
    </xf>
    <xf numFmtId="168" fontId="25" fillId="0" borderId="0">
      <alignment horizontal="left" vertical="top"/>
    </xf>
    <xf numFmtId="0" fontId="40" fillId="0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5" fillId="0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right" vertical="top"/>
    </xf>
    <xf numFmtId="0" fontId="28" fillId="0" borderId="0">
      <alignment horizontal="left" vertical="top"/>
    </xf>
    <xf numFmtId="0" fontId="28" fillId="0" borderId="0">
      <alignment horizontal="right" vertical="top"/>
    </xf>
    <xf numFmtId="0" fontId="36" fillId="0" borderId="0">
      <alignment horizontal="right" vertical="top"/>
    </xf>
    <xf numFmtId="0" fontId="44" fillId="0" borderId="0">
      <alignment horizontal="left" vertical="top"/>
    </xf>
    <xf numFmtId="0" fontId="39" fillId="0" borderId="0">
      <alignment horizontal="left" vertical="top"/>
    </xf>
    <xf numFmtId="0" fontId="28" fillId="9" borderId="0">
      <alignment horizontal="left" vertical="top"/>
    </xf>
    <xf numFmtId="0" fontId="41" fillId="0" borderId="0">
      <alignment horizontal="left" vertical="top"/>
    </xf>
    <xf numFmtId="0" fontId="42" fillId="0" borderId="0">
      <alignment horizontal="left" vertical="top"/>
    </xf>
    <xf numFmtId="0" fontId="41" fillId="0" borderId="0">
      <alignment horizontal="right" vertical="top"/>
    </xf>
    <xf numFmtId="0" fontId="31" fillId="0" borderId="0">
      <alignment horizontal="left" vertical="top"/>
    </xf>
    <xf numFmtId="0" fontId="39" fillId="0" borderId="0">
      <alignment horizontal="left" vertical="top"/>
    </xf>
    <xf numFmtId="0" fontId="31" fillId="0" borderId="0">
      <alignment horizontal="right" vertical="top"/>
    </xf>
    <xf numFmtId="0" fontId="39" fillId="0" borderId="0">
      <alignment horizontal="right" vertical="top"/>
    </xf>
    <xf numFmtId="168" fontId="31" fillId="0" borderId="0">
      <alignment horizontal="right" vertical="top"/>
    </xf>
    <xf numFmtId="0" fontId="28" fillId="9" borderId="0">
      <alignment horizontal="left" vertical="top"/>
    </xf>
    <xf numFmtId="0" fontId="28" fillId="0" borderId="0">
      <alignment horizontal="left" vertical="top"/>
    </xf>
    <xf numFmtId="0" fontId="25" fillId="0" borderId="0">
      <alignment horizontal="left" vertical="top"/>
    </xf>
    <xf numFmtId="0" fontId="28" fillId="0" borderId="0">
      <alignment horizontal="right" vertical="top"/>
    </xf>
    <xf numFmtId="0" fontId="28" fillId="0" borderId="0">
      <alignment horizontal="left" vertical="top"/>
    </xf>
    <xf numFmtId="0" fontId="36" fillId="0" borderId="0">
      <alignment horizontal="left" vertical="top"/>
    </xf>
    <xf numFmtId="0" fontId="36" fillId="0" borderId="0">
      <alignment horizontal="right" vertical="top"/>
    </xf>
    <xf numFmtId="0" fontId="42" fillId="0" borderId="0">
      <alignment horizontal="right" vertical="top"/>
    </xf>
    <xf numFmtId="0" fontId="40" fillId="0" borderId="0">
      <alignment horizontal="left" vertical="top"/>
    </xf>
    <xf numFmtId="0" fontId="45" fillId="0" borderId="0">
      <alignment horizontal="right" vertical="top"/>
    </xf>
    <xf numFmtId="0" fontId="39" fillId="0" borderId="0">
      <alignment horizontal="right" vertical="top"/>
    </xf>
    <xf numFmtId="0" fontId="25" fillId="0" borderId="0">
      <alignment horizontal="left" vertical="top"/>
    </xf>
    <xf numFmtId="168" fontId="31" fillId="0" borderId="0">
      <alignment horizontal="right" vertical="top"/>
    </xf>
    <xf numFmtId="0" fontId="28" fillId="0" borderId="0">
      <alignment horizontal="left" vertical="top"/>
    </xf>
    <xf numFmtId="0" fontId="36" fillId="0" borderId="0">
      <alignment horizontal="left" vertical="top"/>
    </xf>
    <xf numFmtId="0" fontId="42" fillId="0" borderId="0">
      <alignment horizontal="left" vertical="top"/>
    </xf>
    <xf numFmtId="0" fontId="42" fillId="0" borderId="0">
      <alignment horizontal="right" vertical="top"/>
    </xf>
    <xf numFmtId="0" fontId="28" fillId="0" borderId="0">
      <alignment horizontal="right" vertical="top"/>
    </xf>
    <xf numFmtId="0" fontId="41" fillId="0" borderId="0">
      <alignment horizontal="right" vertical="top"/>
    </xf>
    <xf numFmtId="0" fontId="31" fillId="0" borderId="0">
      <alignment horizontal="right" vertical="top"/>
    </xf>
    <xf numFmtId="0" fontId="39" fillId="0" borderId="0">
      <alignment horizontal="right" vertical="top"/>
    </xf>
    <xf numFmtId="0" fontId="39" fillId="0" borderId="0">
      <alignment horizontal="left" vertical="top"/>
    </xf>
    <xf numFmtId="0" fontId="45" fillId="0" borderId="0">
      <alignment horizontal="right" vertical="top"/>
    </xf>
    <xf numFmtId="0" fontId="46" fillId="0" borderId="0">
      <alignment horizontal="left" vertical="center"/>
    </xf>
    <xf numFmtId="0" fontId="43" fillId="0" borderId="0">
      <alignment horizontal="left" vertical="center"/>
    </xf>
    <xf numFmtId="0" fontId="31" fillId="0" borderId="0">
      <alignment horizontal="left" vertical="top"/>
    </xf>
    <xf numFmtId="168" fontId="31" fillId="0" borderId="0">
      <alignment horizontal="left" vertical="top"/>
    </xf>
    <xf numFmtId="0" fontId="28" fillId="0" borderId="0">
      <alignment horizontal="left" vertical="top"/>
    </xf>
    <xf numFmtId="0" fontId="42" fillId="0" borderId="0">
      <alignment horizontal="left" vertical="top"/>
    </xf>
    <xf numFmtId="0" fontId="28" fillId="0" borderId="0">
      <alignment horizontal="left" vertical="top"/>
    </xf>
    <xf numFmtId="0" fontId="41" fillId="0" borderId="0">
      <alignment horizontal="right" vertical="top"/>
    </xf>
    <xf numFmtId="0" fontId="47" fillId="0" borderId="0">
      <alignment horizontal="left" vertical="top"/>
    </xf>
    <xf numFmtId="0" fontId="31" fillId="0" borderId="0">
      <alignment horizontal="right" vertical="top"/>
    </xf>
    <xf numFmtId="0" fontId="46" fillId="0" borderId="0">
      <alignment horizontal="left" vertical="center"/>
    </xf>
    <xf numFmtId="0" fontId="25" fillId="0" borderId="0">
      <alignment horizontal="left" vertical="top"/>
    </xf>
    <xf numFmtId="0" fontId="39" fillId="0" borderId="0">
      <alignment horizontal="right" vertical="top"/>
    </xf>
    <xf numFmtId="0" fontId="42" fillId="0" borderId="0">
      <alignment horizontal="right" vertical="top"/>
    </xf>
    <xf numFmtId="0" fontId="45" fillId="0" borderId="0">
      <alignment horizontal="left" vertical="top"/>
    </xf>
    <xf numFmtId="0" fontId="31" fillId="0" borderId="0">
      <alignment horizontal="left" vertical="top"/>
    </xf>
    <xf numFmtId="168" fontId="25" fillId="0" borderId="0">
      <alignment horizontal="left" vertical="top"/>
    </xf>
    <xf numFmtId="0" fontId="48" fillId="0" borderId="0">
      <alignment horizontal="left" vertical="top"/>
    </xf>
    <xf numFmtId="0" fontId="28" fillId="0" borderId="0">
      <alignment horizontal="left" vertical="top"/>
    </xf>
    <xf numFmtId="0" fontId="31" fillId="0" borderId="0">
      <alignment horizontal="left" vertical="top"/>
    </xf>
    <xf numFmtId="0" fontId="31" fillId="0" borderId="0">
      <alignment horizontal="left" vertical="top"/>
    </xf>
    <xf numFmtId="0" fontId="34" fillId="0" borderId="0">
      <alignment horizontal="left" vertical="top"/>
    </xf>
    <xf numFmtId="0" fontId="43" fillId="0" borderId="0">
      <alignment horizontal="center" vertical="center"/>
    </xf>
    <xf numFmtId="0" fontId="25" fillId="0" borderId="0">
      <alignment horizontal="left" vertical="top"/>
    </xf>
    <xf numFmtId="0" fontId="42" fillId="0" borderId="0">
      <alignment horizontal="right" vertical="top"/>
    </xf>
    <xf numFmtId="0" fontId="43" fillId="0" borderId="0">
      <alignment horizontal="left" vertical="center"/>
    </xf>
    <xf numFmtId="0" fontId="44" fillId="0" borderId="0">
      <alignment horizontal="left" vertical="top"/>
    </xf>
    <xf numFmtId="0" fontId="49" fillId="0" borderId="0">
      <alignment horizontal="right" vertical="top"/>
    </xf>
    <xf numFmtId="0" fontId="31" fillId="0" borderId="0">
      <alignment horizontal="right" vertical="top"/>
    </xf>
    <xf numFmtId="0" fontId="49" fillId="0" borderId="0">
      <alignment horizontal="right" vertical="top"/>
    </xf>
    <xf numFmtId="0" fontId="25" fillId="0" borderId="0">
      <alignment horizontal="left" vertical="top"/>
    </xf>
    <xf numFmtId="0" fontId="49" fillId="0" borderId="0">
      <alignment horizontal="left" vertical="top"/>
    </xf>
    <xf numFmtId="0" fontId="31" fillId="0" borderId="0">
      <alignment horizontal="left" vertical="top"/>
    </xf>
    <xf numFmtId="0" fontId="42" fillId="0" borderId="0">
      <alignment horizontal="left" vertical="top"/>
    </xf>
    <xf numFmtId="0" fontId="43" fillId="0" borderId="0">
      <alignment horizontal="center" vertical="center"/>
    </xf>
    <xf numFmtId="168" fontId="31" fillId="0" borderId="0">
      <alignment horizontal="left" vertical="top"/>
    </xf>
    <xf numFmtId="0" fontId="45" fillId="0" borderId="0">
      <alignment horizontal="left" vertical="top"/>
    </xf>
    <xf numFmtId="0" fontId="49" fillId="0" borderId="0">
      <alignment horizontal="left" vertical="top"/>
    </xf>
    <xf numFmtId="0" fontId="31" fillId="0" borderId="0">
      <alignment horizontal="left" vertical="top"/>
    </xf>
    <xf numFmtId="0" fontId="49" fillId="0" borderId="0">
      <alignment horizontal="left" vertical="top"/>
    </xf>
    <xf numFmtId="0" fontId="49" fillId="0" borderId="0">
      <alignment horizontal="right" vertical="top"/>
    </xf>
    <xf numFmtId="0" fontId="25" fillId="0" borderId="0">
      <alignment horizontal="left" vertical="top"/>
    </xf>
    <xf numFmtId="168" fontId="25" fillId="0" borderId="0">
      <alignment horizontal="left" vertical="top"/>
    </xf>
    <xf numFmtId="0" fontId="44" fillId="0" borderId="0">
      <alignment horizontal="left" vertical="top"/>
    </xf>
    <xf numFmtId="0" fontId="42" fillId="0" borderId="0">
      <alignment horizontal="left" vertical="top"/>
    </xf>
    <xf numFmtId="0" fontId="40" fillId="0" borderId="0">
      <alignment horizontal="left" vertical="top"/>
    </xf>
    <xf numFmtId="0" fontId="42" fillId="0" borderId="0">
      <alignment horizontal="right" vertical="top"/>
    </xf>
    <xf numFmtId="168" fontId="42" fillId="0" borderId="0">
      <alignment horizontal="right" vertical="top"/>
    </xf>
    <xf numFmtId="0" fontId="50" fillId="0" borderId="0">
      <alignment horizontal="right" vertical="top"/>
    </xf>
    <xf numFmtId="0" fontId="48" fillId="0" borderId="0">
      <alignment horizontal="left" vertical="top"/>
    </xf>
    <xf numFmtId="0" fontId="42" fillId="0" borderId="0">
      <alignment horizontal="left" vertical="top"/>
    </xf>
    <xf numFmtId="0" fontId="31" fillId="0" borderId="0">
      <alignment horizontal="left" vertical="top"/>
    </xf>
    <xf numFmtId="168" fontId="42" fillId="0" borderId="0">
      <alignment horizontal="left" vertical="top"/>
    </xf>
    <xf numFmtId="0" fontId="50" fillId="0" borderId="0">
      <alignment horizontal="left" vertical="top"/>
    </xf>
    <xf numFmtId="0" fontId="31" fillId="0" borderId="0">
      <alignment horizontal="righ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center" vertical="top"/>
    </xf>
    <xf numFmtId="0" fontId="28" fillId="0" borderId="0">
      <alignment horizontal="center" vertical="top"/>
    </xf>
    <xf numFmtId="0" fontId="28" fillId="0" borderId="0">
      <alignment horizontal="left" vertical="top"/>
    </xf>
    <xf numFmtId="0" fontId="51" fillId="0" borderId="0">
      <alignment horizontal="left" vertical="top"/>
    </xf>
    <xf numFmtId="0" fontId="52" fillId="0" borderId="0">
      <alignment horizontal="left" vertical="top"/>
    </xf>
    <xf numFmtId="0" fontId="28" fillId="9" borderId="0">
      <alignment horizontal="center" vertical="top"/>
    </xf>
    <xf numFmtId="0" fontId="31" fillId="0" borderId="0">
      <alignment horizontal="right" vertical="top"/>
    </xf>
    <xf numFmtId="0" fontId="31" fillId="0" borderId="0">
      <alignment horizontal="right" vertical="top"/>
    </xf>
    <xf numFmtId="0" fontId="34" fillId="0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53" fillId="0" borderId="0">
      <alignment horizontal="left" vertical="top"/>
    </xf>
    <xf numFmtId="0" fontId="54" fillId="0" borderId="0">
      <alignment horizontal="center" vertical="top"/>
    </xf>
    <xf numFmtId="0" fontId="55" fillId="0" borderId="0">
      <alignment horizontal="left" vertical="top"/>
    </xf>
    <xf numFmtId="168" fontId="56" fillId="0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0" borderId="0">
      <alignment horizontal="left" vertical="top"/>
    </xf>
    <xf numFmtId="0" fontId="36" fillId="0" borderId="0">
      <alignment horizontal="left" vertical="top"/>
    </xf>
    <xf numFmtId="0" fontId="56" fillId="0" borderId="0">
      <alignment horizontal="left" vertical="top"/>
    </xf>
    <xf numFmtId="0" fontId="28" fillId="9" borderId="0">
      <alignment horizontal="left" vertical="top"/>
    </xf>
    <xf numFmtId="0" fontId="55" fillId="0" borderId="0">
      <alignment horizontal="center" vertical="top"/>
    </xf>
    <xf numFmtId="0" fontId="57" fillId="0" borderId="0">
      <alignment horizontal="left" vertical="top"/>
    </xf>
    <xf numFmtId="0" fontId="58" fillId="0" borderId="0">
      <alignment horizontal="center" vertical="top"/>
    </xf>
    <xf numFmtId="0" fontId="28" fillId="9" borderId="0">
      <alignment horizontal="left" vertical="top"/>
    </xf>
    <xf numFmtId="0" fontId="48" fillId="0" borderId="0">
      <alignment horizontal="left" vertical="top"/>
    </xf>
    <xf numFmtId="0" fontId="28" fillId="9" borderId="0">
      <alignment horizontal="left" vertical="top"/>
    </xf>
    <xf numFmtId="0" fontId="37" fillId="0" borderId="0">
      <alignment horizontal="center" vertical="top"/>
    </xf>
    <xf numFmtId="0" fontId="58" fillId="0" borderId="0">
      <alignment horizontal="center" vertical="top"/>
    </xf>
    <xf numFmtId="0" fontId="25" fillId="0" borderId="0">
      <alignment horizontal="right" vertical="top"/>
    </xf>
    <xf numFmtId="0" fontId="28" fillId="9" borderId="0">
      <alignment horizontal="left" vertical="top"/>
    </xf>
    <xf numFmtId="0" fontId="37" fillId="0" borderId="0">
      <alignment horizontal="left" vertical="top"/>
    </xf>
    <xf numFmtId="168" fontId="25" fillId="0" borderId="0">
      <alignment horizontal="right" vertical="top"/>
    </xf>
    <xf numFmtId="0" fontId="25" fillId="0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0" borderId="0">
      <alignment horizontal="left" vertical="top"/>
    </xf>
    <xf numFmtId="0" fontId="28" fillId="0" borderId="0">
      <alignment horizontal="left" vertical="top"/>
    </xf>
    <xf numFmtId="0" fontId="36" fillId="0" borderId="0">
      <alignment horizontal="left" vertical="top"/>
    </xf>
    <xf numFmtId="0" fontId="25" fillId="0" borderId="0">
      <alignment horizontal="left" vertical="top"/>
    </xf>
    <xf numFmtId="0" fontId="25" fillId="0" borderId="0">
      <alignment horizontal="left" vertical="top"/>
    </xf>
    <xf numFmtId="0" fontId="44" fillId="0" borderId="0">
      <alignment horizontal="right" vertical="top"/>
    </xf>
    <xf numFmtId="0" fontId="25" fillId="9" borderId="0">
      <alignment horizontal="left" vertical="top"/>
    </xf>
    <xf numFmtId="0" fontId="28" fillId="9" borderId="0">
      <alignment horizontal="left" vertical="top"/>
    </xf>
    <xf numFmtId="0" fontId="52" fillId="0" borderId="0">
      <alignment horizontal="center" vertical="top"/>
    </xf>
    <xf numFmtId="0" fontId="25" fillId="9" borderId="0">
      <alignment horizontal="left" vertical="top"/>
    </xf>
    <xf numFmtId="0" fontId="31" fillId="0" borderId="0">
      <alignment horizontal="right" vertical="top"/>
    </xf>
    <xf numFmtId="168" fontId="25" fillId="0" borderId="0">
      <alignment horizontal="left" vertical="top"/>
    </xf>
    <xf numFmtId="0" fontId="25" fillId="0" borderId="0">
      <alignment horizontal="left" vertical="top"/>
    </xf>
    <xf numFmtId="0" fontId="59" fillId="0" borderId="0">
      <alignment horizontal="center" vertical="top"/>
    </xf>
    <xf numFmtId="0" fontId="28" fillId="9" borderId="0">
      <alignment horizontal="left" vertical="top"/>
    </xf>
    <xf numFmtId="0" fontId="28" fillId="9" borderId="0">
      <alignment horizontal="righ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0" borderId="0">
      <alignment horizontal="left" vertical="top"/>
    </xf>
    <xf numFmtId="0" fontId="36" fillId="0" borderId="0">
      <alignment horizontal="left" vertical="top"/>
    </xf>
    <xf numFmtId="0" fontId="1" fillId="0" borderId="0">
      <alignment horizontal="left" vertical="top"/>
    </xf>
    <xf numFmtId="0" fontId="25" fillId="0" borderId="0">
      <alignment horizontal="left" vertical="top"/>
    </xf>
    <xf numFmtId="0" fontId="44" fillId="0" borderId="0">
      <alignment horizontal="left" vertical="top"/>
    </xf>
    <xf numFmtId="0" fontId="49" fillId="0" borderId="0">
      <alignment horizontal="left" vertical="center"/>
    </xf>
    <xf numFmtId="0" fontId="36" fillId="0" borderId="0">
      <alignment horizontal="right" vertical="top"/>
    </xf>
    <xf numFmtId="0" fontId="1" fillId="0" borderId="0">
      <alignment horizontal="right" vertical="top"/>
    </xf>
    <xf numFmtId="0" fontId="25" fillId="0" borderId="0">
      <alignment horizontal="right" vertical="top"/>
    </xf>
    <xf numFmtId="0" fontId="25" fillId="0" borderId="0">
      <alignment horizontal="left" vertical="top"/>
    </xf>
    <xf numFmtId="0" fontId="28" fillId="9" borderId="0">
      <alignment horizontal="right" vertical="top"/>
    </xf>
    <xf numFmtId="0" fontId="42" fillId="0" borderId="0">
      <alignment horizontal="left" vertical="top"/>
    </xf>
    <xf numFmtId="0" fontId="42" fillId="0" borderId="0">
      <alignment horizontal="center" vertical="center"/>
    </xf>
    <xf numFmtId="0" fontId="49" fillId="0" borderId="0">
      <alignment horizontal="left" vertical="center"/>
    </xf>
    <xf numFmtId="0" fontId="60" fillId="0" borderId="0">
      <alignment horizontal="center" vertical="top"/>
    </xf>
    <xf numFmtId="168" fontId="25" fillId="0" borderId="0">
      <alignment horizontal="left" vertical="top"/>
    </xf>
    <xf numFmtId="0" fontId="25" fillId="0" borderId="0">
      <alignment horizontal="right" vertical="top"/>
    </xf>
    <xf numFmtId="0" fontId="28" fillId="9" borderId="0">
      <alignment horizontal="righ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right" vertical="top"/>
    </xf>
    <xf numFmtId="0" fontId="28" fillId="9" borderId="0">
      <alignment horizontal="right" vertical="top"/>
    </xf>
    <xf numFmtId="0" fontId="28" fillId="9" borderId="0">
      <alignment horizontal="right" vertical="top"/>
    </xf>
    <xf numFmtId="0" fontId="28" fillId="0" borderId="0">
      <alignment horizontal="left" vertical="top"/>
    </xf>
    <xf numFmtId="0" fontId="28" fillId="0" borderId="0">
      <alignment horizontal="right" vertical="top"/>
    </xf>
    <xf numFmtId="0" fontId="44" fillId="0" borderId="0">
      <alignment horizontal="left" vertical="top"/>
    </xf>
    <xf numFmtId="0" fontId="49" fillId="0" borderId="0">
      <alignment horizontal="left" vertical="center"/>
    </xf>
    <xf numFmtId="0" fontId="25" fillId="0" borderId="0">
      <alignment horizontal="left" vertical="top"/>
    </xf>
    <xf numFmtId="0" fontId="25" fillId="0" borderId="0">
      <alignment horizontal="left" vertical="top"/>
    </xf>
    <xf numFmtId="0" fontId="25" fillId="0" borderId="0">
      <alignment horizontal="right" vertical="top"/>
    </xf>
    <xf numFmtId="0" fontId="28" fillId="9" borderId="0">
      <alignment horizontal="left" vertical="top"/>
    </xf>
    <xf numFmtId="0" fontId="42" fillId="0" borderId="0">
      <alignment horizontal="left" vertical="top"/>
    </xf>
    <xf numFmtId="0" fontId="43" fillId="0" borderId="0">
      <alignment horizontal="left" vertical="center"/>
    </xf>
    <xf numFmtId="0" fontId="49" fillId="0" borderId="0">
      <alignment horizontal="left" vertical="center"/>
    </xf>
    <xf numFmtId="0" fontId="61" fillId="0" borderId="0">
      <alignment horizontal="left" vertical="top"/>
    </xf>
    <xf numFmtId="168" fontId="25" fillId="0" borderId="0">
      <alignment horizontal="right" vertical="top"/>
    </xf>
    <xf numFmtId="0" fontId="25" fillId="0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righ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0" borderId="0">
      <alignment horizontal="right" vertical="top"/>
    </xf>
    <xf numFmtId="0" fontId="28" fillId="0" borderId="0">
      <alignment horizontal="left" vertical="top"/>
    </xf>
    <xf numFmtId="0" fontId="36" fillId="0" borderId="0">
      <alignment horizontal="left" vertical="top"/>
    </xf>
    <xf numFmtId="0" fontId="44" fillId="0" borderId="0">
      <alignment horizontal="right" vertical="top"/>
    </xf>
    <xf numFmtId="0" fontId="49" fillId="0" borderId="0">
      <alignment horizontal="right" vertical="center"/>
    </xf>
    <xf numFmtId="0" fontId="43" fillId="0" borderId="0">
      <alignment horizontal="left" vertical="center"/>
    </xf>
    <xf numFmtId="0" fontId="49" fillId="0" borderId="0">
      <alignment horizontal="right" vertical="center"/>
    </xf>
    <xf numFmtId="0" fontId="49" fillId="0" borderId="0">
      <alignment horizontal="left" vertical="top"/>
    </xf>
    <xf numFmtId="0" fontId="43" fillId="0" borderId="0">
      <alignment horizontal="right" vertical="center"/>
    </xf>
    <xf numFmtId="168" fontId="25" fillId="0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8" fillId="9" borderId="0">
      <alignment horizontal="left" vertical="top"/>
    </xf>
    <xf numFmtId="0" fontId="25" fillId="0" borderId="0">
      <alignment horizontal="right" vertical="top"/>
    </xf>
    <xf numFmtId="0" fontId="28" fillId="0" borderId="0">
      <alignment horizontal="left" vertical="top"/>
    </xf>
    <xf numFmtId="0" fontId="36" fillId="0" borderId="0">
      <alignment horizontal="left" vertical="top"/>
    </xf>
    <xf numFmtId="0" fontId="28" fillId="9" borderId="0">
      <alignment horizontal="left" vertical="top"/>
    </xf>
    <xf numFmtId="0" fontId="42" fillId="0" borderId="0">
      <alignment horizontal="right" vertical="top"/>
    </xf>
    <xf numFmtId="0" fontId="44" fillId="0" borderId="0">
      <alignment horizontal="left" vertical="top"/>
    </xf>
    <xf numFmtId="0" fontId="39" fillId="0" borderId="0">
      <alignment horizontal="left" vertical="top"/>
    </xf>
    <xf numFmtId="0" fontId="25" fillId="0" borderId="0">
      <alignment horizontal="left" vertical="top"/>
    </xf>
    <xf numFmtId="0" fontId="28" fillId="9" borderId="0">
      <alignment horizontal="right" vertical="top"/>
    </xf>
    <xf numFmtId="0" fontId="41" fillId="0" borderId="0">
      <alignment horizontal="left" vertical="top"/>
    </xf>
    <xf numFmtId="0" fontId="31" fillId="0" borderId="0">
      <alignment horizontal="left" vertical="top"/>
    </xf>
    <xf numFmtId="0" fontId="43" fillId="0" borderId="0">
      <alignment horizontal="center" vertical="center"/>
    </xf>
    <xf numFmtId="0" fontId="39" fillId="0" borderId="0">
      <alignment horizontal="left" vertical="top"/>
    </xf>
    <xf numFmtId="0" fontId="49" fillId="0" borderId="0">
      <alignment horizontal="right" vertical="top"/>
    </xf>
    <xf numFmtId="0" fontId="25" fillId="0" borderId="0">
      <alignment horizontal="right" vertical="top"/>
    </xf>
    <xf numFmtId="168" fontId="31" fillId="0" borderId="0">
      <alignment horizontal="left" vertical="top"/>
    </xf>
    <xf numFmtId="0" fontId="28" fillId="9" borderId="0">
      <alignment horizontal="right" vertical="top"/>
    </xf>
    <xf numFmtId="0" fontId="28" fillId="9" borderId="0">
      <alignment horizontal="left" vertical="top"/>
    </xf>
    <xf numFmtId="0" fontId="28" fillId="9" borderId="0">
      <alignment horizontal="right" vertical="top"/>
    </xf>
    <xf numFmtId="0" fontId="28" fillId="9" borderId="0">
      <alignment horizontal="right" vertical="top"/>
    </xf>
    <xf numFmtId="0" fontId="28" fillId="9" borderId="0">
      <alignment horizontal="right" vertical="top"/>
    </xf>
    <xf numFmtId="0" fontId="28" fillId="9" borderId="0">
      <alignment horizontal="left" vertical="top"/>
    </xf>
    <xf numFmtId="0" fontId="28" fillId="0" borderId="0">
      <alignment horizontal="left" vertical="top"/>
    </xf>
    <xf numFmtId="0" fontId="36" fillId="0" borderId="0">
      <alignment horizontal="left" vertical="top"/>
    </xf>
    <xf numFmtId="0" fontId="45" fillId="0" borderId="0">
      <alignment horizontal="left" vertical="top"/>
    </xf>
    <xf numFmtId="0" fontId="64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</cellStyleXfs>
  <cellXfs count="398">
    <xf numFmtId="0" fontId="0" fillId="0" borderId="0" xfId="0"/>
    <xf numFmtId="0" fontId="5" fillId="0" borderId="10" xfId="0" applyFont="1" applyBorder="1" applyAlignment="1">
      <alignment vertical="center"/>
    </xf>
    <xf numFmtId="0" fontId="4" fillId="0" borderId="10" xfId="0" applyFont="1" applyBorder="1" applyAlignment="1">
      <alignment vertical="center"/>
    </xf>
    <xf numFmtId="17" fontId="6" fillId="0" borderId="10" xfId="0" applyNumberFormat="1" applyFont="1" applyBorder="1" applyAlignment="1">
      <alignment horizontal="left" vertical="top"/>
    </xf>
    <xf numFmtId="0" fontId="7" fillId="0" borderId="10" xfId="0" applyFont="1" applyBorder="1" applyAlignment="1">
      <alignment horizontal="left" vertical="top"/>
    </xf>
    <xf numFmtId="17" fontId="7" fillId="0" borderId="10" xfId="0" applyNumberFormat="1" applyFont="1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2" fillId="0" borderId="7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11" fillId="0" borderId="11" xfId="0" applyFont="1" applyBorder="1" applyAlignment="1">
      <alignment horizontal="left" indent="1"/>
    </xf>
    <xf numFmtId="9" fontId="0" fillId="0" borderId="11" xfId="1" applyFont="1" applyBorder="1" applyAlignment="1">
      <alignment horizontal="center"/>
    </xf>
    <xf numFmtId="0" fontId="0" fillId="0" borderId="11" xfId="1" applyNumberFormat="1" applyFont="1" applyBorder="1" applyAlignment="1">
      <alignment horizontal="center"/>
    </xf>
    <xf numFmtId="165" fontId="0" fillId="0" borderId="11" xfId="2" applyNumberFormat="1" applyFont="1" applyBorder="1" applyAlignment="1">
      <alignment horizontal="center"/>
    </xf>
    <xf numFmtId="0" fontId="11" fillId="0" borderId="12" xfId="0" applyFont="1" applyBorder="1" applyAlignment="1">
      <alignment horizontal="left" indent="1"/>
    </xf>
    <xf numFmtId="9" fontId="0" fillId="0" borderId="13" xfId="1" applyFont="1" applyBorder="1" applyAlignment="1">
      <alignment horizontal="center"/>
    </xf>
    <xf numFmtId="0" fontId="0" fillId="0" borderId="12" xfId="1" applyNumberFormat="1" applyFont="1" applyBorder="1" applyAlignment="1">
      <alignment horizontal="center"/>
    </xf>
    <xf numFmtId="165" fontId="0" fillId="0" borderId="12" xfId="2" applyNumberFormat="1" applyFont="1" applyBorder="1" applyAlignment="1">
      <alignment horizontal="center"/>
    </xf>
    <xf numFmtId="0" fontId="11" fillId="0" borderId="14" xfId="0" applyFont="1" applyBorder="1" applyAlignment="1">
      <alignment horizontal="left" indent="1"/>
    </xf>
    <xf numFmtId="9" fontId="0" fillId="0" borderId="14" xfId="1" applyFont="1" applyBorder="1" applyAlignment="1">
      <alignment horizontal="center"/>
    </xf>
    <xf numFmtId="0" fontId="0" fillId="0" borderId="14" xfId="1" applyNumberFormat="1" applyFont="1" applyBorder="1" applyAlignment="1">
      <alignment horizontal="center"/>
    </xf>
    <xf numFmtId="165" fontId="0" fillId="0" borderId="14" xfId="2" applyNumberFormat="1" applyFont="1" applyBorder="1" applyAlignment="1">
      <alignment horizontal="center"/>
    </xf>
    <xf numFmtId="0" fontId="2" fillId="0" borderId="4" xfId="0" applyFont="1" applyBorder="1" applyAlignment="1">
      <alignment horizontal="left" indent="1"/>
    </xf>
    <xf numFmtId="9" fontId="2" fillId="0" borderId="15" xfId="0" applyNumberFormat="1" applyFont="1" applyBorder="1" applyAlignment="1">
      <alignment horizontal="center"/>
    </xf>
    <xf numFmtId="0" fontId="2" fillId="0" borderId="15" xfId="0" applyFont="1" applyBorder="1" applyAlignment="1">
      <alignment horizontal="right"/>
    </xf>
    <xf numFmtId="0" fontId="2" fillId="0" borderId="0" xfId="0" applyFont="1"/>
    <xf numFmtId="0" fontId="0" fillId="0" borderId="10" xfId="0" applyBorder="1" applyAlignment="1">
      <alignment vertical="top"/>
    </xf>
    <xf numFmtId="9" fontId="0" fillId="0" borderId="10" xfId="0" applyNumberFormat="1" applyBorder="1" applyAlignment="1">
      <alignment vertical="top"/>
    </xf>
    <xf numFmtId="0" fontId="2" fillId="0" borderId="0" xfId="0" applyFont="1" applyAlignment="1">
      <alignment horizontal="center"/>
    </xf>
    <xf numFmtId="9" fontId="2" fillId="0" borderId="0" xfId="0" applyNumberFormat="1" applyFont="1" applyAlignment="1">
      <alignment horizontal="center"/>
    </xf>
    <xf numFmtId="0" fontId="2" fillId="0" borderId="0" xfId="0" applyFont="1" applyAlignment="1">
      <alignment horizontal="right"/>
    </xf>
    <xf numFmtId="0" fontId="2" fillId="0" borderId="10" xfId="0" applyFont="1" applyBorder="1" applyAlignment="1">
      <alignment horizontal="center"/>
    </xf>
    <xf numFmtId="0" fontId="0" fillId="0" borderId="0" xfId="0" applyAlignment="1">
      <alignment horizontal="center"/>
    </xf>
    <xf numFmtId="9" fontId="0" fillId="0" borderId="10" xfId="0" applyNumberFormat="1" applyBorder="1" applyAlignment="1">
      <alignment horizontal="center"/>
    </xf>
    <xf numFmtId="166" fontId="0" fillId="0" borderId="10" xfId="0" applyNumberFormat="1" applyBorder="1" applyAlignment="1">
      <alignment horizontal="center"/>
    </xf>
    <xf numFmtId="0" fontId="0" fillId="0" borderId="10" xfId="0" applyFill="1" applyBorder="1" applyAlignment="1">
      <alignment horizontal="left" vertical="top"/>
    </xf>
    <xf numFmtId="0" fontId="2" fillId="0" borderId="4" xfId="0" applyFont="1" applyBorder="1" applyAlignment="1">
      <alignment horizontal="center"/>
    </xf>
    <xf numFmtId="0" fontId="0" fillId="0" borderId="10" xfId="0" quotePrefix="1" applyBorder="1" applyAlignment="1">
      <alignment horizontal="center"/>
    </xf>
    <xf numFmtId="0" fontId="0" fillId="0" borderId="16" xfId="0" applyBorder="1" applyAlignment="1">
      <alignment horizontal="center" vertical="top"/>
    </xf>
    <xf numFmtId="0" fontId="0" fillId="0" borderId="10" xfId="0" applyBorder="1"/>
    <xf numFmtId="0" fontId="0" fillId="0" borderId="17" xfId="0" applyBorder="1" applyAlignment="1">
      <alignment horizontal="left" vertical="top"/>
    </xf>
    <xf numFmtId="0" fontId="0" fillId="0" borderId="15" xfId="0" applyBorder="1" applyAlignment="1">
      <alignment vertical="top"/>
    </xf>
    <xf numFmtId="0" fontId="0" fillId="0" borderId="15" xfId="0" applyBorder="1" applyAlignment="1">
      <alignment horizontal="center" vertical="top"/>
    </xf>
    <xf numFmtId="0" fontId="0" fillId="0" borderId="10" xfId="0" applyFill="1" applyBorder="1" applyAlignment="1">
      <alignment vertical="top"/>
    </xf>
    <xf numFmtId="166" fontId="0" fillId="0" borderId="10" xfId="0" applyNumberFormat="1" applyFill="1" applyBorder="1" applyAlignment="1">
      <alignment vertical="top"/>
    </xf>
    <xf numFmtId="166" fontId="0" fillId="0" borderId="10" xfId="0" applyNumberFormat="1" applyBorder="1" applyAlignment="1">
      <alignment vertical="top"/>
    </xf>
    <xf numFmtId="0" fontId="18" fillId="0" borderId="0" xfId="0" applyFont="1" applyAlignment="1">
      <alignment vertical="center"/>
    </xf>
    <xf numFmtId="0" fontId="0" fillId="0" borderId="2" xfId="0" applyBorder="1" applyAlignment="1">
      <alignment horizontal="left" vertical="top"/>
    </xf>
    <xf numFmtId="0" fontId="0" fillId="0" borderId="2" xfId="0" applyBorder="1" applyAlignment="1"/>
    <xf numFmtId="0" fontId="0" fillId="0" borderId="3" xfId="0" applyBorder="1"/>
    <xf numFmtId="0" fontId="0" fillId="0" borderId="0" xfId="0" applyBorder="1" applyAlignment="1">
      <alignment horizontal="left" vertical="top"/>
    </xf>
    <xf numFmtId="0" fontId="0" fillId="0" borderId="0" xfId="0" applyBorder="1" applyAlignment="1"/>
    <xf numFmtId="0" fontId="0" fillId="0" borderId="19" xfId="0" applyBorder="1"/>
    <xf numFmtId="0" fontId="0" fillId="0" borderId="5" xfId="0" applyBorder="1"/>
    <xf numFmtId="0" fontId="0" fillId="0" borderId="6" xfId="0" applyBorder="1"/>
    <xf numFmtId="0" fontId="0" fillId="0" borderId="0" xfId="0" applyFill="1"/>
    <xf numFmtId="0" fontId="22" fillId="0" borderId="0" xfId="0" applyFont="1"/>
    <xf numFmtId="0" fontId="22" fillId="0" borderId="0" xfId="0" applyFont="1" applyFill="1"/>
    <xf numFmtId="0" fontId="23" fillId="0" borderId="0" xfId="5">
      <alignment vertical="center"/>
    </xf>
    <xf numFmtId="0" fontId="24" fillId="7" borderId="10" xfId="0" applyFont="1" applyFill="1" applyBorder="1" applyAlignment="1">
      <alignment horizontal="center" vertical="center" wrapText="1"/>
    </xf>
    <xf numFmtId="0" fontId="0" fillId="0" borderId="0" xfId="0" applyNumberFormat="1"/>
    <xf numFmtId="0" fontId="16" fillId="0" borderId="0" xfId="0" applyFont="1"/>
    <xf numFmtId="0" fontId="16" fillId="0" borderId="0" xfId="0" applyNumberFormat="1" applyFont="1"/>
    <xf numFmtId="168" fontId="62" fillId="12" borderId="28" xfId="2" applyNumberFormat="1" applyFont="1" applyFill="1" applyBorder="1" applyAlignment="1">
      <alignment horizontal="center" vertical="center"/>
    </xf>
    <xf numFmtId="0" fontId="62" fillId="5" borderId="28" xfId="0" applyFont="1" applyFill="1" applyBorder="1" applyAlignment="1">
      <alignment horizontal="center" vertical="center"/>
    </xf>
    <xf numFmtId="168" fontId="62" fillId="13" borderId="28" xfId="2" applyNumberFormat="1" applyFont="1" applyFill="1" applyBorder="1" applyAlignment="1">
      <alignment horizontal="center" vertical="center"/>
    </xf>
    <xf numFmtId="0" fontId="62" fillId="13" borderId="29" xfId="2" applyNumberFormat="1" applyFont="1" applyFill="1" applyBorder="1" applyAlignment="1">
      <alignment horizontal="center" vertical="center"/>
    </xf>
    <xf numFmtId="0" fontId="62" fillId="13" borderId="28" xfId="2" applyNumberFormat="1" applyFont="1" applyFill="1" applyBorder="1" applyAlignment="1">
      <alignment horizontal="center" vertical="center"/>
    </xf>
    <xf numFmtId="0" fontId="62" fillId="12" borderId="28" xfId="0" applyFont="1" applyFill="1" applyBorder="1" applyAlignment="1">
      <alignment horizontal="center" vertical="center"/>
    </xf>
    <xf numFmtId="0" fontId="62" fillId="12" borderId="23" xfId="2" applyNumberFormat="1" applyFont="1" applyFill="1" applyBorder="1" applyAlignment="1">
      <alignment horizontal="center" vertical="center"/>
    </xf>
    <xf numFmtId="0" fontId="62" fillId="12" borderId="28" xfId="2" applyNumberFormat="1" applyFont="1" applyFill="1" applyBorder="1" applyAlignment="1">
      <alignment horizontal="center" vertical="center"/>
    </xf>
    <xf numFmtId="0" fontId="62" fillId="13" borderId="28" xfId="0" applyFont="1" applyFill="1" applyBorder="1" applyAlignment="1">
      <alignment horizontal="center" vertical="center"/>
    </xf>
    <xf numFmtId="0" fontId="62" fillId="13" borderId="23" xfId="2" applyNumberFormat="1" applyFont="1" applyFill="1" applyBorder="1" applyAlignment="1">
      <alignment horizontal="center" vertical="center"/>
    </xf>
    <xf numFmtId="0" fontId="62" fillId="12" borderId="28" xfId="3" applyNumberFormat="1" applyFont="1" applyFill="1" applyBorder="1" applyAlignment="1">
      <alignment horizontal="center" vertical="center"/>
    </xf>
    <xf numFmtId="0" fontId="62" fillId="13" borderId="28" xfId="3" applyNumberFormat="1" applyFont="1" applyFill="1" applyBorder="1" applyAlignment="1">
      <alignment horizontal="center" vertical="center"/>
    </xf>
    <xf numFmtId="0" fontId="63" fillId="6" borderId="28" xfId="0" applyFont="1" applyFill="1" applyBorder="1" applyAlignment="1">
      <alignment horizontal="center" vertical="center"/>
    </xf>
    <xf numFmtId="168" fontId="63" fillId="6" borderId="28" xfId="2" applyNumberFormat="1" applyFont="1" applyFill="1" applyBorder="1" applyAlignment="1">
      <alignment horizontal="center" vertical="center"/>
    </xf>
    <xf numFmtId="0" fontId="63" fillId="6" borderId="27" xfId="2" applyNumberFormat="1" applyFont="1" applyFill="1" applyBorder="1" applyAlignment="1">
      <alignment horizontal="center" vertical="center"/>
    </xf>
    <xf numFmtId="164" fontId="63" fillId="6" borderId="28" xfId="3" applyFont="1" applyFill="1" applyBorder="1" applyAlignment="1">
      <alignment horizontal="center" vertical="center"/>
    </xf>
    <xf numFmtId="0" fontId="23" fillId="0" borderId="0" xfId="5" applyAlignment="1">
      <alignment horizontal="center" vertical="center"/>
    </xf>
    <xf numFmtId="0" fontId="23" fillId="0" borderId="0" xfId="5" applyNumberFormat="1" applyAlignment="1">
      <alignment horizontal="center" vertical="center"/>
    </xf>
    <xf numFmtId="0" fontId="22" fillId="0" borderId="0" xfId="5" applyFont="1">
      <alignment vertical="center"/>
    </xf>
    <xf numFmtId="16" fontId="22" fillId="0" borderId="0" xfId="5" applyNumberFormat="1" applyFont="1">
      <alignment vertical="center"/>
    </xf>
    <xf numFmtId="0" fontId="22" fillId="0" borderId="0" xfId="5" applyNumberFormat="1" applyFont="1">
      <alignment vertical="center"/>
    </xf>
    <xf numFmtId="168" fontId="22" fillId="0" borderId="0" xfId="5" applyNumberFormat="1" applyFont="1">
      <alignment vertical="center"/>
    </xf>
    <xf numFmtId="0" fontId="69" fillId="0" borderId="0" xfId="0" applyFont="1"/>
    <xf numFmtId="0" fontId="62" fillId="12" borderId="26" xfId="0" applyFont="1" applyFill="1" applyBorder="1" applyAlignment="1">
      <alignment horizontal="center" vertical="center" wrapText="1"/>
    </xf>
    <xf numFmtId="0" fontId="62" fillId="12" borderId="28" xfId="0" applyFont="1" applyFill="1" applyBorder="1" applyAlignment="1">
      <alignment horizontal="center" vertical="center" wrapText="1"/>
    </xf>
    <xf numFmtId="0" fontId="62" fillId="12" borderId="28" xfId="0" applyNumberFormat="1" applyFont="1" applyFill="1" applyBorder="1" applyAlignment="1">
      <alignment horizontal="center" vertical="center" wrapText="1"/>
    </xf>
    <xf numFmtId="0" fontId="71" fillId="10" borderId="32" xfId="0" applyFont="1" applyFill="1" applyBorder="1" applyAlignment="1">
      <alignment horizontal="center" vertical="center"/>
    </xf>
    <xf numFmtId="0" fontId="71" fillId="10" borderId="32" xfId="0" applyFont="1" applyFill="1" applyBorder="1" applyAlignment="1">
      <alignment horizontal="center" vertical="center" wrapText="1"/>
    </xf>
    <xf numFmtId="0" fontId="72" fillId="0" borderId="0" xfId="0" applyFont="1" applyAlignment="1">
      <alignment horizontal="center"/>
    </xf>
    <xf numFmtId="0" fontId="68" fillId="0" borderId="28" xfId="0" applyFont="1" applyFill="1" applyBorder="1" applyAlignment="1">
      <alignment horizontal="center" vertical="center"/>
    </xf>
    <xf numFmtId="0" fontId="68" fillId="0" borderId="28" xfId="0" applyFont="1" applyFill="1" applyBorder="1" applyAlignment="1">
      <alignment vertical="center"/>
    </xf>
    <xf numFmtId="170" fontId="68" fillId="0" borderId="28" xfId="0" applyNumberFormat="1" applyFont="1" applyFill="1" applyBorder="1" applyAlignment="1">
      <alignment horizontal="center" vertical="center"/>
    </xf>
    <xf numFmtId="0" fontId="68" fillId="0" borderId="28" xfId="2" applyNumberFormat="1" applyFont="1" applyFill="1" applyBorder="1" applyAlignment="1">
      <alignment horizontal="center" vertical="center"/>
    </xf>
    <xf numFmtId="168" fontId="68" fillId="0" borderId="28" xfId="2" applyNumberFormat="1" applyFont="1" applyFill="1" applyBorder="1" applyAlignment="1">
      <alignment horizontal="left" vertical="center" indent="1"/>
    </xf>
    <xf numFmtId="0" fontId="68" fillId="0" borderId="28" xfId="0" applyNumberFormat="1" applyFont="1" applyFill="1" applyBorder="1" applyAlignment="1">
      <alignment horizontal="center" vertical="center"/>
    </xf>
    <xf numFmtId="168" fontId="68" fillId="0" borderId="28" xfId="2" applyNumberFormat="1" applyFont="1" applyFill="1" applyBorder="1" applyAlignment="1">
      <alignment horizontal="left" vertical="center"/>
    </xf>
    <xf numFmtId="0" fontId="62" fillId="0" borderId="28" xfId="0" applyFont="1" applyFill="1" applyBorder="1" applyAlignment="1">
      <alignment horizontal="center" vertical="center"/>
    </xf>
    <xf numFmtId="0" fontId="62" fillId="0" borderId="28" xfId="0" applyFont="1" applyFill="1" applyBorder="1" applyAlignment="1">
      <alignment vertical="center"/>
    </xf>
    <xf numFmtId="168" fontId="73" fillId="0" borderId="28" xfId="0" applyNumberFormat="1" applyFont="1" applyFill="1" applyBorder="1" applyAlignment="1">
      <alignment horizontal="center" vertical="center"/>
    </xf>
    <xf numFmtId="0" fontId="73" fillId="0" borderId="28" xfId="2" applyNumberFormat="1" applyFont="1" applyFill="1" applyBorder="1" applyAlignment="1">
      <alignment horizontal="center" vertical="center"/>
    </xf>
    <xf numFmtId="168" fontId="68" fillId="0" borderId="28" xfId="0" applyNumberFormat="1" applyFont="1" applyFill="1" applyBorder="1" applyAlignment="1">
      <alignment horizontal="center" vertical="center"/>
    </xf>
    <xf numFmtId="0" fontId="62" fillId="0" borderId="28" xfId="0" applyFont="1" applyFill="1" applyBorder="1" applyAlignment="1">
      <alignment horizontal="left" vertical="center"/>
    </xf>
    <xf numFmtId="168" fontId="74" fillId="0" borderId="28" xfId="2" applyNumberFormat="1" applyFont="1" applyFill="1" applyBorder="1" applyAlignment="1">
      <alignment horizontal="left" vertical="center" indent="1"/>
    </xf>
    <xf numFmtId="168" fontId="74" fillId="0" borderId="28" xfId="2" applyNumberFormat="1" applyFont="1" applyFill="1" applyBorder="1" applyAlignment="1">
      <alignment horizontal="left" vertical="center"/>
    </xf>
    <xf numFmtId="168" fontId="74" fillId="0" borderId="28" xfId="0" applyNumberFormat="1" applyFont="1" applyFill="1" applyBorder="1" applyAlignment="1">
      <alignment horizontal="center" vertical="center"/>
    </xf>
    <xf numFmtId="168" fontId="74" fillId="0" borderId="28" xfId="2" applyNumberFormat="1" applyFont="1" applyFill="1" applyBorder="1" applyAlignment="1">
      <alignment horizontal="center" vertical="center"/>
    </xf>
    <xf numFmtId="0" fontId="74" fillId="0" borderId="28" xfId="2" applyNumberFormat="1" applyFont="1" applyFill="1" applyBorder="1" applyAlignment="1">
      <alignment horizontal="center" vertical="center"/>
    </xf>
    <xf numFmtId="0" fontId="62" fillId="0" borderId="28" xfId="0" applyNumberFormat="1" applyFont="1" applyFill="1" applyBorder="1" applyAlignment="1">
      <alignment horizontal="center" vertical="center"/>
    </xf>
    <xf numFmtId="0" fontId="62" fillId="0" borderId="22" xfId="0" applyFont="1" applyFill="1" applyBorder="1" applyAlignment="1">
      <alignment horizontal="center" vertical="center"/>
    </xf>
    <xf numFmtId="0" fontId="62" fillId="0" borderId="22" xfId="0" applyFont="1" applyFill="1" applyBorder="1" applyAlignment="1">
      <alignment horizontal="left" vertical="center"/>
    </xf>
    <xf numFmtId="168" fontId="74" fillId="0" borderId="22" xfId="0" applyNumberFormat="1" applyFont="1" applyFill="1" applyBorder="1" applyAlignment="1">
      <alignment horizontal="center" vertical="center"/>
    </xf>
    <xf numFmtId="168" fontId="74" fillId="0" borderId="22" xfId="2" applyNumberFormat="1" applyFont="1" applyFill="1" applyBorder="1" applyAlignment="1">
      <alignment horizontal="center" vertical="center"/>
    </xf>
    <xf numFmtId="0" fontId="74" fillId="0" borderId="22" xfId="2" applyNumberFormat="1" applyFont="1" applyFill="1" applyBorder="1" applyAlignment="1">
      <alignment horizontal="center" vertical="center"/>
    </xf>
    <xf numFmtId="168" fontId="74" fillId="0" borderId="22" xfId="2" applyNumberFormat="1" applyFont="1" applyFill="1" applyBorder="1" applyAlignment="1">
      <alignment horizontal="left" vertical="center"/>
    </xf>
    <xf numFmtId="168" fontId="63" fillId="0" borderId="28" xfId="0" applyNumberFormat="1" applyFont="1" applyFill="1" applyBorder="1" applyAlignment="1">
      <alignment horizontal="center" vertical="center"/>
    </xf>
    <xf numFmtId="43" fontId="63" fillId="0" borderId="28" xfId="2" applyFont="1" applyFill="1" applyBorder="1" applyAlignment="1">
      <alignment horizontal="left" vertical="center" indent="1"/>
    </xf>
    <xf numFmtId="1" fontId="63" fillId="0" borderId="28" xfId="2" applyNumberFormat="1" applyFont="1" applyFill="1" applyBorder="1" applyAlignment="1">
      <alignment horizontal="center" vertical="center"/>
    </xf>
    <xf numFmtId="168" fontId="0" fillId="0" borderId="0" xfId="0" applyNumberFormat="1" applyFill="1"/>
    <xf numFmtId="168" fontId="0" fillId="0" borderId="0" xfId="0" applyNumberFormat="1"/>
    <xf numFmtId="0" fontId="68" fillId="0" borderId="28" xfId="0" applyFont="1" applyFill="1" applyBorder="1" applyAlignment="1">
      <alignment horizontal="left" vertical="center"/>
    </xf>
    <xf numFmtId="0" fontId="68" fillId="0" borderId="28" xfId="2" applyNumberFormat="1" applyFont="1" applyFill="1" applyBorder="1" applyAlignment="1">
      <alignment horizontal="left" vertical="center" indent="1"/>
    </xf>
    <xf numFmtId="0" fontId="68" fillId="0" borderId="28" xfId="2" applyNumberFormat="1" applyFont="1" applyFill="1" applyBorder="1" applyAlignment="1">
      <alignment horizontal="left" vertical="center"/>
    </xf>
    <xf numFmtId="0" fontId="9" fillId="0" borderId="0" xfId="0" applyFont="1"/>
    <xf numFmtId="0" fontId="75" fillId="0" borderId="0" xfId="5" applyFont="1">
      <alignment vertical="center"/>
    </xf>
    <xf numFmtId="0" fontId="69" fillId="0" borderId="0" xfId="0" applyFont="1" applyAlignment="1">
      <alignment vertical="center"/>
    </xf>
    <xf numFmtId="0" fontId="69" fillId="0" borderId="30" xfId="0" applyNumberFormat="1" applyFont="1" applyBorder="1" applyAlignment="1">
      <alignment horizontal="center" vertical="center"/>
    </xf>
    <xf numFmtId="0" fontId="69" fillId="0" borderId="30" xfId="0" applyFont="1" applyBorder="1" applyAlignment="1">
      <alignment horizontal="center" vertical="center"/>
    </xf>
    <xf numFmtId="0" fontId="75" fillId="0" borderId="0" xfId="0" applyFont="1" applyAlignment="1">
      <alignment vertical="center"/>
    </xf>
    <xf numFmtId="0" fontId="75" fillId="0" borderId="30" xfId="0" applyFont="1" applyBorder="1" applyAlignment="1">
      <alignment horizontal="center" vertical="center"/>
    </xf>
    <xf numFmtId="0" fontId="69" fillId="0" borderId="0" xfId="0" applyFont="1" applyFill="1"/>
    <xf numFmtId="0" fontId="75" fillId="0" borderId="30" xfId="5" applyFont="1" applyBorder="1">
      <alignment vertical="center"/>
    </xf>
    <xf numFmtId="0" fontId="75" fillId="0" borderId="30" xfId="5" applyFont="1" applyBorder="1" applyAlignment="1">
      <alignment horizontal="center" vertical="center"/>
    </xf>
    <xf numFmtId="0" fontId="69" fillId="0" borderId="30" xfId="0" applyFont="1" applyBorder="1" applyAlignment="1">
      <alignment vertical="center"/>
    </xf>
    <xf numFmtId="167" fontId="75" fillId="0" borderId="30" xfId="0" applyNumberFormat="1" applyFont="1" applyBorder="1" applyAlignment="1">
      <alignment vertical="center"/>
    </xf>
    <xf numFmtId="0" fontId="69" fillId="0" borderId="30" xfId="0" applyFont="1" applyFill="1" applyBorder="1"/>
    <xf numFmtId="14" fontId="69" fillId="0" borderId="30" xfId="0" applyNumberFormat="1" applyFont="1" applyBorder="1" applyAlignment="1">
      <alignment horizontal="left" vertical="center"/>
    </xf>
    <xf numFmtId="0" fontId="23" fillId="0" borderId="0" xfId="5" applyAlignment="1">
      <alignment horizontal="left" vertical="center"/>
    </xf>
    <xf numFmtId="0" fontId="20" fillId="14" borderId="30" xfId="5" applyFont="1" applyFill="1" applyBorder="1">
      <alignment vertical="center"/>
    </xf>
    <xf numFmtId="0" fontId="20" fillId="14" borderId="30" xfId="5" applyNumberFormat="1" applyFont="1" applyFill="1" applyBorder="1">
      <alignment vertical="center"/>
    </xf>
    <xf numFmtId="168" fontId="75" fillId="0" borderId="30" xfId="5" applyNumberFormat="1" applyFont="1" applyBorder="1">
      <alignment vertical="center"/>
    </xf>
    <xf numFmtId="168" fontId="75" fillId="0" borderId="30" xfId="5" applyNumberFormat="1" applyFont="1" applyBorder="1" applyAlignment="1">
      <alignment horizontal="center" vertical="center"/>
    </xf>
    <xf numFmtId="0" fontId="69" fillId="0" borderId="30" xfId="9" applyNumberFormat="1" applyFont="1" applyBorder="1" applyAlignment="1">
      <alignment horizontal="center" vertical="center"/>
    </xf>
    <xf numFmtId="0" fontId="69" fillId="0" borderId="30" xfId="0" quotePrefix="1" applyFont="1" applyBorder="1" applyAlignment="1">
      <alignment vertical="center"/>
    </xf>
    <xf numFmtId="14" fontId="77" fillId="17" borderId="30" xfId="0" applyNumberFormat="1" applyFont="1" applyFill="1" applyBorder="1" applyAlignment="1">
      <alignment horizontal="left" vertical="center" wrapText="1"/>
    </xf>
    <xf numFmtId="0" fontId="77" fillId="17" borderId="30" xfId="0" applyFont="1" applyFill="1" applyBorder="1" applyAlignment="1">
      <alignment horizontal="center" vertical="center" wrapText="1"/>
    </xf>
    <xf numFmtId="0" fontId="78" fillId="0" borderId="0" xfId="5" applyFont="1">
      <alignment vertical="center"/>
    </xf>
    <xf numFmtId="0" fontId="77" fillId="3" borderId="30" xfId="0" applyFont="1" applyFill="1" applyBorder="1" applyAlignment="1">
      <alignment horizontal="center" vertical="center" wrapText="1"/>
    </xf>
    <xf numFmtId="0" fontId="77" fillId="3" borderId="30" xfId="0" applyNumberFormat="1" applyFont="1" applyFill="1" applyBorder="1" applyAlignment="1">
      <alignment horizontal="center" vertical="center" wrapText="1"/>
    </xf>
    <xf numFmtId="0" fontId="79" fillId="0" borderId="0" xfId="0" applyFont="1" applyFill="1" applyAlignment="1">
      <alignment vertical="center"/>
    </xf>
    <xf numFmtId="0" fontId="79" fillId="0" borderId="0" xfId="0" quotePrefix="1" applyFont="1" applyFill="1" applyAlignment="1">
      <alignment vertical="center"/>
    </xf>
    <xf numFmtId="168" fontId="79" fillId="0" borderId="0" xfId="0" applyNumberFormat="1" applyFont="1" applyFill="1" applyAlignment="1">
      <alignment horizontal="center" vertical="center"/>
    </xf>
    <xf numFmtId="0" fontId="81" fillId="0" borderId="10" xfId="0" applyFont="1" applyFill="1" applyBorder="1" applyAlignment="1">
      <alignment vertical="center"/>
    </xf>
    <xf numFmtId="168" fontId="24" fillId="7" borderId="10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68" fontId="81" fillId="0" borderId="0" xfId="0" applyNumberFormat="1" applyFont="1"/>
    <xf numFmtId="0" fontId="65" fillId="0" borderId="31" xfId="1101" applyFont="1" applyBorder="1" applyAlignment="1"/>
    <xf numFmtId="0" fontId="11" fillId="0" borderId="0" xfId="1101" applyFont="1" applyAlignment="1">
      <alignment horizontal="center"/>
    </xf>
    <xf numFmtId="0" fontId="11" fillId="0" borderId="0" xfId="1101" applyFont="1" applyAlignment="1"/>
    <xf numFmtId="169" fontId="62" fillId="11" borderId="30" xfId="1101" applyNumberFormat="1" applyFont="1" applyFill="1" applyBorder="1" applyAlignment="1">
      <alignment horizontal="center" vertical="center"/>
    </xf>
    <xf numFmtId="169" fontId="62" fillId="11" borderId="30" xfId="1101" applyNumberFormat="1" applyFont="1" applyFill="1" applyBorder="1" applyAlignment="1">
      <alignment horizontal="center"/>
    </xf>
    <xf numFmtId="0" fontId="62" fillId="0" borderId="0" xfId="1101" applyFont="1" applyAlignment="1"/>
    <xf numFmtId="0" fontId="11" fillId="16" borderId="30" xfId="1101" applyFont="1" applyFill="1" applyBorder="1" applyAlignment="1">
      <alignment horizontal="center" vertical="center"/>
    </xf>
    <xf numFmtId="0" fontId="11" fillId="16" borderId="30" xfId="1101" applyFont="1" applyFill="1" applyBorder="1" applyAlignment="1">
      <alignment vertical="center"/>
    </xf>
    <xf numFmtId="0" fontId="66" fillId="16" borderId="30" xfId="1101" applyFont="1" applyFill="1" applyBorder="1" applyAlignment="1">
      <alignment horizontal="center" vertical="center"/>
    </xf>
    <xf numFmtId="0" fontId="11" fillId="0" borderId="0" xfId="1101" applyFont="1" applyAlignment="1">
      <alignment vertical="center"/>
    </xf>
    <xf numFmtId="0" fontId="67" fillId="16" borderId="30" xfId="1101" applyFont="1" applyFill="1" applyBorder="1" applyAlignment="1">
      <alignment horizontal="center" vertical="center"/>
    </xf>
    <xf numFmtId="0" fontId="11" fillId="16" borderId="30" xfId="1101" applyFont="1" applyFill="1" applyBorder="1" applyAlignment="1">
      <alignment horizontal="center"/>
    </xf>
    <xf numFmtId="0" fontId="67" fillId="16" borderId="30" xfId="1101" applyFont="1" applyFill="1" applyBorder="1" applyAlignment="1">
      <alignment horizontal="center"/>
    </xf>
    <xf numFmtId="0" fontId="66" fillId="16" borderId="30" xfId="1101" applyFont="1" applyFill="1" applyBorder="1" applyAlignment="1">
      <alignment horizontal="center"/>
    </xf>
    <xf numFmtId="0" fontId="67" fillId="0" borderId="0" xfId="1101" applyFont="1" applyAlignment="1">
      <alignment horizontal="center"/>
    </xf>
    <xf numFmtId="43" fontId="69" fillId="0" borderId="30" xfId="9" applyFont="1" applyBorder="1" applyAlignment="1">
      <alignment vertical="center"/>
    </xf>
    <xf numFmtId="0" fontId="83" fillId="0" borderId="0" xfId="0" applyFont="1" applyAlignment="1">
      <alignment vertical="center"/>
    </xf>
    <xf numFmtId="0" fontId="82" fillId="0" borderId="0" xfId="0" applyFont="1" applyAlignment="1">
      <alignment vertical="center"/>
    </xf>
    <xf numFmtId="0" fontId="84" fillId="0" borderId="0" xfId="0" applyFont="1" applyAlignment="1">
      <alignment vertical="center"/>
    </xf>
    <xf numFmtId="0" fontId="82" fillId="0" borderId="0" xfId="0" applyFont="1"/>
    <xf numFmtId="0" fontId="82" fillId="0" borderId="0" xfId="0" applyFont="1" applyFill="1"/>
    <xf numFmtId="0" fontId="82" fillId="0" borderId="10" xfId="0" applyFont="1" applyBorder="1"/>
    <xf numFmtId="0" fontId="83" fillId="0" borderId="0" xfId="0" applyFont="1"/>
    <xf numFmtId="168" fontId="82" fillId="0" borderId="10" xfId="6" applyNumberFormat="1" applyFont="1" applyFill="1" applyBorder="1" applyAlignment="1">
      <alignment horizontal="center" vertical="center"/>
    </xf>
    <xf numFmtId="0" fontId="82" fillId="0" borderId="10" xfId="7" quotePrefix="1" applyFont="1" applyFill="1" applyBorder="1" applyAlignment="1">
      <alignment horizontal="center" vertical="center" wrapText="1"/>
    </xf>
    <xf numFmtId="168" fontId="82" fillId="0" borderId="0" xfId="0" applyNumberFormat="1" applyFont="1"/>
    <xf numFmtId="168" fontId="82" fillId="0" borderId="10" xfId="0" applyNumberFormat="1" applyFont="1" applyBorder="1" applyAlignment="1">
      <alignment horizontal="center" vertical="center"/>
    </xf>
    <xf numFmtId="0" fontId="82" fillId="0" borderId="10" xfId="0" applyFont="1" applyFill="1" applyBorder="1" applyAlignment="1">
      <alignment horizontal="left" vertical="center"/>
    </xf>
    <xf numFmtId="0" fontId="82" fillId="0" borderId="10" xfId="0" applyFont="1" applyBorder="1" applyAlignment="1">
      <alignment vertical="center"/>
    </xf>
    <xf numFmtId="0" fontId="82" fillId="0" borderId="10" xfId="0" applyFont="1" applyBorder="1" applyAlignment="1">
      <alignment horizontal="left" vertical="center"/>
    </xf>
    <xf numFmtId="0" fontId="82" fillId="0" borderId="10" xfId="0" applyNumberFormat="1" applyFont="1" applyBorder="1" applyAlignment="1">
      <alignment horizontal="center" vertical="center"/>
    </xf>
    <xf numFmtId="168" fontId="84" fillId="0" borderId="10" xfId="0" applyNumberFormat="1" applyFont="1" applyBorder="1" applyAlignment="1">
      <alignment horizontal="center" vertical="center"/>
    </xf>
    <xf numFmtId="0" fontId="84" fillId="0" borderId="10" xfId="0" applyFont="1" applyBorder="1" applyAlignment="1">
      <alignment vertical="center"/>
    </xf>
    <xf numFmtId="168" fontId="83" fillId="0" borderId="10" xfId="0" applyNumberFormat="1" applyFont="1" applyBorder="1" applyAlignment="1">
      <alignment horizontal="center" vertical="center"/>
    </xf>
    <xf numFmtId="0" fontId="83" fillId="0" borderId="10" xfId="0" applyFont="1" applyBorder="1" applyAlignment="1">
      <alignment vertical="center"/>
    </xf>
    <xf numFmtId="0" fontId="76" fillId="0" borderId="0" xfId="0" applyFont="1"/>
    <xf numFmtId="168" fontId="82" fillId="0" borderId="10" xfId="0" applyNumberFormat="1" applyFont="1" applyBorder="1" applyAlignment="1">
      <alignment horizontal="center"/>
    </xf>
    <xf numFmtId="0" fontId="82" fillId="0" borderId="10" xfId="0" applyNumberFormat="1" applyFont="1" applyBorder="1" applyAlignment="1">
      <alignment horizontal="center"/>
    </xf>
    <xf numFmtId="0" fontId="85" fillId="0" borderId="10" xfId="0" applyFont="1" applyFill="1" applyBorder="1" applyAlignment="1">
      <alignment vertical="center"/>
    </xf>
    <xf numFmtId="168" fontId="86" fillId="0" borderId="10" xfId="6" applyNumberFormat="1" applyFont="1" applyFill="1" applyBorder="1" applyAlignment="1">
      <alignment horizontal="center" vertical="center"/>
    </xf>
    <xf numFmtId="168" fontId="87" fillId="0" borderId="10" xfId="6" applyNumberFormat="1" applyFont="1" applyFill="1" applyBorder="1" applyAlignment="1">
      <alignment horizontal="center" vertical="center"/>
    </xf>
    <xf numFmtId="168" fontId="81" fillId="0" borderId="10" xfId="6" applyNumberFormat="1" applyFont="1" applyFill="1" applyBorder="1" applyAlignment="1">
      <alignment horizontal="center" vertical="center"/>
    </xf>
    <xf numFmtId="0" fontId="82" fillId="0" borderId="10" xfId="0" applyFont="1" applyBorder="1" applyAlignment="1">
      <alignment horizontal="center" vertical="center"/>
    </xf>
    <xf numFmtId="0" fontId="82" fillId="0" borderId="10" xfId="7" quotePrefix="1" applyFont="1" applyFill="1" applyBorder="1" applyAlignment="1">
      <alignment horizontal="center" vertical="center"/>
    </xf>
    <xf numFmtId="168" fontId="82" fillId="0" borderId="10" xfId="6" applyNumberFormat="1" applyFont="1" applyFill="1" applyBorder="1" applyAlignment="1">
      <alignment vertical="center"/>
    </xf>
    <xf numFmtId="0" fontId="82" fillId="0" borderId="10" xfId="3" applyNumberFormat="1" applyFont="1" applyBorder="1" applyAlignment="1">
      <alignment horizontal="center"/>
    </xf>
    <xf numFmtId="0" fontId="20" fillId="0" borderId="10" xfId="0" applyFont="1" applyBorder="1" applyAlignment="1">
      <alignment vertical="center"/>
    </xf>
    <xf numFmtId="164" fontId="20" fillId="0" borderId="10" xfId="3" applyFont="1" applyBorder="1" applyAlignment="1">
      <alignment horizontal="center" vertical="center"/>
    </xf>
    <xf numFmtId="0" fontId="22" fillId="0" borderId="0" xfId="0" applyNumberFormat="1" applyFont="1" applyAlignment="1">
      <alignment horizontal="center"/>
    </xf>
    <xf numFmtId="0" fontId="86" fillId="0" borderId="10" xfId="7" quotePrefix="1" applyFont="1" applyFill="1" applyBorder="1" applyAlignment="1">
      <alignment horizontal="center" vertical="center" wrapText="1"/>
    </xf>
    <xf numFmtId="0" fontId="87" fillId="0" borderId="10" xfId="7" quotePrefix="1" applyFont="1" applyFill="1" applyBorder="1" applyAlignment="1">
      <alignment horizontal="center" vertical="center" wrapText="1"/>
    </xf>
    <xf numFmtId="0" fontId="81" fillId="0" borderId="10" xfId="7" quotePrefix="1" applyFont="1" applyFill="1" applyBorder="1" applyAlignment="1">
      <alignment horizontal="center" vertical="center" wrapText="1"/>
    </xf>
    <xf numFmtId="0" fontId="83" fillId="0" borderId="10" xfId="0" applyFont="1" applyBorder="1"/>
    <xf numFmtId="0" fontId="86" fillId="0" borderId="10" xfId="0" applyFont="1" applyBorder="1" applyAlignment="1">
      <alignment vertical="center"/>
    </xf>
    <xf numFmtId="0" fontId="87" fillId="0" borderId="10" xfId="0" applyFont="1" applyBorder="1" applyAlignment="1">
      <alignment vertical="center"/>
    </xf>
    <xf numFmtId="0" fontId="86" fillId="0" borderId="10" xfId="0" applyFont="1" applyFill="1" applyBorder="1" applyAlignment="1">
      <alignment vertical="center"/>
    </xf>
    <xf numFmtId="0" fontId="87" fillId="0" borderId="10" xfId="0" applyFont="1" applyFill="1" applyBorder="1" applyAlignment="1">
      <alignment vertical="center"/>
    </xf>
    <xf numFmtId="0" fontId="86" fillId="0" borderId="10" xfId="0" applyFont="1" applyBorder="1" applyAlignment="1">
      <alignment horizontal="left" vertical="center"/>
    </xf>
    <xf numFmtId="0" fontId="87" fillId="0" borderId="10" xfId="0" applyFont="1" applyBorder="1" applyAlignment="1">
      <alignment horizontal="left" vertical="center"/>
    </xf>
    <xf numFmtId="0" fontId="81" fillId="0" borderId="10" xfId="0" applyFont="1" applyBorder="1" applyAlignment="1">
      <alignment horizontal="left" vertical="center"/>
    </xf>
    <xf numFmtId="168" fontId="84" fillId="0" borderId="10" xfId="0" applyNumberFormat="1" applyFont="1" applyBorder="1" applyAlignment="1">
      <alignment horizontal="left" vertical="center"/>
    </xf>
    <xf numFmtId="0" fontId="82" fillId="0" borderId="0" xfId="5" applyFont="1">
      <alignment vertical="center"/>
    </xf>
    <xf numFmtId="0" fontId="82" fillId="0" borderId="0" xfId="5" applyFont="1" applyAlignment="1">
      <alignment horizontal="center" vertical="center"/>
    </xf>
    <xf numFmtId="0" fontId="82" fillId="0" borderId="0" xfId="5" applyNumberFormat="1" applyFont="1" applyAlignment="1">
      <alignment horizontal="center" vertical="center"/>
    </xf>
    <xf numFmtId="168" fontId="81" fillId="0" borderId="0" xfId="5" applyNumberFormat="1" applyFont="1" applyAlignment="1">
      <alignment horizontal="left" vertical="center"/>
    </xf>
    <xf numFmtId="0" fontId="81" fillId="0" borderId="0" xfId="5" applyFont="1">
      <alignment vertical="center"/>
    </xf>
    <xf numFmtId="0" fontId="81" fillId="0" borderId="0" xfId="5" applyFont="1" applyAlignment="1">
      <alignment horizontal="center" vertical="center"/>
    </xf>
    <xf numFmtId="0" fontId="81" fillId="0" borderId="0" xfId="5" applyNumberFormat="1" applyFont="1" applyAlignment="1">
      <alignment horizontal="center" vertical="center"/>
    </xf>
    <xf numFmtId="0" fontId="76" fillId="0" borderId="12" xfId="0" applyFont="1" applyFill="1" applyBorder="1"/>
    <xf numFmtId="0" fontId="82" fillId="0" borderId="12" xfId="0" applyFont="1" applyFill="1" applyBorder="1" applyAlignment="1">
      <alignment vertical="center"/>
    </xf>
    <xf numFmtId="0" fontId="88" fillId="0" borderId="12" xfId="0" applyFont="1" applyBorder="1" applyAlignment="1">
      <alignment horizontal="left" vertical="center"/>
    </xf>
    <xf numFmtId="170" fontId="76" fillId="0" borderId="12" xfId="0" applyNumberFormat="1" applyFont="1" applyFill="1" applyBorder="1"/>
    <xf numFmtId="170" fontId="76" fillId="0" borderId="33" xfId="0" applyNumberFormat="1" applyFont="1" applyFill="1" applyBorder="1"/>
    <xf numFmtId="0" fontId="77" fillId="17" borderId="0" xfId="0" applyFont="1" applyFill="1" applyBorder="1" applyAlignment="1">
      <alignment horizontal="center" vertical="center" wrapText="1"/>
    </xf>
    <xf numFmtId="170" fontId="75" fillId="0" borderId="0" xfId="5" applyNumberFormat="1" applyFont="1" applyBorder="1">
      <alignment vertical="center"/>
    </xf>
    <xf numFmtId="0" fontId="81" fillId="0" borderId="10" xfId="7" quotePrefix="1" applyFont="1" applyFill="1" applyBorder="1" applyAlignment="1">
      <alignment horizontal="center" vertical="center"/>
    </xf>
    <xf numFmtId="0" fontId="87" fillId="0" borderId="10" xfId="7" quotePrefix="1" applyFont="1" applyFill="1" applyBorder="1" applyAlignment="1">
      <alignment horizontal="center" vertical="center"/>
    </xf>
    <xf numFmtId="168" fontId="81" fillId="0" borderId="10" xfId="0" applyNumberFormat="1" applyFont="1" applyBorder="1" applyAlignment="1">
      <alignment horizontal="center" vertical="center"/>
    </xf>
    <xf numFmtId="0" fontId="81" fillId="0" borderId="10" xfId="0" applyFont="1" applyBorder="1" applyAlignment="1">
      <alignment vertical="center"/>
    </xf>
    <xf numFmtId="0" fontId="22" fillId="0" borderId="0" xfId="0" applyNumberFormat="1" applyFont="1" applyFill="1"/>
    <xf numFmtId="168" fontId="22" fillId="0" borderId="0" xfId="0" applyNumberFormat="1" applyFont="1" applyFill="1"/>
    <xf numFmtId="0" fontId="22" fillId="0" borderId="0" xfId="0" applyNumberFormat="1" applyFont="1" applyAlignment="1">
      <alignment wrapText="1"/>
    </xf>
    <xf numFmtId="168" fontId="22" fillId="0" borderId="0" xfId="0" applyNumberFormat="1" applyFont="1" applyAlignment="1">
      <alignment wrapText="1"/>
    </xf>
    <xf numFmtId="0" fontId="22" fillId="0" borderId="0" xfId="0" applyFont="1" applyAlignment="1">
      <alignment wrapText="1"/>
    </xf>
    <xf numFmtId="0" fontId="82" fillId="0" borderId="0" xfId="0" applyNumberFormat="1" applyFont="1" applyAlignment="1">
      <alignment vertical="center"/>
    </xf>
    <xf numFmtId="168" fontId="82" fillId="0" borderId="0" xfId="0" applyNumberFormat="1" applyFont="1" applyAlignment="1">
      <alignment vertical="center"/>
    </xf>
    <xf numFmtId="14" fontId="82" fillId="0" borderId="0" xfId="0" applyNumberFormat="1" applyFont="1"/>
    <xf numFmtId="0" fontId="22" fillId="0" borderId="0" xfId="0" applyNumberFormat="1" applyFont="1"/>
    <xf numFmtId="168" fontId="22" fillId="0" borderId="0" xfId="0" applyNumberFormat="1" applyFont="1"/>
    <xf numFmtId="0" fontId="82" fillId="0" borderId="0" xfId="0" applyNumberFormat="1" applyFont="1"/>
    <xf numFmtId="0" fontId="82" fillId="0" borderId="10" xfId="3" applyNumberFormat="1" applyFont="1" applyBorder="1" applyAlignment="1">
      <alignment horizontal="center" vertical="center"/>
    </xf>
    <xf numFmtId="0" fontId="85" fillId="0" borderId="10" xfId="0" applyFont="1" applyBorder="1" applyAlignment="1">
      <alignment horizontal="center" vertical="center"/>
    </xf>
    <xf numFmtId="168" fontId="89" fillId="0" borderId="10" xfId="6" applyNumberFormat="1" applyFont="1" applyFill="1" applyBorder="1" applyAlignment="1">
      <alignment horizontal="center" vertical="center"/>
    </xf>
    <xf numFmtId="0" fontId="89" fillId="0" borderId="10" xfId="7" quotePrefix="1" applyFont="1" applyFill="1" applyBorder="1" applyAlignment="1">
      <alignment horizontal="center" vertical="center" wrapText="1"/>
    </xf>
    <xf numFmtId="168" fontId="90" fillId="0" borderId="10" xfId="0" applyNumberFormat="1" applyFont="1" applyBorder="1" applyAlignment="1">
      <alignment horizontal="center" vertical="center"/>
    </xf>
    <xf numFmtId="0" fontId="90" fillId="0" borderId="10" xfId="0" applyFont="1" applyBorder="1" applyAlignment="1">
      <alignment vertical="center"/>
    </xf>
    <xf numFmtId="0" fontId="91" fillId="0" borderId="10" xfId="0" applyFont="1" applyBorder="1" applyAlignment="1">
      <alignment vertical="center"/>
    </xf>
    <xf numFmtId="0" fontId="89" fillId="0" borderId="10" xfId="0" applyFont="1" applyBorder="1" applyAlignment="1">
      <alignment horizontal="left" vertical="center"/>
    </xf>
    <xf numFmtId="164" fontId="85" fillId="0" borderId="10" xfId="3" applyFont="1" applyBorder="1" applyAlignment="1">
      <alignment horizontal="center" vertical="center"/>
    </xf>
    <xf numFmtId="0" fontId="85" fillId="0" borderId="0" xfId="0" applyNumberFormat="1" applyFont="1" applyAlignment="1">
      <alignment vertical="center"/>
    </xf>
    <xf numFmtId="168" fontId="85" fillId="0" borderId="0" xfId="0" applyNumberFormat="1" applyFont="1" applyAlignment="1">
      <alignment vertical="center"/>
    </xf>
    <xf numFmtId="0" fontId="85" fillId="0" borderId="0" xfId="0" applyFont="1" applyAlignment="1">
      <alignment vertical="center"/>
    </xf>
    <xf numFmtId="0" fontId="90" fillId="0" borderId="0" xfId="0" applyFont="1" applyAlignment="1">
      <alignment vertical="center"/>
    </xf>
    <xf numFmtId="0" fontId="82" fillId="0" borderId="30" xfId="5" applyFont="1" applyBorder="1">
      <alignment vertical="center"/>
    </xf>
    <xf numFmtId="0" fontId="82" fillId="0" borderId="30" xfId="5" applyFont="1" applyBorder="1" applyAlignment="1">
      <alignment horizontal="center" vertical="center"/>
    </xf>
    <xf numFmtId="0" fontId="81" fillId="0" borderId="30" xfId="5" applyFont="1" applyBorder="1">
      <alignment vertical="center"/>
    </xf>
    <xf numFmtId="0" fontId="81" fillId="0" borderId="30" xfId="5" applyFont="1" applyBorder="1" applyAlignment="1">
      <alignment horizontal="center" vertical="center"/>
    </xf>
    <xf numFmtId="170" fontId="76" fillId="0" borderId="30" xfId="0" applyNumberFormat="1" applyFont="1" applyFill="1" applyBorder="1"/>
    <xf numFmtId="0" fontId="82" fillId="0" borderId="12" xfId="5" applyFont="1" applyBorder="1">
      <alignment vertical="center"/>
    </xf>
    <xf numFmtId="0" fontId="76" fillId="0" borderId="30" xfId="0" applyFont="1" applyFill="1" applyBorder="1"/>
    <xf numFmtId="0" fontId="81" fillId="0" borderId="12" xfId="5" applyFont="1" applyBorder="1">
      <alignment vertical="center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18" fillId="0" borderId="0" xfId="0" applyFont="1" applyAlignment="1">
      <alignment horizontal="left" vertical="top" wrapText="1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18" xfId="0" applyBorder="1" applyAlignment="1">
      <alignment horizontal="center" vertical="top" wrapText="1"/>
    </xf>
    <xf numFmtId="0" fontId="0" fillId="0" borderId="0" xfId="0" applyBorder="1" applyAlignment="1">
      <alignment horizontal="center" vertical="top" wrapText="1"/>
    </xf>
    <xf numFmtId="0" fontId="0" fillId="0" borderId="2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2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19" fillId="0" borderId="2" xfId="0" applyFont="1" applyBorder="1" applyAlignment="1">
      <alignment horizontal="left" vertical="top" wrapText="1"/>
    </xf>
    <xf numFmtId="0" fontId="19" fillId="0" borderId="0" xfId="0" applyFont="1" applyBorder="1" applyAlignment="1">
      <alignment horizontal="left" vertical="top" wrapText="1"/>
    </xf>
    <xf numFmtId="0" fontId="18" fillId="0" borderId="5" xfId="0" applyFont="1" applyBorder="1" applyAlignment="1">
      <alignment horizontal="left" vertical="top" wrapText="1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 vertical="top"/>
    </xf>
    <xf numFmtId="0" fontId="0" fillId="0" borderId="17" xfId="0" applyBorder="1" applyAlignment="1">
      <alignment horizontal="center" vertical="top"/>
    </xf>
    <xf numFmtId="0" fontId="0" fillId="0" borderId="15" xfId="0" applyBorder="1" applyAlignment="1">
      <alignment horizontal="center" vertical="top"/>
    </xf>
    <xf numFmtId="0" fontId="0" fillId="0" borderId="10" xfId="0" applyFill="1" applyBorder="1" applyAlignment="1">
      <alignment vertical="top" wrapText="1"/>
    </xf>
    <xf numFmtId="0" fontId="0" fillId="0" borderId="10" xfId="0" applyBorder="1" applyAlignment="1">
      <alignment horizontal="left" vertical="top"/>
    </xf>
    <xf numFmtId="0" fontId="0" fillId="0" borderId="10" xfId="0" applyBorder="1" applyAlignment="1">
      <alignment vertical="top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7" xfId="0" applyBorder="1" applyAlignment="1">
      <alignment horizontal="center" vertical="top"/>
    </xf>
    <xf numFmtId="0" fontId="0" fillId="0" borderId="8" xfId="0" applyBorder="1" applyAlignment="1">
      <alignment horizontal="center" vertical="top"/>
    </xf>
    <xf numFmtId="0" fontId="0" fillId="0" borderId="9" xfId="0" applyBorder="1" applyAlignment="1">
      <alignment horizontal="center" vertical="top"/>
    </xf>
    <xf numFmtId="0" fontId="0" fillId="0" borderId="10" xfId="0" applyBorder="1" applyAlignment="1">
      <alignment horizontal="center" vertical="top"/>
    </xf>
    <xf numFmtId="0" fontId="16" fillId="0" borderId="10" xfId="0" applyFont="1" applyBorder="1" applyAlignment="1">
      <alignment horizontal="left" vertical="top"/>
    </xf>
    <xf numFmtId="0" fontId="0" fillId="0" borderId="10" xfId="0" applyBorder="1" applyAlignment="1">
      <alignment horizontal="left"/>
    </xf>
    <xf numFmtId="0" fontId="17" fillId="0" borderId="10" xfId="0" applyFont="1" applyBorder="1" applyAlignment="1">
      <alignment horizontal="center" vertical="top"/>
    </xf>
    <xf numFmtId="0" fontId="0" fillId="0" borderId="10" xfId="0" applyBorder="1" applyAlignment="1">
      <alignment horizontal="left" vertical="top" wrapText="1"/>
    </xf>
    <xf numFmtId="0" fontId="0" fillId="0" borderId="10" xfId="0" applyBorder="1" applyAlignment="1">
      <alignment vertical="top" wrapText="1"/>
    </xf>
    <xf numFmtId="0" fontId="0" fillId="0" borderId="1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6" xfId="0" applyBorder="1" applyAlignment="1">
      <alignment vertical="top"/>
    </xf>
    <xf numFmtId="0" fontId="0" fillId="0" borderId="17" xfId="0" applyBorder="1" applyAlignment="1">
      <alignment vertical="top"/>
    </xf>
    <xf numFmtId="0" fontId="0" fillId="0" borderId="15" xfId="0" applyBorder="1" applyAlignment="1">
      <alignment vertical="top"/>
    </xf>
    <xf numFmtId="0" fontId="0" fillId="0" borderId="1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1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7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9" xfId="0" applyBorder="1" applyAlignment="1">
      <alignment horizontal="left" vertical="top"/>
    </xf>
    <xf numFmtId="0" fontId="0" fillId="0" borderId="16" xfId="0" applyBorder="1" applyAlignment="1">
      <alignment horizontal="left" vertical="top"/>
    </xf>
    <xf numFmtId="0" fontId="0" fillId="0" borderId="17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18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0" fillId="0" borderId="18" xfId="0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0" borderId="19" xfId="0" applyBorder="1" applyAlignment="1">
      <alignment horizontal="center" vertical="top"/>
    </xf>
    <xf numFmtId="0" fontId="0" fillId="0" borderId="10" xfId="0" applyBorder="1" applyAlignment="1">
      <alignment horizontal="center" wrapText="1"/>
    </xf>
    <xf numFmtId="0" fontId="0" fillId="0" borderId="16" xfId="0" quotePrefix="1" applyBorder="1" applyAlignment="1">
      <alignment horizontal="center" vertical="center"/>
    </xf>
    <xf numFmtId="0" fontId="0" fillId="0" borderId="17" xfId="0" quotePrefix="1" applyBorder="1" applyAlignment="1">
      <alignment horizontal="center" vertical="center"/>
    </xf>
    <xf numFmtId="0" fontId="0" fillId="0" borderId="15" xfId="0" quotePrefix="1" applyBorder="1" applyAlignment="1">
      <alignment horizontal="center" vertical="center"/>
    </xf>
    <xf numFmtId="0" fontId="0" fillId="0" borderId="1" xfId="0" quotePrefix="1" applyBorder="1" applyAlignment="1">
      <alignment horizontal="left" vertical="top" wrapText="1"/>
    </xf>
    <xf numFmtId="0" fontId="0" fillId="0" borderId="3" xfId="0" quotePrefix="1" applyBorder="1" applyAlignment="1">
      <alignment horizontal="left" vertical="top" wrapText="1"/>
    </xf>
    <xf numFmtId="0" fontId="0" fillId="0" borderId="18" xfId="0" quotePrefix="1" applyBorder="1" applyAlignment="1">
      <alignment horizontal="left" vertical="top" wrapText="1"/>
    </xf>
    <xf numFmtId="0" fontId="0" fillId="0" borderId="19" xfId="0" quotePrefix="1" applyBorder="1" applyAlignment="1">
      <alignment horizontal="left" vertical="top" wrapText="1"/>
    </xf>
    <xf numFmtId="0" fontId="0" fillId="0" borderId="4" xfId="0" quotePrefix="1" applyBorder="1" applyAlignment="1">
      <alignment horizontal="left" vertical="top" wrapText="1"/>
    </xf>
    <xf numFmtId="0" fontId="0" fillId="0" borderId="6" xfId="0" quotePrefix="1" applyBorder="1" applyAlignment="1">
      <alignment horizontal="left" vertical="top" wrapText="1"/>
    </xf>
    <xf numFmtId="0" fontId="0" fillId="0" borderId="10" xfId="0" quotePrefix="1" applyBorder="1" applyAlignment="1">
      <alignment horizontal="left" vertical="top" wrapText="1"/>
    </xf>
    <xf numFmtId="0" fontId="0" fillId="0" borderId="10" xfId="0" quotePrefix="1" applyBorder="1" applyAlignment="1">
      <alignment horizontal="center" vertical="center"/>
    </xf>
    <xf numFmtId="0" fontId="0" fillId="0" borderId="10" xfId="0" quotePrefix="1" applyBorder="1" applyAlignment="1">
      <alignment horizont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166" fontId="0" fillId="0" borderId="10" xfId="0" applyNumberFormat="1" applyBorder="1" applyAlignment="1">
      <alignment horizontal="center" vertical="center"/>
    </xf>
    <xf numFmtId="0" fontId="2" fillId="0" borderId="10" xfId="0" applyFont="1" applyBorder="1" applyAlignment="1">
      <alignment horizontal="center"/>
    </xf>
    <xf numFmtId="0" fontId="3" fillId="2" borderId="1" xfId="0" applyFont="1" applyFill="1" applyBorder="1" applyAlignment="1">
      <alignment horizontal="left" vertical="top" wrapText="1"/>
    </xf>
    <xf numFmtId="0" fontId="3" fillId="2" borderId="2" xfId="0" applyFont="1" applyFill="1" applyBorder="1" applyAlignment="1">
      <alignment horizontal="left" vertical="top" wrapText="1"/>
    </xf>
    <xf numFmtId="0" fontId="3" fillId="2" borderId="3" xfId="0" applyFont="1" applyFill="1" applyBorder="1" applyAlignment="1">
      <alignment horizontal="left" vertical="top" wrapText="1"/>
    </xf>
    <xf numFmtId="0" fontId="3" fillId="2" borderId="4" xfId="0" applyFont="1" applyFill="1" applyBorder="1" applyAlignment="1">
      <alignment horizontal="left" vertical="top" wrapText="1"/>
    </xf>
    <xf numFmtId="0" fontId="3" fillId="2" borderId="5" xfId="0" applyFont="1" applyFill="1" applyBorder="1" applyAlignment="1">
      <alignment horizontal="left" vertical="top" wrapText="1"/>
    </xf>
    <xf numFmtId="0" fontId="3" fillId="2" borderId="6" xfId="0" applyFont="1" applyFill="1" applyBorder="1" applyAlignment="1">
      <alignment horizontal="left" vertical="top" wrapText="1"/>
    </xf>
    <xf numFmtId="0" fontId="4" fillId="0" borderId="7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4" fillId="0" borderId="9" xfId="0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top"/>
    </xf>
    <xf numFmtId="0" fontId="3" fillId="2" borderId="2" xfId="0" applyFont="1" applyFill="1" applyBorder="1" applyAlignment="1">
      <alignment horizontal="left" vertical="top"/>
    </xf>
    <xf numFmtId="0" fontId="3" fillId="2" borderId="4" xfId="0" applyFont="1" applyFill="1" applyBorder="1" applyAlignment="1">
      <alignment horizontal="left" vertical="top"/>
    </xf>
    <xf numFmtId="0" fontId="3" fillId="2" borderId="5" xfId="0" applyFont="1" applyFill="1" applyBorder="1" applyAlignment="1">
      <alignment horizontal="left" vertical="top"/>
    </xf>
    <xf numFmtId="0" fontId="8" fillId="2" borderId="1" xfId="0" applyFont="1" applyFill="1" applyBorder="1" applyAlignment="1">
      <alignment horizontal="left" vertical="top"/>
    </xf>
    <xf numFmtId="0" fontId="8" fillId="2" borderId="2" xfId="0" applyFont="1" applyFill="1" applyBorder="1" applyAlignment="1">
      <alignment horizontal="left" vertical="top"/>
    </xf>
    <xf numFmtId="0" fontId="8" fillId="2" borderId="3" xfId="0" applyFont="1" applyFill="1" applyBorder="1" applyAlignment="1">
      <alignment horizontal="left" vertical="top"/>
    </xf>
    <xf numFmtId="0" fontId="8" fillId="2" borderId="4" xfId="0" applyFont="1" applyFill="1" applyBorder="1" applyAlignment="1">
      <alignment horizontal="left" vertical="top"/>
    </xf>
    <xf numFmtId="0" fontId="8" fillId="2" borderId="5" xfId="0" applyFont="1" applyFill="1" applyBorder="1" applyAlignment="1">
      <alignment horizontal="left" vertical="top"/>
    </xf>
    <xf numFmtId="0" fontId="8" fillId="2" borderId="6" xfId="0" applyFont="1" applyFill="1" applyBorder="1" applyAlignment="1">
      <alignment horizontal="left" vertical="top"/>
    </xf>
    <xf numFmtId="0" fontId="9" fillId="0" borderId="10" xfId="0" applyFont="1" applyBorder="1" applyAlignment="1">
      <alignment horizontal="left" vertical="top"/>
    </xf>
    <xf numFmtId="0" fontId="12" fillId="0" borderId="10" xfId="0" applyFont="1" applyBorder="1" applyAlignment="1">
      <alignment horizontal="left" vertical="top"/>
    </xf>
    <xf numFmtId="0" fontId="80" fillId="0" borderId="0" xfId="0" applyFont="1" applyFill="1" applyAlignment="1">
      <alignment horizontal="left" vertical="center"/>
    </xf>
    <xf numFmtId="0" fontId="20" fillId="0" borderId="0" xfId="5" applyFont="1" applyAlignment="1">
      <alignment horizontal="center" vertical="center"/>
    </xf>
    <xf numFmtId="0" fontId="2" fillId="11" borderId="30" xfId="1101" applyFont="1" applyFill="1" applyBorder="1" applyAlignment="1">
      <alignment horizontal="center" vertical="center"/>
    </xf>
    <xf numFmtId="0" fontId="62" fillId="7" borderId="20" xfId="0" applyFont="1" applyFill="1" applyBorder="1" applyAlignment="1">
      <alignment horizontal="center" vertical="center"/>
    </xf>
    <xf numFmtId="0" fontId="62" fillId="7" borderId="21" xfId="0" applyFont="1" applyFill="1" applyBorder="1" applyAlignment="1">
      <alignment horizontal="center" vertical="center"/>
    </xf>
    <xf numFmtId="0" fontId="62" fillId="12" borderId="22" xfId="0" applyFont="1" applyFill="1" applyBorder="1" applyAlignment="1">
      <alignment horizontal="center" vertical="center"/>
    </xf>
    <xf numFmtId="0" fontId="62" fillId="12" borderId="26" xfId="0" applyFont="1" applyFill="1" applyBorder="1" applyAlignment="1">
      <alignment horizontal="center" vertical="center"/>
    </xf>
    <xf numFmtId="0" fontId="62" fillId="12" borderId="23" xfId="0" applyFont="1" applyFill="1" applyBorder="1" applyAlignment="1">
      <alignment horizontal="center" vertical="center"/>
    </xf>
    <xf numFmtId="0" fontId="62" fillId="12" borderId="24" xfId="0" applyFont="1" applyFill="1" applyBorder="1" applyAlignment="1">
      <alignment horizontal="center" vertical="center"/>
    </xf>
    <xf numFmtId="0" fontId="2" fillId="4" borderId="21" xfId="0" applyFont="1" applyFill="1" applyBorder="1" applyAlignment="1">
      <alignment horizontal="center" vertical="center"/>
    </xf>
    <xf numFmtId="0" fontId="63" fillId="0" borderId="23" xfId="0" applyFont="1" applyFill="1" applyBorder="1" applyAlignment="1">
      <alignment horizontal="center" vertical="center"/>
    </xf>
    <xf numFmtId="0" fontId="63" fillId="0" borderId="25" xfId="0" applyFont="1" applyFill="1" applyBorder="1" applyAlignment="1">
      <alignment horizontal="center" vertical="center"/>
    </xf>
    <xf numFmtId="168" fontId="82" fillId="0" borderId="12" xfId="5" applyNumberFormat="1" applyFont="1" applyBorder="1" applyAlignment="1">
      <alignment vertical="center"/>
    </xf>
    <xf numFmtId="168" fontId="81" fillId="0" borderId="12" xfId="5" applyNumberFormat="1" applyFont="1" applyBorder="1" applyAlignment="1">
      <alignment vertical="center"/>
    </xf>
    <xf numFmtId="0" fontId="62" fillId="0" borderId="30" xfId="0" applyFont="1" applyBorder="1" applyAlignment="1">
      <alignment horizontal="center" vertical="center"/>
    </xf>
    <xf numFmtId="0" fontId="70" fillId="15" borderId="34" xfId="1101" applyFont="1" applyFill="1" applyBorder="1" applyAlignment="1">
      <alignment horizontal="center" vertical="center"/>
    </xf>
    <xf numFmtId="0" fontId="70" fillId="15" borderId="31" xfId="1101" applyFont="1" applyFill="1" applyBorder="1" applyAlignment="1">
      <alignment horizontal="center" vertical="center"/>
    </xf>
  </cellXfs>
  <cellStyles count="1103">
    <cellStyle name="Comma" xfId="3" builtinId="3"/>
    <cellStyle name="Comma [0] 2" xfId="10"/>
    <cellStyle name="Comma [0] 3" xfId="11"/>
    <cellStyle name="Comma 10" xfId="12"/>
    <cellStyle name="Comma 104" xfId="4"/>
    <cellStyle name="Comma 105" xfId="13"/>
    <cellStyle name="Comma 11" xfId="14"/>
    <cellStyle name="Comma 11 2" xfId="15"/>
    <cellStyle name="Comma 12" xfId="16"/>
    <cellStyle name="Comma 13" xfId="17"/>
    <cellStyle name="Comma 14" xfId="18"/>
    <cellStyle name="Comma 15" xfId="19"/>
    <cellStyle name="Comma 16" xfId="20"/>
    <cellStyle name="Comma 17" xfId="21"/>
    <cellStyle name="Comma 18" xfId="22"/>
    <cellStyle name="Comma 2" xfId="2"/>
    <cellStyle name="Comma 2 2" xfId="23"/>
    <cellStyle name="Comma 2 3" xfId="24"/>
    <cellStyle name="Comma 24 2" xfId="25"/>
    <cellStyle name="Comma 29" xfId="26"/>
    <cellStyle name="Comma 294" xfId="27"/>
    <cellStyle name="Comma 3" xfId="9"/>
    <cellStyle name="Comma 3 2" xfId="28"/>
    <cellStyle name="Comma 4" xfId="29"/>
    <cellStyle name="Comma 5" xfId="30"/>
    <cellStyle name="Comma 6" xfId="31"/>
    <cellStyle name="Comma 7" xfId="32"/>
    <cellStyle name="Comma 8" xfId="33"/>
    <cellStyle name="Comma 9" xfId="34"/>
    <cellStyle name="Hyperlink 2" xfId="35"/>
    <cellStyle name="Hyperlink 3" xfId="36"/>
    <cellStyle name="Normal" xfId="0" builtinId="0"/>
    <cellStyle name="Normal 10" xfId="37"/>
    <cellStyle name="Normal 11" xfId="38"/>
    <cellStyle name="Normal 12" xfId="39"/>
    <cellStyle name="Normal 13" xfId="40"/>
    <cellStyle name="Normal 14" xfId="41"/>
    <cellStyle name="Normal 15" xfId="42"/>
    <cellStyle name="Normal 16" xfId="43"/>
    <cellStyle name="Normal 17" xfId="1100"/>
    <cellStyle name="Normal 17 2" xfId="1101"/>
    <cellStyle name="Normal 2" xfId="5"/>
    <cellStyle name="Normal 2 2" xfId="44"/>
    <cellStyle name="Normal 2 2 2" xfId="45"/>
    <cellStyle name="Normal 3" xfId="8"/>
    <cellStyle name="Normal 3 2" xfId="1102"/>
    <cellStyle name="Normal 4" xfId="46"/>
    <cellStyle name="Normal 5" xfId="47"/>
    <cellStyle name="Normal 6" xfId="48"/>
    <cellStyle name="Normal 7" xfId="49"/>
    <cellStyle name="Normal 8" xfId="50"/>
    <cellStyle name="Normal 9" xfId="51"/>
    <cellStyle name="Percent" xfId="1" builtinId="5"/>
    <cellStyle name="Percent 2" xfId="52"/>
    <cellStyle name="Percent 3" xfId="53"/>
    <cellStyle name="S0" xfId="54"/>
    <cellStyle name="S0 10" xfId="55"/>
    <cellStyle name="S0 100" xfId="56"/>
    <cellStyle name="S0 101" xfId="57"/>
    <cellStyle name="S0 102" xfId="58"/>
    <cellStyle name="S0 103" xfId="59"/>
    <cellStyle name="S0 104" xfId="60"/>
    <cellStyle name="S0 105" xfId="61"/>
    <cellStyle name="S0 106" xfId="62"/>
    <cellStyle name="S0 107" xfId="63"/>
    <cellStyle name="S0 108" xfId="64"/>
    <cellStyle name="S0 109" xfId="65"/>
    <cellStyle name="S0 11" xfId="66"/>
    <cellStyle name="S0 110" xfId="67"/>
    <cellStyle name="S0 111" xfId="68"/>
    <cellStyle name="S0 112" xfId="69"/>
    <cellStyle name="S0 113" xfId="70"/>
    <cellStyle name="S0 114" xfId="71"/>
    <cellStyle name="S0 115" xfId="72"/>
    <cellStyle name="S0 116" xfId="73"/>
    <cellStyle name="S0 117" xfId="74"/>
    <cellStyle name="S0 118" xfId="75"/>
    <cellStyle name="S0 119" xfId="76"/>
    <cellStyle name="S0 12" xfId="77"/>
    <cellStyle name="S0 120" xfId="78"/>
    <cellStyle name="S0 121" xfId="79"/>
    <cellStyle name="S0 122" xfId="80"/>
    <cellStyle name="S0 123" xfId="81"/>
    <cellStyle name="S0 124" xfId="82"/>
    <cellStyle name="S0 125" xfId="83"/>
    <cellStyle name="S0 126" xfId="84"/>
    <cellStyle name="S0 127" xfId="85"/>
    <cellStyle name="S0 128" xfId="86"/>
    <cellStyle name="S0 129" xfId="87"/>
    <cellStyle name="S0 13" xfId="88"/>
    <cellStyle name="S0 130" xfId="89"/>
    <cellStyle name="S0 131" xfId="90"/>
    <cellStyle name="S0 132" xfId="91"/>
    <cellStyle name="S0 133" xfId="92"/>
    <cellStyle name="S0 134" xfId="93"/>
    <cellStyle name="S0 135" xfId="94"/>
    <cellStyle name="S0 136" xfId="95"/>
    <cellStyle name="S0 137" xfId="96"/>
    <cellStyle name="S0 138" xfId="97"/>
    <cellStyle name="S0 139" xfId="98"/>
    <cellStyle name="S0 14" xfId="99"/>
    <cellStyle name="S0 140" xfId="100"/>
    <cellStyle name="S0 141" xfId="101"/>
    <cellStyle name="S0 142" xfId="102"/>
    <cellStyle name="S0 143" xfId="103"/>
    <cellStyle name="S0 144" xfId="104"/>
    <cellStyle name="S0 145" xfId="105"/>
    <cellStyle name="S0 146" xfId="106"/>
    <cellStyle name="S0 147" xfId="107"/>
    <cellStyle name="S0 148" xfId="108"/>
    <cellStyle name="S0 149" xfId="109"/>
    <cellStyle name="S0 15" xfId="110"/>
    <cellStyle name="S0 150" xfId="111"/>
    <cellStyle name="S0 151" xfId="112"/>
    <cellStyle name="S0 152" xfId="113"/>
    <cellStyle name="S0 153" xfId="114"/>
    <cellStyle name="S0 154" xfId="115"/>
    <cellStyle name="S0 155" xfId="116"/>
    <cellStyle name="S0 156" xfId="117"/>
    <cellStyle name="S0 157" xfId="118"/>
    <cellStyle name="S0 158" xfId="119"/>
    <cellStyle name="S0 159" xfId="120"/>
    <cellStyle name="S0 16" xfId="121"/>
    <cellStyle name="S0 160" xfId="122"/>
    <cellStyle name="S0 161" xfId="123"/>
    <cellStyle name="S0 162" xfId="124"/>
    <cellStyle name="S0 163" xfId="125"/>
    <cellStyle name="S0 164" xfId="126"/>
    <cellStyle name="S0 165" xfId="127"/>
    <cellStyle name="S0 166" xfId="128"/>
    <cellStyle name="S0 167" xfId="129"/>
    <cellStyle name="S0 168" xfId="130"/>
    <cellStyle name="S0 169" xfId="131"/>
    <cellStyle name="S0 17" xfId="132"/>
    <cellStyle name="S0 170" xfId="133"/>
    <cellStyle name="S0 171" xfId="134"/>
    <cellStyle name="S0 172" xfId="135"/>
    <cellStyle name="S0 173" xfId="136"/>
    <cellStyle name="S0 174" xfId="137"/>
    <cellStyle name="S0 175" xfId="138"/>
    <cellStyle name="S0 176" xfId="139"/>
    <cellStyle name="S0 177" xfId="140"/>
    <cellStyle name="S0 178" xfId="141"/>
    <cellStyle name="S0 179" xfId="142"/>
    <cellStyle name="S0 18" xfId="143"/>
    <cellStyle name="S0 180" xfId="144"/>
    <cellStyle name="S0 181" xfId="145"/>
    <cellStyle name="S0 182" xfId="146"/>
    <cellStyle name="S0 183" xfId="147"/>
    <cellStyle name="S0 184" xfId="148"/>
    <cellStyle name="S0 185" xfId="149"/>
    <cellStyle name="S0 186" xfId="150"/>
    <cellStyle name="S0 187" xfId="151"/>
    <cellStyle name="S0 188" xfId="152"/>
    <cellStyle name="S0 189" xfId="153"/>
    <cellStyle name="S0 19" xfId="154"/>
    <cellStyle name="S0 190" xfId="155"/>
    <cellStyle name="S0 191" xfId="156"/>
    <cellStyle name="S0 192" xfId="157"/>
    <cellStyle name="S0 193" xfId="158"/>
    <cellStyle name="S0 194" xfId="159"/>
    <cellStyle name="S0 195" xfId="160"/>
    <cellStyle name="S0 196" xfId="161"/>
    <cellStyle name="S0 197" xfId="162"/>
    <cellStyle name="S0 198" xfId="163"/>
    <cellStyle name="S0 199" xfId="164"/>
    <cellStyle name="S0 2" xfId="165"/>
    <cellStyle name="S0 20" xfId="166"/>
    <cellStyle name="S0 200" xfId="167"/>
    <cellStyle name="S0 201" xfId="168"/>
    <cellStyle name="S0 202" xfId="169"/>
    <cellStyle name="S0 203" xfId="170"/>
    <cellStyle name="S0 204" xfId="171"/>
    <cellStyle name="S0 205" xfId="172"/>
    <cellStyle name="S0 206" xfId="173"/>
    <cellStyle name="S0 207" xfId="174"/>
    <cellStyle name="S0 208" xfId="175"/>
    <cellStyle name="S0 209" xfId="176"/>
    <cellStyle name="S0 21" xfId="177"/>
    <cellStyle name="S0 210" xfId="178"/>
    <cellStyle name="S0 211" xfId="179"/>
    <cellStyle name="S0 212" xfId="180"/>
    <cellStyle name="S0 213" xfId="181"/>
    <cellStyle name="S0 214" xfId="182"/>
    <cellStyle name="S0 215" xfId="183"/>
    <cellStyle name="S0 216" xfId="184"/>
    <cellStyle name="S0 217" xfId="185"/>
    <cellStyle name="S0 218" xfId="186"/>
    <cellStyle name="S0 219" xfId="187"/>
    <cellStyle name="S0 22" xfId="188"/>
    <cellStyle name="S0 220" xfId="189"/>
    <cellStyle name="S0 221" xfId="190"/>
    <cellStyle name="S0 222" xfId="191"/>
    <cellStyle name="S0 223" xfId="192"/>
    <cellStyle name="S0 224" xfId="193"/>
    <cellStyle name="S0 225" xfId="194"/>
    <cellStyle name="S0 226" xfId="195"/>
    <cellStyle name="S0 227" xfId="196"/>
    <cellStyle name="S0 228" xfId="197"/>
    <cellStyle name="S0 229" xfId="198"/>
    <cellStyle name="S0 23" xfId="199"/>
    <cellStyle name="S0 230" xfId="200"/>
    <cellStyle name="S0 231" xfId="201"/>
    <cellStyle name="S0 232" xfId="202"/>
    <cellStyle name="S0 233" xfId="203"/>
    <cellStyle name="S0 234" xfId="204"/>
    <cellStyle name="S0 235" xfId="205"/>
    <cellStyle name="S0 236" xfId="206"/>
    <cellStyle name="S0 237" xfId="207"/>
    <cellStyle name="S0 238" xfId="208"/>
    <cellStyle name="S0 239" xfId="209"/>
    <cellStyle name="S0 24" xfId="210"/>
    <cellStyle name="S0 240" xfId="211"/>
    <cellStyle name="S0 241" xfId="212"/>
    <cellStyle name="S0 242" xfId="213"/>
    <cellStyle name="S0 243" xfId="214"/>
    <cellStyle name="S0 244" xfId="215"/>
    <cellStyle name="S0 245" xfId="216"/>
    <cellStyle name="S0 246" xfId="217"/>
    <cellStyle name="S0 247" xfId="218"/>
    <cellStyle name="S0 248" xfId="219"/>
    <cellStyle name="S0 249" xfId="220"/>
    <cellStyle name="S0 25" xfId="221"/>
    <cellStyle name="S0 250" xfId="222"/>
    <cellStyle name="S0 251" xfId="223"/>
    <cellStyle name="S0 252" xfId="224"/>
    <cellStyle name="S0 253" xfId="225"/>
    <cellStyle name="S0 254" xfId="226"/>
    <cellStyle name="S0 255" xfId="227"/>
    <cellStyle name="S0 256" xfId="228"/>
    <cellStyle name="S0 257" xfId="229"/>
    <cellStyle name="S0 258" xfId="230"/>
    <cellStyle name="S0 259" xfId="231"/>
    <cellStyle name="S0 26" xfId="232"/>
    <cellStyle name="S0 260" xfId="233"/>
    <cellStyle name="S0 261" xfId="234"/>
    <cellStyle name="S0 262" xfId="235"/>
    <cellStyle name="S0 263" xfId="236"/>
    <cellStyle name="S0 264" xfId="237"/>
    <cellStyle name="S0 265" xfId="238"/>
    <cellStyle name="S0 266" xfId="239"/>
    <cellStyle name="S0 266 2" xfId="240"/>
    <cellStyle name="S0 267" xfId="241"/>
    <cellStyle name="S0 268" xfId="242"/>
    <cellStyle name="S0 27" xfId="243"/>
    <cellStyle name="S0 28" xfId="244"/>
    <cellStyle name="S0 29" xfId="245"/>
    <cellStyle name="S0 3" xfId="246"/>
    <cellStyle name="S0 30" xfId="247"/>
    <cellStyle name="S0 31" xfId="248"/>
    <cellStyle name="S0 32" xfId="249"/>
    <cellStyle name="S0 33" xfId="250"/>
    <cellStyle name="S0 34" xfId="251"/>
    <cellStyle name="S0 35" xfId="252"/>
    <cellStyle name="S0 36" xfId="253"/>
    <cellStyle name="S0 37" xfId="254"/>
    <cellStyle name="S0 38" xfId="255"/>
    <cellStyle name="S0 39" xfId="256"/>
    <cellStyle name="S0 4" xfId="257"/>
    <cellStyle name="S0 40" xfId="258"/>
    <cellStyle name="S0 41" xfId="259"/>
    <cellStyle name="S0 42" xfId="260"/>
    <cellStyle name="S0 43" xfId="261"/>
    <cellStyle name="S0 44" xfId="262"/>
    <cellStyle name="S0 45" xfId="263"/>
    <cellStyle name="S0 46" xfId="264"/>
    <cellStyle name="S0 47" xfId="265"/>
    <cellStyle name="S0 48" xfId="266"/>
    <cellStyle name="S0 49" xfId="267"/>
    <cellStyle name="S0 5" xfId="268"/>
    <cellStyle name="S0 50" xfId="269"/>
    <cellStyle name="S0 51" xfId="270"/>
    <cellStyle name="S0 52" xfId="271"/>
    <cellStyle name="S0 53" xfId="272"/>
    <cellStyle name="S0 54" xfId="273"/>
    <cellStyle name="S0 55" xfId="274"/>
    <cellStyle name="S0 56" xfId="275"/>
    <cellStyle name="S0 57" xfId="276"/>
    <cellStyle name="S0 58" xfId="277"/>
    <cellStyle name="S0 59" xfId="278"/>
    <cellStyle name="S0 6" xfId="279"/>
    <cellStyle name="S0 60" xfId="280"/>
    <cellStyle name="S0 61" xfId="281"/>
    <cellStyle name="S0 62" xfId="282"/>
    <cellStyle name="S0 63" xfId="283"/>
    <cellStyle name="S0 64" xfId="284"/>
    <cellStyle name="S0 65" xfId="285"/>
    <cellStyle name="S0 66" xfId="286"/>
    <cellStyle name="S0 67" xfId="287"/>
    <cellStyle name="S0 68" xfId="288"/>
    <cellStyle name="S0 69" xfId="289"/>
    <cellStyle name="S0 7" xfId="290"/>
    <cellStyle name="S0 70" xfId="291"/>
    <cellStyle name="S0 71" xfId="292"/>
    <cellStyle name="S0 72" xfId="293"/>
    <cellStyle name="S0 73" xfId="294"/>
    <cellStyle name="S0 74" xfId="295"/>
    <cellStyle name="S0 75" xfId="296"/>
    <cellStyle name="S0 76" xfId="297"/>
    <cellStyle name="S0 77" xfId="298"/>
    <cellStyle name="S0 78" xfId="299"/>
    <cellStyle name="S0 79" xfId="300"/>
    <cellStyle name="S0 8" xfId="301"/>
    <cellStyle name="S0 80" xfId="302"/>
    <cellStyle name="S0 81" xfId="303"/>
    <cellStyle name="S0 82" xfId="304"/>
    <cellStyle name="S0 83" xfId="305"/>
    <cellStyle name="S0 84" xfId="306"/>
    <cellStyle name="S0 85" xfId="307"/>
    <cellStyle name="S0 86" xfId="308"/>
    <cellStyle name="S0 87" xfId="309"/>
    <cellStyle name="S0 88" xfId="310"/>
    <cellStyle name="S0 89" xfId="311"/>
    <cellStyle name="S0 9" xfId="312"/>
    <cellStyle name="S0 90" xfId="313"/>
    <cellStyle name="S0 91" xfId="314"/>
    <cellStyle name="S0 92" xfId="315"/>
    <cellStyle name="S0 93" xfId="316"/>
    <cellStyle name="S0 94" xfId="317"/>
    <cellStyle name="S0 95" xfId="318"/>
    <cellStyle name="S0 96" xfId="319"/>
    <cellStyle name="S0 97" xfId="320"/>
    <cellStyle name="S0 98" xfId="321"/>
    <cellStyle name="S0 99" xfId="322"/>
    <cellStyle name="S0_Pembelian" xfId="323"/>
    <cellStyle name="S1" xfId="324"/>
    <cellStyle name="S1 10" xfId="325"/>
    <cellStyle name="S1 100" xfId="326"/>
    <cellStyle name="S1 101" xfId="327"/>
    <cellStyle name="S1 102" xfId="328"/>
    <cellStyle name="S1 103" xfId="329"/>
    <cellStyle name="S1 104" xfId="330"/>
    <cellStyle name="S1 105" xfId="331"/>
    <cellStyle name="S1 106" xfId="332"/>
    <cellStyle name="S1 107" xfId="333"/>
    <cellStyle name="S1 108" xfId="334"/>
    <cellStyle name="S1 109" xfId="335"/>
    <cellStyle name="S1 11" xfId="336"/>
    <cellStyle name="S1 110" xfId="337"/>
    <cellStyle name="S1 111" xfId="338"/>
    <cellStyle name="S1 112" xfId="339"/>
    <cellStyle name="S1 113" xfId="340"/>
    <cellStyle name="S1 114" xfId="341"/>
    <cellStyle name="S1 115" xfId="342"/>
    <cellStyle name="S1 116" xfId="343"/>
    <cellStyle name="S1 117" xfId="344"/>
    <cellStyle name="S1 118" xfId="345"/>
    <cellStyle name="S1 119" xfId="346"/>
    <cellStyle name="S1 12" xfId="347"/>
    <cellStyle name="S1 120" xfId="348"/>
    <cellStyle name="S1 121" xfId="349"/>
    <cellStyle name="S1 122" xfId="350"/>
    <cellStyle name="S1 123" xfId="351"/>
    <cellStyle name="S1 124" xfId="352"/>
    <cellStyle name="S1 125" xfId="353"/>
    <cellStyle name="S1 126" xfId="354"/>
    <cellStyle name="S1 127" xfId="355"/>
    <cellStyle name="S1 128" xfId="356"/>
    <cellStyle name="S1 129" xfId="357"/>
    <cellStyle name="S1 13" xfId="358"/>
    <cellStyle name="S1 130" xfId="359"/>
    <cellStyle name="S1 131" xfId="360"/>
    <cellStyle name="S1 132" xfId="361"/>
    <cellStyle name="S1 133" xfId="362"/>
    <cellStyle name="S1 134" xfId="363"/>
    <cellStyle name="S1 135" xfId="364"/>
    <cellStyle name="S1 136" xfId="365"/>
    <cellStyle name="S1 137" xfId="366"/>
    <cellStyle name="S1 138" xfId="367"/>
    <cellStyle name="S1 139" xfId="368"/>
    <cellStyle name="S1 14" xfId="369"/>
    <cellStyle name="S1 140" xfId="370"/>
    <cellStyle name="S1 141" xfId="371"/>
    <cellStyle name="S1 142" xfId="372"/>
    <cellStyle name="S1 143" xfId="373"/>
    <cellStyle name="S1 144" xfId="374"/>
    <cellStyle name="S1 145" xfId="375"/>
    <cellStyle name="S1 146" xfId="376"/>
    <cellStyle name="S1 147" xfId="377"/>
    <cellStyle name="S1 148" xfId="378"/>
    <cellStyle name="S1 149" xfId="379"/>
    <cellStyle name="S1 15" xfId="380"/>
    <cellStyle name="S1 150" xfId="381"/>
    <cellStyle name="S1 151" xfId="382"/>
    <cellStyle name="S1 152" xfId="383"/>
    <cellStyle name="S1 153" xfId="384"/>
    <cellStyle name="S1 154" xfId="385"/>
    <cellStyle name="S1 155" xfId="386"/>
    <cellStyle name="S1 156" xfId="387"/>
    <cellStyle name="S1 157" xfId="388"/>
    <cellStyle name="S1 158" xfId="389"/>
    <cellStyle name="S1 159" xfId="390"/>
    <cellStyle name="S1 16" xfId="391"/>
    <cellStyle name="S1 160" xfId="392"/>
    <cellStyle name="S1 161" xfId="393"/>
    <cellStyle name="S1 162" xfId="394"/>
    <cellStyle name="S1 163" xfId="395"/>
    <cellStyle name="S1 164" xfId="396"/>
    <cellStyle name="S1 165" xfId="397"/>
    <cellStyle name="S1 166" xfId="398"/>
    <cellStyle name="S1 167" xfId="399"/>
    <cellStyle name="S1 168" xfId="400"/>
    <cellStyle name="S1 169" xfId="401"/>
    <cellStyle name="S1 17" xfId="402"/>
    <cellStyle name="S1 170" xfId="403"/>
    <cellStyle name="S1 171" xfId="404"/>
    <cellStyle name="S1 172" xfId="405"/>
    <cellStyle name="S1 173" xfId="406"/>
    <cellStyle name="S1 174" xfId="407"/>
    <cellStyle name="S1 175" xfId="408"/>
    <cellStyle name="S1 176" xfId="409"/>
    <cellStyle name="S1 177" xfId="410"/>
    <cellStyle name="S1 178" xfId="411"/>
    <cellStyle name="S1 179" xfId="412"/>
    <cellStyle name="S1 18" xfId="413"/>
    <cellStyle name="S1 180" xfId="414"/>
    <cellStyle name="S1 181" xfId="415"/>
    <cellStyle name="S1 182" xfId="416"/>
    <cellStyle name="S1 183" xfId="417"/>
    <cellStyle name="S1 184" xfId="418"/>
    <cellStyle name="S1 185" xfId="419"/>
    <cellStyle name="S1 186" xfId="420"/>
    <cellStyle name="S1 187" xfId="421"/>
    <cellStyle name="S1 188" xfId="422"/>
    <cellStyle name="S1 189" xfId="423"/>
    <cellStyle name="S1 19" xfId="424"/>
    <cellStyle name="S1 190" xfId="425"/>
    <cellStyle name="S1 191" xfId="426"/>
    <cellStyle name="S1 192" xfId="427"/>
    <cellStyle name="S1 193" xfId="428"/>
    <cellStyle name="S1 194" xfId="429"/>
    <cellStyle name="S1 195" xfId="430"/>
    <cellStyle name="S1 196" xfId="431"/>
    <cellStyle name="S1 197" xfId="432"/>
    <cellStyle name="S1 198" xfId="433"/>
    <cellStyle name="S1 199" xfId="434"/>
    <cellStyle name="S1 2" xfId="435"/>
    <cellStyle name="S1 20" xfId="436"/>
    <cellStyle name="S1 200" xfId="437"/>
    <cellStyle name="S1 201" xfId="438"/>
    <cellStyle name="S1 202" xfId="439"/>
    <cellStyle name="S1 203" xfId="440"/>
    <cellStyle name="S1 204" xfId="441"/>
    <cellStyle name="S1 205" xfId="442"/>
    <cellStyle name="S1 206" xfId="443"/>
    <cellStyle name="S1 207" xfId="444"/>
    <cellStyle name="S1 208" xfId="445"/>
    <cellStyle name="S1 209" xfId="446"/>
    <cellStyle name="S1 21" xfId="447"/>
    <cellStyle name="S1 210" xfId="448"/>
    <cellStyle name="S1 211" xfId="449"/>
    <cellStyle name="S1 212" xfId="450"/>
    <cellStyle name="S1 213" xfId="451"/>
    <cellStyle name="S1 214" xfId="452"/>
    <cellStyle name="S1 215" xfId="453"/>
    <cellStyle name="S1 216" xfId="454"/>
    <cellStyle name="S1 217" xfId="455"/>
    <cellStyle name="S1 218" xfId="456"/>
    <cellStyle name="S1 219" xfId="457"/>
    <cellStyle name="S1 22" xfId="458"/>
    <cellStyle name="S1 220" xfId="459"/>
    <cellStyle name="S1 221" xfId="460"/>
    <cellStyle name="S1 222" xfId="461"/>
    <cellStyle name="S1 223" xfId="462"/>
    <cellStyle name="S1 224" xfId="463"/>
    <cellStyle name="S1 225" xfId="464"/>
    <cellStyle name="S1 226" xfId="465"/>
    <cellStyle name="S1 227" xfId="466"/>
    <cellStyle name="S1 228" xfId="467"/>
    <cellStyle name="S1 229" xfId="468"/>
    <cellStyle name="S1 23" xfId="469"/>
    <cellStyle name="S1 230" xfId="470"/>
    <cellStyle name="S1 231" xfId="471"/>
    <cellStyle name="S1 232" xfId="472"/>
    <cellStyle name="S1 233" xfId="473"/>
    <cellStyle name="S1 234" xfId="474"/>
    <cellStyle name="S1 235" xfId="475"/>
    <cellStyle name="S1 236" xfId="476"/>
    <cellStyle name="S1 237" xfId="477"/>
    <cellStyle name="S1 238" xfId="478"/>
    <cellStyle name="S1 239" xfId="479"/>
    <cellStyle name="S1 24" xfId="480"/>
    <cellStyle name="S1 240" xfId="481"/>
    <cellStyle name="S1 241" xfId="482"/>
    <cellStyle name="S1 242" xfId="483"/>
    <cellStyle name="S1 243" xfId="484"/>
    <cellStyle name="S1 244" xfId="485"/>
    <cellStyle name="S1 245" xfId="486"/>
    <cellStyle name="S1 246" xfId="487"/>
    <cellStyle name="S1 247" xfId="488"/>
    <cellStyle name="S1 248" xfId="489"/>
    <cellStyle name="S1 249" xfId="490"/>
    <cellStyle name="S1 25" xfId="491"/>
    <cellStyle name="S1 250" xfId="492"/>
    <cellStyle name="S1 251" xfId="493"/>
    <cellStyle name="S1 252" xfId="494"/>
    <cellStyle name="S1 253" xfId="495"/>
    <cellStyle name="S1 254" xfId="496"/>
    <cellStyle name="S1 255" xfId="497"/>
    <cellStyle name="S1 256" xfId="498"/>
    <cellStyle name="S1 257" xfId="499"/>
    <cellStyle name="S1 258" xfId="500"/>
    <cellStyle name="S1 259" xfId="501"/>
    <cellStyle name="S1 26" xfId="502"/>
    <cellStyle name="S1 260" xfId="503"/>
    <cellStyle name="S1 261" xfId="504"/>
    <cellStyle name="S1 262" xfId="505"/>
    <cellStyle name="S1 263" xfId="506"/>
    <cellStyle name="S1 264" xfId="507"/>
    <cellStyle name="S1 265" xfId="508"/>
    <cellStyle name="S1 265 2" xfId="509"/>
    <cellStyle name="S1 266" xfId="510"/>
    <cellStyle name="S1 267" xfId="511"/>
    <cellStyle name="S1 27" xfId="512"/>
    <cellStyle name="S1 28" xfId="513"/>
    <cellStyle name="S1 29" xfId="514"/>
    <cellStyle name="S1 3" xfId="515"/>
    <cellStyle name="S1 30" xfId="516"/>
    <cellStyle name="S1 31" xfId="517"/>
    <cellStyle name="S1 32" xfId="518"/>
    <cellStyle name="S1 33" xfId="519"/>
    <cellStyle name="S1 34" xfId="520"/>
    <cellStyle name="S1 35" xfId="521"/>
    <cellStyle name="S1 36" xfId="522"/>
    <cellStyle name="S1 37" xfId="523"/>
    <cellStyle name="S1 38" xfId="524"/>
    <cellStyle name="S1 39" xfId="525"/>
    <cellStyle name="S1 4" xfId="526"/>
    <cellStyle name="S1 40" xfId="527"/>
    <cellStyle name="S1 41" xfId="528"/>
    <cellStyle name="S1 42" xfId="529"/>
    <cellStyle name="S1 43" xfId="530"/>
    <cellStyle name="S1 44" xfId="531"/>
    <cellStyle name="S1 45" xfId="532"/>
    <cellStyle name="S1 46" xfId="533"/>
    <cellStyle name="S1 47" xfId="534"/>
    <cellStyle name="S1 48" xfId="535"/>
    <cellStyle name="S1 49" xfId="536"/>
    <cellStyle name="S1 5" xfId="537"/>
    <cellStyle name="S1 50" xfId="538"/>
    <cellStyle name="S1 51" xfId="539"/>
    <cellStyle name="S1 52" xfId="540"/>
    <cellStyle name="S1 53" xfId="541"/>
    <cellStyle name="S1 54" xfId="542"/>
    <cellStyle name="S1 55" xfId="543"/>
    <cellStyle name="S1 56" xfId="544"/>
    <cellStyle name="S1 57" xfId="545"/>
    <cellStyle name="S1 58" xfId="546"/>
    <cellStyle name="S1 59" xfId="547"/>
    <cellStyle name="S1 6" xfId="548"/>
    <cellStyle name="S1 60" xfId="549"/>
    <cellStyle name="S1 61" xfId="550"/>
    <cellStyle name="S1 62" xfId="551"/>
    <cellStyle name="S1 63" xfId="552"/>
    <cellStyle name="S1 64" xfId="553"/>
    <cellStyle name="S1 65" xfId="554"/>
    <cellStyle name="S1 66" xfId="555"/>
    <cellStyle name="S1 67" xfId="556"/>
    <cellStyle name="S1 68" xfId="557"/>
    <cellStyle name="S1 69" xfId="558"/>
    <cellStyle name="S1 7" xfId="559"/>
    <cellStyle name="S1 70" xfId="560"/>
    <cellStyle name="S1 71" xfId="561"/>
    <cellStyle name="S1 72" xfId="562"/>
    <cellStyle name="S1 73" xfId="563"/>
    <cellStyle name="S1 74" xfId="564"/>
    <cellStyle name="S1 75" xfId="565"/>
    <cellStyle name="S1 76" xfId="566"/>
    <cellStyle name="S1 77" xfId="567"/>
    <cellStyle name="S1 78" xfId="568"/>
    <cellStyle name="S1 79" xfId="569"/>
    <cellStyle name="S1 8" xfId="570"/>
    <cellStyle name="S1 80" xfId="571"/>
    <cellStyle name="S1 81" xfId="572"/>
    <cellStyle name="S1 82" xfId="573"/>
    <cellStyle name="S1 83" xfId="574"/>
    <cellStyle name="S1 84" xfId="575"/>
    <cellStyle name="S1 85" xfId="576"/>
    <cellStyle name="S1 86" xfId="577"/>
    <cellStyle name="S1 87" xfId="578"/>
    <cellStyle name="S1 88" xfId="579"/>
    <cellStyle name="S1 89" xfId="580"/>
    <cellStyle name="S1 9" xfId="581"/>
    <cellStyle name="S1 90" xfId="582"/>
    <cellStyle name="S1 91" xfId="583"/>
    <cellStyle name="S1 92" xfId="584"/>
    <cellStyle name="S1 93" xfId="585"/>
    <cellStyle name="S1 94" xfId="586"/>
    <cellStyle name="S1 95" xfId="587"/>
    <cellStyle name="S1 96" xfId="588"/>
    <cellStyle name="S1 97" xfId="589"/>
    <cellStyle name="S1 98" xfId="590"/>
    <cellStyle name="S1 99" xfId="591"/>
    <cellStyle name="S1_Pembelian" xfId="592"/>
    <cellStyle name="S10" xfId="593"/>
    <cellStyle name="S10 10" xfId="594"/>
    <cellStyle name="S10 11" xfId="595"/>
    <cellStyle name="S10 12" xfId="596"/>
    <cellStyle name="S10 13" xfId="597"/>
    <cellStyle name="S10 13 2" xfId="598"/>
    <cellStyle name="S10 14" xfId="599"/>
    <cellStyle name="S10 15" xfId="600"/>
    <cellStyle name="S10 16" xfId="601"/>
    <cellStyle name="S10 17" xfId="602"/>
    <cellStyle name="S10 18" xfId="603"/>
    <cellStyle name="S10 19" xfId="604"/>
    <cellStyle name="S10 2" xfId="605"/>
    <cellStyle name="S10 3" xfId="606"/>
    <cellStyle name="S10 3 2" xfId="607"/>
    <cellStyle name="S10 4" xfId="608"/>
    <cellStyle name="S10 5" xfId="609"/>
    <cellStyle name="S10 6" xfId="610"/>
    <cellStyle name="S10 7" xfId="611"/>
    <cellStyle name="S10 8" xfId="612"/>
    <cellStyle name="S10 9" xfId="613"/>
    <cellStyle name="S10_Pembelian" xfId="614"/>
    <cellStyle name="S11" xfId="615"/>
    <cellStyle name="S11 10" xfId="616"/>
    <cellStyle name="S11 10 2" xfId="617"/>
    <cellStyle name="S11 11" xfId="618"/>
    <cellStyle name="S11 12" xfId="619"/>
    <cellStyle name="S11 13" xfId="620"/>
    <cellStyle name="S11 14" xfId="621"/>
    <cellStyle name="S11 14 2" xfId="622"/>
    <cellStyle name="S11 15" xfId="623"/>
    <cellStyle name="S11 16" xfId="624"/>
    <cellStyle name="S11 2" xfId="625"/>
    <cellStyle name="S11 3" xfId="626"/>
    <cellStyle name="S11 3 2" xfId="627"/>
    <cellStyle name="S11 4" xfId="628"/>
    <cellStyle name="S11 5" xfId="629"/>
    <cellStyle name="S11 6" xfId="630"/>
    <cellStyle name="S11 7" xfId="631"/>
    <cellStyle name="S11 8" xfId="632"/>
    <cellStyle name="S11 9" xfId="633"/>
    <cellStyle name="S11_Pembelian" xfId="634"/>
    <cellStyle name="S12" xfId="635"/>
    <cellStyle name="S12 10" xfId="636"/>
    <cellStyle name="S12 11" xfId="637"/>
    <cellStyle name="S12 2" xfId="638"/>
    <cellStyle name="S12 3" xfId="639"/>
    <cellStyle name="S12 4" xfId="640"/>
    <cellStyle name="S12 5" xfId="641"/>
    <cellStyle name="S12 6" xfId="642"/>
    <cellStyle name="S12 6 2" xfId="643"/>
    <cellStyle name="S12 7" xfId="644"/>
    <cellStyle name="S12 8" xfId="645"/>
    <cellStyle name="S12 9" xfId="646"/>
    <cellStyle name="S12_Pembelian" xfId="647"/>
    <cellStyle name="S13" xfId="648"/>
    <cellStyle name="S13 10" xfId="649"/>
    <cellStyle name="S13 11" xfId="650"/>
    <cellStyle name="S13 12" xfId="651"/>
    <cellStyle name="S13 2" xfId="652"/>
    <cellStyle name="S13 3" xfId="653"/>
    <cellStyle name="S13 4" xfId="654"/>
    <cellStyle name="S13 4 2" xfId="655"/>
    <cellStyle name="S13 5" xfId="656"/>
    <cellStyle name="S13 6" xfId="657"/>
    <cellStyle name="S13 7" xfId="658"/>
    <cellStyle name="S13 7 2" xfId="659"/>
    <cellStyle name="S13 8" xfId="660"/>
    <cellStyle name="S13 9" xfId="661"/>
    <cellStyle name="S13_Pembelian" xfId="662"/>
    <cellStyle name="S14" xfId="663"/>
    <cellStyle name="S14 10" xfId="664"/>
    <cellStyle name="S14 2" xfId="665"/>
    <cellStyle name="S14 3" xfId="666"/>
    <cellStyle name="S14 3 2" xfId="667"/>
    <cellStyle name="S14 4" xfId="668"/>
    <cellStyle name="S14 5" xfId="669"/>
    <cellStyle name="S14 6" xfId="670"/>
    <cellStyle name="S14 7" xfId="671"/>
    <cellStyle name="S14 8" xfId="672"/>
    <cellStyle name="S14 9" xfId="673"/>
    <cellStyle name="S14_Pembelian" xfId="674"/>
    <cellStyle name="S15" xfId="675"/>
    <cellStyle name="S15 2" xfId="676"/>
    <cellStyle name="S15 3" xfId="677"/>
    <cellStyle name="S15 3 2" xfId="678"/>
    <cellStyle name="S15 4" xfId="679"/>
    <cellStyle name="S15 4 2" xfId="680"/>
    <cellStyle name="S15 5" xfId="681"/>
    <cellStyle name="S15 6" xfId="682"/>
    <cellStyle name="S15 7" xfId="683"/>
    <cellStyle name="S15_Pembelian" xfId="684"/>
    <cellStyle name="S16" xfId="685"/>
    <cellStyle name="S16 2" xfId="686"/>
    <cellStyle name="S16 3" xfId="687"/>
    <cellStyle name="S16 4" xfId="688"/>
    <cellStyle name="S16 5" xfId="689"/>
    <cellStyle name="S16 6" xfId="690"/>
    <cellStyle name="S16_Pembelian" xfId="691"/>
    <cellStyle name="S17" xfId="692"/>
    <cellStyle name="S17 2" xfId="693"/>
    <cellStyle name="S17 3" xfId="694"/>
    <cellStyle name="S17 4" xfId="695"/>
    <cellStyle name="S17_Pembelian" xfId="696"/>
    <cellStyle name="S18" xfId="697"/>
    <cellStyle name="S18 2" xfId="698"/>
    <cellStyle name="S18 3" xfId="699"/>
    <cellStyle name="S18 4" xfId="700"/>
    <cellStyle name="S18_Pembelian" xfId="701"/>
    <cellStyle name="S2" xfId="702"/>
    <cellStyle name="S2 10" xfId="703"/>
    <cellStyle name="S2 100" xfId="704"/>
    <cellStyle name="S2 101" xfId="705"/>
    <cellStyle name="S2 102" xfId="706"/>
    <cellStyle name="S2 103" xfId="707"/>
    <cellStyle name="S2 104" xfId="708"/>
    <cellStyle name="S2 105" xfId="709"/>
    <cellStyle name="S2 106" xfId="710"/>
    <cellStyle name="S2 107" xfId="711"/>
    <cellStyle name="S2 108" xfId="712"/>
    <cellStyle name="S2 109" xfId="713"/>
    <cellStyle name="S2 11" xfId="714"/>
    <cellStyle name="S2 110" xfId="715"/>
    <cellStyle name="S2 111" xfId="716"/>
    <cellStyle name="S2 112" xfId="717"/>
    <cellStyle name="S2 113" xfId="718"/>
    <cellStyle name="S2 114" xfId="719"/>
    <cellStyle name="S2 115" xfId="720"/>
    <cellStyle name="S2 116" xfId="721"/>
    <cellStyle name="S2 117" xfId="722"/>
    <cellStyle name="S2 118" xfId="723"/>
    <cellStyle name="S2 119" xfId="724"/>
    <cellStyle name="S2 12" xfId="725"/>
    <cellStyle name="S2 120" xfId="726"/>
    <cellStyle name="S2 121" xfId="727"/>
    <cellStyle name="S2 122" xfId="728"/>
    <cellStyle name="S2 123" xfId="729"/>
    <cellStyle name="S2 124" xfId="730"/>
    <cellStyle name="S2 125" xfId="731"/>
    <cellStyle name="S2 126" xfId="732"/>
    <cellStyle name="S2 127" xfId="733"/>
    <cellStyle name="S2 128" xfId="734"/>
    <cellStyle name="S2 129" xfId="735"/>
    <cellStyle name="S2 13" xfId="736"/>
    <cellStyle name="S2 130" xfId="737"/>
    <cellStyle name="S2 131" xfId="738"/>
    <cellStyle name="S2 132" xfId="739"/>
    <cellStyle name="S2 133" xfId="740"/>
    <cellStyle name="S2 134" xfId="741"/>
    <cellStyle name="S2 135" xfId="742"/>
    <cellStyle name="S2 136" xfId="743"/>
    <cellStyle name="S2 137" xfId="744"/>
    <cellStyle name="S2 138" xfId="745"/>
    <cellStyle name="S2 139" xfId="746"/>
    <cellStyle name="S2 14" xfId="747"/>
    <cellStyle name="S2 140" xfId="748"/>
    <cellStyle name="S2 141" xfId="749"/>
    <cellStyle name="S2 142" xfId="750"/>
    <cellStyle name="S2 143" xfId="751"/>
    <cellStyle name="S2 144" xfId="752"/>
    <cellStyle name="S2 145" xfId="753"/>
    <cellStyle name="S2 146" xfId="754"/>
    <cellStyle name="S2 147" xfId="755"/>
    <cellStyle name="S2 148" xfId="756"/>
    <cellStyle name="S2 149" xfId="757"/>
    <cellStyle name="S2 15" xfId="758"/>
    <cellStyle name="S2 150" xfId="759"/>
    <cellStyle name="S2 151" xfId="760"/>
    <cellStyle name="S2 152" xfId="761"/>
    <cellStyle name="S2 153" xfId="762"/>
    <cellStyle name="S2 154" xfId="763"/>
    <cellStyle name="S2 155" xfId="764"/>
    <cellStyle name="S2 156" xfId="765"/>
    <cellStyle name="S2 157" xfId="766"/>
    <cellStyle name="S2 158" xfId="767"/>
    <cellStyle name="S2 159" xfId="768"/>
    <cellStyle name="S2 16" xfId="769"/>
    <cellStyle name="S2 160" xfId="770"/>
    <cellStyle name="S2 161" xfId="771"/>
    <cellStyle name="S2 162" xfId="772"/>
    <cellStyle name="S2 163" xfId="773"/>
    <cellStyle name="S2 164" xfId="774"/>
    <cellStyle name="S2 165" xfId="775"/>
    <cellStyle name="S2 166" xfId="776"/>
    <cellStyle name="S2 167" xfId="777"/>
    <cellStyle name="S2 168" xfId="778"/>
    <cellStyle name="S2 169" xfId="779"/>
    <cellStyle name="S2 17" xfId="780"/>
    <cellStyle name="S2 170" xfId="781"/>
    <cellStyle name="S2 171" xfId="782"/>
    <cellStyle name="S2 172" xfId="783"/>
    <cellStyle name="S2 173" xfId="784"/>
    <cellStyle name="S2 174" xfId="785"/>
    <cellStyle name="S2 175" xfId="786"/>
    <cellStyle name="S2 176" xfId="787"/>
    <cellStyle name="S2 177" xfId="788"/>
    <cellStyle name="S2 178" xfId="789"/>
    <cellStyle name="S2 179" xfId="790"/>
    <cellStyle name="S2 18" xfId="791"/>
    <cellStyle name="S2 180" xfId="792"/>
    <cellStyle name="S2 181" xfId="793"/>
    <cellStyle name="S2 182" xfId="794"/>
    <cellStyle name="S2 183" xfId="795"/>
    <cellStyle name="S2 184" xfId="796"/>
    <cellStyle name="S2 185" xfId="797"/>
    <cellStyle name="S2 186" xfId="798"/>
    <cellStyle name="S2 187" xfId="799"/>
    <cellStyle name="S2 188" xfId="800"/>
    <cellStyle name="S2 189" xfId="801"/>
    <cellStyle name="S2 19" xfId="802"/>
    <cellStyle name="S2 190" xfId="803"/>
    <cellStyle name="S2 191" xfId="804"/>
    <cellStyle name="S2 192" xfId="805"/>
    <cellStyle name="S2 193" xfId="806"/>
    <cellStyle name="S2 194" xfId="807"/>
    <cellStyle name="S2 195" xfId="808"/>
    <cellStyle name="S2 196" xfId="809"/>
    <cellStyle name="S2 197" xfId="810"/>
    <cellStyle name="S2 198" xfId="811"/>
    <cellStyle name="S2 199" xfId="812"/>
    <cellStyle name="S2 2" xfId="813"/>
    <cellStyle name="S2 20" xfId="814"/>
    <cellStyle name="S2 200" xfId="815"/>
    <cellStyle name="S2 201" xfId="816"/>
    <cellStyle name="S2 202" xfId="817"/>
    <cellStyle name="S2 203" xfId="818"/>
    <cellStyle name="S2 204" xfId="819"/>
    <cellStyle name="S2 205" xfId="820"/>
    <cellStyle name="S2 206" xfId="821"/>
    <cellStyle name="S2 207" xfId="822"/>
    <cellStyle name="S2 208" xfId="823"/>
    <cellStyle name="S2 209" xfId="824"/>
    <cellStyle name="S2 21" xfId="825"/>
    <cellStyle name="S2 210" xfId="826"/>
    <cellStyle name="S2 211" xfId="827"/>
    <cellStyle name="S2 212" xfId="828"/>
    <cellStyle name="S2 213" xfId="829"/>
    <cellStyle name="S2 214" xfId="830"/>
    <cellStyle name="S2 215" xfId="831"/>
    <cellStyle name="S2 216" xfId="832"/>
    <cellStyle name="S2 217" xfId="833"/>
    <cellStyle name="S2 218" xfId="834"/>
    <cellStyle name="S2 219" xfId="835"/>
    <cellStyle name="S2 22" xfId="836"/>
    <cellStyle name="S2 220" xfId="837"/>
    <cellStyle name="S2 221" xfId="838"/>
    <cellStyle name="S2 222" xfId="839"/>
    <cellStyle name="S2 223" xfId="840"/>
    <cellStyle name="S2 224" xfId="841"/>
    <cellStyle name="S2 225" xfId="842"/>
    <cellStyle name="S2 226" xfId="843"/>
    <cellStyle name="S2 227" xfId="844"/>
    <cellStyle name="S2 228" xfId="845"/>
    <cellStyle name="S2 229" xfId="846"/>
    <cellStyle name="S2 23" xfId="847"/>
    <cellStyle name="S2 230" xfId="848"/>
    <cellStyle name="S2 231" xfId="849"/>
    <cellStyle name="S2 232" xfId="850"/>
    <cellStyle name="S2 233" xfId="851"/>
    <cellStyle name="S2 234" xfId="852"/>
    <cellStyle name="S2 235" xfId="853"/>
    <cellStyle name="S2 236" xfId="854"/>
    <cellStyle name="S2 237" xfId="855"/>
    <cellStyle name="S2 238" xfId="856"/>
    <cellStyle name="S2 239" xfId="857"/>
    <cellStyle name="S2 24" xfId="858"/>
    <cellStyle name="S2 240" xfId="859"/>
    <cellStyle name="S2 241" xfId="860"/>
    <cellStyle name="S2 242" xfId="861"/>
    <cellStyle name="S2 243" xfId="862"/>
    <cellStyle name="S2 244" xfId="863"/>
    <cellStyle name="S2 245" xfId="864"/>
    <cellStyle name="S2 246" xfId="865"/>
    <cellStyle name="S2 247" xfId="866"/>
    <cellStyle name="S2 248" xfId="867"/>
    <cellStyle name="S2 249" xfId="868"/>
    <cellStyle name="S2 25" xfId="869"/>
    <cellStyle name="S2 250" xfId="870"/>
    <cellStyle name="S2 251" xfId="871"/>
    <cellStyle name="S2 252" xfId="872"/>
    <cellStyle name="S2 253" xfId="873"/>
    <cellStyle name="S2 254" xfId="874"/>
    <cellStyle name="S2 255" xfId="875"/>
    <cellStyle name="S2 256" xfId="876"/>
    <cellStyle name="S2 257" xfId="877"/>
    <cellStyle name="S2 258" xfId="878"/>
    <cellStyle name="S2 259" xfId="879"/>
    <cellStyle name="S2 26" xfId="880"/>
    <cellStyle name="S2 260" xfId="881"/>
    <cellStyle name="S2 261" xfId="882"/>
    <cellStyle name="S2 262" xfId="883"/>
    <cellStyle name="S2 263" xfId="884"/>
    <cellStyle name="S2 264" xfId="885"/>
    <cellStyle name="S2 265" xfId="886"/>
    <cellStyle name="S2 265 2" xfId="887"/>
    <cellStyle name="S2 266" xfId="888"/>
    <cellStyle name="S2 267" xfId="889"/>
    <cellStyle name="S2 27" xfId="890"/>
    <cellStyle name="S2 28" xfId="891"/>
    <cellStyle name="S2 29" xfId="892"/>
    <cellStyle name="S2 3" xfId="893"/>
    <cellStyle name="S2 30" xfId="894"/>
    <cellStyle name="S2 31" xfId="895"/>
    <cellStyle name="S2 32" xfId="896"/>
    <cellStyle name="S2 33" xfId="897"/>
    <cellStyle name="S2 34" xfId="898"/>
    <cellStyle name="S2 35" xfId="899"/>
    <cellStyle name="S2 36" xfId="900"/>
    <cellStyle name="S2 37" xfId="901"/>
    <cellStyle name="S2 38" xfId="902"/>
    <cellStyle name="S2 39" xfId="903"/>
    <cellStyle name="S2 4" xfId="904"/>
    <cellStyle name="S2 40" xfId="905"/>
    <cellStyle name="S2 41" xfId="906"/>
    <cellStyle name="S2 42" xfId="907"/>
    <cellStyle name="S2 43" xfId="908"/>
    <cellStyle name="S2 44" xfId="909"/>
    <cellStyle name="S2 45" xfId="910"/>
    <cellStyle name="S2 46" xfId="911"/>
    <cellStyle name="S2 47" xfId="912"/>
    <cellStyle name="S2 48" xfId="913"/>
    <cellStyle name="S2 49" xfId="914"/>
    <cellStyle name="S2 5" xfId="915"/>
    <cellStyle name="S2 50" xfId="916"/>
    <cellStyle name="S2 51" xfId="917"/>
    <cellStyle name="S2 52" xfId="918"/>
    <cellStyle name="S2 53" xfId="919"/>
    <cellStyle name="S2 54" xfId="920"/>
    <cellStyle name="S2 55" xfId="921"/>
    <cellStyle name="S2 56" xfId="922"/>
    <cellStyle name="S2 57" xfId="923"/>
    <cellStyle name="S2 58" xfId="924"/>
    <cellStyle name="S2 59" xfId="925"/>
    <cellStyle name="S2 6" xfId="926"/>
    <cellStyle name="S2 60" xfId="927"/>
    <cellStyle name="S2 61" xfId="928"/>
    <cellStyle name="S2 62" xfId="929"/>
    <cellStyle name="S2 63" xfId="930"/>
    <cellStyle name="S2 64" xfId="931"/>
    <cellStyle name="S2 65" xfId="932"/>
    <cellStyle name="S2 66" xfId="933"/>
    <cellStyle name="S2 67" xfId="934"/>
    <cellStyle name="S2 68" xfId="935"/>
    <cellStyle name="S2 69" xfId="936"/>
    <cellStyle name="S2 7" xfId="937"/>
    <cellStyle name="S2 70" xfId="938"/>
    <cellStyle name="S2 71" xfId="939"/>
    <cellStyle name="S2 72" xfId="940"/>
    <cellStyle name="S2 73" xfId="941"/>
    <cellStyle name="S2 74" xfId="942"/>
    <cellStyle name="S2 75" xfId="943"/>
    <cellStyle name="S2 76" xfId="944"/>
    <cellStyle name="S2 77" xfId="945"/>
    <cellStyle name="S2 78" xfId="946"/>
    <cellStyle name="S2 79" xfId="947"/>
    <cellStyle name="S2 8" xfId="948"/>
    <cellStyle name="S2 80" xfId="949"/>
    <cellStyle name="S2 81" xfId="950"/>
    <cellStyle name="S2 82" xfId="951"/>
    <cellStyle name="S2 83" xfId="952"/>
    <cellStyle name="S2 84" xfId="953"/>
    <cellStyle name="S2 85" xfId="954"/>
    <cellStyle name="S2 86" xfId="955"/>
    <cellStyle name="S2 87" xfId="956"/>
    <cellStyle name="S2 88" xfId="957"/>
    <cellStyle name="S2 89" xfId="958"/>
    <cellStyle name="S2 9" xfId="959"/>
    <cellStyle name="S2 90" xfId="960"/>
    <cellStyle name="S2 91" xfId="961"/>
    <cellStyle name="S2 92" xfId="962"/>
    <cellStyle name="S2 93" xfId="963"/>
    <cellStyle name="S2 94" xfId="964"/>
    <cellStyle name="S2 95" xfId="965"/>
    <cellStyle name="S2 96" xfId="966"/>
    <cellStyle name="S2 97" xfId="967"/>
    <cellStyle name="S2 98" xfId="968"/>
    <cellStyle name="S2 99" xfId="969"/>
    <cellStyle name="S2_Pembelian" xfId="970"/>
    <cellStyle name="S3" xfId="971"/>
    <cellStyle name="S3 10" xfId="972"/>
    <cellStyle name="S3 11" xfId="973"/>
    <cellStyle name="S3 2" xfId="974"/>
    <cellStyle name="S3 3" xfId="975"/>
    <cellStyle name="S3 4" xfId="976"/>
    <cellStyle name="S3 5" xfId="977"/>
    <cellStyle name="S3 6" xfId="978"/>
    <cellStyle name="S3 7" xfId="979"/>
    <cellStyle name="S3 8" xfId="980"/>
    <cellStyle name="S3 9" xfId="981"/>
    <cellStyle name="S3 9 2" xfId="982"/>
    <cellStyle name="S3_Pembelian" xfId="983"/>
    <cellStyle name="S4" xfId="984"/>
    <cellStyle name="S4 10" xfId="985"/>
    <cellStyle name="S4 11" xfId="986"/>
    <cellStyle name="S4 12" xfId="987"/>
    <cellStyle name="S4 12 2" xfId="988"/>
    <cellStyle name="S4 13" xfId="989"/>
    <cellStyle name="S4 14" xfId="990"/>
    <cellStyle name="S4 14 2" xfId="991"/>
    <cellStyle name="S4 15" xfId="992"/>
    <cellStyle name="S4 16" xfId="993"/>
    <cellStyle name="S4 19" xfId="994"/>
    <cellStyle name="S4 2" xfId="995"/>
    <cellStyle name="S4 3" xfId="996"/>
    <cellStyle name="S4 4" xfId="997"/>
    <cellStyle name="S4 5" xfId="998"/>
    <cellStyle name="S4 6" xfId="999"/>
    <cellStyle name="S4 7" xfId="1000"/>
    <cellStyle name="S4 8" xfId="1001"/>
    <cellStyle name="S4 9" xfId="1002"/>
    <cellStyle name="S4 9 2" xfId="1003"/>
    <cellStyle name="S4_Pembelian" xfId="1004"/>
    <cellStyle name="S5" xfId="1005"/>
    <cellStyle name="S5 10" xfId="1006"/>
    <cellStyle name="S5 10 2" xfId="1007"/>
    <cellStyle name="S5 11" xfId="1008"/>
    <cellStyle name="S5 12" xfId="1009"/>
    <cellStyle name="S5 13" xfId="1010"/>
    <cellStyle name="S5 19" xfId="1011"/>
    <cellStyle name="S5 2" xfId="1012"/>
    <cellStyle name="S5 2 2" xfId="1013"/>
    <cellStyle name="S5 3" xfId="1014"/>
    <cellStyle name="S5 3 2" xfId="1015"/>
    <cellStyle name="S5 4" xfId="1016"/>
    <cellStyle name="S5 5" xfId="1017"/>
    <cellStyle name="S5 6" xfId="1018"/>
    <cellStyle name="S5 7" xfId="1019"/>
    <cellStyle name="S5 8" xfId="1020"/>
    <cellStyle name="S5 9" xfId="1021"/>
    <cellStyle name="S5 9 2" xfId="1022"/>
    <cellStyle name="S5_Pembelian" xfId="1023"/>
    <cellStyle name="S6" xfId="1024"/>
    <cellStyle name="S6 10" xfId="1025"/>
    <cellStyle name="S6 11" xfId="1026"/>
    <cellStyle name="S6 11 2" xfId="1027"/>
    <cellStyle name="S6 12" xfId="1028"/>
    <cellStyle name="S6 13" xfId="1029"/>
    <cellStyle name="S6 13 2" xfId="1030"/>
    <cellStyle name="S6 14" xfId="1031"/>
    <cellStyle name="S6 15" xfId="1032"/>
    <cellStyle name="S6 16" xfId="1033"/>
    <cellStyle name="S6 17" xfId="1034"/>
    <cellStyle name="S6 18" xfId="1035"/>
    <cellStyle name="S6 2" xfId="1036"/>
    <cellStyle name="S6 3" xfId="1037"/>
    <cellStyle name="S6 4" xfId="1038"/>
    <cellStyle name="S6 5" xfId="1039"/>
    <cellStyle name="S6 6" xfId="1040"/>
    <cellStyle name="S6 7" xfId="1041"/>
    <cellStyle name="S6 8" xfId="1042"/>
    <cellStyle name="S6 9" xfId="1043"/>
    <cellStyle name="S6_Pembelian" xfId="1044"/>
    <cellStyle name="S7" xfId="1045"/>
    <cellStyle name="S7 10" xfId="1046"/>
    <cellStyle name="S7 10 2" xfId="1047"/>
    <cellStyle name="S7 11" xfId="1048"/>
    <cellStyle name="S7 12" xfId="1049"/>
    <cellStyle name="S7 12 2" xfId="1050"/>
    <cellStyle name="S7 13" xfId="1051"/>
    <cellStyle name="S7 14" xfId="1052"/>
    <cellStyle name="S7 15" xfId="1053"/>
    <cellStyle name="S7 16" xfId="1054"/>
    <cellStyle name="S7 19" xfId="7"/>
    <cellStyle name="S7 19 2" xfId="1055"/>
    <cellStyle name="S7 2" xfId="1056"/>
    <cellStyle name="S7 3" xfId="1057"/>
    <cellStyle name="S7 4" xfId="1058"/>
    <cellStyle name="S7 5" xfId="1059"/>
    <cellStyle name="S7 6" xfId="1060"/>
    <cellStyle name="S7 7" xfId="1061"/>
    <cellStyle name="S7 8" xfId="1062"/>
    <cellStyle name="S7 9" xfId="1063"/>
    <cellStyle name="S7_Pembelian" xfId="1064"/>
    <cellStyle name="S8" xfId="1065"/>
    <cellStyle name="S8 10" xfId="1066"/>
    <cellStyle name="S8 11" xfId="1067"/>
    <cellStyle name="S8 12" xfId="1068"/>
    <cellStyle name="S8 13" xfId="1069"/>
    <cellStyle name="S8 14" xfId="1070"/>
    <cellStyle name="S8 2" xfId="1071"/>
    <cellStyle name="S8 3" xfId="1072"/>
    <cellStyle name="S8 4" xfId="1073"/>
    <cellStyle name="S8 5" xfId="1074"/>
    <cellStyle name="S8 5 2" xfId="1075"/>
    <cellStyle name="S8 6" xfId="1076"/>
    <cellStyle name="S8 7" xfId="1077"/>
    <cellStyle name="S8 8" xfId="6"/>
    <cellStyle name="S8 9" xfId="1078"/>
    <cellStyle name="S8 9 2" xfId="1079"/>
    <cellStyle name="S8_Pembelian" xfId="1080"/>
    <cellStyle name="S9" xfId="1081"/>
    <cellStyle name="S9 10" xfId="1082"/>
    <cellStyle name="S9 11" xfId="1083"/>
    <cellStyle name="S9 11 2" xfId="1084"/>
    <cellStyle name="S9 12" xfId="1085"/>
    <cellStyle name="S9 13" xfId="1086"/>
    <cellStyle name="S9 14" xfId="1087"/>
    <cellStyle name="S9 15" xfId="1088"/>
    <cellStyle name="S9 16" xfId="1089"/>
    <cellStyle name="S9 17" xfId="1090"/>
    <cellStyle name="S9 2" xfId="1091"/>
    <cellStyle name="S9 3" xfId="1092"/>
    <cellStyle name="S9 4" xfId="1093"/>
    <cellStyle name="S9 5" xfId="1094"/>
    <cellStyle name="S9 6" xfId="1095"/>
    <cellStyle name="S9 7" xfId="1096"/>
    <cellStyle name="S9 8" xfId="1097"/>
    <cellStyle name="S9 9" xfId="1098"/>
    <cellStyle name="S9_Pembelian" xfId="1099"/>
  </cellStyles>
  <dxfs count="10"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33CC"/>
        <name val="Calibri"/>
        <scheme val="minor"/>
      </font>
      <numFmt numFmtId="168" formatCode="[$-409]d\-mmm\-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border outline="0"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Calibri"/>
        <scheme val="minor"/>
      </font>
      <fill>
        <patternFill patternType="solid">
          <fgColor indexed="64"/>
          <bgColor theme="5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</dxfs>
  <tableStyles count="0" defaultTableStyle="TableStyleMedium2" defaultPivotStyle="PivotStyleLight16"/>
  <colors>
    <mruColors>
      <color rgb="FF0000FF"/>
      <color rgb="FFE75BC2"/>
      <color rgb="FF00A200"/>
      <color rgb="FF008000"/>
      <color rgb="FFFFFFCC"/>
      <color rgb="FF44E48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247651</xdr:colOff>
      <xdr:row>196</xdr:row>
      <xdr:rowOff>28574</xdr:rowOff>
    </xdr:from>
    <xdr:to>
      <xdr:col>3</xdr:col>
      <xdr:colOff>1</xdr:colOff>
      <xdr:row>196</xdr:row>
      <xdr:rowOff>161925</xdr:rowOff>
    </xdr:to>
    <xdr:sp macro="" textlink="">
      <xdr:nvSpPr>
        <xdr:cNvPr id="2" name="Rectangle 1">
          <a:extLst>
            <a:ext uri="{FF2B5EF4-FFF2-40B4-BE49-F238E27FC236}">
              <a16:creationId xmlns="" xmlns:a16="http://schemas.microsoft.com/office/drawing/2014/main" id="{BBA8C9C2-CC2D-4BE6-9598-7F133F3A0FFD}"/>
            </a:ext>
          </a:extLst>
        </xdr:cNvPr>
        <xdr:cNvSpPr/>
      </xdr:nvSpPr>
      <xdr:spPr>
        <a:xfrm>
          <a:off x="752476" y="37423724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1152525</xdr:colOff>
      <xdr:row>196</xdr:row>
      <xdr:rowOff>19050</xdr:rowOff>
    </xdr:from>
    <xdr:to>
      <xdr:col>4</xdr:col>
      <xdr:colOff>1304925</xdr:colOff>
      <xdr:row>196</xdr:row>
      <xdr:rowOff>152401</xdr:rowOff>
    </xdr:to>
    <xdr:sp macro="" textlink="">
      <xdr:nvSpPr>
        <xdr:cNvPr id="3" name="Rectangle 2">
          <a:extLst>
            <a:ext uri="{FF2B5EF4-FFF2-40B4-BE49-F238E27FC236}">
              <a16:creationId xmlns="" xmlns:a16="http://schemas.microsoft.com/office/drawing/2014/main" id="{46ABDA62-9B15-4E60-A6AB-971150F87606}"/>
            </a:ext>
          </a:extLst>
        </xdr:cNvPr>
        <xdr:cNvSpPr/>
      </xdr:nvSpPr>
      <xdr:spPr>
        <a:xfrm>
          <a:off x="3133725" y="37414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428625</xdr:colOff>
      <xdr:row>196</xdr:row>
      <xdr:rowOff>19050</xdr:rowOff>
    </xdr:from>
    <xdr:to>
      <xdr:col>8</xdr:col>
      <xdr:colOff>581025</xdr:colOff>
      <xdr:row>196</xdr:row>
      <xdr:rowOff>152401</xdr:rowOff>
    </xdr:to>
    <xdr:sp macro="" textlink="">
      <xdr:nvSpPr>
        <xdr:cNvPr id="4" name="Rectangle 3">
          <a:extLst>
            <a:ext uri="{FF2B5EF4-FFF2-40B4-BE49-F238E27FC236}">
              <a16:creationId xmlns="" xmlns:a16="http://schemas.microsoft.com/office/drawing/2014/main" id="{B391558F-4EEE-49DE-BE10-84F2B7664222}"/>
            </a:ext>
          </a:extLst>
        </xdr:cNvPr>
        <xdr:cNvSpPr/>
      </xdr:nvSpPr>
      <xdr:spPr>
        <a:xfrm>
          <a:off x="5553075" y="37414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247651</xdr:colOff>
      <xdr:row>198</xdr:row>
      <xdr:rowOff>28574</xdr:rowOff>
    </xdr:from>
    <xdr:to>
      <xdr:col>3</xdr:col>
      <xdr:colOff>1</xdr:colOff>
      <xdr:row>198</xdr:row>
      <xdr:rowOff>161925</xdr:rowOff>
    </xdr:to>
    <xdr:sp macro="" textlink="">
      <xdr:nvSpPr>
        <xdr:cNvPr id="5" name="Rectangle 4">
          <a:extLst>
            <a:ext uri="{FF2B5EF4-FFF2-40B4-BE49-F238E27FC236}">
              <a16:creationId xmlns="" xmlns:a16="http://schemas.microsoft.com/office/drawing/2014/main" id="{573B66D8-6CB1-4EDF-AF2F-75F2CDEBC83E}"/>
            </a:ext>
          </a:extLst>
        </xdr:cNvPr>
        <xdr:cNvSpPr/>
      </xdr:nvSpPr>
      <xdr:spPr>
        <a:xfrm>
          <a:off x="752476" y="37804724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1152525</xdr:colOff>
      <xdr:row>198</xdr:row>
      <xdr:rowOff>19050</xdr:rowOff>
    </xdr:from>
    <xdr:to>
      <xdr:col>4</xdr:col>
      <xdr:colOff>1304925</xdr:colOff>
      <xdr:row>198</xdr:row>
      <xdr:rowOff>152401</xdr:rowOff>
    </xdr:to>
    <xdr:sp macro="" textlink="">
      <xdr:nvSpPr>
        <xdr:cNvPr id="6" name="Rectangle 5">
          <a:extLst>
            <a:ext uri="{FF2B5EF4-FFF2-40B4-BE49-F238E27FC236}">
              <a16:creationId xmlns="" xmlns:a16="http://schemas.microsoft.com/office/drawing/2014/main" id="{E3428A55-664A-41D4-AB1F-963FD492F34E}"/>
            </a:ext>
          </a:extLst>
        </xdr:cNvPr>
        <xdr:cNvSpPr/>
      </xdr:nvSpPr>
      <xdr:spPr>
        <a:xfrm>
          <a:off x="3133725" y="37795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428625</xdr:colOff>
      <xdr:row>198</xdr:row>
      <xdr:rowOff>19050</xdr:rowOff>
    </xdr:from>
    <xdr:to>
      <xdr:col>8</xdr:col>
      <xdr:colOff>581025</xdr:colOff>
      <xdr:row>198</xdr:row>
      <xdr:rowOff>152401</xdr:rowOff>
    </xdr:to>
    <xdr:sp macro="" textlink="">
      <xdr:nvSpPr>
        <xdr:cNvPr id="7" name="Rectangle 6">
          <a:extLst>
            <a:ext uri="{FF2B5EF4-FFF2-40B4-BE49-F238E27FC236}">
              <a16:creationId xmlns="" xmlns:a16="http://schemas.microsoft.com/office/drawing/2014/main" id="{7BBA129C-F5EE-40B3-87D1-C06B1F9D7B24}"/>
            </a:ext>
          </a:extLst>
        </xdr:cNvPr>
        <xdr:cNvSpPr/>
      </xdr:nvSpPr>
      <xdr:spPr>
        <a:xfrm>
          <a:off x="5553075" y="37795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.10.51\wahyu\1Pribadi\KPI%20EXCEL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cc-fin\wahyu\1Pribadi\KPI%20EXCE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PI"/>
      <sheetName val="PROGRES TUGAS IT 2020"/>
      <sheetName val="Lampiran 1.1"/>
      <sheetName val="Lampiran 1.2"/>
      <sheetName val="Lampiran 1.3"/>
      <sheetName val="Lampiran 1.4"/>
      <sheetName val="Lampiran 1.41"/>
      <sheetName val="Lampiran 1.5"/>
      <sheetName val="Lampiran 1.6"/>
      <sheetName val="NILAIKPI"/>
      <sheetName val="BUKTI"/>
    </sheetNames>
    <sheetDataSet>
      <sheetData sheetId="0"/>
      <sheetData sheetId="1">
        <row r="3">
          <cell r="B3">
            <v>1</v>
          </cell>
          <cell r="C3" t="str">
            <v>B</v>
          </cell>
          <cell r="D3" t="str">
            <v>Backup pc gudang (hardisk penuh)</v>
          </cell>
          <cell r="E3">
            <v>0</v>
          </cell>
          <cell r="F3">
            <v>0</v>
          </cell>
          <cell r="G3">
            <v>0</v>
          </cell>
          <cell r="H3">
            <v>44037</v>
          </cell>
          <cell r="I3">
            <v>44030</v>
          </cell>
          <cell r="J3" t="str">
            <v>Done</v>
          </cell>
          <cell r="K3" t="str">
            <v>sudah ada</v>
          </cell>
          <cell r="L3" t="str">
            <v>sudah ada</v>
          </cell>
        </row>
        <row r="4">
          <cell r="B4">
            <v>2</v>
          </cell>
          <cell r="C4" t="str">
            <v>Up</v>
          </cell>
          <cell r="D4" t="str">
            <v>Update fasilitas dongle lot dan exp cabang</v>
          </cell>
          <cell r="E4">
            <v>0</v>
          </cell>
          <cell r="F4">
            <v>0</v>
          </cell>
          <cell r="G4">
            <v>0</v>
          </cell>
          <cell r="H4">
            <v>44054</v>
          </cell>
          <cell r="I4">
            <v>44033</v>
          </cell>
          <cell r="J4" t="str">
            <v>Done</v>
          </cell>
          <cell r="K4" t="str">
            <v>sudah ada</v>
          </cell>
          <cell r="L4" t="str">
            <v>sudah ada</v>
          </cell>
        </row>
        <row r="5">
          <cell r="B5">
            <v>3</v>
          </cell>
          <cell r="C5">
            <v>4</v>
          </cell>
          <cell r="D5" t="str">
            <v>Input lot dan exp Cabang</v>
          </cell>
          <cell r="E5">
            <v>0</v>
          </cell>
          <cell r="F5">
            <v>0</v>
          </cell>
          <cell r="G5">
            <v>0</v>
          </cell>
          <cell r="H5">
            <v>44083</v>
          </cell>
          <cell r="I5">
            <v>44044</v>
          </cell>
          <cell r="J5" t="str">
            <v>Done</v>
          </cell>
          <cell r="K5" t="str">
            <v>sudah ada</v>
          </cell>
          <cell r="L5" t="str">
            <v>sudah ada</v>
          </cell>
        </row>
        <row r="6">
          <cell r="B6">
            <v>4</v>
          </cell>
          <cell r="C6">
            <v>5</v>
          </cell>
          <cell r="D6" t="str">
            <v>Membuat SOP Perawatan Perangkat</v>
          </cell>
          <cell r="E6">
            <v>0</v>
          </cell>
          <cell r="F6">
            <v>0</v>
          </cell>
          <cell r="G6">
            <v>0</v>
          </cell>
          <cell r="H6">
            <v>44054</v>
          </cell>
          <cell r="I6">
            <v>44044</v>
          </cell>
          <cell r="J6" t="str">
            <v>Done</v>
          </cell>
          <cell r="K6" t="str">
            <v>sudah ada</v>
          </cell>
          <cell r="L6" t="str">
            <v>sudah ada</v>
          </cell>
        </row>
        <row r="7">
          <cell r="B7">
            <v>5</v>
          </cell>
          <cell r="C7">
            <v>6</v>
          </cell>
          <cell r="D7" t="str">
            <v>Perbaikan surat jalan ekspedisi digital</v>
          </cell>
          <cell r="E7">
            <v>0</v>
          </cell>
          <cell r="F7">
            <v>0</v>
          </cell>
          <cell r="G7">
            <v>0</v>
          </cell>
          <cell r="H7">
            <v>44019</v>
          </cell>
          <cell r="I7">
            <v>44013</v>
          </cell>
          <cell r="J7" t="str">
            <v>Done</v>
          </cell>
          <cell r="K7" t="str">
            <v>sudah ada</v>
          </cell>
          <cell r="L7" t="str">
            <v>sudah ada</v>
          </cell>
        </row>
        <row r="8">
          <cell r="B8">
            <v>6</v>
          </cell>
          <cell r="C8">
            <v>7</v>
          </cell>
          <cell r="D8" t="str">
            <v>Perbaikan Sales Tracking</v>
          </cell>
          <cell r="E8">
            <v>0</v>
          </cell>
          <cell r="F8">
            <v>0</v>
          </cell>
          <cell r="G8">
            <v>0</v>
          </cell>
          <cell r="H8">
            <v>44054</v>
          </cell>
          <cell r="I8">
            <v>44083</v>
          </cell>
          <cell r="J8" t="str">
            <v>Done</v>
          </cell>
          <cell r="K8" t="str">
            <v>sudah ada</v>
          </cell>
          <cell r="L8" t="str">
            <v>sudah ada</v>
          </cell>
        </row>
        <row r="9">
          <cell r="B9">
            <v>7</v>
          </cell>
          <cell r="C9">
            <v>8</v>
          </cell>
          <cell r="D9" t="str">
            <v>Pembuatan Design Laporan Zahir penjualan</v>
          </cell>
          <cell r="E9">
            <v>0</v>
          </cell>
          <cell r="F9">
            <v>0</v>
          </cell>
          <cell r="G9">
            <v>0</v>
          </cell>
          <cell r="H9">
            <v>43934</v>
          </cell>
          <cell r="I9">
            <v>43922</v>
          </cell>
          <cell r="J9" t="str">
            <v>Done</v>
          </cell>
          <cell r="K9" t="str">
            <v>sudah ada</v>
          </cell>
          <cell r="L9" t="str">
            <v>sudah ada</v>
          </cell>
        </row>
        <row r="10">
          <cell r="B10">
            <v>8</v>
          </cell>
          <cell r="C10">
            <v>9</v>
          </cell>
          <cell r="D10" t="str">
            <v>Pembuatan Design Laporan Zahir Lot Penjualan</v>
          </cell>
          <cell r="E10">
            <v>0</v>
          </cell>
          <cell r="F10">
            <v>0</v>
          </cell>
          <cell r="G10">
            <v>0</v>
          </cell>
          <cell r="H10">
            <v>43934</v>
          </cell>
          <cell r="I10">
            <v>43922</v>
          </cell>
          <cell r="J10" t="str">
            <v>Done</v>
          </cell>
          <cell r="K10" t="str">
            <v>sudah ada</v>
          </cell>
          <cell r="L10" t="str">
            <v>sudah ada</v>
          </cell>
        </row>
        <row r="11">
          <cell r="B11">
            <v>9</v>
          </cell>
          <cell r="C11">
            <v>10</v>
          </cell>
          <cell r="D11" t="str">
            <v>Pembuatan Design Laporan Zahir Lot Mutasi</v>
          </cell>
          <cell r="E11">
            <v>0</v>
          </cell>
          <cell r="F11">
            <v>0</v>
          </cell>
          <cell r="G11">
            <v>0</v>
          </cell>
          <cell r="H11">
            <v>44054</v>
          </cell>
          <cell r="I11">
            <v>44044</v>
          </cell>
          <cell r="J11" t="str">
            <v>Done</v>
          </cell>
          <cell r="K11" t="str">
            <v>sudah ada</v>
          </cell>
          <cell r="L11" t="str">
            <v>sudah ada</v>
          </cell>
        </row>
        <row r="12">
          <cell r="B12">
            <v>10</v>
          </cell>
          <cell r="C12">
            <v>11</v>
          </cell>
          <cell r="D12" t="str">
            <v>Pembuatan Program Pendukung ACC (mitra)</v>
          </cell>
          <cell r="E12">
            <v>0</v>
          </cell>
          <cell r="F12">
            <v>0</v>
          </cell>
          <cell r="G12">
            <v>0</v>
          </cell>
          <cell r="H12">
            <v>44026</v>
          </cell>
          <cell r="I12">
            <v>44003</v>
          </cell>
          <cell r="J12" t="str">
            <v>Done</v>
          </cell>
          <cell r="K12" t="str">
            <v>sudah ada</v>
          </cell>
          <cell r="L12" t="str">
            <v>sudah ada</v>
          </cell>
        </row>
        <row r="13">
          <cell r="B13">
            <v>11</v>
          </cell>
          <cell r="C13">
            <v>12</v>
          </cell>
          <cell r="D13" t="str">
            <v>Pembuatan Program Pendukung ACC (Fairin)</v>
          </cell>
          <cell r="E13">
            <v>0</v>
          </cell>
          <cell r="F13">
            <v>0</v>
          </cell>
          <cell r="G13">
            <v>0</v>
          </cell>
          <cell r="H13">
            <v>44026</v>
          </cell>
          <cell r="I13">
            <v>44003</v>
          </cell>
          <cell r="J13" t="str">
            <v>Done</v>
          </cell>
          <cell r="K13" t="str">
            <v>sudah ada</v>
          </cell>
          <cell r="L13" t="str">
            <v>sudah ada</v>
          </cell>
        </row>
        <row r="14">
          <cell r="B14">
            <v>12</v>
          </cell>
          <cell r="C14">
            <v>13</v>
          </cell>
          <cell r="D14" t="str">
            <v>Pembuatan Laporan Pemeblian Lot (pak supri)</v>
          </cell>
          <cell r="E14">
            <v>0</v>
          </cell>
          <cell r="F14">
            <v>0</v>
          </cell>
          <cell r="G14">
            <v>0</v>
          </cell>
          <cell r="H14">
            <v>43934</v>
          </cell>
          <cell r="I14">
            <v>43923</v>
          </cell>
          <cell r="J14" t="str">
            <v>Done</v>
          </cell>
          <cell r="K14" t="str">
            <v>sudah ada</v>
          </cell>
          <cell r="L14" t="str">
            <v>sudah ada</v>
          </cell>
        </row>
        <row r="15">
          <cell r="B15">
            <v>13</v>
          </cell>
          <cell r="C15">
            <v>14</v>
          </cell>
          <cell r="D15" t="str">
            <v>Perubahan Jalur Jaringan untuk Ruang Direktur</v>
          </cell>
          <cell r="E15">
            <v>0</v>
          </cell>
          <cell r="F15">
            <v>0</v>
          </cell>
          <cell r="G15">
            <v>0</v>
          </cell>
          <cell r="H15">
            <v>44054</v>
          </cell>
          <cell r="I15">
            <v>44013</v>
          </cell>
          <cell r="J15" t="str">
            <v>Done</v>
          </cell>
          <cell r="K15" t="str">
            <v>sudah ada</v>
          </cell>
          <cell r="L15" t="str">
            <v>sudah ada</v>
          </cell>
        </row>
        <row r="16">
          <cell r="B16">
            <v>14</v>
          </cell>
          <cell r="C16">
            <v>15</v>
          </cell>
          <cell r="D16" t="str">
            <v>Perbaikan Jalur CCTV Belakang Gudang</v>
          </cell>
          <cell r="E16">
            <v>0</v>
          </cell>
          <cell r="F16">
            <v>0</v>
          </cell>
          <cell r="G16">
            <v>0</v>
          </cell>
          <cell r="H16">
            <v>44054</v>
          </cell>
          <cell r="I16">
            <v>44013</v>
          </cell>
          <cell r="J16" t="str">
            <v>Done</v>
          </cell>
          <cell r="K16" t="str">
            <v>sudah ada</v>
          </cell>
          <cell r="L16" t="str">
            <v>sudah ada</v>
          </cell>
        </row>
        <row r="17">
          <cell r="B17">
            <v>15</v>
          </cell>
          <cell r="C17">
            <v>16</v>
          </cell>
          <cell r="D17" t="str">
            <v>Pembuatan Script untuk penjualan (lot)</v>
          </cell>
          <cell r="E17">
            <v>0</v>
          </cell>
          <cell r="F17">
            <v>0</v>
          </cell>
          <cell r="G17">
            <v>0</v>
          </cell>
          <cell r="H17">
            <v>44054</v>
          </cell>
          <cell r="I17">
            <v>44039</v>
          </cell>
          <cell r="J17" t="str">
            <v>Done</v>
          </cell>
          <cell r="K17" t="str">
            <v>sudah ada</v>
          </cell>
          <cell r="L17" t="str">
            <v>sudah ada</v>
          </cell>
        </row>
        <row r="18">
          <cell r="B18">
            <v>16</v>
          </cell>
          <cell r="C18">
            <v>17</v>
          </cell>
          <cell r="D18" t="str">
            <v>Pembuatan Script untuk pembelian (lot)</v>
          </cell>
          <cell r="E18">
            <v>0</v>
          </cell>
          <cell r="F18">
            <v>0</v>
          </cell>
          <cell r="G18">
            <v>0</v>
          </cell>
          <cell r="H18">
            <v>44054</v>
          </cell>
          <cell r="I18">
            <v>44039</v>
          </cell>
          <cell r="J18" t="str">
            <v>Done</v>
          </cell>
          <cell r="K18" t="str">
            <v>sudah ada</v>
          </cell>
          <cell r="L18" t="str">
            <v>sudah ada</v>
          </cell>
        </row>
        <row r="19">
          <cell r="B19">
            <v>17</v>
          </cell>
          <cell r="C19">
            <v>18</v>
          </cell>
          <cell r="D19" t="str">
            <v>Pembuatan Script untuk Mutasi (lot)</v>
          </cell>
          <cell r="E19">
            <v>0</v>
          </cell>
          <cell r="F19">
            <v>0</v>
          </cell>
          <cell r="G19">
            <v>0</v>
          </cell>
          <cell r="H19">
            <v>44054</v>
          </cell>
          <cell r="I19">
            <v>44038</v>
          </cell>
          <cell r="J19" t="str">
            <v>Done</v>
          </cell>
          <cell r="K19" t="str">
            <v>sudah ada</v>
          </cell>
          <cell r="L19" t="str">
            <v>sudah ada</v>
          </cell>
        </row>
        <row r="20">
          <cell r="B20">
            <v>29</v>
          </cell>
          <cell r="C20">
            <v>0</v>
          </cell>
          <cell r="D20" t="str">
            <v>log call hp kantor</v>
          </cell>
          <cell r="E20">
            <v>0</v>
          </cell>
          <cell r="F20">
            <v>0</v>
          </cell>
          <cell r="G20">
            <v>0</v>
          </cell>
          <cell r="H20">
            <v>44136</v>
          </cell>
          <cell r="I20">
            <v>44129</v>
          </cell>
          <cell r="J20" t="str">
            <v>Done</v>
          </cell>
          <cell r="K20" t="str">
            <v>sudah ada</v>
          </cell>
          <cell r="L20" t="str">
            <v>sudah ada</v>
          </cell>
        </row>
        <row r="21">
          <cell r="B21">
            <v>19</v>
          </cell>
          <cell r="C21">
            <v>20</v>
          </cell>
          <cell r="D21" t="str">
            <v>Pembuatan Jalur Jaringan untuk Team Keuangan 2</v>
          </cell>
          <cell r="E21">
            <v>0</v>
          </cell>
          <cell r="F21">
            <v>0</v>
          </cell>
          <cell r="G21">
            <v>0</v>
          </cell>
          <cell r="H21">
            <v>44083</v>
          </cell>
          <cell r="I21">
            <v>44075</v>
          </cell>
          <cell r="J21" t="str">
            <v>Done</v>
          </cell>
          <cell r="K21" t="str">
            <v>sudah ada</v>
          </cell>
          <cell r="L21" t="str">
            <v>sudah ada</v>
          </cell>
        </row>
        <row r="22">
          <cell r="B22">
            <v>22</v>
          </cell>
          <cell r="C22">
            <v>23</v>
          </cell>
          <cell r="D22" t="str">
            <v>Pembuatan Multiprice / trial multiprice</v>
          </cell>
          <cell r="E22">
            <v>0</v>
          </cell>
          <cell r="F22">
            <v>0</v>
          </cell>
          <cell r="G22">
            <v>0</v>
          </cell>
          <cell r="H22">
            <v>44151</v>
          </cell>
          <cell r="I22">
            <v>44134</v>
          </cell>
          <cell r="J22" t="str">
            <v>Done</v>
          </cell>
          <cell r="K22" t="str">
            <v>sudah ada</v>
          </cell>
          <cell r="L22" t="str">
            <v>sudah ada</v>
          </cell>
        </row>
        <row r="23">
          <cell r="B23">
            <v>74</v>
          </cell>
          <cell r="C23">
            <v>0</v>
          </cell>
          <cell r="D23" t="str">
            <v>AJAGU51Jagung DK 959 20 X 1 Kg (Bisi) Maintenance LOTSUPPLIER</v>
          </cell>
          <cell r="E23">
            <v>0</v>
          </cell>
          <cell r="F23">
            <v>0</v>
          </cell>
          <cell r="G23">
            <v>0</v>
          </cell>
          <cell r="H23">
            <v>44137</v>
          </cell>
          <cell r="I23">
            <v>44137</v>
          </cell>
          <cell r="J23" t="str">
            <v>Done</v>
          </cell>
          <cell r="K23" t="str">
            <v>sudah ada</v>
          </cell>
          <cell r="L23" t="str">
            <v>sudah ada</v>
          </cell>
        </row>
        <row r="24">
          <cell r="B24">
            <v>75</v>
          </cell>
          <cell r="C24">
            <v>0</v>
          </cell>
          <cell r="D24" t="str">
            <v>QJAGU40Jagung DK 959 20 X 1 Kg (Bisi) Maintenance LOTTITIPAN</v>
          </cell>
          <cell r="E24">
            <v>0</v>
          </cell>
          <cell r="F24">
            <v>0</v>
          </cell>
          <cell r="G24">
            <v>0</v>
          </cell>
          <cell r="H24">
            <v>44137</v>
          </cell>
          <cell r="I24">
            <v>44137</v>
          </cell>
          <cell r="J24" t="str">
            <v>Done</v>
          </cell>
          <cell r="K24" t="str">
            <v>sudah ada</v>
          </cell>
          <cell r="L24" t="str">
            <v>sudah ada</v>
          </cell>
        </row>
        <row r="25">
          <cell r="B25">
            <v>76</v>
          </cell>
          <cell r="C25">
            <v>0</v>
          </cell>
          <cell r="D25" t="str">
            <v>AJAGU51Jagung DK 959 20 X 1 Kg (Bisi) Maintenance LOTSUPPLIER</v>
          </cell>
          <cell r="E25">
            <v>0</v>
          </cell>
          <cell r="F25">
            <v>0</v>
          </cell>
          <cell r="G25">
            <v>0</v>
          </cell>
          <cell r="H25">
            <v>44137</v>
          </cell>
          <cell r="I25">
            <v>44137</v>
          </cell>
          <cell r="J25" t="str">
            <v>Done</v>
          </cell>
          <cell r="K25" t="str">
            <v>sudah ada</v>
          </cell>
          <cell r="L25" t="str">
            <v>sudah ada</v>
          </cell>
        </row>
        <row r="26">
          <cell r="B26">
            <v>77</v>
          </cell>
          <cell r="C26">
            <v>0</v>
          </cell>
          <cell r="D26" t="str">
            <v>QJAGU40Jagung DK 959 20 X 1 Kg (Bisi) Maintenance LOTAJUNG BISI 2</v>
          </cell>
          <cell r="E26">
            <v>0</v>
          </cell>
          <cell r="F26">
            <v>0</v>
          </cell>
          <cell r="G26">
            <v>0</v>
          </cell>
          <cell r="H26">
            <v>44137</v>
          </cell>
          <cell r="I26">
            <v>44137</v>
          </cell>
          <cell r="J26" t="str">
            <v>Done</v>
          </cell>
          <cell r="K26" t="str">
            <v>sudah ada</v>
          </cell>
          <cell r="L26" t="str">
            <v>sudah ada</v>
          </cell>
        </row>
        <row r="27">
          <cell r="B27">
            <v>28</v>
          </cell>
          <cell r="C27">
            <v>0</v>
          </cell>
          <cell r="D27" t="str">
            <v>INSTALL ULANG OS DAN PENATAAN ULANG HD LOW SPACE . SETTING ULANG JARINGAN DAN DATABASE . PENGGANTIAN NAMA PC (BARCODE MENJADI KIUGUDANG)</v>
          </cell>
          <cell r="E27">
            <v>0</v>
          </cell>
          <cell r="F27">
            <v>0</v>
          </cell>
          <cell r="G27">
            <v>0</v>
          </cell>
          <cell r="H27">
            <v>44142</v>
          </cell>
          <cell r="I27">
            <v>44139</v>
          </cell>
          <cell r="J27" t="str">
            <v>Done</v>
          </cell>
          <cell r="K27" t="str">
            <v>sudah ada</v>
          </cell>
          <cell r="L27" t="str">
            <v>sudah ada</v>
          </cell>
        </row>
        <row r="28">
          <cell r="B28">
            <v>30</v>
          </cell>
          <cell r="C28">
            <v>0</v>
          </cell>
          <cell r="D28" t="str">
            <v>Install ulang OS Dan Install applikasi Standart Karisma untuk Sales Analys</v>
          </cell>
          <cell r="E28">
            <v>0</v>
          </cell>
          <cell r="F28">
            <v>0</v>
          </cell>
          <cell r="G28">
            <v>0</v>
          </cell>
          <cell r="H28">
            <v>44141</v>
          </cell>
          <cell r="I28">
            <v>44139</v>
          </cell>
          <cell r="J28" t="str">
            <v>Done</v>
          </cell>
          <cell r="K28" t="str">
            <v>sudah ada</v>
          </cell>
          <cell r="L28" t="str">
            <v>sudah ada</v>
          </cell>
        </row>
        <row r="29">
          <cell r="B29">
            <v>78</v>
          </cell>
          <cell r="C29">
            <v>0</v>
          </cell>
          <cell r="D29" t="str">
            <v>AJAGU39Jagung Pertiwi 6 20 X 1 Kg Maintenance LOTSUPPLIER</v>
          </cell>
          <cell r="E29">
            <v>0</v>
          </cell>
          <cell r="F29">
            <v>0</v>
          </cell>
          <cell r="G29">
            <v>0</v>
          </cell>
          <cell r="H29">
            <v>44139</v>
          </cell>
          <cell r="I29">
            <v>44139</v>
          </cell>
          <cell r="J29" t="str">
            <v>Done</v>
          </cell>
          <cell r="K29" t="str">
            <v>sudah ada</v>
          </cell>
          <cell r="L29" t="str">
            <v>sudah ada</v>
          </cell>
        </row>
        <row r="30">
          <cell r="B30">
            <v>79</v>
          </cell>
          <cell r="C30">
            <v>0</v>
          </cell>
          <cell r="D30" t="str">
            <v>QJAGU25Jagung Pertiwi 6 20 X 1 Kg Maintenance LOTINDUK</v>
          </cell>
          <cell r="E30">
            <v>0</v>
          </cell>
          <cell r="F30">
            <v>0</v>
          </cell>
          <cell r="G30">
            <v>0</v>
          </cell>
          <cell r="H30">
            <v>44139</v>
          </cell>
          <cell r="I30">
            <v>44139</v>
          </cell>
          <cell r="J30" t="str">
            <v>Done</v>
          </cell>
          <cell r="K30" t="str">
            <v>sudah ada</v>
          </cell>
          <cell r="L30" t="str">
            <v>sudah ada</v>
          </cell>
        </row>
        <row r="31">
          <cell r="B31">
            <v>80</v>
          </cell>
          <cell r="C31">
            <v>0</v>
          </cell>
          <cell r="D31" t="str">
            <v>QAKAL02Akalis 550 SC 20 X 500 ml Maintenance LOTINDUK</v>
          </cell>
          <cell r="E31">
            <v>0</v>
          </cell>
          <cell r="F31">
            <v>0</v>
          </cell>
          <cell r="G31">
            <v>0</v>
          </cell>
          <cell r="H31">
            <v>44139</v>
          </cell>
          <cell r="I31">
            <v>44139</v>
          </cell>
          <cell r="J31" t="str">
            <v>Done</v>
          </cell>
          <cell r="K31" t="str">
            <v>sudah ada</v>
          </cell>
          <cell r="L31" t="str">
            <v>sudah ada</v>
          </cell>
        </row>
        <row r="32">
          <cell r="B32">
            <v>81</v>
          </cell>
          <cell r="C32">
            <v>0</v>
          </cell>
          <cell r="D32" t="str">
            <v>QATHO01Athos 240 SC 100 X 100 ml Maintenance LOTINDUK</v>
          </cell>
          <cell r="E32">
            <v>0</v>
          </cell>
          <cell r="F32">
            <v>0</v>
          </cell>
          <cell r="G32">
            <v>0</v>
          </cell>
          <cell r="H32">
            <v>44139</v>
          </cell>
          <cell r="I32">
            <v>44139</v>
          </cell>
          <cell r="J32" t="str">
            <v>Done</v>
          </cell>
          <cell r="K32" t="str">
            <v>sudah ada</v>
          </cell>
          <cell r="L32" t="str">
            <v>sudah ada</v>
          </cell>
        </row>
        <row r="33">
          <cell r="B33">
            <v>82</v>
          </cell>
          <cell r="C33">
            <v>0</v>
          </cell>
          <cell r="D33" t="str">
            <v>QRIMO01 Rimon Fast 100 SC 100 X 100 ml Maintenance LOT SUPPLIER</v>
          </cell>
          <cell r="E33">
            <v>0</v>
          </cell>
          <cell r="F33">
            <v>0</v>
          </cell>
          <cell r="G33">
            <v>0</v>
          </cell>
          <cell r="H33">
            <v>44139</v>
          </cell>
          <cell r="I33">
            <v>44139</v>
          </cell>
          <cell r="J33" t="str">
            <v>Done</v>
          </cell>
          <cell r="K33" t="str">
            <v>sudah ada</v>
          </cell>
          <cell r="L33" t="str">
            <v>sudah ada</v>
          </cell>
        </row>
        <row r="34">
          <cell r="B34">
            <v>31</v>
          </cell>
          <cell r="C34">
            <v>0</v>
          </cell>
          <cell r="D34" t="str">
            <v>Topida 25 WP 100 X 100 gr (GDG Suplier) ATOPI01 Maintenance LOT</v>
          </cell>
          <cell r="E34">
            <v>0</v>
          </cell>
          <cell r="F34">
            <v>0</v>
          </cell>
          <cell r="G34">
            <v>0</v>
          </cell>
          <cell r="H34">
            <v>44105</v>
          </cell>
          <cell r="I34">
            <v>44105</v>
          </cell>
          <cell r="J34" t="str">
            <v>Done</v>
          </cell>
          <cell r="K34" t="str">
            <v>sudah ada</v>
          </cell>
          <cell r="L34">
            <v>0</v>
          </cell>
        </row>
        <row r="35">
          <cell r="B35">
            <v>32</v>
          </cell>
          <cell r="C35">
            <v>0</v>
          </cell>
          <cell r="D35" t="str">
            <v>Karimazu 590 EC 25 X 400 ml (GDG Suplier) QKARI06 AKARI08 Maintenance LOT</v>
          </cell>
          <cell r="E35">
            <v>0</v>
          </cell>
          <cell r="F35">
            <v>0</v>
          </cell>
          <cell r="G35">
            <v>0</v>
          </cell>
          <cell r="H35">
            <v>44107</v>
          </cell>
          <cell r="I35">
            <v>44107</v>
          </cell>
          <cell r="J35" t="str">
            <v>Done</v>
          </cell>
          <cell r="K35" t="str">
            <v>sudah ada</v>
          </cell>
          <cell r="L35">
            <v>0</v>
          </cell>
        </row>
        <row r="36">
          <cell r="B36">
            <v>33</v>
          </cell>
          <cell r="C36">
            <v>0</v>
          </cell>
          <cell r="D36" t="str">
            <v>Jagung DK 771 20 X 1 kg (Bisi)  Gdg. Supplier  AJAGU52 QJAGU42 Maintenance LOT</v>
          </cell>
          <cell r="E36">
            <v>0</v>
          </cell>
          <cell r="F36">
            <v>0</v>
          </cell>
          <cell r="G36">
            <v>0</v>
          </cell>
          <cell r="H36">
            <v>44110</v>
          </cell>
          <cell r="I36">
            <v>44110</v>
          </cell>
          <cell r="J36" t="str">
            <v>Done</v>
          </cell>
          <cell r="K36" t="str">
            <v>sudah ada</v>
          </cell>
          <cell r="L36">
            <v>0</v>
          </cell>
        </row>
        <row r="37">
          <cell r="B37">
            <v>34</v>
          </cell>
          <cell r="C37">
            <v>0</v>
          </cell>
          <cell r="D37" t="str">
            <v>Jagung Bisi 18 20 X 1 kg Gdg. Supplier AJAGU03 Maintenance LOT</v>
          </cell>
          <cell r="E37">
            <v>0</v>
          </cell>
          <cell r="F37">
            <v>0</v>
          </cell>
          <cell r="G37">
            <v>0</v>
          </cell>
          <cell r="H37">
            <v>44110</v>
          </cell>
          <cell r="I37">
            <v>44110</v>
          </cell>
          <cell r="J37" t="str">
            <v>Done</v>
          </cell>
          <cell r="K37" t="str">
            <v>sudah ada</v>
          </cell>
          <cell r="L37">
            <v>0</v>
          </cell>
        </row>
        <row r="38">
          <cell r="B38">
            <v>35</v>
          </cell>
          <cell r="C38">
            <v>0</v>
          </cell>
          <cell r="D38" t="str">
            <v>Jagung Bisi 18 20 X 1 kg Gdg. Expired QJAGU03 Maintenance LOT</v>
          </cell>
          <cell r="E38">
            <v>0</v>
          </cell>
          <cell r="F38">
            <v>0</v>
          </cell>
          <cell r="G38">
            <v>0</v>
          </cell>
          <cell r="H38">
            <v>44110</v>
          </cell>
          <cell r="I38">
            <v>44110</v>
          </cell>
          <cell r="J38" t="str">
            <v>Done</v>
          </cell>
          <cell r="K38" t="str">
            <v>sudah ada</v>
          </cell>
          <cell r="L38">
            <v>0</v>
          </cell>
        </row>
        <row r="39">
          <cell r="B39">
            <v>36</v>
          </cell>
          <cell r="C39">
            <v>0</v>
          </cell>
          <cell r="D39" t="str">
            <v>Emacel 30 EC 20 X 500 ml (GDG Supplier) QEMAC03 Maintenance LOT</v>
          </cell>
          <cell r="E39">
            <v>0</v>
          </cell>
          <cell r="F39">
            <v>0</v>
          </cell>
          <cell r="G39">
            <v>0</v>
          </cell>
          <cell r="H39">
            <v>44113</v>
          </cell>
          <cell r="I39">
            <v>44113</v>
          </cell>
          <cell r="J39" t="str">
            <v>Done</v>
          </cell>
          <cell r="K39" t="str">
            <v>sudah ada</v>
          </cell>
          <cell r="L39">
            <v>0</v>
          </cell>
        </row>
        <row r="40">
          <cell r="B40">
            <v>37</v>
          </cell>
          <cell r="C40">
            <v>0</v>
          </cell>
          <cell r="D40" t="str">
            <v>Padi Janger Inpari-32 4 x 5 kg (GDG Supplier) Maintenance LOT</v>
          </cell>
          <cell r="E40">
            <v>0</v>
          </cell>
          <cell r="F40">
            <v>0</v>
          </cell>
          <cell r="G40">
            <v>0</v>
          </cell>
          <cell r="H40">
            <v>44117</v>
          </cell>
          <cell r="I40">
            <v>44117</v>
          </cell>
          <cell r="J40" t="str">
            <v>Done</v>
          </cell>
          <cell r="K40" t="str">
            <v>sudah ada</v>
          </cell>
          <cell r="L40">
            <v>0</v>
          </cell>
        </row>
        <row r="41">
          <cell r="B41">
            <v>38</v>
          </cell>
          <cell r="C41">
            <v>0</v>
          </cell>
          <cell r="D41" t="str">
            <v>Padi Janger Ciherang 4 x 5 kg (GDG Supplier) Maintenance LOT</v>
          </cell>
          <cell r="E41">
            <v>0</v>
          </cell>
          <cell r="F41">
            <v>0</v>
          </cell>
          <cell r="G41">
            <v>0</v>
          </cell>
          <cell r="H41">
            <v>44117</v>
          </cell>
          <cell r="I41">
            <v>44117</v>
          </cell>
          <cell r="J41" t="str">
            <v>Done</v>
          </cell>
          <cell r="K41" t="str">
            <v>sudah ada</v>
          </cell>
          <cell r="L41">
            <v>0</v>
          </cell>
        </row>
        <row r="42">
          <cell r="B42">
            <v>39</v>
          </cell>
          <cell r="C42">
            <v>0</v>
          </cell>
          <cell r="D42" t="str">
            <v>Padi Janger Logawa 4 x 5 kg (GDG Supplier) Maintenance LOT</v>
          </cell>
          <cell r="E42">
            <v>0</v>
          </cell>
          <cell r="F42">
            <v>0</v>
          </cell>
          <cell r="G42">
            <v>0</v>
          </cell>
          <cell r="H42">
            <v>44117</v>
          </cell>
          <cell r="I42">
            <v>44117</v>
          </cell>
          <cell r="J42" t="str">
            <v>Done</v>
          </cell>
          <cell r="K42" t="str">
            <v>sudah ada</v>
          </cell>
          <cell r="L42">
            <v>0</v>
          </cell>
        </row>
        <row r="43">
          <cell r="B43">
            <v>40</v>
          </cell>
          <cell r="C43">
            <v>0</v>
          </cell>
          <cell r="D43" t="str">
            <v>Jagung DK 959 20 X 1 Kg (Bisi) AJAGU51 Maintenance LOT</v>
          </cell>
          <cell r="E43">
            <v>0</v>
          </cell>
          <cell r="F43">
            <v>0</v>
          </cell>
          <cell r="G43">
            <v>0</v>
          </cell>
          <cell r="H43">
            <v>44118</v>
          </cell>
          <cell r="I43">
            <v>44118</v>
          </cell>
          <cell r="J43" t="str">
            <v>Done</v>
          </cell>
          <cell r="K43" t="str">
            <v>sudah ada</v>
          </cell>
          <cell r="L43">
            <v>0</v>
          </cell>
        </row>
        <row r="44">
          <cell r="B44">
            <v>41</v>
          </cell>
          <cell r="C44">
            <v>0</v>
          </cell>
          <cell r="D44" t="str">
            <v>Jagung DK 959 20 X 1 Kg (Bisi) QJAGU40 Maintenance LOT</v>
          </cell>
          <cell r="E44">
            <v>0</v>
          </cell>
          <cell r="F44">
            <v>0</v>
          </cell>
          <cell r="G44">
            <v>0</v>
          </cell>
          <cell r="H44">
            <v>44118</v>
          </cell>
          <cell r="I44">
            <v>44118</v>
          </cell>
          <cell r="J44" t="str">
            <v>Done</v>
          </cell>
          <cell r="K44" t="str">
            <v>sudah ada</v>
          </cell>
          <cell r="L44">
            <v>0</v>
          </cell>
        </row>
        <row r="45">
          <cell r="B45">
            <v>42</v>
          </cell>
          <cell r="C45">
            <v>0</v>
          </cell>
          <cell r="D45" t="str">
            <v>Ludes 50 EC 30 X 250 ml QLUDE02 Maintenance LOT</v>
          </cell>
          <cell r="E45">
            <v>0</v>
          </cell>
          <cell r="F45">
            <v>0</v>
          </cell>
          <cell r="G45">
            <v>0</v>
          </cell>
          <cell r="H45">
            <v>44120</v>
          </cell>
          <cell r="I45">
            <v>44120</v>
          </cell>
          <cell r="J45" t="str">
            <v>Done</v>
          </cell>
          <cell r="K45" t="str">
            <v>sudah ada</v>
          </cell>
          <cell r="L45">
            <v>0</v>
          </cell>
        </row>
        <row r="46">
          <cell r="B46">
            <v>43</v>
          </cell>
          <cell r="C46">
            <v>0</v>
          </cell>
          <cell r="D46" t="str">
            <v>GG Bunga 50 X 100 ml QGOLD09 (GDG SUPPLIER) Maintenance LOT</v>
          </cell>
          <cell r="E46">
            <v>0</v>
          </cell>
          <cell r="F46">
            <v>0</v>
          </cell>
          <cell r="G46">
            <v>0</v>
          </cell>
          <cell r="H46">
            <v>44120</v>
          </cell>
          <cell r="I46">
            <v>44120</v>
          </cell>
          <cell r="J46" t="str">
            <v>Done</v>
          </cell>
          <cell r="K46" t="str">
            <v>sudah ada</v>
          </cell>
          <cell r="L46">
            <v>0</v>
          </cell>
        </row>
        <row r="47">
          <cell r="B47">
            <v>44</v>
          </cell>
          <cell r="C47">
            <v>0</v>
          </cell>
          <cell r="D47" t="str">
            <v>GG Daun 50 X 100 ml (M2U) QGOLD10 (GDG SUPPLIER) Maintenance LOT</v>
          </cell>
          <cell r="E47">
            <v>0</v>
          </cell>
          <cell r="F47">
            <v>0</v>
          </cell>
          <cell r="G47">
            <v>0</v>
          </cell>
          <cell r="H47">
            <v>44120</v>
          </cell>
          <cell r="I47">
            <v>44120</v>
          </cell>
          <cell r="J47" t="str">
            <v>Done</v>
          </cell>
          <cell r="K47" t="str">
            <v>sudah ada</v>
          </cell>
          <cell r="L47">
            <v>0</v>
          </cell>
        </row>
        <row r="48">
          <cell r="B48">
            <v>45</v>
          </cell>
          <cell r="C48">
            <v>0</v>
          </cell>
          <cell r="D48" t="str">
            <v>Aneto 50 EC 30 X 500 ml + Neptune 8 gr (M2U) QANET07  (GDG SUPPLIER) Maintenance LOT</v>
          </cell>
          <cell r="E48">
            <v>0</v>
          </cell>
          <cell r="F48">
            <v>0</v>
          </cell>
          <cell r="G48">
            <v>0</v>
          </cell>
          <cell r="H48">
            <v>44120</v>
          </cell>
          <cell r="I48">
            <v>44120</v>
          </cell>
          <cell r="J48" t="str">
            <v>Done</v>
          </cell>
          <cell r="K48" t="str">
            <v>sudah ada</v>
          </cell>
          <cell r="L48">
            <v>0</v>
          </cell>
        </row>
        <row r="49">
          <cell r="B49">
            <v>46</v>
          </cell>
          <cell r="C49">
            <v>0</v>
          </cell>
          <cell r="D49" t="str">
            <v>SG.05 200 X 100 gr (M2U) QSG0502 (GDG Supplier)</v>
          </cell>
          <cell r="E49">
            <v>0</v>
          </cell>
          <cell r="F49">
            <v>0</v>
          </cell>
          <cell r="G49">
            <v>0</v>
          </cell>
          <cell r="H49">
            <v>44123</v>
          </cell>
          <cell r="I49">
            <v>44123</v>
          </cell>
          <cell r="J49" t="str">
            <v>Done</v>
          </cell>
          <cell r="K49" t="str">
            <v>sudah ada</v>
          </cell>
          <cell r="L49">
            <v>0</v>
          </cell>
        </row>
        <row r="50">
          <cell r="B50">
            <v>47</v>
          </cell>
          <cell r="C50">
            <v>0</v>
          </cell>
          <cell r="D50" t="str">
            <v>Japra 400 SE 20 X 1 ltr (M2U) QJAPR03 (GDG Supplier)</v>
          </cell>
          <cell r="E50">
            <v>0</v>
          </cell>
          <cell r="F50">
            <v>0</v>
          </cell>
          <cell r="G50">
            <v>0</v>
          </cell>
          <cell r="H50">
            <v>44123</v>
          </cell>
          <cell r="I50">
            <v>44123</v>
          </cell>
          <cell r="J50" t="str">
            <v>Done</v>
          </cell>
          <cell r="K50" t="str">
            <v>sudah ada</v>
          </cell>
          <cell r="L50">
            <v>0</v>
          </cell>
        </row>
        <row r="51">
          <cell r="B51">
            <v>48</v>
          </cell>
          <cell r="C51">
            <v>0</v>
          </cell>
          <cell r="D51" t="str">
            <v>Neptune 25 WP 50 X 50 gr QNEPT01 (GDG Supplier)</v>
          </cell>
          <cell r="E51">
            <v>0</v>
          </cell>
          <cell r="F51">
            <v>0</v>
          </cell>
          <cell r="G51">
            <v>0</v>
          </cell>
          <cell r="H51">
            <v>44123</v>
          </cell>
          <cell r="I51">
            <v>44123</v>
          </cell>
          <cell r="J51" t="str">
            <v>Done</v>
          </cell>
          <cell r="K51" t="str">
            <v>sudah ada</v>
          </cell>
          <cell r="L51">
            <v>0</v>
          </cell>
        </row>
        <row r="52">
          <cell r="B52">
            <v>49</v>
          </cell>
          <cell r="C52">
            <v>0</v>
          </cell>
          <cell r="D52" t="str">
            <v>Gerbera 100 EC 40 X 200 ml QGERB01 (GDG Supplier)</v>
          </cell>
          <cell r="E52">
            <v>0</v>
          </cell>
          <cell r="F52">
            <v>0</v>
          </cell>
          <cell r="G52">
            <v>0</v>
          </cell>
          <cell r="H52">
            <v>44123</v>
          </cell>
          <cell r="I52">
            <v>44123</v>
          </cell>
          <cell r="J52" t="str">
            <v>Done</v>
          </cell>
          <cell r="K52" t="str">
            <v>sudah ada</v>
          </cell>
          <cell r="L52">
            <v>0</v>
          </cell>
        </row>
        <row r="53">
          <cell r="B53">
            <v>50</v>
          </cell>
          <cell r="C53">
            <v>0</v>
          </cell>
          <cell r="D53" t="str">
            <v>Gerbera 100 EC 20 X 500 ml QGERB02 (GDG Supplier)</v>
          </cell>
          <cell r="E53">
            <v>0</v>
          </cell>
          <cell r="F53">
            <v>0</v>
          </cell>
          <cell r="G53">
            <v>0</v>
          </cell>
          <cell r="H53">
            <v>44123</v>
          </cell>
          <cell r="I53">
            <v>44123</v>
          </cell>
          <cell r="J53" t="str">
            <v>Done</v>
          </cell>
          <cell r="K53" t="str">
            <v>sudah ada</v>
          </cell>
          <cell r="L53">
            <v>0</v>
          </cell>
        </row>
        <row r="54">
          <cell r="B54">
            <v>51</v>
          </cell>
          <cell r="C54">
            <v>0</v>
          </cell>
          <cell r="D54" t="str">
            <v>Bernas 250 EC 50 X 250 ml (M2U) QBERN03 (GDG Supplier)</v>
          </cell>
          <cell r="E54">
            <v>0</v>
          </cell>
          <cell r="F54">
            <v>0</v>
          </cell>
          <cell r="G54">
            <v>0</v>
          </cell>
          <cell r="H54">
            <v>44123</v>
          </cell>
          <cell r="I54">
            <v>44123</v>
          </cell>
          <cell r="J54" t="str">
            <v>Done</v>
          </cell>
          <cell r="K54" t="str">
            <v>sudah ada</v>
          </cell>
          <cell r="L54">
            <v>0</v>
          </cell>
        </row>
        <row r="55">
          <cell r="B55">
            <v>52</v>
          </cell>
          <cell r="C55">
            <v>0</v>
          </cell>
          <cell r="D55" t="str">
            <v>Bernas 250 EC 50 X 100 ml (M2U) QBERN04 (GDG Supplier)</v>
          </cell>
          <cell r="E55">
            <v>0</v>
          </cell>
          <cell r="F55">
            <v>0</v>
          </cell>
          <cell r="G55">
            <v>0</v>
          </cell>
          <cell r="H55">
            <v>44123</v>
          </cell>
          <cell r="I55">
            <v>44123</v>
          </cell>
          <cell r="J55" t="str">
            <v>Done</v>
          </cell>
          <cell r="K55" t="str">
            <v>sudah ada</v>
          </cell>
          <cell r="L55">
            <v>0</v>
          </cell>
        </row>
        <row r="56">
          <cell r="B56">
            <v>53</v>
          </cell>
          <cell r="C56">
            <v>0</v>
          </cell>
          <cell r="D56" t="str">
            <v>Aneto 50 EC 50 X 100 ml (M2U) QANET04 (GDG Supplier)</v>
          </cell>
          <cell r="E56">
            <v>0</v>
          </cell>
          <cell r="F56">
            <v>0</v>
          </cell>
          <cell r="G56">
            <v>0</v>
          </cell>
          <cell r="H56">
            <v>44123</v>
          </cell>
          <cell r="I56">
            <v>44123</v>
          </cell>
          <cell r="J56" t="str">
            <v>Done</v>
          </cell>
          <cell r="K56" t="str">
            <v>sudah ada</v>
          </cell>
          <cell r="L56">
            <v>0</v>
          </cell>
        </row>
        <row r="57">
          <cell r="B57">
            <v>54</v>
          </cell>
          <cell r="C57">
            <v>0</v>
          </cell>
          <cell r="D57" t="str">
            <v>Aneto 50 EC 50 X 250 ml + Neptune 8 gr (M2U)  QANET08 (GDG Supplier)</v>
          </cell>
          <cell r="E57">
            <v>0</v>
          </cell>
          <cell r="F57">
            <v>0</v>
          </cell>
          <cell r="G57">
            <v>0</v>
          </cell>
          <cell r="H57">
            <v>44123</v>
          </cell>
          <cell r="I57">
            <v>44123</v>
          </cell>
          <cell r="J57" t="str">
            <v>Done</v>
          </cell>
          <cell r="K57" t="str">
            <v>sudah ada</v>
          </cell>
          <cell r="L57">
            <v>0</v>
          </cell>
        </row>
        <row r="58">
          <cell r="B58">
            <v>55</v>
          </cell>
          <cell r="C58">
            <v>0</v>
          </cell>
          <cell r="D58" t="str">
            <v>Jagung Bisi 18 20 X 1 kg QJAGU03  Gdg. Ajung Bisi 2</v>
          </cell>
          <cell r="E58">
            <v>0</v>
          </cell>
          <cell r="F58">
            <v>0</v>
          </cell>
          <cell r="G58">
            <v>0</v>
          </cell>
          <cell r="H58">
            <v>44124</v>
          </cell>
          <cell r="I58">
            <v>44124</v>
          </cell>
          <cell r="J58" t="str">
            <v>Done</v>
          </cell>
          <cell r="K58" t="str">
            <v>sudah ada</v>
          </cell>
          <cell r="L58">
            <v>0</v>
          </cell>
        </row>
        <row r="59">
          <cell r="B59">
            <v>56</v>
          </cell>
          <cell r="C59">
            <v>0</v>
          </cell>
          <cell r="D59" t="str">
            <v>Jagung Bisi 18 20 X 1 kg AJAGU03 Gdg. Supplier</v>
          </cell>
          <cell r="E59">
            <v>0</v>
          </cell>
          <cell r="F59">
            <v>0</v>
          </cell>
          <cell r="G59">
            <v>0</v>
          </cell>
          <cell r="H59">
            <v>44124</v>
          </cell>
          <cell r="I59">
            <v>44124</v>
          </cell>
          <cell r="J59" t="str">
            <v>Done</v>
          </cell>
          <cell r="K59" t="str">
            <v>sudah ada</v>
          </cell>
          <cell r="L59">
            <v>0</v>
          </cell>
        </row>
        <row r="60">
          <cell r="B60">
            <v>57</v>
          </cell>
          <cell r="C60">
            <v>0</v>
          </cell>
          <cell r="D60" t="str">
            <v>Jagung Bisi 18 20 X 1 kg QJAGU03 Gdg. Expired</v>
          </cell>
          <cell r="E60">
            <v>0</v>
          </cell>
          <cell r="F60">
            <v>0</v>
          </cell>
          <cell r="G60">
            <v>0</v>
          </cell>
          <cell r="H60">
            <v>44124</v>
          </cell>
          <cell r="I60">
            <v>44124</v>
          </cell>
          <cell r="J60" t="str">
            <v>Done</v>
          </cell>
          <cell r="K60" t="str">
            <v>sudah ada</v>
          </cell>
          <cell r="L60">
            <v>0</v>
          </cell>
        </row>
        <row r="61">
          <cell r="B61">
            <v>58</v>
          </cell>
          <cell r="C61">
            <v>0</v>
          </cell>
          <cell r="D61" t="str">
            <v>Jagung Bisi 2 20 X 1 kg (gdg Induk)</v>
          </cell>
          <cell r="E61">
            <v>0</v>
          </cell>
          <cell r="F61">
            <v>0</v>
          </cell>
          <cell r="G61">
            <v>0</v>
          </cell>
          <cell r="H61">
            <v>44128</v>
          </cell>
          <cell r="I61">
            <v>44128</v>
          </cell>
          <cell r="J61" t="str">
            <v>Done</v>
          </cell>
          <cell r="K61" t="str">
            <v>sudah ada</v>
          </cell>
          <cell r="L61">
            <v>0</v>
          </cell>
        </row>
        <row r="62">
          <cell r="B62">
            <v>59</v>
          </cell>
          <cell r="C62">
            <v>0</v>
          </cell>
          <cell r="D62" t="str">
            <v>Jagung Bisi 2 20 X 1 kg AJAGU05 Gdg. Supplier</v>
          </cell>
          <cell r="E62">
            <v>0</v>
          </cell>
          <cell r="F62">
            <v>0</v>
          </cell>
          <cell r="G62">
            <v>0</v>
          </cell>
          <cell r="H62">
            <v>44128</v>
          </cell>
          <cell r="I62">
            <v>44128</v>
          </cell>
          <cell r="J62" t="str">
            <v>Done</v>
          </cell>
          <cell r="K62" t="str">
            <v>sudah ada</v>
          </cell>
          <cell r="L62">
            <v>0</v>
          </cell>
        </row>
        <row r="63">
          <cell r="B63">
            <v>60</v>
          </cell>
          <cell r="C63">
            <v>0</v>
          </cell>
          <cell r="D63" t="str">
            <v>Jagung Bisi 2 20 X 1 kg QJAGU04Gdg. Titipan</v>
          </cell>
          <cell r="E63">
            <v>0</v>
          </cell>
          <cell r="F63">
            <v>0</v>
          </cell>
          <cell r="G63">
            <v>0</v>
          </cell>
          <cell r="H63">
            <v>44128</v>
          </cell>
          <cell r="I63">
            <v>44128</v>
          </cell>
          <cell r="J63" t="str">
            <v>Done</v>
          </cell>
          <cell r="K63" t="str">
            <v>sudah ada</v>
          </cell>
          <cell r="L63">
            <v>0</v>
          </cell>
        </row>
        <row r="64">
          <cell r="B64">
            <v>61</v>
          </cell>
          <cell r="C64">
            <v>0</v>
          </cell>
          <cell r="D64" t="str">
            <v>Padi Q-989 Inpari 32 4 X 5 kg APADI23 (GDG SUPPLIER)</v>
          </cell>
          <cell r="E64">
            <v>0</v>
          </cell>
          <cell r="F64">
            <v>0</v>
          </cell>
          <cell r="G64">
            <v>0</v>
          </cell>
          <cell r="H64">
            <v>44128</v>
          </cell>
          <cell r="I64">
            <v>44128</v>
          </cell>
          <cell r="J64" t="str">
            <v>Done</v>
          </cell>
          <cell r="K64" t="str">
            <v>sudah ada</v>
          </cell>
          <cell r="L64">
            <v>0</v>
          </cell>
        </row>
        <row r="65">
          <cell r="B65">
            <v>62</v>
          </cell>
          <cell r="C65">
            <v>0</v>
          </cell>
          <cell r="D65" t="str">
            <v>Padi Q-989 Inpari 32 4 X 5 kg QPADI23 (GDG SUPPLIER)</v>
          </cell>
          <cell r="E65">
            <v>0</v>
          </cell>
          <cell r="F65">
            <v>0</v>
          </cell>
          <cell r="G65">
            <v>0</v>
          </cell>
          <cell r="H65">
            <v>44128</v>
          </cell>
          <cell r="I65">
            <v>44128</v>
          </cell>
          <cell r="J65" t="str">
            <v>Done</v>
          </cell>
          <cell r="K65" t="str">
            <v>sudah ada</v>
          </cell>
          <cell r="L65">
            <v>0</v>
          </cell>
        </row>
        <row r="66">
          <cell r="B66">
            <v>63</v>
          </cell>
          <cell r="C66">
            <v>0</v>
          </cell>
          <cell r="D66" t="str">
            <v>Cabe Imperial 20 X 12 X 10 gr QCABE09 (GDG INDUK)</v>
          </cell>
          <cell r="E66">
            <v>0</v>
          </cell>
          <cell r="F66">
            <v>0</v>
          </cell>
          <cell r="G66">
            <v>0</v>
          </cell>
          <cell r="H66">
            <v>44130</v>
          </cell>
          <cell r="I66">
            <v>44130</v>
          </cell>
          <cell r="J66" t="str">
            <v>Done</v>
          </cell>
          <cell r="K66" t="str">
            <v>sudah ada</v>
          </cell>
          <cell r="L66">
            <v>0</v>
          </cell>
        </row>
        <row r="67">
          <cell r="B67">
            <v>64</v>
          </cell>
          <cell r="C67">
            <v>0</v>
          </cell>
          <cell r="D67" t="str">
            <v>Cabe Imperial 20 X 12 X 10 gr QCABE09 (GDG INDUK)</v>
          </cell>
          <cell r="E67">
            <v>0</v>
          </cell>
          <cell r="F67">
            <v>0</v>
          </cell>
          <cell r="G67">
            <v>0</v>
          </cell>
          <cell r="H67">
            <v>44130</v>
          </cell>
          <cell r="I67">
            <v>44130</v>
          </cell>
          <cell r="J67" t="str">
            <v>Done</v>
          </cell>
          <cell r="K67" t="str">
            <v>sudah ada</v>
          </cell>
          <cell r="L67">
            <v>0</v>
          </cell>
        </row>
        <row r="68">
          <cell r="B68">
            <v>65</v>
          </cell>
          <cell r="C68">
            <v>0</v>
          </cell>
          <cell r="D68" t="str">
            <v>Edit Surat Asuransi MAG Ke Ecel</v>
          </cell>
          <cell r="E68">
            <v>0</v>
          </cell>
          <cell r="F68">
            <v>0</v>
          </cell>
          <cell r="G68">
            <v>0</v>
          </cell>
          <cell r="H68">
            <v>44130</v>
          </cell>
          <cell r="I68">
            <v>44130</v>
          </cell>
          <cell r="J68" t="str">
            <v>Done</v>
          </cell>
          <cell r="K68" t="str">
            <v>sudah ada</v>
          </cell>
          <cell r="L68">
            <v>0</v>
          </cell>
        </row>
        <row r="69">
          <cell r="B69">
            <v>66</v>
          </cell>
          <cell r="C69">
            <v>0</v>
          </cell>
          <cell r="D69" t="str">
            <v>Gibgro 20 T 10 X 10 X 5 gr QGIBG02</v>
          </cell>
          <cell r="E69">
            <v>0</v>
          </cell>
          <cell r="F69">
            <v>0</v>
          </cell>
          <cell r="G69">
            <v>0</v>
          </cell>
          <cell r="H69">
            <v>44134</v>
          </cell>
          <cell r="I69">
            <v>44134</v>
          </cell>
          <cell r="J69" t="str">
            <v>Done</v>
          </cell>
          <cell r="K69" t="str">
            <v>sudah ada</v>
          </cell>
          <cell r="L69">
            <v>0</v>
          </cell>
        </row>
        <row r="70">
          <cell r="B70">
            <v>67</v>
          </cell>
          <cell r="C70">
            <v>0</v>
          </cell>
          <cell r="D70" t="str">
            <v>Jagung Bisi 18 20 X 1 kg AJAGU03 Gdg. Supplier</v>
          </cell>
          <cell r="E70">
            <v>0</v>
          </cell>
          <cell r="F70">
            <v>0</v>
          </cell>
          <cell r="G70">
            <v>0</v>
          </cell>
          <cell r="H70">
            <v>44134</v>
          </cell>
          <cell r="I70">
            <v>44134</v>
          </cell>
          <cell r="J70" t="str">
            <v>Done</v>
          </cell>
          <cell r="K70" t="str">
            <v>sudah ada</v>
          </cell>
          <cell r="L70">
            <v>0</v>
          </cell>
        </row>
        <row r="71">
          <cell r="B71">
            <v>68</v>
          </cell>
          <cell r="C71">
            <v>0</v>
          </cell>
          <cell r="D71" t="str">
            <v xml:space="preserve">Jagung Bisi 18 20 X 1 kg QJAGU03 Gdg. Ajung Bisi 2 </v>
          </cell>
          <cell r="E71">
            <v>0</v>
          </cell>
          <cell r="F71">
            <v>0</v>
          </cell>
          <cell r="G71">
            <v>0</v>
          </cell>
          <cell r="H71">
            <v>44134</v>
          </cell>
          <cell r="I71">
            <v>44134</v>
          </cell>
          <cell r="J71" t="str">
            <v>Done</v>
          </cell>
          <cell r="K71" t="str">
            <v>sudah ada</v>
          </cell>
          <cell r="L71">
            <v>0</v>
          </cell>
        </row>
        <row r="72">
          <cell r="B72">
            <v>83</v>
          </cell>
          <cell r="C72">
            <v>0</v>
          </cell>
          <cell r="D72" t="str">
            <v>ARIMO01 Rimon Fast 100 SC 100 X 100 ml Maintenance LOT SUPPLIER</v>
          </cell>
          <cell r="E72">
            <v>0</v>
          </cell>
          <cell r="F72">
            <v>0</v>
          </cell>
          <cell r="G72">
            <v>0</v>
          </cell>
          <cell r="H72">
            <v>44139</v>
          </cell>
          <cell r="I72">
            <v>44139</v>
          </cell>
          <cell r="J72" t="str">
            <v>Done</v>
          </cell>
          <cell r="K72" t="str">
            <v>sudah ada</v>
          </cell>
          <cell r="L72" t="str">
            <v>sudah ada</v>
          </cell>
        </row>
        <row r="73">
          <cell r="B73">
            <v>24</v>
          </cell>
          <cell r="C73">
            <v>25</v>
          </cell>
          <cell r="D73" t="str">
            <v>Penyelesaian kontrak program</v>
          </cell>
          <cell r="E73">
            <v>0</v>
          </cell>
          <cell r="F73">
            <v>0</v>
          </cell>
          <cell r="G73">
            <v>0</v>
          </cell>
          <cell r="H73">
            <v>44148</v>
          </cell>
          <cell r="I73">
            <v>44140</v>
          </cell>
          <cell r="J73" t="str">
            <v>Done</v>
          </cell>
          <cell r="K73" t="str">
            <v>sudah ada</v>
          </cell>
          <cell r="L73" t="str">
            <v>sudah ada</v>
          </cell>
        </row>
        <row r="74">
          <cell r="B74">
            <v>117</v>
          </cell>
          <cell r="C74">
            <v>0</v>
          </cell>
          <cell r="D74" t="str">
            <v>tambah ram pc (jaya)</v>
          </cell>
          <cell r="E74">
            <v>0</v>
          </cell>
          <cell r="F74">
            <v>0</v>
          </cell>
          <cell r="G74">
            <v>0</v>
          </cell>
          <cell r="H74">
            <v>44140</v>
          </cell>
          <cell r="I74">
            <v>44140</v>
          </cell>
          <cell r="J74" t="str">
            <v>Done</v>
          </cell>
          <cell r="K74" t="str">
            <v>sudah ada</v>
          </cell>
          <cell r="L74" t="str">
            <v>sudah ada</v>
          </cell>
        </row>
        <row r="75">
          <cell r="B75">
            <v>84</v>
          </cell>
          <cell r="C75">
            <v>0</v>
          </cell>
          <cell r="D75" t="str">
            <v>AJAGU62 Jagung Bisi 220 4 X 1 paket Maintenance LOT SUPPLIER</v>
          </cell>
          <cell r="E75">
            <v>0</v>
          </cell>
          <cell r="F75">
            <v>0</v>
          </cell>
          <cell r="G75">
            <v>0</v>
          </cell>
          <cell r="H75">
            <v>44142</v>
          </cell>
          <cell r="I75">
            <v>44142</v>
          </cell>
          <cell r="J75" t="str">
            <v>Done</v>
          </cell>
          <cell r="K75" t="str">
            <v>sudah ada</v>
          </cell>
          <cell r="L75" t="str">
            <v>sudah ada</v>
          </cell>
        </row>
        <row r="76">
          <cell r="B76">
            <v>85</v>
          </cell>
          <cell r="C76">
            <v>0</v>
          </cell>
          <cell r="D76" t="str">
            <v>QJAGU53 Jagung Bisi 220 4 X 1 paket Maintenance  LOT EXPIRED</v>
          </cell>
          <cell r="E76">
            <v>0</v>
          </cell>
          <cell r="F76">
            <v>0</v>
          </cell>
          <cell r="G76">
            <v>0</v>
          </cell>
          <cell r="H76">
            <v>44142</v>
          </cell>
          <cell r="I76">
            <v>44142</v>
          </cell>
          <cell r="J76" t="str">
            <v>Done</v>
          </cell>
          <cell r="K76" t="str">
            <v>sudah ada</v>
          </cell>
          <cell r="L76" t="str">
            <v>sudah ada</v>
          </cell>
        </row>
        <row r="77">
          <cell r="B77">
            <v>86</v>
          </cell>
          <cell r="C77">
            <v>0</v>
          </cell>
          <cell r="D77" t="str">
            <v>AJAGU60 Jagung Bisi 99 20 X 1 kg Maintenance LOTSUPPLIER</v>
          </cell>
          <cell r="E77">
            <v>0</v>
          </cell>
          <cell r="F77">
            <v>0</v>
          </cell>
          <cell r="G77">
            <v>0</v>
          </cell>
          <cell r="H77">
            <v>44142</v>
          </cell>
          <cell r="I77">
            <v>44142</v>
          </cell>
          <cell r="J77" t="str">
            <v>Done</v>
          </cell>
          <cell r="K77" t="str">
            <v>sudah ada</v>
          </cell>
          <cell r="L77" t="str">
            <v>sudah ada</v>
          </cell>
        </row>
        <row r="78">
          <cell r="B78">
            <v>87</v>
          </cell>
          <cell r="C78">
            <v>0</v>
          </cell>
          <cell r="D78" t="str">
            <v>QJAGU53Jagung Bisi 99 20 X 1 kg Maintenance LOTEXPIRED</v>
          </cell>
          <cell r="E78">
            <v>0</v>
          </cell>
          <cell r="F78">
            <v>0</v>
          </cell>
          <cell r="G78">
            <v>0</v>
          </cell>
          <cell r="H78">
            <v>44142</v>
          </cell>
          <cell r="I78">
            <v>44142</v>
          </cell>
          <cell r="J78" t="str">
            <v>Done</v>
          </cell>
          <cell r="K78" t="str">
            <v>sudah ada</v>
          </cell>
          <cell r="L78" t="str">
            <v>sudah ada</v>
          </cell>
        </row>
        <row r="79">
          <cell r="B79">
            <v>107</v>
          </cell>
          <cell r="C79">
            <v>0</v>
          </cell>
          <cell r="D79" t="str">
            <v>zahir kode barang QRATO01 mengalami minus saldo barang (NITA)</v>
          </cell>
          <cell r="E79">
            <v>0</v>
          </cell>
          <cell r="F79">
            <v>0</v>
          </cell>
          <cell r="G79">
            <v>0</v>
          </cell>
          <cell r="H79">
            <v>44142</v>
          </cell>
          <cell r="I79">
            <v>44142</v>
          </cell>
          <cell r="J79" t="str">
            <v>Done</v>
          </cell>
          <cell r="K79" t="str">
            <v>sudah ada</v>
          </cell>
          <cell r="L79" t="str">
            <v>sudah ada</v>
          </cell>
        </row>
        <row r="80">
          <cell r="B80">
            <v>116</v>
          </cell>
          <cell r="C80">
            <v>0</v>
          </cell>
          <cell r="D80" t="str">
            <v>LAN  bermasalah (YOSSY)</v>
          </cell>
          <cell r="E80">
            <v>0</v>
          </cell>
          <cell r="F80">
            <v>0</v>
          </cell>
          <cell r="G80">
            <v>0</v>
          </cell>
          <cell r="H80">
            <v>44144</v>
          </cell>
          <cell r="I80">
            <v>44144</v>
          </cell>
          <cell r="J80" t="str">
            <v>Done</v>
          </cell>
          <cell r="K80" t="str">
            <v>sudah ada</v>
          </cell>
          <cell r="L80" t="str">
            <v>sudah ada</v>
          </cell>
        </row>
        <row r="81">
          <cell r="B81">
            <v>88</v>
          </cell>
          <cell r="C81">
            <v>0</v>
          </cell>
          <cell r="D81" t="str">
            <v>QTIMU06Timun Wuku Maintenance LOTINDUK</v>
          </cell>
          <cell r="E81">
            <v>0</v>
          </cell>
          <cell r="F81">
            <v>0</v>
          </cell>
          <cell r="G81">
            <v>0</v>
          </cell>
          <cell r="H81">
            <v>44145</v>
          </cell>
          <cell r="I81">
            <v>44145</v>
          </cell>
          <cell r="J81" t="str">
            <v>Done</v>
          </cell>
          <cell r="K81" t="str">
            <v>sudah ada</v>
          </cell>
          <cell r="L81" t="str">
            <v>sudah ada</v>
          </cell>
        </row>
        <row r="82">
          <cell r="B82">
            <v>89</v>
          </cell>
          <cell r="C82">
            <v>0</v>
          </cell>
          <cell r="D82" t="str">
            <v>QTOMA02TOMAT MAWAR 12 X 15 X 10 GR Maintenance LOTINDUK</v>
          </cell>
          <cell r="E82">
            <v>0</v>
          </cell>
          <cell r="F82">
            <v>0</v>
          </cell>
          <cell r="G82">
            <v>0</v>
          </cell>
          <cell r="H82">
            <v>44148</v>
          </cell>
          <cell r="I82">
            <v>44148</v>
          </cell>
          <cell r="J82" t="str">
            <v>Done</v>
          </cell>
          <cell r="K82" t="str">
            <v>sudah ada</v>
          </cell>
          <cell r="L82" t="str">
            <v>sudah ada</v>
          </cell>
        </row>
        <row r="83">
          <cell r="B83">
            <v>90</v>
          </cell>
          <cell r="C83">
            <v>0</v>
          </cell>
          <cell r="D83" t="str">
            <v>QSAWI02SAWI DORA 12 X 15 X 25 GR Maintenance LOTINDUK</v>
          </cell>
          <cell r="E83">
            <v>0</v>
          </cell>
          <cell r="F83">
            <v>0</v>
          </cell>
          <cell r="G83">
            <v>0</v>
          </cell>
          <cell r="H83">
            <v>44148</v>
          </cell>
          <cell r="I83">
            <v>44148</v>
          </cell>
          <cell r="J83" t="str">
            <v>Done</v>
          </cell>
          <cell r="K83" t="str">
            <v>sudah ada</v>
          </cell>
          <cell r="L83" t="str">
            <v>sudah ada</v>
          </cell>
        </row>
        <row r="84">
          <cell r="B84">
            <v>108</v>
          </cell>
          <cell r="C84">
            <v>0</v>
          </cell>
          <cell r="D84" t="str">
            <v>Instal OS Windows PC bermasalah  (sylvia)</v>
          </cell>
          <cell r="E84">
            <v>0</v>
          </cell>
          <cell r="F84">
            <v>0</v>
          </cell>
          <cell r="G84">
            <v>0</v>
          </cell>
          <cell r="H84">
            <v>44149</v>
          </cell>
          <cell r="I84">
            <v>44149</v>
          </cell>
          <cell r="J84" t="str">
            <v>Done</v>
          </cell>
          <cell r="K84" t="str">
            <v>sudah ada</v>
          </cell>
          <cell r="L84" t="str">
            <v>sudah ada</v>
          </cell>
        </row>
        <row r="85">
          <cell r="B85">
            <v>91</v>
          </cell>
          <cell r="C85">
            <v>0</v>
          </cell>
          <cell r="D85" t="str">
            <v>QKUBI11Kubis Green Crown 10 X 20 ml Maintenance LOTINDUK</v>
          </cell>
          <cell r="E85">
            <v>0</v>
          </cell>
          <cell r="F85">
            <v>0</v>
          </cell>
          <cell r="G85">
            <v>0</v>
          </cell>
          <cell r="H85">
            <v>44151</v>
          </cell>
          <cell r="I85">
            <v>44151</v>
          </cell>
          <cell r="J85" t="str">
            <v>Done</v>
          </cell>
          <cell r="K85" t="str">
            <v>sudah ada</v>
          </cell>
          <cell r="L85" t="str">
            <v>sudah ada</v>
          </cell>
        </row>
        <row r="86">
          <cell r="B86">
            <v>92</v>
          </cell>
          <cell r="C86">
            <v>0</v>
          </cell>
          <cell r="D86" t="str">
            <v>QKUBI12Kubis Green Crown 100 X 100 gr Maintenance LOTINDUK</v>
          </cell>
          <cell r="E86">
            <v>0</v>
          </cell>
          <cell r="F86">
            <v>0</v>
          </cell>
          <cell r="G86">
            <v>0</v>
          </cell>
          <cell r="H86">
            <v>44151</v>
          </cell>
          <cell r="I86">
            <v>44151</v>
          </cell>
          <cell r="J86" t="str">
            <v>Done</v>
          </cell>
          <cell r="K86" t="str">
            <v>sudah ada</v>
          </cell>
          <cell r="L86" t="str">
            <v>sudah ada</v>
          </cell>
        </row>
        <row r="87">
          <cell r="B87">
            <v>109</v>
          </cell>
          <cell r="C87">
            <v>0</v>
          </cell>
          <cell r="D87" t="str">
            <v>smc , sheet printer tidak bisa (Naily)</v>
          </cell>
          <cell r="E87">
            <v>0</v>
          </cell>
          <cell r="F87">
            <v>0</v>
          </cell>
          <cell r="G87">
            <v>0</v>
          </cell>
          <cell r="H87">
            <v>44151</v>
          </cell>
          <cell r="I87">
            <v>44151</v>
          </cell>
          <cell r="J87" t="str">
            <v>Done</v>
          </cell>
          <cell r="K87" t="str">
            <v>sudah ada</v>
          </cell>
          <cell r="L87" t="str">
            <v>sudah ada</v>
          </cell>
        </row>
        <row r="88">
          <cell r="B88">
            <v>93</v>
          </cell>
          <cell r="C88">
            <v>0</v>
          </cell>
          <cell r="D88" t="str">
            <v>QCABE36CABE SIGANTUNG 12 X 15 X 10 GR Maintenance LOTINDUK</v>
          </cell>
          <cell r="E88">
            <v>0</v>
          </cell>
          <cell r="F88">
            <v>0</v>
          </cell>
          <cell r="G88">
            <v>0</v>
          </cell>
          <cell r="H88">
            <v>44152</v>
          </cell>
          <cell r="I88">
            <v>44152</v>
          </cell>
          <cell r="J88" t="str">
            <v>Done</v>
          </cell>
          <cell r="K88" t="str">
            <v>sudah ada</v>
          </cell>
          <cell r="L88" t="str">
            <v>sudah ada</v>
          </cell>
        </row>
        <row r="89">
          <cell r="B89">
            <v>118</v>
          </cell>
          <cell r="C89">
            <v>0</v>
          </cell>
          <cell r="D89" t="str">
            <v>batrei ups rusak (hendrik)</v>
          </cell>
          <cell r="E89">
            <v>0</v>
          </cell>
          <cell r="F89">
            <v>0</v>
          </cell>
          <cell r="G89">
            <v>0</v>
          </cell>
          <cell r="H89">
            <v>44152</v>
          </cell>
          <cell r="I89">
            <v>44152</v>
          </cell>
          <cell r="J89" t="str">
            <v>Done</v>
          </cell>
          <cell r="K89" t="str">
            <v>sudah ada</v>
          </cell>
          <cell r="L89" t="str">
            <v>sudah ada</v>
          </cell>
        </row>
        <row r="90">
          <cell r="B90">
            <v>119</v>
          </cell>
          <cell r="C90">
            <v>0</v>
          </cell>
          <cell r="D90" t="str">
            <v>batrei ups rusak (doni)</v>
          </cell>
          <cell r="E90">
            <v>0</v>
          </cell>
          <cell r="F90">
            <v>0</v>
          </cell>
          <cell r="G90">
            <v>0</v>
          </cell>
          <cell r="H90">
            <v>44152</v>
          </cell>
          <cell r="I90">
            <v>44152</v>
          </cell>
          <cell r="J90" t="str">
            <v>Done</v>
          </cell>
          <cell r="K90" t="str">
            <v>sudah ada</v>
          </cell>
          <cell r="L90" t="str">
            <v>sudah ada</v>
          </cell>
        </row>
        <row r="91">
          <cell r="B91">
            <v>120</v>
          </cell>
          <cell r="C91">
            <v>0</v>
          </cell>
          <cell r="D91" t="str">
            <v>cmos batrei rusak (sylvia)</v>
          </cell>
          <cell r="E91">
            <v>0</v>
          </cell>
          <cell r="F91">
            <v>0</v>
          </cell>
          <cell r="G91">
            <v>0</v>
          </cell>
          <cell r="H91">
            <v>44152</v>
          </cell>
          <cell r="I91">
            <v>44152</v>
          </cell>
          <cell r="J91" t="str">
            <v>Done</v>
          </cell>
          <cell r="K91" t="str">
            <v>sudah ada</v>
          </cell>
          <cell r="L91" t="str">
            <v>sudah ada</v>
          </cell>
        </row>
        <row r="92">
          <cell r="B92">
            <v>121</v>
          </cell>
          <cell r="C92">
            <v>0</v>
          </cell>
          <cell r="D92" t="str">
            <v>keyboard eror (tika)</v>
          </cell>
          <cell r="E92">
            <v>0</v>
          </cell>
          <cell r="F92">
            <v>0</v>
          </cell>
          <cell r="G92">
            <v>0</v>
          </cell>
          <cell r="H92">
            <v>44152</v>
          </cell>
          <cell r="I92">
            <v>44152</v>
          </cell>
          <cell r="J92" t="str">
            <v>Done</v>
          </cell>
          <cell r="K92" t="str">
            <v>sudah ada</v>
          </cell>
          <cell r="L92" t="str">
            <v>sudah ada</v>
          </cell>
        </row>
        <row r="93">
          <cell r="B93">
            <v>122</v>
          </cell>
          <cell r="C93">
            <v>0</v>
          </cell>
          <cell r="D93" t="str">
            <v>printer eror scanner (nadia)</v>
          </cell>
          <cell r="E93">
            <v>0</v>
          </cell>
          <cell r="F93">
            <v>0</v>
          </cell>
          <cell r="G93">
            <v>0</v>
          </cell>
          <cell r="H93">
            <v>44152</v>
          </cell>
          <cell r="I93">
            <v>44152</v>
          </cell>
          <cell r="J93" t="str">
            <v>Done</v>
          </cell>
          <cell r="K93" t="str">
            <v>sudah ada</v>
          </cell>
          <cell r="L93" t="str">
            <v>sudah ada</v>
          </cell>
        </row>
        <row r="94">
          <cell r="B94">
            <v>123</v>
          </cell>
          <cell r="C94">
            <v>0</v>
          </cell>
          <cell r="D94" t="str">
            <v>printer eror ngeprint (nita)</v>
          </cell>
          <cell r="E94">
            <v>0</v>
          </cell>
          <cell r="F94">
            <v>0</v>
          </cell>
          <cell r="G94">
            <v>0</v>
          </cell>
          <cell r="H94">
            <v>44152</v>
          </cell>
          <cell r="I94">
            <v>44152</v>
          </cell>
          <cell r="J94" t="str">
            <v>Done</v>
          </cell>
          <cell r="K94" t="str">
            <v>sudah ada</v>
          </cell>
          <cell r="L94" t="str">
            <v>sudah ada</v>
          </cell>
        </row>
        <row r="95">
          <cell r="B95">
            <v>124</v>
          </cell>
          <cell r="C95">
            <v>0</v>
          </cell>
          <cell r="D95" t="str">
            <v>tambah pasang ups (laili)</v>
          </cell>
          <cell r="E95">
            <v>0</v>
          </cell>
          <cell r="F95">
            <v>0</v>
          </cell>
          <cell r="G95">
            <v>0</v>
          </cell>
          <cell r="H95">
            <v>44152</v>
          </cell>
          <cell r="I95">
            <v>44152</v>
          </cell>
          <cell r="J95" t="str">
            <v>Done</v>
          </cell>
          <cell r="K95" t="str">
            <v>sudah ada</v>
          </cell>
          <cell r="L95" t="str">
            <v>sudah ada</v>
          </cell>
        </row>
        <row r="96">
          <cell r="B96">
            <v>125</v>
          </cell>
          <cell r="C96">
            <v>0</v>
          </cell>
          <cell r="D96" t="str">
            <v>tambah pasang ups (elok)</v>
          </cell>
          <cell r="E96">
            <v>0</v>
          </cell>
          <cell r="F96">
            <v>0</v>
          </cell>
          <cell r="G96">
            <v>0</v>
          </cell>
          <cell r="H96">
            <v>44152</v>
          </cell>
          <cell r="I96">
            <v>44152</v>
          </cell>
          <cell r="J96" t="str">
            <v>Done</v>
          </cell>
          <cell r="K96" t="str">
            <v>sudah ada</v>
          </cell>
          <cell r="L96" t="str">
            <v>sudah ada</v>
          </cell>
        </row>
        <row r="97">
          <cell r="B97">
            <v>126</v>
          </cell>
          <cell r="C97">
            <v>0</v>
          </cell>
          <cell r="D97" t="str">
            <v>tambah pasang ups (naili)</v>
          </cell>
          <cell r="E97">
            <v>0</v>
          </cell>
          <cell r="F97">
            <v>0</v>
          </cell>
          <cell r="G97">
            <v>0</v>
          </cell>
          <cell r="H97">
            <v>44152</v>
          </cell>
          <cell r="I97">
            <v>44152</v>
          </cell>
          <cell r="J97" t="str">
            <v>Done</v>
          </cell>
          <cell r="K97" t="str">
            <v>sudah ada</v>
          </cell>
          <cell r="L97" t="str">
            <v>sudah ada</v>
          </cell>
        </row>
        <row r="98">
          <cell r="B98">
            <v>127</v>
          </cell>
          <cell r="C98">
            <v>0</v>
          </cell>
          <cell r="D98" t="str">
            <v>tambah pasang ups (proyektor)</v>
          </cell>
          <cell r="E98">
            <v>0</v>
          </cell>
          <cell r="F98">
            <v>0</v>
          </cell>
          <cell r="G98">
            <v>0</v>
          </cell>
          <cell r="H98">
            <v>44152</v>
          </cell>
          <cell r="I98">
            <v>44152</v>
          </cell>
          <cell r="J98" t="str">
            <v>Done</v>
          </cell>
          <cell r="K98" t="str">
            <v>sudah ada</v>
          </cell>
          <cell r="L98" t="str">
            <v>sudah ada</v>
          </cell>
        </row>
        <row r="99">
          <cell r="B99">
            <v>128</v>
          </cell>
          <cell r="C99">
            <v>0</v>
          </cell>
          <cell r="D99" t="str">
            <v>tambah pasang ups (kiugudang)</v>
          </cell>
          <cell r="E99">
            <v>0</v>
          </cell>
          <cell r="F99">
            <v>0</v>
          </cell>
          <cell r="G99">
            <v>0</v>
          </cell>
          <cell r="H99">
            <v>44152</v>
          </cell>
          <cell r="I99">
            <v>44152</v>
          </cell>
          <cell r="J99" t="str">
            <v>Done</v>
          </cell>
          <cell r="K99" t="str">
            <v>sudah ada</v>
          </cell>
          <cell r="L99" t="str">
            <v>sudah ada</v>
          </cell>
        </row>
        <row r="100">
          <cell r="B100">
            <v>129</v>
          </cell>
          <cell r="C100">
            <v>0</v>
          </cell>
          <cell r="D100" t="str">
            <v>batrei ups rusak (evi)</v>
          </cell>
          <cell r="E100">
            <v>0</v>
          </cell>
          <cell r="F100">
            <v>0</v>
          </cell>
          <cell r="G100">
            <v>0</v>
          </cell>
          <cell r="H100">
            <v>44152</v>
          </cell>
          <cell r="I100">
            <v>44152</v>
          </cell>
          <cell r="J100" t="str">
            <v>Done</v>
          </cell>
          <cell r="K100" t="str">
            <v>sudah ada</v>
          </cell>
          <cell r="L100" t="str">
            <v>sudah ada</v>
          </cell>
        </row>
        <row r="101">
          <cell r="B101">
            <v>94</v>
          </cell>
          <cell r="C101">
            <v>0</v>
          </cell>
          <cell r="D101" t="str">
            <v>QTERO05TERONG WELUT 12 X 15 X 10 GR Maintenance LOTINDUK</v>
          </cell>
          <cell r="E101">
            <v>0</v>
          </cell>
          <cell r="F101">
            <v>0</v>
          </cell>
          <cell r="G101">
            <v>0</v>
          </cell>
          <cell r="H101">
            <v>44154</v>
          </cell>
          <cell r="I101">
            <v>44154</v>
          </cell>
          <cell r="J101" t="str">
            <v>Done</v>
          </cell>
          <cell r="K101" t="str">
            <v>sudah ada</v>
          </cell>
          <cell r="L101" t="str">
            <v>sudah ada</v>
          </cell>
        </row>
        <row r="102">
          <cell r="B102">
            <v>95</v>
          </cell>
          <cell r="C102">
            <v>0</v>
          </cell>
          <cell r="D102" t="str">
            <v>QMACE02MACERIO 52 WP 50 X 250 gr Maintenance LOTSUPPLIER</v>
          </cell>
          <cell r="E102">
            <v>0</v>
          </cell>
          <cell r="F102">
            <v>0</v>
          </cell>
          <cell r="G102">
            <v>0</v>
          </cell>
          <cell r="H102">
            <v>44154</v>
          </cell>
          <cell r="I102">
            <v>44154</v>
          </cell>
          <cell r="J102" t="str">
            <v>Done</v>
          </cell>
          <cell r="K102" t="str">
            <v>sudah ada</v>
          </cell>
          <cell r="L102" t="str">
            <v>sudah ada</v>
          </cell>
        </row>
        <row r="103">
          <cell r="B103">
            <v>96</v>
          </cell>
          <cell r="C103">
            <v>0</v>
          </cell>
          <cell r="D103" t="str">
            <v>AMACE03MACERIO 52 WP 50 X 250 gr Maintenance LOTSUPPLIER</v>
          </cell>
          <cell r="E103">
            <v>0</v>
          </cell>
          <cell r="F103">
            <v>0</v>
          </cell>
          <cell r="G103">
            <v>0</v>
          </cell>
          <cell r="H103">
            <v>44154</v>
          </cell>
          <cell r="I103">
            <v>44154</v>
          </cell>
          <cell r="J103" t="str">
            <v>Done</v>
          </cell>
          <cell r="K103" t="str">
            <v>sudah ada</v>
          </cell>
          <cell r="L103" t="str">
            <v>sudah ada</v>
          </cell>
        </row>
        <row r="104">
          <cell r="B104">
            <v>97</v>
          </cell>
          <cell r="C104">
            <v>0</v>
          </cell>
          <cell r="D104" t="str">
            <v>QEMAC04Emacel 30 EC 10 X 1 ltr Maintenance LOTSUPPLIER</v>
          </cell>
          <cell r="E104">
            <v>0</v>
          </cell>
          <cell r="F104">
            <v>0</v>
          </cell>
          <cell r="G104">
            <v>0</v>
          </cell>
          <cell r="H104">
            <v>44154</v>
          </cell>
          <cell r="I104">
            <v>44154</v>
          </cell>
          <cell r="J104" t="str">
            <v>Done</v>
          </cell>
          <cell r="K104" t="str">
            <v>sudah ada</v>
          </cell>
          <cell r="L104" t="str">
            <v>sudah ada</v>
          </cell>
        </row>
        <row r="105">
          <cell r="B105">
            <v>110</v>
          </cell>
          <cell r="C105">
            <v>0</v>
          </cell>
          <cell r="D105" t="str">
            <v>zahir not responding (nina )</v>
          </cell>
          <cell r="E105">
            <v>0</v>
          </cell>
          <cell r="F105">
            <v>0</v>
          </cell>
          <cell r="G105">
            <v>0</v>
          </cell>
          <cell r="H105">
            <v>44154</v>
          </cell>
          <cell r="I105">
            <v>44154</v>
          </cell>
          <cell r="J105" t="str">
            <v>Done</v>
          </cell>
          <cell r="K105" t="str">
            <v>sudah ada</v>
          </cell>
          <cell r="L105" t="str">
            <v>sudah ada</v>
          </cell>
        </row>
        <row r="106">
          <cell r="B106">
            <v>130</v>
          </cell>
          <cell r="C106">
            <v>0</v>
          </cell>
          <cell r="D106" t="str">
            <v>LAN  bermasalah (naili )</v>
          </cell>
          <cell r="E106">
            <v>0</v>
          </cell>
          <cell r="F106">
            <v>0</v>
          </cell>
          <cell r="G106">
            <v>0</v>
          </cell>
          <cell r="H106">
            <v>44154</v>
          </cell>
          <cell r="I106">
            <v>44154</v>
          </cell>
          <cell r="J106" t="str">
            <v>Done</v>
          </cell>
          <cell r="K106" t="str">
            <v>sudah ada</v>
          </cell>
          <cell r="L106" t="str">
            <v>sudah ada</v>
          </cell>
        </row>
        <row r="107">
          <cell r="B107">
            <v>98</v>
          </cell>
          <cell r="C107">
            <v>0</v>
          </cell>
          <cell r="D107" t="str">
            <v>QJAGU40JAGUNG DK 959 20 X 1 KG (BISI) Maintenance LOTINDUK</v>
          </cell>
          <cell r="E107">
            <v>0</v>
          </cell>
          <cell r="F107">
            <v>0</v>
          </cell>
          <cell r="G107">
            <v>0</v>
          </cell>
          <cell r="H107">
            <v>44155</v>
          </cell>
          <cell r="I107">
            <v>44155</v>
          </cell>
          <cell r="J107" t="str">
            <v>Done</v>
          </cell>
          <cell r="K107" t="str">
            <v>sudah ada</v>
          </cell>
          <cell r="L107" t="str">
            <v>sudah ada</v>
          </cell>
        </row>
        <row r="108">
          <cell r="B108">
            <v>99</v>
          </cell>
          <cell r="C108">
            <v>0</v>
          </cell>
          <cell r="D108" t="str">
            <v>QSAWI01SAWI CHRISTINA 20 X 10 X 25 GR Maintenance LOTINDUK</v>
          </cell>
          <cell r="E108">
            <v>0</v>
          </cell>
          <cell r="F108">
            <v>0</v>
          </cell>
          <cell r="G108">
            <v>0</v>
          </cell>
          <cell r="H108">
            <v>44156</v>
          </cell>
          <cell r="I108">
            <v>44156</v>
          </cell>
          <cell r="J108" t="str">
            <v>Done</v>
          </cell>
          <cell r="K108" t="str">
            <v>sudah ada</v>
          </cell>
          <cell r="L108" t="str">
            <v>sudah ada</v>
          </cell>
        </row>
        <row r="109">
          <cell r="B109">
            <v>111</v>
          </cell>
          <cell r="C109">
            <v>0</v>
          </cell>
          <cell r="D109" t="str">
            <v>excel no responding (elok)</v>
          </cell>
          <cell r="E109">
            <v>0</v>
          </cell>
          <cell r="F109">
            <v>0</v>
          </cell>
          <cell r="G109">
            <v>0</v>
          </cell>
          <cell r="H109">
            <v>44156</v>
          </cell>
          <cell r="I109">
            <v>44156</v>
          </cell>
          <cell r="J109" t="str">
            <v>Done</v>
          </cell>
          <cell r="K109" t="str">
            <v>sudah ada</v>
          </cell>
          <cell r="L109" t="str">
            <v>sudah ada</v>
          </cell>
        </row>
        <row r="110">
          <cell r="B110">
            <v>112</v>
          </cell>
          <cell r="C110">
            <v>0</v>
          </cell>
          <cell r="D110" t="str">
            <v>excel install tab excel (elok)</v>
          </cell>
          <cell r="E110">
            <v>0</v>
          </cell>
          <cell r="F110">
            <v>0</v>
          </cell>
          <cell r="G110">
            <v>0</v>
          </cell>
          <cell r="H110">
            <v>44156</v>
          </cell>
          <cell r="I110">
            <v>44156</v>
          </cell>
          <cell r="J110" t="str">
            <v>Done</v>
          </cell>
          <cell r="K110" t="str">
            <v>sudah ada</v>
          </cell>
          <cell r="L110" t="str">
            <v>sudah ada</v>
          </cell>
        </row>
        <row r="111">
          <cell r="B111">
            <v>113</v>
          </cell>
          <cell r="C111">
            <v>0</v>
          </cell>
          <cell r="D111" t="str">
            <v>Posting TTBP (desi)</v>
          </cell>
          <cell r="E111">
            <v>0</v>
          </cell>
          <cell r="F111">
            <v>0</v>
          </cell>
          <cell r="G111">
            <v>0</v>
          </cell>
          <cell r="H111">
            <v>44157</v>
          </cell>
          <cell r="I111">
            <v>44157</v>
          </cell>
          <cell r="J111" t="str">
            <v>Done</v>
          </cell>
          <cell r="K111" t="str">
            <v>sudah ada</v>
          </cell>
          <cell r="L111" t="str">
            <v>sudah ada</v>
          </cell>
        </row>
        <row r="112">
          <cell r="B112">
            <v>114</v>
          </cell>
          <cell r="C112">
            <v>0</v>
          </cell>
          <cell r="D112" t="str">
            <v>Zahir kode barang  QPLENOL  mengalami minus saldo barang (NINA)</v>
          </cell>
          <cell r="E112">
            <v>0</v>
          </cell>
          <cell r="F112">
            <v>0</v>
          </cell>
          <cell r="G112">
            <v>0</v>
          </cell>
          <cell r="H112">
            <v>44158</v>
          </cell>
          <cell r="I112">
            <v>44158</v>
          </cell>
          <cell r="J112" t="str">
            <v>Done</v>
          </cell>
          <cell r="K112" t="str">
            <v>sudah ada</v>
          </cell>
          <cell r="L112" t="str">
            <v>sudah ada</v>
          </cell>
        </row>
        <row r="113">
          <cell r="B113">
            <v>115</v>
          </cell>
          <cell r="C113">
            <v>0</v>
          </cell>
          <cell r="D113" t="str">
            <v>Wifi gudang Trobel , Reboot system (ahmad)</v>
          </cell>
          <cell r="E113">
            <v>0</v>
          </cell>
          <cell r="F113">
            <v>0</v>
          </cell>
          <cell r="G113">
            <v>0</v>
          </cell>
          <cell r="H113">
            <v>44158</v>
          </cell>
          <cell r="I113">
            <v>44158</v>
          </cell>
          <cell r="J113" t="str">
            <v>Done</v>
          </cell>
          <cell r="K113" t="str">
            <v>sudah ada</v>
          </cell>
          <cell r="L113" t="str">
            <v>sudah ada</v>
          </cell>
        </row>
        <row r="114">
          <cell r="B114">
            <v>132</v>
          </cell>
          <cell r="C114">
            <v>0</v>
          </cell>
          <cell r="D114" t="str">
            <v>Setting resolusi layar pc16 byte true color (evi)</v>
          </cell>
          <cell r="E114">
            <v>0</v>
          </cell>
          <cell r="F114">
            <v>0</v>
          </cell>
          <cell r="G114">
            <v>0</v>
          </cell>
          <cell r="H114">
            <v>44158</v>
          </cell>
          <cell r="I114">
            <v>44158</v>
          </cell>
          <cell r="J114" t="str">
            <v>Done</v>
          </cell>
          <cell r="K114" t="str">
            <v>sudah ada</v>
          </cell>
          <cell r="L114" t="str">
            <v>sudah ada</v>
          </cell>
        </row>
        <row r="115">
          <cell r="B115">
            <v>100</v>
          </cell>
          <cell r="C115">
            <v>0</v>
          </cell>
          <cell r="D115" t="str">
            <v>QQIUV04Qiuvita Hijau 32.11.11 20 X 500 gr Maintenance LOTAJUNG</v>
          </cell>
          <cell r="E115">
            <v>0</v>
          </cell>
          <cell r="F115">
            <v>0</v>
          </cell>
          <cell r="G115">
            <v>0</v>
          </cell>
          <cell r="H115">
            <v>44160</v>
          </cell>
          <cell r="I115">
            <v>44160</v>
          </cell>
          <cell r="J115" t="str">
            <v>Done</v>
          </cell>
          <cell r="K115" t="str">
            <v>sudah ada</v>
          </cell>
          <cell r="L115" t="str">
            <v>sudah ada</v>
          </cell>
        </row>
        <row r="116">
          <cell r="B116">
            <v>101</v>
          </cell>
          <cell r="C116">
            <v>0</v>
          </cell>
          <cell r="D116" t="str">
            <v>QKICK03Kick Off 36 EC 20 X 500 ml Maintenance LOTINDUK</v>
          </cell>
          <cell r="E116">
            <v>0</v>
          </cell>
          <cell r="F116">
            <v>0</v>
          </cell>
          <cell r="G116">
            <v>0</v>
          </cell>
          <cell r="H116">
            <v>44160</v>
          </cell>
          <cell r="I116">
            <v>44160</v>
          </cell>
          <cell r="J116" t="str">
            <v>Done</v>
          </cell>
          <cell r="K116" t="str">
            <v>sudah ada</v>
          </cell>
          <cell r="L116" t="str">
            <v>sudah ada</v>
          </cell>
        </row>
        <row r="117">
          <cell r="B117">
            <v>133</v>
          </cell>
          <cell r="C117">
            <v>0</v>
          </cell>
          <cell r="D117" t="str">
            <v>CCTV (imam bonjol) Skring listrik putus</v>
          </cell>
          <cell r="E117">
            <v>0</v>
          </cell>
          <cell r="F117">
            <v>0</v>
          </cell>
          <cell r="G117">
            <v>0</v>
          </cell>
          <cell r="H117">
            <v>44161</v>
          </cell>
          <cell r="I117">
            <v>44161</v>
          </cell>
          <cell r="J117" t="str">
            <v>Done</v>
          </cell>
          <cell r="K117" t="str">
            <v>sudah ada</v>
          </cell>
          <cell r="L117" t="str">
            <v>sudah ada</v>
          </cell>
        </row>
        <row r="118">
          <cell r="B118">
            <v>18</v>
          </cell>
          <cell r="C118">
            <v>19</v>
          </cell>
          <cell r="D118" t="str">
            <v>Pembuatan DO digabung dengan lot</v>
          </cell>
          <cell r="E118">
            <v>0</v>
          </cell>
          <cell r="F118">
            <v>0</v>
          </cell>
          <cell r="G118">
            <v>0</v>
          </cell>
          <cell r="H118">
            <v>44206</v>
          </cell>
          <cell r="I118">
            <v>44162</v>
          </cell>
          <cell r="J118" t="str">
            <v>Done</v>
          </cell>
          <cell r="K118" t="str">
            <v>sudah ada</v>
          </cell>
          <cell r="L118" t="str">
            <v>sudah ada</v>
          </cell>
        </row>
        <row r="119">
          <cell r="B119">
            <v>20</v>
          </cell>
          <cell r="C119">
            <v>21</v>
          </cell>
          <cell r="D119" t="str">
            <v>Pembuatan ulang ICS bulanan</v>
          </cell>
          <cell r="E119">
            <v>0</v>
          </cell>
          <cell r="F119">
            <v>0</v>
          </cell>
          <cell r="G119">
            <v>0</v>
          </cell>
          <cell r="H119">
            <v>44206</v>
          </cell>
          <cell r="I119">
            <v>44162</v>
          </cell>
          <cell r="J119" t="str">
            <v>Done</v>
          </cell>
          <cell r="K119" t="str">
            <v>sudah ada</v>
          </cell>
          <cell r="L119" t="str">
            <v>sudah ada</v>
          </cell>
        </row>
        <row r="120">
          <cell r="B120">
            <v>0</v>
          </cell>
          <cell r="C120">
            <v>0</v>
          </cell>
          <cell r="D120" t="str">
            <v>Pembuatan ulang ICS  Mini</v>
          </cell>
          <cell r="E120">
            <v>0</v>
          </cell>
          <cell r="F120">
            <v>0</v>
          </cell>
          <cell r="G120">
            <v>0</v>
          </cell>
          <cell r="H120">
            <v>44206</v>
          </cell>
          <cell r="I120">
            <v>44162</v>
          </cell>
          <cell r="J120" t="str">
            <v>Done</v>
          </cell>
          <cell r="K120" t="str">
            <v>sudah ada</v>
          </cell>
          <cell r="L120" t="str">
            <v>sudah ada</v>
          </cell>
        </row>
        <row r="121">
          <cell r="B121">
            <v>23</v>
          </cell>
          <cell r="C121">
            <v>24</v>
          </cell>
          <cell r="D121" t="str">
            <v xml:space="preserve">Centang lot zahir semua </v>
          </cell>
          <cell r="E121">
            <v>0</v>
          </cell>
          <cell r="F121">
            <v>0</v>
          </cell>
          <cell r="G121">
            <v>0</v>
          </cell>
          <cell r="H121">
            <v>44165</v>
          </cell>
          <cell r="I121">
            <v>44162</v>
          </cell>
          <cell r="J121" t="str">
            <v>Done</v>
          </cell>
          <cell r="K121" t="str">
            <v>sudah ada</v>
          </cell>
          <cell r="L121" t="str">
            <v>sudah ada</v>
          </cell>
        </row>
        <row r="122">
          <cell r="B122">
            <v>102</v>
          </cell>
          <cell r="C122">
            <v>0</v>
          </cell>
          <cell r="D122" t="str">
            <v>QKACA01Kac. Panj. Katrina 30 X 500 gr Maintenance LOTINDUK</v>
          </cell>
          <cell r="E122">
            <v>0</v>
          </cell>
          <cell r="F122">
            <v>0</v>
          </cell>
          <cell r="G122">
            <v>0</v>
          </cell>
          <cell r="H122">
            <v>44162</v>
          </cell>
          <cell r="I122">
            <v>44162</v>
          </cell>
          <cell r="J122" t="str">
            <v>Done</v>
          </cell>
          <cell r="K122" t="str">
            <v>sudah ada</v>
          </cell>
          <cell r="L122" t="str">
            <v>sudah ada</v>
          </cell>
        </row>
        <row r="123">
          <cell r="B123">
            <v>25</v>
          </cell>
          <cell r="C123">
            <v>26</v>
          </cell>
          <cell r="D123" t="str">
            <v>Sales tracking penempurnaan (evi,yuni,yuyun) grafik</v>
          </cell>
          <cell r="E123">
            <v>0</v>
          </cell>
          <cell r="F123">
            <v>0</v>
          </cell>
          <cell r="G123">
            <v>0</v>
          </cell>
          <cell r="H123">
            <v>44166</v>
          </cell>
          <cell r="I123">
            <v>44163</v>
          </cell>
          <cell r="J123" t="str">
            <v>Done</v>
          </cell>
          <cell r="K123" t="str">
            <v>sudah ada</v>
          </cell>
          <cell r="L123" t="str">
            <v>sudah ada</v>
          </cell>
        </row>
        <row r="124">
          <cell r="B124">
            <v>103</v>
          </cell>
          <cell r="C124">
            <v>0</v>
          </cell>
          <cell r="D124" t="str">
            <v>QTIMU24Timun Pesona 20 20 X 6 X 20 gr  Maintenance LOTSUPPLIER</v>
          </cell>
          <cell r="E124">
            <v>0</v>
          </cell>
          <cell r="F124">
            <v>0</v>
          </cell>
          <cell r="G124">
            <v>0</v>
          </cell>
          <cell r="H124">
            <v>44163</v>
          </cell>
          <cell r="I124">
            <v>44163</v>
          </cell>
          <cell r="J124" t="str">
            <v>Done</v>
          </cell>
          <cell r="K124" t="str">
            <v>sudah ada</v>
          </cell>
          <cell r="L124" t="str">
            <v>sudah ada</v>
          </cell>
        </row>
        <row r="125">
          <cell r="B125">
            <v>104</v>
          </cell>
          <cell r="C125">
            <v>0</v>
          </cell>
          <cell r="D125" t="str">
            <v>QTIMU20 Timun Hercules Plus 20 X 6 X 20 gr Maintenance LOT SUPPLIER</v>
          </cell>
          <cell r="E125">
            <v>0</v>
          </cell>
          <cell r="F125">
            <v>0</v>
          </cell>
          <cell r="G125">
            <v>0</v>
          </cell>
          <cell r="H125">
            <v>44163</v>
          </cell>
          <cell r="I125">
            <v>44163</v>
          </cell>
          <cell r="J125" t="str">
            <v>Done</v>
          </cell>
          <cell r="K125" t="str">
            <v>sudah ada</v>
          </cell>
          <cell r="L125" t="str">
            <v>sudah ada</v>
          </cell>
        </row>
        <row r="126">
          <cell r="B126">
            <v>105</v>
          </cell>
          <cell r="C126">
            <v>0</v>
          </cell>
          <cell r="D126" t="str">
            <v>QLOGR01 Logran 75 WG 20 X 50 X 1.5 gr Maintenance LOT INDUK</v>
          </cell>
          <cell r="E126">
            <v>0</v>
          </cell>
          <cell r="F126">
            <v>0</v>
          </cell>
          <cell r="G126">
            <v>0</v>
          </cell>
          <cell r="H126">
            <v>44163</v>
          </cell>
          <cell r="I126">
            <v>44163</v>
          </cell>
          <cell r="J126" t="str">
            <v>Done</v>
          </cell>
          <cell r="K126" t="str">
            <v>sudah ada</v>
          </cell>
          <cell r="L126" t="str">
            <v>sudah ada</v>
          </cell>
        </row>
        <row r="127">
          <cell r="B127">
            <v>134</v>
          </cell>
          <cell r="C127">
            <v>0</v>
          </cell>
          <cell r="D127" t="str">
            <v>kabel lan 6 M untuk HRDGA (arip)</v>
          </cell>
          <cell r="E127">
            <v>0</v>
          </cell>
          <cell r="F127">
            <v>0</v>
          </cell>
          <cell r="G127">
            <v>0</v>
          </cell>
          <cell r="H127">
            <v>44163</v>
          </cell>
          <cell r="I127">
            <v>44163</v>
          </cell>
          <cell r="J127" t="str">
            <v>Done</v>
          </cell>
          <cell r="K127" t="str">
            <v>sudah ada</v>
          </cell>
          <cell r="L127" t="str">
            <v>sudah ada</v>
          </cell>
        </row>
        <row r="128">
          <cell r="B128">
            <v>135</v>
          </cell>
          <cell r="C128">
            <v>0</v>
          </cell>
          <cell r="D128" t="str">
            <v>LAN bermasalah (Elok)</v>
          </cell>
          <cell r="E128">
            <v>0</v>
          </cell>
          <cell r="F128">
            <v>0</v>
          </cell>
          <cell r="G128">
            <v>0</v>
          </cell>
          <cell r="H128">
            <v>44164</v>
          </cell>
          <cell r="I128">
            <v>44164</v>
          </cell>
          <cell r="J128" t="str">
            <v>Done</v>
          </cell>
          <cell r="K128" t="str">
            <v>sudah ada</v>
          </cell>
          <cell r="L128" t="str">
            <v>sudah ada</v>
          </cell>
        </row>
        <row r="129">
          <cell r="B129">
            <v>106</v>
          </cell>
          <cell r="C129">
            <v>0</v>
          </cell>
          <cell r="D129" t="str">
            <v>QABEN02 Abenz 22 EC 40 X 250 ml Maintenance LOT SUPPLIER</v>
          </cell>
          <cell r="E129">
            <v>0</v>
          </cell>
          <cell r="F129">
            <v>0</v>
          </cell>
          <cell r="G129">
            <v>0</v>
          </cell>
          <cell r="H129">
            <v>44165</v>
          </cell>
          <cell r="I129">
            <v>44165</v>
          </cell>
          <cell r="J129" t="str">
            <v>Done</v>
          </cell>
          <cell r="K129" t="str">
            <v>sudah ada</v>
          </cell>
          <cell r="L129" t="str">
            <v>sudah ada</v>
          </cell>
        </row>
        <row r="130">
          <cell r="B130">
            <v>136</v>
          </cell>
          <cell r="C130">
            <v>0</v>
          </cell>
          <cell r="D130" t="str">
            <v>Setting pindah PC (Riza)</v>
          </cell>
          <cell r="E130">
            <v>0</v>
          </cell>
          <cell r="F130">
            <v>0</v>
          </cell>
          <cell r="G130">
            <v>0</v>
          </cell>
          <cell r="H130">
            <v>44165</v>
          </cell>
          <cell r="I130">
            <v>44165</v>
          </cell>
          <cell r="J130" t="str">
            <v>Done</v>
          </cell>
          <cell r="K130" t="str">
            <v>sudah ada</v>
          </cell>
          <cell r="L130" t="str">
            <v>sudah ada</v>
          </cell>
        </row>
        <row r="131">
          <cell r="B131">
            <v>137</v>
          </cell>
          <cell r="C131">
            <v>0</v>
          </cell>
          <cell r="D131" t="str">
            <v>Setting pindah PC (Ria)</v>
          </cell>
          <cell r="E131">
            <v>0</v>
          </cell>
          <cell r="F131">
            <v>0</v>
          </cell>
          <cell r="G131">
            <v>0</v>
          </cell>
          <cell r="H131">
            <v>44165</v>
          </cell>
          <cell r="I131">
            <v>44165</v>
          </cell>
          <cell r="J131" t="str">
            <v>Done</v>
          </cell>
          <cell r="K131" t="str">
            <v>sudah ada</v>
          </cell>
          <cell r="L131" t="str">
            <v>sudah ada</v>
          </cell>
        </row>
        <row r="132">
          <cell r="B132">
            <v>138</v>
          </cell>
          <cell r="C132">
            <v>0</v>
          </cell>
          <cell r="D132" t="str">
            <v>Setting ulang printer (dewi)</v>
          </cell>
          <cell r="E132">
            <v>0</v>
          </cell>
          <cell r="F132">
            <v>0</v>
          </cell>
          <cell r="G132">
            <v>0</v>
          </cell>
          <cell r="H132">
            <v>44165</v>
          </cell>
          <cell r="I132">
            <v>44165</v>
          </cell>
          <cell r="J132" t="str">
            <v>Done</v>
          </cell>
          <cell r="K132" t="str">
            <v>sudah ada</v>
          </cell>
          <cell r="L132" t="str">
            <v>sudah ada</v>
          </cell>
        </row>
        <row r="133">
          <cell r="B133">
            <v>139</v>
          </cell>
          <cell r="C133">
            <v>0</v>
          </cell>
          <cell r="D133" t="str">
            <v>Setting ulang printer (fairin)</v>
          </cell>
          <cell r="E133">
            <v>0</v>
          </cell>
          <cell r="F133">
            <v>0</v>
          </cell>
          <cell r="G133">
            <v>0</v>
          </cell>
          <cell r="H133">
            <v>44165</v>
          </cell>
          <cell r="I133">
            <v>44165</v>
          </cell>
          <cell r="J133" t="str">
            <v>Done</v>
          </cell>
          <cell r="K133" t="str">
            <v>sudah ada</v>
          </cell>
          <cell r="L133" t="str">
            <v>sudah ada</v>
          </cell>
        </row>
        <row r="134">
          <cell r="B134">
            <v>70</v>
          </cell>
          <cell r="C134">
            <v>0</v>
          </cell>
          <cell r="D134" t="str">
            <v>SOP mengeluarkan barang dari gudang LOT (draft)</v>
          </cell>
          <cell r="E134">
            <v>0</v>
          </cell>
          <cell r="F134">
            <v>0</v>
          </cell>
          <cell r="G134">
            <v>0</v>
          </cell>
          <cell r="H134">
            <v>44181</v>
          </cell>
          <cell r="I134">
            <v>44167</v>
          </cell>
          <cell r="J134" t="str">
            <v>Done</v>
          </cell>
          <cell r="K134" t="str">
            <v>sudah ada</v>
          </cell>
          <cell r="L134" t="str">
            <v>sudah ada</v>
          </cell>
        </row>
        <row r="135">
          <cell r="B135">
            <v>26</v>
          </cell>
          <cell r="C135">
            <v>27</v>
          </cell>
          <cell r="D135" t="str">
            <v>KPI digital</v>
          </cell>
          <cell r="E135">
            <v>0</v>
          </cell>
          <cell r="F135" t="str">
            <v>Yus Kordinasi dengan bu diana langsung</v>
          </cell>
          <cell r="G135">
            <v>0</v>
          </cell>
          <cell r="H135">
            <v>0</v>
          </cell>
          <cell r="I135">
            <v>0</v>
          </cell>
          <cell r="J135" t="str">
            <v xml:space="preserve"> </v>
          </cell>
          <cell r="K135">
            <v>0</v>
          </cell>
          <cell r="L135">
            <v>0</v>
          </cell>
        </row>
        <row r="136">
          <cell r="B136">
            <v>21</v>
          </cell>
          <cell r="C136">
            <v>22</v>
          </cell>
          <cell r="D136" t="str">
            <v>Pembuatan Website (ONLINE SHOP &amp; PROFILE - REC)</v>
          </cell>
          <cell r="E136" t="str">
            <v>pak jaya masih inprogres meyiapkan bahan untuk yang akan di letakan pada website tersebut</v>
          </cell>
          <cell r="F136" t="str">
            <v>Inprogres kolaborasi dengan p.jaya / membahas ulang yang akan di tampilkan dengan rekan kadep2</v>
          </cell>
          <cell r="G136" t="str">
            <v>Jaya</v>
          </cell>
          <cell r="H136">
            <v>44240</v>
          </cell>
          <cell r="I136">
            <v>0</v>
          </cell>
          <cell r="J136" t="str">
            <v xml:space="preserve"> </v>
          </cell>
          <cell r="K136">
            <v>0</v>
          </cell>
          <cell r="L136">
            <v>0</v>
          </cell>
        </row>
        <row r="137">
          <cell r="B137">
            <v>27</v>
          </cell>
          <cell r="C137">
            <v>0</v>
          </cell>
          <cell r="D137" t="str">
            <v>Program Multiprice Berjalan</v>
          </cell>
          <cell r="E137" t="str">
            <v>koordinasi ulang tentang harga yang akan di tampilkan harga terendah atau harga tertinggi (bu diana &amp; bu Anne) tanggal 21/12/2020 , Masih menunggu bu diana nanti di kabari</v>
          </cell>
          <cell r="F137" t="str">
            <v>Masih menunggu pricelist harga dari keuangan dan di check ulang oleh sales</v>
          </cell>
          <cell r="G137" t="str">
            <v>Mitra &amp; Sales</v>
          </cell>
          <cell r="H137">
            <v>0</v>
          </cell>
          <cell r="I137">
            <v>0</v>
          </cell>
          <cell r="J137" t="str">
            <v xml:space="preserve"> </v>
          </cell>
          <cell r="K137">
            <v>0</v>
          </cell>
          <cell r="L137">
            <v>0</v>
          </cell>
        </row>
        <row r="138">
          <cell r="B138">
            <v>69</v>
          </cell>
          <cell r="C138">
            <v>0</v>
          </cell>
          <cell r="D138" t="str">
            <v>penyempurnaan daily od target dan pencapaian masing2 collection</v>
          </cell>
          <cell r="E138" t="str">
            <v>max hari 21 sudah terselesaikan dengan icha bnn</v>
          </cell>
          <cell r="F138" t="str">
            <v>Masih Menunggu Data Master Daily od Di Rapikan</v>
          </cell>
          <cell r="G138" t="str">
            <v>Icha</v>
          </cell>
          <cell r="H138">
            <v>44199</v>
          </cell>
          <cell r="I138">
            <v>0</v>
          </cell>
          <cell r="J138" t="str">
            <v xml:space="preserve"> </v>
          </cell>
          <cell r="K138">
            <v>0</v>
          </cell>
          <cell r="L138">
            <v>0</v>
          </cell>
        </row>
        <row r="139">
          <cell r="B139">
            <v>71</v>
          </cell>
          <cell r="C139">
            <v>0</v>
          </cell>
          <cell r="D139" t="str">
            <v>ex tlpn belum terupdate (PABX)</v>
          </cell>
          <cell r="E139" t="str">
            <v>menunggu progress yg lain teselesai yg sudah terjadwal</v>
          </cell>
          <cell r="F139">
            <v>0</v>
          </cell>
          <cell r="G139" t="str">
            <v>Yuss</v>
          </cell>
          <cell r="H139">
            <v>44212</v>
          </cell>
          <cell r="I139">
            <v>0</v>
          </cell>
          <cell r="J139" t="str">
            <v xml:space="preserve"> </v>
          </cell>
          <cell r="K139">
            <v>0</v>
          </cell>
          <cell r="L139">
            <v>0</v>
          </cell>
        </row>
        <row r="140">
          <cell r="B140">
            <v>72</v>
          </cell>
          <cell r="C140">
            <v>0</v>
          </cell>
          <cell r="D140" t="str">
            <v>sop backup untuk maintance pc sebelum di ambil oleh it</v>
          </cell>
          <cell r="E140">
            <v>0</v>
          </cell>
          <cell r="F140" t="str">
            <v>sudah di sampaikan kepada bu diana tgl 12/01/2021 by outlook</v>
          </cell>
          <cell r="G140">
            <v>0</v>
          </cell>
          <cell r="H140">
            <v>44215</v>
          </cell>
          <cell r="I140">
            <v>44208</v>
          </cell>
          <cell r="J140" t="str">
            <v>Done</v>
          </cell>
          <cell r="K140">
            <v>0</v>
          </cell>
          <cell r="L140">
            <v>0</v>
          </cell>
        </row>
        <row r="141">
          <cell r="B141">
            <v>73</v>
          </cell>
          <cell r="C141">
            <v>0</v>
          </cell>
          <cell r="D141" t="str">
            <v>inventaris all hardware yg bersangkutan dengan IT</v>
          </cell>
          <cell r="E141">
            <v>0</v>
          </cell>
          <cell r="F141" t="str">
            <v>inprogres</v>
          </cell>
          <cell r="G141" t="str">
            <v>Yuss</v>
          </cell>
          <cell r="H141">
            <v>44215</v>
          </cell>
          <cell r="I141">
            <v>0</v>
          </cell>
          <cell r="J141" t="str">
            <v xml:space="preserve"> </v>
          </cell>
          <cell r="K141">
            <v>0</v>
          </cell>
          <cell r="L141">
            <v>0</v>
          </cell>
        </row>
        <row r="142">
          <cell r="B142">
            <v>140</v>
          </cell>
          <cell r="C142">
            <v>0</v>
          </cell>
          <cell r="D142" t="str">
            <v>Sales tracking penempurnaan Table Target dan pak Wira</v>
          </cell>
          <cell r="E142" t="str">
            <v>menunggu SOP Backup selesai</v>
          </cell>
          <cell r="F142">
            <v>0</v>
          </cell>
          <cell r="G142">
            <v>0</v>
          </cell>
          <cell r="H142">
            <v>44211</v>
          </cell>
          <cell r="I142">
            <v>0</v>
          </cell>
          <cell r="J142" t="str">
            <v xml:space="preserve"> </v>
          </cell>
          <cell r="K142">
            <v>0</v>
          </cell>
          <cell r="L142">
            <v>0</v>
          </cell>
        </row>
        <row r="143">
          <cell r="B143">
            <v>141</v>
          </cell>
          <cell r="C143">
            <v>0</v>
          </cell>
          <cell r="D143" t="str">
            <v>Pembuatan Design Laporan Zahir Untuk Pembelian</v>
          </cell>
          <cell r="E143" t="str">
            <v>koordinasi menentukan bulan minggu ke 1 bulan januari</v>
          </cell>
          <cell r="F143">
            <v>0</v>
          </cell>
          <cell r="G143">
            <v>0</v>
          </cell>
          <cell r="H143">
            <v>43871</v>
          </cell>
          <cell r="I143">
            <v>0</v>
          </cell>
          <cell r="J143" t="str">
            <v xml:space="preserve"> </v>
          </cell>
          <cell r="K143">
            <v>0</v>
          </cell>
          <cell r="L143">
            <v>0</v>
          </cell>
        </row>
        <row r="144">
          <cell r="B144">
            <v>142</v>
          </cell>
          <cell r="C144">
            <v>0</v>
          </cell>
          <cell r="D144" t="str">
            <v>Penmabahan dan Pembuatan Jalur Jaringan CCTV Baru Kantin Dan FKA</v>
          </cell>
          <cell r="E144" t="str">
            <v>Pengajuan SPP Perangkat CCTV Belum Lengkap (ACC Pelengkapan) akan di buat TimeLine</v>
          </cell>
          <cell r="F144">
            <v>0</v>
          </cell>
          <cell r="G144" t="str">
            <v>Yuss</v>
          </cell>
          <cell r="H144">
            <v>0</v>
          </cell>
          <cell r="I144">
            <v>0</v>
          </cell>
          <cell r="J144" t="str">
            <v xml:space="preserve"> </v>
          </cell>
          <cell r="K144">
            <v>0</v>
          </cell>
          <cell r="L144">
            <v>0</v>
          </cell>
        </row>
        <row r="145">
          <cell r="B145">
            <v>143</v>
          </cell>
          <cell r="C145">
            <v>0</v>
          </cell>
          <cell r="D145" t="str">
            <v xml:space="preserve">Prioritas no 1 Penambahan Kontrak Program SE (Go ahead dan Go dan Delay)  pada masing masing sc </v>
          </cell>
          <cell r="E145" t="str">
            <v>Price List Kontrak Tidak Update, akan diadakan koordinasi dengan pak heru langsung (tgl 16 /12/20)</v>
          </cell>
          <cell r="F145" t="str">
            <v>Menunggu Price List</v>
          </cell>
          <cell r="G145" t="str">
            <v>Sales</v>
          </cell>
          <cell r="H145">
            <v>0</v>
          </cell>
          <cell r="I145">
            <v>0</v>
          </cell>
          <cell r="J145" t="str">
            <v xml:space="preserve"> </v>
          </cell>
          <cell r="K145">
            <v>0</v>
          </cell>
          <cell r="L145">
            <v>0</v>
          </cell>
        </row>
        <row r="146">
          <cell r="B146">
            <v>144</v>
          </cell>
          <cell r="C146">
            <v>0</v>
          </cell>
          <cell r="D146" t="str">
            <v>PROGRAM KPI UNTUK KARIYAWAN (MASING ROW 10 WHATS / HOW )</v>
          </cell>
          <cell r="E146">
            <v>0</v>
          </cell>
          <cell r="F146">
            <v>0</v>
          </cell>
          <cell r="G146" t="str">
            <v>Yuss</v>
          </cell>
          <cell r="H146">
            <v>44195</v>
          </cell>
          <cell r="I146">
            <v>0</v>
          </cell>
          <cell r="J146" t="str">
            <v xml:space="preserve"> </v>
          </cell>
          <cell r="K146">
            <v>0</v>
          </cell>
          <cell r="L146">
            <v>0</v>
          </cell>
        </row>
        <row r="147">
          <cell r="B147">
            <v>145</v>
          </cell>
          <cell r="C147">
            <v>0</v>
          </cell>
          <cell r="D147" t="str">
            <v>DATABASE KARIYAWAN KARISMA (MACRO EXCEL) PAK YANTO</v>
          </cell>
          <cell r="E147" t="str">
            <v>koordinasi ulang untuk design dan penempatan database bulan januari minggu ke 1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 t="str">
            <v xml:space="preserve"> </v>
          </cell>
          <cell r="K147">
            <v>0</v>
          </cell>
          <cell r="L147">
            <v>0</v>
          </cell>
        </row>
        <row r="148">
          <cell r="B148">
            <v>146</v>
          </cell>
          <cell r="C148">
            <v>0</v>
          </cell>
          <cell r="D148" t="str">
            <v>Pending delivery</v>
          </cell>
          <cell r="E148" t="str">
            <v>koordinasi dengan no 143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 t="str">
            <v xml:space="preserve"> </v>
          </cell>
          <cell r="K148">
            <v>0</v>
          </cell>
          <cell r="L148">
            <v>0</v>
          </cell>
        </row>
        <row r="149">
          <cell r="B149">
            <v>147</v>
          </cell>
          <cell r="C149">
            <v>0</v>
          </cell>
          <cell r="D149" t="str">
            <v xml:space="preserve">tukar Posisi TV owner </v>
          </cell>
          <cell r="E149">
            <v>0</v>
          </cell>
          <cell r="F149">
            <v>0</v>
          </cell>
          <cell r="G149">
            <v>0</v>
          </cell>
          <cell r="H149">
            <v>44181</v>
          </cell>
          <cell r="I149">
            <v>44180</v>
          </cell>
          <cell r="J149" t="str">
            <v>Done</v>
          </cell>
          <cell r="K149">
            <v>0</v>
          </cell>
          <cell r="L149">
            <v>0</v>
          </cell>
        </row>
        <row r="150">
          <cell r="B150">
            <v>148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 t="str">
            <v xml:space="preserve"> </v>
          </cell>
          <cell r="K150">
            <v>0</v>
          </cell>
          <cell r="L150">
            <v>0</v>
          </cell>
        </row>
        <row r="151">
          <cell r="B151">
            <v>149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 t="str">
            <v xml:space="preserve"> </v>
          </cell>
          <cell r="K151">
            <v>0</v>
          </cell>
          <cell r="L151">
            <v>0</v>
          </cell>
        </row>
        <row r="152">
          <cell r="B152">
            <v>150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</row>
        <row r="153">
          <cell r="B153">
            <v>151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</row>
        <row r="154">
          <cell r="B154">
            <v>152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</row>
        <row r="155">
          <cell r="B155">
            <v>153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</row>
        <row r="156">
          <cell r="B156">
            <v>154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</row>
        <row r="157">
          <cell r="B157">
            <v>155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</row>
        <row r="158">
          <cell r="B158">
            <v>156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</row>
        <row r="159">
          <cell r="B159">
            <v>157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</row>
        <row r="160">
          <cell r="B160">
            <v>158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</row>
        <row r="161">
          <cell r="B161">
            <v>159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</row>
        <row r="162">
          <cell r="B162">
            <v>160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</row>
        <row r="163">
          <cell r="B163">
            <v>161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</row>
        <row r="164">
          <cell r="B164">
            <v>162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</row>
        <row r="165">
          <cell r="B165">
            <v>163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</row>
        <row r="166">
          <cell r="B166">
            <v>164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</row>
        <row r="167">
          <cell r="B167">
            <v>165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</row>
        <row r="168">
          <cell r="B168">
            <v>166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</row>
        <row r="169">
          <cell r="B169">
            <v>167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</row>
        <row r="170">
          <cell r="B170">
            <v>168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</row>
        <row r="171">
          <cell r="B171">
            <v>169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</row>
        <row r="172">
          <cell r="B172">
            <v>170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</row>
        <row r="173">
          <cell r="B173">
            <v>171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</row>
        <row r="174">
          <cell r="B174">
            <v>172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</row>
        <row r="175">
          <cell r="B175">
            <v>173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</row>
        <row r="176">
          <cell r="B176">
            <v>174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</row>
        <row r="177">
          <cell r="B177">
            <v>175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</row>
        <row r="178">
          <cell r="B178">
            <v>176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</row>
        <row r="179">
          <cell r="B179">
            <v>177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</row>
        <row r="180">
          <cell r="B180">
            <v>178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</row>
        <row r="181">
          <cell r="B181">
            <v>179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</row>
        <row r="182">
          <cell r="B182">
            <v>180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</row>
        <row r="183">
          <cell r="B183">
            <v>181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</row>
        <row r="184">
          <cell r="B184">
            <v>182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</row>
        <row r="185">
          <cell r="B185">
            <v>183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</row>
        <row r="186">
          <cell r="B186">
            <v>184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</row>
        <row r="187">
          <cell r="B187">
            <v>185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</row>
        <row r="188">
          <cell r="B188">
            <v>186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</row>
        <row r="189">
          <cell r="B189">
            <v>187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</row>
        <row r="190">
          <cell r="B190">
            <v>188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</row>
        <row r="191">
          <cell r="B191">
            <v>189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</row>
        <row r="192">
          <cell r="B192">
            <v>190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</row>
        <row r="193">
          <cell r="B193">
            <v>191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</row>
        <row r="194">
          <cell r="B194">
            <v>192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</row>
        <row r="195">
          <cell r="B195">
            <v>193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</row>
        <row r="196">
          <cell r="B196">
            <v>194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</row>
        <row r="197">
          <cell r="B197">
            <v>195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</row>
        <row r="198">
          <cell r="B198">
            <v>196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</row>
        <row r="199">
          <cell r="B199">
            <v>197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</row>
        <row r="200">
          <cell r="B200">
            <v>198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</row>
        <row r="201">
          <cell r="B201">
            <v>199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</row>
        <row r="202">
          <cell r="B202">
            <v>200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</row>
        <row r="203">
          <cell r="B203">
            <v>201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</row>
        <row r="204">
          <cell r="B204">
            <v>202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</row>
        <row r="205">
          <cell r="B205">
            <v>203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</row>
        <row r="206">
          <cell r="B206">
            <v>204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</row>
        <row r="207">
          <cell r="B207">
            <v>205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</row>
        <row r="208">
          <cell r="B208">
            <v>206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</row>
        <row r="209">
          <cell r="B209">
            <v>207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</row>
        <row r="210">
          <cell r="B210">
            <v>208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</row>
        <row r="211">
          <cell r="B211">
            <v>209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</row>
        <row r="212">
          <cell r="B212">
            <v>210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</row>
        <row r="213">
          <cell r="B213">
            <v>211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</row>
        <row r="214">
          <cell r="B214">
            <v>212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</row>
        <row r="215">
          <cell r="B215">
            <v>213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PI"/>
      <sheetName val="PROGRES TUGAS IT 2020"/>
      <sheetName val="Lampiran 1.1"/>
      <sheetName val="Lampiran 1.2"/>
      <sheetName val="Lampiran 1.3"/>
      <sheetName val="Lampiran 1.4"/>
      <sheetName val="Lampiran 1.41"/>
      <sheetName val="Lampiran 1.5"/>
      <sheetName val="Lampiran 1.6"/>
      <sheetName val="NILAIKPI"/>
      <sheetName val="BUKTI"/>
    </sheetNames>
    <sheetDataSet>
      <sheetData sheetId="0"/>
      <sheetData sheetId="1">
        <row r="3">
          <cell r="B3">
            <v>1</v>
          </cell>
          <cell r="C3" t="str">
            <v>B</v>
          </cell>
          <cell r="D3" t="str">
            <v>Backup pc gudang (hardisk penuh)</v>
          </cell>
          <cell r="E3">
            <v>0</v>
          </cell>
          <cell r="F3">
            <v>0</v>
          </cell>
          <cell r="G3">
            <v>0</v>
          </cell>
          <cell r="H3">
            <v>44037</v>
          </cell>
          <cell r="I3">
            <v>44030</v>
          </cell>
          <cell r="J3" t="str">
            <v>Done</v>
          </cell>
          <cell r="K3" t="str">
            <v>sudah ada</v>
          </cell>
          <cell r="L3" t="str">
            <v>sudah ada</v>
          </cell>
        </row>
        <row r="4">
          <cell r="B4">
            <v>2</v>
          </cell>
          <cell r="C4" t="str">
            <v>Up</v>
          </cell>
          <cell r="D4" t="str">
            <v>Update fasilitas dongle lot dan exp cabang</v>
          </cell>
          <cell r="E4">
            <v>0</v>
          </cell>
          <cell r="F4">
            <v>0</v>
          </cell>
          <cell r="G4">
            <v>0</v>
          </cell>
          <cell r="H4">
            <v>44054</v>
          </cell>
          <cell r="I4">
            <v>44033</v>
          </cell>
          <cell r="J4" t="str">
            <v>Done</v>
          </cell>
          <cell r="K4" t="str">
            <v>sudah ada</v>
          </cell>
          <cell r="L4" t="str">
            <v>sudah ada</v>
          </cell>
        </row>
        <row r="5">
          <cell r="B5">
            <v>3</v>
          </cell>
          <cell r="C5">
            <v>4</v>
          </cell>
          <cell r="D5" t="str">
            <v>Input lot dan exp Cabang</v>
          </cell>
          <cell r="E5">
            <v>0</v>
          </cell>
          <cell r="F5">
            <v>0</v>
          </cell>
          <cell r="G5">
            <v>0</v>
          </cell>
          <cell r="H5">
            <v>44083</v>
          </cell>
          <cell r="I5">
            <v>44044</v>
          </cell>
          <cell r="J5" t="str">
            <v>Done</v>
          </cell>
          <cell r="K5" t="str">
            <v>sudah ada</v>
          </cell>
          <cell r="L5" t="str">
            <v>sudah ada</v>
          </cell>
        </row>
        <row r="6">
          <cell r="B6">
            <v>4</v>
          </cell>
          <cell r="C6">
            <v>5</v>
          </cell>
          <cell r="D6" t="str">
            <v>Membuat SOP Perawatan Perangkat</v>
          </cell>
          <cell r="E6">
            <v>0</v>
          </cell>
          <cell r="F6">
            <v>0</v>
          </cell>
          <cell r="G6">
            <v>0</v>
          </cell>
          <cell r="H6">
            <v>44054</v>
          </cell>
          <cell r="I6">
            <v>44044</v>
          </cell>
          <cell r="J6" t="str">
            <v>Done</v>
          </cell>
          <cell r="K6" t="str">
            <v>sudah ada</v>
          </cell>
          <cell r="L6" t="str">
            <v>sudah ada</v>
          </cell>
        </row>
        <row r="7">
          <cell r="B7">
            <v>5</v>
          </cell>
          <cell r="C7">
            <v>6</v>
          </cell>
          <cell r="D7" t="str">
            <v>Perbaikan surat jalan ekspedisi digital</v>
          </cell>
          <cell r="E7">
            <v>0</v>
          </cell>
          <cell r="F7">
            <v>0</v>
          </cell>
          <cell r="G7">
            <v>0</v>
          </cell>
          <cell r="H7">
            <v>44019</v>
          </cell>
          <cell r="I7">
            <v>44013</v>
          </cell>
          <cell r="J7" t="str">
            <v>Done</v>
          </cell>
          <cell r="K7" t="str">
            <v>sudah ada</v>
          </cell>
          <cell r="L7" t="str">
            <v>sudah ada</v>
          </cell>
        </row>
        <row r="8">
          <cell r="B8">
            <v>6</v>
          </cell>
          <cell r="C8">
            <v>7</v>
          </cell>
          <cell r="D8" t="str">
            <v>Perbaikan Sales Tracking</v>
          </cell>
          <cell r="E8">
            <v>0</v>
          </cell>
          <cell r="F8">
            <v>0</v>
          </cell>
          <cell r="G8">
            <v>0</v>
          </cell>
          <cell r="H8">
            <v>44054</v>
          </cell>
          <cell r="I8">
            <v>44083</v>
          </cell>
          <cell r="J8" t="str">
            <v>Done</v>
          </cell>
          <cell r="K8" t="str">
            <v>sudah ada</v>
          </cell>
          <cell r="L8" t="str">
            <v>sudah ada</v>
          </cell>
        </row>
        <row r="9">
          <cell r="B9">
            <v>7</v>
          </cell>
          <cell r="C9">
            <v>8</v>
          </cell>
          <cell r="D9" t="str">
            <v>Pembuatan Design Laporan Zahir penjualan</v>
          </cell>
          <cell r="E9">
            <v>0</v>
          </cell>
          <cell r="F9">
            <v>0</v>
          </cell>
          <cell r="G9">
            <v>0</v>
          </cell>
          <cell r="H9">
            <v>43934</v>
          </cell>
          <cell r="I9">
            <v>43922</v>
          </cell>
          <cell r="J9" t="str">
            <v>Done</v>
          </cell>
          <cell r="K9" t="str">
            <v>sudah ada</v>
          </cell>
          <cell r="L9" t="str">
            <v>sudah ada</v>
          </cell>
        </row>
        <row r="10">
          <cell r="B10">
            <v>8</v>
          </cell>
          <cell r="C10">
            <v>9</v>
          </cell>
          <cell r="D10" t="str">
            <v>Pembuatan Design Laporan Zahir Lot Penjualan</v>
          </cell>
          <cell r="E10">
            <v>0</v>
          </cell>
          <cell r="F10">
            <v>0</v>
          </cell>
          <cell r="G10">
            <v>0</v>
          </cell>
          <cell r="H10">
            <v>43934</v>
          </cell>
          <cell r="I10">
            <v>43922</v>
          </cell>
          <cell r="J10" t="str">
            <v>Done</v>
          </cell>
          <cell r="K10" t="str">
            <v>sudah ada</v>
          </cell>
          <cell r="L10" t="str">
            <v>sudah ada</v>
          </cell>
        </row>
        <row r="11">
          <cell r="B11">
            <v>9</v>
          </cell>
          <cell r="C11">
            <v>10</v>
          </cell>
          <cell r="D11" t="str">
            <v>Pembuatan Design Laporan Zahir Lot Mutasi</v>
          </cell>
          <cell r="E11">
            <v>0</v>
          </cell>
          <cell r="F11">
            <v>0</v>
          </cell>
          <cell r="G11">
            <v>0</v>
          </cell>
          <cell r="H11">
            <v>44054</v>
          </cell>
          <cell r="I11">
            <v>44044</v>
          </cell>
          <cell r="J11" t="str">
            <v>Done</v>
          </cell>
          <cell r="K11" t="str">
            <v>sudah ada</v>
          </cell>
          <cell r="L11" t="str">
            <v>sudah ada</v>
          </cell>
        </row>
        <row r="12">
          <cell r="B12">
            <v>10</v>
          </cell>
          <cell r="C12">
            <v>11</v>
          </cell>
          <cell r="D12" t="str">
            <v>Pembuatan Program Pendukung ACC (mitra)</v>
          </cell>
          <cell r="E12">
            <v>0</v>
          </cell>
          <cell r="F12">
            <v>0</v>
          </cell>
          <cell r="G12">
            <v>0</v>
          </cell>
          <cell r="H12">
            <v>44026</v>
          </cell>
          <cell r="I12">
            <v>44003</v>
          </cell>
          <cell r="J12" t="str">
            <v>Done</v>
          </cell>
          <cell r="K12" t="str">
            <v>sudah ada</v>
          </cell>
          <cell r="L12" t="str">
            <v>sudah ada</v>
          </cell>
        </row>
        <row r="13">
          <cell r="B13">
            <v>11</v>
          </cell>
          <cell r="C13">
            <v>12</v>
          </cell>
          <cell r="D13" t="str">
            <v>Pembuatan Program Pendukung ACC (Fairin)</v>
          </cell>
          <cell r="E13">
            <v>0</v>
          </cell>
          <cell r="F13">
            <v>0</v>
          </cell>
          <cell r="G13">
            <v>0</v>
          </cell>
          <cell r="H13">
            <v>44026</v>
          </cell>
          <cell r="I13">
            <v>44003</v>
          </cell>
          <cell r="J13" t="str">
            <v>Done</v>
          </cell>
          <cell r="K13" t="str">
            <v>sudah ada</v>
          </cell>
          <cell r="L13" t="str">
            <v>sudah ada</v>
          </cell>
        </row>
        <row r="14">
          <cell r="B14">
            <v>12</v>
          </cell>
          <cell r="C14">
            <v>13</v>
          </cell>
          <cell r="D14" t="str">
            <v>Pembuatan Laporan Pemeblian Lot (pak supri)</v>
          </cell>
          <cell r="E14">
            <v>0</v>
          </cell>
          <cell r="F14">
            <v>0</v>
          </cell>
          <cell r="G14">
            <v>0</v>
          </cell>
          <cell r="H14">
            <v>43934</v>
          </cell>
          <cell r="I14">
            <v>43923</v>
          </cell>
          <cell r="J14" t="str">
            <v>Done</v>
          </cell>
          <cell r="K14" t="str">
            <v>sudah ada</v>
          </cell>
          <cell r="L14" t="str">
            <v>sudah ada</v>
          </cell>
        </row>
        <row r="15">
          <cell r="B15">
            <v>13</v>
          </cell>
          <cell r="C15">
            <v>14</v>
          </cell>
          <cell r="D15" t="str">
            <v>Perubahan Jalur Jaringan untuk Ruang Direktur</v>
          </cell>
          <cell r="E15">
            <v>0</v>
          </cell>
          <cell r="F15">
            <v>0</v>
          </cell>
          <cell r="G15">
            <v>0</v>
          </cell>
          <cell r="H15">
            <v>44054</v>
          </cell>
          <cell r="I15">
            <v>44013</v>
          </cell>
          <cell r="J15" t="str">
            <v>Done</v>
          </cell>
          <cell r="K15" t="str">
            <v>sudah ada</v>
          </cell>
          <cell r="L15" t="str">
            <v>sudah ada</v>
          </cell>
        </row>
        <row r="16">
          <cell r="B16">
            <v>14</v>
          </cell>
          <cell r="C16">
            <v>15</v>
          </cell>
          <cell r="D16" t="str">
            <v>Perbaikan Jalur CCTV Belakang Gudang</v>
          </cell>
          <cell r="E16">
            <v>0</v>
          </cell>
          <cell r="F16">
            <v>0</v>
          </cell>
          <cell r="G16">
            <v>0</v>
          </cell>
          <cell r="H16">
            <v>44054</v>
          </cell>
          <cell r="I16">
            <v>44013</v>
          </cell>
          <cell r="J16" t="str">
            <v>Done</v>
          </cell>
          <cell r="K16" t="str">
            <v>sudah ada</v>
          </cell>
          <cell r="L16" t="str">
            <v>sudah ada</v>
          </cell>
        </row>
        <row r="17">
          <cell r="B17">
            <v>15</v>
          </cell>
          <cell r="C17">
            <v>16</v>
          </cell>
          <cell r="D17" t="str">
            <v>Pembuatan Script untuk penjualan (lot)</v>
          </cell>
          <cell r="E17">
            <v>0</v>
          </cell>
          <cell r="F17">
            <v>0</v>
          </cell>
          <cell r="G17">
            <v>0</v>
          </cell>
          <cell r="H17">
            <v>44054</v>
          </cell>
          <cell r="I17">
            <v>44039</v>
          </cell>
          <cell r="J17" t="str">
            <v>Done</v>
          </cell>
          <cell r="K17" t="str">
            <v>sudah ada</v>
          </cell>
          <cell r="L17" t="str">
            <v>sudah ada</v>
          </cell>
        </row>
        <row r="18">
          <cell r="B18">
            <v>16</v>
          </cell>
          <cell r="C18">
            <v>17</v>
          </cell>
          <cell r="D18" t="str">
            <v>Pembuatan Script untuk pembelian (lot)</v>
          </cell>
          <cell r="E18">
            <v>0</v>
          </cell>
          <cell r="F18">
            <v>0</v>
          </cell>
          <cell r="G18">
            <v>0</v>
          </cell>
          <cell r="H18">
            <v>44054</v>
          </cell>
          <cell r="I18">
            <v>44039</v>
          </cell>
          <cell r="J18" t="str">
            <v>Done</v>
          </cell>
          <cell r="K18" t="str">
            <v>sudah ada</v>
          </cell>
          <cell r="L18" t="str">
            <v>sudah ada</v>
          </cell>
        </row>
        <row r="19">
          <cell r="B19">
            <v>17</v>
          </cell>
          <cell r="C19">
            <v>18</v>
          </cell>
          <cell r="D19" t="str">
            <v>Pembuatan Script untuk Mutasi (lot)</v>
          </cell>
          <cell r="E19">
            <v>0</v>
          </cell>
          <cell r="F19">
            <v>0</v>
          </cell>
          <cell r="G19">
            <v>0</v>
          </cell>
          <cell r="H19">
            <v>44054</v>
          </cell>
          <cell r="I19">
            <v>44038</v>
          </cell>
          <cell r="J19" t="str">
            <v>Done</v>
          </cell>
          <cell r="K19" t="str">
            <v>sudah ada</v>
          </cell>
          <cell r="L19" t="str">
            <v>sudah ada</v>
          </cell>
        </row>
        <row r="20">
          <cell r="B20">
            <v>29</v>
          </cell>
          <cell r="C20">
            <v>0</v>
          </cell>
          <cell r="D20" t="str">
            <v>log call hp kantor</v>
          </cell>
          <cell r="E20">
            <v>0</v>
          </cell>
          <cell r="F20">
            <v>0</v>
          </cell>
          <cell r="G20">
            <v>0</v>
          </cell>
          <cell r="H20">
            <v>44136</v>
          </cell>
          <cell r="I20">
            <v>44129</v>
          </cell>
          <cell r="J20" t="str">
            <v>Done</v>
          </cell>
          <cell r="K20" t="str">
            <v>sudah ada</v>
          </cell>
          <cell r="L20" t="str">
            <v>sudah ada</v>
          </cell>
        </row>
        <row r="21">
          <cell r="B21">
            <v>19</v>
          </cell>
          <cell r="C21">
            <v>20</v>
          </cell>
          <cell r="D21" t="str">
            <v>Pembuatan Jalur Jaringan untuk Team Keuangan 2</v>
          </cell>
          <cell r="E21">
            <v>0</v>
          </cell>
          <cell r="F21">
            <v>0</v>
          </cell>
          <cell r="G21">
            <v>0</v>
          </cell>
          <cell r="H21">
            <v>44083</v>
          </cell>
          <cell r="I21">
            <v>44075</v>
          </cell>
          <cell r="J21" t="str">
            <v>Done</v>
          </cell>
          <cell r="K21" t="str">
            <v>sudah ada</v>
          </cell>
          <cell r="L21" t="str">
            <v>sudah ada</v>
          </cell>
        </row>
        <row r="22">
          <cell r="B22">
            <v>22</v>
          </cell>
          <cell r="C22">
            <v>23</v>
          </cell>
          <cell r="D22" t="str">
            <v>Pembuatan Multiprice / trial multiprice</v>
          </cell>
          <cell r="E22">
            <v>0</v>
          </cell>
          <cell r="F22">
            <v>0</v>
          </cell>
          <cell r="G22">
            <v>0</v>
          </cell>
          <cell r="H22">
            <v>44151</v>
          </cell>
          <cell r="I22">
            <v>44134</v>
          </cell>
          <cell r="J22" t="str">
            <v>Done</v>
          </cell>
          <cell r="K22" t="str">
            <v>sudah ada</v>
          </cell>
          <cell r="L22" t="str">
            <v>sudah ada</v>
          </cell>
        </row>
        <row r="23">
          <cell r="B23">
            <v>74</v>
          </cell>
          <cell r="C23">
            <v>0</v>
          </cell>
          <cell r="D23" t="str">
            <v>AJAGU51Jagung DK 959 20 X 1 Kg (Bisi) Maintenance LOTSUPPLIER</v>
          </cell>
          <cell r="E23">
            <v>0</v>
          </cell>
          <cell r="F23">
            <v>0</v>
          </cell>
          <cell r="G23">
            <v>0</v>
          </cell>
          <cell r="H23">
            <v>44137</v>
          </cell>
          <cell r="I23">
            <v>44137</v>
          </cell>
          <cell r="J23" t="str">
            <v>Done</v>
          </cell>
          <cell r="K23" t="str">
            <v>sudah ada</v>
          </cell>
          <cell r="L23" t="str">
            <v>sudah ada</v>
          </cell>
        </row>
        <row r="24">
          <cell r="B24">
            <v>75</v>
          </cell>
          <cell r="C24">
            <v>0</v>
          </cell>
          <cell r="D24" t="str">
            <v>QJAGU40Jagung DK 959 20 X 1 Kg (Bisi) Maintenance LOTTITIPAN</v>
          </cell>
          <cell r="E24">
            <v>0</v>
          </cell>
          <cell r="F24">
            <v>0</v>
          </cell>
          <cell r="G24">
            <v>0</v>
          </cell>
          <cell r="H24">
            <v>44137</v>
          </cell>
          <cell r="I24">
            <v>44137</v>
          </cell>
          <cell r="J24" t="str">
            <v>Done</v>
          </cell>
          <cell r="K24" t="str">
            <v>sudah ada</v>
          </cell>
          <cell r="L24" t="str">
            <v>sudah ada</v>
          </cell>
        </row>
        <row r="25">
          <cell r="B25">
            <v>76</v>
          </cell>
          <cell r="C25">
            <v>0</v>
          </cell>
          <cell r="D25" t="str">
            <v>AJAGU51Jagung DK 959 20 X 1 Kg (Bisi) Maintenance LOTSUPPLIER</v>
          </cell>
          <cell r="E25">
            <v>0</v>
          </cell>
          <cell r="F25">
            <v>0</v>
          </cell>
          <cell r="G25">
            <v>0</v>
          </cell>
          <cell r="H25">
            <v>44137</v>
          </cell>
          <cell r="I25">
            <v>44137</v>
          </cell>
          <cell r="J25" t="str">
            <v>Done</v>
          </cell>
          <cell r="K25" t="str">
            <v>sudah ada</v>
          </cell>
          <cell r="L25" t="str">
            <v>sudah ada</v>
          </cell>
        </row>
        <row r="26">
          <cell r="B26">
            <v>77</v>
          </cell>
          <cell r="C26">
            <v>0</v>
          </cell>
          <cell r="D26" t="str">
            <v>QJAGU40Jagung DK 959 20 X 1 Kg (Bisi) Maintenance LOTAJUNG BISI 2</v>
          </cell>
          <cell r="E26">
            <v>0</v>
          </cell>
          <cell r="F26">
            <v>0</v>
          </cell>
          <cell r="G26">
            <v>0</v>
          </cell>
          <cell r="H26">
            <v>44137</v>
          </cell>
          <cell r="I26">
            <v>44137</v>
          </cell>
          <cell r="J26" t="str">
            <v>Done</v>
          </cell>
          <cell r="K26" t="str">
            <v>sudah ada</v>
          </cell>
          <cell r="L26" t="str">
            <v>sudah ada</v>
          </cell>
        </row>
        <row r="27">
          <cell r="B27">
            <v>28</v>
          </cell>
          <cell r="C27">
            <v>0</v>
          </cell>
          <cell r="D27" t="str">
            <v>INSTALL ULANG OS DAN PENATAAN ULANG HD LOW SPACE . SETTING ULANG JARINGAN DAN DATABASE . PENGGANTIAN NAMA PC (BARCODE MENJADI KIUGUDANG)</v>
          </cell>
          <cell r="E27">
            <v>0</v>
          </cell>
          <cell r="F27">
            <v>0</v>
          </cell>
          <cell r="G27">
            <v>0</v>
          </cell>
          <cell r="H27">
            <v>44142</v>
          </cell>
          <cell r="I27">
            <v>44139</v>
          </cell>
          <cell r="J27" t="str">
            <v>Done</v>
          </cell>
          <cell r="K27" t="str">
            <v>sudah ada</v>
          </cell>
          <cell r="L27" t="str">
            <v>sudah ada</v>
          </cell>
        </row>
        <row r="28">
          <cell r="B28">
            <v>30</v>
          </cell>
          <cell r="C28">
            <v>0</v>
          </cell>
          <cell r="D28" t="str">
            <v>Install ulang OS Dan Install applikasi Standart Karisma untuk Sales Analys</v>
          </cell>
          <cell r="E28">
            <v>0</v>
          </cell>
          <cell r="F28">
            <v>0</v>
          </cell>
          <cell r="G28">
            <v>0</v>
          </cell>
          <cell r="H28">
            <v>44141</v>
          </cell>
          <cell r="I28">
            <v>44139</v>
          </cell>
          <cell r="J28" t="str">
            <v>Done</v>
          </cell>
          <cell r="K28" t="str">
            <v>sudah ada</v>
          </cell>
          <cell r="L28" t="str">
            <v>sudah ada</v>
          </cell>
        </row>
        <row r="29">
          <cell r="B29">
            <v>78</v>
          </cell>
          <cell r="C29">
            <v>0</v>
          </cell>
          <cell r="D29" t="str">
            <v>AJAGU39Jagung Pertiwi 6 20 X 1 Kg Maintenance LOTSUPPLIER</v>
          </cell>
          <cell r="E29">
            <v>0</v>
          </cell>
          <cell r="F29">
            <v>0</v>
          </cell>
          <cell r="G29">
            <v>0</v>
          </cell>
          <cell r="H29">
            <v>44139</v>
          </cell>
          <cell r="I29">
            <v>44139</v>
          </cell>
          <cell r="J29" t="str">
            <v>Done</v>
          </cell>
          <cell r="K29" t="str">
            <v>sudah ada</v>
          </cell>
          <cell r="L29" t="str">
            <v>sudah ada</v>
          </cell>
        </row>
        <row r="30">
          <cell r="B30">
            <v>79</v>
          </cell>
          <cell r="C30">
            <v>0</v>
          </cell>
          <cell r="D30" t="str">
            <v>QJAGU25Jagung Pertiwi 6 20 X 1 Kg Maintenance LOTINDUK</v>
          </cell>
          <cell r="E30">
            <v>0</v>
          </cell>
          <cell r="F30">
            <v>0</v>
          </cell>
          <cell r="G30">
            <v>0</v>
          </cell>
          <cell r="H30">
            <v>44139</v>
          </cell>
          <cell r="I30">
            <v>44139</v>
          </cell>
          <cell r="J30" t="str">
            <v>Done</v>
          </cell>
          <cell r="K30" t="str">
            <v>sudah ada</v>
          </cell>
          <cell r="L30" t="str">
            <v>sudah ada</v>
          </cell>
        </row>
        <row r="31">
          <cell r="B31">
            <v>80</v>
          </cell>
          <cell r="C31">
            <v>0</v>
          </cell>
          <cell r="D31" t="str">
            <v>QAKAL02Akalis 550 SC 20 X 500 ml Maintenance LOTINDUK</v>
          </cell>
          <cell r="E31">
            <v>0</v>
          </cell>
          <cell r="F31">
            <v>0</v>
          </cell>
          <cell r="G31">
            <v>0</v>
          </cell>
          <cell r="H31">
            <v>44139</v>
          </cell>
          <cell r="I31">
            <v>44139</v>
          </cell>
          <cell r="J31" t="str">
            <v>Done</v>
          </cell>
          <cell r="K31" t="str">
            <v>sudah ada</v>
          </cell>
          <cell r="L31" t="str">
            <v>sudah ada</v>
          </cell>
        </row>
        <row r="32">
          <cell r="B32">
            <v>81</v>
          </cell>
          <cell r="C32">
            <v>0</v>
          </cell>
          <cell r="D32" t="str">
            <v>QATHO01Athos 240 SC 100 X 100 ml Maintenance LOTINDUK</v>
          </cell>
          <cell r="E32">
            <v>0</v>
          </cell>
          <cell r="F32">
            <v>0</v>
          </cell>
          <cell r="G32">
            <v>0</v>
          </cell>
          <cell r="H32">
            <v>44139</v>
          </cell>
          <cell r="I32">
            <v>44139</v>
          </cell>
          <cell r="J32" t="str">
            <v>Done</v>
          </cell>
          <cell r="K32" t="str">
            <v>sudah ada</v>
          </cell>
          <cell r="L32" t="str">
            <v>sudah ada</v>
          </cell>
        </row>
        <row r="33">
          <cell r="B33">
            <v>82</v>
          </cell>
          <cell r="C33">
            <v>0</v>
          </cell>
          <cell r="D33" t="str">
            <v>QRIMO01 Rimon Fast 100 SC 100 X 100 ml Maintenance LOT SUPPLIER</v>
          </cell>
          <cell r="E33">
            <v>0</v>
          </cell>
          <cell r="F33">
            <v>0</v>
          </cell>
          <cell r="G33">
            <v>0</v>
          </cell>
          <cell r="H33">
            <v>44139</v>
          </cell>
          <cell r="I33">
            <v>44139</v>
          </cell>
          <cell r="J33" t="str">
            <v>Done</v>
          </cell>
          <cell r="K33" t="str">
            <v>sudah ada</v>
          </cell>
          <cell r="L33" t="str">
            <v>sudah ada</v>
          </cell>
        </row>
        <row r="34">
          <cell r="B34">
            <v>31</v>
          </cell>
          <cell r="C34">
            <v>0</v>
          </cell>
          <cell r="D34" t="str">
            <v>Topida 25 WP 100 X 100 gr (GDG Suplier) ATOPI01 Maintenance LOT</v>
          </cell>
          <cell r="E34">
            <v>0</v>
          </cell>
          <cell r="F34">
            <v>0</v>
          </cell>
          <cell r="G34">
            <v>0</v>
          </cell>
          <cell r="H34">
            <v>44105</v>
          </cell>
          <cell r="I34">
            <v>44105</v>
          </cell>
          <cell r="J34" t="str">
            <v>Done</v>
          </cell>
          <cell r="K34" t="str">
            <v>sudah ada</v>
          </cell>
          <cell r="L34">
            <v>0</v>
          </cell>
        </row>
        <row r="35">
          <cell r="B35">
            <v>32</v>
          </cell>
          <cell r="C35">
            <v>0</v>
          </cell>
          <cell r="D35" t="str">
            <v>Karimazu 590 EC 25 X 400 ml (GDG Suplier) QKARI06 AKARI08 Maintenance LOT</v>
          </cell>
          <cell r="E35">
            <v>0</v>
          </cell>
          <cell r="F35">
            <v>0</v>
          </cell>
          <cell r="G35">
            <v>0</v>
          </cell>
          <cell r="H35">
            <v>44107</v>
          </cell>
          <cell r="I35">
            <v>44107</v>
          </cell>
          <cell r="J35" t="str">
            <v>Done</v>
          </cell>
          <cell r="K35" t="str">
            <v>sudah ada</v>
          </cell>
          <cell r="L35">
            <v>0</v>
          </cell>
        </row>
        <row r="36">
          <cell r="B36">
            <v>33</v>
          </cell>
          <cell r="C36">
            <v>0</v>
          </cell>
          <cell r="D36" t="str">
            <v>Jagung DK 771 20 X 1 kg (Bisi)  Gdg. Supplier  AJAGU52 QJAGU42 Maintenance LOT</v>
          </cell>
          <cell r="E36">
            <v>0</v>
          </cell>
          <cell r="F36">
            <v>0</v>
          </cell>
          <cell r="G36">
            <v>0</v>
          </cell>
          <cell r="H36">
            <v>44110</v>
          </cell>
          <cell r="I36">
            <v>44110</v>
          </cell>
          <cell r="J36" t="str">
            <v>Done</v>
          </cell>
          <cell r="K36" t="str">
            <v>sudah ada</v>
          </cell>
          <cell r="L36">
            <v>0</v>
          </cell>
        </row>
        <row r="37">
          <cell r="B37">
            <v>34</v>
          </cell>
          <cell r="C37">
            <v>0</v>
          </cell>
          <cell r="D37" t="str">
            <v>Jagung Bisi 18 20 X 1 kg Gdg. Supplier AJAGU03 Maintenance LOT</v>
          </cell>
          <cell r="E37">
            <v>0</v>
          </cell>
          <cell r="F37">
            <v>0</v>
          </cell>
          <cell r="G37">
            <v>0</v>
          </cell>
          <cell r="H37">
            <v>44110</v>
          </cell>
          <cell r="I37">
            <v>44110</v>
          </cell>
          <cell r="J37" t="str">
            <v>Done</v>
          </cell>
          <cell r="K37" t="str">
            <v>sudah ada</v>
          </cell>
          <cell r="L37">
            <v>0</v>
          </cell>
        </row>
        <row r="38">
          <cell r="B38">
            <v>35</v>
          </cell>
          <cell r="C38">
            <v>0</v>
          </cell>
          <cell r="D38" t="str">
            <v>Jagung Bisi 18 20 X 1 kg Gdg. Expired QJAGU03 Maintenance LOT</v>
          </cell>
          <cell r="E38">
            <v>0</v>
          </cell>
          <cell r="F38">
            <v>0</v>
          </cell>
          <cell r="G38">
            <v>0</v>
          </cell>
          <cell r="H38">
            <v>44110</v>
          </cell>
          <cell r="I38">
            <v>44110</v>
          </cell>
          <cell r="J38" t="str">
            <v>Done</v>
          </cell>
          <cell r="K38" t="str">
            <v>sudah ada</v>
          </cell>
          <cell r="L38">
            <v>0</v>
          </cell>
        </row>
        <row r="39">
          <cell r="B39">
            <v>36</v>
          </cell>
          <cell r="C39">
            <v>0</v>
          </cell>
          <cell r="D39" t="str">
            <v>Emacel 30 EC 20 X 500 ml (GDG Supplier) QEMAC03 Maintenance LOT</v>
          </cell>
          <cell r="E39">
            <v>0</v>
          </cell>
          <cell r="F39">
            <v>0</v>
          </cell>
          <cell r="G39">
            <v>0</v>
          </cell>
          <cell r="H39">
            <v>44113</v>
          </cell>
          <cell r="I39">
            <v>44113</v>
          </cell>
          <cell r="J39" t="str">
            <v>Done</v>
          </cell>
          <cell r="K39" t="str">
            <v>sudah ada</v>
          </cell>
          <cell r="L39">
            <v>0</v>
          </cell>
        </row>
        <row r="40">
          <cell r="B40">
            <v>37</v>
          </cell>
          <cell r="C40">
            <v>0</v>
          </cell>
          <cell r="D40" t="str">
            <v>Padi Janger Inpari-32 4 x 5 kg (GDG Supplier) Maintenance LOT</v>
          </cell>
          <cell r="E40">
            <v>0</v>
          </cell>
          <cell r="F40">
            <v>0</v>
          </cell>
          <cell r="G40">
            <v>0</v>
          </cell>
          <cell r="H40">
            <v>44117</v>
          </cell>
          <cell r="I40">
            <v>44117</v>
          </cell>
          <cell r="J40" t="str">
            <v>Done</v>
          </cell>
          <cell r="K40" t="str">
            <v>sudah ada</v>
          </cell>
          <cell r="L40">
            <v>0</v>
          </cell>
        </row>
        <row r="41">
          <cell r="B41">
            <v>38</v>
          </cell>
          <cell r="C41">
            <v>0</v>
          </cell>
          <cell r="D41" t="str">
            <v>Padi Janger Ciherang 4 x 5 kg (GDG Supplier) Maintenance LOT</v>
          </cell>
          <cell r="E41">
            <v>0</v>
          </cell>
          <cell r="F41">
            <v>0</v>
          </cell>
          <cell r="G41">
            <v>0</v>
          </cell>
          <cell r="H41">
            <v>44117</v>
          </cell>
          <cell r="I41">
            <v>44117</v>
          </cell>
          <cell r="J41" t="str">
            <v>Done</v>
          </cell>
          <cell r="K41" t="str">
            <v>sudah ada</v>
          </cell>
          <cell r="L41">
            <v>0</v>
          </cell>
        </row>
        <row r="42">
          <cell r="B42">
            <v>39</v>
          </cell>
          <cell r="C42">
            <v>0</v>
          </cell>
          <cell r="D42" t="str">
            <v>Padi Janger Logawa 4 x 5 kg (GDG Supplier) Maintenance LOT</v>
          </cell>
          <cell r="E42">
            <v>0</v>
          </cell>
          <cell r="F42">
            <v>0</v>
          </cell>
          <cell r="G42">
            <v>0</v>
          </cell>
          <cell r="H42">
            <v>44117</v>
          </cell>
          <cell r="I42">
            <v>44117</v>
          </cell>
          <cell r="J42" t="str">
            <v>Done</v>
          </cell>
          <cell r="K42" t="str">
            <v>sudah ada</v>
          </cell>
          <cell r="L42">
            <v>0</v>
          </cell>
        </row>
        <row r="43">
          <cell r="B43">
            <v>40</v>
          </cell>
          <cell r="C43">
            <v>0</v>
          </cell>
          <cell r="D43" t="str">
            <v>Jagung DK 959 20 X 1 Kg (Bisi) AJAGU51 Maintenance LOT</v>
          </cell>
          <cell r="E43">
            <v>0</v>
          </cell>
          <cell r="F43">
            <v>0</v>
          </cell>
          <cell r="G43">
            <v>0</v>
          </cell>
          <cell r="H43">
            <v>44118</v>
          </cell>
          <cell r="I43">
            <v>44118</v>
          </cell>
          <cell r="J43" t="str">
            <v>Done</v>
          </cell>
          <cell r="K43" t="str">
            <v>sudah ada</v>
          </cell>
          <cell r="L43">
            <v>0</v>
          </cell>
        </row>
        <row r="44">
          <cell r="B44">
            <v>41</v>
          </cell>
          <cell r="C44">
            <v>0</v>
          </cell>
          <cell r="D44" t="str">
            <v>Jagung DK 959 20 X 1 Kg (Bisi) QJAGU40 Maintenance LOT</v>
          </cell>
          <cell r="E44">
            <v>0</v>
          </cell>
          <cell r="F44">
            <v>0</v>
          </cell>
          <cell r="G44">
            <v>0</v>
          </cell>
          <cell r="H44">
            <v>44118</v>
          </cell>
          <cell r="I44">
            <v>44118</v>
          </cell>
          <cell r="J44" t="str">
            <v>Done</v>
          </cell>
          <cell r="K44" t="str">
            <v>sudah ada</v>
          </cell>
          <cell r="L44">
            <v>0</v>
          </cell>
        </row>
        <row r="45">
          <cell r="B45">
            <v>42</v>
          </cell>
          <cell r="C45">
            <v>0</v>
          </cell>
          <cell r="D45" t="str">
            <v>Ludes 50 EC 30 X 250 ml QLUDE02 Maintenance LOT</v>
          </cell>
          <cell r="E45">
            <v>0</v>
          </cell>
          <cell r="F45">
            <v>0</v>
          </cell>
          <cell r="G45">
            <v>0</v>
          </cell>
          <cell r="H45">
            <v>44120</v>
          </cell>
          <cell r="I45">
            <v>44120</v>
          </cell>
          <cell r="J45" t="str">
            <v>Done</v>
          </cell>
          <cell r="K45" t="str">
            <v>sudah ada</v>
          </cell>
          <cell r="L45">
            <v>0</v>
          </cell>
        </row>
        <row r="46">
          <cell r="B46">
            <v>43</v>
          </cell>
          <cell r="C46">
            <v>0</v>
          </cell>
          <cell r="D46" t="str">
            <v>GG Bunga 50 X 100 ml QGOLD09 (GDG SUPPLIER) Maintenance LOT</v>
          </cell>
          <cell r="E46">
            <v>0</v>
          </cell>
          <cell r="F46">
            <v>0</v>
          </cell>
          <cell r="G46">
            <v>0</v>
          </cell>
          <cell r="H46">
            <v>44120</v>
          </cell>
          <cell r="I46">
            <v>44120</v>
          </cell>
          <cell r="J46" t="str">
            <v>Done</v>
          </cell>
          <cell r="K46" t="str">
            <v>sudah ada</v>
          </cell>
          <cell r="L46">
            <v>0</v>
          </cell>
        </row>
        <row r="47">
          <cell r="B47">
            <v>44</v>
          </cell>
          <cell r="C47">
            <v>0</v>
          </cell>
          <cell r="D47" t="str">
            <v>GG Daun 50 X 100 ml (M2U) QGOLD10 (GDG SUPPLIER) Maintenance LOT</v>
          </cell>
          <cell r="E47">
            <v>0</v>
          </cell>
          <cell r="F47">
            <v>0</v>
          </cell>
          <cell r="G47">
            <v>0</v>
          </cell>
          <cell r="H47">
            <v>44120</v>
          </cell>
          <cell r="I47">
            <v>44120</v>
          </cell>
          <cell r="J47" t="str">
            <v>Done</v>
          </cell>
          <cell r="K47" t="str">
            <v>sudah ada</v>
          </cell>
          <cell r="L47">
            <v>0</v>
          </cell>
        </row>
        <row r="48">
          <cell r="B48">
            <v>45</v>
          </cell>
          <cell r="C48">
            <v>0</v>
          </cell>
          <cell r="D48" t="str">
            <v>Aneto 50 EC 30 X 500 ml + Neptune 8 gr (M2U) QANET07  (GDG SUPPLIER) Maintenance LOT</v>
          </cell>
          <cell r="E48">
            <v>0</v>
          </cell>
          <cell r="F48">
            <v>0</v>
          </cell>
          <cell r="G48">
            <v>0</v>
          </cell>
          <cell r="H48">
            <v>44120</v>
          </cell>
          <cell r="I48">
            <v>44120</v>
          </cell>
          <cell r="J48" t="str">
            <v>Done</v>
          </cell>
          <cell r="K48" t="str">
            <v>sudah ada</v>
          </cell>
          <cell r="L48">
            <v>0</v>
          </cell>
        </row>
        <row r="49">
          <cell r="B49">
            <v>46</v>
          </cell>
          <cell r="C49">
            <v>0</v>
          </cell>
          <cell r="D49" t="str">
            <v>SG.05 200 X 100 gr (M2U) QSG0502 (GDG Supplier)</v>
          </cell>
          <cell r="E49">
            <v>0</v>
          </cell>
          <cell r="F49">
            <v>0</v>
          </cell>
          <cell r="G49">
            <v>0</v>
          </cell>
          <cell r="H49">
            <v>44123</v>
          </cell>
          <cell r="I49">
            <v>44123</v>
          </cell>
          <cell r="J49" t="str">
            <v>Done</v>
          </cell>
          <cell r="K49" t="str">
            <v>sudah ada</v>
          </cell>
          <cell r="L49">
            <v>0</v>
          </cell>
        </row>
        <row r="50">
          <cell r="B50">
            <v>47</v>
          </cell>
          <cell r="C50">
            <v>0</v>
          </cell>
          <cell r="D50" t="str">
            <v>Japra 400 SE 20 X 1 ltr (M2U) QJAPR03 (GDG Supplier)</v>
          </cell>
          <cell r="E50">
            <v>0</v>
          </cell>
          <cell r="F50">
            <v>0</v>
          </cell>
          <cell r="G50">
            <v>0</v>
          </cell>
          <cell r="H50">
            <v>44123</v>
          </cell>
          <cell r="I50">
            <v>44123</v>
          </cell>
          <cell r="J50" t="str">
            <v>Done</v>
          </cell>
          <cell r="K50" t="str">
            <v>sudah ada</v>
          </cell>
          <cell r="L50">
            <v>0</v>
          </cell>
        </row>
        <row r="51">
          <cell r="B51">
            <v>48</v>
          </cell>
          <cell r="C51">
            <v>0</v>
          </cell>
          <cell r="D51" t="str">
            <v>Neptune 25 WP 50 X 50 gr QNEPT01 (GDG Supplier)</v>
          </cell>
          <cell r="E51">
            <v>0</v>
          </cell>
          <cell r="F51">
            <v>0</v>
          </cell>
          <cell r="G51">
            <v>0</v>
          </cell>
          <cell r="H51">
            <v>44123</v>
          </cell>
          <cell r="I51">
            <v>44123</v>
          </cell>
          <cell r="J51" t="str">
            <v>Done</v>
          </cell>
          <cell r="K51" t="str">
            <v>sudah ada</v>
          </cell>
          <cell r="L51">
            <v>0</v>
          </cell>
        </row>
        <row r="52">
          <cell r="B52">
            <v>49</v>
          </cell>
          <cell r="C52">
            <v>0</v>
          </cell>
          <cell r="D52" t="str">
            <v>Gerbera 100 EC 40 X 200 ml QGERB01 (GDG Supplier)</v>
          </cell>
          <cell r="E52">
            <v>0</v>
          </cell>
          <cell r="F52">
            <v>0</v>
          </cell>
          <cell r="G52">
            <v>0</v>
          </cell>
          <cell r="H52">
            <v>44123</v>
          </cell>
          <cell r="I52">
            <v>44123</v>
          </cell>
          <cell r="J52" t="str">
            <v>Done</v>
          </cell>
          <cell r="K52" t="str">
            <v>sudah ada</v>
          </cell>
          <cell r="L52">
            <v>0</v>
          </cell>
        </row>
        <row r="53">
          <cell r="B53">
            <v>50</v>
          </cell>
          <cell r="C53">
            <v>0</v>
          </cell>
          <cell r="D53" t="str">
            <v>Gerbera 100 EC 20 X 500 ml QGERB02 (GDG Supplier)</v>
          </cell>
          <cell r="E53">
            <v>0</v>
          </cell>
          <cell r="F53">
            <v>0</v>
          </cell>
          <cell r="G53">
            <v>0</v>
          </cell>
          <cell r="H53">
            <v>44123</v>
          </cell>
          <cell r="I53">
            <v>44123</v>
          </cell>
          <cell r="J53" t="str">
            <v>Done</v>
          </cell>
          <cell r="K53" t="str">
            <v>sudah ada</v>
          </cell>
          <cell r="L53">
            <v>0</v>
          </cell>
        </row>
        <row r="54">
          <cell r="B54">
            <v>51</v>
          </cell>
          <cell r="C54">
            <v>0</v>
          </cell>
          <cell r="D54" t="str">
            <v>Bernas 250 EC 50 X 250 ml (M2U) QBERN03 (GDG Supplier)</v>
          </cell>
          <cell r="E54">
            <v>0</v>
          </cell>
          <cell r="F54">
            <v>0</v>
          </cell>
          <cell r="G54">
            <v>0</v>
          </cell>
          <cell r="H54">
            <v>44123</v>
          </cell>
          <cell r="I54">
            <v>44123</v>
          </cell>
          <cell r="J54" t="str">
            <v>Done</v>
          </cell>
          <cell r="K54" t="str">
            <v>sudah ada</v>
          </cell>
          <cell r="L54">
            <v>0</v>
          </cell>
        </row>
        <row r="55">
          <cell r="B55">
            <v>52</v>
          </cell>
          <cell r="C55">
            <v>0</v>
          </cell>
          <cell r="D55" t="str">
            <v>Bernas 250 EC 50 X 100 ml (M2U) QBERN04 (GDG Supplier)</v>
          </cell>
          <cell r="E55">
            <v>0</v>
          </cell>
          <cell r="F55">
            <v>0</v>
          </cell>
          <cell r="G55">
            <v>0</v>
          </cell>
          <cell r="H55">
            <v>44123</v>
          </cell>
          <cell r="I55">
            <v>44123</v>
          </cell>
          <cell r="J55" t="str">
            <v>Done</v>
          </cell>
          <cell r="K55" t="str">
            <v>sudah ada</v>
          </cell>
          <cell r="L55">
            <v>0</v>
          </cell>
        </row>
        <row r="56">
          <cell r="B56">
            <v>53</v>
          </cell>
          <cell r="C56">
            <v>0</v>
          </cell>
          <cell r="D56" t="str">
            <v>Aneto 50 EC 50 X 100 ml (M2U) QANET04 (GDG Supplier)</v>
          </cell>
          <cell r="E56">
            <v>0</v>
          </cell>
          <cell r="F56">
            <v>0</v>
          </cell>
          <cell r="G56">
            <v>0</v>
          </cell>
          <cell r="H56">
            <v>44123</v>
          </cell>
          <cell r="I56">
            <v>44123</v>
          </cell>
          <cell r="J56" t="str">
            <v>Done</v>
          </cell>
          <cell r="K56" t="str">
            <v>sudah ada</v>
          </cell>
          <cell r="L56">
            <v>0</v>
          </cell>
        </row>
        <row r="57">
          <cell r="B57">
            <v>54</v>
          </cell>
          <cell r="C57">
            <v>0</v>
          </cell>
          <cell r="D57" t="str">
            <v>Aneto 50 EC 50 X 250 ml + Neptune 8 gr (M2U)  QANET08 (GDG Supplier)</v>
          </cell>
          <cell r="E57">
            <v>0</v>
          </cell>
          <cell r="F57">
            <v>0</v>
          </cell>
          <cell r="G57">
            <v>0</v>
          </cell>
          <cell r="H57">
            <v>44123</v>
          </cell>
          <cell r="I57">
            <v>44123</v>
          </cell>
          <cell r="J57" t="str">
            <v>Done</v>
          </cell>
          <cell r="K57" t="str">
            <v>sudah ada</v>
          </cell>
          <cell r="L57">
            <v>0</v>
          </cell>
        </row>
        <row r="58">
          <cell r="B58">
            <v>55</v>
          </cell>
          <cell r="C58">
            <v>0</v>
          </cell>
          <cell r="D58" t="str">
            <v>Jagung Bisi 18 20 X 1 kg QJAGU03  Gdg. Ajung Bisi 2</v>
          </cell>
          <cell r="E58">
            <v>0</v>
          </cell>
          <cell r="F58">
            <v>0</v>
          </cell>
          <cell r="G58">
            <v>0</v>
          </cell>
          <cell r="H58">
            <v>44124</v>
          </cell>
          <cell r="I58">
            <v>44124</v>
          </cell>
          <cell r="J58" t="str">
            <v>Done</v>
          </cell>
          <cell r="K58" t="str">
            <v>sudah ada</v>
          </cell>
          <cell r="L58">
            <v>0</v>
          </cell>
        </row>
        <row r="59">
          <cell r="B59">
            <v>56</v>
          </cell>
          <cell r="C59">
            <v>0</v>
          </cell>
          <cell r="D59" t="str">
            <v>Jagung Bisi 18 20 X 1 kg AJAGU03 Gdg. Supplier</v>
          </cell>
          <cell r="E59">
            <v>0</v>
          </cell>
          <cell r="F59">
            <v>0</v>
          </cell>
          <cell r="G59">
            <v>0</v>
          </cell>
          <cell r="H59">
            <v>44124</v>
          </cell>
          <cell r="I59">
            <v>44124</v>
          </cell>
          <cell r="J59" t="str">
            <v>Done</v>
          </cell>
          <cell r="K59" t="str">
            <v>sudah ada</v>
          </cell>
          <cell r="L59">
            <v>0</v>
          </cell>
        </row>
        <row r="60">
          <cell r="B60">
            <v>57</v>
          </cell>
          <cell r="C60">
            <v>0</v>
          </cell>
          <cell r="D60" t="str">
            <v>Jagung Bisi 18 20 X 1 kg QJAGU03 Gdg. Expired</v>
          </cell>
          <cell r="E60">
            <v>0</v>
          </cell>
          <cell r="F60">
            <v>0</v>
          </cell>
          <cell r="G60">
            <v>0</v>
          </cell>
          <cell r="H60">
            <v>44124</v>
          </cell>
          <cell r="I60">
            <v>44124</v>
          </cell>
          <cell r="J60" t="str">
            <v>Done</v>
          </cell>
          <cell r="K60" t="str">
            <v>sudah ada</v>
          </cell>
          <cell r="L60">
            <v>0</v>
          </cell>
        </row>
        <row r="61">
          <cell r="B61">
            <v>58</v>
          </cell>
          <cell r="C61">
            <v>0</v>
          </cell>
          <cell r="D61" t="str">
            <v>Jagung Bisi 2 20 X 1 kg (gdg Induk)</v>
          </cell>
          <cell r="E61">
            <v>0</v>
          </cell>
          <cell r="F61">
            <v>0</v>
          </cell>
          <cell r="G61">
            <v>0</v>
          </cell>
          <cell r="H61">
            <v>44128</v>
          </cell>
          <cell r="I61">
            <v>44128</v>
          </cell>
          <cell r="J61" t="str">
            <v>Done</v>
          </cell>
          <cell r="K61" t="str">
            <v>sudah ada</v>
          </cell>
          <cell r="L61">
            <v>0</v>
          </cell>
        </row>
        <row r="62">
          <cell r="B62">
            <v>59</v>
          </cell>
          <cell r="C62">
            <v>0</v>
          </cell>
          <cell r="D62" t="str">
            <v>Jagung Bisi 2 20 X 1 kg AJAGU05 Gdg. Supplier</v>
          </cell>
          <cell r="E62">
            <v>0</v>
          </cell>
          <cell r="F62">
            <v>0</v>
          </cell>
          <cell r="G62">
            <v>0</v>
          </cell>
          <cell r="H62">
            <v>44128</v>
          </cell>
          <cell r="I62">
            <v>44128</v>
          </cell>
          <cell r="J62" t="str">
            <v>Done</v>
          </cell>
          <cell r="K62" t="str">
            <v>sudah ada</v>
          </cell>
          <cell r="L62">
            <v>0</v>
          </cell>
        </row>
        <row r="63">
          <cell r="B63">
            <v>60</v>
          </cell>
          <cell r="C63">
            <v>0</v>
          </cell>
          <cell r="D63" t="str">
            <v>Jagung Bisi 2 20 X 1 kg QJAGU04Gdg. Titipan</v>
          </cell>
          <cell r="E63">
            <v>0</v>
          </cell>
          <cell r="F63">
            <v>0</v>
          </cell>
          <cell r="G63">
            <v>0</v>
          </cell>
          <cell r="H63">
            <v>44128</v>
          </cell>
          <cell r="I63">
            <v>44128</v>
          </cell>
          <cell r="J63" t="str">
            <v>Done</v>
          </cell>
          <cell r="K63" t="str">
            <v>sudah ada</v>
          </cell>
          <cell r="L63">
            <v>0</v>
          </cell>
        </row>
        <row r="64">
          <cell r="B64">
            <v>61</v>
          </cell>
          <cell r="C64">
            <v>0</v>
          </cell>
          <cell r="D64" t="str">
            <v>Padi Q-989 Inpari 32 4 X 5 kg APADI23 (GDG SUPPLIER)</v>
          </cell>
          <cell r="E64">
            <v>0</v>
          </cell>
          <cell r="F64">
            <v>0</v>
          </cell>
          <cell r="G64">
            <v>0</v>
          </cell>
          <cell r="H64">
            <v>44128</v>
          </cell>
          <cell r="I64">
            <v>44128</v>
          </cell>
          <cell r="J64" t="str">
            <v>Done</v>
          </cell>
          <cell r="K64" t="str">
            <v>sudah ada</v>
          </cell>
          <cell r="L64">
            <v>0</v>
          </cell>
        </row>
        <row r="65">
          <cell r="B65">
            <v>62</v>
          </cell>
          <cell r="C65">
            <v>0</v>
          </cell>
          <cell r="D65" t="str">
            <v>Padi Q-989 Inpari 32 4 X 5 kg QPADI23 (GDG SUPPLIER)</v>
          </cell>
          <cell r="E65">
            <v>0</v>
          </cell>
          <cell r="F65">
            <v>0</v>
          </cell>
          <cell r="G65">
            <v>0</v>
          </cell>
          <cell r="H65">
            <v>44128</v>
          </cell>
          <cell r="I65">
            <v>44128</v>
          </cell>
          <cell r="J65" t="str">
            <v>Done</v>
          </cell>
          <cell r="K65" t="str">
            <v>sudah ada</v>
          </cell>
          <cell r="L65">
            <v>0</v>
          </cell>
        </row>
        <row r="66">
          <cell r="B66">
            <v>63</v>
          </cell>
          <cell r="C66">
            <v>0</v>
          </cell>
          <cell r="D66" t="str">
            <v>Cabe Imperial 20 X 12 X 10 gr QCABE09 (GDG INDUK)</v>
          </cell>
          <cell r="E66">
            <v>0</v>
          </cell>
          <cell r="F66">
            <v>0</v>
          </cell>
          <cell r="G66">
            <v>0</v>
          </cell>
          <cell r="H66">
            <v>44130</v>
          </cell>
          <cell r="I66">
            <v>44130</v>
          </cell>
          <cell r="J66" t="str">
            <v>Done</v>
          </cell>
          <cell r="K66" t="str">
            <v>sudah ada</v>
          </cell>
          <cell r="L66">
            <v>0</v>
          </cell>
        </row>
        <row r="67">
          <cell r="B67">
            <v>64</v>
          </cell>
          <cell r="C67">
            <v>0</v>
          </cell>
          <cell r="D67" t="str">
            <v>Cabe Imperial 20 X 12 X 10 gr QCABE09 (GDG INDUK)</v>
          </cell>
          <cell r="E67">
            <v>0</v>
          </cell>
          <cell r="F67">
            <v>0</v>
          </cell>
          <cell r="G67">
            <v>0</v>
          </cell>
          <cell r="H67">
            <v>44130</v>
          </cell>
          <cell r="I67">
            <v>44130</v>
          </cell>
          <cell r="J67" t="str">
            <v>Done</v>
          </cell>
          <cell r="K67" t="str">
            <v>sudah ada</v>
          </cell>
          <cell r="L67">
            <v>0</v>
          </cell>
        </row>
        <row r="68">
          <cell r="B68">
            <v>65</v>
          </cell>
          <cell r="C68">
            <v>0</v>
          </cell>
          <cell r="D68" t="str">
            <v>Edit Surat Asuransi MAG Ke Ecel</v>
          </cell>
          <cell r="E68">
            <v>0</v>
          </cell>
          <cell r="F68">
            <v>0</v>
          </cell>
          <cell r="G68">
            <v>0</v>
          </cell>
          <cell r="H68">
            <v>44130</v>
          </cell>
          <cell r="I68">
            <v>44130</v>
          </cell>
          <cell r="J68" t="str">
            <v>Done</v>
          </cell>
          <cell r="K68" t="str">
            <v>sudah ada</v>
          </cell>
          <cell r="L68">
            <v>0</v>
          </cell>
        </row>
        <row r="69">
          <cell r="B69">
            <v>66</v>
          </cell>
          <cell r="C69">
            <v>0</v>
          </cell>
          <cell r="D69" t="str">
            <v>Gibgro 20 T 10 X 10 X 5 gr QGIBG02</v>
          </cell>
          <cell r="E69">
            <v>0</v>
          </cell>
          <cell r="F69">
            <v>0</v>
          </cell>
          <cell r="G69">
            <v>0</v>
          </cell>
          <cell r="H69">
            <v>44134</v>
          </cell>
          <cell r="I69">
            <v>44134</v>
          </cell>
          <cell r="J69" t="str">
            <v>Done</v>
          </cell>
          <cell r="K69" t="str">
            <v>sudah ada</v>
          </cell>
          <cell r="L69">
            <v>0</v>
          </cell>
        </row>
        <row r="70">
          <cell r="B70">
            <v>67</v>
          </cell>
          <cell r="C70">
            <v>0</v>
          </cell>
          <cell r="D70" t="str">
            <v>Jagung Bisi 18 20 X 1 kg AJAGU03 Gdg. Supplier</v>
          </cell>
          <cell r="E70">
            <v>0</v>
          </cell>
          <cell r="F70">
            <v>0</v>
          </cell>
          <cell r="G70">
            <v>0</v>
          </cell>
          <cell r="H70">
            <v>44134</v>
          </cell>
          <cell r="I70">
            <v>44134</v>
          </cell>
          <cell r="J70" t="str">
            <v>Done</v>
          </cell>
          <cell r="K70" t="str">
            <v>sudah ada</v>
          </cell>
          <cell r="L70">
            <v>0</v>
          </cell>
        </row>
        <row r="71">
          <cell r="B71">
            <v>68</v>
          </cell>
          <cell r="C71">
            <v>0</v>
          </cell>
          <cell r="D71" t="str">
            <v xml:space="preserve">Jagung Bisi 18 20 X 1 kg QJAGU03 Gdg. Ajung Bisi 2 </v>
          </cell>
          <cell r="E71">
            <v>0</v>
          </cell>
          <cell r="F71">
            <v>0</v>
          </cell>
          <cell r="G71">
            <v>0</v>
          </cell>
          <cell r="H71">
            <v>44134</v>
          </cell>
          <cell r="I71">
            <v>44134</v>
          </cell>
          <cell r="J71" t="str">
            <v>Done</v>
          </cell>
          <cell r="K71" t="str">
            <v>sudah ada</v>
          </cell>
          <cell r="L71">
            <v>0</v>
          </cell>
        </row>
        <row r="72">
          <cell r="B72">
            <v>83</v>
          </cell>
          <cell r="C72">
            <v>0</v>
          </cell>
          <cell r="D72" t="str">
            <v>ARIMO01 Rimon Fast 100 SC 100 X 100 ml Maintenance LOT SUPPLIER</v>
          </cell>
          <cell r="E72">
            <v>0</v>
          </cell>
          <cell r="F72">
            <v>0</v>
          </cell>
          <cell r="G72">
            <v>0</v>
          </cell>
          <cell r="H72">
            <v>44139</v>
          </cell>
          <cell r="I72">
            <v>44139</v>
          </cell>
          <cell r="J72" t="str">
            <v>Done</v>
          </cell>
          <cell r="K72" t="str">
            <v>sudah ada</v>
          </cell>
          <cell r="L72" t="str">
            <v>sudah ada</v>
          </cell>
        </row>
        <row r="73">
          <cell r="B73">
            <v>24</v>
          </cell>
          <cell r="C73">
            <v>25</v>
          </cell>
          <cell r="D73" t="str">
            <v>Penyelesaian kontrak program</v>
          </cell>
          <cell r="E73">
            <v>0</v>
          </cell>
          <cell r="F73">
            <v>0</v>
          </cell>
          <cell r="G73">
            <v>0</v>
          </cell>
          <cell r="H73">
            <v>44148</v>
          </cell>
          <cell r="I73">
            <v>44140</v>
          </cell>
          <cell r="J73" t="str">
            <v>Done</v>
          </cell>
          <cell r="K73" t="str">
            <v>sudah ada</v>
          </cell>
          <cell r="L73" t="str">
            <v>sudah ada</v>
          </cell>
        </row>
        <row r="74">
          <cell r="B74">
            <v>117</v>
          </cell>
          <cell r="C74">
            <v>0</v>
          </cell>
          <cell r="D74" t="str">
            <v>tambah ram pc (jaya)</v>
          </cell>
          <cell r="E74">
            <v>0</v>
          </cell>
          <cell r="F74">
            <v>0</v>
          </cell>
          <cell r="G74">
            <v>0</v>
          </cell>
          <cell r="H74">
            <v>44140</v>
          </cell>
          <cell r="I74">
            <v>44140</v>
          </cell>
          <cell r="J74" t="str">
            <v>Done</v>
          </cell>
          <cell r="K74" t="str">
            <v>sudah ada</v>
          </cell>
          <cell r="L74" t="str">
            <v>sudah ada</v>
          </cell>
        </row>
        <row r="75">
          <cell r="B75">
            <v>84</v>
          </cell>
          <cell r="C75">
            <v>0</v>
          </cell>
          <cell r="D75" t="str">
            <v>AJAGU62 Jagung Bisi 220 4 X 1 paket Maintenance LOT SUPPLIER</v>
          </cell>
          <cell r="E75">
            <v>0</v>
          </cell>
          <cell r="F75">
            <v>0</v>
          </cell>
          <cell r="G75">
            <v>0</v>
          </cell>
          <cell r="H75">
            <v>44142</v>
          </cell>
          <cell r="I75">
            <v>44142</v>
          </cell>
          <cell r="J75" t="str">
            <v>Done</v>
          </cell>
          <cell r="K75" t="str">
            <v>sudah ada</v>
          </cell>
          <cell r="L75" t="str">
            <v>sudah ada</v>
          </cell>
        </row>
        <row r="76">
          <cell r="B76">
            <v>85</v>
          </cell>
          <cell r="C76">
            <v>0</v>
          </cell>
          <cell r="D76" t="str">
            <v>QJAGU53 Jagung Bisi 220 4 X 1 paket Maintenance  LOT EXPIRED</v>
          </cell>
          <cell r="E76">
            <v>0</v>
          </cell>
          <cell r="F76">
            <v>0</v>
          </cell>
          <cell r="G76">
            <v>0</v>
          </cell>
          <cell r="H76">
            <v>44142</v>
          </cell>
          <cell r="I76">
            <v>44142</v>
          </cell>
          <cell r="J76" t="str">
            <v>Done</v>
          </cell>
          <cell r="K76" t="str">
            <v>sudah ada</v>
          </cell>
          <cell r="L76" t="str">
            <v>sudah ada</v>
          </cell>
        </row>
        <row r="77">
          <cell r="B77">
            <v>86</v>
          </cell>
          <cell r="C77">
            <v>0</v>
          </cell>
          <cell r="D77" t="str">
            <v>AJAGU60 Jagung Bisi 99 20 X 1 kg Maintenance LOTSUPPLIER</v>
          </cell>
          <cell r="E77">
            <v>0</v>
          </cell>
          <cell r="F77">
            <v>0</v>
          </cell>
          <cell r="G77">
            <v>0</v>
          </cell>
          <cell r="H77">
            <v>44142</v>
          </cell>
          <cell r="I77">
            <v>44142</v>
          </cell>
          <cell r="J77" t="str">
            <v>Done</v>
          </cell>
          <cell r="K77" t="str">
            <v>sudah ada</v>
          </cell>
          <cell r="L77" t="str">
            <v>sudah ada</v>
          </cell>
        </row>
        <row r="78">
          <cell r="B78">
            <v>87</v>
          </cell>
          <cell r="C78">
            <v>0</v>
          </cell>
          <cell r="D78" t="str">
            <v>QJAGU53Jagung Bisi 99 20 X 1 kg Maintenance LOTEXPIRED</v>
          </cell>
          <cell r="E78">
            <v>0</v>
          </cell>
          <cell r="F78">
            <v>0</v>
          </cell>
          <cell r="G78">
            <v>0</v>
          </cell>
          <cell r="H78">
            <v>44142</v>
          </cell>
          <cell r="I78">
            <v>44142</v>
          </cell>
          <cell r="J78" t="str">
            <v>Done</v>
          </cell>
          <cell r="K78" t="str">
            <v>sudah ada</v>
          </cell>
          <cell r="L78" t="str">
            <v>sudah ada</v>
          </cell>
        </row>
        <row r="79">
          <cell r="B79">
            <v>107</v>
          </cell>
          <cell r="C79">
            <v>0</v>
          </cell>
          <cell r="D79" t="str">
            <v>zahir kode barang QRATO01 mengalami minus saldo barang (NITA)</v>
          </cell>
          <cell r="E79">
            <v>0</v>
          </cell>
          <cell r="F79">
            <v>0</v>
          </cell>
          <cell r="G79">
            <v>0</v>
          </cell>
          <cell r="H79">
            <v>44142</v>
          </cell>
          <cell r="I79">
            <v>44142</v>
          </cell>
          <cell r="J79" t="str">
            <v>Done</v>
          </cell>
          <cell r="K79" t="str">
            <v>sudah ada</v>
          </cell>
          <cell r="L79" t="str">
            <v>sudah ada</v>
          </cell>
        </row>
        <row r="80">
          <cell r="B80">
            <v>116</v>
          </cell>
          <cell r="C80">
            <v>0</v>
          </cell>
          <cell r="D80" t="str">
            <v>LAN  bermasalah (YOSSY)</v>
          </cell>
          <cell r="E80">
            <v>0</v>
          </cell>
          <cell r="F80">
            <v>0</v>
          </cell>
          <cell r="G80">
            <v>0</v>
          </cell>
          <cell r="H80">
            <v>44144</v>
          </cell>
          <cell r="I80">
            <v>44144</v>
          </cell>
          <cell r="J80" t="str">
            <v>Done</v>
          </cell>
          <cell r="K80" t="str">
            <v>sudah ada</v>
          </cell>
          <cell r="L80" t="str">
            <v>sudah ada</v>
          </cell>
        </row>
        <row r="81">
          <cell r="B81">
            <v>88</v>
          </cell>
          <cell r="C81">
            <v>0</v>
          </cell>
          <cell r="D81" t="str">
            <v>QTIMU06Timun Wuku Maintenance LOTINDUK</v>
          </cell>
          <cell r="E81">
            <v>0</v>
          </cell>
          <cell r="F81">
            <v>0</v>
          </cell>
          <cell r="G81">
            <v>0</v>
          </cell>
          <cell r="H81">
            <v>44145</v>
          </cell>
          <cell r="I81">
            <v>44145</v>
          </cell>
          <cell r="J81" t="str">
            <v>Done</v>
          </cell>
          <cell r="K81" t="str">
            <v>sudah ada</v>
          </cell>
          <cell r="L81" t="str">
            <v>sudah ada</v>
          </cell>
        </row>
        <row r="82">
          <cell r="B82">
            <v>89</v>
          </cell>
          <cell r="C82">
            <v>0</v>
          </cell>
          <cell r="D82" t="str">
            <v>QTOMA02TOMAT MAWAR 12 X 15 X 10 GR Maintenance LOTINDUK</v>
          </cell>
          <cell r="E82">
            <v>0</v>
          </cell>
          <cell r="F82">
            <v>0</v>
          </cell>
          <cell r="G82">
            <v>0</v>
          </cell>
          <cell r="H82">
            <v>44148</v>
          </cell>
          <cell r="I82">
            <v>44148</v>
          </cell>
          <cell r="J82" t="str">
            <v>Done</v>
          </cell>
          <cell r="K82" t="str">
            <v>sudah ada</v>
          </cell>
          <cell r="L82" t="str">
            <v>sudah ada</v>
          </cell>
        </row>
        <row r="83">
          <cell r="B83">
            <v>90</v>
          </cell>
          <cell r="C83">
            <v>0</v>
          </cell>
          <cell r="D83" t="str">
            <v>QSAWI02SAWI DORA 12 X 15 X 25 GR Maintenance LOTINDUK</v>
          </cell>
          <cell r="E83">
            <v>0</v>
          </cell>
          <cell r="F83">
            <v>0</v>
          </cell>
          <cell r="G83">
            <v>0</v>
          </cell>
          <cell r="H83">
            <v>44148</v>
          </cell>
          <cell r="I83">
            <v>44148</v>
          </cell>
          <cell r="J83" t="str">
            <v>Done</v>
          </cell>
          <cell r="K83" t="str">
            <v>sudah ada</v>
          </cell>
          <cell r="L83" t="str">
            <v>sudah ada</v>
          </cell>
        </row>
        <row r="84">
          <cell r="B84">
            <v>108</v>
          </cell>
          <cell r="C84">
            <v>0</v>
          </cell>
          <cell r="D84" t="str">
            <v>Instal OS Windows PC bermasalah  (sylvia)</v>
          </cell>
          <cell r="E84">
            <v>0</v>
          </cell>
          <cell r="F84">
            <v>0</v>
          </cell>
          <cell r="G84">
            <v>0</v>
          </cell>
          <cell r="H84">
            <v>44149</v>
          </cell>
          <cell r="I84">
            <v>44149</v>
          </cell>
          <cell r="J84" t="str">
            <v>Done</v>
          </cell>
          <cell r="K84" t="str">
            <v>sudah ada</v>
          </cell>
          <cell r="L84" t="str">
            <v>sudah ada</v>
          </cell>
        </row>
        <row r="85">
          <cell r="B85">
            <v>91</v>
          </cell>
          <cell r="C85">
            <v>0</v>
          </cell>
          <cell r="D85" t="str">
            <v>QKUBI11Kubis Green Crown 10 X 20 ml Maintenance LOTINDUK</v>
          </cell>
          <cell r="E85">
            <v>0</v>
          </cell>
          <cell r="F85">
            <v>0</v>
          </cell>
          <cell r="G85">
            <v>0</v>
          </cell>
          <cell r="H85">
            <v>44151</v>
          </cell>
          <cell r="I85">
            <v>44151</v>
          </cell>
          <cell r="J85" t="str">
            <v>Done</v>
          </cell>
          <cell r="K85" t="str">
            <v>sudah ada</v>
          </cell>
          <cell r="L85" t="str">
            <v>sudah ada</v>
          </cell>
        </row>
        <row r="86">
          <cell r="B86">
            <v>92</v>
          </cell>
          <cell r="C86">
            <v>0</v>
          </cell>
          <cell r="D86" t="str">
            <v>QKUBI12Kubis Green Crown 100 X 100 gr Maintenance LOTINDUK</v>
          </cell>
          <cell r="E86">
            <v>0</v>
          </cell>
          <cell r="F86">
            <v>0</v>
          </cell>
          <cell r="G86">
            <v>0</v>
          </cell>
          <cell r="H86">
            <v>44151</v>
          </cell>
          <cell r="I86">
            <v>44151</v>
          </cell>
          <cell r="J86" t="str">
            <v>Done</v>
          </cell>
          <cell r="K86" t="str">
            <v>sudah ada</v>
          </cell>
          <cell r="L86" t="str">
            <v>sudah ada</v>
          </cell>
        </row>
        <row r="87">
          <cell r="B87">
            <v>109</v>
          </cell>
          <cell r="C87">
            <v>0</v>
          </cell>
          <cell r="D87" t="str">
            <v>smc , sheet printer tidak bisa (Naily)</v>
          </cell>
          <cell r="E87">
            <v>0</v>
          </cell>
          <cell r="F87">
            <v>0</v>
          </cell>
          <cell r="G87">
            <v>0</v>
          </cell>
          <cell r="H87">
            <v>44151</v>
          </cell>
          <cell r="I87">
            <v>44151</v>
          </cell>
          <cell r="J87" t="str">
            <v>Done</v>
          </cell>
          <cell r="K87" t="str">
            <v>sudah ada</v>
          </cell>
          <cell r="L87" t="str">
            <v>sudah ada</v>
          </cell>
        </row>
        <row r="88">
          <cell r="B88">
            <v>93</v>
          </cell>
          <cell r="C88">
            <v>0</v>
          </cell>
          <cell r="D88" t="str">
            <v>QCABE36CABE SIGANTUNG 12 X 15 X 10 GR Maintenance LOTINDUK</v>
          </cell>
          <cell r="E88">
            <v>0</v>
          </cell>
          <cell r="F88">
            <v>0</v>
          </cell>
          <cell r="G88">
            <v>0</v>
          </cell>
          <cell r="H88">
            <v>44152</v>
          </cell>
          <cell r="I88">
            <v>44152</v>
          </cell>
          <cell r="J88" t="str">
            <v>Done</v>
          </cell>
          <cell r="K88" t="str">
            <v>sudah ada</v>
          </cell>
          <cell r="L88" t="str">
            <v>sudah ada</v>
          </cell>
        </row>
        <row r="89">
          <cell r="B89">
            <v>118</v>
          </cell>
          <cell r="C89">
            <v>0</v>
          </cell>
          <cell r="D89" t="str">
            <v>batrei ups rusak (hendrik)</v>
          </cell>
          <cell r="E89">
            <v>0</v>
          </cell>
          <cell r="F89">
            <v>0</v>
          </cell>
          <cell r="G89">
            <v>0</v>
          </cell>
          <cell r="H89">
            <v>44152</v>
          </cell>
          <cell r="I89">
            <v>44152</v>
          </cell>
          <cell r="J89" t="str">
            <v>Done</v>
          </cell>
          <cell r="K89" t="str">
            <v>sudah ada</v>
          </cell>
          <cell r="L89" t="str">
            <v>sudah ada</v>
          </cell>
        </row>
        <row r="90">
          <cell r="B90">
            <v>119</v>
          </cell>
          <cell r="C90">
            <v>0</v>
          </cell>
          <cell r="D90" t="str">
            <v>batrei ups rusak (doni)</v>
          </cell>
          <cell r="E90">
            <v>0</v>
          </cell>
          <cell r="F90">
            <v>0</v>
          </cell>
          <cell r="G90">
            <v>0</v>
          </cell>
          <cell r="H90">
            <v>44152</v>
          </cell>
          <cell r="I90">
            <v>44152</v>
          </cell>
          <cell r="J90" t="str">
            <v>Done</v>
          </cell>
          <cell r="K90" t="str">
            <v>sudah ada</v>
          </cell>
          <cell r="L90" t="str">
            <v>sudah ada</v>
          </cell>
        </row>
        <row r="91">
          <cell r="B91">
            <v>120</v>
          </cell>
          <cell r="C91">
            <v>0</v>
          </cell>
          <cell r="D91" t="str">
            <v>cmos batrei rusak (sylvia)</v>
          </cell>
          <cell r="E91">
            <v>0</v>
          </cell>
          <cell r="F91">
            <v>0</v>
          </cell>
          <cell r="G91">
            <v>0</v>
          </cell>
          <cell r="H91">
            <v>44152</v>
          </cell>
          <cell r="I91">
            <v>44152</v>
          </cell>
          <cell r="J91" t="str">
            <v>Done</v>
          </cell>
          <cell r="K91" t="str">
            <v>sudah ada</v>
          </cell>
          <cell r="L91" t="str">
            <v>sudah ada</v>
          </cell>
        </row>
        <row r="92">
          <cell r="B92">
            <v>121</v>
          </cell>
          <cell r="C92">
            <v>0</v>
          </cell>
          <cell r="D92" t="str">
            <v>keyboard eror (tika)</v>
          </cell>
          <cell r="E92">
            <v>0</v>
          </cell>
          <cell r="F92">
            <v>0</v>
          </cell>
          <cell r="G92">
            <v>0</v>
          </cell>
          <cell r="H92">
            <v>44152</v>
          </cell>
          <cell r="I92">
            <v>44152</v>
          </cell>
          <cell r="J92" t="str">
            <v>Done</v>
          </cell>
          <cell r="K92" t="str">
            <v>sudah ada</v>
          </cell>
          <cell r="L92" t="str">
            <v>sudah ada</v>
          </cell>
        </row>
        <row r="93">
          <cell r="B93">
            <v>122</v>
          </cell>
          <cell r="C93">
            <v>0</v>
          </cell>
          <cell r="D93" t="str">
            <v>printer eror scanner (nadia)</v>
          </cell>
          <cell r="E93">
            <v>0</v>
          </cell>
          <cell r="F93">
            <v>0</v>
          </cell>
          <cell r="G93">
            <v>0</v>
          </cell>
          <cell r="H93">
            <v>44152</v>
          </cell>
          <cell r="I93">
            <v>44152</v>
          </cell>
          <cell r="J93" t="str">
            <v>Done</v>
          </cell>
          <cell r="K93" t="str">
            <v>sudah ada</v>
          </cell>
          <cell r="L93" t="str">
            <v>sudah ada</v>
          </cell>
        </row>
        <row r="94">
          <cell r="B94">
            <v>123</v>
          </cell>
          <cell r="C94">
            <v>0</v>
          </cell>
          <cell r="D94" t="str">
            <v>printer eror ngeprint (nita)</v>
          </cell>
          <cell r="E94">
            <v>0</v>
          </cell>
          <cell r="F94">
            <v>0</v>
          </cell>
          <cell r="G94">
            <v>0</v>
          </cell>
          <cell r="H94">
            <v>44152</v>
          </cell>
          <cell r="I94">
            <v>44152</v>
          </cell>
          <cell r="J94" t="str">
            <v>Done</v>
          </cell>
          <cell r="K94" t="str">
            <v>sudah ada</v>
          </cell>
          <cell r="L94" t="str">
            <v>sudah ada</v>
          </cell>
        </row>
        <row r="95">
          <cell r="B95">
            <v>124</v>
          </cell>
          <cell r="C95">
            <v>0</v>
          </cell>
          <cell r="D95" t="str">
            <v>tambah pasang ups (laili)</v>
          </cell>
          <cell r="E95">
            <v>0</v>
          </cell>
          <cell r="F95">
            <v>0</v>
          </cell>
          <cell r="G95">
            <v>0</v>
          </cell>
          <cell r="H95">
            <v>44152</v>
          </cell>
          <cell r="I95">
            <v>44152</v>
          </cell>
          <cell r="J95" t="str">
            <v>Done</v>
          </cell>
          <cell r="K95" t="str">
            <v>sudah ada</v>
          </cell>
          <cell r="L95" t="str">
            <v>sudah ada</v>
          </cell>
        </row>
        <row r="96">
          <cell r="B96">
            <v>125</v>
          </cell>
          <cell r="C96">
            <v>0</v>
          </cell>
          <cell r="D96" t="str">
            <v>tambah pasang ups (elok)</v>
          </cell>
          <cell r="E96">
            <v>0</v>
          </cell>
          <cell r="F96">
            <v>0</v>
          </cell>
          <cell r="G96">
            <v>0</v>
          </cell>
          <cell r="H96">
            <v>44152</v>
          </cell>
          <cell r="I96">
            <v>44152</v>
          </cell>
          <cell r="J96" t="str">
            <v>Done</v>
          </cell>
          <cell r="K96" t="str">
            <v>sudah ada</v>
          </cell>
          <cell r="L96" t="str">
            <v>sudah ada</v>
          </cell>
        </row>
        <row r="97">
          <cell r="B97">
            <v>126</v>
          </cell>
          <cell r="C97">
            <v>0</v>
          </cell>
          <cell r="D97" t="str">
            <v>tambah pasang ups (naili)</v>
          </cell>
          <cell r="E97">
            <v>0</v>
          </cell>
          <cell r="F97">
            <v>0</v>
          </cell>
          <cell r="G97">
            <v>0</v>
          </cell>
          <cell r="H97">
            <v>44152</v>
          </cell>
          <cell r="I97">
            <v>44152</v>
          </cell>
          <cell r="J97" t="str">
            <v>Done</v>
          </cell>
          <cell r="K97" t="str">
            <v>sudah ada</v>
          </cell>
          <cell r="L97" t="str">
            <v>sudah ada</v>
          </cell>
        </row>
        <row r="98">
          <cell r="B98">
            <v>127</v>
          </cell>
          <cell r="C98">
            <v>0</v>
          </cell>
          <cell r="D98" t="str">
            <v>tambah pasang ups (proyektor)</v>
          </cell>
          <cell r="E98">
            <v>0</v>
          </cell>
          <cell r="F98">
            <v>0</v>
          </cell>
          <cell r="G98">
            <v>0</v>
          </cell>
          <cell r="H98">
            <v>44152</v>
          </cell>
          <cell r="I98">
            <v>44152</v>
          </cell>
          <cell r="J98" t="str">
            <v>Done</v>
          </cell>
          <cell r="K98" t="str">
            <v>sudah ada</v>
          </cell>
          <cell r="L98" t="str">
            <v>sudah ada</v>
          </cell>
        </row>
        <row r="99">
          <cell r="B99">
            <v>128</v>
          </cell>
          <cell r="C99">
            <v>0</v>
          </cell>
          <cell r="D99" t="str">
            <v>tambah pasang ups (kiugudang)</v>
          </cell>
          <cell r="E99">
            <v>0</v>
          </cell>
          <cell r="F99">
            <v>0</v>
          </cell>
          <cell r="G99">
            <v>0</v>
          </cell>
          <cell r="H99">
            <v>44152</v>
          </cell>
          <cell r="I99">
            <v>44152</v>
          </cell>
          <cell r="J99" t="str">
            <v>Done</v>
          </cell>
          <cell r="K99" t="str">
            <v>sudah ada</v>
          </cell>
          <cell r="L99" t="str">
            <v>sudah ada</v>
          </cell>
        </row>
        <row r="100">
          <cell r="B100">
            <v>129</v>
          </cell>
          <cell r="C100">
            <v>0</v>
          </cell>
          <cell r="D100" t="str">
            <v>batrei ups rusak (evi)</v>
          </cell>
          <cell r="E100">
            <v>0</v>
          </cell>
          <cell r="F100">
            <v>0</v>
          </cell>
          <cell r="G100">
            <v>0</v>
          </cell>
          <cell r="H100">
            <v>44152</v>
          </cell>
          <cell r="I100">
            <v>44152</v>
          </cell>
          <cell r="J100" t="str">
            <v>Done</v>
          </cell>
          <cell r="K100" t="str">
            <v>sudah ada</v>
          </cell>
          <cell r="L100" t="str">
            <v>sudah ada</v>
          </cell>
        </row>
        <row r="101">
          <cell r="B101">
            <v>94</v>
          </cell>
          <cell r="C101">
            <v>0</v>
          </cell>
          <cell r="D101" t="str">
            <v>QTERO05TERONG WELUT 12 X 15 X 10 GR Maintenance LOTINDUK</v>
          </cell>
          <cell r="E101">
            <v>0</v>
          </cell>
          <cell r="F101">
            <v>0</v>
          </cell>
          <cell r="G101">
            <v>0</v>
          </cell>
          <cell r="H101">
            <v>44154</v>
          </cell>
          <cell r="I101">
            <v>44154</v>
          </cell>
          <cell r="J101" t="str">
            <v>Done</v>
          </cell>
          <cell r="K101" t="str">
            <v>sudah ada</v>
          </cell>
          <cell r="L101" t="str">
            <v>sudah ada</v>
          </cell>
        </row>
        <row r="102">
          <cell r="B102">
            <v>95</v>
          </cell>
          <cell r="C102">
            <v>0</v>
          </cell>
          <cell r="D102" t="str">
            <v>QMACE02MACERIO 52 WP 50 X 250 gr Maintenance LOTSUPPLIER</v>
          </cell>
          <cell r="E102">
            <v>0</v>
          </cell>
          <cell r="F102">
            <v>0</v>
          </cell>
          <cell r="G102">
            <v>0</v>
          </cell>
          <cell r="H102">
            <v>44154</v>
          </cell>
          <cell r="I102">
            <v>44154</v>
          </cell>
          <cell r="J102" t="str">
            <v>Done</v>
          </cell>
          <cell r="K102" t="str">
            <v>sudah ada</v>
          </cell>
          <cell r="L102" t="str">
            <v>sudah ada</v>
          </cell>
        </row>
        <row r="103">
          <cell r="B103">
            <v>96</v>
          </cell>
          <cell r="C103">
            <v>0</v>
          </cell>
          <cell r="D103" t="str">
            <v>AMACE03MACERIO 52 WP 50 X 250 gr Maintenance LOTSUPPLIER</v>
          </cell>
          <cell r="E103">
            <v>0</v>
          </cell>
          <cell r="F103">
            <v>0</v>
          </cell>
          <cell r="G103">
            <v>0</v>
          </cell>
          <cell r="H103">
            <v>44154</v>
          </cell>
          <cell r="I103">
            <v>44154</v>
          </cell>
          <cell r="J103" t="str">
            <v>Done</v>
          </cell>
          <cell r="K103" t="str">
            <v>sudah ada</v>
          </cell>
          <cell r="L103" t="str">
            <v>sudah ada</v>
          </cell>
        </row>
        <row r="104">
          <cell r="B104">
            <v>97</v>
          </cell>
          <cell r="C104">
            <v>0</v>
          </cell>
          <cell r="D104" t="str">
            <v>QEMAC04Emacel 30 EC 10 X 1 ltr Maintenance LOTSUPPLIER</v>
          </cell>
          <cell r="E104">
            <v>0</v>
          </cell>
          <cell r="F104">
            <v>0</v>
          </cell>
          <cell r="G104">
            <v>0</v>
          </cell>
          <cell r="H104">
            <v>44154</v>
          </cell>
          <cell r="I104">
            <v>44154</v>
          </cell>
          <cell r="J104" t="str">
            <v>Done</v>
          </cell>
          <cell r="K104" t="str">
            <v>sudah ada</v>
          </cell>
          <cell r="L104" t="str">
            <v>sudah ada</v>
          </cell>
        </row>
        <row r="105">
          <cell r="B105">
            <v>110</v>
          </cell>
          <cell r="C105">
            <v>0</v>
          </cell>
          <cell r="D105" t="str">
            <v>zahir not responding (nina )</v>
          </cell>
          <cell r="E105">
            <v>0</v>
          </cell>
          <cell r="F105">
            <v>0</v>
          </cell>
          <cell r="G105">
            <v>0</v>
          </cell>
          <cell r="H105">
            <v>44154</v>
          </cell>
          <cell r="I105">
            <v>44154</v>
          </cell>
          <cell r="J105" t="str">
            <v>Done</v>
          </cell>
          <cell r="K105" t="str">
            <v>sudah ada</v>
          </cell>
          <cell r="L105" t="str">
            <v>sudah ada</v>
          </cell>
        </row>
        <row r="106">
          <cell r="B106">
            <v>130</v>
          </cell>
          <cell r="C106">
            <v>0</v>
          </cell>
          <cell r="D106" t="str">
            <v>LAN  bermasalah (naili )</v>
          </cell>
          <cell r="E106">
            <v>0</v>
          </cell>
          <cell r="F106">
            <v>0</v>
          </cell>
          <cell r="G106">
            <v>0</v>
          </cell>
          <cell r="H106">
            <v>44154</v>
          </cell>
          <cell r="I106">
            <v>44154</v>
          </cell>
          <cell r="J106" t="str">
            <v>Done</v>
          </cell>
          <cell r="K106" t="str">
            <v>sudah ada</v>
          </cell>
          <cell r="L106" t="str">
            <v>sudah ada</v>
          </cell>
        </row>
        <row r="107">
          <cell r="B107">
            <v>98</v>
          </cell>
          <cell r="C107">
            <v>0</v>
          </cell>
          <cell r="D107" t="str">
            <v>QJAGU40JAGUNG DK 959 20 X 1 KG (BISI) Maintenance LOTINDUK</v>
          </cell>
          <cell r="E107">
            <v>0</v>
          </cell>
          <cell r="F107">
            <v>0</v>
          </cell>
          <cell r="G107">
            <v>0</v>
          </cell>
          <cell r="H107">
            <v>44155</v>
          </cell>
          <cell r="I107">
            <v>44155</v>
          </cell>
          <cell r="J107" t="str">
            <v>Done</v>
          </cell>
          <cell r="K107" t="str">
            <v>sudah ada</v>
          </cell>
          <cell r="L107" t="str">
            <v>sudah ada</v>
          </cell>
        </row>
        <row r="108">
          <cell r="B108">
            <v>99</v>
          </cell>
          <cell r="C108">
            <v>0</v>
          </cell>
          <cell r="D108" t="str">
            <v>QSAWI01SAWI CHRISTINA 20 X 10 X 25 GR Maintenance LOTINDUK</v>
          </cell>
          <cell r="E108">
            <v>0</v>
          </cell>
          <cell r="F108">
            <v>0</v>
          </cell>
          <cell r="G108">
            <v>0</v>
          </cell>
          <cell r="H108">
            <v>44156</v>
          </cell>
          <cell r="I108">
            <v>44156</v>
          </cell>
          <cell r="J108" t="str">
            <v>Done</v>
          </cell>
          <cell r="K108" t="str">
            <v>sudah ada</v>
          </cell>
          <cell r="L108" t="str">
            <v>sudah ada</v>
          </cell>
        </row>
        <row r="109">
          <cell r="B109">
            <v>111</v>
          </cell>
          <cell r="C109">
            <v>0</v>
          </cell>
          <cell r="D109" t="str">
            <v>excel no responding (elok)</v>
          </cell>
          <cell r="E109">
            <v>0</v>
          </cell>
          <cell r="F109">
            <v>0</v>
          </cell>
          <cell r="G109">
            <v>0</v>
          </cell>
          <cell r="H109">
            <v>44156</v>
          </cell>
          <cell r="I109">
            <v>44156</v>
          </cell>
          <cell r="J109" t="str">
            <v>Done</v>
          </cell>
          <cell r="K109" t="str">
            <v>sudah ada</v>
          </cell>
          <cell r="L109" t="str">
            <v>sudah ada</v>
          </cell>
        </row>
        <row r="110">
          <cell r="B110">
            <v>112</v>
          </cell>
          <cell r="C110">
            <v>0</v>
          </cell>
          <cell r="D110" t="str">
            <v>excel install tab excel (elok)</v>
          </cell>
          <cell r="E110">
            <v>0</v>
          </cell>
          <cell r="F110">
            <v>0</v>
          </cell>
          <cell r="G110">
            <v>0</v>
          </cell>
          <cell r="H110">
            <v>44156</v>
          </cell>
          <cell r="I110">
            <v>44156</v>
          </cell>
          <cell r="J110" t="str">
            <v>Done</v>
          </cell>
          <cell r="K110" t="str">
            <v>sudah ada</v>
          </cell>
          <cell r="L110" t="str">
            <v>sudah ada</v>
          </cell>
        </row>
        <row r="111">
          <cell r="B111">
            <v>113</v>
          </cell>
          <cell r="C111">
            <v>0</v>
          </cell>
          <cell r="D111" t="str">
            <v>Posting TTBP (desi)</v>
          </cell>
          <cell r="E111">
            <v>0</v>
          </cell>
          <cell r="F111">
            <v>0</v>
          </cell>
          <cell r="G111">
            <v>0</v>
          </cell>
          <cell r="H111">
            <v>44157</v>
          </cell>
          <cell r="I111">
            <v>44157</v>
          </cell>
          <cell r="J111" t="str">
            <v>Done</v>
          </cell>
          <cell r="K111" t="str">
            <v>sudah ada</v>
          </cell>
          <cell r="L111" t="str">
            <v>sudah ada</v>
          </cell>
        </row>
        <row r="112">
          <cell r="B112">
            <v>114</v>
          </cell>
          <cell r="C112">
            <v>0</v>
          </cell>
          <cell r="D112" t="str">
            <v>Zahir kode barang  QPLENOL  mengalami minus saldo barang (NINA)</v>
          </cell>
          <cell r="E112">
            <v>0</v>
          </cell>
          <cell r="F112">
            <v>0</v>
          </cell>
          <cell r="G112">
            <v>0</v>
          </cell>
          <cell r="H112">
            <v>44158</v>
          </cell>
          <cell r="I112">
            <v>44158</v>
          </cell>
          <cell r="J112" t="str">
            <v>Done</v>
          </cell>
          <cell r="K112" t="str">
            <v>sudah ada</v>
          </cell>
          <cell r="L112" t="str">
            <v>sudah ada</v>
          </cell>
        </row>
        <row r="113">
          <cell r="B113">
            <v>115</v>
          </cell>
          <cell r="C113">
            <v>0</v>
          </cell>
          <cell r="D113" t="str">
            <v>Wifi gudang Trobel , Reboot system (ahmad)</v>
          </cell>
          <cell r="E113">
            <v>0</v>
          </cell>
          <cell r="F113">
            <v>0</v>
          </cell>
          <cell r="G113">
            <v>0</v>
          </cell>
          <cell r="H113">
            <v>44158</v>
          </cell>
          <cell r="I113">
            <v>44158</v>
          </cell>
          <cell r="J113" t="str">
            <v>Done</v>
          </cell>
          <cell r="K113" t="str">
            <v>sudah ada</v>
          </cell>
          <cell r="L113" t="str">
            <v>sudah ada</v>
          </cell>
        </row>
        <row r="114">
          <cell r="B114">
            <v>132</v>
          </cell>
          <cell r="C114">
            <v>0</v>
          </cell>
          <cell r="D114" t="str">
            <v>Setting resolusi layar pc16 byte true color (evi)</v>
          </cell>
          <cell r="E114">
            <v>0</v>
          </cell>
          <cell r="F114">
            <v>0</v>
          </cell>
          <cell r="G114">
            <v>0</v>
          </cell>
          <cell r="H114">
            <v>44158</v>
          </cell>
          <cell r="I114">
            <v>44158</v>
          </cell>
          <cell r="J114" t="str">
            <v>Done</v>
          </cell>
          <cell r="K114" t="str">
            <v>sudah ada</v>
          </cell>
          <cell r="L114" t="str">
            <v>sudah ada</v>
          </cell>
        </row>
        <row r="115">
          <cell r="B115">
            <v>100</v>
          </cell>
          <cell r="C115">
            <v>0</v>
          </cell>
          <cell r="D115" t="str">
            <v>QQIUV04Qiuvita Hijau 32.11.11 20 X 500 gr Maintenance LOTAJUNG</v>
          </cell>
          <cell r="E115">
            <v>0</v>
          </cell>
          <cell r="F115">
            <v>0</v>
          </cell>
          <cell r="G115">
            <v>0</v>
          </cell>
          <cell r="H115">
            <v>44160</v>
          </cell>
          <cell r="I115">
            <v>44160</v>
          </cell>
          <cell r="J115" t="str">
            <v>Done</v>
          </cell>
          <cell r="K115" t="str">
            <v>sudah ada</v>
          </cell>
          <cell r="L115" t="str">
            <v>sudah ada</v>
          </cell>
        </row>
        <row r="116">
          <cell r="B116">
            <v>101</v>
          </cell>
          <cell r="C116">
            <v>0</v>
          </cell>
          <cell r="D116" t="str">
            <v>QKICK03Kick Off 36 EC 20 X 500 ml Maintenance LOTINDUK</v>
          </cell>
          <cell r="E116">
            <v>0</v>
          </cell>
          <cell r="F116">
            <v>0</v>
          </cell>
          <cell r="G116">
            <v>0</v>
          </cell>
          <cell r="H116">
            <v>44160</v>
          </cell>
          <cell r="I116">
            <v>44160</v>
          </cell>
          <cell r="J116" t="str">
            <v>Done</v>
          </cell>
          <cell r="K116" t="str">
            <v>sudah ada</v>
          </cell>
          <cell r="L116" t="str">
            <v>sudah ada</v>
          </cell>
        </row>
        <row r="117">
          <cell r="B117">
            <v>133</v>
          </cell>
          <cell r="C117">
            <v>0</v>
          </cell>
          <cell r="D117" t="str">
            <v>CCTV (imam bonjol) Skring listrik putus</v>
          </cell>
          <cell r="E117">
            <v>0</v>
          </cell>
          <cell r="F117">
            <v>0</v>
          </cell>
          <cell r="G117">
            <v>0</v>
          </cell>
          <cell r="H117">
            <v>44161</v>
          </cell>
          <cell r="I117">
            <v>44161</v>
          </cell>
          <cell r="J117" t="str">
            <v>Done</v>
          </cell>
          <cell r="K117" t="str">
            <v>sudah ada</v>
          </cell>
          <cell r="L117" t="str">
            <v>sudah ada</v>
          </cell>
        </row>
        <row r="118">
          <cell r="B118">
            <v>18</v>
          </cell>
          <cell r="C118">
            <v>19</v>
          </cell>
          <cell r="D118" t="str">
            <v>Pembuatan DO digabung dengan lot</v>
          </cell>
          <cell r="E118">
            <v>0</v>
          </cell>
          <cell r="F118">
            <v>0</v>
          </cell>
          <cell r="G118">
            <v>0</v>
          </cell>
          <cell r="H118">
            <v>44206</v>
          </cell>
          <cell r="I118">
            <v>44162</v>
          </cell>
          <cell r="J118" t="str">
            <v>Done</v>
          </cell>
          <cell r="K118" t="str">
            <v>sudah ada</v>
          </cell>
          <cell r="L118" t="str">
            <v>sudah ada</v>
          </cell>
        </row>
        <row r="119">
          <cell r="B119">
            <v>20</v>
          </cell>
          <cell r="C119">
            <v>21</v>
          </cell>
          <cell r="D119" t="str">
            <v>Pembuatan ulang ICS bulanan</v>
          </cell>
          <cell r="E119">
            <v>0</v>
          </cell>
          <cell r="F119">
            <v>0</v>
          </cell>
          <cell r="G119">
            <v>0</v>
          </cell>
          <cell r="H119">
            <v>44206</v>
          </cell>
          <cell r="I119">
            <v>44162</v>
          </cell>
          <cell r="J119" t="str">
            <v>Done</v>
          </cell>
          <cell r="K119" t="str">
            <v>sudah ada</v>
          </cell>
          <cell r="L119" t="str">
            <v>sudah ada</v>
          </cell>
        </row>
        <row r="120">
          <cell r="B120">
            <v>0</v>
          </cell>
          <cell r="C120">
            <v>0</v>
          </cell>
          <cell r="D120" t="str">
            <v>Pembuatan ulang ICS  Mini</v>
          </cell>
          <cell r="E120">
            <v>0</v>
          </cell>
          <cell r="F120">
            <v>0</v>
          </cell>
          <cell r="G120">
            <v>0</v>
          </cell>
          <cell r="H120">
            <v>44206</v>
          </cell>
          <cell r="I120">
            <v>44162</v>
          </cell>
          <cell r="J120" t="str">
            <v>Done</v>
          </cell>
          <cell r="K120" t="str">
            <v>sudah ada</v>
          </cell>
          <cell r="L120" t="str">
            <v>sudah ada</v>
          </cell>
        </row>
        <row r="121">
          <cell r="B121">
            <v>23</v>
          </cell>
          <cell r="C121">
            <v>24</v>
          </cell>
          <cell r="D121" t="str">
            <v xml:space="preserve">Centang lot zahir semua </v>
          </cell>
          <cell r="E121">
            <v>0</v>
          </cell>
          <cell r="F121">
            <v>0</v>
          </cell>
          <cell r="G121">
            <v>0</v>
          </cell>
          <cell r="H121">
            <v>44165</v>
          </cell>
          <cell r="I121">
            <v>44162</v>
          </cell>
          <cell r="J121" t="str">
            <v>Done</v>
          </cell>
          <cell r="K121" t="str">
            <v>sudah ada</v>
          </cell>
          <cell r="L121" t="str">
            <v>sudah ada</v>
          </cell>
        </row>
        <row r="122">
          <cell r="B122">
            <v>102</v>
          </cell>
          <cell r="C122">
            <v>0</v>
          </cell>
          <cell r="D122" t="str">
            <v>QKACA01Kac. Panj. Katrina 30 X 500 gr Maintenance LOTINDUK</v>
          </cell>
          <cell r="E122">
            <v>0</v>
          </cell>
          <cell r="F122">
            <v>0</v>
          </cell>
          <cell r="G122">
            <v>0</v>
          </cell>
          <cell r="H122">
            <v>44162</v>
          </cell>
          <cell r="I122">
            <v>44162</v>
          </cell>
          <cell r="J122" t="str">
            <v>Done</v>
          </cell>
          <cell r="K122" t="str">
            <v>sudah ada</v>
          </cell>
          <cell r="L122" t="str">
            <v>sudah ada</v>
          </cell>
        </row>
        <row r="123">
          <cell r="B123">
            <v>25</v>
          </cell>
          <cell r="C123">
            <v>26</v>
          </cell>
          <cell r="D123" t="str">
            <v>Sales tracking penempurnaan (evi,yuni,yuyun) grafik</v>
          </cell>
          <cell r="E123">
            <v>0</v>
          </cell>
          <cell r="F123">
            <v>0</v>
          </cell>
          <cell r="G123">
            <v>0</v>
          </cell>
          <cell r="H123">
            <v>44166</v>
          </cell>
          <cell r="I123">
            <v>44163</v>
          </cell>
          <cell r="J123" t="str">
            <v>Done</v>
          </cell>
          <cell r="K123" t="str">
            <v>sudah ada</v>
          </cell>
          <cell r="L123" t="str">
            <v>sudah ada</v>
          </cell>
        </row>
        <row r="124">
          <cell r="B124">
            <v>103</v>
          </cell>
          <cell r="C124">
            <v>0</v>
          </cell>
          <cell r="D124" t="str">
            <v>QTIMU24Timun Pesona 20 20 X 6 X 20 gr  Maintenance LOTSUPPLIER</v>
          </cell>
          <cell r="E124">
            <v>0</v>
          </cell>
          <cell r="F124">
            <v>0</v>
          </cell>
          <cell r="G124">
            <v>0</v>
          </cell>
          <cell r="H124">
            <v>44163</v>
          </cell>
          <cell r="I124">
            <v>44163</v>
          </cell>
          <cell r="J124" t="str">
            <v>Done</v>
          </cell>
          <cell r="K124" t="str">
            <v>sudah ada</v>
          </cell>
          <cell r="L124" t="str">
            <v>sudah ada</v>
          </cell>
        </row>
        <row r="125">
          <cell r="B125">
            <v>104</v>
          </cell>
          <cell r="C125">
            <v>0</v>
          </cell>
          <cell r="D125" t="str">
            <v>QTIMU20 Timun Hercules Plus 20 X 6 X 20 gr Maintenance LOT SUPPLIER</v>
          </cell>
          <cell r="E125">
            <v>0</v>
          </cell>
          <cell r="F125">
            <v>0</v>
          </cell>
          <cell r="G125">
            <v>0</v>
          </cell>
          <cell r="H125">
            <v>44163</v>
          </cell>
          <cell r="I125">
            <v>44163</v>
          </cell>
          <cell r="J125" t="str">
            <v>Done</v>
          </cell>
          <cell r="K125" t="str">
            <v>sudah ada</v>
          </cell>
          <cell r="L125" t="str">
            <v>sudah ada</v>
          </cell>
        </row>
        <row r="126">
          <cell r="B126">
            <v>105</v>
          </cell>
          <cell r="C126">
            <v>0</v>
          </cell>
          <cell r="D126" t="str">
            <v>QLOGR01 Logran 75 WG 20 X 50 X 1.5 gr Maintenance LOT INDUK</v>
          </cell>
          <cell r="E126">
            <v>0</v>
          </cell>
          <cell r="F126">
            <v>0</v>
          </cell>
          <cell r="G126">
            <v>0</v>
          </cell>
          <cell r="H126">
            <v>44163</v>
          </cell>
          <cell r="I126">
            <v>44163</v>
          </cell>
          <cell r="J126" t="str">
            <v>Done</v>
          </cell>
          <cell r="K126" t="str">
            <v>sudah ada</v>
          </cell>
          <cell r="L126" t="str">
            <v>sudah ada</v>
          </cell>
        </row>
        <row r="127">
          <cell r="B127">
            <v>134</v>
          </cell>
          <cell r="C127">
            <v>0</v>
          </cell>
          <cell r="D127" t="str">
            <v>kabel lan 6 M untuk HRDGA (arip)</v>
          </cell>
          <cell r="E127">
            <v>0</v>
          </cell>
          <cell r="F127">
            <v>0</v>
          </cell>
          <cell r="G127">
            <v>0</v>
          </cell>
          <cell r="H127">
            <v>44163</v>
          </cell>
          <cell r="I127">
            <v>44163</v>
          </cell>
          <cell r="J127" t="str">
            <v>Done</v>
          </cell>
          <cell r="K127" t="str">
            <v>sudah ada</v>
          </cell>
          <cell r="L127" t="str">
            <v>sudah ada</v>
          </cell>
        </row>
        <row r="128">
          <cell r="B128">
            <v>135</v>
          </cell>
          <cell r="C128">
            <v>0</v>
          </cell>
          <cell r="D128" t="str">
            <v>LAN bermasalah (Elok)</v>
          </cell>
          <cell r="E128">
            <v>0</v>
          </cell>
          <cell r="F128">
            <v>0</v>
          </cell>
          <cell r="G128">
            <v>0</v>
          </cell>
          <cell r="H128">
            <v>44164</v>
          </cell>
          <cell r="I128">
            <v>44164</v>
          </cell>
          <cell r="J128" t="str">
            <v>Done</v>
          </cell>
          <cell r="K128" t="str">
            <v>sudah ada</v>
          </cell>
          <cell r="L128" t="str">
            <v>sudah ada</v>
          </cell>
        </row>
        <row r="129">
          <cell r="B129">
            <v>106</v>
          </cell>
          <cell r="C129">
            <v>0</v>
          </cell>
          <cell r="D129" t="str">
            <v>QABEN02 Abenz 22 EC 40 X 250 ml Maintenance LOT SUPPLIER</v>
          </cell>
          <cell r="E129">
            <v>0</v>
          </cell>
          <cell r="F129">
            <v>0</v>
          </cell>
          <cell r="G129">
            <v>0</v>
          </cell>
          <cell r="H129">
            <v>44165</v>
          </cell>
          <cell r="I129">
            <v>44165</v>
          </cell>
          <cell r="J129" t="str">
            <v>Done</v>
          </cell>
          <cell r="K129" t="str">
            <v>sudah ada</v>
          </cell>
          <cell r="L129" t="str">
            <v>sudah ada</v>
          </cell>
        </row>
        <row r="130">
          <cell r="B130">
            <v>136</v>
          </cell>
          <cell r="C130">
            <v>0</v>
          </cell>
          <cell r="D130" t="str">
            <v>Setting pindah PC (Riza)</v>
          </cell>
          <cell r="E130">
            <v>0</v>
          </cell>
          <cell r="F130">
            <v>0</v>
          </cell>
          <cell r="G130">
            <v>0</v>
          </cell>
          <cell r="H130">
            <v>44165</v>
          </cell>
          <cell r="I130">
            <v>44165</v>
          </cell>
          <cell r="J130" t="str">
            <v>Done</v>
          </cell>
          <cell r="K130" t="str">
            <v>sudah ada</v>
          </cell>
          <cell r="L130" t="str">
            <v>sudah ada</v>
          </cell>
        </row>
        <row r="131">
          <cell r="B131">
            <v>137</v>
          </cell>
          <cell r="C131">
            <v>0</v>
          </cell>
          <cell r="D131" t="str">
            <v>Setting pindah PC (Ria)</v>
          </cell>
          <cell r="E131">
            <v>0</v>
          </cell>
          <cell r="F131">
            <v>0</v>
          </cell>
          <cell r="G131">
            <v>0</v>
          </cell>
          <cell r="H131">
            <v>44165</v>
          </cell>
          <cell r="I131">
            <v>44165</v>
          </cell>
          <cell r="J131" t="str">
            <v>Done</v>
          </cell>
          <cell r="K131" t="str">
            <v>sudah ada</v>
          </cell>
          <cell r="L131" t="str">
            <v>sudah ada</v>
          </cell>
        </row>
        <row r="132">
          <cell r="B132">
            <v>138</v>
          </cell>
          <cell r="C132">
            <v>0</v>
          </cell>
          <cell r="D132" t="str">
            <v>Setting ulang printer (dewi)</v>
          </cell>
          <cell r="E132">
            <v>0</v>
          </cell>
          <cell r="F132">
            <v>0</v>
          </cell>
          <cell r="G132">
            <v>0</v>
          </cell>
          <cell r="H132">
            <v>44165</v>
          </cell>
          <cell r="I132">
            <v>44165</v>
          </cell>
          <cell r="J132" t="str">
            <v>Done</v>
          </cell>
          <cell r="K132" t="str">
            <v>sudah ada</v>
          </cell>
          <cell r="L132" t="str">
            <v>sudah ada</v>
          </cell>
        </row>
        <row r="133">
          <cell r="B133">
            <v>139</v>
          </cell>
          <cell r="C133">
            <v>0</v>
          </cell>
          <cell r="D133" t="str">
            <v>Setting ulang printer (fairin)</v>
          </cell>
          <cell r="E133">
            <v>0</v>
          </cell>
          <cell r="F133">
            <v>0</v>
          </cell>
          <cell r="G133">
            <v>0</v>
          </cell>
          <cell r="H133">
            <v>44165</v>
          </cell>
          <cell r="I133">
            <v>44165</v>
          </cell>
          <cell r="J133" t="str">
            <v>Done</v>
          </cell>
          <cell r="K133" t="str">
            <v>sudah ada</v>
          </cell>
          <cell r="L133" t="str">
            <v>sudah ada</v>
          </cell>
        </row>
        <row r="134">
          <cell r="B134">
            <v>70</v>
          </cell>
          <cell r="C134">
            <v>0</v>
          </cell>
          <cell r="D134" t="str">
            <v>SOP mengeluarkan barang dari gudang LOT (draft)</v>
          </cell>
          <cell r="E134">
            <v>0</v>
          </cell>
          <cell r="F134">
            <v>0</v>
          </cell>
          <cell r="G134">
            <v>0</v>
          </cell>
          <cell r="H134">
            <v>44181</v>
          </cell>
          <cell r="I134">
            <v>44167</v>
          </cell>
          <cell r="J134" t="str">
            <v>Done</v>
          </cell>
          <cell r="K134" t="str">
            <v>sudah ada</v>
          </cell>
          <cell r="L134" t="str">
            <v>sudah ada</v>
          </cell>
        </row>
        <row r="135">
          <cell r="B135">
            <v>26</v>
          </cell>
          <cell r="C135">
            <v>27</v>
          </cell>
          <cell r="D135" t="str">
            <v>KPI digital</v>
          </cell>
          <cell r="E135">
            <v>0</v>
          </cell>
          <cell r="F135" t="str">
            <v>Yus Kordinasi dengan bu diana langsung</v>
          </cell>
          <cell r="G135">
            <v>0</v>
          </cell>
          <cell r="H135">
            <v>0</v>
          </cell>
          <cell r="I135">
            <v>0</v>
          </cell>
          <cell r="J135" t="str">
            <v xml:space="preserve"> </v>
          </cell>
          <cell r="K135">
            <v>0</v>
          </cell>
          <cell r="L135">
            <v>0</v>
          </cell>
        </row>
        <row r="136">
          <cell r="B136">
            <v>21</v>
          </cell>
          <cell r="C136">
            <v>22</v>
          </cell>
          <cell r="D136" t="str">
            <v>Pembuatan Website (ONLINE SHOP &amp; PROFILE - REC)</v>
          </cell>
          <cell r="E136" t="str">
            <v>pak jaya masih inprogres meyiapkan bahan untuk yang akan di letakan pada website tersebut</v>
          </cell>
          <cell r="F136" t="str">
            <v>Inprogres kolaborasi dengan p.jaya / membahas ulang yang akan di tampilkan dengan rekan kadep2</v>
          </cell>
          <cell r="G136" t="str">
            <v>Jaya</v>
          </cell>
          <cell r="H136">
            <v>44240</v>
          </cell>
          <cell r="I136">
            <v>0</v>
          </cell>
          <cell r="J136" t="str">
            <v xml:space="preserve"> </v>
          </cell>
          <cell r="K136">
            <v>0</v>
          </cell>
          <cell r="L136">
            <v>0</v>
          </cell>
        </row>
        <row r="137">
          <cell r="B137">
            <v>27</v>
          </cell>
          <cell r="C137">
            <v>0</v>
          </cell>
          <cell r="D137" t="str">
            <v>Program Multiprice Berjalan</v>
          </cell>
          <cell r="E137" t="str">
            <v>koordinasi ulang tentang harga yang akan di tampilkan harga terendah atau harga tertinggi (bu diana &amp; bu Anne) tanggal 21/12/2020 , Masih menunggu bu diana nanti di kabari</v>
          </cell>
          <cell r="F137" t="str">
            <v>Masih menunggu pricelist harga dari keuangan dan di check ulang oleh sales</v>
          </cell>
          <cell r="G137" t="str">
            <v>Mitra &amp; Sales</v>
          </cell>
          <cell r="H137">
            <v>0</v>
          </cell>
          <cell r="I137">
            <v>0</v>
          </cell>
          <cell r="J137" t="str">
            <v xml:space="preserve"> </v>
          </cell>
          <cell r="K137">
            <v>0</v>
          </cell>
          <cell r="L137">
            <v>0</v>
          </cell>
        </row>
        <row r="138">
          <cell r="B138">
            <v>69</v>
          </cell>
          <cell r="C138">
            <v>0</v>
          </cell>
          <cell r="D138" t="str">
            <v>penyempurnaan daily od target dan pencapaian masing2 collection</v>
          </cell>
          <cell r="E138" t="str">
            <v>max hari 21 sudah terselesaikan dengan icha bnn</v>
          </cell>
          <cell r="F138" t="str">
            <v>Masih Menunggu Data Master Daily od Di Rapikan</v>
          </cell>
          <cell r="G138" t="str">
            <v>Icha</v>
          </cell>
          <cell r="H138">
            <v>44199</v>
          </cell>
          <cell r="I138">
            <v>0</v>
          </cell>
          <cell r="J138" t="str">
            <v xml:space="preserve"> </v>
          </cell>
          <cell r="K138">
            <v>0</v>
          </cell>
          <cell r="L138">
            <v>0</v>
          </cell>
        </row>
        <row r="139">
          <cell r="B139">
            <v>71</v>
          </cell>
          <cell r="C139">
            <v>0</v>
          </cell>
          <cell r="D139" t="str">
            <v>ex tlpn belum terupdate (PABX)</v>
          </cell>
          <cell r="E139" t="str">
            <v>menunggu progress yg lain teselesai yg sudah terjadwal</v>
          </cell>
          <cell r="F139">
            <v>0</v>
          </cell>
          <cell r="G139" t="str">
            <v>Yuss</v>
          </cell>
          <cell r="H139">
            <v>44212</v>
          </cell>
          <cell r="I139">
            <v>0</v>
          </cell>
          <cell r="J139" t="str">
            <v xml:space="preserve"> </v>
          </cell>
          <cell r="K139">
            <v>0</v>
          </cell>
          <cell r="L139">
            <v>0</v>
          </cell>
        </row>
        <row r="140">
          <cell r="B140">
            <v>72</v>
          </cell>
          <cell r="C140">
            <v>0</v>
          </cell>
          <cell r="D140" t="str">
            <v>sop backup untuk maintance pc sebelum di ambil oleh it</v>
          </cell>
          <cell r="E140">
            <v>0</v>
          </cell>
          <cell r="F140" t="str">
            <v>sudah di sampaikan kepada bu diana tgl 12/01/2021 by outlook</v>
          </cell>
          <cell r="G140">
            <v>0</v>
          </cell>
          <cell r="H140">
            <v>44215</v>
          </cell>
          <cell r="I140">
            <v>44208</v>
          </cell>
          <cell r="J140" t="str">
            <v>Done</v>
          </cell>
          <cell r="K140">
            <v>0</v>
          </cell>
          <cell r="L140">
            <v>0</v>
          </cell>
        </row>
        <row r="141">
          <cell r="B141">
            <v>73</v>
          </cell>
          <cell r="C141">
            <v>0</v>
          </cell>
          <cell r="D141" t="str">
            <v>inventaris all hardware yg bersangkutan dengan IT</v>
          </cell>
          <cell r="E141">
            <v>0</v>
          </cell>
          <cell r="F141" t="str">
            <v>inprogres</v>
          </cell>
          <cell r="G141" t="str">
            <v>Yuss</v>
          </cell>
          <cell r="H141">
            <v>44215</v>
          </cell>
          <cell r="I141">
            <v>0</v>
          </cell>
          <cell r="J141" t="str">
            <v xml:space="preserve"> </v>
          </cell>
          <cell r="K141">
            <v>0</v>
          </cell>
          <cell r="L141">
            <v>0</v>
          </cell>
        </row>
        <row r="142">
          <cell r="B142">
            <v>140</v>
          </cell>
          <cell r="C142">
            <v>0</v>
          </cell>
          <cell r="D142" t="str">
            <v>Sales tracking penempurnaan Table Target dan pak Wira</v>
          </cell>
          <cell r="E142" t="str">
            <v>menunggu SOP Backup selesai</v>
          </cell>
          <cell r="F142">
            <v>0</v>
          </cell>
          <cell r="G142">
            <v>0</v>
          </cell>
          <cell r="H142">
            <v>44211</v>
          </cell>
          <cell r="I142">
            <v>0</v>
          </cell>
          <cell r="J142" t="str">
            <v xml:space="preserve"> </v>
          </cell>
          <cell r="K142">
            <v>0</v>
          </cell>
          <cell r="L142">
            <v>0</v>
          </cell>
        </row>
        <row r="143">
          <cell r="B143">
            <v>141</v>
          </cell>
          <cell r="C143">
            <v>0</v>
          </cell>
          <cell r="D143" t="str">
            <v>Pembuatan Design Laporan Zahir Untuk Pembelian</v>
          </cell>
          <cell r="E143" t="str">
            <v>koordinasi menentukan bulan minggu ke 1 bulan januari</v>
          </cell>
          <cell r="F143">
            <v>0</v>
          </cell>
          <cell r="G143">
            <v>0</v>
          </cell>
          <cell r="H143">
            <v>43871</v>
          </cell>
          <cell r="I143">
            <v>0</v>
          </cell>
          <cell r="J143" t="str">
            <v xml:space="preserve"> </v>
          </cell>
          <cell r="K143">
            <v>0</v>
          </cell>
          <cell r="L143">
            <v>0</v>
          </cell>
        </row>
        <row r="144">
          <cell r="B144">
            <v>142</v>
          </cell>
          <cell r="C144">
            <v>0</v>
          </cell>
          <cell r="D144" t="str">
            <v>Penmabahan dan Pembuatan Jalur Jaringan CCTV Baru Kantin Dan FKA</v>
          </cell>
          <cell r="E144" t="str">
            <v>Pengajuan SPP Perangkat CCTV Belum Lengkap (ACC Pelengkapan) akan di buat TimeLine</v>
          </cell>
          <cell r="F144">
            <v>0</v>
          </cell>
          <cell r="G144" t="str">
            <v>Yuss</v>
          </cell>
          <cell r="H144">
            <v>0</v>
          </cell>
          <cell r="I144">
            <v>0</v>
          </cell>
          <cell r="J144" t="str">
            <v xml:space="preserve"> </v>
          </cell>
          <cell r="K144">
            <v>0</v>
          </cell>
          <cell r="L144">
            <v>0</v>
          </cell>
        </row>
        <row r="145">
          <cell r="B145">
            <v>143</v>
          </cell>
          <cell r="C145">
            <v>0</v>
          </cell>
          <cell r="D145" t="str">
            <v xml:space="preserve">Prioritas no 1 Penambahan Kontrak Program SE (Go ahead dan Go dan Delay)  pada masing masing sc </v>
          </cell>
          <cell r="E145" t="str">
            <v>Price List Kontrak Tidak Update, akan diadakan koordinasi dengan pak heru langsung (tgl 16 /12/20)</v>
          </cell>
          <cell r="F145" t="str">
            <v>Menunggu Price List</v>
          </cell>
          <cell r="G145" t="str">
            <v>Sales</v>
          </cell>
          <cell r="H145">
            <v>0</v>
          </cell>
          <cell r="I145">
            <v>0</v>
          </cell>
          <cell r="J145" t="str">
            <v xml:space="preserve"> </v>
          </cell>
          <cell r="K145">
            <v>0</v>
          </cell>
          <cell r="L145">
            <v>0</v>
          </cell>
        </row>
        <row r="146">
          <cell r="B146">
            <v>144</v>
          </cell>
          <cell r="C146">
            <v>0</v>
          </cell>
          <cell r="D146" t="str">
            <v>PROGRAM KPI UNTUK KARIYAWAN (MASING ROW 10 WHATS / HOW )</v>
          </cell>
          <cell r="E146">
            <v>0</v>
          </cell>
          <cell r="F146">
            <v>0</v>
          </cell>
          <cell r="G146" t="str">
            <v>Yuss</v>
          </cell>
          <cell r="H146">
            <v>44195</v>
          </cell>
          <cell r="I146">
            <v>0</v>
          </cell>
          <cell r="J146" t="str">
            <v xml:space="preserve"> </v>
          </cell>
          <cell r="K146">
            <v>0</v>
          </cell>
          <cell r="L146">
            <v>0</v>
          </cell>
        </row>
        <row r="147">
          <cell r="B147">
            <v>145</v>
          </cell>
          <cell r="C147">
            <v>0</v>
          </cell>
          <cell r="D147" t="str">
            <v>DATABASE KARIYAWAN KARISMA (MACRO EXCEL) PAK YANTO</v>
          </cell>
          <cell r="E147" t="str">
            <v>koordinasi ulang untuk design dan penempatan database bulan januari minggu ke 1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 t="str">
            <v xml:space="preserve"> </v>
          </cell>
          <cell r="K147">
            <v>0</v>
          </cell>
          <cell r="L147">
            <v>0</v>
          </cell>
        </row>
        <row r="148">
          <cell r="B148">
            <v>146</v>
          </cell>
          <cell r="C148">
            <v>0</v>
          </cell>
          <cell r="D148" t="str">
            <v>Pending delivery</v>
          </cell>
          <cell r="E148" t="str">
            <v>koordinasi dengan no 143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 t="str">
            <v xml:space="preserve"> </v>
          </cell>
          <cell r="K148">
            <v>0</v>
          </cell>
          <cell r="L148">
            <v>0</v>
          </cell>
        </row>
        <row r="149">
          <cell r="B149">
            <v>147</v>
          </cell>
          <cell r="C149">
            <v>0</v>
          </cell>
          <cell r="D149" t="str">
            <v xml:space="preserve">tukar Posisi TV owner </v>
          </cell>
          <cell r="E149">
            <v>0</v>
          </cell>
          <cell r="F149">
            <v>0</v>
          </cell>
          <cell r="G149">
            <v>0</v>
          </cell>
          <cell r="H149">
            <v>44181</v>
          </cell>
          <cell r="I149">
            <v>44180</v>
          </cell>
          <cell r="J149" t="str">
            <v>Done</v>
          </cell>
          <cell r="K149">
            <v>0</v>
          </cell>
          <cell r="L149">
            <v>0</v>
          </cell>
        </row>
        <row r="150">
          <cell r="B150">
            <v>148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 t="str">
            <v xml:space="preserve"> </v>
          </cell>
          <cell r="K150">
            <v>0</v>
          </cell>
          <cell r="L150">
            <v>0</v>
          </cell>
        </row>
        <row r="151">
          <cell r="B151">
            <v>149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 t="str">
            <v xml:space="preserve"> </v>
          </cell>
          <cell r="K151">
            <v>0</v>
          </cell>
          <cell r="L151">
            <v>0</v>
          </cell>
        </row>
        <row r="152">
          <cell r="B152">
            <v>150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</row>
        <row r="153">
          <cell r="B153">
            <v>151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</row>
        <row r="154">
          <cell r="B154">
            <v>152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</row>
        <row r="155">
          <cell r="B155">
            <v>153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</row>
        <row r="156">
          <cell r="B156">
            <v>154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</row>
        <row r="157">
          <cell r="B157">
            <v>155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</row>
        <row r="158">
          <cell r="B158">
            <v>156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</row>
        <row r="159">
          <cell r="B159">
            <v>157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</row>
        <row r="160">
          <cell r="B160">
            <v>158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</row>
        <row r="161">
          <cell r="B161">
            <v>159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</row>
        <row r="162">
          <cell r="B162">
            <v>160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</row>
        <row r="163">
          <cell r="B163">
            <v>161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</row>
        <row r="164">
          <cell r="B164">
            <v>162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</row>
        <row r="165">
          <cell r="B165">
            <v>163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</row>
        <row r="166">
          <cell r="B166">
            <v>164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</row>
        <row r="167">
          <cell r="B167">
            <v>165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</row>
        <row r="168">
          <cell r="B168">
            <v>166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</row>
        <row r="169">
          <cell r="B169">
            <v>167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</row>
        <row r="170">
          <cell r="B170">
            <v>168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</row>
        <row r="171">
          <cell r="B171">
            <v>169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</row>
        <row r="172">
          <cell r="B172">
            <v>170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</row>
        <row r="173">
          <cell r="B173">
            <v>171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</row>
        <row r="174">
          <cell r="B174">
            <v>172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</row>
        <row r="175">
          <cell r="B175">
            <v>173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</row>
        <row r="176">
          <cell r="B176">
            <v>174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</row>
        <row r="177">
          <cell r="B177">
            <v>175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</row>
        <row r="178">
          <cell r="B178">
            <v>176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</row>
        <row r="179">
          <cell r="B179">
            <v>177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</row>
        <row r="180">
          <cell r="B180">
            <v>178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</row>
        <row r="181">
          <cell r="B181">
            <v>179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</row>
        <row r="182">
          <cell r="B182">
            <v>180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</row>
        <row r="183">
          <cell r="B183">
            <v>181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</row>
        <row r="184">
          <cell r="B184">
            <v>182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</row>
        <row r="185">
          <cell r="B185">
            <v>183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</row>
        <row r="186">
          <cell r="B186">
            <v>184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</row>
        <row r="187">
          <cell r="B187">
            <v>185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</row>
        <row r="188">
          <cell r="B188">
            <v>186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</row>
        <row r="189">
          <cell r="B189">
            <v>187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</row>
        <row r="190">
          <cell r="B190">
            <v>188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</row>
        <row r="191">
          <cell r="B191">
            <v>189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</row>
        <row r="192">
          <cell r="B192">
            <v>190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</row>
        <row r="193">
          <cell r="B193">
            <v>191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</row>
        <row r="194">
          <cell r="B194">
            <v>192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</row>
        <row r="195">
          <cell r="B195">
            <v>193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</row>
        <row r="196">
          <cell r="B196">
            <v>194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</row>
        <row r="197">
          <cell r="B197">
            <v>195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</row>
        <row r="198">
          <cell r="B198">
            <v>196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</row>
        <row r="199">
          <cell r="B199">
            <v>197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</row>
        <row r="200">
          <cell r="B200">
            <v>198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</row>
        <row r="201">
          <cell r="B201">
            <v>199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</row>
        <row r="202">
          <cell r="B202">
            <v>200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</row>
        <row r="203">
          <cell r="B203">
            <v>201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</row>
        <row r="204">
          <cell r="B204">
            <v>202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</row>
        <row r="205">
          <cell r="B205">
            <v>203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</row>
        <row r="206">
          <cell r="B206">
            <v>204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</row>
        <row r="207">
          <cell r="B207">
            <v>205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</row>
        <row r="208">
          <cell r="B208">
            <v>206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</row>
        <row r="209">
          <cell r="B209">
            <v>207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</row>
        <row r="210">
          <cell r="B210">
            <v>208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</row>
        <row r="211">
          <cell r="B211">
            <v>209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</row>
        <row r="212">
          <cell r="B212">
            <v>210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</row>
        <row r="213">
          <cell r="B213">
            <v>211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</row>
        <row r="214">
          <cell r="B214">
            <v>212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</row>
        <row r="215">
          <cell r="B215">
            <v>213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ables/table1.xml><?xml version="1.0" encoding="utf-8"?>
<table xmlns="http://schemas.openxmlformats.org/spreadsheetml/2006/main" id="1" name="Table3" displayName="Table3" ref="A5:G68" totalsRowShown="0" headerRowDxfId="9" dataDxfId="8" tableBorderDxfId="7" dataCellStyle="Comma [0] 2">
  <autoFilter ref="A5:G68"/>
  <tableColumns count="7">
    <tableColumn id="1" name="NO." dataDxfId="6"/>
    <tableColumn id="2" name="BULAN" dataDxfId="5"/>
    <tableColumn id="3" name="Customer" dataDxfId="4"/>
    <tableColumn id="4" name="Terima Lampiran Bonus/Transaksi Lain-Lain" dataDxfId="3"/>
    <tableColumn id="5" name="Rekap Data Bonus/Transaksi Lain-Lain" dataDxfId="2"/>
    <tableColumn id="6" name="Tercapai (Hari)" dataDxfId="1">
      <calculatedColumnFormula>+Table3[[#This Row],[Rekap Data Bonus/Transaksi Lain-Lain]]-Table3[[#This Row],[Terima Lampiran Bonus/Transaksi Lain-Lain]]</calculatedColumnFormula>
    </tableColumn>
    <tableColumn id="7" name="Ket" dataDxfId="0"/>
  </tableColumns>
  <tableStyleInfo name="TableStyleMedium2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B1:Y204"/>
  <sheetViews>
    <sheetView showGridLines="0" topLeftCell="L16" zoomScaleNormal="100" workbookViewId="0">
      <selection activeCell="Q19" sqref="Q19"/>
    </sheetView>
  </sheetViews>
  <sheetFormatPr defaultRowHeight="15" x14ac:dyDescent="0.25"/>
  <cols>
    <col min="1" max="1" width="3" customWidth="1"/>
    <col min="2" max="2" width="4.5703125" customWidth="1"/>
    <col min="3" max="3" width="6" customWidth="1"/>
    <col min="4" max="4" width="16.140625" customWidth="1"/>
    <col min="5" max="5" width="19.7109375" bestFit="1" customWidth="1"/>
    <col min="10" max="10" width="5.5703125" bestFit="1" customWidth="1"/>
    <col min="11" max="11" width="9.5703125" bestFit="1" customWidth="1"/>
    <col min="12" max="12" width="11.140625" customWidth="1"/>
    <col min="14" max="14" width="42.85546875" bestFit="1" customWidth="1"/>
    <col min="15" max="15" width="15.140625" bestFit="1" customWidth="1"/>
    <col min="16" max="16" width="17.5703125" bestFit="1" customWidth="1"/>
    <col min="17" max="17" width="11.7109375" bestFit="1" customWidth="1"/>
  </cols>
  <sheetData>
    <row r="1" spans="2:18" x14ac:dyDescent="0.25">
      <c r="B1" s="360" t="s">
        <v>0</v>
      </c>
      <c r="C1" s="361"/>
      <c r="D1" s="361"/>
      <c r="E1" s="362"/>
    </row>
    <row r="2" spans="2:18" x14ac:dyDescent="0.25">
      <c r="B2" s="363"/>
      <c r="C2" s="364"/>
      <c r="D2" s="364"/>
      <c r="E2" s="365"/>
    </row>
    <row r="3" spans="2:18" x14ac:dyDescent="0.25">
      <c r="B3" s="366" t="s">
        <v>1</v>
      </c>
      <c r="C3" s="367"/>
      <c r="D3" s="368"/>
      <c r="E3" s="1" t="s">
        <v>2</v>
      </c>
    </row>
    <row r="4" spans="2:18" x14ac:dyDescent="0.25">
      <c r="B4" s="366" t="s">
        <v>3</v>
      </c>
      <c r="C4" s="367"/>
      <c r="D4" s="368"/>
      <c r="E4" s="2" t="s">
        <v>4</v>
      </c>
    </row>
    <row r="5" spans="2:18" x14ac:dyDescent="0.25">
      <c r="B5" s="366" t="s">
        <v>5</v>
      </c>
      <c r="C5" s="367"/>
      <c r="D5" s="368"/>
      <c r="E5" s="2" t="s">
        <v>6</v>
      </c>
    </row>
    <row r="6" spans="2:18" x14ac:dyDescent="0.25">
      <c r="B6" s="366" t="s">
        <v>7</v>
      </c>
      <c r="C6" s="367"/>
      <c r="D6" s="368"/>
      <c r="E6" s="3">
        <v>44075</v>
      </c>
    </row>
    <row r="7" spans="2:18" x14ac:dyDescent="0.25">
      <c r="B7" s="366" t="s">
        <v>8</v>
      </c>
      <c r="C7" s="367"/>
      <c r="D7" s="368"/>
      <c r="E7" s="4" t="s">
        <v>9</v>
      </c>
    </row>
    <row r="8" spans="2:18" x14ac:dyDescent="0.25">
      <c r="B8" s="366" t="s">
        <v>10</v>
      </c>
      <c r="C8" s="367"/>
      <c r="D8" s="368"/>
      <c r="E8" s="5">
        <v>44136</v>
      </c>
    </row>
    <row r="10" spans="2:18" x14ac:dyDescent="0.25">
      <c r="B10" s="369" t="s">
        <v>11</v>
      </c>
      <c r="C10" s="370"/>
      <c r="D10" s="370"/>
      <c r="E10" s="370"/>
      <c r="F10" s="370"/>
      <c r="G10" s="370"/>
      <c r="H10" s="373" t="s">
        <v>12</v>
      </c>
      <c r="I10" s="374"/>
      <c r="J10" s="374"/>
      <c r="K10" s="374"/>
      <c r="L10" s="375"/>
    </row>
    <row r="11" spans="2:18" x14ac:dyDescent="0.25">
      <c r="B11" s="371"/>
      <c r="C11" s="372"/>
      <c r="D11" s="372"/>
      <c r="E11" s="372"/>
      <c r="F11" s="372"/>
      <c r="G11" s="372"/>
      <c r="H11" s="376"/>
      <c r="I11" s="377"/>
      <c r="J11" s="377"/>
      <c r="K11" s="377"/>
      <c r="L11" s="378"/>
    </row>
    <row r="12" spans="2:18" x14ac:dyDescent="0.25">
      <c r="B12" s="305">
        <v>1</v>
      </c>
      <c r="C12" s="379" t="s">
        <v>13</v>
      </c>
      <c r="D12" s="379"/>
      <c r="E12" s="379"/>
      <c r="F12" s="379"/>
      <c r="G12" s="379"/>
      <c r="H12" s="297" t="s">
        <v>14</v>
      </c>
      <c r="I12" s="297"/>
      <c r="J12" s="297"/>
      <c r="K12" s="297"/>
      <c r="L12" s="6" t="s">
        <v>15</v>
      </c>
      <c r="N12" s="7" t="s">
        <v>16</v>
      </c>
      <c r="O12" s="8" t="s">
        <v>17</v>
      </c>
      <c r="P12" s="8" t="s">
        <v>18</v>
      </c>
      <c r="Q12" s="8" t="s">
        <v>19</v>
      </c>
      <c r="R12" s="9"/>
    </row>
    <row r="13" spans="2:18" x14ac:dyDescent="0.25">
      <c r="B13" s="305"/>
      <c r="C13" s="379"/>
      <c r="D13" s="379"/>
      <c r="E13" s="379"/>
      <c r="F13" s="379"/>
      <c r="G13" s="379"/>
      <c r="H13" s="297" t="s">
        <v>20</v>
      </c>
      <c r="I13" s="297"/>
      <c r="J13" s="297"/>
      <c r="K13" s="297"/>
      <c r="L13" s="6" t="s">
        <v>21</v>
      </c>
      <c r="N13" s="10" t="s">
        <v>22</v>
      </c>
      <c r="O13" s="11">
        <v>0.4</v>
      </c>
      <c r="P13" s="12">
        <f>H34</f>
        <v>108.80000000000001</v>
      </c>
      <c r="Q13" s="13">
        <f t="shared" ref="Q13:Q15" si="0">O13*P13</f>
        <v>43.52000000000001</v>
      </c>
    </row>
    <row r="14" spans="2:18" x14ac:dyDescent="0.25">
      <c r="B14" s="305"/>
      <c r="C14" s="379"/>
      <c r="D14" s="379"/>
      <c r="E14" s="379"/>
      <c r="F14" s="379"/>
      <c r="G14" s="379"/>
      <c r="H14" s="297" t="s">
        <v>23</v>
      </c>
      <c r="I14" s="297"/>
      <c r="J14" s="297"/>
      <c r="K14" s="297"/>
      <c r="L14" s="6" t="s">
        <v>24</v>
      </c>
      <c r="N14" s="14" t="s">
        <v>25</v>
      </c>
      <c r="O14" s="15">
        <v>0.4</v>
      </c>
      <c r="P14" s="16">
        <f>H95</f>
        <v>143</v>
      </c>
      <c r="Q14" s="17">
        <f t="shared" si="0"/>
        <v>57.2</v>
      </c>
    </row>
    <row r="15" spans="2:18" x14ac:dyDescent="0.25">
      <c r="B15" s="305"/>
      <c r="C15" s="379"/>
      <c r="D15" s="379"/>
      <c r="E15" s="379"/>
      <c r="F15" s="379"/>
      <c r="G15" s="379"/>
      <c r="H15" s="297" t="s">
        <v>26</v>
      </c>
      <c r="I15" s="297"/>
      <c r="J15" s="297"/>
      <c r="K15" s="297"/>
      <c r="L15" s="6">
        <v>110</v>
      </c>
      <c r="N15" s="18" t="s">
        <v>27</v>
      </c>
      <c r="O15" s="19">
        <v>0.2</v>
      </c>
      <c r="P15" s="20">
        <f>H177</f>
        <v>104</v>
      </c>
      <c r="Q15" s="21">
        <f t="shared" si="0"/>
        <v>20.8</v>
      </c>
    </row>
    <row r="16" spans="2:18" ht="15.75" customHeight="1" x14ac:dyDescent="0.25">
      <c r="B16" s="305"/>
      <c r="C16" s="380" t="s">
        <v>28</v>
      </c>
      <c r="D16" s="380"/>
      <c r="E16" s="380"/>
      <c r="F16" s="380"/>
      <c r="G16" s="380"/>
      <c r="H16" s="297" t="s">
        <v>29</v>
      </c>
      <c r="I16" s="297"/>
      <c r="J16" s="297"/>
      <c r="K16" s="297"/>
      <c r="L16" s="297"/>
      <c r="N16" s="22" t="s">
        <v>30</v>
      </c>
      <c r="O16" s="23">
        <f>SUM(O13:O15)</f>
        <v>1</v>
      </c>
      <c r="P16" s="24"/>
      <c r="Q16" s="24">
        <f>SUM(Q13:Q15)</f>
        <v>121.52000000000001</v>
      </c>
      <c r="R16" s="25"/>
    </row>
    <row r="17" spans="2:25" ht="15.75" customHeight="1" x14ac:dyDescent="0.25">
      <c r="B17" s="305"/>
      <c r="C17" s="297">
        <v>1</v>
      </c>
      <c r="D17" s="309" t="s">
        <v>31</v>
      </c>
      <c r="E17" s="309"/>
      <c r="F17" s="309"/>
      <c r="G17" s="309"/>
      <c r="H17" s="26" t="s">
        <v>32</v>
      </c>
      <c r="I17" s="27">
        <v>0.6</v>
      </c>
      <c r="J17" s="297" t="s">
        <v>33</v>
      </c>
      <c r="K17" s="297"/>
      <c r="L17" s="297"/>
      <c r="N17" s="28"/>
      <c r="O17" s="29"/>
      <c r="P17" s="30"/>
      <c r="Q17" s="30"/>
      <c r="R17" s="25"/>
    </row>
    <row r="18" spans="2:25" ht="15" customHeight="1" x14ac:dyDescent="0.25">
      <c r="B18" s="305"/>
      <c r="C18" s="297"/>
      <c r="D18" s="309"/>
      <c r="E18" s="309"/>
      <c r="F18" s="309"/>
      <c r="G18" s="309"/>
      <c r="H18" s="311">
        <v>4</v>
      </c>
      <c r="I18" s="311">
        <f>VLOOKUP(H18,$J$18:$L$23,3,0)*I17</f>
        <v>66</v>
      </c>
      <c r="J18" s="6">
        <v>5</v>
      </c>
      <c r="K18" s="6" t="s">
        <v>34</v>
      </c>
      <c r="L18" s="6">
        <v>115</v>
      </c>
      <c r="N18" s="28"/>
      <c r="O18" s="356" t="s">
        <v>16</v>
      </c>
      <c r="P18" s="31" t="s">
        <v>17</v>
      </c>
      <c r="Q18" s="31" t="s">
        <v>35</v>
      </c>
      <c r="R18" s="28"/>
      <c r="W18" s="32"/>
      <c r="X18" s="32"/>
      <c r="Y18" s="32"/>
    </row>
    <row r="19" spans="2:25" x14ac:dyDescent="0.25">
      <c r="B19" s="305"/>
      <c r="C19" s="297"/>
      <c r="D19" s="309"/>
      <c r="E19" s="309"/>
      <c r="F19" s="309"/>
      <c r="G19" s="309"/>
      <c r="H19" s="311"/>
      <c r="I19" s="311"/>
      <c r="J19" s="6">
        <v>4</v>
      </c>
      <c r="K19" s="6" t="s">
        <v>34</v>
      </c>
      <c r="L19" s="6">
        <v>110</v>
      </c>
      <c r="N19" s="32"/>
      <c r="O19" s="357"/>
      <c r="P19" s="33">
        <v>0.6</v>
      </c>
      <c r="Q19" s="34">
        <f>P19*Q16</f>
        <v>72.912000000000006</v>
      </c>
    </row>
    <row r="20" spans="2:25" x14ac:dyDescent="0.25">
      <c r="B20" s="305"/>
      <c r="C20" s="297"/>
      <c r="D20" s="309"/>
      <c r="E20" s="309"/>
      <c r="F20" s="309"/>
      <c r="G20" s="309"/>
      <c r="H20" s="311"/>
      <c r="I20" s="311"/>
      <c r="J20" s="6">
        <v>3</v>
      </c>
      <c r="K20" s="6" t="s">
        <v>34</v>
      </c>
      <c r="L20" s="6">
        <v>105</v>
      </c>
    </row>
    <row r="21" spans="2:25" x14ac:dyDescent="0.25">
      <c r="B21" s="305"/>
      <c r="C21" s="297"/>
      <c r="D21" s="309"/>
      <c r="E21" s="309"/>
      <c r="F21" s="309"/>
      <c r="G21" s="309"/>
      <c r="H21" s="311"/>
      <c r="I21" s="311"/>
      <c r="J21" s="6">
        <v>2</v>
      </c>
      <c r="K21" s="6" t="s">
        <v>34</v>
      </c>
      <c r="L21" s="6">
        <v>100</v>
      </c>
      <c r="N21" s="7" t="s">
        <v>36</v>
      </c>
      <c r="O21" s="8" t="s">
        <v>17</v>
      </c>
      <c r="P21" s="8" t="s">
        <v>18</v>
      </c>
      <c r="Q21" s="8" t="s">
        <v>19</v>
      </c>
    </row>
    <row r="22" spans="2:25" ht="18.75" customHeight="1" x14ac:dyDescent="0.25">
      <c r="B22" s="305"/>
      <c r="C22" s="297"/>
      <c r="D22" s="297" t="s">
        <v>37</v>
      </c>
      <c r="E22" s="297"/>
      <c r="F22" s="297"/>
      <c r="G22" s="297"/>
      <c r="H22" s="311"/>
      <c r="I22" s="311"/>
      <c r="J22" s="35">
        <v>1</v>
      </c>
      <c r="K22" s="6" t="s">
        <v>34</v>
      </c>
      <c r="L22" s="6">
        <v>90</v>
      </c>
      <c r="N22" s="10" t="s">
        <v>22</v>
      </c>
      <c r="O22" s="11">
        <v>0.4</v>
      </c>
      <c r="P22" s="12">
        <f>H71</f>
        <v>109.55000000000001</v>
      </c>
      <c r="Q22" s="13">
        <f>O22*P22</f>
        <v>43.820000000000007</v>
      </c>
    </row>
    <row r="23" spans="2:25" x14ac:dyDescent="0.25">
      <c r="B23" s="305"/>
      <c r="C23" s="297"/>
      <c r="D23" s="297" t="s">
        <v>38</v>
      </c>
      <c r="E23" s="297"/>
      <c r="F23" s="297"/>
      <c r="G23" s="297"/>
      <c r="H23" s="311"/>
      <c r="I23" s="311"/>
      <c r="J23" s="6">
        <v>0</v>
      </c>
      <c r="K23" s="6" t="s">
        <v>34</v>
      </c>
      <c r="L23" s="6">
        <v>50</v>
      </c>
      <c r="N23" s="14" t="s">
        <v>25</v>
      </c>
      <c r="O23" s="15">
        <v>0.4</v>
      </c>
      <c r="P23" s="16">
        <f>H129</f>
        <v>98.6</v>
      </c>
      <c r="Q23" s="17">
        <f t="shared" ref="Q23:Q24" si="1">O23*P23</f>
        <v>39.44</v>
      </c>
    </row>
    <row r="24" spans="2:25" x14ac:dyDescent="0.25">
      <c r="B24" s="305"/>
      <c r="C24" s="297"/>
      <c r="D24" s="297"/>
      <c r="E24" s="297"/>
      <c r="F24" s="297"/>
      <c r="G24" s="297"/>
      <c r="H24" s="297" t="s">
        <v>29</v>
      </c>
      <c r="I24" s="297"/>
      <c r="J24" s="297"/>
      <c r="K24" s="297"/>
      <c r="L24" s="297"/>
      <c r="N24" s="18" t="s">
        <v>27</v>
      </c>
      <c r="O24" s="19">
        <v>0.2</v>
      </c>
      <c r="P24" s="20">
        <v>104</v>
      </c>
      <c r="Q24" s="21">
        <f t="shared" si="1"/>
        <v>20.8</v>
      </c>
    </row>
    <row r="25" spans="2:25" x14ac:dyDescent="0.25">
      <c r="B25" s="305"/>
      <c r="C25" s="297">
        <v>2</v>
      </c>
      <c r="D25" s="309" t="s">
        <v>39</v>
      </c>
      <c r="E25" s="309"/>
      <c r="F25" s="309"/>
      <c r="G25" s="309"/>
      <c r="H25" s="26" t="s">
        <v>32</v>
      </c>
      <c r="I25" s="27">
        <v>0.4</v>
      </c>
      <c r="J25" s="297" t="s">
        <v>40</v>
      </c>
      <c r="K25" s="297"/>
      <c r="L25" s="297"/>
      <c r="N25" s="36" t="s">
        <v>30</v>
      </c>
      <c r="O25" s="23">
        <f>SUM(O22:O24)</f>
        <v>1</v>
      </c>
      <c r="P25" s="24"/>
      <c r="Q25" s="24">
        <f>SUM(Q22:Q24)</f>
        <v>104.06</v>
      </c>
    </row>
    <row r="26" spans="2:25" x14ac:dyDescent="0.25">
      <c r="B26" s="305"/>
      <c r="C26" s="297"/>
      <c r="D26" s="309"/>
      <c r="E26" s="309"/>
      <c r="F26" s="309"/>
      <c r="G26" s="309"/>
      <c r="H26" s="299">
        <v>9</v>
      </c>
      <c r="I26" s="311">
        <f>VLOOKUP(H26,$J$26:$L$33,3,0)*I25</f>
        <v>42.800000000000004</v>
      </c>
      <c r="J26" s="6">
        <v>10</v>
      </c>
      <c r="K26" s="6" t="s">
        <v>41</v>
      </c>
      <c r="L26" s="6">
        <v>110</v>
      </c>
      <c r="N26" s="28"/>
      <c r="O26" s="29"/>
      <c r="P26" s="30"/>
      <c r="Q26" s="30"/>
    </row>
    <row r="27" spans="2:25" x14ac:dyDescent="0.25">
      <c r="B27" s="305"/>
      <c r="C27" s="297"/>
      <c r="D27" s="297" t="s">
        <v>37</v>
      </c>
      <c r="E27" s="297"/>
      <c r="F27" s="297"/>
      <c r="G27" s="297"/>
      <c r="H27" s="300"/>
      <c r="I27" s="311"/>
      <c r="J27" s="6">
        <v>9</v>
      </c>
      <c r="K27" s="6" t="s">
        <v>41</v>
      </c>
      <c r="L27" s="6">
        <v>107</v>
      </c>
      <c r="N27" s="28"/>
      <c r="O27" s="356" t="s">
        <v>36</v>
      </c>
      <c r="P27" s="31" t="s">
        <v>17</v>
      </c>
      <c r="Q27" s="31" t="s">
        <v>35</v>
      </c>
    </row>
    <row r="28" spans="2:25" x14ac:dyDescent="0.25">
      <c r="B28" s="305"/>
      <c r="C28" s="297"/>
      <c r="D28" s="309" t="s">
        <v>42</v>
      </c>
      <c r="E28" s="309"/>
      <c r="F28" s="309"/>
      <c r="G28" s="309"/>
      <c r="H28" s="300"/>
      <c r="I28" s="311"/>
      <c r="J28" s="6">
        <v>8</v>
      </c>
      <c r="K28" s="6" t="s">
        <v>41</v>
      </c>
      <c r="L28" s="6">
        <v>105</v>
      </c>
      <c r="N28" s="32"/>
      <c r="O28" s="357"/>
      <c r="P28" s="33">
        <v>0.4</v>
      </c>
      <c r="Q28" s="34">
        <f>P28*Q25</f>
        <v>41.624000000000002</v>
      </c>
    </row>
    <row r="29" spans="2:25" x14ac:dyDescent="0.25">
      <c r="B29" s="305"/>
      <c r="C29" s="297"/>
      <c r="D29" s="309"/>
      <c r="E29" s="309"/>
      <c r="F29" s="309"/>
      <c r="G29" s="309"/>
      <c r="H29" s="300"/>
      <c r="I29" s="311"/>
      <c r="J29" s="6">
        <v>7</v>
      </c>
      <c r="K29" s="6" t="s">
        <v>41</v>
      </c>
      <c r="L29" s="6">
        <v>102</v>
      </c>
    </row>
    <row r="30" spans="2:25" x14ac:dyDescent="0.25">
      <c r="B30" s="305"/>
      <c r="C30" s="297"/>
      <c r="D30" s="309"/>
      <c r="E30" s="309"/>
      <c r="F30" s="309"/>
      <c r="G30" s="309"/>
      <c r="H30" s="300"/>
      <c r="I30" s="311"/>
      <c r="J30" s="6">
        <v>6</v>
      </c>
      <c r="K30" s="6" t="s">
        <v>41</v>
      </c>
      <c r="L30" s="6">
        <v>100</v>
      </c>
    </row>
    <row r="31" spans="2:25" x14ac:dyDescent="0.25">
      <c r="B31" s="305"/>
      <c r="C31" s="297"/>
      <c r="D31" s="309"/>
      <c r="E31" s="309"/>
      <c r="F31" s="309"/>
      <c r="G31" s="309"/>
      <c r="H31" s="300"/>
      <c r="I31" s="311"/>
      <c r="J31" s="6">
        <v>5</v>
      </c>
      <c r="K31" s="6" t="s">
        <v>41</v>
      </c>
      <c r="L31" s="6">
        <v>95</v>
      </c>
      <c r="N31" s="9"/>
      <c r="O31" s="8" t="s">
        <v>43</v>
      </c>
      <c r="P31" s="358">
        <f>Q19+Q28</f>
        <v>114.536</v>
      </c>
      <c r="Q31" s="358"/>
    </row>
    <row r="32" spans="2:25" ht="15" customHeight="1" x14ac:dyDescent="0.25">
      <c r="B32" s="305"/>
      <c r="C32" s="297"/>
      <c r="D32" s="309"/>
      <c r="E32" s="309"/>
      <c r="F32" s="309"/>
      <c r="G32" s="309"/>
      <c r="H32" s="300"/>
      <c r="I32" s="311"/>
      <c r="J32" s="6">
        <v>4</v>
      </c>
      <c r="K32" s="6" t="s">
        <v>41</v>
      </c>
      <c r="L32" s="35">
        <v>90</v>
      </c>
      <c r="O32" s="37" t="s">
        <v>44</v>
      </c>
      <c r="P32" s="358"/>
      <c r="Q32" s="358"/>
    </row>
    <row r="33" spans="2:17" x14ac:dyDescent="0.25">
      <c r="B33" s="305"/>
      <c r="C33" s="297"/>
      <c r="D33" s="309"/>
      <c r="E33" s="309"/>
      <c r="F33" s="309"/>
      <c r="G33" s="309"/>
      <c r="H33" s="301"/>
      <c r="I33" s="311"/>
      <c r="J33" s="6">
        <v>3</v>
      </c>
      <c r="K33" s="6" t="s">
        <v>41</v>
      </c>
      <c r="L33" s="35">
        <v>85</v>
      </c>
      <c r="O33" s="31" t="s">
        <v>45</v>
      </c>
      <c r="P33" s="359" t="str">
        <f>IF(P31&lt;90,"POOR",IF(P31&lt;=100,"GOOD",IF(P31&lt;=110,"Very Good",IF(P31&gt;110,"Excellent"))))</f>
        <v>Excellent</v>
      </c>
      <c r="Q33" s="359"/>
    </row>
    <row r="34" spans="2:17" x14ac:dyDescent="0.25">
      <c r="B34" s="305"/>
      <c r="C34" s="302" t="s">
        <v>46</v>
      </c>
      <c r="D34" s="303"/>
      <c r="E34" s="303"/>
      <c r="F34" s="303"/>
      <c r="G34" s="304"/>
      <c r="H34" s="312">
        <f>SUM(I18,I26)</f>
        <v>108.80000000000001</v>
      </c>
      <c r="I34" s="313"/>
      <c r="J34" s="313"/>
      <c r="K34" s="313"/>
      <c r="L34" s="314"/>
    </row>
    <row r="35" spans="2:17" x14ac:dyDescent="0.25">
      <c r="B35" s="305"/>
      <c r="C35" s="297" t="s">
        <v>47</v>
      </c>
      <c r="D35" s="297"/>
      <c r="E35" s="297"/>
      <c r="F35" s="297"/>
      <c r="G35" s="297"/>
      <c r="H35" s="297" t="s">
        <v>29</v>
      </c>
      <c r="I35" s="297"/>
      <c r="J35" s="297"/>
      <c r="K35" s="297"/>
      <c r="L35" s="297"/>
    </row>
    <row r="36" spans="2:17" ht="15" customHeight="1" x14ac:dyDescent="0.25">
      <c r="B36" s="305"/>
      <c r="C36" s="297">
        <v>1</v>
      </c>
      <c r="D36" s="309" t="s">
        <v>48</v>
      </c>
      <c r="E36" s="309"/>
      <c r="F36" s="309"/>
      <c r="G36" s="309"/>
      <c r="H36" s="26" t="s">
        <v>32</v>
      </c>
      <c r="I36" s="27">
        <v>0.25</v>
      </c>
      <c r="J36" s="297" t="s">
        <v>49</v>
      </c>
      <c r="K36" s="297"/>
      <c r="L36" s="297"/>
    </row>
    <row r="37" spans="2:17" x14ac:dyDescent="0.25">
      <c r="B37" s="305"/>
      <c r="C37" s="297"/>
      <c r="D37" s="309"/>
      <c r="E37" s="309"/>
      <c r="F37" s="309"/>
      <c r="G37" s="309"/>
      <c r="H37" s="311">
        <v>8</v>
      </c>
      <c r="I37" s="311">
        <f>115*I36</f>
        <v>28.75</v>
      </c>
      <c r="J37" s="35">
        <v>4</v>
      </c>
      <c r="K37" s="35" t="s">
        <v>50</v>
      </c>
      <c r="L37" s="35">
        <v>115</v>
      </c>
    </row>
    <row r="38" spans="2:17" x14ac:dyDescent="0.25">
      <c r="B38" s="305"/>
      <c r="C38" s="297"/>
      <c r="D38" s="309"/>
      <c r="E38" s="309"/>
      <c r="F38" s="309"/>
      <c r="G38" s="309"/>
      <c r="H38" s="311"/>
      <c r="I38" s="311"/>
      <c r="J38" s="35">
        <v>3</v>
      </c>
      <c r="K38" s="35" t="s">
        <v>50</v>
      </c>
      <c r="L38" s="35">
        <v>110</v>
      </c>
    </row>
    <row r="39" spans="2:17" x14ac:dyDescent="0.25">
      <c r="B39" s="305"/>
      <c r="C39" s="297"/>
      <c r="D39" s="337" t="s">
        <v>37</v>
      </c>
      <c r="E39" s="338"/>
      <c r="F39" s="338"/>
      <c r="G39" s="339"/>
      <c r="H39" s="311"/>
      <c r="I39" s="311"/>
      <c r="J39" s="35">
        <v>2</v>
      </c>
      <c r="K39" s="35" t="s">
        <v>50</v>
      </c>
      <c r="L39" s="35">
        <v>105</v>
      </c>
    </row>
    <row r="40" spans="2:17" ht="15" customHeight="1" x14ac:dyDescent="0.25">
      <c r="B40" s="305"/>
      <c r="C40" s="297"/>
      <c r="D40" s="309" t="s">
        <v>51</v>
      </c>
      <c r="E40" s="309"/>
      <c r="F40" s="309"/>
      <c r="G40" s="309"/>
      <c r="H40" s="311"/>
      <c r="I40" s="311"/>
      <c r="J40" s="35">
        <v>1</v>
      </c>
      <c r="K40" s="35" t="s">
        <v>50</v>
      </c>
      <c r="L40" s="35">
        <v>100</v>
      </c>
    </row>
    <row r="41" spans="2:17" x14ac:dyDescent="0.25">
      <c r="B41" s="305"/>
      <c r="C41" s="297"/>
      <c r="D41" s="309"/>
      <c r="E41" s="309"/>
      <c r="F41" s="309"/>
      <c r="G41" s="309"/>
      <c r="H41" s="311"/>
      <c r="I41" s="311"/>
      <c r="J41" s="35">
        <v>0</v>
      </c>
      <c r="K41" s="35" t="s">
        <v>50</v>
      </c>
      <c r="L41" s="35">
        <v>50</v>
      </c>
    </row>
    <row r="42" spans="2:17" x14ac:dyDescent="0.25">
      <c r="B42" s="305"/>
      <c r="C42" s="297"/>
      <c r="D42" s="309"/>
      <c r="E42" s="309"/>
      <c r="F42" s="309"/>
      <c r="G42" s="309"/>
      <c r="H42" s="297" t="s">
        <v>29</v>
      </c>
      <c r="I42" s="297"/>
      <c r="J42" s="297"/>
      <c r="K42" s="297"/>
      <c r="L42" s="297"/>
    </row>
    <row r="43" spans="2:17" ht="15" customHeight="1" x14ac:dyDescent="0.25">
      <c r="B43" s="305"/>
      <c r="C43" s="297">
        <v>2</v>
      </c>
      <c r="D43" s="318" t="s">
        <v>52</v>
      </c>
      <c r="E43" s="279"/>
      <c r="F43" s="279"/>
      <c r="G43" s="319"/>
      <c r="H43" s="26" t="s">
        <v>32</v>
      </c>
      <c r="I43" s="27">
        <v>0.3</v>
      </c>
      <c r="J43" s="297" t="s">
        <v>53</v>
      </c>
      <c r="K43" s="297"/>
      <c r="L43" s="297"/>
    </row>
    <row r="44" spans="2:17" x14ac:dyDescent="0.25">
      <c r="B44" s="305"/>
      <c r="C44" s="297"/>
      <c r="D44" s="335"/>
      <c r="E44" s="280"/>
      <c r="F44" s="280"/>
      <c r="G44" s="336"/>
      <c r="H44" s="311" t="s">
        <v>54</v>
      </c>
      <c r="I44" s="311">
        <f>98*I43</f>
        <v>29.4</v>
      </c>
      <c r="J44" s="35">
        <v>0</v>
      </c>
      <c r="K44" s="35" t="s">
        <v>55</v>
      </c>
      <c r="L44" s="35">
        <v>120</v>
      </c>
    </row>
    <row r="45" spans="2:17" x14ac:dyDescent="0.25">
      <c r="B45" s="305"/>
      <c r="C45" s="297"/>
      <c r="D45" s="335"/>
      <c r="E45" s="280"/>
      <c r="F45" s="280"/>
      <c r="G45" s="336"/>
      <c r="H45" s="311"/>
      <c r="I45" s="311"/>
      <c r="J45" s="35">
        <v>1</v>
      </c>
      <c r="K45" s="35" t="s">
        <v>55</v>
      </c>
      <c r="L45" s="35">
        <v>110</v>
      </c>
    </row>
    <row r="46" spans="2:17" ht="15" customHeight="1" x14ac:dyDescent="0.25">
      <c r="B46" s="305"/>
      <c r="C46" s="297"/>
      <c r="D46" s="320"/>
      <c r="E46" s="321"/>
      <c r="F46" s="321"/>
      <c r="G46" s="322"/>
      <c r="H46" s="311"/>
      <c r="I46" s="311"/>
      <c r="J46" s="35">
        <v>2</v>
      </c>
      <c r="K46" s="35" t="s">
        <v>55</v>
      </c>
      <c r="L46" s="35">
        <v>105</v>
      </c>
    </row>
    <row r="47" spans="2:17" ht="14.25" customHeight="1" x14ac:dyDescent="0.25">
      <c r="B47" s="305"/>
      <c r="C47" s="297"/>
      <c r="D47" s="318" t="s">
        <v>56</v>
      </c>
      <c r="E47" s="279"/>
      <c r="F47" s="279"/>
      <c r="G47" s="319"/>
      <c r="H47" s="311"/>
      <c r="I47" s="311"/>
      <c r="J47" s="35">
        <v>3</v>
      </c>
      <c r="K47" s="35" t="s">
        <v>55</v>
      </c>
      <c r="L47" s="35">
        <v>100</v>
      </c>
    </row>
    <row r="48" spans="2:17" x14ac:dyDescent="0.25">
      <c r="B48" s="305"/>
      <c r="C48" s="297"/>
      <c r="D48" s="335"/>
      <c r="E48" s="280"/>
      <c r="F48" s="280"/>
      <c r="G48" s="336"/>
      <c r="H48" s="311"/>
      <c r="I48" s="311"/>
      <c r="J48" s="35">
        <v>4</v>
      </c>
      <c r="K48" s="35" t="s">
        <v>55</v>
      </c>
      <c r="L48" s="35">
        <v>95</v>
      </c>
    </row>
    <row r="49" spans="2:12" x14ac:dyDescent="0.25">
      <c r="B49" s="305"/>
      <c r="C49" s="297"/>
      <c r="D49" s="335"/>
      <c r="E49" s="280"/>
      <c r="F49" s="280"/>
      <c r="G49" s="336"/>
      <c r="H49" s="311"/>
      <c r="I49" s="311"/>
      <c r="J49" s="35">
        <v>5</v>
      </c>
      <c r="K49" s="35" t="s">
        <v>55</v>
      </c>
      <c r="L49" s="35">
        <v>90</v>
      </c>
    </row>
    <row r="50" spans="2:12" x14ac:dyDescent="0.25">
      <c r="B50" s="305"/>
      <c r="C50" s="297"/>
      <c r="D50" s="335"/>
      <c r="E50" s="280"/>
      <c r="F50" s="280"/>
      <c r="G50" s="336"/>
      <c r="H50" s="311"/>
      <c r="I50" s="311"/>
      <c r="J50" s="35">
        <v>6</v>
      </c>
      <c r="K50" s="35" t="s">
        <v>55</v>
      </c>
      <c r="L50" s="35">
        <v>85</v>
      </c>
    </row>
    <row r="51" spans="2:12" x14ac:dyDescent="0.25">
      <c r="B51" s="305"/>
      <c r="C51" s="297"/>
      <c r="D51" s="335"/>
      <c r="E51" s="280"/>
      <c r="F51" s="280"/>
      <c r="G51" s="336"/>
      <c r="H51" s="311"/>
      <c r="I51" s="311"/>
      <c r="J51" s="35">
        <v>7</v>
      </c>
      <c r="K51" s="35" t="s">
        <v>55</v>
      </c>
      <c r="L51" s="35">
        <v>80</v>
      </c>
    </row>
    <row r="52" spans="2:12" x14ac:dyDescent="0.25">
      <c r="B52" s="305"/>
      <c r="C52" s="297"/>
      <c r="D52" s="320"/>
      <c r="E52" s="321"/>
      <c r="F52" s="321"/>
      <c r="G52" s="322"/>
      <c r="H52" s="297" t="s">
        <v>29</v>
      </c>
      <c r="I52" s="297"/>
      <c r="J52" s="297"/>
      <c r="K52" s="297"/>
      <c r="L52" s="297"/>
    </row>
    <row r="53" spans="2:12" ht="15" customHeight="1" x14ac:dyDescent="0.25">
      <c r="B53" s="305"/>
      <c r="C53" s="297">
        <v>3</v>
      </c>
      <c r="D53" s="309" t="s">
        <v>57</v>
      </c>
      <c r="E53" s="309"/>
      <c r="F53" s="309"/>
      <c r="G53" s="309"/>
      <c r="H53" s="26" t="s">
        <v>32</v>
      </c>
      <c r="I53" s="27">
        <v>0.25</v>
      </c>
      <c r="J53" s="297" t="s">
        <v>53</v>
      </c>
      <c r="K53" s="297"/>
      <c r="L53" s="297"/>
    </row>
    <row r="54" spans="2:12" x14ac:dyDescent="0.25">
      <c r="B54" s="305"/>
      <c r="C54" s="297"/>
      <c r="D54" s="309"/>
      <c r="E54" s="309"/>
      <c r="F54" s="309"/>
      <c r="G54" s="309"/>
      <c r="H54" s="311">
        <v>5</v>
      </c>
      <c r="I54" s="311">
        <f>VLOOKUP(H54,$J$54:$L$59,3,0)*I53</f>
        <v>30</v>
      </c>
      <c r="J54" s="35">
        <v>5</v>
      </c>
      <c r="K54" s="35" t="s">
        <v>58</v>
      </c>
      <c r="L54" s="35">
        <v>120</v>
      </c>
    </row>
    <row r="55" spans="2:12" x14ac:dyDescent="0.25">
      <c r="B55" s="305"/>
      <c r="C55" s="297"/>
      <c r="D55" s="309"/>
      <c r="E55" s="309"/>
      <c r="F55" s="309"/>
      <c r="G55" s="309"/>
      <c r="H55" s="311"/>
      <c r="I55" s="311"/>
      <c r="J55" s="35">
        <v>4</v>
      </c>
      <c r="K55" s="35" t="s">
        <v>58</v>
      </c>
      <c r="L55" s="35">
        <v>110</v>
      </c>
    </row>
    <row r="56" spans="2:12" x14ac:dyDescent="0.25">
      <c r="B56" s="305"/>
      <c r="C56" s="297"/>
      <c r="D56" s="309"/>
      <c r="E56" s="309"/>
      <c r="F56" s="309"/>
      <c r="G56" s="309"/>
      <c r="H56" s="311"/>
      <c r="I56" s="311"/>
      <c r="J56" s="35">
        <v>3</v>
      </c>
      <c r="K56" s="35" t="s">
        <v>58</v>
      </c>
      <c r="L56" s="35">
        <v>105</v>
      </c>
    </row>
    <row r="57" spans="2:12" x14ac:dyDescent="0.25">
      <c r="B57" s="305"/>
      <c r="C57" s="297"/>
      <c r="D57" s="272" t="s">
        <v>37</v>
      </c>
      <c r="E57" s="272"/>
      <c r="F57" s="272"/>
      <c r="G57" s="272"/>
      <c r="H57" s="311"/>
      <c r="I57" s="311"/>
      <c r="J57" s="35">
        <v>2</v>
      </c>
      <c r="K57" s="35" t="s">
        <v>58</v>
      </c>
      <c r="L57" s="35">
        <v>100</v>
      </c>
    </row>
    <row r="58" spans="2:12" ht="15" customHeight="1" x14ac:dyDescent="0.25">
      <c r="B58" s="305"/>
      <c r="C58" s="297"/>
      <c r="D58" s="309" t="s">
        <v>59</v>
      </c>
      <c r="E58" s="309"/>
      <c r="F58" s="309"/>
      <c r="G58" s="309"/>
      <c r="H58" s="311"/>
      <c r="I58" s="311"/>
      <c r="J58" s="35">
        <v>1</v>
      </c>
      <c r="K58" s="35" t="s">
        <v>58</v>
      </c>
      <c r="L58" s="35">
        <v>95</v>
      </c>
    </row>
    <row r="59" spans="2:12" x14ac:dyDescent="0.25">
      <c r="B59" s="305"/>
      <c r="C59" s="297"/>
      <c r="D59" s="309"/>
      <c r="E59" s="309"/>
      <c r="F59" s="309"/>
      <c r="G59" s="309"/>
      <c r="H59" s="311"/>
      <c r="I59" s="311"/>
      <c r="J59" s="35">
        <v>0</v>
      </c>
      <c r="K59" s="35" t="s">
        <v>58</v>
      </c>
      <c r="L59" s="35">
        <v>50</v>
      </c>
    </row>
    <row r="60" spans="2:12" x14ac:dyDescent="0.25">
      <c r="B60" s="305"/>
      <c r="C60" s="297"/>
      <c r="D60" s="309"/>
      <c r="E60" s="309"/>
      <c r="F60" s="309"/>
      <c r="G60" s="309"/>
      <c r="H60" s="297" t="s">
        <v>29</v>
      </c>
      <c r="I60" s="297"/>
      <c r="J60" s="297"/>
      <c r="K60" s="297"/>
      <c r="L60" s="297"/>
    </row>
    <row r="61" spans="2:12" x14ac:dyDescent="0.25">
      <c r="B61" s="305"/>
      <c r="C61" s="297">
        <v>4</v>
      </c>
      <c r="D61" s="309" t="s">
        <v>60</v>
      </c>
      <c r="E61" s="309"/>
      <c r="F61" s="309"/>
      <c r="G61" s="309"/>
      <c r="H61" s="26" t="s">
        <v>32</v>
      </c>
      <c r="I61" s="27">
        <v>0.2</v>
      </c>
      <c r="J61" s="297" t="s">
        <v>53</v>
      </c>
      <c r="K61" s="297"/>
      <c r="L61" s="297"/>
    </row>
    <row r="62" spans="2:12" x14ac:dyDescent="0.25">
      <c r="B62" s="305"/>
      <c r="C62" s="297"/>
      <c r="D62" s="309"/>
      <c r="E62" s="309"/>
      <c r="F62" s="309"/>
      <c r="G62" s="309"/>
      <c r="H62" s="311">
        <v>9</v>
      </c>
      <c r="I62" s="311">
        <f>VLOOKUP(H62,$J$62:$L$70,3,0)*I61</f>
        <v>21.400000000000002</v>
      </c>
      <c r="J62" s="35">
        <v>10</v>
      </c>
      <c r="K62" s="35" t="s">
        <v>58</v>
      </c>
      <c r="L62" s="35">
        <v>110</v>
      </c>
    </row>
    <row r="63" spans="2:12" x14ac:dyDescent="0.25">
      <c r="B63" s="305"/>
      <c r="C63" s="297"/>
      <c r="D63" s="297" t="s">
        <v>37</v>
      </c>
      <c r="E63" s="297"/>
      <c r="F63" s="297"/>
      <c r="G63" s="297"/>
      <c r="H63" s="311"/>
      <c r="I63" s="311"/>
      <c r="J63" s="35">
        <v>9</v>
      </c>
      <c r="K63" s="35" t="s">
        <v>58</v>
      </c>
      <c r="L63" s="35">
        <v>107</v>
      </c>
    </row>
    <row r="64" spans="2:12" x14ac:dyDescent="0.25">
      <c r="B64" s="305"/>
      <c r="C64" s="297"/>
      <c r="D64" s="309" t="s">
        <v>61</v>
      </c>
      <c r="E64" s="309"/>
      <c r="F64" s="309"/>
      <c r="G64" s="309"/>
      <c r="H64" s="311"/>
      <c r="I64" s="311"/>
      <c r="J64" s="35">
        <v>8</v>
      </c>
      <c r="K64" s="35" t="s">
        <v>58</v>
      </c>
      <c r="L64" s="35">
        <v>105</v>
      </c>
    </row>
    <row r="65" spans="2:12" x14ac:dyDescent="0.25">
      <c r="B65" s="305"/>
      <c r="C65" s="297"/>
      <c r="D65" s="309"/>
      <c r="E65" s="309"/>
      <c r="F65" s="309"/>
      <c r="G65" s="309"/>
      <c r="H65" s="311"/>
      <c r="I65" s="311"/>
      <c r="J65" s="35">
        <v>7</v>
      </c>
      <c r="K65" s="35" t="s">
        <v>58</v>
      </c>
      <c r="L65" s="35">
        <v>102</v>
      </c>
    </row>
    <row r="66" spans="2:12" x14ac:dyDescent="0.25">
      <c r="B66" s="305"/>
      <c r="C66" s="297"/>
      <c r="D66" s="309"/>
      <c r="E66" s="309"/>
      <c r="F66" s="309"/>
      <c r="G66" s="309"/>
      <c r="H66" s="311"/>
      <c r="I66" s="311"/>
      <c r="J66" s="35">
        <v>6</v>
      </c>
      <c r="K66" s="35" t="s">
        <v>58</v>
      </c>
      <c r="L66" s="35">
        <v>10</v>
      </c>
    </row>
    <row r="67" spans="2:12" x14ac:dyDescent="0.25">
      <c r="B67" s="305"/>
      <c r="C67" s="297"/>
      <c r="D67" s="309"/>
      <c r="E67" s="309"/>
      <c r="F67" s="309"/>
      <c r="G67" s="309"/>
      <c r="H67" s="311"/>
      <c r="I67" s="311"/>
      <c r="J67" s="35">
        <v>5</v>
      </c>
      <c r="K67" s="35" t="s">
        <v>58</v>
      </c>
      <c r="L67" s="35">
        <v>95</v>
      </c>
    </row>
    <row r="68" spans="2:12" x14ac:dyDescent="0.25">
      <c r="B68" s="305"/>
      <c r="C68" s="297"/>
      <c r="D68" s="309"/>
      <c r="E68" s="309"/>
      <c r="F68" s="309"/>
      <c r="G68" s="309"/>
      <c r="H68" s="311"/>
      <c r="I68" s="311"/>
      <c r="J68" s="35">
        <v>4</v>
      </c>
      <c r="K68" s="35" t="s">
        <v>58</v>
      </c>
      <c r="L68" s="35">
        <v>90</v>
      </c>
    </row>
    <row r="69" spans="2:12" x14ac:dyDescent="0.25">
      <c r="B69" s="305"/>
      <c r="C69" s="297"/>
      <c r="D69" s="309"/>
      <c r="E69" s="309"/>
      <c r="F69" s="309"/>
      <c r="G69" s="309"/>
      <c r="H69" s="311"/>
      <c r="I69" s="311"/>
      <c r="J69" s="35"/>
      <c r="K69" s="35"/>
      <c r="L69" s="35"/>
    </row>
    <row r="70" spans="2:12" x14ac:dyDescent="0.25">
      <c r="B70" s="305"/>
      <c r="C70" s="297"/>
      <c r="D70" s="309"/>
      <c r="E70" s="309"/>
      <c r="F70" s="309"/>
      <c r="G70" s="309"/>
      <c r="H70" s="311"/>
      <c r="I70" s="311"/>
      <c r="J70" s="35">
        <v>3</v>
      </c>
      <c r="K70" s="35" t="s">
        <v>58</v>
      </c>
      <c r="L70" s="35">
        <v>82</v>
      </c>
    </row>
    <row r="71" spans="2:12" x14ac:dyDescent="0.25">
      <c r="B71" s="38"/>
      <c r="C71" s="302" t="s">
        <v>62</v>
      </c>
      <c r="D71" s="303"/>
      <c r="E71" s="303"/>
      <c r="F71" s="303"/>
      <c r="G71" s="304"/>
      <c r="H71" s="312">
        <f>I37+I44+I54+I62</f>
        <v>109.55000000000001</v>
      </c>
      <c r="I71" s="313"/>
      <c r="J71" s="313"/>
      <c r="K71" s="313"/>
      <c r="L71" s="314"/>
    </row>
    <row r="72" spans="2:12" ht="15" customHeight="1" x14ac:dyDescent="0.25">
      <c r="B72" s="332">
        <v>2</v>
      </c>
      <c r="C72" s="309" t="s">
        <v>63</v>
      </c>
      <c r="D72" s="309"/>
      <c r="E72" s="309"/>
      <c r="F72" s="309"/>
      <c r="G72" s="309"/>
      <c r="H72" s="343"/>
      <c r="I72" s="343"/>
      <c r="J72" s="343"/>
      <c r="K72" s="343"/>
      <c r="L72" s="343"/>
    </row>
    <row r="73" spans="2:12" x14ac:dyDescent="0.25">
      <c r="B73" s="333"/>
      <c r="C73" s="309"/>
      <c r="D73" s="309"/>
      <c r="E73" s="309"/>
      <c r="F73" s="309"/>
      <c r="G73" s="309"/>
      <c r="H73" s="343"/>
      <c r="I73" s="343"/>
      <c r="J73" s="343"/>
      <c r="K73" s="343"/>
      <c r="L73" s="343"/>
    </row>
    <row r="74" spans="2:12" x14ac:dyDescent="0.25">
      <c r="B74" s="333"/>
      <c r="C74" s="329" t="s">
        <v>64</v>
      </c>
      <c r="D74" s="330"/>
      <c r="E74" s="330"/>
      <c r="F74" s="330"/>
      <c r="G74" s="331"/>
      <c r="H74" s="297" t="s">
        <v>29</v>
      </c>
      <c r="I74" s="297"/>
      <c r="J74" s="297"/>
      <c r="K74" s="297"/>
      <c r="L74" s="297"/>
    </row>
    <row r="75" spans="2:12" ht="15" customHeight="1" x14ac:dyDescent="0.25">
      <c r="B75" s="333"/>
      <c r="C75" s="297">
        <v>1</v>
      </c>
      <c r="D75" s="318" t="s">
        <v>65</v>
      </c>
      <c r="E75" s="279"/>
      <c r="F75" s="279"/>
      <c r="G75" s="319"/>
      <c r="H75" s="26" t="s">
        <v>32</v>
      </c>
      <c r="I75" s="27">
        <v>0.6</v>
      </c>
      <c r="J75" s="297" t="s">
        <v>40</v>
      </c>
      <c r="K75" s="297"/>
      <c r="L75" s="297"/>
    </row>
    <row r="76" spans="2:12" ht="15" customHeight="1" x14ac:dyDescent="0.25">
      <c r="B76" s="333"/>
      <c r="C76" s="297"/>
      <c r="D76" s="335"/>
      <c r="E76" s="280"/>
      <c r="F76" s="280"/>
      <c r="G76" s="336"/>
      <c r="H76" s="311">
        <v>13</v>
      </c>
      <c r="I76" s="311">
        <f>((H76*5)+100)*I75</f>
        <v>99</v>
      </c>
      <c r="J76" s="344">
        <v>5</v>
      </c>
      <c r="K76" s="347" t="s">
        <v>66</v>
      </c>
      <c r="L76" s="348"/>
    </row>
    <row r="77" spans="2:12" x14ac:dyDescent="0.25">
      <c r="B77" s="333"/>
      <c r="C77" s="297"/>
      <c r="D77" s="335"/>
      <c r="E77" s="280"/>
      <c r="F77" s="280"/>
      <c r="G77" s="336"/>
      <c r="H77" s="311"/>
      <c r="I77" s="311"/>
      <c r="J77" s="345"/>
      <c r="K77" s="349"/>
      <c r="L77" s="350"/>
    </row>
    <row r="78" spans="2:12" x14ac:dyDescent="0.25">
      <c r="B78" s="333"/>
      <c r="C78" s="297"/>
      <c r="D78" s="335"/>
      <c r="E78" s="280"/>
      <c r="F78" s="280"/>
      <c r="G78" s="336"/>
      <c r="H78" s="311"/>
      <c r="I78" s="311"/>
      <c r="J78" s="345"/>
      <c r="K78" s="349"/>
      <c r="L78" s="350"/>
    </row>
    <row r="79" spans="2:12" x14ac:dyDescent="0.25">
      <c r="B79" s="333"/>
      <c r="C79" s="297"/>
      <c r="D79" s="320"/>
      <c r="E79" s="321"/>
      <c r="F79" s="321"/>
      <c r="G79" s="322"/>
      <c r="H79" s="311"/>
      <c r="I79" s="311"/>
      <c r="J79" s="346"/>
      <c r="K79" s="351"/>
      <c r="L79" s="352"/>
    </row>
    <row r="80" spans="2:12" x14ac:dyDescent="0.25">
      <c r="B80" s="333"/>
      <c r="C80" s="297"/>
      <c r="D80" s="309" t="s">
        <v>37</v>
      </c>
      <c r="E80" s="309"/>
      <c r="F80" s="309"/>
      <c r="G80" s="309"/>
      <c r="H80" s="311"/>
      <c r="I80" s="311"/>
      <c r="J80" s="311">
        <v>100</v>
      </c>
      <c r="K80" s="353" t="s">
        <v>67</v>
      </c>
      <c r="L80" s="353"/>
    </row>
    <row r="81" spans="2:12" ht="15" customHeight="1" x14ac:dyDescent="0.25">
      <c r="B81" s="333"/>
      <c r="C81" s="297"/>
      <c r="D81" s="309" t="s">
        <v>68</v>
      </c>
      <c r="E81" s="309"/>
      <c r="F81" s="309"/>
      <c r="G81" s="309"/>
      <c r="H81" s="311"/>
      <c r="I81" s="311"/>
      <c r="J81" s="311"/>
      <c r="K81" s="353"/>
      <c r="L81" s="353"/>
    </row>
    <row r="82" spans="2:12" x14ac:dyDescent="0.25">
      <c r="B82" s="333"/>
      <c r="C82" s="297"/>
      <c r="D82" s="309"/>
      <c r="E82" s="309"/>
      <c r="F82" s="309"/>
      <c r="G82" s="309"/>
      <c r="H82" s="311"/>
      <c r="I82" s="311"/>
      <c r="J82" s="354">
        <v>-5</v>
      </c>
      <c r="K82" s="309" t="s">
        <v>69</v>
      </c>
      <c r="L82" s="309"/>
    </row>
    <row r="83" spans="2:12" x14ac:dyDescent="0.25">
      <c r="B83" s="333"/>
      <c r="C83" s="297"/>
      <c r="D83" s="309"/>
      <c r="E83" s="309"/>
      <c r="F83" s="309"/>
      <c r="G83" s="309"/>
      <c r="H83" s="311"/>
      <c r="I83" s="311"/>
      <c r="J83" s="354"/>
      <c r="K83" s="309"/>
      <c r="L83" s="309"/>
    </row>
    <row r="84" spans="2:12" x14ac:dyDescent="0.25">
      <c r="B84" s="333"/>
      <c r="C84" s="297"/>
      <c r="D84" s="309"/>
      <c r="E84" s="309"/>
      <c r="F84" s="309"/>
      <c r="G84" s="309"/>
      <c r="H84" s="311"/>
      <c r="I84" s="311"/>
      <c r="J84" s="354"/>
      <c r="K84" s="309"/>
      <c r="L84" s="309"/>
    </row>
    <row r="85" spans="2:12" x14ac:dyDescent="0.25">
      <c r="B85" s="333"/>
      <c r="C85" s="297"/>
      <c r="D85" s="309"/>
      <c r="E85" s="309"/>
      <c r="F85" s="309"/>
      <c r="G85" s="309"/>
      <c r="H85" s="311"/>
      <c r="I85" s="311"/>
      <c r="J85" s="354"/>
      <c r="K85" s="309"/>
      <c r="L85" s="309"/>
    </row>
    <row r="86" spans="2:12" x14ac:dyDescent="0.25">
      <c r="B86" s="333"/>
      <c r="C86" s="297"/>
      <c r="D86" s="309"/>
      <c r="E86" s="309"/>
      <c r="F86" s="309"/>
      <c r="G86" s="309"/>
      <c r="H86" s="297" t="s">
        <v>29</v>
      </c>
      <c r="I86" s="297"/>
      <c r="J86" s="297"/>
      <c r="K86" s="297"/>
      <c r="L86" s="297"/>
    </row>
    <row r="87" spans="2:12" x14ac:dyDescent="0.25">
      <c r="B87" s="333"/>
      <c r="C87" s="297">
        <v>2</v>
      </c>
      <c r="D87" s="309" t="s">
        <v>70</v>
      </c>
      <c r="E87" s="309"/>
      <c r="F87" s="309"/>
      <c r="G87" s="309"/>
      <c r="H87" s="26" t="s">
        <v>32</v>
      </c>
      <c r="I87" s="27">
        <v>0.4</v>
      </c>
      <c r="J87" s="297" t="s">
        <v>40</v>
      </c>
      <c r="K87" s="297"/>
      <c r="L87" s="297"/>
    </row>
    <row r="88" spans="2:12" x14ac:dyDescent="0.25">
      <c r="B88" s="333"/>
      <c r="C88" s="297"/>
      <c r="D88" s="309"/>
      <c r="E88" s="309"/>
      <c r="F88" s="309"/>
      <c r="G88" s="309"/>
      <c r="H88" s="311">
        <v>13</v>
      </c>
      <c r="I88" s="311">
        <f>110*I87</f>
        <v>44</v>
      </c>
      <c r="J88" s="297">
        <v>110</v>
      </c>
      <c r="K88" s="309" t="s">
        <v>71</v>
      </c>
      <c r="L88" s="309"/>
    </row>
    <row r="89" spans="2:12" x14ac:dyDescent="0.25">
      <c r="B89" s="333"/>
      <c r="C89" s="297"/>
      <c r="D89" s="309"/>
      <c r="E89" s="309"/>
      <c r="F89" s="309"/>
      <c r="G89" s="309"/>
      <c r="H89" s="311"/>
      <c r="I89" s="311"/>
      <c r="J89" s="297"/>
      <c r="K89" s="309"/>
      <c r="L89" s="309"/>
    </row>
    <row r="90" spans="2:12" x14ac:dyDescent="0.25">
      <c r="B90" s="333"/>
      <c r="C90" s="297"/>
      <c r="D90" s="309"/>
      <c r="E90" s="309"/>
      <c r="F90" s="309"/>
      <c r="G90" s="309"/>
      <c r="H90" s="311"/>
      <c r="I90" s="311"/>
      <c r="J90" s="272">
        <v>100</v>
      </c>
      <c r="K90" s="309" t="s">
        <v>72</v>
      </c>
      <c r="L90" s="309"/>
    </row>
    <row r="91" spans="2:12" x14ac:dyDescent="0.25">
      <c r="B91" s="333"/>
      <c r="C91" s="297"/>
      <c r="D91" s="309"/>
      <c r="E91" s="309"/>
      <c r="F91" s="309"/>
      <c r="G91" s="309"/>
      <c r="H91" s="311"/>
      <c r="I91" s="311"/>
      <c r="J91" s="272"/>
      <c r="K91" s="309"/>
      <c r="L91" s="309"/>
    </row>
    <row r="92" spans="2:12" x14ac:dyDescent="0.25">
      <c r="B92" s="333"/>
      <c r="C92" s="297"/>
      <c r="D92" s="297" t="s">
        <v>37</v>
      </c>
      <c r="E92" s="297"/>
      <c r="F92" s="297"/>
      <c r="G92" s="297"/>
      <c r="H92" s="311"/>
      <c r="I92" s="311"/>
      <c r="J92" s="355">
        <v>-5</v>
      </c>
      <c r="K92" s="309" t="s">
        <v>73</v>
      </c>
      <c r="L92" s="309"/>
    </row>
    <row r="93" spans="2:12" ht="15" customHeight="1" x14ac:dyDescent="0.25">
      <c r="B93" s="333"/>
      <c r="C93" s="297"/>
      <c r="D93" s="309" t="s">
        <v>74</v>
      </c>
      <c r="E93" s="309"/>
      <c r="F93" s="309"/>
      <c r="G93" s="309"/>
      <c r="H93" s="311"/>
      <c r="I93" s="311"/>
      <c r="J93" s="355"/>
      <c r="K93" s="309"/>
      <c r="L93" s="309"/>
    </row>
    <row r="94" spans="2:12" x14ac:dyDescent="0.25">
      <c r="B94" s="333"/>
      <c r="C94" s="297"/>
      <c r="D94" s="309"/>
      <c r="E94" s="309"/>
      <c r="F94" s="309"/>
      <c r="G94" s="309"/>
      <c r="H94" s="311"/>
      <c r="I94" s="311"/>
      <c r="J94" s="355"/>
      <c r="K94" s="309"/>
      <c r="L94" s="309"/>
    </row>
    <row r="95" spans="2:12" x14ac:dyDescent="0.25">
      <c r="B95" s="333"/>
      <c r="C95" s="302" t="s">
        <v>46</v>
      </c>
      <c r="D95" s="303"/>
      <c r="E95" s="303"/>
      <c r="F95" s="303"/>
      <c r="G95" s="304"/>
      <c r="H95" s="312">
        <f>I76+I88</f>
        <v>143</v>
      </c>
      <c r="I95" s="313"/>
      <c r="J95" s="313"/>
      <c r="K95" s="313"/>
      <c r="L95" s="314"/>
    </row>
    <row r="96" spans="2:12" x14ac:dyDescent="0.25">
      <c r="B96" s="333"/>
      <c r="C96" s="329" t="s">
        <v>47</v>
      </c>
      <c r="D96" s="330"/>
      <c r="E96" s="330"/>
      <c r="F96" s="330"/>
      <c r="G96" s="331"/>
      <c r="H96" s="297" t="s">
        <v>29</v>
      </c>
      <c r="I96" s="297"/>
      <c r="J96" s="297"/>
      <c r="K96" s="297"/>
      <c r="L96" s="297"/>
    </row>
    <row r="97" spans="2:12" x14ac:dyDescent="0.25">
      <c r="B97" s="333"/>
      <c r="C97" s="332">
        <v>1</v>
      </c>
      <c r="D97" s="309" t="s">
        <v>75</v>
      </c>
      <c r="E97" s="309"/>
      <c r="F97" s="309"/>
      <c r="G97" s="309"/>
      <c r="H97" s="26" t="s">
        <v>32</v>
      </c>
      <c r="I97" s="27">
        <v>0.4</v>
      </c>
      <c r="J97" s="297" t="s">
        <v>40</v>
      </c>
      <c r="K97" s="297"/>
      <c r="L97" s="297"/>
    </row>
    <row r="98" spans="2:12" x14ac:dyDescent="0.25">
      <c r="B98" s="333"/>
      <c r="C98" s="333"/>
      <c r="D98" s="309"/>
      <c r="E98" s="309"/>
      <c r="F98" s="309"/>
      <c r="G98" s="309"/>
      <c r="H98" s="299">
        <v>98</v>
      </c>
      <c r="I98" s="299">
        <f>H98*I97</f>
        <v>39.200000000000003</v>
      </c>
      <c r="J98" s="39">
        <v>120</v>
      </c>
      <c r="K98" s="39" t="s">
        <v>34</v>
      </c>
      <c r="L98" s="39" t="s">
        <v>76</v>
      </c>
    </row>
    <row r="99" spans="2:12" x14ac:dyDescent="0.25">
      <c r="B99" s="333"/>
      <c r="C99" s="333"/>
      <c r="D99" s="309"/>
      <c r="E99" s="309"/>
      <c r="F99" s="309"/>
      <c r="G99" s="309"/>
      <c r="H99" s="300"/>
      <c r="I99" s="300"/>
      <c r="J99" s="39">
        <v>110</v>
      </c>
      <c r="K99" s="39" t="s">
        <v>34</v>
      </c>
      <c r="L99" s="39" t="s">
        <v>77</v>
      </c>
    </row>
    <row r="100" spans="2:12" x14ac:dyDescent="0.25">
      <c r="B100" s="333"/>
      <c r="C100" s="333"/>
      <c r="D100" s="329" t="s">
        <v>37</v>
      </c>
      <c r="E100" s="330"/>
      <c r="F100" s="330"/>
      <c r="G100" s="331"/>
      <c r="H100" s="300"/>
      <c r="I100" s="300"/>
      <c r="J100" s="39">
        <v>108</v>
      </c>
      <c r="K100" s="39" t="s">
        <v>34</v>
      </c>
      <c r="L100" s="39" t="s">
        <v>78</v>
      </c>
    </row>
    <row r="101" spans="2:12" x14ac:dyDescent="0.25">
      <c r="B101" s="333"/>
      <c r="C101" s="333"/>
      <c r="D101" s="318" t="s">
        <v>79</v>
      </c>
      <c r="E101" s="279"/>
      <c r="F101" s="279"/>
      <c r="G101" s="319"/>
      <c r="H101" s="300"/>
      <c r="I101" s="300"/>
      <c r="J101" s="39">
        <v>105</v>
      </c>
      <c r="K101" s="39" t="s">
        <v>34</v>
      </c>
      <c r="L101" s="39" t="s">
        <v>80</v>
      </c>
    </row>
    <row r="102" spans="2:12" x14ac:dyDescent="0.25">
      <c r="B102" s="333"/>
      <c r="C102" s="333"/>
      <c r="D102" s="335"/>
      <c r="E102" s="280"/>
      <c r="F102" s="280"/>
      <c r="G102" s="336"/>
      <c r="H102" s="300"/>
      <c r="I102" s="300"/>
      <c r="J102" s="39">
        <v>103</v>
      </c>
      <c r="K102" s="39" t="s">
        <v>34</v>
      </c>
      <c r="L102" s="39" t="s">
        <v>81</v>
      </c>
    </row>
    <row r="103" spans="2:12" x14ac:dyDescent="0.25">
      <c r="B103" s="333"/>
      <c r="C103" s="333"/>
      <c r="D103" s="335"/>
      <c r="E103" s="280"/>
      <c r="F103" s="280"/>
      <c r="G103" s="336"/>
      <c r="H103" s="300"/>
      <c r="I103" s="300"/>
      <c r="J103" s="39">
        <v>100</v>
      </c>
      <c r="K103" s="39" t="s">
        <v>34</v>
      </c>
      <c r="L103" s="39" t="s">
        <v>82</v>
      </c>
    </row>
    <row r="104" spans="2:12" x14ac:dyDescent="0.25">
      <c r="B104" s="333"/>
      <c r="C104" s="333"/>
      <c r="D104" s="335"/>
      <c r="E104" s="280"/>
      <c r="F104" s="280"/>
      <c r="G104" s="336"/>
      <c r="H104" s="300"/>
      <c r="I104" s="300"/>
      <c r="J104" s="39">
        <v>98</v>
      </c>
      <c r="K104" s="39" t="s">
        <v>34</v>
      </c>
      <c r="L104" s="39" t="s">
        <v>83</v>
      </c>
    </row>
    <row r="105" spans="2:12" x14ac:dyDescent="0.25">
      <c r="B105" s="333"/>
      <c r="C105" s="333"/>
      <c r="D105" s="335"/>
      <c r="E105" s="280"/>
      <c r="F105" s="280"/>
      <c r="G105" s="336"/>
      <c r="H105" s="300"/>
      <c r="I105" s="300"/>
      <c r="J105" s="39">
        <v>95</v>
      </c>
      <c r="K105" s="39" t="s">
        <v>34</v>
      </c>
      <c r="L105" s="39" t="s">
        <v>84</v>
      </c>
    </row>
    <row r="106" spans="2:12" x14ac:dyDescent="0.25">
      <c r="B106" s="333"/>
      <c r="C106" s="333"/>
      <c r="D106" s="335"/>
      <c r="E106" s="280"/>
      <c r="F106" s="280"/>
      <c r="G106" s="336"/>
      <c r="H106" s="301"/>
      <c r="I106" s="301"/>
      <c r="J106" s="39">
        <v>93</v>
      </c>
      <c r="K106" s="39" t="s">
        <v>34</v>
      </c>
      <c r="L106" s="39" t="s">
        <v>85</v>
      </c>
    </row>
    <row r="107" spans="2:12" x14ac:dyDescent="0.25">
      <c r="B107" s="333"/>
      <c r="C107" s="334"/>
      <c r="D107" s="320"/>
      <c r="E107" s="321"/>
      <c r="F107" s="321"/>
      <c r="G107" s="322"/>
      <c r="H107" s="297" t="s">
        <v>29</v>
      </c>
      <c r="I107" s="297"/>
      <c r="J107" s="297"/>
      <c r="K107" s="297"/>
      <c r="L107" s="297"/>
    </row>
    <row r="108" spans="2:12" x14ac:dyDescent="0.25">
      <c r="B108" s="333"/>
      <c r="C108" s="332">
        <v>2</v>
      </c>
      <c r="D108" s="309" t="s">
        <v>86</v>
      </c>
      <c r="E108" s="309"/>
      <c r="F108" s="309"/>
      <c r="G108" s="309"/>
      <c r="H108" s="26" t="s">
        <v>32</v>
      </c>
      <c r="I108" s="27">
        <v>0.3</v>
      </c>
      <c r="J108" s="297" t="s">
        <v>40</v>
      </c>
      <c r="K108" s="297"/>
      <c r="L108" s="297"/>
    </row>
    <row r="109" spans="2:12" x14ac:dyDescent="0.25">
      <c r="B109" s="333"/>
      <c r="C109" s="333"/>
      <c r="D109" s="309"/>
      <c r="E109" s="309"/>
      <c r="F109" s="309"/>
      <c r="G109" s="309"/>
      <c r="H109" s="299">
        <v>100</v>
      </c>
      <c r="I109" s="299">
        <f>H109*I108</f>
        <v>30</v>
      </c>
      <c r="J109" s="39">
        <v>120</v>
      </c>
      <c r="K109" s="39" t="s">
        <v>34</v>
      </c>
      <c r="L109" s="39" t="s">
        <v>76</v>
      </c>
    </row>
    <row r="110" spans="2:12" x14ac:dyDescent="0.25">
      <c r="B110" s="333"/>
      <c r="C110" s="333"/>
      <c r="D110" s="309"/>
      <c r="E110" s="309"/>
      <c r="F110" s="309"/>
      <c r="G110" s="309"/>
      <c r="H110" s="300"/>
      <c r="I110" s="300"/>
      <c r="J110" s="39">
        <v>110</v>
      </c>
      <c r="K110" s="39" t="s">
        <v>34</v>
      </c>
      <c r="L110" s="39" t="s">
        <v>77</v>
      </c>
    </row>
    <row r="111" spans="2:12" x14ac:dyDescent="0.25">
      <c r="B111" s="333"/>
      <c r="C111" s="333"/>
      <c r="D111" s="309"/>
      <c r="E111" s="309"/>
      <c r="F111" s="309"/>
      <c r="G111" s="309"/>
      <c r="H111" s="300"/>
      <c r="I111" s="300"/>
      <c r="J111" s="39">
        <v>108</v>
      </c>
      <c r="K111" s="39" t="s">
        <v>34</v>
      </c>
      <c r="L111" s="39" t="s">
        <v>78</v>
      </c>
    </row>
    <row r="112" spans="2:12" x14ac:dyDescent="0.25">
      <c r="B112" s="333"/>
      <c r="C112" s="333"/>
      <c r="D112" s="318" t="s">
        <v>37</v>
      </c>
      <c r="E112" s="279"/>
      <c r="F112" s="279"/>
      <c r="G112" s="319"/>
      <c r="H112" s="300"/>
      <c r="I112" s="300"/>
      <c r="J112" s="39">
        <v>105</v>
      </c>
      <c r="K112" s="39" t="s">
        <v>34</v>
      </c>
      <c r="L112" s="39" t="s">
        <v>80</v>
      </c>
    </row>
    <row r="113" spans="2:12" x14ac:dyDescent="0.25">
      <c r="B113" s="333"/>
      <c r="C113" s="333"/>
      <c r="D113" s="335" t="s">
        <v>87</v>
      </c>
      <c r="E113" s="280"/>
      <c r="F113" s="280"/>
      <c r="G113" s="336"/>
      <c r="H113" s="300"/>
      <c r="I113" s="300"/>
      <c r="J113" s="39">
        <v>103</v>
      </c>
      <c r="K113" s="39" t="s">
        <v>34</v>
      </c>
      <c r="L113" s="39" t="s">
        <v>81</v>
      </c>
    </row>
    <row r="114" spans="2:12" x14ac:dyDescent="0.25">
      <c r="B114" s="333"/>
      <c r="C114" s="333"/>
      <c r="D114" s="335"/>
      <c r="E114" s="280"/>
      <c r="F114" s="280"/>
      <c r="G114" s="336"/>
      <c r="H114" s="300"/>
      <c r="I114" s="300"/>
      <c r="J114" s="39">
        <v>100</v>
      </c>
      <c r="K114" s="39" t="s">
        <v>34</v>
      </c>
      <c r="L114" s="39" t="s">
        <v>82</v>
      </c>
    </row>
    <row r="115" spans="2:12" x14ac:dyDescent="0.25">
      <c r="B115" s="333"/>
      <c r="C115" s="333"/>
      <c r="D115" s="335"/>
      <c r="E115" s="280"/>
      <c r="F115" s="280"/>
      <c r="G115" s="336"/>
      <c r="H115" s="300"/>
      <c r="I115" s="300"/>
      <c r="J115" s="39">
        <v>98</v>
      </c>
      <c r="K115" s="39" t="s">
        <v>34</v>
      </c>
      <c r="L115" s="39" t="s">
        <v>83</v>
      </c>
    </row>
    <row r="116" spans="2:12" x14ac:dyDescent="0.25">
      <c r="B116" s="333"/>
      <c r="C116" s="333"/>
      <c r="D116" s="335"/>
      <c r="E116" s="280"/>
      <c r="F116" s="280"/>
      <c r="G116" s="336"/>
      <c r="H116" s="300"/>
      <c r="I116" s="300"/>
      <c r="J116" s="39">
        <v>95</v>
      </c>
      <c r="K116" s="39" t="s">
        <v>34</v>
      </c>
      <c r="L116" s="39" t="s">
        <v>84</v>
      </c>
    </row>
    <row r="117" spans="2:12" x14ac:dyDescent="0.25">
      <c r="B117" s="333"/>
      <c r="C117" s="333"/>
      <c r="D117" s="335"/>
      <c r="E117" s="280"/>
      <c r="F117" s="280"/>
      <c r="G117" s="336"/>
      <c r="H117" s="301"/>
      <c r="I117" s="301"/>
      <c r="J117" s="39">
        <v>93</v>
      </c>
      <c r="K117" s="39" t="s">
        <v>34</v>
      </c>
      <c r="L117" s="39" t="s">
        <v>85</v>
      </c>
    </row>
    <row r="118" spans="2:12" x14ac:dyDescent="0.25">
      <c r="B118" s="333"/>
      <c r="C118" s="334"/>
      <c r="D118" s="320"/>
      <c r="E118" s="321"/>
      <c r="F118" s="321"/>
      <c r="G118" s="322"/>
      <c r="H118" s="297" t="s">
        <v>29</v>
      </c>
      <c r="I118" s="297"/>
      <c r="J118" s="297"/>
      <c r="K118" s="297"/>
      <c r="L118" s="297"/>
    </row>
    <row r="119" spans="2:12" ht="15" customHeight="1" x14ac:dyDescent="0.25">
      <c r="B119" s="333"/>
      <c r="C119" s="332">
        <v>3</v>
      </c>
      <c r="D119" s="318" t="s">
        <v>88</v>
      </c>
      <c r="E119" s="279"/>
      <c r="F119" s="279"/>
      <c r="G119" s="319"/>
      <c r="H119" s="26" t="s">
        <v>32</v>
      </c>
      <c r="I119" s="27">
        <v>0.3</v>
      </c>
      <c r="J119" s="297" t="s">
        <v>40</v>
      </c>
      <c r="K119" s="297"/>
      <c r="L119" s="297"/>
    </row>
    <row r="120" spans="2:12" x14ac:dyDescent="0.25">
      <c r="B120" s="333"/>
      <c r="C120" s="333"/>
      <c r="D120" s="335"/>
      <c r="E120" s="280"/>
      <c r="F120" s="280"/>
      <c r="G120" s="336"/>
      <c r="H120" s="299">
        <v>98</v>
      </c>
      <c r="I120" s="299">
        <f>H120*I119</f>
        <v>29.4</v>
      </c>
      <c r="J120" s="39">
        <v>120</v>
      </c>
      <c r="K120" s="39" t="s">
        <v>34</v>
      </c>
      <c r="L120" s="39" t="s">
        <v>76</v>
      </c>
    </row>
    <row r="121" spans="2:12" x14ac:dyDescent="0.25">
      <c r="B121" s="333"/>
      <c r="C121" s="333"/>
      <c r="D121" s="335"/>
      <c r="E121" s="280"/>
      <c r="F121" s="280"/>
      <c r="G121" s="336"/>
      <c r="H121" s="300"/>
      <c r="I121" s="300"/>
      <c r="J121" s="39">
        <v>110</v>
      </c>
      <c r="K121" s="39" t="s">
        <v>34</v>
      </c>
      <c r="L121" s="39" t="s">
        <v>77</v>
      </c>
    </row>
    <row r="122" spans="2:12" x14ac:dyDescent="0.25">
      <c r="B122" s="333"/>
      <c r="C122" s="333"/>
      <c r="D122" s="320"/>
      <c r="E122" s="321"/>
      <c r="F122" s="321"/>
      <c r="G122" s="322"/>
      <c r="H122" s="300"/>
      <c r="I122" s="300"/>
      <c r="J122" s="39">
        <v>108</v>
      </c>
      <c r="K122" s="39" t="s">
        <v>34</v>
      </c>
      <c r="L122" s="39" t="s">
        <v>78</v>
      </c>
    </row>
    <row r="123" spans="2:12" x14ac:dyDescent="0.25">
      <c r="B123" s="333"/>
      <c r="C123" s="333"/>
      <c r="D123" s="329" t="s">
        <v>37</v>
      </c>
      <c r="E123" s="330"/>
      <c r="F123" s="330"/>
      <c r="G123" s="331"/>
      <c r="H123" s="300"/>
      <c r="I123" s="300"/>
      <c r="J123" s="39">
        <v>105</v>
      </c>
      <c r="K123" s="39" t="s">
        <v>34</v>
      </c>
      <c r="L123" s="39" t="s">
        <v>80</v>
      </c>
    </row>
    <row r="124" spans="2:12" x14ac:dyDescent="0.25">
      <c r="B124" s="333"/>
      <c r="C124" s="333"/>
      <c r="D124" s="318" t="s">
        <v>89</v>
      </c>
      <c r="E124" s="279"/>
      <c r="F124" s="279"/>
      <c r="G124" s="319"/>
      <c r="H124" s="300"/>
      <c r="I124" s="300"/>
      <c r="J124" s="39">
        <v>103</v>
      </c>
      <c r="K124" s="39" t="s">
        <v>34</v>
      </c>
      <c r="L124" s="39" t="s">
        <v>81</v>
      </c>
    </row>
    <row r="125" spans="2:12" x14ac:dyDescent="0.25">
      <c r="B125" s="333"/>
      <c r="C125" s="333"/>
      <c r="D125" s="335"/>
      <c r="E125" s="280"/>
      <c r="F125" s="280"/>
      <c r="G125" s="336"/>
      <c r="H125" s="300"/>
      <c r="I125" s="300"/>
      <c r="J125" s="39">
        <v>100</v>
      </c>
      <c r="K125" s="39" t="s">
        <v>34</v>
      </c>
      <c r="L125" s="39" t="s">
        <v>82</v>
      </c>
    </row>
    <row r="126" spans="2:12" x14ac:dyDescent="0.25">
      <c r="B126" s="333"/>
      <c r="C126" s="333"/>
      <c r="D126" s="335"/>
      <c r="E126" s="280"/>
      <c r="F126" s="280"/>
      <c r="G126" s="336"/>
      <c r="H126" s="300"/>
      <c r="I126" s="300"/>
      <c r="J126" s="39">
        <v>98</v>
      </c>
      <c r="K126" s="39" t="s">
        <v>34</v>
      </c>
      <c r="L126" s="39" t="s">
        <v>83</v>
      </c>
    </row>
    <row r="127" spans="2:12" x14ac:dyDescent="0.25">
      <c r="B127" s="333"/>
      <c r="C127" s="333"/>
      <c r="D127" s="335"/>
      <c r="E127" s="280"/>
      <c r="F127" s="280"/>
      <c r="G127" s="336"/>
      <c r="H127" s="300"/>
      <c r="I127" s="300"/>
      <c r="J127" s="39">
        <v>95</v>
      </c>
      <c r="K127" s="39" t="s">
        <v>34</v>
      </c>
      <c r="L127" s="39" t="s">
        <v>84</v>
      </c>
    </row>
    <row r="128" spans="2:12" x14ac:dyDescent="0.25">
      <c r="B128" s="334"/>
      <c r="C128" s="334"/>
      <c r="D128" s="320"/>
      <c r="E128" s="321"/>
      <c r="F128" s="321"/>
      <c r="G128" s="322"/>
      <c r="H128" s="301"/>
      <c r="I128" s="301"/>
      <c r="J128" s="39">
        <v>93</v>
      </c>
      <c r="K128" s="39" t="s">
        <v>34</v>
      </c>
      <c r="L128" s="39" t="s">
        <v>85</v>
      </c>
    </row>
    <row r="129" spans="2:12" x14ac:dyDescent="0.25">
      <c r="B129" s="40"/>
      <c r="C129" s="302" t="s">
        <v>62</v>
      </c>
      <c r="D129" s="303"/>
      <c r="E129" s="303"/>
      <c r="F129" s="303"/>
      <c r="G129" s="304"/>
      <c r="H129" s="312">
        <f>I98+I109+I120</f>
        <v>98.6</v>
      </c>
      <c r="I129" s="313"/>
      <c r="J129" s="313"/>
      <c r="K129" s="313"/>
      <c r="L129" s="314"/>
    </row>
    <row r="130" spans="2:12" x14ac:dyDescent="0.25">
      <c r="B130" s="315">
        <v>3</v>
      </c>
      <c r="C130" s="318" t="s">
        <v>90</v>
      </c>
      <c r="D130" s="279"/>
      <c r="E130" s="279"/>
      <c r="F130" s="279"/>
      <c r="G130" s="319"/>
      <c r="H130" s="323"/>
      <c r="I130" s="324"/>
      <c r="J130" s="324"/>
      <c r="K130" s="324"/>
      <c r="L130" s="325"/>
    </row>
    <row r="131" spans="2:12" x14ac:dyDescent="0.25">
      <c r="B131" s="316"/>
      <c r="C131" s="320"/>
      <c r="D131" s="321"/>
      <c r="E131" s="321"/>
      <c r="F131" s="321"/>
      <c r="G131" s="322"/>
      <c r="H131" s="326"/>
      <c r="I131" s="327"/>
      <c r="J131" s="327"/>
      <c r="K131" s="327"/>
      <c r="L131" s="328"/>
    </row>
    <row r="132" spans="2:12" x14ac:dyDescent="0.25">
      <c r="B132" s="316"/>
      <c r="C132" s="329" t="s">
        <v>64</v>
      </c>
      <c r="D132" s="330"/>
      <c r="E132" s="330"/>
      <c r="F132" s="330"/>
      <c r="G132" s="331"/>
      <c r="H132" s="298" t="s">
        <v>29</v>
      </c>
      <c r="I132" s="298"/>
      <c r="J132" s="298"/>
      <c r="K132" s="298"/>
      <c r="L132" s="298"/>
    </row>
    <row r="133" spans="2:12" x14ac:dyDescent="0.25">
      <c r="B133" s="316"/>
      <c r="C133" s="332">
        <v>1</v>
      </c>
      <c r="D133" s="318" t="s">
        <v>91</v>
      </c>
      <c r="E133" s="279"/>
      <c r="F133" s="279"/>
      <c r="G133" s="319"/>
      <c r="H133" s="26" t="s">
        <v>32</v>
      </c>
      <c r="I133" s="27">
        <v>0.25</v>
      </c>
      <c r="J133" s="298" t="s">
        <v>40</v>
      </c>
      <c r="K133" s="298"/>
      <c r="L133" s="298"/>
    </row>
    <row r="134" spans="2:12" x14ac:dyDescent="0.25">
      <c r="B134" s="316"/>
      <c r="C134" s="333"/>
      <c r="D134" s="320"/>
      <c r="E134" s="321"/>
      <c r="F134" s="321"/>
      <c r="G134" s="322"/>
      <c r="H134" s="293"/>
      <c r="I134" s="293"/>
      <c r="J134" s="26"/>
      <c r="K134" s="26"/>
      <c r="L134" s="26"/>
    </row>
    <row r="135" spans="2:12" x14ac:dyDescent="0.25">
      <c r="B135" s="316"/>
      <c r="C135" s="333"/>
      <c r="D135" s="329" t="s">
        <v>37</v>
      </c>
      <c r="E135" s="330"/>
      <c r="F135" s="330"/>
      <c r="G135" s="331"/>
      <c r="H135" s="294"/>
      <c r="I135" s="294"/>
      <c r="J135" s="26"/>
      <c r="K135" s="26"/>
      <c r="L135" s="26"/>
    </row>
    <row r="136" spans="2:12" x14ac:dyDescent="0.25">
      <c r="B136" s="316"/>
      <c r="C136" s="334"/>
      <c r="D136" s="302"/>
      <c r="E136" s="303"/>
      <c r="F136" s="303"/>
      <c r="G136" s="304"/>
      <c r="H136" s="295"/>
      <c r="I136" s="295"/>
      <c r="J136" s="26"/>
      <c r="K136" s="26"/>
      <c r="L136" s="26"/>
    </row>
    <row r="137" spans="2:12" x14ac:dyDescent="0.25">
      <c r="B137" s="316"/>
      <c r="C137" s="329" t="s">
        <v>47</v>
      </c>
      <c r="D137" s="330"/>
      <c r="E137" s="330"/>
      <c r="F137" s="330"/>
      <c r="G137" s="331"/>
      <c r="H137" s="298" t="s">
        <v>29</v>
      </c>
      <c r="I137" s="298"/>
      <c r="J137" s="298"/>
      <c r="K137" s="298"/>
      <c r="L137" s="298"/>
    </row>
    <row r="138" spans="2:12" ht="15" customHeight="1" x14ac:dyDescent="0.25">
      <c r="B138" s="316"/>
      <c r="C138" s="332">
        <v>1</v>
      </c>
      <c r="D138" s="318" t="s">
        <v>92</v>
      </c>
      <c r="E138" s="279"/>
      <c r="F138" s="279"/>
      <c r="G138" s="319"/>
      <c r="H138" s="26" t="s">
        <v>32</v>
      </c>
      <c r="I138" s="27">
        <v>0.25</v>
      </c>
      <c r="J138" s="298" t="s">
        <v>40</v>
      </c>
      <c r="K138" s="298"/>
      <c r="L138" s="298"/>
    </row>
    <row r="139" spans="2:12" x14ac:dyDescent="0.25">
      <c r="B139" s="316"/>
      <c r="C139" s="333"/>
      <c r="D139" s="335"/>
      <c r="E139" s="280"/>
      <c r="F139" s="280"/>
      <c r="G139" s="336"/>
      <c r="H139" s="293"/>
      <c r="I139" s="293"/>
      <c r="J139" s="26"/>
      <c r="K139" s="26"/>
      <c r="L139" s="26"/>
    </row>
    <row r="140" spans="2:12" x14ac:dyDescent="0.25">
      <c r="B140" s="316"/>
      <c r="C140" s="333"/>
      <c r="D140" s="320"/>
      <c r="E140" s="321"/>
      <c r="F140" s="321"/>
      <c r="G140" s="322"/>
      <c r="H140" s="294"/>
      <c r="I140" s="294"/>
      <c r="J140" s="26"/>
      <c r="K140" s="26"/>
      <c r="L140" s="26"/>
    </row>
    <row r="141" spans="2:12" x14ac:dyDescent="0.25">
      <c r="B141" s="316"/>
      <c r="C141" s="333"/>
      <c r="D141" s="337" t="s">
        <v>37</v>
      </c>
      <c r="E141" s="338"/>
      <c r="F141" s="338"/>
      <c r="G141" s="339"/>
      <c r="H141" s="294"/>
      <c r="I141" s="294"/>
      <c r="J141" s="26"/>
      <c r="K141" s="26"/>
      <c r="L141" s="26"/>
    </row>
    <row r="142" spans="2:12" x14ac:dyDescent="0.25">
      <c r="B142" s="316"/>
      <c r="C142" s="333"/>
      <c r="D142" s="323"/>
      <c r="E142" s="324"/>
      <c r="F142" s="324"/>
      <c r="G142" s="325"/>
      <c r="H142" s="294"/>
      <c r="I142" s="294"/>
      <c r="J142" s="26"/>
      <c r="K142" s="26"/>
      <c r="L142" s="26"/>
    </row>
    <row r="143" spans="2:12" x14ac:dyDescent="0.25">
      <c r="B143" s="316"/>
      <c r="C143" s="333"/>
      <c r="D143" s="340"/>
      <c r="E143" s="341"/>
      <c r="F143" s="341"/>
      <c r="G143" s="342"/>
      <c r="H143" s="294"/>
      <c r="I143" s="294"/>
      <c r="J143" s="26"/>
      <c r="K143" s="26"/>
      <c r="L143" s="26"/>
    </row>
    <row r="144" spans="2:12" x14ac:dyDescent="0.25">
      <c r="B144" s="317"/>
      <c r="C144" s="334"/>
      <c r="D144" s="326"/>
      <c r="E144" s="327"/>
      <c r="F144" s="327"/>
      <c r="G144" s="328"/>
      <c r="H144" s="295"/>
      <c r="I144" s="295"/>
      <c r="J144" s="26"/>
      <c r="K144" s="26"/>
      <c r="L144" s="26"/>
    </row>
    <row r="145" spans="2:12" x14ac:dyDescent="0.25">
      <c r="B145" s="41"/>
      <c r="C145" s="302" t="s">
        <v>46</v>
      </c>
      <c r="D145" s="303"/>
      <c r="E145" s="303"/>
      <c r="F145" s="303"/>
      <c r="G145" s="304"/>
      <c r="H145" s="42"/>
      <c r="I145" s="42"/>
      <c r="J145" s="26"/>
      <c r="K145" s="26"/>
      <c r="L145" s="26"/>
    </row>
    <row r="146" spans="2:12" x14ac:dyDescent="0.25">
      <c r="B146" s="305">
        <v>4</v>
      </c>
      <c r="C146" s="6" t="s">
        <v>93</v>
      </c>
      <c r="D146" s="6"/>
      <c r="E146" s="6"/>
      <c r="F146" s="6"/>
      <c r="G146" s="6"/>
      <c r="H146" s="298" t="s">
        <v>29</v>
      </c>
      <c r="I146" s="298"/>
      <c r="J146" s="298"/>
      <c r="K146" s="298"/>
      <c r="L146" s="298"/>
    </row>
    <row r="147" spans="2:12" x14ac:dyDescent="0.25">
      <c r="B147" s="305"/>
      <c r="C147" s="297" t="s">
        <v>64</v>
      </c>
      <c r="D147" s="297"/>
      <c r="E147" s="297"/>
      <c r="F147" s="297"/>
      <c r="G147" s="297"/>
      <c r="H147" s="26" t="s">
        <v>32</v>
      </c>
      <c r="I147" s="27">
        <v>0.7</v>
      </c>
      <c r="J147" s="298" t="s">
        <v>40</v>
      </c>
      <c r="K147" s="298"/>
      <c r="L147" s="298"/>
    </row>
    <row r="148" spans="2:12" x14ac:dyDescent="0.25">
      <c r="B148" s="305"/>
      <c r="C148" s="297">
        <v>1</v>
      </c>
      <c r="D148" s="306" t="s">
        <v>94</v>
      </c>
      <c r="E148" s="306"/>
      <c r="F148" s="306"/>
      <c r="G148" s="306"/>
      <c r="H148" s="299">
        <f>12-E150-E156</f>
        <v>1</v>
      </c>
      <c r="I148" s="299">
        <f>VLOOKUP(H148,J148:L161,3,0)*I147</f>
        <v>73.5</v>
      </c>
      <c r="J148" s="26">
        <v>12</v>
      </c>
      <c r="K148" s="26" t="s">
        <v>95</v>
      </c>
      <c r="L148" s="26">
        <v>160</v>
      </c>
    </row>
    <row r="149" spans="2:12" x14ac:dyDescent="0.25">
      <c r="B149" s="305"/>
      <c r="C149" s="297"/>
      <c r="D149" s="307" t="s">
        <v>96</v>
      </c>
      <c r="E149" s="307"/>
      <c r="F149" s="307"/>
      <c r="G149" s="307"/>
      <c r="H149" s="300"/>
      <c r="I149" s="300"/>
      <c r="J149" s="26">
        <v>11</v>
      </c>
      <c r="K149" s="26" t="s">
        <v>95</v>
      </c>
      <c r="L149" s="26">
        <v>155</v>
      </c>
    </row>
    <row r="150" spans="2:12" x14ac:dyDescent="0.25">
      <c r="B150" s="305"/>
      <c r="C150" s="297"/>
      <c r="D150" s="297" t="s">
        <v>97</v>
      </c>
      <c r="E150" s="308">
        <v>7</v>
      </c>
      <c r="F150" s="308"/>
      <c r="G150" s="308"/>
      <c r="H150" s="300"/>
      <c r="I150" s="300"/>
      <c r="J150" s="26">
        <v>10</v>
      </c>
      <c r="K150" s="26" t="s">
        <v>95</v>
      </c>
      <c r="L150" s="26">
        <v>150</v>
      </c>
    </row>
    <row r="151" spans="2:12" x14ac:dyDescent="0.25">
      <c r="B151" s="305"/>
      <c r="C151" s="297"/>
      <c r="D151" s="297"/>
      <c r="E151" s="308"/>
      <c r="F151" s="308"/>
      <c r="G151" s="308"/>
      <c r="H151" s="300"/>
      <c r="I151" s="300"/>
      <c r="J151" s="26">
        <v>9</v>
      </c>
      <c r="K151" s="26" t="s">
        <v>95</v>
      </c>
      <c r="L151" s="26">
        <v>145</v>
      </c>
    </row>
    <row r="152" spans="2:12" x14ac:dyDescent="0.25">
      <c r="B152" s="305"/>
      <c r="C152" s="297"/>
      <c r="D152" s="297"/>
      <c r="E152" s="308"/>
      <c r="F152" s="308"/>
      <c r="G152" s="308"/>
      <c r="H152" s="300"/>
      <c r="I152" s="300"/>
      <c r="J152" s="26">
        <v>8</v>
      </c>
      <c r="K152" s="26" t="s">
        <v>95</v>
      </c>
      <c r="L152" s="26">
        <v>140</v>
      </c>
    </row>
    <row r="153" spans="2:12" x14ac:dyDescent="0.25">
      <c r="B153" s="305"/>
      <c r="C153" s="297"/>
      <c r="D153" s="297"/>
      <c r="E153" s="308"/>
      <c r="F153" s="308"/>
      <c r="G153" s="308"/>
      <c r="H153" s="300"/>
      <c r="I153" s="300"/>
      <c r="J153" s="26">
        <v>7</v>
      </c>
      <c r="K153" s="26" t="s">
        <v>95</v>
      </c>
      <c r="L153" s="26">
        <v>135</v>
      </c>
    </row>
    <row r="154" spans="2:12" x14ac:dyDescent="0.25">
      <c r="B154" s="305"/>
      <c r="C154" s="297"/>
      <c r="D154" s="297"/>
      <c r="E154" s="308"/>
      <c r="F154" s="308"/>
      <c r="G154" s="308"/>
      <c r="H154" s="300"/>
      <c r="I154" s="300"/>
      <c r="J154" s="26">
        <v>6</v>
      </c>
      <c r="K154" s="26" t="s">
        <v>95</v>
      </c>
      <c r="L154" s="26">
        <v>130</v>
      </c>
    </row>
    <row r="155" spans="2:12" x14ac:dyDescent="0.25">
      <c r="B155" s="305"/>
      <c r="C155" s="297"/>
      <c r="D155" s="297"/>
      <c r="E155" s="308"/>
      <c r="F155" s="308"/>
      <c r="G155" s="308"/>
      <c r="H155" s="300"/>
      <c r="I155" s="300"/>
      <c r="J155" s="26">
        <v>5</v>
      </c>
      <c r="K155" s="26" t="s">
        <v>95</v>
      </c>
      <c r="L155" s="26">
        <v>125</v>
      </c>
    </row>
    <row r="156" spans="2:12" x14ac:dyDescent="0.25">
      <c r="B156" s="305"/>
      <c r="C156" s="297"/>
      <c r="D156" s="298" t="s">
        <v>95</v>
      </c>
      <c r="E156" s="305">
        <v>4</v>
      </c>
      <c r="F156" s="305"/>
      <c r="G156" s="305"/>
      <c r="H156" s="300"/>
      <c r="I156" s="300"/>
      <c r="J156" s="26">
        <v>4</v>
      </c>
      <c r="K156" s="26" t="s">
        <v>95</v>
      </c>
      <c r="L156" s="26">
        <v>120</v>
      </c>
    </row>
    <row r="157" spans="2:12" x14ac:dyDescent="0.25">
      <c r="B157" s="305"/>
      <c r="C157" s="297"/>
      <c r="D157" s="298"/>
      <c r="E157" s="305"/>
      <c r="F157" s="305"/>
      <c r="G157" s="305"/>
      <c r="H157" s="300"/>
      <c r="I157" s="300"/>
      <c r="J157" s="26">
        <v>3</v>
      </c>
      <c r="K157" s="26" t="s">
        <v>95</v>
      </c>
      <c r="L157" s="26">
        <v>115</v>
      </c>
    </row>
    <row r="158" spans="2:12" x14ac:dyDescent="0.25">
      <c r="B158" s="305"/>
      <c r="C158" s="297"/>
      <c r="D158" s="298"/>
      <c r="E158" s="305"/>
      <c r="F158" s="305"/>
      <c r="G158" s="305"/>
      <c r="H158" s="300"/>
      <c r="I158" s="300"/>
      <c r="J158" s="26">
        <v>2</v>
      </c>
      <c r="K158" s="26" t="s">
        <v>95</v>
      </c>
      <c r="L158" s="26">
        <v>110</v>
      </c>
    </row>
    <row r="159" spans="2:12" x14ac:dyDescent="0.25">
      <c r="B159" s="305"/>
      <c r="C159" s="297"/>
      <c r="D159" s="298"/>
      <c r="E159" s="305"/>
      <c r="F159" s="305"/>
      <c r="G159" s="305"/>
      <c r="H159" s="300"/>
      <c r="I159" s="300"/>
      <c r="J159" s="26">
        <v>1</v>
      </c>
      <c r="K159" s="26" t="s">
        <v>95</v>
      </c>
      <c r="L159" s="26">
        <v>105</v>
      </c>
    </row>
    <row r="160" spans="2:12" x14ac:dyDescent="0.25">
      <c r="B160" s="305"/>
      <c r="C160" s="297"/>
      <c r="D160" s="298"/>
      <c r="E160" s="305"/>
      <c r="F160" s="305"/>
      <c r="G160" s="305"/>
      <c r="H160" s="300"/>
      <c r="I160" s="300"/>
      <c r="J160" s="26">
        <v>0</v>
      </c>
      <c r="K160" s="26" t="s">
        <v>95</v>
      </c>
      <c r="L160" s="26">
        <v>100</v>
      </c>
    </row>
    <row r="161" spans="2:12" x14ac:dyDescent="0.25">
      <c r="B161" s="305"/>
      <c r="C161" s="297"/>
      <c r="D161" s="298"/>
      <c r="E161" s="305"/>
      <c r="F161" s="305"/>
      <c r="G161" s="305"/>
      <c r="H161" s="301"/>
      <c r="I161" s="301"/>
      <c r="J161" s="26">
        <v>1</v>
      </c>
      <c r="K161" s="26" t="s">
        <v>98</v>
      </c>
      <c r="L161" s="26">
        <v>-5</v>
      </c>
    </row>
    <row r="162" spans="2:12" x14ac:dyDescent="0.25">
      <c r="B162" s="305"/>
      <c r="C162" s="297"/>
      <c r="D162" s="298"/>
      <c r="E162" s="305"/>
      <c r="F162" s="305"/>
      <c r="G162" s="305"/>
      <c r="H162" s="298" t="s">
        <v>29</v>
      </c>
      <c r="I162" s="298"/>
      <c r="J162" s="298"/>
      <c r="K162" s="298"/>
      <c r="L162" s="298"/>
    </row>
    <row r="163" spans="2:12" x14ac:dyDescent="0.25">
      <c r="B163" s="305"/>
      <c r="C163" s="309">
        <v>2</v>
      </c>
      <c r="D163" s="297" t="s">
        <v>99</v>
      </c>
      <c r="E163" s="297"/>
      <c r="F163" s="297"/>
      <c r="G163" s="297"/>
      <c r="H163" s="26" t="s">
        <v>32</v>
      </c>
      <c r="I163" s="27">
        <v>0.2</v>
      </c>
      <c r="J163" s="298" t="s">
        <v>40</v>
      </c>
      <c r="K163" s="298"/>
      <c r="L163" s="298"/>
    </row>
    <row r="164" spans="2:12" ht="15" customHeight="1" x14ac:dyDescent="0.25">
      <c r="B164" s="305"/>
      <c r="C164" s="309"/>
      <c r="D164" s="297" t="s">
        <v>96</v>
      </c>
      <c r="E164" s="297"/>
      <c r="F164" s="297"/>
      <c r="G164" s="297"/>
      <c r="H164" s="293">
        <v>1</v>
      </c>
      <c r="I164" s="293">
        <f>VLOOKUP(H164,$J$164:$L$168,3,0)*I163</f>
        <v>19.5</v>
      </c>
      <c r="J164" s="43">
        <v>0</v>
      </c>
      <c r="K164" s="296" t="s">
        <v>100</v>
      </c>
      <c r="L164" s="44">
        <v>110</v>
      </c>
    </row>
    <row r="165" spans="2:12" x14ac:dyDescent="0.25">
      <c r="B165" s="305"/>
      <c r="C165" s="309"/>
      <c r="D165" s="297" t="s">
        <v>101</v>
      </c>
      <c r="E165" s="297"/>
      <c r="F165" s="297"/>
      <c r="G165" s="297"/>
      <c r="H165" s="294"/>
      <c r="I165" s="294"/>
      <c r="J165" s="43">
        <v>1</v>
      </c>
      <c r="K165" s="296"/>
      <c r="L165" s="44">
        <v>97.5</v>
      </c>
    </row>
    <row r="166" spans="2:12" x14ac:dyDescent="0.25">
      <c r="B166" s="305"/>
      <c r="C166" s="309"/>
      <c r="D166" s="297"/>
      <c r="E166" s="297"/>
      <c r="F166" s="297"/>
      <c r="G166" s="297"/>
      <c r="H166" s="294"/>
      <c r="I166" s="294"/>
      <c r="J166" s="43">
        <v>2</v>
      </c>
      <c r="K166" s="296"/>
      <c r="L166" s="45">
        <v>95</v>
      </c>
    </row>
    <row r="167" spans="2:12" x14ac:dyDescent="0.25">
      <c r="B167" s="305"/>
      <c r="C167" s="309"/>
      <c r="D167" s="297"/>
      <c r="E167" s="297"/>
      <c r="F167" s="297"/>
      <c r="G167" s="297"/>
      <c r="H167" s="294"/>
      <c r="I167" s="294"/>
      <c r="J167" s="43">
        <v>3</v>
      </c>
      <c r="K167" s="296"/>
      <c r="L167" s="45">
        <f>L166-2.5</f>
        <v>92.5</v>
      </c>
    </row>
    <row r="168" spans="2:12" x14ac:dyDescent="0.25">
      <c r="B168" s="305"/>
      <c r="C168" s="309"/>
      <c r="D168" s="297"/>
      <c r="E168" s="297"/>
      <c r="F168" s="297"/>
      <c r="G168" s="297"/>
      <c r="H168" s="295"/>
      <c r="I168" s="295"/>
      <c r="J168" s="43">
        <v>4</v>
      </c>
      <c r="K168" s="296"/>
      <c r="L168" s="45">
        <f>L167-2.5</f>
        <v>90</v>
      </c>
    </row>
    <row r="169" spans="2:12" x14ac:dyDescent="0.25">
      <c r="B169" s="305"/>
      <c r="C169" s="309"/>
      <c r="D169" s="297"/>
      <c r="E169" s="297"/>
      <c r="F169" s="297"/>
      <c r="G169" s="297"/>
      <c r="H169" s="298" t="s">
        <v>29</v>
      </c>
      <c r="I169" s="298"/>
      <c r="J169" s="298"/>
      <c r="K169" s="298"/>
      <c r="L169" s="298"/>
    </row>
    <row r="170" spans="2:12" x14ac:dyDescent="0.25">
      <c r="B170" s="305"/>
      <c r="C170" s="297">
        <v>3</v>
      </c>
      <c r="D170" s="297" t="s">
        <v>102</v>
      </c>
      <c r="E170" s="297"/>
      <c r="F170" s="297"/>
      <c r="G170" s="297"/>
      <c r="H170" s="26" t="s">
        <v>32</v>
      </c>
      <c r="I170" s="27">
        <v>0.1</v>
      </c>
      <c r="J170" s="298" t="s">
        <v>40</v>
      </c>
      <c r="K170" s="298"/>
      <c r="L170" s="298"/>
    </row>
    <row r="171" spans="2:12" ht="15" customHeight="1" x14ac:dyDescent="0.25">
      <c r="B171" s="305"/>
      <c r="C171" s="297"/>
      <c r="D171" s="297" t="s">
        <v>96</v>
      </c>
      <c r="E171" s="297"/>
      <c r="F171" s="297"/>
      <c r="G171" s="297"/>
      <c r="H171" s="299">
        <v>0</v>
      </c>
      <c r="I171" s="299">
        <f>VLOOKUP(H171,$J$171:$L$176,3,0)*I170</f>
        <v>11</v>
      </c>
      <c r="J171" s="43">
        <v>0</v>
      </c>
      <c r="K171" s="310" t="s">
        <v>103</v>
      </c>
      <c r="L171" s="44">
        <v>110</v>
      </c>
    </row>
    <row r="172" spans="2:12" x14ac:dyDescent="0.25">
      <c r="B172" s="305"/>
      <c r="C172" s="297"/>
      <c r="D172" s="297" t="s">
        <v>104</v>
      </c>
      <c r="E172" s="297"/>
      <c r="F172" s="297"/>
      <c r="G172" s="297"/>
      <c r="H172" s="300"/>
      <c r="I172" s="300"/>
      <c r="J172" s="43">
        <v>1</v>
      </c>
      <c r="K172" s="310"/>
      <c r="L172" s="44">
        <v>97.5</v>
      </c>
    </row>
    <row r="173" spans="2:12" x14ac:dyDescent="0.25">
      <c r="B173" s="305"/>
      <c r="C173" s="297"/>
      <c r="D173" s="297"/>
      <c r="E173" s="297"/>
      <c r="F173" s="297"/>
      <c r="G173" s="297"/>
      <c r="H173" s="300"/>
      <c r="I173" s="300"/>
      <c r="J173" s="43">
        <v>2</v>
      </c>
      <c r="K173" s="310"/>
      <c r="L173" s="45">
        <v>95</v>
      </c>
    </row>
    <row r="174" spans="2:12" x14ac:dyDescent="0.25">
      <c r="B174" s="305"/>
      <c r="C174" s="297"/>
      <c r="D174" s="297"/>
      <c r="E174" s="297"/>
      <c r="F174" s="297"/>
      <c r="G174" s="297"/>
      <c r="H174" s="300"/>
      <c r="I174" s="300"/>
      <c r="J174" s="43">
        <v>3</v>
      </c>
      <c r="K174" s="310"/>
      <c r="L174" s="45">
        <f>L173-2.5</f>
        <v>92.5</v>
      </c>
    </row>
    <row r="175" spans="2:12" x14ac:dyDescent="0.25">
      <c r="B175" s="305"/>
      <c r="C175" s="297"/>
      <c r="D175" s="297"/>
      <c r="E175" s="297"/>
      <c r="F175" s="297"/>
      <c r="G175" s="297"/>
      <c r="H175" s="300"/>
      <c r="I175" s="300"/>
      <c r="J175" s="43">
        <v>4</v>
      </c>
      <c r="K175" s="310"/>
      <c r="L175" s="45">
        <f>L174-2.5</f>
        <v>90</v>
      </c>
    </row>
    <row r="176" spans="2:12" x14ac:dyDescent="0.25">
      <c r="B176" s="305"/>
      <c r="C176" s="297"/>
      <c r="D176" s="297"/>
      <c r="E176" s="297"/>
      <c r="F176" s="297"/>
      <c r="G176" s="297"/>
      <c r="H176" s="301"/>
      <c r="I176" s="301"/>
      <c r="J176" s="26"/>
      <c r="K176" s="310"/>
      <c r="L176" s="26"/>
    </row>
    <row r="177" spans="2:12" x14ac:dyDescent="0.25">
      <c r="B177" s="305"/>
      <c r="C177" s="305" t="s">
        <v>46</v>
      </c>
      <c r="D177" s="305"/>
      <c r="E177" s="305"/>
      <c r="F177" s="305"/>
      <c r="G177" s="305"/>
      <c r="H177" s="311">
        <f>I148+I164+I171</f>
        <v>104</v>
      </c>
      <c r="I177" s="311"/>
      <c r="J177" s="311"/>
      <c r="K177" s="311"/>
      <c r="L177" s="311"/>
    </row>
    <row r="180" spans="2:12" x14ac:dyDescent="0.25">
      <c r="B180" s="271" t="s">
        <v>105</v>
      </c>
      <c r="C180" s="271"/>
      <c r="D180" s="271"/>
      <c r="E180" s="271"/>
      <c r="F180" s="271"/>
      <c r="G180" s="271"/>
      <c r="H180" s="271"/>
      <c r="I180" s="271"/>
      <c r="J180" s="271"/>
      <c r="K180" s="271"/>
      <c r="L180" s="271"/>
    </row>
    <row r="181" spans="2:12" x14ac:dyDescent="0.25">
      <c r="B181" s="283"/>
      <c r="C181" s="283"/>
      <c r="D181" s="283"/>
      <c r="E181" s="283"/>
      <c r="F181" s="283"/>
      <c r="G181" s="283"/>
      <c r="H181" s="283"/>
      <c r="I181" s="283"/>
      <c r="J181" s="283"/>
      <c r="K181" s="283"/>
      <c r="L181" s="283"/>
    </row>
    <row r="182" spans="2:12" x14ac:dyDescent="0.25">
      <c r="B182" s="284"/>
      <c r="C182" s="285"/>
      <c r="D182" s="285"/>
      <c r="E182" s="285"/>
      <c r="F182" s="285"/>
      <c r="G182" s="285"/>
      <c r="H182" s="285"/>
      <c r="I182" s="285"/>
      <c r="J182" s="285"/>
      <c r="K182" s="285"/>
      <c r="L182" s="286"/>
    </row>
    <row r="183" spans="2:12" x14ac:dyDescent="0.25">
      <c r="B183" s="287"/>
      <c r="C183" s="288"/>
      <c r="D183" s="288"/>
      <c r="E183" s="288"/>
      <c r="F183" s="288"/>
      <c r="G183" s="288"/>
      <c r="H183" s="288"/>
      <c r="I183" s="288"/>
      <c r="J183" s="288"/>
      <c r="K183" s="288"/>
      <c r="L183" s="289"/>
    </row>
    <row r="184" spans="2:12" x14ac:dyDescent="0.25">
      <c r="B184" s="287"/>
      <c r="C184" s="288"/>
      <c r="D184" s="288"/>
      <c r="E184" s="288"/>
      <c r="F184" s="288"/>
      <c r="G184" s="288"/>
      <c r="H184" s="288"/>
      <c r="I184" s="288"/>
      <c r="J184" s="288"/>
      <c r="K184" s="288"/>
      <c r="L184" s="289"/>
    </row>
    <row r="185" spans="2:12" x14ac:dyDescent="0.25">
      <c r="B185" s="290"/>
      <c r="C185" s="291"/>
      <c r="D185" s="291"/>
      <c r="E185" s="291"/>
      <c r="F185" s="291"/>
      <c r="G185" s="291"/>
      <c r="H185" s="291"/>
      <c r="I185" s="291"/>
      <c r="J185" s="291"/>
      <c r="K185" s="291"/>
      <c r="L185" s="292"/>
    </row>
    <row r="187" spans="2:12" x14ac:dyDescent="0.25">
      <c r="B187" s="271" t="s">
        <v>106</v>
      </c>
      <c r="C187" s="271"/>
      <c r="D187" s="271"/>
      <c r="E187" s="271"/>
      <c r="F187" s="271"/>
      <c r="G187" s="271"/>
      <c r="H187" s="271"/>
      <c r="I187" s="271"/>
      <c r="J187" s="271"/>
      <c r="K187" s="271"/>
      <c r="L187" s="271"/>
    </row>
    <row r="188" spans="2:12" x14ac:dyDescent="0.25">
      <c r="B188" s="271"/>
      <c r="C188" s="271"/>
      <c r="D188" s="271"/>
      <c r="E188" s="271"/>
      <c r="F188" s="271"/>
      <c r="G188" s="271"/>
      <c r="H188" s="271"/>
      <c r="I188" s="271"/>
      <c r="J188" s="271"/>
      <c r="K188" s="271"/>
      <c r="L188" s="271"/>
    </row>
    <row r="189" spans="2:12" x14ac:dyDescent="0.25">
      <c r="B189" s="272"/>
      <c r="C189" s="272"/>
      <c r="D189" s="272"/>
      <c r="E189" s="272"/>
      <c r="F189" s="272"/>
      <c r="G189" s="272"/>
      <c r="H189" s="272"/>
      <c r="I189" s="272"/>
      <c r="J189" s="272"/>
      <c r="K189" s="272"/>
      <c r="L189" s="272"/>
    </row>
    <row r="190" spans="2:12" x14ac:dyDescent="0.25">
      <c r="B190" s="272"/>
      <c r="C190" s="272"/>
      <c r="D190" s="272"/>
      <c r="E190" s="272"/>
      <c r="F190" s="272"/>
      <c r="G190" s="272"/>
      <c r="H190" s="272"/>
      <c r="I190" s="272"/>
      <c r="J190" s="272"/>
      <c r="K190" s="272"/>
      <c r="L190" s="272"/>
    </row>
    <row r="191" spans="2:12" x14ac:dyDescent="0.25">
      <c r="B191" s="272"/>
      <c r="C191" s="272"/>
      <c r="D191" s="272"/>
      <c r="E191" s="272"/>
      <c r="F191" s="272"/>
      <c r="G191" s="272"/>
      <c r="H191" s="272"/>
      <c r="I191" s="272"/>
      <c r="J191" s="272"/>
      <c r="K191" s="272"/>
      <c r="L191" s="272"/>
    </row>
    <row r="192" spans="2:12" x14ac:dyDescent="0.25">
      <c r="B192" s="272"/>
      <c r="C192" s="272"/>
      <c r="D192" s="272"/>
      <c r="E192" s="272"/>
      <c r="F192" s="272"/>
      <c r="G192" s="272"/>
      <c r="H192" s="272"/>
      <c r="I192" s="272"/>
      <c r="J192" s="272"/>
      <c r="K192" s="272"/>
      <c r="L192" s="272"/>
    </row>
    <row r="193" spans="2:12" x14ac:dyDescent="0.25">
      <c r="B193" s="272"/>
      <c r="C193" s="272"/>
      <c r="D193" s="272"/>
      <c r="E193" s="272"/>
      <c r="F193" s="272"/>
      <c r="G193" s="272"/>
      <c r="H193" s="272"/>
      <c r="I193" s="272"/>
      <c r="J193" s="272"/>
      <c r="K193" s="272"/>
      <c r="L193" s="272"/>
    </row>
    <row r="195" spans="2:12" x14ac:dyDescent="0.25">
      <c r="B195" s="46" t="s">
        <v>107</v>
      </c>
    </row>
    <row r="197" spans="2:12" x14ac:dyDescent="0.25">
      <c r="B197" t="s">
        <v>108</v>
      </c>
      <c r="D197" t="s">
        <v>109</v>
      </c>
      <c r="F197" t="s">
        <v>110</v>
      </c>
      <c r="J197" t="s">
        <v>111</v>
      </c>
    </row>
    <row r="199" spans="2:12" x14ac:dyDescent="0.25">
      <c r="B199" t="s">
        <v>47</v>
      </c>
      <c r="D199" t="s">
        <v>109</v>
      </c>
      <c r="F199" t="s">
        <v>110</v>
      </c>
      <c r="J199" t="s">
        <v>111</v>
      </c>
    </row>
    <row r="201" spans="2:12" x14ac:dyDescent="0.25">
      <c r="B201" t="s">
        <v>112</v>
      </c>
    </row>
    <row r="202" spans="2:12" x14ac:dyDescent="0.25">
      <c r="B202" s="273" t="s">
        <v>113</v>
      </c>
      <c r="C202" s="274"/>
      <c r="D202" s="47"/>
      <c r="E202" s="277" t="s">
        <v>114</v>
      </c>
      <c r="F202" s="279" t="s">
        <v>4</v>
      </c>
      <c r="G202" s="48"/>
      <c r="H202" s="48"/>
      <c r="I202" s="279" t="s">
        <v>115</v>
      </c>
      <c r="J202" s="279"/>
      <c r="K202" s="281" t="s">
        <v>6</v>
      </c>
      <c r="L202" s="49"/>
    </row>
    <row r="203" spans="2:12" x14ac:dyDescent="0.25">
      <c r="B203" s="275"/>
      <c r="C203" s="276"/>
      <c r="D203" s="50"/>
      <c r="E203" s="278"/>
      <c r="F203" s="280"/>
      <c r="G203" s="51"/>
      <c r="H203" s="51"/>
      <c r="I203" s="280"/>
      <c r="J203" s="280"/>
      <c r="K203" s="282"/>
      <c r="L203" s="52"/>
    </row>
    <row r="204" spans="2:12" x14ac:dyDescent="0.25">
      <c r="B204" s="269" t="s">
        <v>116</v>
      </c>
      <c r="C204" s="270"/>
      <c r="D204" s="53"/>
      <c r="E204" s="270" t="s">
        <v>116</v>
      </c>
      <c r="F204" s="270"/>
      <c r="G204" s="53"/>
      <c r="H204" s="53"/>
      <c r="I204" s="270" t="s">
        <v>116</v>
      </c>
      <c r="J204" s="270"/>
      <c r="K204" s="53"/>
      <c r="L204" s="54"/>
    </row>
  </sheetData>
  <mergeCells count="200">
    <mergeCell ref="B1:E2"/>
    <mergeCell ref="B3:D3"/>
    <mergeCell ref="B4:D4"/>
    <mergeCell ref="B5:D5"/>
    <mergeCell ref="B6:D6"/>
    <mergeCell ref="B7:D7"/>
    <mergeCell ref="H16:L16"/>
    <mergeCell ref="C17:C24"/>
    <mergeCell ref="D17:G21"/>
    <mergeCell ref="J17:L17"/>
    <mergeCell ref="H18:H23"/>
    <mergeCell ref="I18:I23"/>
    <mergeCell ref="B8:D8"/>
    <mergeCell ref="B10:G11"/>
    <mergeCell ref="H10:L11"/>
    <mergeCell ref="B12:B70"/>
    <mergeCell ref="C12:G15"/>
    <mergeCell ref="H12:K12"/>
    <mergeCell ref="H13:K13"/>
    <mergeCell ref="H14:K14"/>
    <mergeCell ref="H15:K15"/>
    <mergeCell ref="C16:G16"/>
    <mergeCell ref="C43:C52"/>
    <mergeCell ref="D43:G46"/>
    <mergeCell ref="O27:O28"/>
    <mergeCell ref="D28:G33"/>
    <mergeCell ref="P31:Q32"/>
    <mergeCell ref="P33:Q33"/>
    <mergeCell ref="C34:G34"/>
    <mergeCell ref="H34:L34"/>
    <mergeCell ref="O18:O19"/>
    <mergeCell ref="D22:G22"/>
    <mergeCell ref="D23:G24"/>
    <mergeCell ref="H24:L24"/>
    <mergeCell ref="C25:C33"/>
    <mergeCell ref="D25:G26"/>
    <mergeCell ref="J25:L25"/>
    <mergeCell ref="H26:H33"/>
    <mergeCell ref="I26:I33"/>
    <mergeCell ref="D27:G27"/>
    <mergeCell ref="J43:L43"/>
    <mergeCell ref="H44:H51"/>
    <mergeCell ref="I44:I51"/>
    <mergeCell ref="D47:G52"/>
    <mergeCell ref="H52:L52"/>
    <mergeCell ref="C35:G35"/>
    <mergeCell ref="H35:L35"/>
    <mergeCell ref="C36:C42"/>
    <mergeCell ref="D36:G38"/>
    <mergeCell ref="J36:L36"/>
    <mergeCell ref="H37:H41"/>
    <mergeCell ref="I37:I41"/>
    <mergeCell ref="D39:G39"/>
    <mergeCell ref="D40:G42"/>
    <mergeCell ref="H42:L42"/>
    <mergeCell ref="C61:C70"/>
    <mergeCell ref="D61:G62"/>
    <mergeCell ref="J61:L61"/>
    <mergeCell ref="H62:H70"/>
    <mergeCell ref="I62:I70"/>
    <mergeCell ref="D63:G63"/>
    <mergeCell ref="D64:G70"/>
    <mergeCell ref="C53:C60"/>
    <mergeCell ref="D53:G56"/>
    <mergeCell ref="J53:L53"/>
    <mergeCell ref="H54:H59"/>
    <mergeCell ref="I54:I59"/>
    <mergeCell ref="D57:G57"/>
    <mergeCell ref="D58:G60"/>
    <mergeCell ref="H60:L60"/>
    <mergeCell ref="C71:G71"/>
    <mergeCell ref="H71:L71"/>
    <mergeCell ref="B72:B128"/>
    <mergeCell ref="C72:G73"/>
    <mergeCell ref="H72:L73"/>
    <mergeCell ref="C74:G74"/>
    <mergeCell ref="H74:L74"/>
    <mergeCell ref="C75:C86"/>
    <mergeCell ref="D75:G79"/>
    <mergeCell ref="J75:L75"/>
    <mergeCell ref="H76:H85"/>
    <mergeCell ref="I76:I85"/>
    <mergeCell ref="J76:J79"/>
    <mergeCell ref="K76:L79"/>
    <mergeCell ref="D80:G80"/>
    <mergeCell ref="J80:J81"/>
    <mergeCell ref="K80:L81"/>
    <mergeCell ref="D81:G86"/>
    <mergeCell ref="J82:J85"/>
    <mergeCell ref="K82:L85"/>
    <mergeCell ref="D92:G92"/>
    <mergeCell ref="J92:J94"/>
    <mergeCell ref="K92:L94"/>
    <mergeCell ref="D93:G94"/>
    <mergeCell ref="C95:G95"/>
    <mergeCell ref="H95:L95"/>
    <mergeCell ref="H86:L86"/>
    <mergeCell ref="C87:C94"/>
    <mergeCell ref="D87:G91"/>
    <mergeCell ref="J87:L87"/>
    <mergeCell ref="H88:H94"/>
    <mergeCell ref="I88:I94"/>
    <mergeCell ref="J88:J89"/>
    <mergeCell ref="K88:L89"/>
    <mergeCell ref="J90:J91"/>
    <mergeCell ref="K90:L91"/>
    <mergeCell ref="C96:G96"/>
    <mergeCell ref="H96:L96"/>
    <mergeCell ref="C97:C107"/>
    <mergeCell ref="D97:G99"/>
    <mergeCell ref="J97:L97"/>
    <mergeCell ref="H98:H106"/>
    <mergeCell ref="I98:I106"/>
    <mergeCell ref="D100:G100"/>
    <mergeCell ref="D101:G107"/>
    <mergeCell ref="H107:L107"/>
    <mergeCell ref="C119:C128"/>
    <mergeCell ref="D119:G122"/>
    <mergeCell ref="J119:L119"/>
    <mergeCell ref="H120:H128"/>
    <mergeCell ref="I120:I128"/>
    <mergeCell ref="D123:G123"/>
    <mergeCell ref="D124:G128"/>
    <mergeCell ref="C108:C118"/>
    <mergeCell ref="D108:G111"/>
    <mergeCell ref="J108:L108"/>
    <mergeCell ref="H109:H117"/>
    <mergeCell ref="I109:I117"/>
    <mergeCell ref="D112:G112"/>
    <mergeCell ref="D113:G118"/>
    <mergeCell ref="H118:L118"/>
    <mergeCell ref="C129:G129"/>
    <mergeCell ref="H129:L129"/>
    <mergeCell ref="B130:B144"/>
    <mergeCell ref="C130:G131"/>
    <mergeCell ref="H130:L131"/>
    <mergeCell ref="C132:G132"/>
    <mergeCell ref="H132:L132"/>
    <mergeCell ref="C133:C136"/>
    <mergeCell ref="D133:G134"/>
    <mergeCell ref="J133:L133"/>
    <mergeCell ref="C138:C144"/>
    <mergeCell ref="D138:G140"/>
    <mergeCell ref="J138:L138"/>
    <mergeCell ref="H139:H144"/>
    <mergeCell ref="I139:I144"/>
    <mergeCell ref="D141:G141"/>
    <mergeCell ref="D142:G144"/>
    <mergeCell ref="H134:H136"/>
    <mergeCell ref="I134:I136"/>
    <mergeCell ref="D135:G135"/>
    <mergeCell ref="D136:G136"/>
    <mergeCell ref="C137:G137"/>
    <mergeCell ref="H137:L137"/>
    <mergeCell ref="C145:G145"/>
    <mergeCell ref="B146:B177"/>
    <mergeCell ref="H146:L146"/>
    <mergeCell ref="C147:G147"/>
    <mergeCell ref="J147:L147"/>
    <mergeCell ref="C148:C162"/>
    <mergeCell ref="D148:G148"/>
    <mergeCell ref="H148:H161"/>
    <mergeCell ref="I148:I161"/>
    <mergeCell ref="D149:G149"/>
    <mergeCell ref="D150:D155"/>
    <mergeCell ref="E150:G155"/>
    <mergeCell ref="D156:D162"/>
    <mergeCell ref="E156:G162"/>
    <mergeCell ref="H162:L162"/>
    <mergeCell ref="C163:C169"/>
    <mergeCell ref="D163:G163"/>
    <mergeCell ref="J163:L163"/>
    <mergeCell ref="D164:G164"/>
    <mergeCell ref="H164:H168"/>
    <mergeCell ref="K171:K176"/>
    <mergeCell ref="D172:G176"/>
    <mergeCell ref="C177:G177"/>
    <mergeCell ref="H177:L177"/>
    <mergeCell ref="B180:L181"/>
    <mergeCell ref="B182:L185"/>
    <mergeCell ref="I164:I168"/>
    <mergeCell ref="K164:K168"/>
    <mergeCell ref="D165:G169"/>
    <mergeCell ref="H169:L169"/>
    <mergeCell ref="C170:C176"/>
    <mergeCell ref="D170:G170"/>
    <mergeCell ref="J170:L170"/>
    <mergeCell ref="D171:G171"/>
    <mergeCell ref="H171:H176"/>
    <mergeCell ref="I171:I176"/>
    <mergeCell ref="B204:C204"/>
    <mergeCell ref="E204:F204"/>
    <mergeCell ref="I204:J204"/>
    <mergeCell ref="B187:L188"/>
    <mergeCell ref="B189:L193"/>
    <mergeCell ref="B202:C203"/>
    <mergeCell ref="E202:E203"/>
    <mergeCell ref="F202:F203"/>
    <mergeCell ref="I202:J203"/>
    <mergeCell ref="K202:K203"/>
  </mergeCells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AJ251"/>
  <sheetViews>
    <sheetView tabSelected="1" topLeftCell="A2" zoomScaleNormal="100" workbookViewId="0">
      <pane xSplit="3" ySplit="2" topLeftCell="D22" activePane="bottomRight" state="frozen"/>
      <selection activeCell="A2" sqref="A2"/>
      <selection pane="topRight" activeCell="L2" sqref="L2"/>
      <selection pane="bottomLeft" activeCell="A6" sqref="A6"/>
      <selection pane="bottomRight" activeCell="C6" sqref="C6"/>
    </sheetView>
  </sheetViews>
  <sheetFormatPr defaultRowHeight="20.100000000000001" customHeight="1" x14ac:dyDescent="0.25"/>
  <cols>
    <col min="1" max="1" width="3.7109375" style="56" customWidth="1"/>
    <col min="2" max="2" width="9.140625" style="56" customWidth="1"/>
    <col min="3" max="3" width="20.28515625" style="56" customWidth="1"/>
    <col min="4" max="4" width="9.140625" style="56" customWidth="1"/>
    <col min="5" max="5" width="13.85546875" style="56" customWidth="1"/>
    <col min="6" max="6" width="10.42578125" style="56" customWidth="1"/>
    <col min="7" max="7" width="20.85546875" style="56" customWidth="1"/>
    <col min="8" max="8" width="35.7109375" style="56" bestFit="1" customWidth="1"/>
    <col min="9" max="9" width="9.85546875" style="56" customWidth="1"/>
    <col min="10" max="10" width="13.140625" style="157" customWidth="1"/>
    <col min="11" max="11" width="9.140625" style="56"/>
    <col min="12" max="12" width="9.140625" style="245"/>
    <col min="13" max="13" width="9.140625" style="246"/>
    <col min="14" max="15" width="9.140625" style="56"/>
    <col min="16" max="16" width="24.28515625" style="56" bestFit="1" customWidth="1"/>
    <col min="17" max="16384" width="9.140625" style="56"/>
  </cols>
  <sheetData>
    <row r="1" spans="1:17" s="55" customFormat="1" ht="20.100000000000001" customHeight="1" x14ac:dyDescent="0.25">
      <c r="A1" s="151"/>
      <c r="B1" s="151"/>
      <c r="C1" s="381"/>
      <c r="D1" s="381"/>
      <c r="E1" s="381"/>
      <c r="F1" s="151"/>
      <c r="G1" s="151"/>
      <c r="H1" s="151"/>
      <c r="I1" s="151"/>
      <c r="L1" s="237"/>
      <c r="M1" s="238"/>
      <c r="N1" s="57"/>
      <c r="O1" s="57"/>
    </row>
    <row r="2" spans="1:17" s="55" customFormat="1" ht="20.100000000000001" customHeight="1" x14ac:dyDescent="0.25">
      <c r="A2" s="151"/>
      <c r="B2" s="151"/>
      <c r="C2" s="151"/>
      <c r="D2" s="152"/>
      <c r="E2" s="153"/>
      <c r="F2" s="151"/>
      <c r="G2" s="151"/>
      <c r="H2" s="154"/>
      <c r="I2" s="151"/>
      <c r="L2" s="237"/>
      <c r="M2" s="238"/>
      <c r="N2" s="57"/>
      <c r="O2" s="57"/>
    </row>
    <row r="3" spans="1:17" s="156" customFormat="1" ht="15" x14ac:dyDescent="0.25">
      <c r="A3" s="59" t="s">
        <v>131</v>
      </c>
      <c r="B3" s="59" t="s">
        <v>116</v>
      </c>
      <c r="C3" s="59" t="s">
        <v>205</v>
      </c>
      <c r="D3" s="59" t="s">
        <v>136</v>
      </c>
      <c r="E3" s="155" t="s">
        <v>206</v>
      </c>
      <c r="F3" s="59" t="s">
        <v>207</v>
      </c>
      <c r="G3" s="59" t="s">
        <v>132</v>
      </c>
      <c r="H3" s="59" t="s">
        <v>162</v>
      </c>
      <c r="I3" s="59" t="s">
        <v>208</v>
      </c>
      <c r="J3" s="59" t="s">
        <v>133</v>
      </c>
      <c r="K3" s="59" t="s">
        <v>163</v>
      </c>
      <c r="L3" s="239"/>
      <c r="M3" s="240"/>
      <c r="N3" s="241"/>
      <c r="O3" s="241"/>
    </row>
    <row r="4" spans="1:17" s="175" customFormat="1" ht="20.100000000000001" customHeight="1" x14ac:dyDescent="0.25">
      <c r="A4" s="200">
        <v>1</v>
      </c>
      <c r="B4" s="197">
        <v>46114</v>
      </c>
      <c r="C4" s="207" t="s">
        <v>566</v>
      </c>
      <c r="D4" s="207" t="s">
        <v>594</v>
      </c>
      <c r="E4" s="191">
        <v>46088</v>
      </c>
      <c r="F4" s="192" t="s">
        <v>622</v>
      </c>
      <c r="G4" s="192" t="s">
        <v>650</v>
      </c>
      <c r="H4" s="211" t="s">
        <v>673</v>
      </c>
      <c r="I4" s="215" t="s">
        <v>698</v>
      </c>
      <c r="J4" s="197">
        <v>46119</v>
      </c>
      <c r="K4" s="248">
        <f>+J4-B4-3</f>
        <v>2</v>
      </c>
      <c r="L4" s="242"/>
      <c r="M4" s="175" t="s">
        <v>703</v>
      </c>
      <c r="P4" s="174"/>
      <c r="Q4" s="174"/>
    </row>
    <row r="5" spans="1:17" s="175" customFormat="1" ht="20.100000000000001" customHeight="1" x14ac:dyDescent="0.25">
      <c r="A5" s="200">
        <v>2</v>
      </c>
      <c r="B5" s="199">
        <v>46116</v>
      </c>
      <c r="C5" s="209" t="s">
        <v>563</v>
      </c>
      <c r="D5" s="233" t="s">
        <v>591</v>
      </c>
      <c r="E5" s="184">
        <v>45913</v>
      </c>
      <c r="F5" s="186" t="s">
        <v>619</v>
      </c>
      <c r="G5" s="186" t="s">
        <v>647</v>
      </c>
      <c r="H5" s="211" t="s">
        <v>670</v>
      </c>
      <c r="I5" s="215" t="s">
        <v>137</v>
      </c>
      <c r="J5" s="197">
        <v>46119</v>
      </c>
      <c r="K5" s="188">
        <v>1</v>
      </c>
      <c r="L5" s="242"/>
      <c r="M5" s="175" t="s">
        <v>702</v>
      </c>
      <c r="P5" s="174"/>
      <c r="Q5" s="174"/>
    </row>
    <row r="6" spans="1:17" s="175" customFormat="1" ht="20.100000000000001" customHeight="1" x14ac:dyDescent="0.25">
      <c r="A6" s="200">
        <v>3</v>
      </c>
      <c r="B6" s="197">
        <v>46119</v>
      </c>
      <c r="C6" s="207" t="s">
        <v>581</v>
      </c>
      <c r="D6" s="207" t="s">
        <v>609</v>
      </c>
      <c r="E6" s="191">
        <v>45981</v>
      </c>
      <c r="F6" s="192" t="s">
        <v>637</v>
      </c>
      <c r="G6" s="192" t="s">
        <v>662</v>
      </c>
      <c r="H6" s="154" t="s">
        <v>688</v>
      </c>
      <c r="I6" s="217" t="s">
        <v>698</v>
      </c>
      <c r="J6" s="199">
        <v>46121</v>
      </c>
      <c r="K6" s="188">
        <v>1</v>
      </c>
      <c r="L6" s="242"/>
      <c r="M6" s="243"/>
      <c r="P6" s="174"/>
      <c r="Q6" s="174"/>
    </row>
    <row r="7" spans="1:17" s="175" customFormat="1" ht="20.100000000000001" customHeight="1" x14ac:dyDescent="0.25">
      <c r="A7" s="200">
        <v>4</v>
      </c>
      <c r="B7" s="199">
        <v>46122</v>
      </c>
      <c r="C7" s="209" t="s">
        <v>564</v>
      </c>
      <c r="D7" s="233" t="s">
        <v>592</v>
      </c>
      <c r="E7" s="184">
        <v>46004</v>
      </c>
      <c r="F7" s="186" t="s">
        <v>620</v>
      </c>
      <c r="G7" s="186" t="s">
        <v>648</v>
      </c>
      <c r="H7" s="211" t="s">
        <v>671</v>
      </c>
      <c r="I7" s="215" t="s">
        <v>137</v>
      </c>
      <c r="J7" s="197">
        <v>46123</v>
      </c>
      <c r="K7" s="188">
        <f t="shared" ref="K7:K31" si="0">+J7-B7</f>
        <v>1</v>
      </c>
      <c r="L7" s="242"/>
      <c r="M7" s="243"/>
      <c r="P7" s="174"/>
      <c r="Q7" s="174"/>
    </row>
    <row r="8" spans="1:17" s="175" customFormat="1" ht="20.100000000000001" customHeight="1" x14ac:dyDescent="0.25">
      <c r="A8" s="200">
        <v>5</v>
      </c>
      <c r="B8" s="197">
        <v>46122</v>
      </c>
      <c r="C8" s="207" t="s">
        <v>567</v>
      </c>
      <c r="D8" s="207" t="s">
        <v>595</v>
      </c>
      <c r="E8" s="191">
        <v>46113</v>
      </c>
      <c r="F8" s="192" t="s">
        <v>623</v>
      </c>
      <c r="G8" s="192" t="s">
        <v>650</v>
      </c>
      <c r="H8" s="212" t="s">
        <v>674</v>
      </c>
      <c r="I8" s="216" t="s">
        <v>698</v>
      </c>
      <c r="J8" s="198">
        <v>46123</v>
      </c>
      <c r="K8" s="188">
        <f t="shared" si="0"/>
        <v>1</v>
      </c>
      <c r="L8" s="242"/>
      <c r="M8" s="243"/>
      <c r="P8" s="174"/>
      <c r="Q8" s="174"/>
    </row>
    <row r="9" spans="1:17" s="175" customFormat="1" ht="20.100000000000001" customHeight="1" x14ac:dyDescent="0.25">
      <c r="A9" s="200">
        <v>6</v>
      </c>
      <c r="B9" s="197">
        <v>46125</v>
      </c>
      <c r="C9" s="207" t="s">
        <v>582</v>
      </c>
      <c r="D9" s="207" t="s">
        <v>610</v>
      </c>
      <c r="E9" s="191">
        <v>46121</v>
      </c>
      <c r="F9" s="192" t="s">
        <v>638</v>
      </c>
      <c r="G9" s="192" t="s">
        <v>660</v>
      </c>
      <c r="H9" s="154" t="s">
        <v>689</v>
      </c>
      <c r="I9" s="215" t="s">
        <v>698</v>
      </c>
      <c r="J9" s="197">
        <v>46126</v>
      </c>
      <c r="K9" s="188">
        <v>0</v>
      </c>
      <c r="L9" s="242"/>
      <c r="M9" s="243"/>
      <c r="P9" s="174"/>
      <c r="Q9" s="174"/>
    </row>
    <row r="10" spans="1:17" s="175" customFormat="1" ht="20.100000000000001" customHeight="1" x14ac:dyDescent="0.25">
      <c r="A10" s="200">
        <v>7</v>
      </c>
      <c r="B10" s="199">
        <v>46128</v>
      </c>
      <c r="C10" s="209" t="s">
        <v>577</v>
      </c>
      <c r="D10" s="233" t="s">
        <v>605</v>
      </c>
      <c r="E10" s="184">
        <v>45923</v>
      </c>
      <c r="F10" s="186" t="s">
        <v>633</v>
      </c>
      <c r="G10" s="186" t="s">
        <v>659</v>
      </c>
      <c r="H10" s="213" t="s">
        <v>684</v>
      </c>
      <c r="I10" s="215" t="s">
        <v>137</v>
      </c>
      <c r="J10" s="197">
        <v>46129</v>
      </c>
      <c r="K10" s="188">
        <v>0</v>
      </c>
      <c r="L10" s="242"/>
      <c r="M10" s="243"/>
      <c r="P10" s="174"/>
      <c r="Q10" s="174"/>
    </row>
    <row r="11" spans="1:17" s="175" customFormat="1" ht="20.100000000000001" customHeight="1" x14ac:dyDescent="0.25">
      <c r="A11" s="200">
        <v>8</v>
      </c>
      <c r="B11" s="197">
        <v>46130</v>
      </c>
      <c r="C11" s="207" t="s">
        <v>568</v>
      </c>
      <c r="D11" s="207" t="s">
        <v>596</v>
      </c>
      <c r="E11" s="191">
        <v>46127</v>
      </c>
      <c r="F11" s="192" t="s">
        <v>624</v>
      </c>
      <c r="G11" s="192" t="s">
        <v>651</v>
      </c>
      <c r="H11" s="211" t="s">
        <v>675</v>
      </c>
      <c r="I11" s="215" t="s">
        <v>698</v>
      </c>
      <c r="J11" s="197">
        <v>46130</v>
      </c>
      <c r="K11" s="188">
        <f t="shared" si="0"/>
        <v>0</v>
      </c>
      <c r="L11" s="242"/>
      <c r="M11" s="243"/>
      <c r="P11" s="174"/>
      <c r="Q11" s="174"/>
    </row>
    <row r="12" spans="1:17" s="175" customFormat="1" ht="20.100000000000001" customHeight="1" x14ac:dyDescent="0.25">
      <c r="A12" s="200">
        <v>9</v>
      </c>
      <c r="B12" s="197">
        <v>46130</v>
      </c>
      <c r="C12" s="207" t="s">
        <v>583</v>
      </c>
      <c r="D12" s="207" t="s">
        <v>611</v>
      </c>
      <c r="E12" s="191">
        <v>46029</v>
      </c>
      <c r="F12" s="192" t="s">
        <v>639</v>
      </c>
      <c r="G12" s="192" t="s">
        <v>663</v>
      </c>
      <c r="H12" s="154" t="s">
        <v>690</v>
      </c>
      <c r="I12" s="215" t="s">
        <v>698</v>
      </c>
      <c r="J12" s="197">
        <v>46130</v>
      </c>
      <c r="K12" s="188">
        <f t="shared" si="0"/>
        <v>0</v>
      </c>
      <c r="L12" s="242"/>
      <c r="M12" s="243"/>
      <c r="P12" s="174"/>
      <c r="Q12" s="174"/>
    </row>
    <row r="13" spans="1:17" s="175" customFormat="1" ht="20.100000000000001" customHeight="1" x14ac:dyDescent="0.25">
      <c r="A13" s="200">
        <v>10</v>
      </c>
      <c r="B13" s="197">
        <v>46130</v>
      </c>
      <c r="C13" s="207" t="s">
        <v>584</v>
      </c>
      <c r="D13" s="207" t="s">
        <v>612</v>
      </c>
      <c r="E13" s="191">
        <v>45951</v>
      </c>
      <c r="F13" s="192" t="s">
        <v>640</v>
      </c>
      <c r="G13" s="192" t="s">
        <v>664</v>
      </c>
      <c r="H13" s="214" t="s">
        <v>691</v>
      </c>
      <c r="I13" s="218" t="s">
        <v>698</v>
      </c>
      <c r="J13" s="198">
        <v>46130</v>
      </c>
      <c r="K13" s="188">
        <f t="shared" si="0"/>
        <v>0</v>
      </c>
      <c r="L13" s="242"/>
      <c r="M13" s="243"/>
      <c r="P13" s="174"/>
      <c r="Q13" s="174"/>
    </row>
    <row r="14" spans="1:17" s="175" customFormat="1" ht="20.100000000000001" customHeight="1" x14ac:dyDescent="0.25">
      <c r="A14" s="200">
        <v>11</v>
      </c>
      <c r="B14" s="197">
        <v>46132</v>
      </c>
      <c r="C14" s="207" t="s">
        <v>569</v>
      </c>
      <c r="D14" s="207" t="s">
        <v>597</v>
      </c>
      <c r="E14" s="191">
        <v>46120</v>
      </c>
      <c r="F14" s="192" t="s">
        <v>625</v>
      </c>
      <c r="G14" s="192" t="s">
        <v>650</v>
      </c>
      <c r="H14" s="154" t="s">
        <v>676</v>
      </c>
      <c r="I14" s="217" t="s">
        <v>698</v>
      </c>
      <c r="J14" s="199">
        <v>46133</v>
      </c>
      <c r="K14" s="188">
        <f t="shared" si="0"/>
        <v>1</v>
      </c>
      <c r="L14" s="242"/>
      <c r="M14" s="243"/>
      <c r="P14" s="174"/>
      <c r="Q14" s="174"/>
    </row>
    <row r="15" spans="1:17" s="175" customFormat="1" ht="20.100000000000001" customHeight="1" x14ac:dyDescent="0.25">
      <c r="A15" s="200">
        <v>12</v>
      </c>
      <c r="B15" s="199">
        <v>46133</v>
      </c>
      <c r="C15" s="209" t="s">
        <v>578</v>
      </c>
      <c r="D15" s="233" t="s">
        <v>606</v>
      </c>
      <c r="E15" s="235">
        <v>45654</v>
      </c>
      <c r="F15" s="236" t="s">
        <v>634</v>
      </c>
      <c r="G15" s="236" t="s">
        <v>138</v>
      </c>
      <c r="H15" s="213" t="s">
        <v>685</v>
      </c>
      <c r="I15" s="215" t="s">
        <v>137</v>
      </c>
      <c r="J15" s="197">
        <v>46133</v>
      </c>
      <c r="K15" s="188">
        <f t="shared" si="0"/>
        <v>0</v>
      </c>
      <c r="L15" s="242"/>
      <c r="M15" s="243"/>
      <c r="P15" s="174"/>
      <c r="Q15" s="174"/>
    </row>
    <row r="16" spans="1:17" s="175" customFormat="1" ht="20.100000000000001" customHeight="1" x14ac:dyDescent="0.25">
      <c r="A16" s="200">
        <v>13</v>
      </c>
      <c r="B16" s="198">
        <v>46134</v>
      </c>
      <c r="C16" s="208" t="s">
        <v>570</v>
      </c>
      <c r="D16" s="234" t="s">
        <v>598</v>
      </c>
      <c r="E16" s="189">
        <v>46024</v>
      </c>
      <c r="F16" s="190" t="s">
        <v>626</v>
      </c>
      <c r="G16" s="190" t="s">
        <v>652</v>
      </c>
      <c r="H16" s="154" t="s">
        <v>677</v>
      </c>
      <c r="I16" s="217" t="s">
        <v>699</v>
      </c>
      <c r="J16" s="199">
        <v>46135</v>
      </c>
      <c r="K16" s="188">
        <f t="shared" si="0"/>
        <v>1</v>
      </c>
      <c r="L16" s="242"/>
      <c r="M16" s="243"/>
      <c r="P16" s="174"/>
      <c r="Q16" s="174"/>
    </row>
    <row r="17" spans="1:17" s="175" customFormat="1" ht="20.100000000000001" customHeight="1" x14ac:dyDescent="0.25">
      <c r="A17" s="200">
        <v>14</v>
      </c>
      <c r="B17" s="197">
        <v>46135</v>
      </c>
      <c r="C17" s="207" t="s">
        <v>585</v>
      </c>
      <c r="D17" s="207" t="s">
        <v>613</v>
      </c>
      <c r="E17" s="191">
        <v>46024</v>
      </c>
      <c r="F17" s="192" t="s">
        <v>641</v>
      </c>
      <c r="G17" s="192" t="s">
        <v>665</v>
      </c>
      <c r="H17" s="154" t="s">
        <v>692</v>
      </c>
      <c r="I17" s="217" t="s">
        <v>700</v>
      </c>
      <c r="J17" s="199">
        <v>46135</v>
      </c>
      <c r="K17" s="188">
        <f t="shared" si="0"/>
        <v>0</v>
      </c>
      <c r="L17" s="242"/>
      <c r="M17" s="243"/>
      <c r="P17" s="174"/>
      <c r="Q17" s="174"/>
    </row>
    <row r="18" spans="1:17" s="175" customFormat="1" ht="20.100000000000001" customHeight="1" x14ac:dyDescent="0.25">
      <c r="A18" s="200">
        <v>15</v>
      </c>
      <c r="B18" s="198">
        <v>46136</v>
      </c>
      <c r="C18" s="208" t="s">
        <v>571</v>
      </c>
      <c r="D18" s="234" t="s">
        <v>599</v>
      </c>
      <c r="E18" s="189">
        <v>46027</v>
      </c>
      <c r="F18" s="190" t="s">
        <v>627</v>
      </c>
      <c r="G18" s="190" t="s">
        <v>653</v>
      </c>
      <c r="H18" s="154" t="s">
        <v>678</v>
      </c>
      <c r="I18" s="217" t="s">
        <v>699</v>
      </c>
      <c r="J18" s="199">
        <v>46139</v>
      </c>
      <c r="K18" s="188">
        <v>2</v>
      </c>
      <c r="L18" s="242"/>
      <c r="M18" s="243" t="s">
        <v>704</v>
      </c>
      <c r="P18" s="174"/>
      <c r="Q18" s="174"/>
    </row>
    <row r="19" spans="1:17" s="175" customFormat="1" ht="20.100000000000001" customHeight="1" x14ac:dyDescent="0.25">
      <c r="A19" s="200">
        <v>16</v>
      </c>
      <c r="B19" s="199">
        <v>46136</v>
      </c>
      <c r="C19" s="209" t="s">
        <v>572</v>
      </c>
      <c r="D19" s="233" t="s">
        <v>600</v>
      </c>
      <c r="E19" s="184">
        <v>45976</v>
      </c>
      <c r="F19" s="186" t="s">
        <v>628</v>
      </c>
      <c r="G19" s="186" t="s">
        <v>654</v>
      </c>
      <c r="H19" s="154" t="s">
        <v>679</v>
      </c>
      <c r="I19" s="217" t="s">
        <v>137</v>
      </c>
      <c r="J19" s="199">
        <v>46139</v>
      </c>
      <c r="K19" s="188">
        <v>2</v>
      </c>
      <c r="L19" s="242"/>
      <c r="M19" s="243" t="s">
        <v>704</v>
      </c>
      <c r="P19" s="174"/>
      <c r="Q19" s="174"/>
    </row>
    <row r="20" spans="1:17" s="175" customFormat="1" ht="20.100000000000001" customHeight="1" x14ac:dyDescent="0.25">
      <c r="A20" s="200">
        <v>17</v>
      </c>
      <c r="B20" s="199">
        <v>46136</v>
      </c>
      <c r="C20" s="209" t="s">
        <v>573</v>
      </c>
      <c r="D20" s="233" t="s">
        <v>601</v>
      </c>
      <c r="E20" s="184">
        <v>45912</v>
      </c>
      <c r="F20" s="186" t="s">
        <v>629</v>
      </c>
      <c r="G20" s="186" t="s">
        <v>655</v>
      </c>
      <c r="H20" s="213" t="s">
        <v>680</v>
      </c>
      <c r="I20" s="215" t="s">
        <v>137</v>
      </c>
      <c r="J20" s="197">
        <v>46139</v>
      </c>
      <c r="K20" s="188">
        <v>1</v>
      </c>
      <c r="L20" s="242"/>
      <c r="M20" s="243" t="s">
        <v>704</v>
      </c>
      <c r="P20" s="174"/>
      <c r="Q20" s="174"/>
    </row>
    <row r="21" spans="1:17" s="175" customFormat="1" ht="20.100000000000001" customHeight="1" x14ac:dyDescent="0.3">
      <c r="A21" s="200">
        <v>18</v>
      </c>
      <c r="B21" s="197">
        <v>46137</v>
      </c>
      <c r="C21" s="207" t="s">
        <v>579</v>
      </c>
      <c r="D21" s="207" t="s">
        <v>607</v>
      </c>
      <c r="E21" s="191">
        <v>46080</v>
      </c>
      <c r="F21" s="210" t="s">
        <v>635</v>
      </c>
      <c r="G21" s="210" t="s">
        <v>660</v>
      </c>
      <c r="H21" s="154" t="s">
        <v>686</v>
      </c>
      <c r="I21" s="215" t="s">
        <v>700</v>
      </c>
      <c r="J21" s="197">
        <v>46140</v>
      </c>
      <c r="K21" s="188">
        <v>1</v>
      </c>
      <c r="L21" s="242"/>
      <c r="M21" s="243" t="s">
        <v>704</v>
      </c>
      <c r="P21" s="174"/>
      <c r="Q21" s="174"/>
    </row>
    <row r="22" spans="1:17" s="175" customFormat="1" ht="20.100000000000001" customHeight="1" x14ac:dyDescent="0.3">
      <c r="A22" s="200">
        <v>19</v>
      </c>
      <c r="B22" s="197">
        <v>46137</v>
      </c>
      <c r="C22" s="207" t="s">
        <v>586</v>
      </c>
      <c r="D22" s="207" t="s">
        <v>614</v>
      </c>
      <c r="E22" s="191">
        <v>45938</v>
      </c>
      <c r="F22" s="210" t="s">
        <v>642</v>
      </c>
      <c r="G22" s="210" t="s">
        <v>660</v>
      </c>
      <c r="H22" s="214" t="s">
        <v>693</v>
      </c>
      <c r="I22" s="218" t="s">
        <v>700</v>
      </c>
      <c r="J22" s="198">
        <v>46140</v>
      </c>
      <c r="K22" s="188">
        <v>1</v>
      </c>
      <c r="L22" s="242"/>
      <c r="M22" s="243" t="s">
        <v>704</v>
      </c>
      <c r="P22" s="174"/>
      <c r="Q22" s="174"/>
    </row>
    <row r="23" spans="1:17" s="175" customFormat="1" ht="20.100000000000001" customHeight="1" x14ac:dyDescent="0.25">
      <c r="A23" s="200">
        <v>20</v>
      </c>
      <c r="B23" s="197">
        <v>46139</v>
      </c>
      <c r="C23" s="207" t="s">
        <v>587</v>
      </c>
      <c r="D23" s="207" t="s">
        <v>615</v>
      </c>
      <c r="E23" s="191">
        <v>46132</v>
      </c>
      <c r="F23" s="192" t="s">
        <v>643</v>
      </c>
      <c r="G23" s="192" t="s">
        <v>666</v>
      </c>
      <c r="H23" s="154" t="s">
        <v>694</v>
      </c>
      <c r="I23" s="217" t="s">
        <v>698</v>
      </c>
      <c r="J23" s="199">
        <v>46140</v>
      </c>
      <c r="K23" s="188">
        <f t="shared" si="0"/>
        <v>1</v>
      </c>
      <c r="L23" s="242"/>
      <c r="M23" s="243"/>
      <c r="P23" s="174"/>
      <c r="Q23" s="174"/>
    </row>
    <row r="24" spans="1:17" s="175" customFormat="1" ht="20.100000000000001" customHeight="1" x14ac:dyDescent="0.25">
      <c r="A24" s="200">
        <v>21</v>
      </c>
      <c r="B24" s="197">
        <v>46139</v>
      </c>
      <c r="C24" s="207" t="s">
        <v>588</v>
      </c>
      <c r="D24" s="207" t="s">
        <v>616</v>
      </c>
      <c r="E24" s="191">
        <v>45992</v>
      </c>
      <c r="F24" s="192" t="s">
        <v>644</v>
      </c>
      <c r="G24" s="192" t="s">
        <v>667</v>
      </c>
      <c r="H24" s="213" t="s">
        <v>695</v>
      </c>
      <c r="I24" s="215" t="s">
        <v>698</v>
      </c>
      <c r="J24" s="197">
        <v>46140</v>
      </c>
      <c r="K24" s="188">
        <f t="shared" si="0"/>
        <v>1</v>
      </c>
      <c r="L24" s="242"/>
      <c r="M24" s="243"/>
      <c r="P24" s="174"/>
      <c r="Q24" s="174"/>
    </row>
    <row r="25" spans="1:17" s="175" customFormat="1" ht="20.100000000000001" customHeight="1" x14ac:dyDescent="0.25">
      <c r="A25" s="200">
        <v>22</v>
      </c>
      <c r="B25" s="199">
        <v>46140</v>
      </c>
      <c r="C25" s="209" t="s">
        <v>565</v>
      </c>
      <c r="D25" s="233" t="s">
        <v>593</v>
      </c>
      <c r="E25" s="184">
        <v>46043</v>
      </c>
      <c r="F25" s="186" t="s">
        <v>621</v>
      </c>
      <c r="G25" s="186" t="s">
        <v>649</v>
      </c>
      <c r="H25" s="211" t="s">
        <v>672</v>
      </c>
      <c r="I25" s="215" t="s">
        <v>137</v>
      </c>
      <c r="J25" s="197">
        <v>46140</v>
      </c>
      <c r="K25" s="188">
        <f t="shared" si="0"/>
        <v>0</v>
      </c>
      <c r="L25" s="242"/>
      <c r="M25" s="243"/>
      <c r="P25" s="174"/>
      <c r="Q25" s="174"/>
    </row>
    <row r="26" spans="1:17" s="175" customFormat="1" ht="20.100000000000001" customHeight="1" x14ac:dyDescent="0.25">
      <c r="A26" s="200">
        <v>23</v>
      </c>
      <c r="B26" s="197">
        <v>46140</v>
      </c>
      <c r="C26" s="207" t="s">
        <v>580</v>
      </c>
      <c r="D26" s="207" t="s">
        <v>608</v>
      </c>
      <c r="E26" s="191">
        <v>46029</v>
      </c>
      <c r="F26" s="192" t="s">
        <v>636</v>
      </c>
      <c r="G26" s="192" t="s">
        <v>661</v>
      </c>
      <c r="H26" s="214" t="s">
        <v>687</v>
      </c>
      <c r="I26" s="218" t="s">
        <v>698</v>
      </c>
      <c r="J26" s="197">
        <v>46140</v>
      </c>
      <c r="K26" s="188">
        <f t="shared" si="0"/>
        <v>0</v>
      </c>
      <c r="L26" s="242"/>
      <c r="M26" s="243"/>
      <c r="P26" s="174"/>
      <c r="Q26" s="174"/>
    </row>
    <row r="27" spans="1:17" s="175" customFormat="1" ht="20.100000000000001" customHeight="1" x14ac:dyDescent="0.25">
      <c r="A27" s="200">
        <v>24</v>
      </c>
      <c r="B27" s="197">
        <v>46141</v>
      </c>
      <c r="C27" s="207" t="s">
        <v>589</v>
      </c>
      <c r="D27" s="207" t="s">
        <v>617</v>
      </c>
      <c r="E27" s="191">
        <v>46001</v>
      </c>
      <c r="F27" s="192" t="s">
        <v>645</v>
      </c>
      <c r="G27" s="192" t="s">
        <v>668</v>
      </c>
      <c r="H27" s="214" t="s">
        <v>696</v>
      </c>
      <c r="I27" s="218" t="s">
        <v>698</v>
      </c>
      <c r="J27" s="198">
        <v>46141</v>
      </c>
      <c r="K27" s="188">
        <f t="shared" si="0"/>
        <v>0</v>
      </c>
      <c r="L27" s="242"/>
      <c r="M27" s="243"/>
      <c r="P27" s="174"/>
      <c r="Q27" s="174"/>
    </row>
    <row r="28" spans="1:17" s="175" customFormat="1" ht="20.100000000000001" customHeight="1" x14ac:dyDescent="0.25">
      <c r="A28" s="200">
        <v>25</v>
      </c>
      <c r="B28" s="199">
        <v>46142</v>
      </c>
      <c r="C28" s="209" t="s">
        <v>574</v>
      </c>
      <c r="D28" s="233" t="s">
        <v>602</v>
      </c>
      <c r="E28" s="184">
        <v>45822</v>
      </c>
      <c r="F28" s="186" t="s">
        <v>630</v>
      </c>
      <c r="G28" s="186" t="s">
        <v>656</v>
      </c>
      <c r="H28" s="213" t="s">
        <v>681</v>
      </c>
      <c r="I28" s="215" t="s">
        <v>137</v>
      </c>
      <c r="J28" s="197">
        <v>46142</v>
      </c>
      <c r="K28" s="188">
        <f t="shared" si="0"/>
        <v>0</v>
      </c>
      <c r="L28" s="242"/>
      <c r="M28" s="243"/>
      <c r="P28" s="174"/>
      <c r="Q28" s="174"/>
    </row>
    <row r="29" spans="1:17" s="175" customFormat="1" ht="20.100000000000001" customHeight="1" x14ac:dyDescent="0.25">
      <c r="A29" s="200">
        <v>26</v>
      </c>
      <c r="B29" s="199">
        <v>46142</v>
      </c>
      <c r="C29" s="209" t="s">
        <v>575</v>
      </c>
      <c r="D29" s="233" t="s">
        <v>603</v>
      </c>
      <c r="E29" s="184">
        <v>45670</v>
      </c>
      <c r="F29" s="186" t="s">
        <v>631</v>
      </c>
      <c r="G29" s="186" t="s">
        <v>657</v>
      </c>
      <c r="H29" s="213" t="s">
        <v>682</v>
      </c>
      <c r="I29" s="215" t="s">
        <v>137</v>
      </c>
      <c r="J29" s="197">
        <v>46142</v>
      </c>
      <c r="K29" s="188">
        <f t="shared" si="0"/>
        <v>0</v>
      </c>
      <c r="L29" s="242"/>
      <c r="M29" s="243"/>
      <c r="P29" s="174"/>
      <c r="Q29" s="174"/>
    </row>
    <row r="30" spans="1:17" s="175" customFormat="1" ht="20.100000000000001" customHeight="1" x14ac:dyDescent="0.25">
      <c r="A30" s="200">
        <v>27</v>
      </c>
      <c r="B30" s="197">
        <v>46142</v>
      </c>
      <c r="C30" s="207" t="s">
        <v>576</v>
      </c>
      <c r="D30" s="207" t="s">
        <v>604</v>
      </c>
      <c r="E30" s="191">
        <v>46128</v>
      </c>
      <c r="F30" s="192" t="s">
        <v>632</v>
      </c>
      <c r="G30" s="192" t="s">
        <v>658</v>
      </c>
      <c r="H30" s="213" t="s">
        <v>683</v>
      </c>
      <c r="I30" s="215" t="s">
        <v>698</v>
      </c>
      <c r="J30" s="197">
        <v>46142</v>
      </c>
      <c r="K30" s="188">
        <f t="shared" si="0"/>
        <v>0</v>
      </c>
      <c r="L30" s="242"/>
      <c r="M30" s="243"/>
      <c r="P30" s="174"/>
      <c r="Q30" s="174"/>
    </row>
    <row r="31" spans="1:17" s="175" customFormat="1" ht="20.100000000000001" customHeight="1" x14ac:dyDescent="0.3">
      <c r="A31" s="200">
        <v>28</v>
      </c>
      <c r="B31" s="197">
        <v>46142</v>
      </c>
      <c r="C31" s="207" t="s">
        <v>590</v>
      </c>
      <c r="D31" s="207" t="s">
        <v>618</v>
      </c>
      <c r="E31" s="191">
        <v>46030</v>
      </c>
      <c r="F31" s="210" t="s">
        <v>646</v>
      </c>
      <c r="G31" s="210" t="s">
        <v>669</v>
      </c>
      <c r="H31" s="214" t="s">
        <v>697</v>
      </c>
      <c r="I31" s="218" t="s">
        <v>698</v>
      </c>
      <c r="J31" s="198">
        <v>46142</v>
      </c>
      <c r="K31" s="188">
        <f t="shared" si="0"/>
        <v>0</v>
      </c>
      <c r="L31" s="242"/>
      <c r="M31" s="243"/>
      <c r="P31" s="174"/>
      <c r="Q31" s="174"/>
    </row>
    <row r="32" spans="1:17" s="259" customFormat="1" ht="20.100000000000001" customHeight="1" x14ac:dyDescent="0.25">
      <c r="A32" s="249"/>
      <c r="B32" s="250"/>
      <c r="C32" s="251"/>
      <c r="D32" s="251"/>
      <c r="E32" s="252"/>
      <c r="F32" s="253"/>
      <c r="G32" s="253"/>
      <c r="H32" s="254" t="s">
        <v>701</v>
      </c>
      <c r="I32" s="255"/>
      <c r="J32" s="250"/>
      <c r="K32" s="256">
        <f>AVERAGE(K4:K31)</f>
        <v>0.6071428571428571</v>
      </c>
      <c r="L32" s="257"/>
      <c r="M32" s="258"/>
      <c r="P32" s="260"/>
      <c r="Q32" s="260"/>
    </row>
    <row r="33" spans="1:36" s="175" customFormat="1" ht="20.100000000000001" customHeight="1" x14ac:dyDescent="0.25">
      <c r="A33"/>
      <c r="B33"/>
      <c r="C33"/>
      <c r="D33"/>
      <c r="E33"/>
      <c r="F33"/>
      <c r="G33"/>
      <c r="H33"/>
      <c r="I33"/>
      <c r="J33"/>
      <c r="K33"/>
      <c r="L33" s="56"/>
      <c r="M33" s="56"/>
      <c r="N33" s="56"/>
      <c r="O33" s="56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</row>
    <row r="34" spans="1:36" s="175" customFormat="1" ht="20.100000000000001" customHeight="1" x14ac:dyDescent="0.25">
      <c r="A34"/>
      <c r="B34"/>
      <c r="C34"/>
      <c r="D34"/>
      <c r="E34"/>
      <c r="F34"/>
      <c r="G34"/>
      <c r="H34"/>
      <c r="I34"/>
      <c r="J34"/>
      <c r="K34"/>
      <c r="L34" s="56"/>
      <c r="M34" s="56"/>
      <c r="N34" s="56"/>
      <c r="O34" s="56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</row>
    <row r="35" spans="1:36" s="175" customFormat="1" ht="20.100000000000001" customHeight="1" x14ac:dyDescent="0.25">
      <c r="A35"/>
      <c r="B35"/>
      <c r="C35"/>
      <c r="D35"/>
      <c r="E35"/>
      <c r="F35"/>
      <c r="G35"/>
      <c r="H35"/>
      <c r="I35"/>
      <c r="J35"/>
      <c r="K35"/>
      <c r="L35" s="56"/>
      <c r="M35" s="56"/>
      <c r="N35" s="56"/>
      <c r="O35" s="56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</row>
    <row r="36" spans="1:36" s="175" customFormat="1" ht="20.100000000000001" customHeight="1" x14ac:dyDescent="0.25">
      <c r="A36"/>
      <c r="B36"/>
      <c r="C36"/>
      <c r="D36"/>
      <c r="E36"/>
      <c r="F36"/>
      <c r="G36"/>
      <c r="H36"/>
      <c r="I36"/>
      <c r="J36"/>
      <c r="K36"/>
      <c r="L36" s="56"/>
      <c r="M36" s="56"/>
      <c r="N36" s="56"/>
      <c r="O36" s="5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</row>
    <row r="37" spans="1:36" s="175" customFormat="1" ht="20.100000000000001" customHeight="1" x14ac:dyDescent="0.25">
      <c r="A37"/>
      <c r="B37"/>
      <c r="C37"/>
      <c r="D37"/>
      <c r="E37"/>
      <c r="F37"/>
      <c r="G37"/>
      <c r="H37"/>
      <c r="I37"/>
      <c r="J37"/>
      <c r="K37"/>
      <c r="L37" s="56"/>
      <c r="M37" s="56"/>
      <c r="N37" s="56"/>
      <c r="O37" s="56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</row>
    <row r="38" spans="1:36" s="175" customFormat="1" ht="20.100000000000001" customHeight="1" x14ac:dyDescent="0.25">
      <c r="A38"/>
      <c r="B38"/>
      <c r="C38"/>
      <c r="D38"/>
      <c r="E38"/>
      <c r="F38"/>
      <c r="G38"/>
      <c r="H38"/>
      <c r="I38"/>
      <c r="J38"/>
      <c r="K38"/>
      <c r="L38" s="56"/>
      <c r="M38" s="56"/>
      <c r="N38" s="56"/>
      <c r="O38" s="56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</row>
    <row r="39" spans="1:36" s="175" customFormat="1" ht="20.100000000000001" customHeight="1" x14ac:dyDescent="0.25">
      <c r="A39"/>
      <c r="B39"/>
      <c r="C39"/>
      <c r="D39"/>
      <c r="E39"/>
      <c r="F39"/>
      <c r="G39"/>
      <c r="H39"/>
      <c r="I39"/>
      <c r="J39"/>
      <c r="K39"/>
      <c r="L39" s="56"/>
      <c r="M39" s="56"/>
      <c r="N39" s="56"/>
      <c r="O39" s="56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</row>
    <row r="40" spans="1:36" s="175" customFormat="1" ht="20.100000000000001" customHeight="1" x14ac:dyDescent="0.25">
      <c r="A40"/>
      <c r="B40"/>
      <c r="C40"/>
      <c r="D40"/>
      <c r="E40"/>
      <c r="F40"/>
      <c r="G40"/>
      <c r="H40"/>
      <c r="I40"/>
      <c r="J40"/>
      <c r="K40"/>
      <c r="L40" s="56"/>
      <c r="M40" s="56"/>
      <c r="N40" s="56"/>
      <c r="O40" s="56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</row>
    <row r="41" spans="1:36" s="175" customFormat="1" ht="20.100000000000001" customHeight="1" x14ac:dyDescent="0.25">
      <c r="A41"/>
      <c r="B41"/>
      <c r="C41"/>
      <c r="D41"/>
      <c r="E41"/>
      <c r="F41"/>
      <c r="G41"/>
      <c r="H41"/>
      <c r="I41"/>
      <c r="J41"/>
      <c r="K41"/>
      <c r="L41" s="56"/>
      <c r="M41" s="56"/>
      <c r="N41" s="56"/>
      <c r="O41" s="56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</row>
    <row r="42" spans="1:36" s="175" customFormat="1" ht="20.100000000000001" customHeight="1" x14ac:dyDescent="0.25">
      <c r="A42"/>
      <c r="B42"/>
      <c r="C42"/>
      <c r="D42"/>
      <c r="E42"/>
      <c r="F42"/>
      <c r="G42"/>
      <c r="H42"/>
      <c r="I42"/>
      <c r="J42"/>
      <c r="K42"/>
      <c r="L42" s="56"/>
      <c r="M42" s="56"/>
      <c r="N42" s="56"/>
      <c r="O42" s="56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</row>
    <row r="43" spans="1:36" s="175" customFormat="1" ht="20.100000000000001" customHeight="1" x14ac:dyDescent="0.25">
      <c r="A43"/>
      <c r="B43"/>
      <c r="C43"/>
      <c r="D43"/>
      <c r="E43"/>
      <c r="F43"/>
      <c r="G43"/>
      <c r="H43"/>
      <c r="I43"/>
      <c r="J43"/>
      <c r="K43"/>
      <c r="L43" s="56"/>
      <c r="M43" s="56"/>
      <c r="N43" s="56"/>
      <c r="O43" s="56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</row>
    <row r="44" spans="1:36" s="175" customFormat="1" ht="20.100000000000001" customHeight="1" x14ac:dyDescent="0.25">
      <c r="A44"/>
      <c r="B44"/>
      <c r="C44"/>
      <c r="D44"/>
      <c r="E44"/>
      <c r="F44"/>
      <c r="G44"/>
      <c r="H44"/>
      <c r="I44"/>
      <c r="J44"/>
      <c r="K44"/>
      <c r="L44" s="56"/>
      <c r="M44" s="56"/>
      <c r="N44" s="56"/>
      <c r="O44" s="56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</row>
    <row r="45" spans="1:36" s="175" customFormat="1" ht="20.100000000000001" customHeight="1" x14ac:dyDescent="0.25">
      <c r="A45"/>
      <c r="B45"/>
      <c r="C45"/>
      <c r="D45"/>
      <c r="E45"/>
      <c r="F45"/>
      <c r="G45"/>
      <c r="H45"/>
      <c r="I45"/>
      <c r="J45"/>
      <c r="K45"/>
      <c r="L45" s="56"/>
      <c r="M45" s="56"/>
      <c r="N45" s="56"/>
      <c r="O45" s="56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</row>
    <row r="46" spans="1:36" s="175" customFormat="1" ht="20.100000000000001" customHeight="1" x14ac:dyDescent="0.25">
      <c r="A46"/>
      <c r="B46"/>
      <c r="C46"/>
      <c r="D46"/>
      <c r="E46"/>
      <c r="F46"/>
      <c r="G46"/>
      <c r="H46"/>
      <c r="I46"/>
      <c r="J46"/>
      <c r="K46"/>
      <c r="L46" s="56"/>
      <c r="M46" s="56"/>
      <c r="N46" s="56"/>
      <c r="O46" s="5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</row>
    <row r="47" spans="1:36" s="175" customFormat="1" ht="20.100000000000001" customHeight="1" x14ac:dyDescent="0.25">
      <c r="A47"/>
      <c r="B47"/>
      <c r="C47"/>
      <c r="D47"/>
      <c r="E47"/>
      <c r="F47"/>
      <c r="G47"/>
      <c r="H47"/>
      <c r="I47"/>
      <c r="J47"/>
      <c r="K47"/>
      <c r="L47" s="56"/>
      <c r="M47" s="56"/>
      <c r="N47" s="56"/>
      <c r="O47" s="56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</row>
    <row r="48" spans="1:36" s="175" customFormat="1" ht="20.100000000000001" customHeight="1" x14ac:dyDescent="0.25">
      <c r="A48"/>
      <c r="B48"/>
      <c r="C48"/>
      <c r="D48"/>
      <c r="E48"/>
      <c r="F48"/>
      <c r="G48"/>
      <c r="H48"/>
      <c r="I48"/>
      <c r="J48"/>
      <c r="K48"/>
      <c r="L48" s="56"/>
      <c r="M48" s="56"/>
      <c r="N48" s="56"/>
      <c r="O48" s="56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</row>
    <row r="49" spans="1:36" s="175" customFormat="1" ht="20.100000000000001" customHeight="1" x14ac:dyDescent="0.25">
      <c r="A49"/>
      <c r="B49"/>
      <c r="C49"/>
      <c r="D49"/>
      <c r="E49"/>
      <c r="F49"/>
      <c r="G49"/>
      <c r="H49"/>
      <c r="I49"/>
      <c r="J49"/>
      <c r="K49"/>
      <c r="L49" s="56"/>
      <c r="M49" s="56"/>
      <c r="N49" s="56"/>
      <c r="O49" s="56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</row>
    <row r="50" spans="1:36" s="175" customFormat="1" ht="20.100000000000001" customHeight="1" x14ac:dyDescent="0.25">
      <c r="A50"/>
      <c r="B50"/>
      <c r="C50"/>
      <c r="D50"/>
      <c r="E50"/>
      <c r="F50"/>
      <c r="G50"/>
      <c r="H50"/>
      <c r="I50"/>
      <c r="J50"/>
      <c r="K50"/>
      <c r="L50" s="56"/>
      <c r="M50" s="56"/>
      <c r="N50" s="56"/>
      <c r="O50" s="56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</row>
    <row r="51" spans="1:36" s="175" customFormat="1" ht="20.100000000000001" customHeight="1" x14ac:dyDescent="0.25">
      <c r="A51"/>
      <c r="B51"/>
      <c r="C51"/>
      <c r="D51"/>
      <c r="E51"/>
      <c r="F51"/>
      <c r="G51"/>
      <c r="H51"/>
      <c r="I51"/>
      <c r="J51"/>
      <c r="K51"/>
      <c r="L51" s="56"/>
      <c r="M51" s="56"/>
      <c r="N51" s="56"/>
      <c r="O51" s="56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</row>
    <row r="52" spans="1:36" s="175" customFormat="1" ht="20.100000000000001" customHeight="1" x14ac:dyDescent="0.25">
      <c r="A52"/>
      <c r="B52"/>
      <c r="C52"/>
      <c r="D52"/>
      <c r="E52"/>
      <c r="F52"/>
      <c r="G52"/>
      <c r="H52"/>
      <c r="I52"/>
      <c r="J52"/>
      <c r="K52"/>
      <c r="L52" s="56"/>
      <c r="M52" s="56"/>
      <c r="N52" s="56"/>
      <c r="O52" s="56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</row>
    <row r="53" spans="1:36" s="175" customFormat="1" ht="20.100000000000001" customHeight="1" x14ac:dyDescent="0.25">
      <c r="A53"/>
      <c r="B53"/>
      <c r="C53"/>
      <c r="D53"/>
      <c r="E53"/>
      <c r="F53"/>
      <c r="G53"/>
      <c r="H53"/>
      <c r="I53"/>
      <c r="J53"/>
      <c r="K53"/>
      <c r="L53" s="56"/>
      <c r="M53" s="56"/>
      <c r="N53" s="56"/>
      <c r="O53" s="56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</row>
    <row r="54" spans="1:36" s="175" customFormat="1" ht="20.100000000000001" customHeight="1" x14ac:dyDescent="0.25">
      <c r="A54"/>
      <c r="B54"/>
      <c r="C54"/>
      <c r="D54"/>
      <c r="E54"/>
      <c r="F54"/>
      <c r="G54"/>
      <c r="H54"/>
      <c r="I54"/>
      <c r="J54"/>
      <c r="K54"/>
      <c r="L54" s="56"/>
      <c r="M54" s="56"/>
      <c r="N54" s="56"/>
      <c r="O54" s="56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</row>
    <row r="55" spans="1:36" s="175" customFormat="1" ht="20.100000000000001" customHeight="1" x14ac:dyDescent="0.25">
      <c r="A55"/>
      <c r="B55"/>
      <c r="C55"/>
      <c r="D55"/>
      <c r="E55"/>
      <c r="F55"/>
      <c r="G55"/>
      <c r="H55"/>
      <c r="I55"/>
      <c r="J55"/>
      <c r="K55"/>
      <c r="L55" s="56"/>
      <c r="M55" s="56"/>
      <c r="N55" s="56"/>
      <c r="O55" s="56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</row>
    <row r="56" spans="1:36" s="175" customFormat="1" ht="20.100000000000001" customHeight="1" x14ac:dyDescent="0.25">
      <c r="A56"/>
      <c r="B56"/>
      <c r="C56"/>
      <c r="D56"/>
      <c r="E56"/>
      <c r="F56"/>
      <c r="G56"/>
      <c r="H56"/>
      <c r="I56"/>
      <c r="J56"/>
      <c r="K56"/>
      <c r="L56" s="56"/>
      <c r="M56" s="56"/>
      <c r="N56" s="56"/>
      <c r="O56" s="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</row>
    <row r="57" spans="1:36" s="175" customFormat="1" ht="20.100000000000001" customHeight="1" x14ac:dyDescent="0.25">
      <c r="A57"/>
      <c r="B57"/>
      <c r="C57"/>
      <c r="D57"/>
      <c r="E57"/>
      <c r="F57"/>
      <c r="G57"/>
      <c r="H57"/>
      <c r="I57"/>
      <c r="J57"/>
      <c r="K57"/>
      <c r="L57" s="56"/>
      <c r="M57" s="56"/>
      <c r="N57" s="56"/>
      <c r="O57" s="56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</row>
    <row r="58" spans="1:36" s="175" customFormat="1" ht="20.100000000000001" customHeight="1" x14ac:dyDescent="0.25">
      <c r="A58"/>
      <c r="B58"/>
      <c r="C58"/>
      <c r="D58"/>
      <c r="E58"/>
      <c r="F58"/>
      <c r="G58"/>
      <c r="H58"/>
      <c r="I58"/>
      <c r="J58"/>
      <c r="K58"/>
      <c r="L58" s="56"/>
      <c r="M58" s="56"/>
      <c r="N58" s="56"/>
      <c r="O58" s="56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</row>
    <row r="59" spans="1:36" s="175" customFormat="1" ht="20.100000000000001" customHeight="1" x14ac:dyDescent="0.25">
      <c r="A59"/>
      <c r="B59"/>
      <c r="C59"/>
      <c r="D59"/>
      <c r="E59"/>
      <c r="F59"/>
      <c r="G59"/>
      <c r="H59"/>
      <c r="I59"/>
      <c r="J59"/>
      <c r="K59"/>
      <c r="L59" s="56"/>
      <c r="M59" s="56"/>
      <c r="N59" s="56"/>
      <c r="O59" s="56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</row>
    <row r="60" spans="1:36" s="175" customFormat="1" ht="20.100000000000001" customHeight="1" x14ac:dyDescent="0.25">
      <c r="A60"/>
      <c r="B60"/>
      <c r="C60"/>
      <c r="D60"/>
      <c r="E60"/>
      <c r="F60"/>
      <c r="G60"/>
      <c r="H60"/>
      <c r="I60"/>
      <c r="J60"/>
      <c r="K60"/>
      <c r="L60" s="56"/>
      <c r="M60" s="56"/>
      <c r="N60" s="56"/>
      <c r="O60" s="56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</row>
    <row r="61" spans="1:36" s="175" customFormat="1" ht="20.100000000000001" customHeight="1" x14ac:dyDescent="0.25">
      <c r="A61"/>
      <c r="B61"/>
      <c r="C61"/>
      <c r="D61"/>
      <c r="E61"/>
      <c r="F61"/>
      <c r="G61"/>
      <c r="H61"/>
      <c r="I61"/>
      <c r="J61"/>
      <c r="K61"/>
      <c r="L61" s="56"/>
      <c r="M61" s="56"/>
      <c r="N61" s="56"/>
      <c r="O61" s="56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</row>
    <row r="62" spans="1:36" s="175" customFormat="1" ht="20.100000000000001" customHeight="1" x14ac:dyDescent="0.25">
      <c r="A62"/>
      <c r="B62"/>
      <c r="C62"/>
      <c r="D62"/>
      <c r="E62"/>
      <c r="F62"/>
      <c r="G62"/>
      <c r="H62"/>
      <c r="I62"/>
      <c r="J62"/>
      <c r="K62"/>
      <c r="L62" s="56"/>
      <c r="M62" s="56"/>
      <c r="N62" s="56"/>
      <c r="O62" s="56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</row>
    <row r="63" spans="1:36" s="175" customFormat="1" ht="20.100000000000001" customHeight="1" x14ac:dyDescent="0.25">
      <c r="A63"/>
      <c r="B63"/>
      <c r="C63"/>
      <c r="D63"/>
      <c r="E63"/>
      <c r="F63"/>
      <c r="G63"/>
      <c r="H63"/>
      <c r="I63"/>
      <c r="J63"/>
      <c r="K63"/>
      <c r="L63" s="56"/>
      <c r="M63" s="56"/>
      <c r="N63" s="56"/>
      <c r="O63" s="56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</row>
    <row r="64" spans="1:36" s="175" customFormat="1" ht="20.100000000000001" customHeight="1" x14ac:dyDescent="0.25">
      <c r="A64"/>
      <c r="B64"/>
      <c r="C64"/>
      <c r="D64"/>
      <c r="E64"/>
      <c r="F64"/>
      <c r="G64"/>
      <c r="H64"/>
      <c r="I64"/>
      <c r="J64"/>
      <c r="K64"/>
      <c r="L64" s="56"/>
      <c r="M64" s="56"/>
      <c r="N64" s="56"/>
      <c r="O64" s="56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</row>
    <row r="65" spans="1:36" s="175" customFormat="1" ht="20.100000000000001" customHeight="1" x14ac:dyDescent="0.25">
      <c r="A65"/>
      <c r="B65"/>
      <c r="C65"/>
      <c r="D65"/>
      <c r="E65"/>
      <c r="F65"/>
      <c r="G65"/>
      <c r="H65"/>
      <c r="I65"/>
      <c r="J65"/>
      <c r="K65"/>
      <c r="L65" s="56"/>
      <c r="M65" s="56"/>
      <c r="N65" s="56"/>
      <c r="O65" s="56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</row>
    <row r="66" spans="1:36" s="175" customFormat="1" ht="20.100000000000001" customHeight="1" x14ac:dyDescent="0.25">
      <c r="A66"/>
      <c r="B66"/>
      <c r="C66"/>
      <c r="D66"/>
      <c r="E66"/>
      <c r="F66"/>
      <c r="G66"/>
      <c r="H66"/>
      <c r="I66"/>
      <c r="J66"/>
      <c r="K66"/>
      <c r="L66" s="56"/>
      <c r="M66" s="56"/>
      <c r="N66" s="56"/>
      <c r="O66" s="5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</row>
    <row r="67" spans="1:36" s="175" customFormat="1" ht="20.100000000000001" customHeight="1" x14ac:dyDescent="0.25">
      <c r="A67"/>
      <c r="B67"/>
      <c r="C67"/>
      <c r="D67"/>
      <c r="E67"/>
      <c r="F67"/>
      <c r="G67"/>
      <c r="H67"/>
      <c r="I67"/>
      <c r="J67"/>
      <c r="K67"/>
      <c r="L67" s="56"/>
      <c r="M67" s="56"/>
      <c r="N67" s="56"/>
      <c r="O67" s="56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</row>
    <row r="68" spans="1:36" s="175" customFormat="1" ht="20.100000000000001" customHeight="1" x14ac:dyDescent="0.25">
      <c r="A68"/>
      <c r="B68"/>
      <c r="C68"/>
      <c r="D68"/>
      <c r="E68"/>
      <c r="F68"/>
      <c r="G68"/>
      <c r="H68"/>
      <c r="I68"/>
      <c r="J68"/>
      <c r="K68"/>
      <c r="L68" s="56"/>
      <c r="M68" s="56"/>
      <c r="N68" s="56"/>
      <c r="O68" s="56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</row>
    <row r="69" spans="1:36" s="175" customFormat="1" ht="20.100000000000001" customHeight="1" x14ac:dyDescent="0.25">
      <c r="A69"/>
      <c r="B69"/>
      <c r="C69"/>
      <c r="D69"/>
      <c r="E69"/>
      <c r="F69"/>
      <c r="G69"/>
      <c r="H69"/>
      <c r="I69"/>
      <c r="J69"/>
      <c r="K69"/>
      <c r="L69" s="56"/>
      <c r="M69" s="56"/>
      <c r="N69" s="56"/>
      <c r="O69" s="56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</row>
    <row r="70" spans="1:36" s="175" customFormat="1" ht="20.100000000000001" customHeight="1" x14ac:dyDescent="0.25">
      <c r="A70"/>
      <c r="B70"/>
      <c r="C70"/>
      <c r="D70"/>
      <c r="E70"/>
      <c r="F70"/>
      <c r="G70"/>
      <c r="H70"/>
      <c r="I70"/>
      <c r="J70"/>
      <c r="K70"/>
      <c r="L70" s="56"/>
      <c r="M70" s="56"/>
      <c r="N70" s="56"/>
      <c r="O70" s="56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</row>
    <row r="71" spans="1:36" s="175" customFormat="1" ht="20.100000000000001" customHeight="1" x14ac:dyDescent="0.25">
      <c r="A71"/>
      <c r="B71"/>
      <c r="C71"/>
      <c r="D71"/>
      <c r="E71"/>
      <c r="F71"/>
      <c r="G71"/>
      <c r="H71"/>
      <c r="I71"/>
      <c r="J71"/>
      <c r="K71"/>
      <c r="L71" s="56"/>
      <c r="M71" s="56"/>
      <c r="N71" s="56"/>
      <c r="O71" s="56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</row>
    <row r="72" spans="1:36" s="175" customFormat="1" ht="20.100000000000001" customHeight="1" x14ac:dyDescent="0.25">
      <c r="A72"/>
      <c r="B72"/>
      <c r="C72"/>
      <c r="D72"/>
      <c r="E72"/>
      <c r="F72"/>
      <c r="G72"/>
      <c r="H72"/>
      <c r="I72"/>
      <c r="J72"/>
      <c r="K72"/>
      <c r="L72" s="56"/>
      <c r="M72" s="56"/>
      <c r="N72" s="56"/>
      <c r="O72" s="56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</row>
    <row r="73" spans="1:36" s="175" customFormat="1" ht="20.100000000000001" customHeight="1" x14ac:dyDescent="0.25">
      <c r="A73"/>
      <c r="B73"/>
      <c r="C73"/>
      <c r="D73"/>
      <c r="E73"/>
      <c r="F73"/>
      <c r="G73"/>
      <c r="H73"/>
      <c r="I73"/>
      <c r="J73"/>
      <c r="K73"/>
      <c r="L73" s="56"/>
      <c r="M73" s="56"/>
      <c r="N73" s="56"/>
      <c r="O73" s="56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</row>
    <row r="74" spans="1:36" s="175" customFormat="1" ht="20.100000000000001" customHeight="1" x14ac:dyDescent="0.25">
      <c r="A74"/>
      <c r="B74"/>
      <c r="C74"/>
      <c r="D74"/>
      <c r="E74"/>
      <c r="F74"/>
      <c r="G74"/>
      <c r="H74"/>
      <c r="I74"/>
      <c r="J74"/>
      <c r="K74"/>
      <c r="L74" s="56"/>
      <c r="M74" s="56"/>
      <c r="N74" s="56"/>
      <c r="O74" s="56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</row>
    <row r="75" spans="1:36" s="175" customFormat="1" ht="20.100000000000001" customHeight="1" x14ac:dyDescent="0.25">
      <c r="A75"/>
      <c r="B75"/>
      <c r="C75"/>
      <c r="D75"/>
      <c r="E75"/>
      <c r="F75"/>
      <c r="G75"/>
      <c r="H75"/>
      <c r="I75"/>
      <c r="J75"/>
      <c r="K75"/>
      <c r="L75" s="56"/>
      <c r="M75" s="56"/>
      <c r="N75" s="56"/>
      <c r="O75" s="56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</row>
    <row r="76" spans="1:36" s="175" customFormat="1" ht="20.100000000000001" customHeight="1" x14ac:dyDescent="0.25">
      <c r="A76"/>
      <c r="B76"/>
      <c r="C76"/>
      <c r="D76"/>
      <c r="E76"/>
      <c r="F76"/>
      <c r="G76"/>
      <c r="H76"/>
      <c r="I76"/>
      <c r="J76"/>
      <c r="K76"/>
      <c r="L76" s="56"/>
      <c r="M76" s="56"/>
      <c r="N76" s="56"/>
      <c r="O76" s="5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</row>
    <row r="77" spans="1:36" s="175" customFormat="1" ht="20.100000000000001" customHeight="1" x14ac:dyDescent="0.25">
      <c r="A77"/>
      <c r="B77"/>
      <c r="C77"/>
      <c r="D77"/>
      <c r="E77"/>
      <c r="F77"/>
      <c r="G77"/>
      <c r="H77"/>
      <c r="I77"/>
      <c r="J77"/>
      <c r="K77"/>
      <c r="L77" s="56"/>
      <c r="M77" s="56"/>
      <c r="N77" s="56"/>
      <c r="O77" s="56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</row>
    <row r="78" spans="1:36" s="175" customFormat="1" ht="20.100000000000001" customHeight="1" x14ac:dyDescent="0.25">
      <c r="A78"/>
      <c r="B78"/>
      <c r="C78"/>
      <c r="D78"/>
      <c r="E78"/>
      <c r="F78"/>
      <c r="G78"/>
      <c r="H78"/>
      <c r="I78"/>
      <c r="J78"/>
      <c r="K78"/>
      <c r="L78" s="56"/>
      <c r="M78" s="56"/>
      <c r="N78" s="56"/>
      <c r="O78" s="56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</row>
    <row r="79" spans="1:36" s="175" customFormat="1" ht="20.100000000000001" customHeight="1" x14ac:dyDescent="0.25">
      <c r="A79"/>
      <c r="B79"/>
      <c r="C79"/>
      <c r="D79"/>
      <c r="E79"/>
      <c r="F79"/>
      <c r="G79"/>
      <c r="H79"/>
      <c r="I79"/>
      <c r="J79"/>
      <c r="K79"/>
      <c r="L79" s="56"/>
      <c r="M79" s="56"/>
      <c r="N79" s="56"/>
      <c r="O79" s="56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</row>
    <row r="80" spans="1:36" s="175" customFormat="1" ht="20.100000000000001" customHeight="1" x14ac:dyDescent="0.25">
      <c r="A80"/>
      <c r="B80"/>
      <c r="C80"/>
      <c r="D80"/>
      <c r="E80"/>
      <c r="F80"/>
      <c r="G80"/>
      <c r="H80"/>
      <c r="I80"/>
      <c r="J80"/>
      <c r="K80"/>
      <c r="L80" s="56"/>
      <c r="M80" s="56"/>
      <c r="N80" s="56"/>
      <c r="O80" s="56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</row>
    <row r="81" spans="1:36" s="175" customFormat="1" ht="20.100000000000001" customHeight="1" x14ac:dyDescent="0.25">
      <c r="A81"/>
      <c r="B81"/>
      <c r="C81"/>
      <c r="D81"/>
      <c r="E81"/>
      <c r="F81"/>
      <c r="G81"/>
      <c r="H81"/>
      <c r="I81"/>
      <c r="J81"/>
      <c r="K81"/>
      <c r="L81" s="56"/>
      <c r="M81" s="56"/>
      <c r="N81" s="56"/>
      <c r="O81" s="56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</row>
    <row r="82" spans="1:36" s="175" customFormat="1" ht="20.100000000000001" customHeight="1" x14ac:dyDescent="0.25">
      <c r="A82"/>
      <c r="B82"/>
      <c r="C82"/>
      <c r="D82"/>
      <c r="E82"/>
      <c r="F82"/>
      <c r="G82"/>
      <c r="H82"/>
      <c r="I82"/>
      <c r="J82"/>
      <c r="K82"/>
      <c r="L82" s="56"/>
      <c r="M82" s="56"/>
      <c r="N82" s="56"/>
      <c r="O82" s="56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</row>
    <row r="83" spans="1:36" s="175" customFormat="1" ht="20.100000000000001" customHeight="1" x14ac:dyDescent="0.25">
      <c r="A83"/>
      <c r="B83"/>
      <c r="C83"/>
      <c r="D83"/>
      <c r="E83"/>
      <c r="F83"/>
      <c r="G83"/>
      <c r="H83"/>
      <c r="I83"/>
      <c r="J83"/>
      <c r="K83"/>
      <c r="L83" s="56"/>
      <c r="M83" s="56"/>
      <c r="N83" s="56"/>
      <c r="O83" s="56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</row>
    <row r="84" spans="1:36" s="175" customFormat="1" ht="20.100000000000001" customHeight="1" x14ac:dyDescent="0.25">
      <c r="A84"/>
      <c r="B84"/>
      <c r="C84"/>
      <c r="D84"/>
      <c r="E84"/>
      <c r="F84"/>
      <c r="G84"/>
      <c r="H84"/>
      <c r="I84"/>
      <c r="J84"/>
      <c r="K84"/>
      <c r="L84" s="56"/>
      <c r="M84" s="56"/>
      <c r="N84" s="56"/>
      <c r="O84" s="56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</row>
    <row r="85" spans="1:36" s="175" customFormat="1" ht="20.100000000000001" customHeight="1" x14ac:dyDescent="0.25">
      <c r="A85"/>
      <c r="B85"/>
      <c r="C85"/>
      <c r="D85"/>
      <c r="E85"/>
      <c r="F85"/>
      <c r="G85"/>
      <c r="H85"/>
      <c r="I85"/>
      <c r="J85"/>
      <c r="K85"/>
      <c r="L85" s="56"/>
      <c r="M85" s="56"/>
      <c r="N85" s="56"/>
      <c r="O85" s="56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</row>
    <row r="86" spans="1:36" s="175" customFormat="1" ht="20.100000000000001" customHeight="1" x14ac:dyDescent="0.25">
      <c r="A86" s="200"/>
      <c r="B86" s="181"/>
      <c r="C86" s="182"/>
      <c r="D86" s="182"/>
      <c r="E86" s="184"/>
      <c r="F86" s="185"/>
      <c r="G86" s="186"/>
      <c r="H86" s="186"/>
      <c r="I86" s="187"/>
      <c r="J86" s="181"/>
      <c r="K86" s="188"/>
      <c r="L86" s="242"/>
      <c r="M86" s="243"/>
      <c r="P86" s="174"/>
      <c r="Q86" s="174"/>
    </row>
    <row r="87" spans="1:36" s="175" customFormat="1" ht="20.100000000000001" customHeight="1" x14ac:dyDescent="0.25">
      <c r="A87" s="200"/>
      <c r="B87" s="181"/>
      <c r="C87" s="182"/>
      <c r="D87" s="182"/>
      <c r="E87" s="184"/>
      <c r="F87" s="185"/>
      <c r="G87" s="186"/>
      <c r="H87" s="186"/>
      <c r="I87" s="187"/>
      <c r="J87" s="181"/>
      <c r="K87" s="188"/>
      <c r="L87" s="242"/>
      <c r="M87" s="243"/>
      <c r="P87" s="174"/>
      <c r="Q87" s="174"/>
    </row>
    <row r="88" spans="1:36" s="175" customFormat="1" ht="20.100000000000001" customHeight="1" x14ac:dyDescent="0.25">
      <c r="A88" s="200"/>
      <c r="B88" s="181"/>
      <c r="C88" s="182"/>
      <c r="D88" s="182"/>
      <c r="E88" s="184"/>
      <c r="F88" s="185"/>
      <c r="G88" s="186"/>
      <c r="H88" s="186"/>
      <c r="I88" s="187"/>
      <c r="J88" s="181"/>
      <c r="K88" s="188"/>
      <c r="L88" s="242"/>
      <c r="M88" s="243"/>
      <c r="P88" s="174"/>
      <c r="Q88" s="174"/>
    </row>
    <row r="89" spans="1:36" s="175" customFormat="1" ht="20.100000000000001" customHeight="1" x14ac:dyDescent="0.25">
      <c r="A89" s="200"/>
      <c r="B89" s="181"/>
      <c r="C89" s="182"/>
      <c r="D89" s="182"/>
      <c r="E89" s="184"/>
      <c r="F89" s="185"/>
      <c r="G89" s="186"/>
      <c r="H89" s="186"/>
      <c r="I89" s="187"/>
      <c r="J89" s="181"/>
      <c r="K89" s="188"/>
      <c r="L89" s="242"/>
      <c r="M89" s="243"/>
      <c r="P89" s="174"/>
      <c r="Q89" s="174"/>
    </row>
    <row r="90" spans="1:36" s="175" customFormat="1" ht="20.100000000000001" customHeight="1" x14ac:dyDescent="0.25">
      <c r="A90" s="200"/>
      <c r="B90" s="181"/>
      <c r="C90" s="182"/>
      <c r="D90" s="182"/>
      <c r="E90" s="184"/>
      <c r="F90" s="185"/>
      <c r="G90" s="186"/>
      <c r="H90" s="186"/>
      <c r="I90" s="187"/>
      <c r="J90" s="181"/>
      <c r="K90" s="188"/>
      <c r="L90" s="242"/>
      <c r="M90" s="243"/>
      <c r="P90" s="174"/>
      <c r="Q90" s="174"/>
    </row>
    <row r="91" spans="1:36" s="175" customFormat="1" ht="20.100000000000001" customHeight="1" x14ac:dyDescent="0.25">
      <c r="A91" s="200"/>
      <c r="B91" s="181"/>
      <c r="C91" s="182"/>
      <c r="D91" s="182"/>
      <c r="E91" s="184"/>
      <c r="F91" s="185"/>
      <c r="G91" s="186"/>
      <c r="H91" s="186"/>
      <c r="I91" s="187"/>
      <c r="J91" s="181"/>
      <c r="K91" s="188"/>
      <c r="L91" s="242"/>
      <c r="M91" s="243"/>
      <c r="P91" s="174"/>
      <c r="Q91" s="174"/>
    </row>
    <row r="92" spans="1:36" s="175" customFormat="1" ht="20.100000000000001" customHeight="1" x14ac:dyDescent="0.25">
      <c r="A92" s="200"/>
      <c r="B92" s="181"/>
      <c r="C92" s="182"/>
      <c r="D92" s="182"/>
      <c r="E92" s="184"/>
      <c r="F92" s="185"/>
      <c r="G92" s="186"/>
      <c r="H92" s="186"/>
      <c r="I92" s="187"/>
      <c r="J92" s="181"/>
      <c r="K92" s="188"/>
      <c r="L92" s="242"/>
      <c r="M92" s="243"/>
      <c r="P92" s="174"/>
      <c r="Q92" s="174"/>
    </row>
    <row r="93" spans="1:36" s="175" customFormat="1" ht="20.100000000000001" customHeight="1" x14ac:dyDescent="0.25">
      <c r="A93" s="200"/>
      <c r="B93" s="181"/>
      <c r="C93" s="182"/>
      <c r="D93" s="182"/>
      <c r="E93" s="184"/>
      <c r="F93" s="185"/>
      <c r="G93" s="186"/>
      <c r="H93" s="186"/>
      <c r="I93" s="187"/>
      <c r="J93" s="181"/>
      <c r="K93" s="188"/>
      <c r="L93" s="242"/>
      <c r="M93" s="243"/>
      <c r="P93" s="174"/>
      <c r="Q93" s="174"/>
    </row>
    <row r="94" spans="1:36" s="175" customFormat="1" ht="20.100000000000001" customHeight="1" x14ac:dyDescent="0.25">
      <c r="A94" s="200"/>
      <c r="B94" s="181"/>
      <c r="C94" s="182"/>
      <c r="D94" s="182"/>
      <c r="E94" s="184"/>
      <c r="F94" s="185"/>
      <c r="G94" s="186"/>
      <c r="H94" s="186"/>
      <c r="I94" s="187"/>
      <c r="J94" s="181"/>
      <c r="K94" s="188"/>
      <c r="L94" s="242"/>
      <c r="M94" s="243"/>
      <c r="P94" s="174"/>
      <c r="Q94" s="174"/>
    </row>
    <row r="95" spans="1:36" s="175" customFormat="1" ht="20.100000000000001" customHeight="1" x14ac:dyDescent="0.25">
      <c r="A95" s="200"/>
      <c r="B95" s="181"/>
      <c r="C95" s="182"/>
      <c r="D95" s="182"/>
      <c r="E95" s="184"/>
      <c r="F95" s="185"/>
      <c r="G95" s="186"/>
      <c r="H95" s="186"/>
      <c r="I95" s="187"/>
      <c r="J95" s="181"/>
      <c r="K95" s="188"/>
      <c r="L95" s="242"/>
      <c r="M95" s="243"/>
      <c r="P95" s="174"/>
      <c r="Q95" s="174"/>
    </row>
    <row r="96" spans="1:36" s="175" customFormat="1" ht="20.100000000000001" customHeight="1" x14ac:dyDescent="0.25">
      <c r="A96" s="200"/>
      <c r="B96" s="181"/>
      <c r="C96" s="182"/>
      <c r="D96" s="182"/>
      <c r="E96" s="184"/>
      <c r="F96" s="185"/>
      <c r="G96" s="186"/>
      <c r="H96" s="186"/>
      <c r="I96" s="187"/>
      <c r="J96" s="181"/>
      <c r="K96" s="188"/>
      <c r="L96" s="242"/>
      <c r="M96" s="243"/>
      <c r="P96" s="174"/>
      <c r="Q96" s="174"/>
    </row>
    <row r="97" spans="1:17" s="175" customFormat="1" ht="20.100000000000001" customHeight="1" x14ac:dyDescent="0.25">
      <c r="A97" s="200"/>
      <c r="B97" s="181"/>
      <c r="C97" s="182"/>
      <c r="D97" s="182"/>
      <c r="E97" s="184"/>
      <c r="F97" s="185"/>
      <c r="G97" s="186"/>
      <c r="H97" s="186"/>
      <c r="I97" s="187"/>
      <c r="J97" s="181"/>
      <c r="K97" s="188"/>
      <c r="L97" s="242"/>
      <c r="M97" s="243"/>
      <c r="P97" s="174"/>
      <c r="Q97" s="174"/>
    </row>
    <row r="98" spans="1:17" s="175" customFormat="1" ht="20.100000000000001" customHeight="1" x14ac:dyDescent="0.25">
      <c r="A98" s="200"/>
      <c r="B98" s="181"/>
      <c r="C98" s="182"/>
      <c r="D98" s="182"/>
      <c r="E98" s="184"/>
      <c r="F98" s="185"/>
      <c r="G98" s="186"/>
      <c r="H98" s="186"/>
      <c r="I98" s="187"/>
      <c r="J98" s="181"/>
      <c r="K98" s="188"/>
      <c r="L98" s="242"/>
      <c r="M98" s="243"/>
      <c r="P98" s="174"/>
      <c r="Q98" s="174"/>
    </row>
    <row r="99" spans="1:17" s="175" customFormat="1" ht="20.100000000000001" customHeight="1" x14ac:dyDescent="0.25">
      <c r="A99" s="200"/>
      <c r="B99" s="181"/>
      <c r="C99" s="182"/>
      <c r="D99" s="182"/>
      <c r="E99" s="184"/>
      <c r="F99" s="185"/>
      <c r="G99" s="186"/>
      <c r="H99" s="186"/>
      <c r="I99" s="187"/>
      <c r="J99" s="181"/>
      <c r="K99" s="188"/>
      <c r="L99" s="242"/>
      <c r="M99" s="243"/>
      <c r="P99" s="174"/>
      <c r="Q99" s="174"/>
    </row>
    <row r="100" spans="1:17" s="175" customFormat="1" ht="20.100000000000001" customHeight="1" x14ac:dyDescent="0.25">
      <c r="A100" s="200"/>
      <c r="B100" s="181"/>
      <c r="C100" s="182"/>
      <c r="D100" s="182"/>
      <c r="E100" s="184"/>
      <c r="F100" s="185"/>
      <c r="G100" s="186"/>
      <c r="H100" s="186"/>
      <c r="I100" s="187"/>
      <c r="J100" s="181"/>
      <c r="K100" s="188"/>
      <c r="L100" s="242"/>
      <c r="M100" s="243"/>
      <c r="P100" s="174"/>
      <c r="Q100" s="174"/>
    </row>
    <row r="101" spans="1:17" s="175" customFormat="1" ht="20.100000000000001" customHeight="1" x14ac:dyDescent="0.25">
      <c r="A101" s="200"/>
      <c r="B101" s="181"/>
      <c r="C101" s="182"/>
      <c r="D101" s="182"/>
      <c r="E101" s="184"/>
      <c r="F101" s="185"/>
      <c r="G101" s="186"/>
      <c r="H101" s="186"/>
      <c r="I101" s="187"/>
      <c r="J101" s="181"/>
      <c r="K101" s="188"/>
      <c r="L101" s="242"/>
      <c r="M101" s="243"/>
      <c r="P101" s="174"/>
      <c r="Q101" s="174"/>
    </row>
    <row r="102" spans="1:17" s="175" customFormat="1" ht="20.100000000000001" customHeight="1" x14ac:dyDescent="0.25">
      <c r="A102" s="200"/>
      <c r="B102" s="181"/>
      <c r="C102" s="182"/>
      <c r="D102" s="182"/>
      <c r="E102" s="184"/>
      <c r="F102" s="185"/>
      <c r="G102" s="186"/>
      <c r="H102" s="186"/>
      <c r="I102" s="187"/>
      <c r="J102" s="181"/>
      <c r="K102" s="188"/>
      <c r="L102" s="242"/>
      <c r="M102" s="243"/>
      <c r="P102" s="174"/>
      <c r="Q102" s="174"/>
    </row>
    <row r="103" spans="1:17" s="175" customFormat="1" ht="20.100000000000001" customHeight="1" x14ac:dyDescent="0.25">
      <c r="A103" s="200"/>
      <c r="B103" s="181"/>
      <c r="C103" s="182"/>
      <c r="D103" s="182"/>
      <c r="E103" s="184"/>
      <c r="F103" s="185"/>
      <c r="G103" s="186"/>
      <c r="H103" s="186"/>
      <c r="I103" s="187"/>
      <c r="J103" s="181"/>
      <c r="K103" s="188"/>
      <c r="L103" s="242"/>
      <c r="M103" s="243"/>
      <c r="P103" s="174"/>
      <c r="Q103" s="174"/>
    </row>
    <row r="104" spans="1:17" s="175" customFormat="1" ht="20.100000000000001" customHeight="1" x14ac:dyDescent="0.25">
      <c r="A104" s="200"/>
      <c r="B104" s="181"/>
      <c r="C104" s="182"/>
      <c r="D104" s="182"/>
      <c r="E104" s="184"/>
      <c r="F104" s="185"/>
      <c r="G104" s="186"/>
      <c r="H104" s="186"/>
      <c r="I104" s="187"/>
      <c r="J104" s="181"/>
      <c r="K104" s="188"/>
      <c r="L104" s="242"/>
      <c r="M104" s="243"/>
      <c r="P104" s="174"/>
      <c r="Q104" s="174"/>
    </row>
    <row r="105" spans="1:17" s="175" customFormat="1" ht="20.100000000000001" customHeight="1" x14ac:dyDescent="0.25">
      <c r="A105" s="200"/>
      <c r="B105" s="181"/>
      <c r="C105" s="182"/>
      <c r="D105" s="182"/>
      <c r="E105" s="184"/>
      <c r="F105" s="185"/>
      <c r="G105" s="186"/>
      <c r="H105" s="186"/>
      <c r="I105" s="187"/>
      <c r="J105" s="181"/>
      <c r="K105" s="188"/>
      <c r="L105" s="242"/>
      <c r="M105" s="243"/>
      <c r="P105" s="174"/>
      <c r="Q105" s="174"/>
    </row>
    <row r="106" spans="1:17" s="175" customFormat="1" ht="20.100000000000001" customHeight="1" x14ac:dyDescent="0.25">
      <c r="A106" s="200"/>
      <c r="B106" s="181"/>
      <c r="C106" s="182"/>
      <c r="D106" s="182"/>
      <c r="E106" s="184"/>
      <c r="F106" s="185"/>
      <c r="G106" s="186"/>
      <c r="H106" s="186"/>
      <c r="I106" s="187"/>
      <c r="J106" s="181"/>
      <c r="K106" s="188"/>
      <c r="L106" s="242"/>
      <c r="M106" s="243"/>
      <c r="P106" s="174"/>
      <c r="Q106" s="174"/>
    </row>
    <row r="107" spans="1:17" s="175" customFormat="1" ht="20.100000000000001" customHeight="1" x14ac:dyDescent="0.25">
      <c r="A107" s="200"/>
      <c r="B107" s="181"/>
      <c r="C107" s="182"/>
      <c r="D107" s="182"/>
      <c r="E107" s="184"/>
      <c r="F107" s="185"/>
      <c r="G107" s="186"/>
      <c r="H107" s="186"/>
      <c r="I107" s="187"/>
      <c r="J107" s="181"/>
      <c r="K107" s="188"/>
      <c r="L107" s="242"/>
      <c r="M107" s="243"/>
      <c r="P107" s="174"/>
      <c r="Q107" s="174"/>
    </row>
    <row r="108" spans="1:17" s="175" customFormat="1" ht="20.100000000000001" customHeight="1" x14ac:dyDescent="0.25">
      <c r="A108" s="200"/>
      <c r="B108" s="181"/>
      <c r="C108" s="182"/>
      <c r="D108" s="182"/>
      <c r="E108" s="184"/>
      <c r="F108" s="185"/>
      <c r="G108" s="186"/>
      <c r="H108" s="186"/>
      <c r="I108" s="187"/>
      <c r="J108" s="181"/>
      <c r="K108" s="188"/>
      <c r="L108" s="242"/>
      <c r="M108" s="243"/>
      <c r="P108" s="174"/>
      <c r="Q108" s="174"/>
    </row>
    <row r="109" spans="1:17" s="175" customFormat="1" ht="20.100000000000001" customHeight="1" x14ac:dyDescent="0.25">
      <c r="A109" s="200"/>
      <c r="B109" s="181"/>
      <c r="C109" s="182"/>
      <c r="D109" s="182"/>
      <c r="E109" s="184"/>
      <c r="F109" s="185"/>
      <c r="G109" s="186"/>
      <c r="H109" s="186"/>
      <c r="I109" s="187"/>
      <c r="J109" s="181"/>
      <c r="K109" s="188"/>
      <c r="L109" s="242"/>
      <c r="M109" s="243"/>
      <c r="P109" s="174"/>
      <c r="Q109" s="174"/>
    </row>
    <row r="110" spans="1:17" s="175" customFormat="1" ht="20.100000000000001" customHeight="1" x14ac:dyDescent="0.25">
      <c r="A110" s="200"/>
      <c r="B110" s="181"/>
      <c r="C110" s="182"/>
      <c r="D110" s="182"/>
      <c r="E110" s="184"/>
      <c r="F110" s="185"/>
      <c r="G110" s="186"/>
      <c r="H110" s="186"/>
      <c r="I110" s="187"/>
      <c r="J110" s="181"/>
      <c r="K110" s="188"/>
      <c r="L110" s="242"/>
      <c r="M110" s="243"/>
      <c r="P110" s="174"/>
      <c r="Q110" s="174"/>
    </row>
    <row r="111" spans="1:17" s="175" customFormat="1" ht="20.100000000000001" customHeight="1" x14ac:dyDescent="0.25">
      <c r="A111" s="200"/>
      <c r="B111" s="181"/>
      <c r="C111" s="182"/>
      <c r="D111" s="182"/>
      <c r="E111" s="184"/>
      <c r="F111" s="185"/>
      <c r="G111" s="186"/>
      <c r="H111" s="186"/>
      <c r="I111" s="187"/>
      <c r="J111" s="181"/>
      <c r="K111" s="188"/>
      <c r="L111" s="242"/>
      <c r="M111" s="243"/>
      <c r="P111" s="174"/>
      <c r="Q111" s="174"/>
    </row>
    <row r="112" spans="1:17" s="175" customFormat="1" ht="20.100000000000001" customHeight="1" x14ac:dyDescent="0.25">
      <c r="A112" s="200"/>
      <c r="B112" s="181"/>
      <c r="C112" s="182"/>
      <c r="D112" s="182"/>
      <c r="E112" s="184"/>
      <c r="F112" s="185"/>
      <c r="G112" s="186"/>
      <c r="H112" s="186"/>
      <c r="I112" s="187"/>
      <c r="J112" s="181"/>
      <c r="K112" s="188"/>
      <c r="L112" s="242"/>
      <c r="M112" s="243"/>
      <c r="P112" s="174"/>
      <c r="Q112" s="174"/>
    </row>
    <row r="113" spans="1:17" s="175" customFormat="1" ht="20.100000000000001" customHeight="1" x14ac:dyDescent="0.25">
      <c r="A113" s="200"/>
      <c r="B113" s="181"/>
      <c r="C113" s="182"/>
      <c r="D113" s="182"/>
      <c r="E113" s="184"/>
      <c r="F113" s="185"/>
      <c r="G113" s="186"/>
      <c r="H113" s="186"/>
      <c r="I113" s="187"/>
      <c r="J113" s="181"/>
      <c r="K113" s="188"/>
      <c r="L113" s="242"/>
      <c r="M113" s="243"/>
      <c r="P113" s="174"/>
      <c r="Q113" s="174"/>
    </row>
    <row r="114" spans="1:17" s="175" customFormat="1" ht="20.100000000000001" customHeight="1" x14ac:dyDescent="0.25">
      <c r="A114" s="200"/>
      <c r="B114" s="181"/>
      <c r="C114" s="182"/>
      <c r="D114" s="182"/>
      <c r="E114" s="184"/>
      <c r="F114" s="185"/>
      <c r="G114" s="186"/>
      <c r="H114" s="186"/>
      <c r="I114" s="187"/>
      <c r="J114" s="181"/>
      <c r="K114" s="188"/>
      <c r="L114" s="242"/>
      <c r="M114" s="243"/>
      <c r="P114" s="174"/>
      <c r="Q114" s="174"/>
    </row>
    <row r="115" spans="1:17" s="175" customFormat="1" ht="20.100000000000001" customHeight="1" x14ac:dyDescent="0.25">
      <c r="A115" s="200"/>
      <c r="B115" s="181"/>
      <c r="C115" s="182"/>
      <c r="D115" s="182"/>
      <c r="E115" s="184"/>
      <c r="F115" s="185"/>
      <c r="G115" s="186"/>
      <c r="H115" s="186"/>
      <c r="I115" s="187"/>
      <c r="J115" s="181"/>
      <c r="K115" s="188"/>
      <c r="L115" s="242"/>
      <c r="M115" s="243"/>
      <c r="P115" s="174"/>
      <c r="Q115" s="174"/>
    </row>
    <row r="116" spans="1:17" s="175" customFormat="1" ht="20.100000000000001" customHeight="1" x14ac:dyDescent="0.25">
      <c r="A116" s="200"/>
      <c r="B116" s="181"/>
      <c r="C116" s="182"/>
      <c r="D116" s="182"/>
      <c r="E116" s="184"/>
      <c r="F116" s="185"/>
      <c r="G116" s="186"/>
      <c r="H116" s="186"/>
      <c r="I116" s="187"/>
      <c r="J116" s="181"/>
      <c r="K116" s="188"/>
      <c r="L116" s="242"/>
      <c r="M116" s="243"/>
      <c r="P116" s="174"/>
      <c r="Q116" s="174"/>
    </row>
    <row r="117" spans="1:17" s="175" customFormat="1" ht="20.100000000000001" customHeight="1" x14ac:dyDescent="0.25">
      <c r="A117" s="200"/>
      <c r="B117" s="181"/>
      <c r="C117" s="182"/>
      <c r="D117" s="182"/>
      <c r="E117" s="184"/>
      <c r="F117" s="185"/>
      <c r="G117" s="186"/>
      <c r="H117" s="186"/>
      <c r="I117" s="187"/>
      <c r="J117" s="181"/>
      <c r="K117" s="188"/>
      <c r="L117" s="242"/>
      <c r="M117" s="243"/>
      <c r="P117" s="174"/>
      <c r="Q117" s="174"/>
    </row>
    <row r="118" spans="1:17" s="175" customFormat="1" ht="20.100000000000001" customHeight="1" x14ac:dyDescent="0.25">
      <c r="A118" s="200"/>
      <c r="B118" s="181"/>
      <c r="C118" s="182"/>
      <c r="D118" s="182"/>
      <c r="E118" s="184"/>
      <c r="F118" s="185"/>
      <c r="G118" s="186"/>
      <c r="H118" s="186"/>
      <c r="I118" s="187"/>
      <c r="J118" s="181"/>
      <c r="K118" s="188"/>
      <c r="L118" s="242"/>
      <c r="M118" s="243"/>
      <c r="P118" s="174"/>
      <c r="Q118" s="174"/>
    </row>
    <row r="119" spans="1:17" s="175" customFormat="1" ht="20.100000000000001" customHeight="1" x14ac:dyDescent="0.25">
      <c r="A119" s="200"/>
      <c r="B119" s="181"/>
      <c r="C119" s="182"/>
      <c r="D119" s="182"/>
      <c r="E119" s="184"/>
      <c r="F119" s="185"/>
      <c r="G119" s="186"/>
      <c r="H119" s="186"/>
      <c r="I119" s="187"/>
      <c r="J119" s="181"/>
      <c r="K119" s="188"/>
      <c r="L119" s="242"/>
      <c r="M119" s="243"/>
      <c r="P119" s="174"/>
      <c r="Q119" s="174"/>
    </row>
    <row r="120" spans="1:17" s="175" customFormat="1" ht="20.100000000000001" customHeight="1" x14ac:dyDescent="0.25">
      <c r="A120" s="200"/>
      <c r="B120" s="181"/>
      <c r="C120" s="182"/>
      <c r="D120" s="182"/>
      <c r="E120" s="184"/>
      <c r="F120" s="185"/>
      <c r="G120" s="186"/>
      <c r="H120" s="186"/>
      <c r="I120" s="187"/>
      <c r="J120" s="181"/>
      <c r="K120" s="188"/>
      <c r="L120" s="242"/>
      <c r="M120" s="243"/>
      <c r="P120" s="174"/>
      <c r="Q120" s="174"/>
    </row>
    <row r="121" spans="1:17" s="175" customFormat="1" ht="20.100000000000001" customHeight="1" x14ac:dyDescent="0.25">
      <c r="A121" s="200"/>
      <c r="B121" s="181"/>
      <c r="C121" s="182"/>
      <c r="D121" s="182"/>
      <c r="E121" s="184"/>
      <c r="F121" s="185"/>
      <c r="G121" s="186"/>
      <c r="H121" s="186"/>
      <c r="I121" s="187"/>
      <c r="J121" s="181"/>
      <c r="K121" s="188"/>
      <c r="L121" s="242"/>
      <c r="M121" s="243"/>
      <c r="P121" s="174"/>
      <c r="Q121" s="174"/>
    </row>
    <row r="122" spans="1:17" s="175" customFormat="1" ht="20.100000000000001" customHeight="1" x14ac:dyDescent="0.25">
      <c r="A122" s="200"/>
      <c r="B122" s="181"/>
      <c r="C122" s="182"/>
      <c r="D122" s="182"/>
      <c r="E122" s="184"/>
      <c r="F122" s="185"/>
      <c r="G122" s="186"/>
      <c r="H122" s="186"/>
      <c r="I122" s="187"/>
      <c r="J122" s="181"/>
      <c r="K122" s="188"/>
      <c r="L122" s="242"/>
      <c r="M122" s="243"/>
      <c r="P122" s="174"/>
      <c r="Q122" s="174"/>
    </row>
    <row r="123" spans="1:17" s="175" customFormat="1" ht="20.100000000000001" customHeight="1" x14ac:dyDescent="0.25">
      <c r="A123" s="200"/>
      <c r="B123" s="181"/>
      <c r="C123" s="182"/>
      <c r="D123" s="182"/>
      <c r="E123" s="184"/>
      <c r="F123" s="185"/>
      <c r="G123" s="186"/>
      <c r="H123" s="186"/>
      <c r="I123" s="187"/>
      <c r="J123" s="181"/>
      <c r="K123" s="188"/>
      <c r="L123" s="242"/>
      <c r="M123" s="243"/>
      <c r="P123" s="174"/>
      <c r="Q123" s="174"/>
    </row>
    <row r="124" spans="1:17" s="175" customFormat="1" ht="20.100000000000001" customHeight="1" x14ac:dyDescent="0.25">
      <c r="A124" s="200"/>
      <c r="B124" s="181"/>
      <c r="C124" s="182"/>
      <c r="D124" s="182"/>
      <c r="E124" s="184"/>
      <c r="F124" s="185"/>
      <c r="G124" s="186"/>
      <c r="H124" s="186"/>
      <c r="I124" s="187"/>
      <c r="J124" s="181"/>
      <c r="K124" s="188"/>
      <c r="L124" s="242"/>
      <c r="M124" s="243"/>
      <c r="P124" s="174"/>
      <c r="Q124" s="174"/>
    </row>
    <row r="125" spans="1:17" s="175" customFormat="1" ht="20.100000000000001" customHeight="1" x14ac:dyDescent="0.25">
      <c r="A125" s="200"/>
      <c r="B125" s="181"/>
      <c r="C125" s="182"/>
      <c r="D125" s="182"/>
      <c r="E125" s="184"/>
      <c r="F125" s="185"/>
      <c r="G125" s="186"/>
      <c r="H125" s="186"/>
      <c r="I125" s="187"/>
      <c r="J125" s="181"/>
      <c r="K125" s="188"/>
      <c r="L125" s="242"/>
      <c r="M125" s="243"/>
      <c r="P125" s="174"/>
      <c r="Q125" s="174"/>
    </row>
    <row r="126" spans="1:17" s="175" customFormat="1" ht="20.100000000000001" customHeight="1" x14ac:dyDescent="0.25">
      <c r="A126" s="200"/>
      <c r="B126" s="181"/>
      <c r="C126" s="182"/>
      <c r="D126" s="182"/>
      <c r="E126" s="184"/>
      <c r="F126" s="185"/>
      <c r="G126" s="186"/>
      <c r="H126" s="186"/>
      <c r="I126" s="187"/>
      <c r="J126" s="181"/>
      <c r="K126" s="188"/>
      <c r="L126" s="242"/>
      <c r="M126" s="243"/>
      <c r="P126" s="174"/>
      <c r="Q126" s="174"/>
    </row>
    <row r="127" spans="1:17" s="175" customFormat="1" ht="20.100000000000001" customHeight="1" x14ac:dyDescent="0.25">
      <c r="A127" s="200"/>
      <c r="B127" s="181"/>
      <c r="C127" s="182"/>
      <c r="D127" s="182"/>
      <c r="E127" s="184"/>
      <c r="F127" s="185"/>
      <c r="G127" s="186"/>
      <c r="H127" s="186"/>
      <c r="I127" s="187"/>
      <c r="J127" s="181"/>
      <c r="K127" s="188"/>
      <c r="L127" s="242"/>
      <c r="M127" s="243"/>
      <c r="P127" s="174"/>
      <c r="Q127" s="174"/>
    </row>
    <row r="128" spans="1:17" s="175" customFormat="1" ht="20.100000000000001" customHeight="1" x14ac:dyDescent="0.25">
      <c r="A128" s="200"/>
      <c r="B128" s="181"/>
      <c r="C128" s="182"/>
      <c r="D128" s="182"/>
      <c r="E128" s="184"/>
      <c r="F128" s="185"/>
      <c r="G128" s="186"/>
      <c r="H128" s="186"/>
      <c r="I128" s="187"/>
      <c r="J128" s="181"/>
      <c r="K128" s="188"/>
      <c r="L128" s="242"/>
      <c r="M128" s="243"/>
      <c r="P128" s="174"/>
      <c r="Q128" s="174"/>
    </row>
    <row r="129" spans="1:17" s="175" customFormat="1" ht="20.100000000000001" customHeight="1" x14ac:dyDescent="0.25">
      <c r="A129" s="200"/>
      <c r="B129" s="181"/>
      <c r="C129" s="182"/>
      <c r="D129" s="182"/>
      <c r="E129" s="184"/>
      <c r="F129" s="185"/>
      <c r="G129" s="186"/>
      <c r="H129" s="186"/>
      <c r="I129" s="187"/>
      <c r="J129" s="181"/>
      <c r="K129" s="188"/>
      <c r="L129" s="242"/>
      <c r="M129" s="243"/>
      <c r="P129" s="174"/>
      <c r="Q129" s="174"/>
    </row>
    <row r="130" spans="1:17" s="175" customFormat="1" ht="20.100000000000001" customHeight="1" x14ac:dyDescent="0.25">
      <c r="A130" s="200"/>
      <c r="B130" s="181"/>
      <c r="C130" s="182"/>
      <c r="D130" s="182"/>
      <c r="E130" s="184"/>
      <c r="F130" s="185"/>
      <c r="G130" s="186"/>
      <c r="H130" s="186"/>
      <c r="I130" s="187"/>
      <c r="J130" s="181"/>
      <c r="K130" s="188"/>
      <c r="L130" s="242"/>
      <c r="M130" s="243"/>
      <c r="P130" s="174"/>
      <c r="Q130" s="174"/>
    </row>
    <row r="131" spans="1:17" s="175" customFormat="1" ht="20.100000000000001" customHeight="1" x14ac:dyDescent="0.25">
      <c r="A131" s="200"/>
      <c r="B131" s="181"/>
      <c r="C131" s="182"/>
      <c r="D131" s="182"/>
      <c r="E131" s="184"/>
      <c r="F131" s="185"/>
      <c r="G131" s="186"/>
      <c r="H131" s="186"/>
      <c r="I131" s="187"/>
      <c r="J131" s="181"/>
      <c r="K131" s="188"/>
      <c r="L131" s="242"/>
      <c r="M131" s="243"/>
      <c r="P131" s="174"/>
      <c r="Q131" s="174"/>
    </row>
    <row r="132" spans="1:17" s="175" customFormat="1" ht="20.100000000000001" customHeight="1" x14ac:dyDescent="0.25">
      <c r="A132" s="200"/>
      <c r="B132" s="181"/>
      <c r="C132" s="182"/>
      <c r="D132" s="182"/>
      <c r="E132" s="184"/>
      <c r="F132" s="185"/>
      <c r="G132" s="186"/>
      <c r="H132" s="186"/>
      <c r="I132" s="187"/>
      <c r="J132" s="181"/>
      <c r="K132" s="188"/>
      <c r="L132" s="242"/>
      <c r="M132" s="243"/>
      <c r="P132" s="174"/>
      <c r="Q132" s="174"/>
    </row>
    <row r="133" spans="1:17" s="175" customFormat="1" ht="20.100000000000001" customHeight="1" x14ac:dyDescent="0.25">
      <c r="A133" s="200"/>
      <c r="B133" s="181"/>
      <c r="C133" s="182"/>
      <c r="D133" s="182"/>
      <c r="E133" s="184"/>
      <c r="F133" s="185"/>
      <c r="G133" s="186"/>
      <c r="H133" s="186"/>
      <c r="I133" s="187"/>
      <c r="J133" s="181"/>
      <c r="K133" s="188"/>
      <c r="L133" s="242"/>
      <c r="M133" s="243"/>
      <c r="P133" s="174"/>
      <c r="Q133" s="174"/>
    </row>
    <row r="134" spans="1:17" s="175" customFormat="1" ht="20.100000000000001" customHeight="1" x14ac:dyDescent="0.25">
      <c r="A134" s="200"/>
      <c r="B134" s="181"/>
      <c r="C134" s="182"/>
      <c r="D134" s="182"/>
      <c r="E134" s="184"/>
      <c r="F134" s="185"/>
      <c r="G134" s="186"/>
      <c r="H134" s="186"/>
      <c r="I134" s="187"/>
      <c r="J134" s="181"/>
      <c r="K134" s="188"/>
      <c r="L134" s="242"/>
      <c r="M134" s="243"/>
      <c r="P134" s="174"/>
      <c r="Q134" s="174"/>
    </row>
    <row r="135" spans="1:17" s="175" customFormat="1" ht="20.100000000000001" customHeight="1" x14ac:dyDescent="0.25">
      <c r="A135" s="200"/>
      <c r="B135" s="181"/>
      <c r="C135" s="182"/>
      <c r="D135" s="182"/>
      <c r="E135" s="184"/>
      <c r="F135" s="185"/>
      <c r="G135" s="186"/>
      <c r="H135" s="186"/>
      <c r="I135" s="187"/>
      <c r="J135" s="181"/>
      <c r="K135" s="188"/>
      <c r="L135" s="242"/>
      <c r="M135" s="243"/>
      <c r="P135" s="174"/>
      <c r="Q135" s="174"/>
    </row>
    <row r="136" spans="1:17" s="175" customFormat="1" ht="20.100000000000001" customHeight="1" x14ac:dyDescent="0.25">
      <c r="A136" s="200"/>
      <c r="B136" s="181"/>
      <c r="C136" s="182"/>
      <c r="D136" s="182"/>
      <c r="E136" s="184"/>
      <c r="F136" s="185"/>
      <c r="G136" s="186"/>
      <c r="H136" s="186"/>
      <c r="I136" s="187"/>
      <c r="J136" s="181"/>
      <c r="K136" s="188"/>
      <c r="L136" s="242"/>
      <c r="M136" s="243"/>
      <c r="P136" s="174"/>
      <c r="Q136" s="174"/>
    </row>
    <row r="137" spans="1:17" s="175" customFormat="1" ht="20.100000000000001" customHeight="1" x14ac:dyDescent="0.25">
      <c r="A137" s="200"/>
      <c r="B137" s="181"/>
      <c r="C137" s="182"/>
      <c r="D137" s="182"/>
      <c r="E137" s="184"/>
      <c r="F137" s="185"/>
      <c r="G137" s="186"/>
      <c r="H137" s="186"/>
      <c r="I137" s="187"/>
      <c r="J137" s="181"/>
      <c r="K137" s="188"/>
      <c r="L137" s="242"/>
      <c r="M137" s="243"/>
      <c r="P137" s="174"/>
      <c r="Q137" s="174"/>
    </row>
    <row r="138" spans="1:17" s="175" customFormat="1" ht="20.100000000000001" customHeight="1" x14ac:dyDescent="0.25">
      <c r="A138" s="200"/>
      <c r="B138" s="181"/>
      <c r="C138" s="182"/>
      <c r="D138" s="182"/>
      <c r="E138" s="184"/>
      <c r="F138" s="185"/>
      <c r="G138" s="186"/>
      <c r="H138" s="186"/>
      <c r="I138" s="187"/>
      <c r="J138" s="181"/>
      <c r="K138" s="188"/>
      <c r="L138" s="242"/>
      <c r="M138" s="243"/>
      <c r="P138" s="174"/>
      <c r="Q138" s="174"/>
    </row>
    <row r="139" spans="1:17" s="175" customFormat="1" ht="20.100000000000001" customHeight="1" x14ac:dyDescent="0.25">
      <c r="A139" s="200"/>
      <c r="B139" s="181"/>
      <c r="C139" s="182"/>
      <c r="D139" s="182"/>
      <c r="E139" s="184"/>
      <c r="F139" s="185"/>
      <c r="G139" s="186"/>
      <c r="H139" s="186"/>
      <c r="I139" s="187"/>
      <c r="J139" s="181"/>
      <c r="K139" s="188"/>
      <c r="L139" s="242"/>
      <c r="M139" s="243"/>
      <c r="P139" s="174"/>
      <c r="Q139" s="174"/>
    </row>
    <row r="140" spans="1:17" s="175" customFormat="1" ht="20.100000000000001" customHeight="1" x14ac:dyDescent="0.25">
      <c r="A140" s="200"/>
      <c r="B140" s="181"/>
      <c r="C140" s="182"/>
      <c r="D140" s="182"/>
      <c r="E140" s="184"/>
      <c r="F140" s="185"/>
      <c r="G140" s="186"/>
      <c r="H140" s="186"/>
      <c r="I140" s="187"/>
      <c r="J140" s="181"/>
      <c r="K140" s="188"/>
      <c r="L140" s="242"/>
      <c r="M140" s="243"/>
      <c r="P140" s="174"/>
      <c r="Q140" s="174"/>
    </row>
    <row r="141" spans="1:17" s="175" customFormat="1" ht="20.100000000000001" customHeight="1" x14ac:dyDescent="0.25">
      <c r="A141" s="200"/>
      <c r="B141" s="181"/>
      <c r="C141" s="182"/>
      <c r="D141" s="182"/>
      <c r="E141" s="184"/>
      <c r="F141" s="185"/>
      <c r="G141" s="186"/>
      <c r="H141" s="186"/>
      <c r="I141" s="187"/>
      <c r="J141" s="181"/>
      <c r="K141" s="188"/>
      <c r="L141" s="242"/>
      <c r="M141" s="243"/>
      <c r="P141" s="174"/>
      <c r="Q141" s="174"/>
    </row>
    <row r="142" spans="1:17" s="175" customFormat="1" ht="20.100000000000001" customHeight="1" x14ac:dyDescent="0.25">
      <c r="A142" s="200"/>
      <c r="B142" s="181"/>
      <c r="C142" s="182"/>
      <c r="D142" s="182"/>
      <c r="E142" s="184"/>
      <c r="F142" s="185"/>
      <c r="G142" s="186"/>
      <c r="H142" s="186"/>
      <c r="I142" s="187"/>
      <c r="J142" s="181"/>
      <c r="K142" s="188"/>
      <c r="L142" s="242"/>
      <c r="M142" s="243"/>
      <c r="P142" s="174"/>
      <c r="Q142" s="174"/>
    </row>
    <row r="143" spans="1:17" s="175" customFormat="1" ht="20.100000000000001" customHeight="1" x14ac:dyDescent="0.25">
      <c r="A143" s="200"/>
      <c r="B143" s="181"/>
      <c r="C143" s="182"/>
      <c r="D143" s="182"/>
      <c r="E143" s="184"/>
      <c r="F143" s="185"/>
      <c r="G143" s="186"/>
      <c r="H143" s="186"/>
      <c r="I143" s="187"/>
      <c r="J143" s="181"/>
      <c r="K143" s="188"/>
      <c r="L143" s="242"/>
      <c r="M143" s="243"/>
      <c r="P143" s="174"/>
      <c r="Q143" s="174"/>
    </row>
    <row r="144" spans="1:17" s="175" customFormat="1" ht="20.100000000000001" customHeight="1" x14ac:dyDescent="0.25">
      <c r="A144" s="200"/>
      <c r="B144" s="181"/>
      <c r="C144" s="182"/>
      <c r="D144" s="182"/>
      <c r="E144" s="184"/>
      <c r="F144" s="185"/>
      <c r="G144" s="186"/>
      <c r="H144" s="186"/>
      <c r="I144" s="187"/>
      <c r="J144" s="181"/>
      <c r="K144" s="188"/>
      <c r="L144" s="242"/>
      <c r="M144" s="243"/>
      <c r="P144" s="174"/>
      <c r="Q144" s="174"/>
    </row>
    <row r="145" spans="1:17" s="175" customFormat="1" ht="20.100000000000001" customHeight="1" x14ac:dyDescent="0.25">
      <c r="A145" s="200"/>
      <c r="B145" s="181"/>
      <c r="C145" s="182"/>
      <c r="D145" s="182"/>
      <c r="E145" s="184"/>
      <c r="F145" s="185"/>
      <c r="G145" s="186"/>
      <c r="H145" s="186"/>
      <c r="I145" s="187"/>
      <c r="J145" s="181"/>
      <c r="K145" s="188"/>
      <c r="L145" s="242"/>
      <c r="M145" s="243"/>
      <c r="P145" s="174"/>
      <c r="Q145" s="174"/>
    </row>
    <row r="146" spans="1:17" s="175" customFormat="1" ht="20.100000000000001" customHeight="1" x14ac:dyDescent="0.25">
      <c r="A146" s="200"/>
      <c r="B146" s="181"/>
      <c r="C146" s="182"/>
      <c r="D146" s="182"/>
      <c r="E146" s="184"/>
      <c r="F146" s="185"/>
      <c r="G146" s="186"/>
      <c r="H146" s="186"/>
      <c r="I146" s="187"/>
      <c r="J146" s="181"/>
      <c r="K146" s="188"/>
      <c r="L146" s="242"/>
      <c r="M146" s="243"/>
      <c r="P146" s="174"/>
      <c r="Q146" s="174"/>
    </row>
    <row r="147" spans="1:17" s="175" customFormat="1" ht="20.100000000000001" customHeight="1" x14ac:dyDescent="0.25">
      <c r="A147" s="200"/>
      <c r="B147" s="181"/>
      <c r="C147" s="182"/>
      <c r="D147" s="182"/>
      <c r="E147" s="184"/>
      <c r="F147" s="185"/>
      <c r="G147" s="186"/>
      <c r="H147" s="186"/>
      <c r="I147" s="187"/>
      <c r="J147" s="181"/>
      <c r="K147" s="188"/>
      <c r="L147" s="242"/>
      <c r="M147" s="243"/>
      <c r="P147" s="174"/>
      <c r="Q147" s="174"/>
    </row>
    <row r="148" spans="1:17" s="175" customFormat="1" ht="20.100000000000001" customHeight="1" x14ac:dyDescent="0.25">
      <c r="A148" s="200"/>
      <c r="B148" s="181"/>
      <c r="C148" s="182"/>
      <c r="D148" s="182"/>
      <c r="E148" s="184"/>
      <c r="F148" s="185"/>
      <c r="G148" s="186"/>
      <c r="H148" s="186"/>
      <c r="I148" s="187"/>
      <c r="J148" s="181"/>
      <c r="K148" s="188"/>
      <c r="L148" s="242"/>
      <c r="M148" s="243"/>
      <c r="P148" s="174"/>
      <c r="Q148" s="174"/>
    </row>
    <row r="149" spans="1:17" s="175" customFormat="1" ht="20.100000000000001" customHeight="1" x14ac:dyDescent="0.25">
      <c r="A149" s="200"/>
      <c r="B149" s="181"/>
      <c r="C149" s="182"/>
      <c r="D149" s="182"/>
      <c r="E149" s="184"/>
      <c r="F149" s="185"/>
      <c r="G149" s="186"/>
      <c r="H149" s="186"/>
      <c r="I149" s="187"/>
      <c r="J149" s="181"/>
      <c r="K149" s="188"/>
      <c r="L149" s="242"/>
      <c r="M149" s="243"/>
      <c r="P149" s="174"/>
      <c r="Q149" s="174"/>
    </row>
    <row r="150" spans="1:17" s="175" customFormat="1" ht="20.100000000000001" customHeight="1" x14ac:dyDescent="0.25">
      <c r="A150" s="200"/>
      <c r="B150" s="181"/>
      <c r="C150" s="182"/>
      <c r="D150" s="182"/>
      <c r="E150" s="184"/>
      <c r="F150" s="185"/>
      <c r="G150" s="186"/>
      <c r="H150" s="186"/>
      <c r="I150" s="187"/>
      <c r="J150" s="181"/>
      <c r="K150" s="188"/>
      <c r="L150" s="242"/>
      <c r="M150" s="243"/>
      <c r="P150" s="174"/>
      <c r="Q150" s="174"/>
    </row>
    <row r="151" spans="1:17" s="175" customFormat="1" ht="20.100000000000001" customHeight="1" x14ac:dyDescent="0.25">
      <c r="A151" s="200"/>
      <c r="B151" s="181"/>
      <c r="C151" s="182"/>
      <c r="D151" s="182"/>
      <c r="E151" s="184"/>
      <c r="F151" s="185"/>
      <c r="G151" s="186"/>
      <c r="H151" s="186"/>
      <c r="I151" s="187"/>
      <c r="J151" s="181"/>
      <c r="K151" s="188"/>
      <c r="L151" s="242"/>
      <c r="M151" s="243"/>
      <c r="P151" s="174"/>
      <c r="Q151" s="174"/>
    </row>
    <row r="152" spans="1:17" s="175" customFormat="1" ht="20.100000000000001" customHeight="1" x14ac:dyDescent="0.25">
      <c r="A152" s="200"/>
      <c r="B152" s="181"/>
      <c r="C152" s="182"/>
      <c r="D152" s="182"/>
      <c r="E152" s="184"/>
      <c r="F152" s="185"/>
      <c r="G152" s="186"/>
      <c r="H152" s="186"/>
      <c r="I152" s="187"/>
      <c r="J152" s="181"/>
      <c r="K152" s="188"/>
      <c r="L152" s="242"/>
      <c r="M152" s="243"/>
      <c r="P152" s="174"/>
      <c r="Q152" s="174"/>
    </row>
    <row r="153" spans="1:17" s="175" customFormat="1" ht="20.100000000000001" customHeight="1" x14ac:dyDescent="0.25">
      <c r="A153" s="200"/>
      <c r="B153" s="181"/>
      <c r="C153" s="182"/>
      <c r="D153" s="182"/>
      <c r="E153" s="184"/>
      <c r="F153" s="185"/>
      <c r="G153" s="186"/>
      <c r="H153" s="186"/>
      <c r="I153" s="187"/>
      <c r="J153" s="181"/>
      <c r="K153" s="188"/>
      <c r="L153" s="242"/>
      <c r="M153" s="243"/>
      <c r="P153" s="174"/>
      <c r="Q153" s="174"/>
    </row>
    <row r="154" spans="1:17" s="175" customFormat="1" ht="20.100000000000001" customHeight="1" x14ac:dyDescent="0.25">
      <c r="A154" s="200"/>
      <c r="B154" s="181"/>
      <c r="C154" s="182"/>
      <c r="D154" s="182"/>
      <c r="E154" s="184"/>
      <c r="F154" s="185"/>
      <c r="G154" s="186"/>
      <c r="H154" s="186"/>
      <c r="I154" s="187"/>
      <c r="J154" s="181"/>
      <c r="K154" s="188"/>
      <c r="L154" s="242"/>
      <c r="M154" s="243"/>
      <c r="P154" s="174"/>
      <c r="Q154" s="174"/>
    </row>
    <row r="155" spans="1:17" s="175" customFormat="1" ht="20.100000000000001" customHeight="1" x14ac:dyDescent="0.25">
      <c r="A155" s="200"/>
      <c r="B155" s="181"/>
      <c r="C155" s="182"/>
      <c r="D155" s="182"/>
      <c r="E155" s="184"/>
      <c r="F155" s="185"/>
      <c r="G155" s="186"/>
      <c r="H155" s="186"/>
      <c r="I155" s="187"/>
      <c r="J155" s="181"/>
      <c r="K155" s="188"/>
      <c r="L155" s="242"/>
      <c r="M155" s="243"/>
      <c r="P155" s="174"/>
      <c r="Q155" s="174"/>
    </row>
    <row r="156" spans="1:17" s="175" customFormat="1" ht="20.100000000000001" customHeight="1" x14ac:dyDescent="0.25">
      <c r="A156" s="200"/>
      <c r="B156" s="181"/>
      <c r="C156" s="182"/>
      <c r="D156" s="182"/>
      <c r="E156" s="184"/>
      <c r="F156" s="185"/>
      <c r="G156" s="186"/>
      <c r="H156" s="186"/>
      <c r="I156" s="187"/>
      <c r="J156" s="181"/>
      <c r="K156" s="188"/>
      <c r="L156" s="242"/>
      <c r="M156" s="243"/>
      <c r="P156" s="174"/>
      <c r="Q156" s="174"/>
    </row>
    <row r="157" spans="1:17" s="175" customFormat="1" ht="20.100000000000001" customHeight="1" x14ac:dyDescent="0.25">
      <c r="A157" s="200"/>
      <c r="B157" s="181"/>
      <c r="C157" s="182"/>
      <c r="D157" s="182"/>
      <c r="E157" s="184"/>
      <c r="F157" s="185"/>
      <c r="G157" s="186"/>
      <c r="H157" s="186"/>
      <c r="I157" s="187"/>
      <c r="J157" s="181"/>
      <c r="K157" s="188"/>
      <c r="L157" s="242"/>
      <c r="M157" s="243"/>
      <c r="P157" s="174"/>
      <c r="Q157" s="174"/>
    </row>
    <row r="158" spans="1:17" s="175" customFormat="1" ht="20.100000000000001" customHeight="1" x14ac:dyDescent="0.25">
      <c r="A158" s="200"/>
      <c r="B158" s="181"/>
      <c r="C158" s="182"/>
      <c r="D158" s="182"/>
      <c r="E158" s="184"/>
      <c r="F158" s="185"/>
      <c r="G158" s="186"/>
      <c r="H158" s="186"/>
      <c r="I158" s="187"/>
      <c r="J158" s="181"/>
      <c r="K158" s="188"/>
      <c r="L158" s="242"/>
      <c r="M158" s="243"/>
      <c r="P158" s="174"/>
      <c r="Q158" s="174"/>
    </row>
    <row r="159" spans="1:17" s="175" customFormat="1" ht="20.100000000000001" customHeight="1" x14ac:dyDescent="0.25">
      <c r="A159" s="200"/>
      <c r="B159" s="181"/>
      <c r="C159" s="182"/>
      <c r="D159" s="182"/>
      <c r="E159" s="184"/>
      <c r="F159" s="185"/>
      <c r="G159" s="186"/>
      <c r="H159" s="186"/>
      <c r="I159" s="187"/>
      <c r="J159" s="181"/>
      <c r="K159" s="188"/>
      <c r="L159" s="242"/>
      <c r="M159" s="243"/>
      <c r="P159" s="174"/>
      <c r="Q159" s="174"/>
    </row>
    <row r="160" spans="1:17" s="175" customFormat="1" ht="20.100000000000001" customHeight="1" x14ac:dyDescent="0.25">
      <c r="A160" s="200"/>
      <c r="B160" s="181"/>
      <c r="C160" s="182"/>
      <c r="D160" s="182"/>
      <c r="E160" s="184"/>
      <c r="F160" s="185"/>
      <c r="G160" s="186"/>
      <c r="H160" s="186"/>
      <c r="I160" s="187"/>
      <c r="J160" s="181"/>
      <c r="K160" s="188"/>
      <c r="L160" s="242"/>
      <c r="M160" s="243"/>
      <c r="P160" s="174"/>
      <c r="Q160" s="174"/>
    </row>
    <row r="161" spans="1:17" s="175" customFormat="1" ht="20.100000000000001" customHeight="1" x14ac:dyDescent="0.25">
      <c r="A161" s="200"/>
      <c r="B161" s="181"/>
      <c r="C161" s="182"/>
      <c r="D161" s="182"/>
      <c r="E161" s="184"/>
      <c r="F161" s="185"/>
      <c r="G161" s="186"/>
      <c r="H161" s="186"/>
      <c r="I161" s="187"/>
      <c r="J161" s="181"/>
      <c r="K161" s="188"/>
      <c r="L161" s="242"/>
      <c r="M161" s="243"/>
      <c r="P161" s="174"/>
      <c r="Q161" s="174"/>
    </row>
    <row r="162" spans="1:17" s="175" customFormat="1" ht="20.100000000000001" customHeight="1" x14ac:dyDescent="0.25">
      <c r="A162" s="200"/>
      <c r="B162" s="181"/>
      <c r="C162" s="182"/>
      <c r="D162" s="182"/>
      <c r="E162" s="184"/>
      <c r="F162" s="185"/>
      <c r="G162" s="186"/>
      <c r="H162" s="186"/>
      <c r="I162" s="187"/>
      <c r="J162" s="181"/>
      <c r="K162" s="188"/>
      <c r="L162" s="242"/>
      <c r="M162" s="243"/>
      <c r="P162" s="174"/>
      <c r="Q162" s="174"/>
    </row>
    <row r="163" spans="1:17" s="175" customFormat="1" ht="20.100000000000001" customHeight="1" x14ac:dyDescent="0.25">
      <c r="A163" s="200"/>
      <c r="B163" s="181"/>
      <c r="C163" s="182"/>
      <c r="D163" s="182"/>
      <c r="E163" s="184"/>
      <c r="F163" s="185"/>
      <c r="G163" s="186"/>
      <c r="H163" s="186"/>
      <c r="I163" s="187"/>
      <c r="J163" s="181"/>
      <c r="K163" s="188"/>
      <c r="L163" s="242"/>
      <c r="M163" s="243"/>
      <c r="P163" s="174"/>
      <c r="Q163" s="174"/>
    </row>
    <row r="164" spans="1:17" s="175" customFormat="1" ht="20.100000000000001" customHeight="1" x14ac:dyDescent="0.25">
      <c r="A164" s="200"/>
      <c r="B164" s="181"/>
      <c r="C164" s="182"/>
      <c r="D164" s="182"/>
      <c r="E164" s="184"/>
      <c r="F164" s="185"/>
      <c r="G164" s="186"/>
      <c r="H164" s="186"/>
      <c r="I164" s="187"/>
      <c r="J164" s="181"/>
      <c r="K164" s="188"/>
      <c r="L164" s="242"/>
      <c r="M164" s="243"/>
      <c r="P164" s="174"/>
      <c r="Q164" s="174"/>
    </row>
    <row r="165" spans="1:17" s="175" customFormat="1" ht="20.100000000000001" customHeight="1" x14ac:dyDescent="0.25">
      <c r="A165" s="200"/>
      <c r="B165" s="181"/>
      <c r="C165" s="182"/>
      <c r="D165" s="182"/>
      <c r="E165" s="184"/>
      <c r="F165" s="185"/>
      <c r="G165" s="186"/>
      <c r="H165" s="186"/>
      <c r="I165" s="187"/>
      <c r="J165" s="181"/>
      <c r="K165" s="188"/>
      <c r="L165" s="242"/>
      <c r="M165" s="243"/>
      <c r="P165" s="174"/>
      <c r="Q165" s="174"/>
    </row>
    <row r="166" spans="1:17" s="175" customFormat="1" ht="20.100000000000001" customHeight="1" x14ac:dyDescent="0.25">
      <c r="A166" s="200"/>
      <c r="B166" s="181"/>
      <c r="C166" s="182"/>
      <c r="D166" s="182"/>
      <c r="E166" s="184"/>
      <c r="F166" s="185"/>
      <c r="G166" s="186"/>
      <c r="H166" s="186"/>
      <c r="I166" s="187"/>
      <c r="J166" s="181"/>
      <c r="K166" s="188"/>
      <c r="L166" s="242"/>
      <c r="M166" s="243"/>
      <c r="P166" s="174"/>
      <c r="Q166" s="174"/>
    </row>
    <row r="167" spans="1:17" s="175" customFormat="1" ht="20.100000000000001" customHeight="1" x14ac:dyDescent="0.25">
      <c r="A167" s="200"/>
      <c r="B167" s="181"/>
      <c r="C167" s="182"/>
      <c r="D167" s="182"/>
      <c r="E167" s="184"/>
      <c r="F167" s="185"/>
      <c r="G167" s="186"/>
      <c r="H167" s="186"/>
      <c r="I167" s="187"/>
      <c r="J167" s="181"/>
      <c r="K167" s="188"/>
      <c r="L167" s="242"/>
      <c r="M167" s="243"/>
      <c r="P167" s="174"/>
      <c r="Q167" s="174"/>
    </row>
    <row r="168" spans="1:17" s="175" customFormat="1" ht="20.100000000000001" customHeight="1" x14ac:dyDescent="0.25">
      <c r="A168" s="200"/>
      <c r="B168" s="181"/>
      <c r="C168" s="182"/>
      <c r="D168" s="182"/>
      <c r="E168" s="184"/>
      <c r="F168" s="185"/>
      <c r="G168" s="186"/>
      <c r="H168" s="186"/>
      <c r="I168" s="187"/>
      <c r="J168" s="181"/>
      <c r="K168" s="188"/>
      <c r="L168" s="242"/>
      <c r="M168" s="243"/>
      <c r="P168" s="174"/>
      <c r="Q168" s="174"/>
    </row>
    <row r="169" spans="1:17" s="175" customFormat="1" ht="20.100000000000001" customHeight="1" x14ac:dyDescent="0.25">
      <c r="A169" s="200"/>
      <c r="B169" s="181"/>
      <c r="C169" s="182"/>
      <c r="D169" s="182"/>
      <c r="E169" s="184"/>
      <c r="F169" s="185"/>
      <c r="G169" s="186"/>
      <c r="H169" s="186"/>
      <c r="I169" s="187"/>
      <c r="J169" s="181"/>
      <c r="K169" s="188"/>
      <c r="L169" s="242"/>
      <c r="M169" s="243"/>
      <c r="P169" s="174"/>
      <c r="Q169" s="174"/>
    </row>
    <row r="170" spans="1:17" s="175" customFormat="1" ht="20.100000000000001" customHeight="1" x14ac:dyDescent="0.25">
      <c r="A170" s="200"/>
      <c r="B170" s="181"/>
      <c r="C170" s="182"/>
      <c r="D170" s="182"/>
      <c r="E170" s="184"/>
      <c r="F170" s="185"/>
      <c r="G170" s="186"/>
      <c r="H170" s="186"/>
      <c r="I170" s="187"/>
      <c r="J170" s="181"/>
      <c r="K170" s="188"/>
      <c r="L170" s="242"/>
      <c r="M170" s="243"/>
      <c r="P170" s="174"/>
      <c r="Q170" s="174"/>
    </row>
    <row r="171" spans="1:17" s="175" customFormat="1" ht="20.100000000000001" customHeight="1" x14ac:dyDescent="0.25">
      <c r="A171" s="200"/>
      <c r="B171" s="181"/>
      <c r="C171" s="182"/>
      <c r="D171" s="182"/>
      <c r="E171" s="184"/>
      <c r="F171" s="185"/>
      <c r="G171" s="186"/>
      <c r="H171" s="186"/>
      <c r="I171" s="187"/>
      <c r="J171" s="181"/>
      <c r="K171" s="188"/>
      <c r="L171" s="242"/>
      <c r="M171" s="243"/>
      <c r="P171" s="174"/>
      <c r="Q171" s="174"/>
    </row>
    <row r="172" spans="1:17" s="175" customFormat="1" ht="20.100000000000001" customHeight="1" x14ac:dyDescent="0.25">
      <c r="A172" s="200"/>
      <c r="B172" s="181"/>
      <c r="C172" s="182"/>
      <c r="D172" s="182"/>
      <c r="E172" s="184"/>
      <c r="F172" s="185"/>
      <c r="G172" s="186"/>
      <c r="H172" s="186"/>
      <c r="I172" s="187"/>
      <c r="J172" s="181"/>
      <c r="K172" s="188"/>
      <c r="L172" s="242"/>
      <c r="M172" s="243"/>
      <c r="P172" s="174"/>
      <c r="Q172" s="174"/>
    </row>
    <row r="173" spans="1:17" s="175" customFormat="1" ht="20.100000000000001" customHeight="1" x14ac:dyDescent="0.25">
      <c r="A173" s="200"/>
      <c r="B173" s="181"/>
      <c r="C173" s="182"/>
      <c r="D173" s="182"/>
      <c r="E173" s="184"/>
      <c r="F173" s="185"/>
      <c r="G173" s="186"/>
      <c r="H173" s="186"/>
      <c r="I173" s="187"/>
      <c r="J173" s="181"/>
      <c r="K173" s="188"/>
      <c r="L173" s="242"/>
      <c r="M173" s="243"/>
      <c r="P173" s="174"/>
      <c r="Q173" s="174"/>
    </row>
    <row r="174" spans="1:17" s="175" customFormat="1" ht="20.100000000000001" customHeight="1" x14ac:dyDescent="0.25">
      <c r="A174" s="200"/>
      <c r="B174" s="181"/>
      <c r="C174" s="182"/>
      <c r="D174" s="182"/>
      <c r="E174" s="184"/>
      <c r="F174" s="185"/>
      <c r="G174" s="186"/>
      <c r="H174" s="186"/>
      <c r="I174" s="187"/>
      <c r="J174" s="181"/>
      <c r="K174" s="188"/>
      <c r="L174" s="242"/>
      <c r="M174" s="243"/>
      <c r="P174" s="174"/>
      <c r="Q174" s="174"/>
    </row>
    <row r="175" spans="1:17" s="175" customFormat="1" ht="20.100000000000001" customHeight="1" x14ac:dyDescent="0.25">
      <c r="A175" s="200"/>
      <c r="B175" s="181"/>
      <c r="C175" s="182"/>
      <c r="D175" s="182"/>
      <c r="E175" s="184"/>
      <c r="F175" s="185"/>
      <c r="G175" s="186"/>
      <c r="H175" s="186"/>
      <c r="I175" s="187"/>
      <c r="J175" s="181"/>
      <c r="K175" s="188"/>
      <c r="L175" s="242"/>
      <c r="M175" s="243"/>
      <c r="P175" s="174"/>
      <c r="Q175" s="174"/>
    </row>
    <row r="176" spans="1:17" s="175" customFormat="1" ht="20.100000000000001" customHeight="1" x14ac:dyDescent="0.25">
      <c r="A176" s="200"/>
      <c r="B176" s="181"/>
      <c r="C176" s="182"/>
      <c r="D176" s="182"/>
      <c r="E176" s="184"/>
      <c r="F176" s="185"/>
      <c r="G176" s="186"/>
      <c r="H176" s="186"/>
      <c r="I176" s="187"/>
      <c r="J176" s="181"/>
      <c r="K176" s="188"/>
      <c r="L176" s="242"/>
      <c r="M176" s="243"/>
      <c r="P176" s="174"/>
      <c r="Q176" s="174"/>
    </row>
    <row r="177" spans="1:17" s="175" customFormat="1" ht="20.100000000000001" customHeight="1" x14ac:dyDescent="0.25">
      <c r="A177" s="200"/>
      <c r="B177" s="181"/>
      <c r="C177" s="182"/>
      <c r="D177" s="182"/>
      <c r="E177" s="184"/>
      <c r="F177" s="185"/>
      <c r="G177" s="186"/>
      <c r="H177" s="186"/>
      <c r="I177" s="187"/>
      <c r="J177" s="181"/>
      <c r="K177" s="188"/>
      <c r="L177" s="242"/>
      <c r="M177" s="243"/>
      <c r="P177" s="174"/>
      <c r="Q177" s="174"/>
    </row>
    <row r="178" spans="1:17" s="175" customFormat="1" ht="20.100000000000001" customHeight="1" x14ac:dyDescent="0.25">
      <c r="A178" s="200"/>
      <c r="B178" s="181"/>
      <c r="C178" s="182"/>
      <c r="D178" s="182"/>
      <c r="E178" s="184"/>
      <c r="F178" s="185"/>
      <c r="G178" s="186"/>
      <c r="H178" s="186"/>
      <c r="I178" s="187"/>
      <c r="J178" s="181"/>
      <c r="K178" s="188"/>
      <c r="L178" s="242"/>
      <c r="M178" s="243"/>
      <c r="P178" s="174"/>
      <c r="Q178" s="174"/>
    </row>
    <row r="179" spans="1:17" s="175" customFormat="1" ht="20.100000000000001" customHeight="1" x14ac:dyDescent="0.25">
      <c r="A179" s="200"/>
      <c r="B179" s="181"/>
      <c r="C179" s="182"/>
      <c r="D179" s="182"/>
      <c r="E179" s="184"/>
      <c r="F179" s="185"/>
      <c r="G179" s="186"/>
      <c r="H179" s="186"/>
      <c r="I179" s="187"/>
      <c r="J179" s="181"/>
      <c r="K179" s="188"/>
      <c r="L179" s="242"/>
      <c r="M179" s="243"/>
      <c r="P179" s="174"/>
      <c r="Q179" s="174"/>
    </row>
    <row r="180" spans="1:17" s="175" customFormat="1" ht="20.100000000000001" customHeight="1" x14ac:dyDescent="0.25">
      <c r="A180" s="200"/>
      <c r="B180" s="181"/>
      <c r="C180" s="182"/>
      <c r="D180" s="182"/>
      <c r="E180" s="184"/>
      <c r="F180" s="185"/>
      <c r="G180" s="186"/>
      <c r="H180" s="186"/>
      <c r="I180" s="187"/>
      <c r="J180" s="181"/>
      <c r="K180" s="188"/>
      <c r="L180" s="242"/>
      <c r="M180" s="243"/>
      <c r="P180" s="174"/>
      <c r="Q180" s="174"/>
    </row>
    <row r="181" spans="1:17" s="175" customFormat="1" ht="20.100000000000001" customHeight="1" x14ac:dyDescent="0.25">
      <c r="A181" s="200"/>
      <c r="B181" s="181"/>
      <c r="C181" s="182"/>
      <c r="D181" s="182"/>
      <c r="E181" s="184"/>
      <c r="F181" s="185"/>
      <c r="G181" s="186"/>
      <c r="H181" s="186"/>
      <c r="I181" s="187"/>
      <c r="J181" s="181"/>
      <c r="K181" s="188"/>
      <c r="L181" s="242"/>
      <c r="M181" s="243"/>
      <c r="P181" s="174"/>
      <c r="Q181" s="174"/>
    </row>
    <row r="182" spans="1:17" s="175" customFormat="1" ht="20.100000000000001" customHeight="1" x14ac:dyDescent="0.25">
      <c r="A182" s="200"/>
      <c r="B182" s="181"/>
      <c r="C182" s="182"/>
      <c r="D182" s="182"/>
      <c r="E182" s="184"/>
      <c r="F182" s="185"/>
      <c r="G182" s="186"/>
      <c r="H182" s="186"/>
      <c r="I182" s="187"/>
      <c r="J182" s="181"/>
      <c r="K182" s="188"/>
      <c r="L182" s="242"/>
      <c r="M182" s="243"/>
      <c r="P182" s="174"/>
      <c r="Q182" s="174"/>
    </row>
    <row r="183" spans="1:17" s="175" customFormat="1" ht="20.100000000000001" customHeight="1" x14ac:dyDescent="0.25">
      <c r="A183" s="200"/>
      <c r="B183" s="181"/>
      <c r="C183" s="182"/>
      <c r="D183" s="182"/>
      <c r="E183" s="184"/>
      <c r="F183" s="185"/>
      <c r="G183" s="186"/>
      <c r="H183" s="186"/>
      <c r="I183" s="187"/>
      <c r="J183" s="181"/>
      <c r="K183" s="188"/>
      <c r="L183" s="242"/>
      <c r="M183" s="243"/>
      <c r="P183" s="174"/>
      <c r="Q183" s="174"/>
    </row>
    <row r="184" spans="1:17" s="175" customFormat="1" ht="20.100000000000001" customHeight="1" x14ac:dyDescent="0.25">
      <c r="A184" s="200"/>
      <c r="B184" s="181"/>
      <c r="C184" s="182"/>
      <c r="D184" s="182"/>
      <c r="E184" s="184"/>
      <c r="F184" s="185"/>
      <c r="G184" s="186"/>
      <c r="H184" s="186"/>
      <c r="I184" s="187"/>
      <c r="J184" s="181"/>
      <c r="K184" s="188"/>
      <c r="L184" s="242"/>
      <c r="M184" s="243"/>
      <c r="P184" s="174"/>
      <c r="Q184" s="174"/>
    </row>
    <row r="185" spans="1:17" s="175" customFormat="1" ht="20.100000000000001" customHeight="1" x14ac:dyDescent="0.25">
      <c r="A185" s="200"/>
      <c r="B185" s="181"/>
      <c r="C185" s="182"/>
      <c r="D185" s="182"/>
      <c r="E185" s="184"/>
      <c r="F185" s="185"/>
      <c r="G185" s="186"/>
      <c r="H185" s="186"/>
      <c r="I185" s="187"/>
      <c r="J185" s="181"/>
      <c r="K185" s="188"/>
      <c r="L185" s="242"/>
      <c r="M185" s="243"/>
      <c r="P185" s="174"/>
      <c r="Q185" s="174"/>
    </row>
    <row r="186" spans="1:17" s="175" customFormat="1" ht="20.100000000000001" customHeight="1" x14ac:dyDescent="0.25">
      <c r="A186" s="200"/>
      <c r="B186" s="181"/>
      <c r="C186" s="182"/>
      <c r="D186" s="182"/>
      <c r="E186" s="184"/>
      <c r="F186" s="185"/>
      <c r="G186" s="186"/>
      <c r="H186" s="186"/>
      <c r="I186" s="187"/>
      <c r="J186" s="181"/>
      <c r="K186" s="188"/>
      <c r="L186" s="242"/>
      <c r="M186" s="243"/>
      <c r="P186" s="174"/>
      <c r="Q186" s="174"/>
    </row>
    <row r="187" spans="1:17" s="175" customFormat="1" ht="20.100000000000001" customHeight="1" x14ac:dyDescent="0.25">
      <c r="A187" s="200"/>
      <c r="B187" s="181"/>
      <c r="C187" s="182"/>
      <c r="D187" s="182"/>
      <c r="E187" s="184"/>
      <c r="F187" s="185"/>
      <c r="G187" s="186"/>
      <c r="H187" s="186"/>
      <c r="I187" s="187"/>
      <c r="J187" s="181"/>
      <c r="K187" s="188"/>
      <c r="L187" s="242"/>
      <c r="M187" s="243"/>
      <c r="P187" s="174"/>
      <c r="Q187" s="174"/>
    </row>
    <row r="188" spans="1:17" s="175" customFormat="1" ht="20.100000000000001" customHeight="1" x14ac:dyDescent="0.25">
      <c r="A188" s="200"/>
      <c r="B188" s="181"/>
      <c r="C188" s="182"/>
      <c r="D188" s="182"/>
      <c r="E188" s="184"/>
      <c r="F188" s="185"/>
      <c r="G188" s="186"/>
      <c r="H188" s="186"/>
      <c r="I188" s="187"/>
      <c r="J188" s="181"/>
      <c r="K188" s="188"/>
      <c r="L188" s="242"/>
      <c r="M188" s="243"/>
      <c r="P188" s="174"/>
      <c r="Q188" s="174"/>
    </row>
    <row r="189" spans="1:17" s="175" customFormat="1" ht="20.100000000000001" customHeight="1" x14ac:dyDescent="0.25">
      <c r="A189" s="200"/>
      <c r="B189" s="181"/>
      <c r="C189" s="182"/>
      <c r="D189" s="182"/>
      <c r="E189" s="184"/>
      <c r="F189" s="185"/>
      <c r="G189" s="186"/>
      <c r="H189" s="186"/>
      <c r="I189" s="187"/>
      <c r="J189" s="181"/>
      <c r="K189" s="188"/>
      <c r="L189" s="242"/>
      <c r="M189" s="243"/>
      <c r="P189" s="174"/>
      <c r="Q189" s="174"/>
    </row>
    <row r="190" spans="1:17" s="175" customFormat="1" ht="20.100000000000001" customHeight="1" x14ac:dyDescent="0.25">
      <c r="A190" s="200"/>
      <c r="B190" s="181"/>
      <c r="C190" s="182"/>
      <c r="D190" s="182"/>
      <c r="E190" s="184"/>
      <c r="F190" s="185"/>
      <c r="G190" s="186"/>
      <c r="H190" s="186"/>
      <c r="I190" s="187"/>
      <c r="J190" s="181"/>
      <c r="K190" s="188"/>
      <c r="L190" s="242"/>
      <c r="M190" s="243"/>
      <c r="P190" s="174"/>
      <c r="Q190" s="174"/>
    </row>
    <row r="191" spans="1:17" s="175" customFormat="1" ht="20.100000000000001" customHeight="1" x14ac:dyDescent="0.25">
      <c r="A191" s="200"/>
      <c r="B191" s="181"/>
      <c r="C191" s="182"/>
      <c r="D191" s="182"/>
      <c r="E191" s="184"/>
      <c r="F191" s="185"/>
      <c r="G191" s="186"/>
      <c r="H191" s="186"/>
      <c r="I191" s="187"/>
      <c r="J191" s="181"/>
      <c r="K191" s="188"/>
      <c r="L191" s="242"/>
      <c r="M191" s="243"/>
      <c r="P191" s="174"/>
      <c r="Q191" s="174"/>
    </row>
    <row r="192" spans="1:17" s="175" customFormat="1" ht="20.100000000000001" customHeight="1" x14ac:dyDescent="0.25">
      <c r="A192" s="200"/>
      <c r="B192" s="181"/>
      <c r="C192" s="182"/>
      <c r="D192" s="182"/>
      <c r="E192" s="184"/>
      <c r="F192" s="185"/>
      <c r="G192" s="186"/>
      <c r="H192" s="186"/>
      <c r="I192" s="187"/>
      <c r="J192" s="181"/>
      <c r="K192" s="188"/>
      <c r="L192" s="242"/>
      <c r="M192" s="243"/>
      <c r="P192" s="174"/>
      <c r="Q192" s="174"/>
    </row>
    <row r="193" spans="1:36" s="175" customFormat="1" ht="20.100000000000001" customHeight="1" x14ac:dyDescent="0.25">
      <c r="A193" s="200"/>
      <c r="B193" s="181"/>
      <c r="C193" s="182"/>
      <c r="D193" s="182"/>
      <c r="E193" s="184"/>
      <c r="F193" s="185"/>
      <c r="G193" s="186"/>
      <c r="H193" s="186"/>
      <c r="I193" s="187"/>
      <c r="J193" s="181"/>
      <c r="K193" s="188"/>
      <c r="L193" s="242"/>
      <c r="M193" s="243"/>
      <c r="P193" s="174"/>
      <c r="Q193" s="174"/>
    </row>
    <row r="194" spans="1:36" s="175" customFormat="1" ht="20.100000000000001" customHeight="1" x14ac:dyDescent="0.25">
      <c r="A194" s="200"/>
      <c r="B194" s="181"/>
      <c r="C194" s="182"/>
      <c r="D194" s="182"/>
      <c r="E194" s="184"/>
      <c r="F194" s="185"/>
      <c r="G194" s="186"/>
      <c r="H194" s="186"/>
      <c r="I194" s="187"/>
      <c r="J194" s="181"/>
      <c r="K194" s="188"/>
      <c r="L194" s="242"/>
      <c r="M194" s="243"/>
      <c r="P194" s="174"/>
      <c r="Q194" s="174"/>
    </row>
    <row r="195" spans="1:36" s="175" customFormat="1" ht="20.100000000000001" customHeight="1" x14ac:dyDescent="0.25">
      <c r="A195" s="200"/>
      <c r="B195" s="181"/>
      <c r="C195" s="182"/>
      <c r="D195" s="182"/>
      <c r="E195" s="184"/>
      <c r="F195" s="185"/>
      <c r="G195" s="186"/>
      <c r="H195" s="186"/>
      <c r="I195" s="187"/>
      <c r="J195" s="181"/>
      <c r="K195" s="188"/>
      <c r="L195" s="242"/>
      <c r="M195" s="243"/>
      <c r="P195" s="174"/>
      <c r="Q195" s="174"/>
    </row>
    <row r="196" spans="1:36" s="175" customFormat="1" ht="20.100000000000001" customHeight="1" x14ac:dyDescent="0.25">
      <c r="A196" s="200"/>
      <c r="B196" s="181"/>
      <c r="C196" s="182"/>
      <c r="D196" s="182"/>
      <c r="E196" s="184"/>
      <c r="F196" s="185"/>
      <c r="G196" s="186"/>
      <c r="H196" s="186"/>
      <c r="I196" s="187"/>
      <c r="J196" s="181"/>
      <c r="K196" s="188"/>
      <c r="L196" s="242"/>
      <c r="M196" s="243"/>
      <c r="P196" s="174"/>
      <c r="Q196" s="174"/>
    </row>
    <row r="197" spans="1:36" s="175" customFormat="1" ht="20.100000000000001" customHeight="1" x14ac:dyDescent="0.25">
      <c r="A197" s="200"/>
      <c r="B197" s="181"/>
      <c r="C197" s="182"/>
      <c r="D197" s="182"/>
      <c r="E197" s="184"/>
      <c r="F197" s="185"/>
      <c r="G197" s="186"/>
      <c r="H197" s="186"/>
      <c r="I197" s="187"/>
      <c r="J197" s="181"/>
      <c r="K197" s="188"/>
      <c r="L197" s="242"/>
      <c r="M197" s="243"/>
      <c r="P197" s="174"/>
      <c r="Q197" s="174"/>
    </row>
    <row r="198" spans="1:36" s="175" customFormat="1" ht="20.100000000000001" customHeight="1" x14ac:dyDescent="0.25">
      <c r="A198" s="200"/>
      <c r="B198" s="181"/>
      <c r="C198" s="182"/>
      <c r="D198" s="182"/>
      <c r="E198" s="184"/>
      <c r="F198" s="185"/>
      <c r="G198" s="186"/>
      <c r="H198" s="186"/>
      <c r="I198" s="187"/>
      <c r="J198" s="181"/>
      <c r="K198" s="188"/>
      <c r="L198" s="242"/>
      <c r="M198" s="243"/>
      <c r="P198" s="174"/>
      <c r="Q198" s="174"/>
    </row>
    <row r="199" spans="1:36" s="175" customFormat="1" ht="20.100000000000001" customHeight="1" x14ac:dyDescent="0.25">
      <c r="A199" s="200"/>
      <c r="B199" s="181"/>
      <c r="C199" s="182"/>
      <c r="D199" s="182"/>
      <c r="E199" s="184"/>
      <c r="F199" s="185"/>
      <c r="G199" s="186"/>
      <c r="H199" s="186"/>
      <c r="I199" s="187"/>
      <c r="J199" s="181"/>
      <c r="K199" s="188"/>
      <c r="L199" s="242"/>
      <c r="M199" s="243"/>
      <c r="P199" s="174"/>
      <c r="Q199" s="174"/>
    </row>
    <row r="200" spans="1:36" s="175" customFormat="1" ht="20.100000000000001" customHeight="1" x14ac:dyDescent="0.25">
      <c r="A200" s="200"/>
      <c r="B200" s="181"/>
      <c r="C200" s="182"/>
      <c r="D200" s="182"/>
      <c r="E200" s="184"/>
      <c r="F200" s="185"/>
      <c r="G200" s="186"/>
      <c r="H200" s="186"/>
      <c r="I200" s="187"/>
      <c r="J200" s="181"/>
      <c r="K200" s="188"/>
      <c r="L200" s="242"/>
      <c r="M200" s="243"/>
      <c r="P200" s="174"/>
      <c r="Q200" s="174"/>
    </row>
    <row r="201" spans="1:36" s="175" customFormat="1" ht="20.100000000000001" customHeight="1" x14ac:dyDescent="0.25">
      <c r="A201" s="200"/>
      <c r="B201" s="181"/>
      <c r="C201" s="182"/>
      <c r="D201" s="182"/>
      <c r="E201" s="184"/>
      <c r="F201" s="185"/>
      <c r="G201" s="186"/>
      <c r="H201" s="186"/>
      <c r="I201" s="187"/>
      <c r="J201" s="181"/>
      <c r="K201" s="188"/>
      <c r="L201" s="242"/>
      <c r="M201" s="243"/>
      <c r="P201" s="174"/>
      <c r="Q201" s="174"/>
    </row>
    <row r="202" spans="1:36" s="175" customFormat="1" ht="20.100000000000001" customHeight="1" x14ac:dyDescent="0.25">
      <c r="A202" s="200"/>
      <c r="B202" s="181"/>
      <c r="C202" s="182"/>
      <c r="D202" s="182"/>
      <c r="E202" s="184"/>
      <c r="F202" s="185"/>
      <c r="G202" s="186"/>
      <c r="H202" s="186"/>
      <c r="I202" s="187"/>
      <c r="J202" s="181"/>
      <c r="K202" s="188"/>
      <c r="L202" s="242"/>
      <c r="M202" s="243"/>
      <c r="P202" s="174"/>
      <c r="Q202" s="174"/>
    </row>
    <row r="203" spans="1:36" s="176" customFormat="1" ht="20.100000000000001" customHeight="1" x14ac:dyDescent="0.25">
      <c r="A203" s="200"/>
      <c r="B203" s="181"/>
      <c r="C203" s="182"/>
      <c r="D203" s="182"/>
      <c r="E203" s="184"/>
      <c r="F203" s="185"/>
      <c r="G203" s="186"/>
      <c r="H203" s="186"/>
      <c r="I203" s="187"/>
      <c r="J203" s="181"/>
      <c r="K203" s="188"/>
      <c r="L203" s="242"/>
      <c r="M203" s="243"/>
      <c r="N203" s="175"/>
      <c r="O203" s="175"/>
      <c r="P203" s="175"/>
      <c r="Q203" s="175"/>
    </row>
    <row r="204" spans="1:36" s="174" customFormat="1" ht="20.100000000000001" customHeight="1" x14ac:dyDescent="0.25">
      <c r="A204" s="200"/>
      <c r="B204" s="181"/>
      <c r="C204" s="182"/>
      <c r="D204" s="182"/>
      <c r="E204" s="184"/>
      <c r="F204" s="185"/>
      <c r="G204" s="186"/>
      <c r="H204" s="186"/>
      <c r="I204" s="187"/>
      <c r="J204" s="181"/>
      <c r="K204" s="188"/>
      <c r="L204" s="242"/>
      <c r="M204" s="243"/>
      <c r="N204" s="175"/>
      <c r="O204" s="175"/>
      <c r="P204" s="175"/>
      <c r="Q204" s="175"/>
    </row>
    <row r="205" spans="1:36" s="174" customFormat="1" ht="20.100000000000001" customHeight="1" x14ac:dyDescent="0.25">
      <c r="A205" s="200"/>
      <c r="B205" s="181"/>
      <c r="C205" s="182"/>
      <c r="D205" s="182"/>
      <c r="E205" s="184"/>
      <c r="F205" s="185"/>
      <c r="G205" s="186"/>
      <c r="H205" s="186"/>
      <c r="I205" s="187"/>
      <c r="J205" s="181"/>
      <c r="K205" s="188"/>
      <c r="L205" s="242"/>
      <c r="M205" s="243"/>
      <c r="N205" s="175"/>
      <c r="O205" s="175"/>
      <c r="P205" s="175"/>
      <c r="Q205" s="175"/>
      <c r="W205" s="176"/>
      <c r="X205" s="176"/>
      <c r="Y205" s="176"/>
      <c r="Z205" s="176"/>
      <c r="AA205" s="176"/>
      <c r="AB205" s="176"/>
      <c r="AC205" s="176"/>
      <c r="AD205" s="176"/>
      <c r="AE205" s="176"/>
      <c r="AF205" s="176"/>
      <c r="AG205" s="176"/>
      <c r="AH205" s="176"/>
      <c r="AI205" s="176"/>
      <c r="AJ205" s="176"/>
    </row>
    <row r="206" spans="1:36" s="176" customFormat="1" ht="20.100000000000001" customHeight="1" x14ac:dyDescent="0.25">
      <c r="A206" s="200"/>
      <c r="B206" s="181"/>
      <c r="C206" s="182"/>
      <c r="D206" s="182"/>
      <c r="E206" s="184"/>
      <c r="F206" s="185"/>
      <c r="G206" s="186"/>
      <c r="H206" s="186"/>
      <c r="I206" s="187"/>
      <c r="J206" s="181"/>
      <c r="K206" s="188"/>
      <c r="L206" s="242"/>
      <c r="M206" s="243"/>
      <c r="N206" s="175"/>
      <c r="O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75"/>
      <c r="AI206" s="175"/>
      <c r="AJ206" s="175"/>
    </row>
    <row r="207" spans="1:36" s="175" customFormat="1" ht="20.100000000000001" customHeight="1" x14ac:dyDescent="0.3">
      <c r="A207" s="200"/>
      <c r="B207" s="181"/>
      <c r="C207" s="182"/>
      <c r="D207" s="182"/>
      <c r="E207" s="184"/>
      <c r="F207" s="185"/>
      <c r="G207" s="186"/>
      <c r="H207" s="186"/>
      <c r="I207" s="187"/>
      <c r="J207" s="181"/>
      <c r="K207" s="188"/>
      <c r="L207" s="242"/>
      <c r="M207" s="243"/>
      <c r="O207" s="177"/>
      <c r="P207" s="177"/>
      <c r="Q207" s="177"/>
      <c r="W207" s="174"/>
      <c r="X207" s="174"/>
      <c r="Y207" s="174"/>
      <c r="Z207" s="174"/>
      <c r="AA207" s="174"/>
      <c r="AB207" s="174"/>
      <c r="AC207" s="174"/>
      <c r="AD207" s="174"/>
      <c r="AE207" s="174"/>
      <c r="AF207" s="174"/>
      <c r="AG207" s="174"/>
      <c r="AH207" s="174"/>
      <c r="AI207" s="174"/>
      <c r="AJ207" s="174"/>
    </row>
    <row r="208" spans="1:36" s="174" customFormat="1" ht="20.100000000000001" customHeight="1" x14ac:dyDescent="0.3">
      <c r="A208" s="200"/>
      <c r="B208" s="181"/>
      <c r="C208" s="182"/>
      <c r="D208" s="182"/>
      <c r="E208" s="184"/>
      <c r="F208" s="185"/>
      <c r="G208" s="186"/>
      <c r="H208" s="186"/>
      <c r="I208" s="187"/>
      <c r="J208" s="181"/>
      <c r="K208" s="188"/>
      <c r="L208" s="242"/>
      <c r="M208" s="243"/>
      <c r="N208" s="175"/>
      <c r="O208" s="177"/>
      <c r="P208" s="177"/>
      <c r="Q208" s="177"/>
      <c r="R208" s="175"/>
      <c r="S208" s="175"/>
      <c r="T208" s="175"/>
      <c r="U208" s="175"/>
      <c r="V208" s="175"/>
    </row>
    <row r="209" spans="1:36" s="174" customFormat="1" ht="20.100000000000001" customHeight="1" x14ac:dyDescent="0.3">
      <c r="A209" s="200"/>
      <c r="B209" s="181"/>
      <c r="C209" s="182"/>
      <c r="D209" s="182"/>
      <c r="E209" s="184"/>
      <c r="F209" s="185"/>
      <c r="G209" s="186"/>
      <c r="H209" s="186"/>
      <c r="I209" s="187"/>
      <c r="J209" s="181"/>
      <c r="K209" s="188"/>
      <c r="L209" s="242"/>
      <c r="M209" s="243"/>
      <c r="N209" s="175"/>
      <c r="O209" s="177"/>
      <c r="P209" s="177"/>
      <c r="Q209" s="178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75"/>
      <c r="AI209" s="175"/>
      <c r="AJ209" s="175"/>
    </row>
    <row r="210" spans="1:36" s="174" customFormat="1" ht="20.100000000000001" customHeight="1" x14ac:dyDescent="0.3">
      <c r="A210" s="200"/>
      <c r="B210" s="181"/>
      <c r="C210" s="182"/>
      <c r="D210" s="182"/>
      <c r="E210" s="184"/>
      <c r="F210" s="185"/>
      <c r="G210" s="186"/>
      <c r="H210" s="186"/>
      <c r="I210" s="187"/>
      <c r="J210" s="181"/>
      <c r="K210" s="188"/>
      <c r="L210" s="242"/>
      <c r="M210" s="243"/>
      <c r="N210" s="175"/>
      <c r="O210" s="177"/>
      <c r="P210" s="177"/>
      <c r="Q210" s="177"/>
      <c r="R210" s="176"/>
      <c r="S210" s="176"/>
      <c r="T210" s="176"/>
      <c r="U210" s="176"/>
      <c r="V210" s="176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75"/>
      <c r="AI210" s="175"/>
      <c r="AJ210" s="175"/>
    </row>
    <row r="211" spans="1:36" s="174" customFormat="1" ht="20.100000000000001" customHeight="1" x14ac:dyDescent="0.25">
      <c r="A211" s="200"/>
      <c r="B211" s="181"/>
      <c r="C211" s="182"/>
      <c r="D211" s="182"/>
      <c r="E211" s="184"/>
      <c r="F211" s="185"/>
      <c r="G211" s="186"/>
      <c r="H211" s="186"/>
      <c r="I211" s="187"/>
      <c r="J211" s="181"/>
      <c r="K211" s="188"/>
      <c r="L211" s="242"/>
      <c r="M211" s="243"/>
      <c r="N211" s="175"/>
      <c r="O211" s="175"/>
      <c r="P211" s="176"/>
      <c r="Q211" s="176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75"/>
      <c r="AI211" s="175"/>
      <c r="AJ211" s="175"/>
    </row>
    <row r="212" spans="1:36" s="174" customFormat="1" ht="20.100000000000001" customHeight="1" x14ac:dyDescent="0.25">
      <c r="A212" s="200"/>
      <c r="B212" s="181"/>
      <c r="C212" s="182"/>
      <c r="D212" s="182"/>
      <c r="E212" s="184"/>
      <c r="F212" s="185"/>
      <c r="G212" s="186"/>
      <c r="H212" s="186"/>
      <c r="I212" s="187"/>
      <c r="J212" s="181"/>
      <c r="K212" s="188"/>
      <c r="L212" s="242"/>
      <c r="M212" s="243"/>
      <c r="N212" s="175"/>
      <c r="O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75"/>
      <c r="AI212" s="175"/>
      <c r="AJ212" s="175"/>
    </row>
    <row r="213" spans="1:36" s="174" customFormat="1" ht="20.100000000000001" customHeight="1" x14ac:dyDescent="0.25">
      <c r="A213" s="200"/>
      <c r="B213" s="181"/>
      <c r="C213" s="201"/>
      <c r="D213" s="201"/>
      <c r="E213" s="184"/>
      <c r="F213" s="185"/>
      <c r="G213" s="186"/>
      <c r="H213" s="186"/>
      <c r="I213" s="187"/>
      <c r="J213" s="181"/>
      <c r="K213" s="188"/>
      <c r="L213" s="242"/>
      <c r="M213" s="243"/>
      <c r="N213" s="175"/>
      <c r="O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75"/>
      <c r="AI213" s="175"/>
      <c r="AJ213" s="175"/>
    </row>
    <row r="214" spans="1:36" s="174" customFormat="1" ht="20.100000000000001" customHeight="1" x14ac:dyDescent="0.3">
      <c r="A214" s="200"/>
      <c r="B214" s="181"/>
      <c r="C214" s="182"/>
      <c r="D214" s="182"/>
      <c r="E214" s="184"/>
      <c r="F214" s="185"/>
      <c r="G214" s="186"/>
      <c r="H214" s="186"/>
      <c r="I214" s="187"/>
      <c r="J214" s="181"/>
      <c r="K214" s="188"/>
      <c r="L214" s="242"/>
      <c r="M214" s="243"/>
      <c r="N214" s="175"/>
      <c r="O214" s="177"/>
      <c r="P214" s="177"/>
      <c r="Q214" s="177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75"/>
      <c r="AI214" s="175"/>
      <c r="AJ214" s="175"/>
    </row>
    <row r="215" spans="1:36" s="174" customFormat="1" ht="20.100000000000001" customHeight="1" x14ac:dyDescent="0.3">
      <c r="A215" s="200"/>
      <c r="B215" s="181"/>
      <c r="C215" s="182"/>
      <c r="D215" s="201"/>
      <c r="E215" s="184"/>
      <c r="F215" s="185"/>
      <c r="G215" s="186"/>
      <c r="H215" s="186"/>
      <c r="I215" s="187"/>
      <c r="J215" s="181"/>
      <c r="K215" s="188"/>
      <c r="L215" s="242"/>
      <c r="M215" s="243"/>
      <c r="N215" s="175"/>
      <c r="O215" s="244"/>
      <c r="P215" s="180"/>
      <c r="Q215" s="180"/>
    </row>
    <row r="216" spans="1:36" s="174" customFormat="1" ht="20.100000000000001" customHeight="1" x14ac:dyDescent="0.25">
      <c r="A216" s="200"/>
      <c r="B216" s="181"/>
      <c r="C216" s="182"/>
      <c r="D216" s="182"/>
      <c r="E216" s="184"/>
      <c r="F216" s="185"/>
      <c r="G216" s="186"/>
      <c r="H216" s="186"/>
      <c r="I216" s="187"/>
      <c r="J216" s="181"/>
      <c r="K216" s="188"/>
      <c r="L216" s="242"/>
      <c r="M216" s="243"/>
      <c r="N216" s="175"/>
      <c r="O216" s="175"/>
      <c r="P216" s="175"/>
      <c r="Q216" s="175"/>
    </row>
    <row r="217" spans="1:36" s="174" customFormat="1" ht="20.100000000000001" customHeight="1" x14ac:dyDescent="0.25">
      <c r="A217" s="200"/>
      <c r="B217" s="202"/>
      <c r="C217" s="182"/>
      <c r="D217" s="182"/>
      <c r="E217" s="184"/>
      <c r="F217" s="185"/>
      <c r="G217" s="186"/>
      <c r="H217" s="186"/>
      <c r="I217" s="187"/>
      <c r="J217" s="181"/>
      <c r="K217" s="188"/>
      <c r="L217" s="242"/>
      <c r="M217" s="243"/>
      <c r="N217" s="175"/>
      <c r="O217" s="175"/>
      <c r="P217" s="176"/>
      <c r="Q217" s="176"/>
      <c r="W217" s="176"/>
      <c r="X217" s="176"/>
      <c r="Y217" s="176"/>
      <c r="Z217" s="176"/>
      <c r="AA217" s="176"/>
      <c r="AB217" s="176"/>
      <c r="AC217" s="176"/>
      <c r="AD217" s="176"/>
      <c r="AE217" s="176"/>
      <c r="AF217" s="176"/>
      <c r="AG217" s="176"/>
      <c r="AH217" s="176"/>
      <c r="AI217" s="176"/>
      <c r="AJ217" s="176"/>
    </row>
    <row r="218" spans="1:36" s="174" customFormat="1" ht="20.100000000000001" customHeight="1" x14ac:dyDescent="0.25">
      <c r="A218" s="200"/>
      <c r="B218" s="181"/>
      <c r="C218" s="182"/>
      <c r="D218" s="182"/>
      <c r="E218" s="184"/>
      <c r="F218" s="185"/>
      <c r="G218" s="186"/>
      <c r="H218" s="186"/>
      <c r="I218" s="187"/>
      <c r="J218" s="181"/>
      <c r="K218" s="188"/>
      <c r="L218" s="242"/>
      <c r="M218" s="243"/>
      <c r="N218" s="175"/>
      <c r="O218" s="175"/>
      <c r="P218" s="175"/>
      <c r="Q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75"/>
      <c r="AI218" s="175"/>
      <c r="AJ218" s="175"/>
    </row>
    <row r="219" spans="1:36" s="174" customFormat="1" ht="20.100000000000001" customHeight="1" x14ac:dyDescent="0.3">
      <c r="A219" s="200"/>
      <c r="B219" s="181"/>
      <c r="C219" s="182"/>
      <c r="D219" s="182"/>
      <c r="E219" s="184"/>
      <c r="F219" s="185"/>
      <c r="G219" s="186"/>
      <c r="H219" s="186"/>
      <c r="I219" s="187"/>
      <c r="J219" s="181"/>
      <c r="K219" s="188"/>
      <c r="L219" s="242"/>
      <c r="M219" s="243"/>
      <c r="N219" s="175"/>
      <c r="O219" s="177"/>
      <c r="P219" s="177"/>
      <c r="Q219" s="177"/>
    </row>
    <row r="220" spans="1:36" s="174" customFormat="1" ht="20.100000000000001" customHeight="1" x14ac:dyDescent="0.25">
      <c r="A220" s="200"/>
      <c r="B220" s="181"/>
      <c r="C220" s="182"/>
      <c r="D220" s="182"/>
      <c r="E220" s="184"/>
      <c r="F220" s="185"/>
      <c r="G220" s="186"/>
      <c r="H220" s="186"/>
      <c r="I220" s="187"/>
      <c r="J220" s="181"/>
      <c r="K220" s="188"/>
      <c r="L220" s="242"/>
      <c r="M220" s="243"/>
      <c r="N220" s="175"/>
      <c r="O220" s="175"/>
      <c r="P220" s="175"/>
      <c r="Q220" s="175"/>
      <c r="R220" s="175"/>
      <c r="S220" s="175"/>
      <c r="T220" s="175"/>
      <c r="U220" s="175"/>
      <c r="V220" s="175"/>
    </row>
    <row r="221" spans="1:36" s="174" customFormat="1" ht="20.100000000000001" customHeight="1" x14ac:dyDescent="0.25">
      <c r="A221" s="200"/>
      <c r="B221" s="181"/>
      <c r="C221" s="182"/>
      <c r="D221" s="182"/>
      <c r="E221" s="184"/>
      <c r="F221" s="185"/>
      <c r="G221" s="186"/>
      <c r="H221" s="186"/>
      <c r="I221" s="187"/>
      <c r="J221" s="181"/>
      <c r="K221" s="188"/>
      <c r="L221" s="242"/>
      <c r="M221" s="243"/>
      <c r="N221" s="175"/>
      <c r="O221" s="175"/>
      <c r="P221" s="176"/>
      <c r="Q221" s="176"/>
    </row>
    <row r="222" spans="1:36" s="174" customFormat="1" ht="20.100000000000001" customHeight="1" x14ac:dyDescent="0.3">
      <c r="A222" s="200"/>
      <c r="B222" s="181"/>
      <c r="C222" s="182"/>
      <c r="D222" s="201"/>
      <c r="E222" s="194"/>
      <c r="F222" s="179"/>
      <c r="G222" s="179"/>
      <c r="H222" s="179"/>
      <c r="I222" s="179"/>
      <c r="J222" s="194"/>
      <c r="K222" s="203"/>
      <c r="L222" s="242"/>
      <c r="M222" s="183"/>
      <c r="N222" s="177"/>
      <c r="O222" s="175"/>
      <c r="R222" s="193"/>
      <c r="S222" s="193"/>
      <c r="T222" s="193"/>
      <c r="U222" s="193"/>
      <c r="V222" s="193"/>
    </row>
    <row r="223" spans="1:36" s="174" customFormat="1" ht="20.100000000000001" customHeight="1" x14ac:dyDescent="0.3">
      <c r="A223" s="200"/>
      <c r="B223" s="181"/>
      <c r="C223" s="182"/>
      <c r="D223" s="182"/>
      <c r="E223" s="194"/>
      <c r="F223" s="179"/>
      <c r="G223" s="179"/>
      <c r="H223" s="179"/>
      <c r="I223" s="179"/>
      <c r="J223" s="194"/>
      <c r="K223" s="195"/>
      <c r="L223" s="242"/>
      <c r="M223" s="183"/>
      <c r="N223" s="177"/>
      <c r="O223" s="175"/>
      <c r="P223" s="175"/>
      <c r="Q223" s="175"/>
      <c r="R223" s="177"/>
      <c r="S223" s="177"/>
      <c r="T223" s="177"/>
      <c r="U223" s="177"/>
      <c r="V223" s="177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75"/>
      <c r="AI223" s="175"/>
      <c r="AJ223" s="175"/>
    </row>
    <row r="224" spans="1:36" s="174" customFormat="1" ht="20.100000000000001" customHeight="1" x14ac:dyDescent="0.3">
      <c r="A224" s="200"/>
      <c r="B224" s="181"/>
      <c r="C224" s="182"/>
      <c r="D224" s="201"/>
      <c r="E224" s="194"/>
      <c r="F224" s="179"/>
      <c r="G224" s="179"/>
      <c r="H224" s="179"/>
      <c r="I224" s="179"/>
      <c r="J224" s="194"/>
      <c r="K224" s="195"/>
      <c r="L224" s="242"/>
      <c r="M224" s="183"/>
      <c r="N224" s="177"/>
      <c r="O224" s="175"/>
      <c r="R224" s="177"/>
      <c r="S224" s="177"/>
      <c r="T224" s="177"/>
      <c r="U224" s="177"/>
      <c r="V224" s="177"/>
    </row>
    <row r="225" spans="1:36" s="174" customFormat="1" ht="20.100000000000001" customHeight="1" x14ac:dyDescent="0.3">
      <c r="A225" s="200"/>
      <c r="B225" s="181"/>
      <c r="C225" s="182"/>
      <c r="D225" s="201"/>
      <c r="E225" s="194"/>
      <c r="F225" s="179"/>
      <c r="G225" s="179"/>
      <c r="H225" s="179"/>
      <c r="I225" s="179"/>
      <c r="J225" s="194"/>
      <c r="K225" s="195"/>
      <c r="L225" s="242"/>
      <c r="M225" s="183"/>
      <c r="N225" s="177"/>
      <c r="O225" s="175"/>
      <c r="R225" s="177"/>
      <c r="S225" s="177"/>
      <c r="T225" s="177"/>
      <c r="U225" s="177"/>
      <c r="V225" s="177"/>
    </row>
    <row r="226" spans="1:36" s="174" customFormat="1" ht="20.100000000000001" customHeight="1" x14ac:dyDescent="0.3">
      <c r="A226" s="200"/>
      <c r="B226" s="181"/>
      <c r="C226" s="182"/>
      <c r="D226" s="201"/>
      <c r="E226" s="194"/>
      <c r="F226" s="179"/>
      <c r="G226" s="179"/>
      <c r="H226" s="179"/>
      <c r="I226" s="179"/>
      <c r="J226" s="194"/>
      <c r="K226" s="195"/>
      <c r="L226" s="242"/>
      <c r="M226" s="183"/>
      <c r="N226" s="177"/>
      <c r="O226" s="175"/>
      <c r="R226" s="177"/>
      <c r="S226" s="177"/>
      <c r="T226" s="177"/>
      <c r="U226" s="177"/>
      <c r="V226" s="177"/>
    </row>
    <row r="227" spans="1:36" s="174" customFormat="1" ht="20.100000000000001" customHeight="1" x14ac:dyDescent="0.25">
      <c r="A227" s="204"/>
      <c r="B227" s="204"/>
      <c r="C227" s="204"/>
      <c r="D227" s="204"/>
      <c r="E227" s="204"/>
      <c r="F227" s="204"/>
      <c r="G227" s="204"/>
      <c r="H227" s="196"/>
      <c r="I227" s="204"/>
      <c r="J227" s="204"/>
      <c r="K227" s="205"/>
      <c r="L227" s="245"/>
      <c r="M227" s="246"/>
      <c r="N227" s="56"/>
      <c r="O227" s="56"/>
      <c r="P227"/>
      <c r="Q227"/>
      <c r="R227"/>
      <c r="S227"/>
      <c r="T227"/>
      <c r="U227"/>
      <c r="V227"/>
    </row>
    <row r="228" spans="1:36" s="174" customFormat="1" ht="20.100000000000001" customHeight="1" x14ac:dyDescent="0.25">
      <c r="A228" s="56"/>
      <c r="B228" s="56"/>
      <c r="C228" s="56"/>
      <c r="D228" s="56"/>
      <c r="E228" s="56"/>
      <c r="F228" s="56"/>
      <c r="G228" s="56"/>
      <c r="H228" s="56"/>
      <c r="I228" s="56"/>
      <c r="J228" s="56"/>
      <c r="K228" s="206"/>
      <c r="L228" s="245"/>
      <c r="M228" s="246"/>
      <c r="N228" s="56"/>
      <c r="O228" s="56"/>
      <c r="P228"/>
      <c r="Q228"/>
      <c r="R228"/>
      <c r="S228"/>
      <c r="T228"/>
      <c r="U228"/>
      <c r="V228"/>
    </row>
    <row r="229" spans="1:36" s="174" customFormat="1" ht="20.100000000000001" customHeight="1" x14ac:dyDescent="0.25">
      <c r="A229" s="56"/>
      <c r="B229" s="56"/>
      <c r="C229" s="56"/>
      <c r="D229" s="56"/>
      <c r="E229" s="56"/>
      <c r="F229" s="56"/>
      <c r="G229" s="56"/>
      <c r="H229" s="56"/>
      <c r="I229" s="56"/>
      <c r="J229" s="56"/>
      <c r="K229" s="56"/>
      <c r="L229" s="245"/>
      <c r="M229" s="246"/>
      <c r="N229" s="56"/>
      <c r="O229" s="56"/>
      <c r="P229"/>
      <c r="Q229"/>
      <c r="R229"/>
      <c r="S229"/>
      <c r="T229"/>
      <c r="U229"/>
      <c r="V229"/>
    </row>
    <row r="230" spans="1:36" s="174" customFormat="1" ht="20.100000000000001" customHeight="1" x14ac:dyDescent="0.25">
      <c r="A230" s="56"/>
      <c r="B230" s="56"/>
      <c r="C230" s="56"/>
      <c r="D230" s="56"/>
      <c r="E230" s="56"/>
      <c r="F230" s="56"/>
      <c r="G230" s="56"/>
      <c r="H230" s="56"/>
      <c r="I230" s="56"/>
      <c r="J230" s="56"/>
      <c r="K230" s="56"/>
      <c r="L230" s="245"/>
      <c r="M230" s="246"/>
      <c r="N230" s="56"/>
      <c r="O230" s="56"/>
      <c r="P230"/>
      <c r="Q230"/>
      <c r="R230"/>
      <c r="S230"/>
      <c r="T230"/>
      <c r="U230"/>
      <c r="V230"/>
    </row>
    <row r="231" spans="1:36" s="174" customFormat="1" ht="20.100000000000001" customHeight="1" x14ac:dyDescent="0.25">
      <c r="A231" s="56"/>
      <c r="B231" s="56"/>
      <c r="C231" s="56"/>
      <c r="D231" s="56"/>
      <c r="E231" s="56"/>
      <c r="F231" s="56"/>
      <c r="G231" s="56"/>
      <c r="H231" s="56"/>
      <c r="I231" s="56"/>
      <c r="J231" s="56"/>
      <c r="K231" s="56"/>
      <c r="L231" s="245"/>
      <c r="M231" s="246"/>
      <c r="N231" s="56"/>
      <c r="O231" s="56"/>
      <c r="P231"/>
      <c r="Q231"/>
      <c r="R231"/>
      <c r="S231"/>
      <c r="T231"/>
      <c r="U231"/>
      <c r="V231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75"/>
      <c r="AI231" s="175"/>
      <c r="AJ231" s="175"/>
    </row>
    <row r="232" spans="1:36" s="174" customFormat="1" ht="20.100000000000001" customHeight="1" x14ac:dyDescent="0.25">
      <c r="A232" s="56"/>
      <c r="B232" s="56"/>
      <c r="C232" s="56"/>
      <c r="D232" s="56"/>
      <c r="E232" s="56"/>
      <c r="F232" s="56"/>
      <c r="G232" s="56"/>
      <c r="H232" s="56"/>
      <c r="I232" s="56"/>
      <c r="J232" s="56"/>
      <c r="K232" s="56"/>
      <c r="L232" s="245"/>
      <c r="M232" s="246"/>
      <c r="N232" s="56"/>
      <c r="O232" s="56"/>
      <c r="P232"/>
      <c r="Q232"/>
      <c r="R232"/>
      <c r="S232"/>
      <c r="T232"/>
      <c r="U232"/>
      <c r="V232"/>
    </row>
    <row r="233" spans="1:36" s="174" customFormat="1" ht="20.100000000000001" customHeight="1" x14ac:dyDescent="0.25">
      <c r="A233" s="56"/>
      <c r="B233" s="56"/>
      <c r="C233" s="56"/>
      <c r="D233" s="56"/>
      <c r="E233" s="56"/>
      <c r="F233" s="56"/>
      <c r="G233" s="56"/>
      <c r="H233" s="56"/>
      <c r="I233" s="56"/>
      <c r="J233" s="56"/>
      <c r="K233" s="56"/>
      <c r="L233" s="245"/>
      <c r="M233" s="246"/>
      <c r="N233" s="56"/>
      <c r="O233" s="56"/>
      <c r="P233"/>
      <c r="Q233"/>
      <c r="R233"/>
      <c r="S233"/>
      <c r="T233"/>
      <c r="U233"/>
      <c r="V233"/>
    </row>
    <row r="234" spans="1:36" s="174" customFormat="1" ht="20.100000000000001" customHeight="1" x14ac:dyDescent="0.25">
      <c r="A234" s="56"/>
      <c r="B234" s="56"/>
      <c r="C234" s="56"/>
      <c r="D234" s="56"/>
      <c r="E234" s="56"/>
      <c r="F234" s="56"/>
      <c r="G234" s="56"/>
      <c r="H234" s="56"/>
      <c r="I234" s="56"/>
      <c r="J234" s="56"/>
      <c r="K234" s="56"/>
      <c r="L234" s="245"/>
      <c r="M234" s="246"/>
      <c r="N234" s="56"/>
      <c r="O234" s="56"/>
      <c r="P234"/>
      <c r="Q234"/>
      <c r="R234"/>
      <c r="S234"/>
      <c r="T234"/>
      <c r="U234"/>
      <c r="V234"/>
    </row>
    <row r="235" spans="1:36" s="174" customFormat="1" ht="20.100000000000001" customHeight="1" x14ac:dyDescent="0.25">
      <c r="A235" s="56"/>
      <c r="B235" s="56"/>
      <c r="C235" s="56"/>
      <c r="D235" s="56"/>
      <c r="E235" s="56"/>
      <c r="F235" s="56"/>
      <c r="G235" s="56"/>
      <c r="H235" s="56"/>
      <c r="I235" s="56"/>
      <c r="J235" s="56"/>
      <c r="K235" s="56"/>
      <c r="L235" s="245"/>
      <c r="M235" s="246"/>
      <c r="N235" s="56"/>
      <c r="O235" s="56"/>
      <c r="P235"/>
      <c r="Q235"/>
      <c r="R235"/>
      <c r="S235"/>
      <c r="T235"/>
      <c r="U235"/>
      <c r="V235"/>
    </row>
    <row r="236" spans="1:36" s="174" customFormat="1" ht="20.100000000000001" customHeight="1" x14ac:dyDescent="0.25">
      <c r="A236" s="56"/>
      <c r="B236" s="56"/>
      <c r="C236" s="56"/>
      <c r="D236" s="56"/>
      <c r="E236" s="56"/>
      <c r="F236" s="56"/>
      <c r="G236" s="56"/>
      <c r="H236" s="56"/>
      <c r="I236" s="56"/>
      <c r="J236" s="56"/>
      <c r="K236" s="56"/>
      <c r="L236" s="245"/>
      <c r="M236" s="246"/>
      <c r="N236" s="56"/>
      <c r="O236" s="56"/>
      <c r="P236"/>
      <c r="Q236"/>
      <c r="R236"/>
      <c r="S236"/>
      <c r="T236"/>
      <c r="U236"/>
      <c r="V236"/>
    </row>
    <row r="237" spans="1:36" s="174" customFormat="1" ht="20.100000000000001" customHeight="1" x14ac:dyDescent="0.25">
      <c r="A237" s="56"/>
      <c r="B237" s="56"/>
      <c r="C237" s="56"/>
      <c r="D237" s="56"/>
      <c r="E237" s="56"/>
      <c r="F237" s="56"/>
      <c r="G237" s="56"/>
      <c r="H237" s="56"/>
      <c r="I237" s="56"/>
      <c r="J237" s="56"/>
      <c r="K237" s="56"/>
      <c r="L237" s="245"/>
      <c r="M237" s="246"/>
      <c r="N237" s="56"/>
      <c r="O237" s="56"/>
      <c r="P237"/>
      <c r="Q237"/>
      <c r="R237"/>
      <c r="S237"/>
      <c r="T237"/>
      <c r="U237"/>
      <c r="V237"/>
    </row>
    <row r="238" spans="1:36" s="174" customFormat="1" ht="20.100000000000001" customHeight="1" x14ac:dyDescent="0.25">
      <c r="A238" s="56"/>
      <c r="B238" s="56"/>
      <c r="C238" s="56"/>
      <c r="D238" s="56"/>
      <c r="E238" s="56"/>
      <c r="F238" s="56"/>
      <c r="G238" s="56"/>
      <c r="H238" s="56"/>
      <c r="I238" s="56"/>
      <c r="J238" s="56"/>
      <c r="K238" s="56"/>
      <c r="L238" s="245"/>
      <c r="M238" s="246"/>
      <c r="N238" s="56"/>
      <c r="O238" s="56"/>
      <c r="P238"/>
      <c r="Q238"/>
      <c r="R238"/>
      <c r="S238"/>
      <c r="T238"/>
      <c r="U238"/>
      <c r="V238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75"/>
      <c r="AI238" s="175"/>
      <c r="AJ238" s="175"/>
    </row>
    <row r="239" spans="1:36" s="174" customFormat="1" ht="20.100000000000001" customHeight="1" x14ac:dyDescent="0.25">
      <c r="A239" s="56"/>
      <c r="B239" s="56"/>
      <c r="C239" s="56"/>
      <c r="D239" s="56"/>
      <c r="E239" s="56"/>
      <c r="F239" s="56"/>
      <c r="G239" s="56"/>
      <c r="H239" s="56"/>
      <c r="I239" s="56"/>
      <c r="J239" s="56"/>
      <c r="K239" s="56"/>
      <c r="L239" s="245"/>
      <c r="M239" s="246"/>
      <c r="N239" s="56"/>
      <c r="O239" s="56"/>
      <c r="P239"/>
      <c r="Q239"/>
      <c r="R239"/>
      <c r="S239"/>
      <c r="T239"/>
      <c r="U239"/>
      <c r="V239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75"/>
      <c r="AI239" s="175"/>
      <c r="AJ239" s="175"/>
    </row>
    <row r="240" spans="1:36" s="174" customFormat="1" ht="20.100000000000001" customHeight="1" x14ac:dyDescent="0.25">
      <c r="A240" s="56"/>
      <c r="B240" s="56"/>
      <c r="C240" s="56"/>
      <c r="D240" s="56"/>
      <c r="E240" s="56"/>
      <c r="F240" s="56"/>
      <c r="G240" s="56"/>
      <c r="H240" s="56"/>
      <c r="I240" s="56"/>
      <c r="J240" s="56"/>
      <c r="K240" s="56"/>
      <c r="L240" s="245"/>
      <c r="M240" s="246"/>
      <c r="N240" s="56"/>
      <c r="O240" s="56"/>
      <c r="P240"/>
      <c r="Q240"/>
      <c r="R240"/>
      <c r="S240"/>
      <c r="T240"/>
      <c r="U240"/>
      <c r="V240"/>
    </row>
    <row r="241" spans="1:36" s="180" customFormat="1" ht="20.100000000000001" customHeight="1" x14ac:dyDescent="0.3">
      <c r="A241" s="56"/>
      <c r="B241" s="56"/>
      <c r="C241" s="56"/>
      <c r="D241" s="56"/>
      <c r="E241" s="56"/>
      <c r="F241" s="56"/>
      <c r="G241" s="56"/>
      <c r="H241" s="56"/>
      <c r="I241" s="56"/>
      <c r="J241" s="56"/>
      <c r="K241" s="56"/>
      <c r="L241" s="245"/>
      <c r="M241" s="246"/>
      <c r="N241" s="56"/>
      <c r="O241" s="56"/>
      <c r="P241"/>
      <c r="Q241"/>
      <c r="R241"/>
      <c r="S241"/>
      <c r="T241"/>
      <c r="U241"/>
      <c r="V241"/>
      <c r="W241" s="193"/>
      <c r="X241" s="193"/>
      <c r="Y241" s="193"/>
      <c r="Z241" s="193"/>
      <c r="AA241" s="193"/>
      <c r="AB241" s="193"/>
      <c r="AC241" s="193"/>
      <c r="AD241" s="193"/>
      <c r="AE241" s="193"/>
      <c r="AF241" s="193"/>
      <c r="AG241" s="193"/>
      <c r="AH241" s="193"/>
      <c r="AI241" s="193"/>
      <c r="AJ241" s="193"/>
    </row>
    <row r="242" spans="1:36" s="177" customFormat="1" ht="20.100000000000001" customHeight="1" x14ac:dyDescent="0.3">
      <c r="A242" s="56"/>
      <c r="B242" s="56"/>
      <c r="C242" s="56"/>
      <c r="D242" s="56"/>
      <c r="E242" s="56"/>
      <c r="F242" s="56"/>
      <c r="G242" s="56"/>
      <c r="H242" s="56"/>
      <c r="I242" s="56"/>
      <c r="J242" s="56"/>
      <c r="K242" s="56"/>
      <c r="L242" s="245"/>
      <c r="M242" s="246"/>
      <c r="N242" s="56"/>
      <c r="O242" s="56"/>
      <c r="P242"/>
      <c r="Q242"/>
      <c r="R242"/>
      <c r="S242"/>
      <c r="T242"/>
      <c r="U242"/>
      <c r="V242"/>
    </row>
    <row r="243" spans="1:36" s="177" customFormat="1" ht="20.100000000000001" customHeight="1" x14ac:dyDescent="0.3">
      <c r="A243" s="56"/>
      <c r="B243" s="56"/>
      <c r="C243" s="56"/>
      <c r="D243" s="56"/>
      <c r="E243" s="56"/>
      <c r="F243" s="56"/>
      <c r="G243" s="56"/>
      <c r="H243" s="56"/>
      <c r="I243" s="56"/>
      <c r="J243" s="56"/>
      <c r="K243" s="56"/>
      <c r="L243" s="245"/>
      <c r="M243" s="246"/>
      <c r="N243" s="56"/>
      <c r="O243" s="56"/>
      <c r="P243"/>
      <c r="Q243"/>
      <c r="R243"/>
      <c r="S243"/>
      <c r="T243"/>
      <c r="U243"/>
      <c r="V243"/>
    </row>
    <row r="244" spans="1:36" s="177" customFormat="1" ht="20.100000000000001" customHeight="1" x14ac:dyDescent="0.3">
      <c r="A244" s="56"/>
      <c r="B244" s="56"/>
      <c r="C244" s="56"/>
      <c r="D244" s="56"/>
      <c r="E244" s="56"/>
      <c r="F244" s="56"/>
      <c r="G244" s="56"/>
      <c r="H244" s="56"/>
      <c r="I244" s="56"/>
      <c r="J244" s="56"/>
      <c r="K244" s="56"/>
      <c r="L244" s="245"/>
      <c r="M244" s="246"/>
      <c r="N244" s="56"/>
      <c r="O244" s="56"/>
      <c r="P244"/>
      <c r="Q244"/>
      <c r="R244"/>
      <c r="S244"/>
      <c r="T244"/>
      <c r="U244"/>
      <c r="V244"/>
    </row>
    <row r="245" spans="1:36" s="177" customFormat="1" ht="20.100000000000001" customHeight="1" x14ac:dyDescent="0.3">
      <c r="A245" s="56"/>
      <c r="B245" s="56"/>
      <c r="C245" s="56"/>
      <c r="D245" s="56"/>
      <c r="E245" s="56"/>
      <c r="F245" s="56"/>
      <c r="G245" s="56"/>
      <c r="H245" s="56"/>
      <c r="I245" s="56"/>
      <c r="J245" s="56"/>
      <c r="K245" s="56"/>
      <c r="L245" s="245"/>
      <c r="M245" s="246"/>
      <c r="N245" s="56"/>
      <c r="O245" s="56"/>
      <c r="P245"/>
      <c r="Q245"/>
      <c r="R245"/>
      <c r="S245"/>
      <c r="T245"/>
      <c r="U245"/>
      <c r="V245"/>
    </row>
    <row r="246" spans="1:36" s="177" customFormat="1" ht="20.100000000000001" customHeight="1" x14ac:dyDescent="0.3">
      <c r="A246" s="56"/>
      <c r="B246" s="56"/>
      <c r="C246" s="56"/>
      <c r="D246" s="56"/>
      <c r="E246" s="56"/>
      <c r="F246" s="56"/>
      <c r="G246" s="56"/>
      <c r="H246" s="56"/>
      <c r="I246" s="56"/>
      <c r="J246" s="56"/>
      <c r="K246" s="56"/>
      <c r="L246" s="245"/>
      <c r="M246" s="246"/>
      <c r="N246" s="56"/>
      <c r="O246" s="56"/>
      <c r="P246"/>
      <c r="Q246"/>
      <c r="R246"/>
      <c r="S246"/>
      <c r="T246"/>
      <c r="U246"/>
      <c r="V246"/>
    </row>
    <row r="247" spans="1:36" s="177" customFormat="1" ht="20.100000000000001" customHeight="1" x14ac:dyDescent="0.3">
      <c r="A247" s="56"/>
      <c r="B247" s="56"/>
      <c r="C247" s="56"/>
      <c r="D247" s="56"/>
      <c r="E247" s="56"/>
      <c r="F247" s="56"/>
      <c r="G247" s="56"/>
      <c r="H247" s="56"/>
      <c r="I247" s="56"/>
      <c r="J247" s="56"/>
      <c r="K247" s="56"/>
      <c r="L247" s="245"/>
      <c r="M247" s="246"/>
      <c r="N247" s="56"/>
      <c r="O247" s="56"/>
      <c r="P247"/>
      <c r="Q247"/>
      <c r="R247"/>
      <c r="S247"/>
      <c r="T247"/>
      <c r="U247"/>
      <c r="V247"/>
    </row>
    <row r="248" spans="1:36" s="177" customFormat="1" ht="20.100000000000001" customHeight="1" x14ac:dyDescent="0.3">
      <c r="J248" s="183"/>
      <c r="L248" s="247"/>
      <c r="M248" s="183"/>
    </row>
    <row r="249" spans="1:36" s="177" customFormat="1" ht="20.100000000000001" customHeight="1" x14ac:dyDescent="0.3">
      <c r="J249" s="183"/>
      <c r="L249" s="247"/>
      <c r="M249" s="183"/>
    </row>
    <row r="250" spans="1:36" s="177" customFormat="1" ht="20.100000000000001" customHeight="1" x14ac:dyDescent="0.3">
      <c r="J250" s="183"/>
      <c r="L250" s="247"/>
      <c r="M250" s="183"/>
    </row>
    <row r="251" spans="1:36" s="177" customFormat="1" ht="20.100000000000001" customHeight="1" x14ac:dyDescent="0.3">
      <c r="J251" s="183"/>
      <c r="L251" s="247"/>
      <c r="M251" s="183"/>
    </row>
  </sheetData>
  <sortState ref="A4:AJ31">
    <sortCondition ref="B4:B31"/>
  </sortState>
  <mergeCells count="1">
    <mergeCell ref="C1:E1"/>
  </mergeCells>
  <pageMargins left="0.7" right="0.7" top="0.75" bottom="0.75" header="0.3" footer="0.3"/>
  <pageSetup orientation="portrait" horizontalDpi="120" verticalDpi="7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A200"/>
  </sheetPr>
  <dimension ref="A1:O458"/>
  <sheetViews>
    <sheetView workbookViewId="0">
      <pane xSplit="2" ySplit="1" topLeftCell="K8" activePane="bottomRight" state="frozen"/>
      <selection pane="topRight" activeCell="C1" sqref="C1"/>
      <selection pane="bottomLeft" activeCell="A2" sqref="A2"/>
      <selection pane="bottomRight" activeCell="V2" sqref="V2"/>
    </sheetView>
  </sheetViews>
  <sheetFormatPr defaultColWidth="11.42578125" defaultRowHeight="14.25" x14ac:dyDescent="0.25"/>
  <cols>
    <col min="1" max="1" width="9.7109375" style="139" bestFit="1" customWidth="1"/>
    <col min="2" max="2" width="32.7109375" style="58" bestFit="1" customWidth="1"/>
    <col min="3" max="3" width="9.5703125" style="79" customWidth="1"/>
    <col min="4" max="4" width="7.5703125" style="58" customWidth="1"/>
    <col min="5" max="5" width="8.85546875" style="58" customWidth="1"/>
    <col min="6" max="6" width="10" style="58" customWidth="1"/>
    <col min="7" max="7" width="9.7109375" style="58" bestFit="1" customWidth="1"/>
    <col min="8" max="9" width="13.85546875" style="58" customWidth="1"/>
    <col min="10" max="10" width="20.140625" style="58" customWidth="1"/>
    <col min="11" max="11" width="12" style="80" bestFit="1" customWidth="1"/>
    <col min="12" max="12" width="12.5703125" style="79" bestFit="1" customWidth="1"/>
    <col min="13" max="13" width="15.140625" style="79" bestFit="1" customWidth="1"/>
    <col min="14" max="14" width="9.7109375" style="79" bestFit="1" customWidth="1"/>
    <col min="15" max="15" width="4.85546875" style="58" customWidth="1"/>
    <col min="16" max="16384" width="11.42578125" style="58"/>
  </cols>
  <sheetData>
    <row r="1" spans="1:15" s="148" customFormat="1" ht="36" x14ac:dyDescent="0.25">
      <c r="A1" s="146" t="s">
        <v>116</v>
      </c>
      <c r="B1" s="147" t="s">
        <v>117</v>
      </c>
      <c r="C1" s="147" t="s">
        <v>118</v>
      </c>
      <c r="D1" s="147" t="s">
        <v>119</v>
      </c>
      <c r="E1" s="147" t="s">
        <v>120</v>
      </c>
      <c r="F1" s="147" t="s">
        <v>121</v>
      </c>
      <c r="G1" s="147" t="s">
        <v>135</v>
      </c>
      <c r="H1" s="147" t="s">
        <v>122</v>
      </c>
      <c r="I1" s="231"/>
      <c r="K1" s="149" t="s">
        <v>116</v>
      </c>
      <c r="L1" s="150" t="s">
        <v>123</v>
      </c>
      <c r="M1" s="149" t="s">
        <v>124</v>
      </c>
      <c r="N1" s="149" t="s">
        <v>135</v>
      </c>
      <c r="O1" s="127"/>
    </row>
    <row r="2" spans="1:15" s="126" customFormat="1" ht="12.95" customHeight="1" x14ac:dyDescent="0.3">
      <c r="A2" s="229">
        <v>46113</v>
      </c>
      <c r="B2" s="226" t="s">
        <v>705</v>
      </c>
      <c r="C2" s="129">
        <v>2</v>
      </c>
      <c r="D2" s="137">
        <v>13.48</v>
      </c>
      <c r="E2" s="135">
        <v>13.51</v>
      </c>
      <c r="F2" s="133">
        <v>2</v>
      </c>
      <c r="G2" s="133">
        <v>1</v>
      </c>
      <c r="H2" s="133"/>
      <c r="I2" s="232"/>
      <c r="K2" s="138">
        <v>46113</v>
      </c>
      <c r="L2" s="128" t="s">
        <v>125</v>
      </c>
      <c r="M2" s="129">
        <v>15.01</v>
      </c>
      <c r="N2" s="129">
        <v>2</v>
      </c>
      <c r="O2" s="130"/>
    </row>
    <row r="3" spans="1:15" s="126" customFormat="1" ht="12.95" customHeight="1" x14ac:dyDescent="0.3">
      <c r="A3" s="229">
        <v>46113</v>
      </c>
      <c r="B3" s="226" t="s">
        <v>224</v>
      </c>
      <c r="C3" s="129"/>
      <c r="D3" s="137"/>
      <c r="E3" s="135"/>
      <c r="F3" s="135"/>
      <c r="G3" s="133"/>
      <c r="H3" s="135"/>
      <c r="I3" s="232"/>
      <c r="K3" s="138">
        <v>46114</v>
      </c>
      <c r="L3" s="128" t="s">
        <v>125</v>
      </c>
      <c r="M3" s="129">
        <v>15.02</v>
      </c>
      <c r="N3" s="129">
        <v>2</v>
      </c>
      <c r="O3" s="127"/>
    </row>
    <row r="4" spans="1:15" s="126" customFormat="1" ht="12.95" customHeight="1" x14ac:dyDescent="0.3">
      <c r="A4" s="229">
        <v>46113</v>
      </c>
      <c r="B4" s="226" t="s">
        <v>225</v>
      </c>
      <c r="C4" s="129"/>
      <c r="D4" s="137"/>
      <c r="E4" s="135"/>
      <c r="F4" s="133"/>
      <c r="G4" s="133"/>
      <c r="H4" s="133"/>
      <c r="I4" s="232"/>
      <c r="K4" s="138">
        <v>46116</v>
      </c>
      <c r="L4" s="128" t="s">
        <v>125</v>
      </c>
      <c r="M4" s="129">
        <v>14.55</v>
      </c>
      <c r="N4" s="129">
        <v>1</v>
      </c>
      <c r="O4" s="127"/>
    </row>
    <row r="5" spans="1:15" s="126" customFormat="1" ht="12.95" customHeight="1" x14ac:dyDescent="0.3">
      <c r="A5" s="229">
        <v>46113</v>
      </c>
      <c r="B5" s="226" t="s">
        <v>226</v>
      </c>
      <c r="C5" s="129"/>
      <c r="D5" s="145"/>
      <c r="E5" s="133"/>
      <c r="F5" s="133"/>
      <c r="G5" s="133"/>
      <c r="H5" s="135"/>
      <c r="I5" s="232"/>
      <c r="K5" s="138">
        <v>46118</v>
      </c>
      <c r="L5" s="128" t="s">
        <v>125</v>
      </c>
      <c r="M5" s="131">
        <v>16.03</v>
      </c>
      <c r="N5" s="131">
        <v>3</v>
      </c>
      <c r="O5" s="127"/>
    </row>
    <row r="6" spans="1:15" s="126" customFormat="1" ht="12.95" customHeight="1" x14ac:dyDescent="0.3">
      <c r="A6" s="229">
        <v>46113</v>
      </c>
      <c r="B6" s="226" t="s">
        <v>227</v>
      </c>
      <c r="C6" s="129"/>
      <c r="D6" s="135"/>
      <c r="E6" s="135"/>
      <c r="F6" s="135"/>
      <c r="G6" s="133"/>
      <c r="H6" s="135"/>
      <c r="I6" s="232"/>
      <c r="K6" s="138">
        <v>46119</v>
      </c>
      <c r="L6" s="128" t="s">
        <v>125</v>
      </c>
      <c r="M6" s="131">
        <v>15.41</v>
      </c>
      <c r="N6" s="131">
        <v>3</v>
      </c>
      <c r="O6" s="127"/>
    </row>
    <row r="7" spans="1:15" s="126" customFormat="1" ht="12.95" customHeight="1" x14ac:dyDescent="0.3">
      <c r="A7" s="229">
        <v>46113</v>
      </c>
      <c r="B7" s="226" t="s">
        <v>228</v>
      </c>
      <c r="C7" s="129"/>
      <c r="D7" s="135"/>
      <c r="E7" s="135"/>
      <c r="F7" s="135"/>
      <c r="G7" s="135"/>
      <c r="H7" s="133"/>
      <c r="I7" s="232"/>
      <c r="K7" s="138">
        <v>46120</v>
      </c>
      <c r="L7" s="128" t="s">
        <v>125</v>
      </c>
      <c r="M7" s="131">
        <v>15.31</v>
      </c>
      <c r="N7" s="131">
        <v>3</v>
      </c>
      <c r="O7" s="127"/>
    </row>
    <row r="8" spans="1:15" s="126" customFormat="1" ht="12.95" customHeight="1" x14ac:dyDescent="0.3">
      <c r="A8" s="229">
        <v>46113</v>
      </c>
      <c r="B8" s="226" t="s">
        <v>229</v>
      </c>
      <c r="C8" s="129"/>
      <c r="D8" s="135"/>
      <c r="E8" s="135"/>
      <c r="F8" s="135"/>
      <c r="G8" s="133"/>
      <c r="H8" s="133"/>
      <c r="I8" s="232"/>
      <c r="K8" s="138">
        <v>46121</v>
      </c>
      <c r="L8" s="128" t="s">
        <v>125</v>
      </c>
      <c r="M8" s="129">
        <v>15.5</v>
      </c>
      <c r="N8" s="131">
        <v>3</v>
      </c>
      <c r="O8" s="130"/>
    </row>
    <row r="9" spans="1:15" s="126" customFormat="1" ht="12.95" customHeight="1" x14ac:dyDescent="0.3">
      <c r="A9" s="229">
        <v>46113</v>
      </c>
      <c r="B9" s="226" t="s">
        <v>230</v>
      </c>
      <c r="C9" s="129"/>
      <c r="D9" s="135"/>
      <c r="E9" s="135"/>
      <c r="F9" s="135"/>
      <c r="G9" s="133"/>
      <c r="H9" s="133"/>
      <c r="I9" s="232"/>
      <c r="K9" s="138">
        <v>46122</v>
      </c>
      <c r="L9" s="128" t="s">
        <v>125</v>
      </c>
      <c r="M9" s="129">
        <v>15.31</v>
      </c>
      <c r="N9" s="131">
        <v>3</v>
      </c>
      <c r="O9" s="127"/>
    </row>
    <row r="10" spans="1:15" s="126" customFormat="1" ht="12.95" customHeight="1" x14ac:dyDescent="0.3">
      <c r="A10" s="229">
        <v>46113</v>
      </c>
      <c r="B10" s="226" t="s">
        <v>231</v>
      </c>
      <c r="C10" s="129"/>
      <c r="D10" s="135"/>
      <c r="E10" s="135"/>
      <c r="F10" s="135"/>
      <c r="G10" s="133"/>
      <c r="H10" s="133"/>
      <c r="I10" s="232"/>
      <c r="K10" s="138">
        <v>46123</v>
      </c>
      <c r="L10" s="128" t="s">
        <v>125</v>
      </c>
      <c r="M10" s="129">
        <v>14.57</v>
      </c>
      <c r="N10" s="129">
        <v>1</v>
      </c>
      <c r="O10" s="127"/>
    </row>
    <row r="11" spans="1:15" s="126" customFormat="1" ht="12.95" customHeight="1" x14ac:dyDescent="0.3">
      <c r="A11" s="229">
        <v>46113</v>
      </c>
      <c r="B11" s="226" t="s">
        <v>232</v>
      </c>
      <c r="C11" s="129"/>
      <c r="D11" s="135"/>
      <c r="E11" s="135"/>
      <c r="F11" s="135"/>
      <c r="G11" s="133"/>
      <c r="H11" s="133"/>
      <c r="I11" s="232"/>
      <c r="K11" s="138">
        <v>46125</v>
      </c>
      <c r="L11" s="128" t="s">
        <v>125</v>
      </c>
      <c r="M11" s="129">
        <v>15.22</v>
      </c>
      <c r="N11" s="129">
        <v>2</v>
      </c>
      <c r="O11" s="127"/>
    </row>
    <row r="12" spans="1:15" s="126" customFormat="1" ht="12.95" customHeight="1" x14ac:dyDescent="0.3">
      <c r="A12" s="229">
        <v>46113</v>
      </c>
      <c r="B12" s="226" t="s">
        <v>233</v>
      </c>
      <c r="C12" s="129"/>
      <c r="D12" s="135"/>
      <c r="E12" s="135"/>
      <c r="F12" s="135"/>
      <c r="G12" s="133"/>
      <c r="H12" s="133"/>
      <c r="I12" s="232"/>
      <c r="K12" s="138">
        <v>46126</v>
      </c>
      <c r="L12" s="128" t="s">
        <v>125</v>
      </c>
      <c r="M12" s="129">
        <v>15.49</v>
      </c>
      <c r="N12" s="131">
        <v>3</v>
      </c>
      <c r="O12" s="127"/>
    </row>
    <row r="13" spans="1:15" s="126" customFormat="1" ht="12.95" customHeight="1" x14ac:dyDescent="0.3">
      <c r="A13" s="229">
        <v>46113</v>
      </c>
      <c r="B13" s="226" t="s">
        <v>234</v>
      </c>
      <c r="C13" s="129"/>
      <c r="D13" s="135"/>
      <c r="E13" s="135"/>
      <c r="F13" s="135"/>
      <c r="G13" s="133"/>
      <c r="H13" s="133"/>
      <c r="I13" s="232"/>
      <c r="K13" s="138">
        <v>46127</v>
      </c>
      <c r="L13" s="128" t="s">
        <v>125</v>
      </c>
      <c r="M13" s="129">
        <v>15.45</v>
      </c>
      <c r="N13" s="131">
        <v>3</v>
      </c>
      <c r="O13" s="127"/>
    </row>
    <row r="14" spans="1:15" s="126" customFormat="1" ht="12.95" customHeight="1" x14ac:dyDescent="0.3">
      <c r="A14" s="229">
        <v>46113</v>
      </c>
      <c r="B14" s="226" t="s">
        <v>235</v>
      </c>
      <c r="C14" s="129"/>
      <c r="D14" s="135"/>
      <c r="E14" s="135"/>
      <c r="F14" s="135"/>
      <c r="G14" s="133"/>
      <c r="H14" s="133"/>
      <c r="I14" s="232"/>
      <c r="K14" s="138">
        <v>46128</v>
      </c>
      <c r="L14" s="128" t="s">
        <v>125</v>
      </c>
      <c r="M14" s="129">
        <v>16.03</v>
      </c>
      <c r="N14" s="131">
        <v>3</v>
      </c>
      <c r="O14" s="127"/>
    </row>
    <row r="15" spans="1:15" s="126" customFormat="1" ht="12.95" customHeight="1" x14ac:dyDescent="0.3">
      <c r="A15" s="229">
        <v>46113</v>
      </c>
      <c r="B15" s="226" t="s">
        <v>236</v>
      </c>
      <c r="C15" s="129"/>
      <c r="D15" s="135"/>
      <c r="E15" s="135"/>
      <c r="F15" s="135"/>
      <c r="G15" s="133"/>
      <c r="H15" s="133"/>
      <c r="I15" s="232"/>
      <c r="K15" s="138">
        <v>46129</v>
      </c>
      <c r="L15" s="128" t="s">
        <v>125</v>
      </c>
      <c r="M15" s="129">
        <v>15</v>
      </c>
      <c r="N15" s="129">
        <v>1</v>
      </c>
      <c r="O15" s="127"/>
    </row>
    <row r="16" spans="1:15" s="126" customFormat="1" ht="12.95" customHeight="1" x14ac:dyDescent="0.3">
      <c r="A16" s="229">
        <v>46113</v>
      </c>
      <c r="B16" s="226" t="s">
        <v>237</v>
      </c>
      <c r="C16" s="129"/>
      <c r="D16" s="135"/>
      <c r="E16" s="135"/>
      <c r="F16" s="135"/>
      <c r="G16" s="133"/>
      <c r="H16" s="133"/>
      <c r="I16" s="232"/>
      <c r="K16" s="138">
        <v>46130</v>
      </c>
      <c r="L16" s="128" t="s">
        <v>125</v>
      </c>
      <c r="M16" s="129">
        <v>14.54</v>
      </c>
      <c r="N16" s="129">
        <v>1</v>
      </c>
      <c r="O16" s="127"/>
    </row>
    <row r="17" spans="1:15" s="126" customFormat="1" ht="12.95" customHeight="1" x14ac:dyDescent="0.3">
      <c r="A17" s="229">
        <v>46113</v>
      </c>
      <c r="B17" s="226" t="s">
        <v>238</v>
      </c>
      <c r="C17" s="129"/>
      <c r="D17" s="135"/>
      <c r="E17" s="135"/>
      <c r="F17" s="135"/>
      <c r="G17" s="133"/>
      <c r="H17" s="133"/>
      <c r="I17" s="232"/>
      <c r="K17" s="138">
        <v>46132</v>
      </c>
      <c r="L17" s="128" t="s">
        <v>125</v>
      </c>
      <c r="M17" s="129">
        <v>15.15</v>
      </c>
      <c r="N17" s="129">
        <v>2</v>
      </c>
      <c r="O17" s="127"/>
    </row>
    <row r="18" spans="1:15" s="126" customFormat="1" ht="12.95" customHeight="1" x14ac:dyDescent="0.3">
      <c r="A18" s="229">
        <v>46113</v>
      </c>
      <c r="B18" s="226" t="s">
        <v>239</v>
      </c>
      <c r="C18" s="129"/>
      <c r="D18" s="135"/>
      <c r="E18" s="135"/>
      <c r="F18" s="135"/>
      <c r="G18" s="133"/>
      <c r="H18" s="133"/>
      <c r="I18" s="232"/>
      <c r="K18" s="138">
        <v>46133</v>
      </c>
      <c r="L18" s="128" t="s">
        <v>125</v>
      </c>
      <c r="M18" s="129">
        <v>15.08</v>
      </c>
      <c r="N18" s="129">
        <v>2</v>
      </c>
      <c r="O18" s="127"/>
    </row>
    <row r="19" spans="1:15" s="126" customFormat="1" ht="12.95" customHeight="1" x14ac:dyDescent="0.3">
      <c r="A19" s="229">
        <v>46113</v>
      </c>
      <c r="B19" s="226" t="s">
        <v>240</v>
      </c>
      <c r="C19" s="129"/>
      <c r="D19" s="135"/>
      <c r="E19" s="135"/>
      <c r="F19" s="135"/>
      <c r="G19" s="133"/>
      <c r="H19" s="133"/>
      <c r="I19" s="232"/>
      <c r="K19" s="138">
        <v>46134</v>
      </c>
      <c r="L19" s="128" t="s">
        <v>125</v>
      </c>
      <c r="M19" s="129">
        <v>15.09</v>
      </c>
      <c r="N19" s="129">
        <v>2</v>
      </c>
      <c r="O19" s="127"/>
    </row>
    <row r="20" spans="1:15" s="126" customFormat="1" ht="12.95" customHeight="1" x14ac:dyDescent="0.3">
      <c r="A20" s="229">
        <v>46113</v>
      </c>
      <c r="B20" s="226" t="s">
        <v>241</v>
      </c>
      <c r="C20" s="129"/>
      <c r="D20" s="135"/>
      <c r="E20" s="135"/>
      <c r="F20" s="135"/>
      <c r="G20" s="133"/>
      <c r="H20" s="133"/>
      <c r="I20" s="232"/>
      <c r="K20" s="138">
        <v>46135</v>
      </c>
      <c r="L20" s="128" t="s">
        <v>125</v>
      </c>
      <c r="M20" s="129">
        <v>14.38</v>
      </c>
      <c r="N20" s="129">
        <v>1</v>
      </c>
      <c r="O20" s="127"/>
    </row>
    <row r="21" spans="1:15" s="126" customFormat="1" ht="12.95" customHeight="1" x14ac:dyDescent="0.3">
      <c r="A21" s="229">
        <v>46113</v>
      </c>
      <c r="B21" s="226" t="s">
        <v>242</v>
      </c>
      <c r="C21" s="129"/>
      <c r="D21" s="135"/>
      <c r="E21" s="135"/>
      <c r="F21" s="135"/>
      <c r="G21" s="133"/>
      <c r="H21" s="133"/>
      <c r="I21" s="232"/>
      <c r="K21" s="138">
        <v>46136</v>
      </c>
      <c r="L21" s="128" t="s">
        <v>125</v>
      </c>
      <c r="M21" s="129">
        <v>14.55</v>
      </c>
      <c r="N21" s="129">
        <v>1</v>
      </c>
      <c r="O21" s="127"/>
    </row>
    <row r="22" spans="1:15" s="126" customFormat="1" ht="12.95" customHeight="1" x14ac:dyDescent="0.3">
      <c r="A22" s="229">
        <v>46113</v>
      </c>
      <c r="B22" s="226" t="s">
        <v>243</v>
      </c>
      <c r="C22" s="129"/>
      <c r="D22" s="135"/>
      <c r="E22" s="135"/>
      <c r="F22" s="135"/>
      <c r="G22" s="133"/>
      <c r="H22" s="133"/>
      <c r="I22" s="232"/>
      <c r="K22" s="138">
        <v>46137</v>
      </c>
      <c r="L22" s="128" t="s">
        <v>125</v>
      </c>
      <c r="M22" s="129">
        <v>14.46</v>
      </c>
      <c r="N22" s="129">
        <v>1</v>
      </c>
      <c r="O22" s="127"/>
    </row>
    <row r="23" spans="1:15" s="126" customFormat="1" ht="12.95" customHeight="1" x14ac:dyDescent="0.3">
      <c r="A23" s="229">
        <v>46113</v>
      </c>
      <c r="B23" s="226" t="s">
        <v>244</v>
      </c>
      <c r="C23" s="129"/>
      <c r="D23" s="135"/>
      <c r="E23" s="135"/>
      <c r="F23" s="135"/>
      <c r="G23" s="133"/>
      <c r="H23" s="133"/>
      <c r="I23" s="232"/>
      <c r="K23" s="138">
        <v>46139</v>
      </c>
      <c r="L23" s="128" t="s">
        <v>125</v>
      </c>
      <c r="M23" s="129">
        <v>14.55</v>
      </c>
      <c r="N23" s="129">
        <v>1</v>
      </c>
      <c r="O23" s="127"/>
    </row>
    <row r="24" spans="1:15" s="126" customFormat="1" ht="12.95" customHeight="1" x14ac:dyDescent="0.3">
      <c r="A24" s="229">
        <v>46113</v>
      </c>
      <c r="B24" s="226" t="s">
        <v>245</v>
      </c>
      <c r="C24" s="129"/>
      <c r="D24" s="135"/>
      <c r="E24" s="135"/>
      <c r="F24" s="135"/>
      <c r="G24" s="133"/>
      <c r="H24" s="133"/>
      <c r="I24" s="232"/>
      <c r="K24" s="138">
        <v>46140</v>
      </c>
      <c r="L24" s="128" t="s">
        <v>125</v>
      </c>
      <c r="M24" s="129">
        <v>14.56</v>
      </c>
      <c r="N24" s="129">
        <v>1</v>
      </c>
      <c r="O24" s="127"/>
    </row>
    <row r="25" spans="1:15" s="126" customFormat="1" ht="12.95" customHeight="1" x14ac:dyDescent="0.3">
      <c r="A25" s="229">
        <v>46113</v>
      </c>
      <c r="B25" s="226" t="s">
        <v>246</v>
      </c>
      <c r="C25" s="129"/>
      <c r="D25" s="135"/>
      <c r="E25" s="135"/>
      <c r="F25" s="135"/>
      <c r="G25" s="133"/>
      <c r="H25" s="133"/>
      <c r="I25" s="232"/>
      <c r="K25" s="138">
        <v>46141</v>
      </c>
      <c r="L25" s="128" t="s">
        <v>125</v>
      </c>
      <c r="M25" s="129">
        <v>14.5</v>
      </c>
      <c r="N25" s="129">
        <v>1</v>
      </c>
      <c r="O25" s="127"/>
    </row>
    <row r="26" spans="1:15" s="126" customFormat="1" ht="12.95" customHeight="1" x14ac:dyDescent="0.3">
      <c r="A26" s="229">
        <v>46113</v>
      </c>
      <c r="B26" s="226" t="s">
        <v>247</v>
      </c>
      <c r="C26" s="129"/>
      <c r="D26" s="135"/>
      <c r="E26" s="135"/>
      <c r="F26" s="135"/>
      <c r="G26" s="133"/>
      <c r="H26" s="133"/>
      <c r="I26" s="232"/>
      <c r="K26" s="138">
        <v>46142</v>
      </c>
      <c r="L26" s="128" t="s">
        <v>125</v>
      </c>
      <c r="M26" s="129">
        <v>15.01</v>
      </c>
      <c r="N26" s="129">
        <v>2</v>
      </c>
      <c r="O26" s="127"/>
    </row>
    <row r="27" spans="1:15" s="126" customFormat="1" ht="12.95" customHeight="1" x14ac:dyDescent="0.3">
      <c r="A27" s="229">
        <v>46113</v>
      </c>
      <c r="B27" s="226" t="s">
        <v>248</v>
      </c>
      <c r="C27" s="129"/>
      <c r="D27" s="135"/>
      <c r="E27" s="135"/>
      <c r="F27" s="135"/>
      <c r="G27" s="133"/>
      <c r="H27" s="133"/>
      <c r="I27" s="232"/>
      <c r="K27" s="138"/>
      <c r="L27" s="128"/>
      <c r="M27" s="395" t="s">
        <v>164</v>
      </c>
      <c r="N27" s="395">
        <f>AVERAGE(N2:N26)</f>
        <v>1.92</v>
      </c>
      <c r="O27" s="127"/>
    </row>
    <row r="28" spans="1:15" s="126" customFormat="1" ht="12.95" customHeight="1" x14ac:dyDescent="0.3">
      <c r="A28" s="229">
        <v>46113</v>
      </c>
      <c r="B28" s="226" t="s">
        <v>249</v>
      </c>
      <c r="C28" s="129"/>
      <c r="D28" s="135"/>
      <c r="E28" s="135"/>
      <c r="F28" s="135"/>
      <c r="G28" s="133"/>
      <c r="H28" s="133"/>
      <c r="I28" s="232"/>
      <c r="K28" s="138"/>
      <c r="L28" s="128"/>
      <c r="M28" s="129"/>
      <c r="N28" s="129"/>
      <c r="O28" s="127"/>
    </row>
    <row r="29" spans="1:15" s="126" customFormat="1" ht="12.95" customHeight="1" x14ac:dyDescent="0.3">
      <c r="A29" s="229">
        <v>46113</v>
      </c>
      <c r="B29" s="226" t="s">
        <v>250</v>
      </c>
      <c r="C29" s="129"/>
      <c r="D29" s="135"/>
      <c r="E29" s="135"/>
      <c r="F29" s="135"/>
      <c r="G29" s="133"/>
      <c r="H29" s="133"/>
      <c r="I29" s="232"/>
      <c r="K29" s="138"/>
      <c r="L29" s="128"/>
      <c r="M29" s="129"/>
      <c r="N29" s="129"/>
      <c r="O29" s="127"/>
    </row>
    <row r="30" spans="1:15" s="126" customFormat="1" ht="12.95" customHeight="1" x14ac:dyDescent="0.3">
      <c r="A30" s="229">
        <v>46113</v>
      </c>
      <c r="B30" s="226" t="s">
        <v>341</v>
      </c>
      <c r="C30" s="129"/>
      <c r="D30" s="135"/>
      <c r="E30" s="135"/>
      <c r="F30" s="135"/>
      <c r="G30" s="133"/>
      <c r="H30" s="133"/>
      <c r="I30" s="232"/>
      <c r="K30" s="138"/>
      <c r="L30" s="128"/>
      <c r="M30" s="129"/>
      <c r="N30" s="129"/>
      <c r="O30" s="127"/>
    </row>
    <row r="31" spans="1:15" s="126" customFormat="1" ht="12.95" customHeight="1" x14ac:dyDescent="0.3">
      <c r="A31" s="229">
        <v>46113</v>
      </c>
      <c r="B31" s="226" t="s">
        <v>251</v>
      </c>
      <c r="C31" s="129"/>
      <c r="D31" s="135"/>
      <c r="E31" s="135"/>
      <c r="F31" s="135"/>
      <c r="G31" s="133"/>
      <c r="H31" s="133"/>
      <c r="I31" s="232"/>
      <c r="K31" s="138"/>
      <c r="L31" s="128"/>
      <c r="M31" s="129"/>
      <c r="N31" s="129"/>
      <c r="O31" s="127"/>
    </row>
    <row r="32" spans="1:15" s="126" customFormat="1" ht="12.95" customHeight="1" x14ac:dyDescent="0.3">
      <c r="A32" s="229">
        <v>46113</v>
      </c>
      <c r="B32" s="226" t="s">
        <v>252</v>
      </c>
      <c r="C32" s="129"/>
      <c r="D32" s="135"/>
      <c r="E32" s="135"/>
      <c r="F32" s="135"/>
      <c r="G32" s="133"/>
      <c r="H32" s="133"/>
      <c r="I32" s="232"/>
      <c r="K32" s="138"/>
      <c r="L32" s="128"/>
      <c r="M32" s="129"/>
      <c r="N32" s="129"/>
      <c r="O32" s="127"/>
    </row>
    <row r="33" spans="1:15" s="126" customFormat="1" ht="12.95" customHeight="1" x14ac:dyDescent="0.3">
      <c r="A33" s="229">
        <v>46113</v>
      </c>
      <c r="B33" s="226" t="s">
        <v>253</v>
      </c>
      <c r="C33" s="129"/>
      <c r="D33" s="135"/>
      <c r="E33" s="135"/>
      <c r="F33" s="135"/>
      <c r="G33" s="133"/>
      <c r="H33" s="133"/>
      <c r="I33" s="232"/>
      <c r="K33" s="138"/>
      <c r="L33" s="128"/>
      <c r="M33" s="129"/>
      <c r="N33" s="129"/>
      <c r="O33" s="127"/>
    </row>
    <row r="34" spans="1:15" s="126" customFormat="1" ht="12.95" customHeight="1" x14ac:dyDescent="0.3">
      <c r="A34" s="229">
        <v>46113</v>
      </c>
      <c r="B34" s="226" t="s">
        <v>254</v>
      </c>
      <c r="C34" s="129"/>
      <c r="D34" s="135"/>
      <c r="E34" s="135"/>
      <c r="F34" s="135"/>
      <c r="G34" s="133"/>
      <c r="H34" s="133"/>
      <c r="I34" s="232"/>
      <c r="K34" s="138"/>
      <c r="L34" s="128"/>
      <c r="M34" s="129"/>
      <c r="N34" s="129"/>
      <c r="O34" s="127"/>
    </row>
    <row r="35" spans="1:15" s="126" customFormat="1" ht="12.95" customHeight="1" x14ac:dyDescent="0.3">
      <c r="A35" s="229">
        <v>46113</v>
      </c>
      <c r="B35" s="226" t="s">
        <v>255</v>
      </c>
      <c r="C35" s="129"/>
      <c r="D35" s="135"/>
      <c r="E35" s="135"/>
      <c r="F35" s="135"/>
      <c r="G35" s="133"/>
      <c r="H35" s="133"/>
      <c r="I35" s="232"/>
      <c r="K35" s="138"/>
      <c r="L35" s="128"/>
      <c r="M35" s="129"/>
      <c r="N35" s="129"/>
      <c r="O35" s="127"/>
    </row>
    <row r="36" spans="1:15" s="126" customFormat="1" ht="12.95" customHeight="1" x14ac:dyDescent="0.3">
      <c r="A36" s="229">
        <v>46113</v>
      </c>
      <c r="B36" s="226" t="s">
        <v>256</v>
      </c>
      <c r="C36" s="129"/>
      <c r="D36" s="135"/>
      <c r="E36" s="135"/>
      <c r="F36" s="135"/>
      <c r="G36" s="133"/>
      <c r="H36" s="133"/>
      <c r="I36" s="232"/>
      <c r="K36" s="138"/>
      <c r="L36" s="128"/>
      <c r="M36" s="129"/>
      <c r="N36" s="129"/>
      <c r="O36" s="127"/>
    </row>
    <row r="37" spans="1:15" s="126" customFormat="1" ht="12.95" customHeight="1" x14ac:dyDescent="0.3">
      <c r="A37" s="229">
        <v>46113</v>
      </c>
      <c r="B37" s="226" t="s">
        <v>257</v>
      </c>
      <c r="C37" s="129"/>
      <c r="D37" s="135"/>
      <c r="E37" s="135"/>
      <c r="F37" s="135"/>
      <c r="G37" s="133"/>
      <c r="H37" s="133"/>
      <c r="I37" s="232"/>
      <c r="K37" s="138"/>
      <c r="L37" s="128"/>
      <c r="M37" s="129"/>
      <c r="N37" s="129"/>
      <c r="O37" s="127"/>
    </row>
    <row r="38" spans="1:15" s="126" customFormat="1" ht="12.95" customHeight="1" x14ac:dyDescent="0.3">
      <c r="A38" s="229">
        <v>46113</v>
      </c>
      <c r="B38" s="226" t="s">
        <v>258</v>
      </c>
      <c r="C38" s="129"/>
      <c r="D38" s="135"/>
      <c r="E38" s="135"/>
      <c r="F38" s="135"/>
      <c r="G38" s="133"/>
      <c r="H38" s="133"/>
      <c r="I38" s="232"/>
      <c r="K38" s="138"/>
      <c r="L38" s="128"/>
      <c r="M38" s="129"/>
      <c r="N38" s="129"/>
      <c r="O38" s="127"/>
    </row>
    <row r="39" spans="1:15" s="126" customFormat="1" ht="12.95" customHeight="1" x14ac:dyDescent="0.3">
      <c r="A39" s="229">
        <v>46113</v>
      </c>
      <c r="B39" s="226" t="s">
        <v>259</v>
      </c>
      <c r="C39" s="129"/>
      <c r="D39" s="135"/>
      <c r="E39" s="135"/>
      <c r="F39" s="135"/>
      <c r="G39" s="133"/>
      <c r="H39" s="133"/>
      <c r="I39" s="232"/>
      <c r="K39" s="138"/>
      <c r="L39" s="128"/>
      <c r="M39" s="129"/>
      <c r="N39" s="129"/>
      <c r="O39" s="127"/>
    </row>
    <row r="40" spans="1:15" s="126" customFormat="1" ht="12.95" customHeight="1" x14ac:dyDescent="0.3">
      <c r="A40" s="229">
        <v>46113</v>
      </c>
      <c r="B40" s="226" t="s">
        <v>260</v>
      </c>
      <c r="C40" s="129"/>
      <c r="D40" s="135"/>
      <c r="E40" s="135"/>
      <c r="F40" s="135"/>
      <c r="G40" s="133"/>
      <c r="H40" s="133"/>
      <c r="I40" s="232"/>
      <c r="K40" s="138"/>
      <c r="L40" s="128"/>
      <c r="M40" s="129"/>
      <c r="N40" s="129"/>
      <c r="O40" s="127"/>
    </row>
    <row r="41" spans="1:15" s="126" customFormat="1" ht="12.95" customHeight="1" x14ac:dyDescent="0.3">
      <c r="A41" s="229">
        <v>46113</v>
      </c>
      <c r="B41" s="226" t="s">
        <v>261</v>
      </c>
      <c r="C41" s="129"/>
      <c r="D41" s="135"/>
      <c r="E41" s="135"/>
      <c r="F41" s="135"/>
      <c r="G41" s="133"/>
      <c r="H41" s="133"/>
      <c r="I41" s="232"/>
      <c r="K41" s="138"/>
      <c r="L41" s="128"/>
      <c r="M41" s="129"/>
      <c r="N41" s="129"/>
      <c r="O41" s="127"/>
    </row>
    <row r="42" spans="1:15" s="126" customFormat="1" ht="12.95" customHeight="1" x14ac:dyDescent="0.3">
      <c r="A42" s="229">
        <v>46113</v>
      </c>
      <c r="B42" s="226" t="s">
        <v>262</v>
      </c>
      <c r="C42" s="129"/>
      <c r="D42" s="135"/>
      <c r="E42" s="135"/>
      <c r="F42" s="135"/>
      <c r="G42" s="133"/>
      <c r="H42" s="133"/>
      <c r="I42" s="232"/>
      <c r="K42" s="138"/>
      <c r="L42" s="128"/>
      <c r="M42" s="129"/>
      <c r="N42" s="129"/>
      <c r="O42" s="127"/>
    </row>
    <row r="43" spans="1:15" s="126" customFormat="1" ht="12.95" customHeight="1" x14ac:dyDescent="0.3">
      <c r="A43" s="229">
        <v>46113</v>
      </c>
      <c r="B43" s="226" t="s">
        <v>263</v>
      </c>
      <c r="C43" s="129"/>
      <c r="D43" s="135"/>
      <c r="E43" s="135"/>
      <c r="F43" s="135"/>
      <c r="G43" s="133"/>
      <c r="H43" s="133"/>
      <c r="I43" s="232"/>
      <c r="K43" s="138"/>
      <c r="L43" s="128"/>
      <c r="M43" s="129"/>
      <c r="N43" s="129"/>
      <c r="O43" s="127"/>
    </row>
    <row r="44" spans="1:15" s="126" customFormat="1" ht="12.95" customHeight="1" x14ac:dyDescent="0.3">
      <c r="A44" s="229">
        <v>46113</v>
      </c>
      <c r="B44" s="226" t="s">
        <v>264</v>
      </c>
      <c r="C44" s="129"/>
      <c r="D44" s="135"/>
      <c r="E44" s="135"/>
      <c r="F44" s="135"/>
      <c r="G44" s="133"/>
      <c r="H44" s="133"/>
      <c r="I44" s="232"/>
      <c r="K44" s="138"/>
      <c r="L44" s="128"/>
      <c r="M44" s="129"/>
      <c r="N44" s="129"/>
      <c r="O44" s="127"/>
    </row>
    <row r="45" spans="1:15" s="126" customFormat="1" ht="12.95" customHeight="1" x14ac:dyDescent="0.3">
      <c r="A45" s="229">
        <v>46113</v>
      </c>
      <c r="B45" s="226" t="s">
        <v>265</v>
      </c>
      <c r="C45" s="129"/>
      <c r="D45" s="135"/>
      <c r="E45" s="135"/>
      <c r="F45" s="135"/>
      <c r="G45" s="133"/>
      <c r="H45" s="133"/>
      <c r="I45" s="232"/>
      <c r="K45" s="138"/>
      <c r="L45" s="128"/>
      <c r="M45" s="129"/>
      <c r="N45" s="129"/>
      <c r="O45" s="127"/>
    </row>
    <row r="46" spans="1:15" s="126" customFormat="1" ht="12.95" customHeight="1" x14ac:dyDescent="0.3">
      <c r="A46" s="229">
        <v>46113</v>
      </c>
      <c r="B46" s="226" t="s">
        <v>266</v>
      </c>
      <c r="C46" s="129"/>
      <c r="D46" s="135"/>
      <c r="E46" s="135"/>
      <c r="F46" s="135"/>
      <c r="G46" s="133"/>
      <c r="H46" s="133"/>
      <c r="I46" s="232"/>
      <c r="K46" s="138"/>
      <c r="L46" s="128"/>
      <c r="M46" s="129"/>
      <c r="N46" s="129"/>
      <c r="O46" s="127"/>
    </row>
    <row r="47" spans="1:15" s="126" customFormat="1" ht="12.95" customHeight="1" x14ac:dyDescent="0.3">
      <c r="A47" s="229">
        <v>46113</v>
      </c>
      <c r="B47" s="226" t="s">
        <v>267</v>
      </c>
      <c r="C47" s="129"/>
      <c r="D47" s="135"/>
      <c r="E47" s="135"/>
      <c r="F47" s="135"/>
      <c r="G47" s="133"/>
      <c r="H47" s="133"/>
      <c r="I47" s="232"/>
      <c r="L47" s="128"/>
      <c r="M47" s="129"/>
      <c r="N47" s="129"/>
      <c r="O47" s="127"/>
    </row>
    <row r="48" spans="1:15" s="126" customFormat="1" ht="12.95" customHeight="1" x14ac:dyDescent="0.3">
      <c r="A48" s="229">
        <v>46113</v>
      </c>
      <c r="B48" s="226" t="s">
        <v>268</v>
      </c>
      <c r="C48" s="129"/>
      <c r="D48" s="135"/>
      <c r="E48" s="135"/>
      <c r="F48" s="135"/>
      <c r="G48" s="133"/>
      <c r="H48" s="133"/>
      <c r="I48" s="232"/>
      <c r="K48" s="138"/>
      <c r="L48" s="128"/>
      <c r="M48" s="129"/>
      <c r="N48" s="129"/>
      <c r="O48" s="127"/>
    </row>
    <row r="49" spans="1:15" s="126" customFormat="1" ht="12.95" customHeight="1" x14ac:dyDescent="0.3">
      <c r="A49" s="229">
        <v>46113</v>
      </c>
      <c r="B49" s="226" t="s">
        <v>269</v>
      </c>
      <c r="C49" s="129"/>
      <c r="D49" s="135"/>
      <c r="E49" s="135"/>
      <c r="F49" s="135"/>
      <c r="G49" s="133"/>
      <c r="H49" s="133"/>
      <c r="I49" s="232"/>
      <c r="L49" s="128"/>
      <c r="M49" s="129"/>
      <c r="N49" s="129"/>
      <c r="O49" s="127"/>
    </row>
    <row r="50" spans="1:15" s="126" customFormat="1" ht="12.95" customHeight="1" x14ac:dyDescent="0.3">
      <c r="A50" s="229">
        <v>46113</v>
      </c>
      <c r="B50" s="226" t="s">
        <v>270</v>
      </c>
      <c r="C50" s="129"/>
      <c r="D50" s="135"/>
      <c r="E50" s="135"/>
      <c r="F50" s="135"/>
      <c r="G50" s="133"/>
      <c r="H50" s="133"/>
      <c r="I50" s="232"/>
      <c r="L50" s="128"/>
      <c r="M50" s="129"/>
      <c r="N50" s="129"/>
      <c r="O50" s="127"/>
    </row>
    <row r="51" spans="1:15" s="126" customFormat="1" ht="12.95" customHeight="1" x14ac:dyDescent="0.3">
      <c r="A51" s="229">
        <v>46113</v>
      </c>
      <c r="B51" s="226" t="s">
        <v>271</v>
      </c>
      <c r="C51" s="129"/>
      <c r="D51" s="135"/>
      <c r="E51" s="135"/>
      <c r="F51" s="135"/>
      <c r="G51" s="133"/>
      <c r="H51" s="133"/>
      <c r="I51" s="232"/>
      <c r="L51" s="128"/>
      <c r="M51" s="129"/>
      <c r="N51" s="129"/>
      <c r="O51" s="127"/>
    </row>
    <row r="52" spans="1:15" s="126" customFormat="1" ht="12.95" customHeight="1" x14ac:dyDescent="0.3">
      <c r="A52" s="229">
        <v>46113</v>
      </c>
      <c r="B52" s="226" t="s">
        <v>272</v>
      </c>
      <c r="C52" s="129"/>
      <c r="D52" s="135"/>
      <c r="E52" s="135"/>
      <c r="F52" s="135"/>
      <c r="G52" s="133"/>
      <c r="H52" s="133"/>
      <c r="I52" s="232"/>
      <c r="K52" s="138"/>
      <c r="L52" s="128"/>
      <c r="M52" s="129"/>
      <c r="N52" s="129"/>
      <c r="O52" s="127"/>
    </row>
    <row r="53" spans="1:15" s="126" customFormat="1" ht="12.95" customHeight="1" x14ac:dyDescent="0.3">
      <c r="A53" s="229">
        <v>46113</v>
      </c>
      <c r="B53" s="226" t="s">
        <v>273</v>
      </c>
      <c r="C53" s="129"/>
      <c r="D53" s="135"/>
      <c r="E53" s="135"/>
      <c r="F53" s="135"/>
      <c r="G53" s="133"/>
      <c r="H53" s="133"/>
      <c r="I53" s="232"/>
      <c r="L53" s="128"/>
      <c r="M53" s="129"/>
      <c r="N53" s="129"/>
      <c r="O53" s="127"/>
    </row>
    <row r="54" spans="1:15" s="126" customFormat="1" ht="12.95" customHeight="1" x14ac:dyDescent="0.3">
      <c r="A54" s="229">
        <v>46113</v>
      </c>
      <c r="B54" s="226" t="s">
        <v>274</v>
      </c>
      <c r="C54" s="129"/>
      <c r="D54" s="135"/>
      <c r="E54" s="135"/>
      <c r="F54" s="135"/>
      <c r="G54" s="133"/>
      <c r="H54" s="133"/>
      <c r="I54" s="232"/>
      <c r="K54" s="138"/>
      <c r="L54" s="128"/>
      <c r="M54" s="129"/>
      <c r="N54" s="129"/>
      <c r="O54" s="127"/>
    </row>
    <row r="55" spans="1:15" s="126" customFormat="1" ht="12.95" customHeight="1" x14ac:dyDescent="0.3">
      <c r="A55" s="229">
        <v>46113</v>
      </c>
      <c r="B55" s="226" t="s">
        <v>275</v>
      </c>
      <c r="C55" s="129"/>
      <c r="D55" s="135"/>
      <c r="E55" s="135"/>
      <c r="F55" s="135"/>
      <c r="G55" s="133"/>
      <c r="H55" s="133"/>
      <c r="I55" s="232"/>
      <c r="K55" s="138"/>
      <c r="L55" s="128"/>
      <c r="M55" s="129"/>
      <c r="N55" s="129"/>
      <c r="O55" s="127"/>
    </row>
    <row r="56" spans="1:15" s="126" customFormat="1" ht="12.95" customHeight="1" x14ac:dyDescent="0.3">
      <c r="A56" s="229">
        <v>46113</v>
      </c>
      <c r="B56" s="227" t="s">
        <v>276</v>
      </c>
      <c r="C56" s="129"/>
      <c r="D56" s="135"/>
      <c r="E56" s="135"/>
      <c r="F56" s="135"/>
      <c r="G56" s="133"/>
      <c r="H56" s="133"/>
      <c r="I56" s="232"/>
      <c r="K56" s="138"/>
      <c r="L56" s="128"/>
      <c r="M56" s="129"/>
      <c r="N56" s="129"/>
      <c r="O56" s="127"/>
    </row>
    <row r="57" spans="1:15" s="126" customFormat="1" ht="12.95" customHeight="1" x14ac:dyDescent="0.3">
      <c r="A57" s="229">
        <v>46113</v>
      </c>
      <c r="B57" s="226" t="s">
        <v>277</v>
      </c>
      <c r="C57" s="129"/>
      <c r="D57" s="135"/>
      <c r="E57" s="135"/>
      <c r="F57" s="135"/>
      <c r="G57" s="133"/>
      <c r="H57" s="133"/>
      <c r="I57" s="232"/>
      <c r="K57" s="138"/>
      <c r="L57" s="128"/>
      <c r="M57" s="129"/>
      <c r="N57" s="129"/>
      <c r="O57" s="127"/>
    </row>
    <row r="58" spans="1:15" s="126" customFormat="1" ht="12.95" customHeight="1" x14ac:dyDescent="0.3">
      <c r="A58" s="229">
        <v>46113</v>
      </c>
      <c r="B58" s="226" t="s">
        <v>278</v>
      </c>
      <c r="C58" s="129"/>
      <c r="D58" s="135"/>
      <c r="E58" s="135"/>
      <c r="F58" s="135"/>
      <c r="G58" s="133"/>
      <c r="H58" s="133"/>
      <c r="I58" s="232"/>
      <c r="K58" s="138"/>
      <c r="L58" s="128"/>
      <c r="M58" s="129"/>
      <c r="N58" s="129"/>
      <c r="O58" s="127"/>
    </row>
    <row r="59" spans="1:15" s="126" customFormat="1" ht="12.95" customHeight="1" x14ac:dyDescent="0.3">
      <c r="A59" s="229">
        <v>46113</v>
      </c>
      <c r="B59" s="226" t="s">
        <v>279</v>
      </c>
      <c r="C59" s="129"/>
      <c r="D59" s="135"/>
      <c r="E59" s="135"/>
      <c r="F59" s="135"/>
      <c r="G59" s="133"/>
      <c r="H59" s="133"/>
      <c r="I59" s="232"/>
      <c r="K59" s="138"/>
      <c r="L59" s="128"/>
      <c r="M59" s="129"/>
      <c r="N59" s="129"/>
      <c r="O59" s="127"/>
    </row>
    <row r="60" spans="1:15" s="126" customFormat="1" ht="12.95" customHeight="1" x14ac:dyDescent="0.3">
      <c r="A60" s="229">
        <v>46113</v>
      </c>
      <c r="B60" s="226" t="s">
        <v>280</v>
      </c>
      <c r="C60" s="129"/>
      <c r="D60" s="135"/>
      <c r="E60" s="135"/>
      <c r="F60" s="135"/>
      <c r="G60" s="133"/>
      <c r="H60" s="133"/>
      <c r="I60" s="232"/>
      <c r="K60" s="138"/>
      <c r="L60" s="128"/>
      <c r="M60" s="129"/>
      <c r="N60" s="129"/>
      <c r="O60" s="127"/>
    </row>
    <row r="61" spans="1:15" s="126" customFormat="1" ht="12.95" customHeight="1" x14ac:dyDescent="0.3">
      <c r="A61" s="229">
        <v>46113</v>
      </c>
      <c r="B61" s="226" t="s">
        <v>281</v>
      </c>
      <c r="C61" s="129"/>
      <c r="D61" s="135"/>
      <c r="E61" s="135"/>
      <c r="F61" s="135"/>
      <c r="G61" s="133"/>
      <c r="H61" s="133"/>
      <c r="I61" s="232"/>
      <c r="K61" s="138"/>
      <c r="L61" s="128"/>
      <c r="M61" s="129"/>
      <c r="N61" s="129"/>
      <c r="O61" s="127"/>
    </row>
    <row r="62" spans="1:15" s="126" customFormat="1" ht="12.95" customHeight="1" x14ac:dyDescent="0.3">
      <c r="A62" s="229">
        <v>46113</v>
      </c>
      <c r="B62" s="226" t="s">
        <v>282</v>
      </c>
      <c r="C62" s="129"/>
      <c r="D62" s="135"/>
      <c r="E62" s="135"/>
      <c r="F62" s="135"/>
      <c r="G62" s="133"/>
      <c r="H62" s="133"/>
      <c r="I62" s="232"/>
      <c r="K62" s="138"/>
      <c r="L62" s="128"/>
      <c r="M62" s="129"/>
      <c r="N62" s="129"/>
      <c r="O62" s="127"/>
    </row>
    <row r="63" spans="1:15" s="126" customFormat="1" ht="12.95" customHeight="1" x14ac:dyDescent="0.3">
      <c r="A63" s="229">
        <v>46113</v>
      </c>
      <c r="B63" s="226" t="s">
        <v>283</v>
      </c>
      <c r="C63" s="129"/>
      <c r="D63" s="135"/>
      <c r="E63" s="135"/>
      <c r="F63" s="135"/>
      <c r="G63" s="133"/>
      <c r="H63" s="133"/>
      <c r="I63" s="232"/>
      <c r="K63" s="138"/>
      <c r="L63" s="128"/>
      <c r="M63" s="129"/>
      <c r="N63" s="129"/>
      <c r="O63" s="127"/>
    </row>
    <row r="64" spans="1:15" s="126" customFormat="1" ht="12.95" customHeight="1" x14ac:dyDescent="0.3">
      <c r="A64" s="229">
        <v>46113</v>
      </c>
      <c r="B64" s="226" t="s">
        <v>284</v>
      </c>
      <c r="C64" s="129"/>
      <c r="D64" s="135"/>
      <c r="E64" s="135"/>
      <c r="F64" s="135"/>
      <c r="G64" s="133"/>
      <c r="H64" s="133"/>
      <c r="I64" s="232"/>
      <c r="K64" s="138"/>
      <c r="L64" s="128"/>
      <c r="M64" s="129"/>
      <c r="N64" s="129"/>
      <c r="O64" s="127"/>
    </row>
    <row r="65" spans="1:15" s="126" customFormat="1" ht="12.95" customHeight="1" x14ac:dyDescent="0.3">
      <c r="A65" s="229">
        <v>46113</v>
      </c>
      <c r="B65" s="226" t="s">
        <v>285</v>
      </c>
      <c r="C65" s="129"/>
      <c r="D65" s="135"/>
      <c r="E65" s="135"/>
      <c r="F65" s="135"/>
      <c r="G65" s="133"/>
      <c r="H65" s="133"/>
      <c r="I65" s="232"/>
      <c r="K65" s="138"/>
      <c r="L65" s="128"/>
      <c r="M65" s="129"/>
      <c r="N65" s="129"/>
      <c r="O65" s="127"/>
    </row>
    <row r="66" spans="1:15" s="126" customFormat="1" ht="12.95" customHeight="1" x14ac:dyDescent="0.3">
      <c r="A66" s="229">
        <v>46113</v>
      </c>
      <c r="B66" s="226" t="s">
        <v>286</v>
      </c>
      <c r="C66" s="129"/>
      <c r="D66" s="135"/>
      <c r="E66" s="135"/>
      <c r="F66" s="135"/>
      <c r="G66" s="133"/>
      <c r="H66" s="133"/>
      <c r="I66" s="232"/>
      <c r="K66" s="138"/>
      <c r="L66" s="128"/>
      <c r="M66" s="129"/>
      <c r="N66" s="129"/>
      <c r="O66" s="127"/>
    </row>
    <row r="67" spans="1:15" s="126" customFormat="1" ht="12.95" customHeight="1" x14ac:dyDescent="0.3">
      <c r="A67" s="229">
        <v>46113</v>
      </c>
      <c r="B67" s="226" t="s">
        <v>287</v>
      </c>
      <c r="C67" s="129"/>
      <c r="D67" s="135"/>
      <c r="E67" s="135"/>
      <c r="F67" s="135"/>
      <c r="G67" s="133"/>
      <c r="H67" s="133"/>
      <c r="I67" s="232"/>
      <c r="K67" s="138"/>
      <c r="L67" s="128"/>
      <c r="M67" s="129"/>
      <c r="N67" s="129"/>
      <c r="O67" s="127"/>
    </row>
    <row r="68" spans="1:15" s="126" customFormat="1" ht="12.95" customHeight="1" x14ac:dyDescent="0.3">
      <c r="A68" s="229">
        <v>46113</v>
      </c>
      <c r="B68" s="226" t="s">
        <v>288</v>
      </c>
      <c r="C68" s="129"/>
      <c r="D68" s="135"/>
      <c r="E68" s="135"/>
      <c r="F68" s="135"/>
      <c r="G68" s="133"/>
      <c r="H68" s="133"/>
      <c r="I68" s="232"/>
      <c r="K68" s="138"/>
      <c r="L68" s="128"/>
      <c r="M68" s="129"/>
      <c r="N68" s="129"/>
      <c r="O68" s="127"/>
    </row>
    <row r="69" spans="1:15" s="126" customFormat="1" ht="12.95" customHeight="1" x14ac:dyDescent="0.3">
      <c r="A69" s="229">
        <v>46113</v>
      </c>
      <c r="B69" s="226" t="s">
        <v>289</v>
      </c>
      <c r="C69" s="129"/>
      <c r="D69" s="135"/>
      <c r="E69" s="135"/>
      <c r="F69" s="135"/>
      <c r="G69" s="133"/>
      <c r="H69" s="133"/>
      <c r="I69" s="232"/>
      <c r="K69" s="138"/>
      <c r="L69" s="128"/>
      <c r="M69" s="129"/>
      <c r="N69" s="129"/>
      <c r="O69" s="127"/>
    </row>
    <row r="70" spans="1:15" s="126" customFormat="1" ht="12.95" customHeight="1" x14ac:dyDescent="0.3">
      <c r="A70" s="229">
        <v>46113</v>
      </c>
      <c r="B70" s="226" t="s">
        <v>290</v>
      </c>
      <c r="C70" s="129"/>
      <c r="D70" s="135"/>
      <c r="E70" s="135"/>
      <c r="F70" s="135"/>
      <c r="G70" s="133"/>
      <c r="H70" s="133"/>
      <c r="I70" s="232"/>
      <c r="K70" s="138"/>
      <c r="L70" s="128"/>
      <c r="M70" s="129"/>
      <c r="N70" s="129"/>
      <c r="O70" s="127"/>
    </row>
    <row r="71" spans="1:15" s="126" customFormat="1" ht="12.95" customHeight="1" x14ac:dyDescent="0.3">
      <c r="A71" s="229">
        <v>46113</v>
      </c>
      <c r="B71" s="226" t="s">
        <v>291</v>
      </c>
      <c r="C71" s="129"/>
      <c r="D71" s="135"/>
      <c r="E71" s="135"/>
      <c r="F71" s="135"/>
      <c r="G71" s="133"/>
      <c r="H71" s="133"/>
      <c r="I71" s="232"/>
      <c r="K71" s="138"/>
      <c r="L71" s="128"/>
      <c r="M71" s="129"/>
      <c r="N71" s="129"/>
      <c r="O71" s="127"/>
    </row>
    <row r="72" spans="1:15" s="126" customFormat="1" ht="12.95" customHeight="1" x14ac:dyDescent="0.3">
      <c r="A72" s="229">
        <v>46113</v>
      </c>
      <c r="B72" s="226" t="s">
        <v>292</v>
      </c>
      <c r="C72" s="129"/>
      <c r="D72" s="135"/>
      <c r="E72" s="135"/>
      <c r="F72" s="135"/>
      <c r="G72" s="133"/>
      <c r="H72" s="133"/>
      <c r="I72" s="232"/>
      <c r="K72" s="138"/>
      <c r="L72" s="128"/>
      <c r="M72" s="129"/>
      <c r="N72" s="129"/>
      <c r="O72" s="127"/>
    </row>
    <row r="73" spans="1:15" s="126" customFormat="1" ht="12.95" customHeight="1" x14ac:dyDescent="0.3">
      <c r="A73" s="229">
        <v>46113</v>
      </c>
      <c r="B73" s="226" t="s">
        <v>293</v>
      </c>
      <c r="C73" s="129"/>
      <c r="D73" s="135"/>
      <c r="E73" s="135"/>
      <c r="F73" s="135"/>
      <c r="G73" s="133"/>
      <c r="H73" s="133"/>
      <c r="I73" s="232"/>
      <c r="K73" s="138"/>
      <c r="L73" s="128"/>
      <c r="M73" s="129"/>
      <c r="N73" s="129"/>
      <c r="O73" s="127"/>
    </row>
    <row r="74" spans="1:15" s="126" customFormat="1" ht="12.95" customHeight="1" x14ac:dyDescent="0.3">
      <c r="A74" s="229">
        <v>46113</v>
      </c>
      <c r="B74" s="226" t="s">
        <v>294</v>
      </c>
      <c r="C74" s="129"/>
      <c r="D74" s="135"/>
      <c r="E74" s="135"/>
      <c r="F74" s="135"/>
      <c r="G74" s="133"/>
      <c r="H74" s="133"/>
      <c r="I74" s="232"/>
      <c r="K74" s="138"/>
      <c r="L74" s="128"/>
      <c r="M74" s="129"/>
      <c r="N74" s="129"/>
      <c r="O74" s="127"/>
    </row>
    <row r="75" spans="1:15" s="126" customFormat="1" ht="12.95" customHeight="1" x14ac:dyDescent="0.3">
      <c r="A75" s="229">
        <v>46113</v>
      </c>
      <c r="B75" s="226" t="s">
        <v>295</v>
      </c>
      <c r="C75" s="129"/>
      <c r="D75" s="135"/>
      <c r="E75" s="135"/>
      <c r="F75" s="135"/>
      <c r="G75" s="133"/>
      <c r="H75" s="133"/>
      <c r="I75" s="232"/>
      <c r="K75" s="138"/>
      <c r="L75" s="128"/>
      <c r="M75" s="129"/>
      <c r="N75" s="129"/>
      <c r="O75" s="127"/>
    </row>
    <row r="76" spans="1:15" s="126" customFormat="1" ht="12.95" customHeight="1" x14ac:dyDescent="0.3">
      <c r="A76" s="229">
        <v>46113</v>
      </c>
      <c r="B76" s="226" t="s">
        <v>296</v>
      </c>
      <c r="C76" s="129"/>
      <c r="D76" s="135"/>
      <c r="E76" s="135"/>
      <c r="F76" s="135"/>
      <c r="G76" s="133"/>
      <c r="H76" s="133"/>
      <c r="I76" s="232"/>
      <c r="K76" s="138"/>
      <c r="L76" s="128"/>
      <c r="M76" s="129"/>
      <c r="N76" s="129"/>
      <c r="O76" s="127"/>
    </row>
    <row r="77" spans="1:15" s="126" customFormat="1" ht="12.95" customHeight="1" x14ac:dyDescent="0.3">
      <c r="A77" s="229">
        <v>46113</v>
      </c>
      <c r="B77" s="226" t="s">
        <v>297</v>
      </c>
      <c r="C77" s="129"/>
      <c r="D77" s="135"/>
      <c r="E77" s="135"/>
      <c r="F77" s="135"/>
      <c r="G77" s="133"/>
      <c r="H77" s="133"/>
      <c r="I77" s="232"/>
      <c r="K77" s="138"/>
      <c r="L77" s="128"/>
      <c r="M77" s="129"/>
      <c r="N77" s="129"/>
      <c r="O77" s="127"/>
    </row>
    <row r="78" spans="1:15" s="126" customFormat="1" ht="12.95" customHeight="1" x14ac:dyDescent="0.3">
      <c r="A78" s="229">
        <v>46113</v>
      </c>
      <c r="B78" s="226" t="s">
        <v>298</v>
      </c>
      <c r="C78" s="129"/>
      <c r="D78" s="135"/>
      <c r="E78" s="135"/>
      <c r="F78" s="135"/>
      <c r="G78" s="133"/>
      <c r="H78" s="133"/>
      <c r="I78" s="232"/>
      <c r="K78" s="138"/>
      <c r="L78" s="128"/>
      <c r="M78" s="129"/>
      <c r="N78" s="129"/>
      <c r="O78" s="127"/>
    </row>
    <row r="79" spans="1:15" s="126" customFormat="1" ht="12.95" customHeight="1" x14ac:dyDescent="0.3">
      <c r="A79" s="229">
        <v>46113</v>
      </c>
      <c r="B79" s="226" t="s">
        <v>299</v>
      </c>
      <c r="C79" s="129"/>
      <c r="D79" s="135"/>
      <c r="E79" s="135"/>
      <c r="F79" s="135"/>
      <c r="G79" s="133"/>
      <c r="H79" s="133"/>
      <c r="I79" s="232"/>
      <c r="K79" s="138"/>
      <c r="L79" s="128"/>
      <c r="M79" s="129"/>
      <c r="N79" s="129"/>
      <c r="O79" s="127"/>
    </row>
    <row r="80" spans="1:15" s="126" customFormat="1" ht="12.95" customHeight="1" x14ac:dyDescent="0.3">
      <c r="A80" s="229">
        <v>46113</v>
      </c>
      <c r="B80" s="226" t="s">
        <v>300</v>
      </c>
      <c r="C80" s="129"/>
      <c r="D80" s="135"/>
      <c r="E80" s="135"/>
      <c r="F80" s="135"/>
      <c r="G80" s="133"/>
      <c r="H80" s="133"/>
      <c r="I80" s="232"/>
      <c r="K80" s="138"/>
      <c r="L80" s="128"/>
      <c r="M80" s="129"/>
      <c r="N80" s="129"/>
      <c r="O80" s="127"/>
    </row>
    <row r="81" spans="1:15" s="126" customFormat="1" ht="12.95" customHeight="1" x14ac:dyDescent="0.3">
      <c r="A81" s="229">
        <v>46113</v>
      </c>
      <c r="B81" s="226" t="s">
        <v>301</v>
      </c>
      <c r="C81" s="129"/>
      <c r="D81" s="135"/>
      <c r="E81" s="135"/>
      <c r="F81" s="135"/>
      <c r="G81" s="133"/>
      <c r="H81" s="133"/>
      <c r="I81" s="232"/>
      <c r="K81" s="138"/>
      <c r="L81" s="128"/>
      <c r="M81" s="129"/>
      <c r="N81" s="129"/>
      <c r="O81" s="127"/>
    </row>
    <row r="82" spans="1:15" s="126" customFormat="1" ht="12.95" customHeight="1" x14ac:dyDescent="0.3">
      <c r="A82" s="229">
        <v>46113</v>
      </c>
      <c r="B82" s="226" t="s">
        <v>302</v>
      </c>
      <c r="C82" s="129"/>
      <c r="D82" s="135"/>
      <c r="E82" s="135"/>
      <c r="F82" s="135"/>
      <c r="G82" s="133"/>
      <c r="H82" s="133"/>
      <c r="I82" s="232"/>
      <c r="K82" s="138"/>
      <c r="L82" s="128"/>
      <c r="M82" s="129"/>
      <c r="N82" s="129"/>
      <c r="O82" s="127"/>
    </row>
    <row r="83" spans="1:15" s="126" customFormat="1" ht="12.95" customHeight="1" x14ac:dyDescent="0.3">
      <c r="A83" s="229">
        <v>46113</v>
      </c>
      <c r="B83" s="226" t="s">
        <v>303</v>
      </c>
      <c r="C83" s="129"/>
      <c r="D83" s="135"/>
      <c r="E83" s="135"/>
      <c r="F83" s="135"/>
      <c r="G83" s="133"/>
      <c r="H83" s="133"/>
      <c r="I83" s="232"/>
      <c r="K83" s="138"/>
      <c r="L83" s="128"/>
      <c r="M83" s="129"/>
      <c r="N83" s="129"/>
      <c r="O83" s="127"/>
    </row>
    <row r="84" spans="1:15" s="126" customFormat="1" ht="12.95" customHeight="1" x14ac:dyDescent="0.3">
      <c r="A84" s="229">
        <v>46113</v>
      </c>
      <c r="B84" s="226" t="s">
        <v>304</v>
      </c>
      <c r="C84" s="129"/>
      <c r="D84" s="135"/>
      <c r="E84" s="135"/>
      <c r="F84" s="135"/>
      <c r="G84" s="133"/>
      <c r="H84" s="133"/>
      <c r="I84" s="232"/>
      <c r="K84" s="138"/>
      <c r="L84" s="128"/>
      <c r="M84" s="129"/>
      <c r="N84" s="129"/>
      <c r="O84" s="127"/>
    </row>
    <row r="85" spans="1:15" s="126" customFormat="1" ht="12.95" customHeight="1" x14ac:dyDescent="0.3">
      <c r="A85" s="229">
        <v>46113</v>
      </c>
      <c r="B85" s="226" t="s">
        <v>305</v>
      </c>
      <c r="C85" s="129"/>
      <c r="D85" s="135"/>
      <c r="E85" s="135"/>
      <c r="F85" s="135"/>
      <c r="G85" s="133"/>
      <c r="H85" s="133"/>
      <c r="I85" s="232"/>
      <c r="K85" s="138"/>
      <c r="L85" s="128"/>
      <c r="M85" s="129"/>
      <c r="N85" s="129"/>
      <c r="O85" s="127"/>
    </row>
    <row r="86" spans="1:15" s="126" customFormat="1" ht="12.95" customHeight="1" x14ac:dyDescent="0.3">
      <c r="A86" s="229">
        <v>46114</v>
      </c>
      <c r="B86" s="226" t="s">
        <v>309</v>
      </c>
      <c r="C86" s="129"/>
      <c r="D86" s="135"/>
      <c r="E86" s="135"/>
      <c r="F86" s="135"/>
      <c r="G86" s="133"/>
      <c r="H86" s="133"/>
      <c r="I86" s="232"/>
      <c r="K86" s="138"/>
      <c r="L86" s="128"/>
      <c r="M86" s="129"/>
      <c r="N86" s="129"/>
      <c r="O86" s="127"/>
    </row>
    <row r="87" spans="1:15" s="126" customFormat="1" ht="12.95" customHeight="1" x14ac:dyDescent="0.3">
      <c r="A87" s="229">
        <v>46118</v>
      </c>
      <c r="B87" s="226" t="s">
        <v>332</v>
      </c>
      <c r="C87" s="129"/>
      <c r="D87" s="135"/>
      <c r="E87" s="135"/>
      <c r="F87" s="135"/>
      <c r="G87" s="133"/>
      <c r="H87" s="133"/>
      <c r="I87" s="232"/>
      <c r="K87" s="138"/>
      <c r="L87" s="128"/>
      <c r="M87" s="129"/>
      <c r="N87" s="129"/>
      <c r="O87" s="127"/>
    </row>
    <row r="88" spans="1:15" s="126" customFormat="1" ht="12.95" customHeight="1" x14ac:dyDescent="0.3">
      <c r="A88" s="229">
        <v>46118</v>
      </c>
      <c r="B88" s="226" t="s">
        <v>333</v>
      </c>
      <c r="C88" s="129"/>
      <c r="D88" s="135"/>
      <c r="E88" s="135"/>
      <c r="F88" s="135"/>
      <c r="G88" s="133"/>
      <c r="H88" s="133"/>
      <c r="I88" s="232"/>
      <c r="K88" s="138"/>
      <c r="L88" s="128"/>
      <c r="M88" s="129"/>
      <c r="N88" s="129"/>
      <c r="O88" s="127"/>
    </row>
    <row r="89" spans="1:15" s="126" customFormat="1" ht="12.95" customHeight="1" x14ac:dyDescent="0.3">
      <c r="A89" s="229">
        <v>46118</v>
      </c>
      <c r="B89" s="226" t="s">
        <v>311</v>
      </c>
      <c r="C89" s="129"/>
      <c r="D89" s="135"/>
      <c r="E89" s="135"/>
      <c r="F89" s="135"/>
      <c r="G89" s="133"/>
      <c r="H89" s="133"/>
      <c r="I89" s="232"/>
      <c r="K89" s="138"/>
      <c r="L89" s="128"/>
      <c r="M89" s="129"/>
      <c r="N89" s="129"/>
      <c r="O89" s="127"/>
    </row>
    <row r="90" spans="1:15" s="126" customFormat="1" ht="12.95" customHeight="1" x14ac:dyDescent="0.3">
      <c r="A90" s="229">
        <v>46120</v>
      </c>
      <c r="B90" s="226" t="s">
        <v>334</v>
      </c>
      <c r="C90" s="129"/>
      <c r="D90" s="135"/>
      <c r="E90" s="135"/>
      <c r="F90" s="135"/>
      <c r="G90" s="133"/>
      <c r="H90" s="133"/>
      <c r="I90" s="232"/>
      <c r="K90" s="138"/>
      <c r="L90" s="128"/>
      <c r="M90" s="129"/>
      <c r="N90" s="129"/>
      <c r="O90" s="127"/>
    </row>
    <row r="91" spans="1:15" s="126" customFormat="1" ht="12.95" customHeight="1" x14ac:dyDescent="0.3">
      <c r="A91" s="229">
        <v>46120</v>
      </c>
      <c r="B91" s="226" t="s">
        <v>335</v>
      </c>
      <c r="C91" s="129"/>
      <c r="D91" s="135"/>
      <c r="E91" s="135"/>
      <c r="F91" s="135"/>
      <c r="G91" s="133"/>
      <c r="H91" s="133"/>
      <c r="I91" s="232"/>
      <c r="K91" s="138"/>
      <c r="L91" s="128"/>
      <c r="M91" s="129"/>
      <c r="N91" s="129"/>
      <c r="O91" s="127"/>
    </row>
    <row r="92" spans="1:15" s="126" customFormat="1" ht="12.95" customHeight="1" x14ac:dyDescent="0.3">
      <c r="A92" s="229">
        <v>46120</v>
      </c>
      <c r="B92" s="226" t="s">
        <v>337</v>
      </c>
      <c r="C92" s="129"/>
      <c r="D92" s="135"/>
      <c r="E92" s="135"/>
      <c r="F92" s="135"/>
      <c r="G92" s="133"/>
      <c r="H92" s="133"/>
      <c r="I92" s="232"/>
      <c r="K92" s="138"/>
      <c r="L92" s="128"/>
      <c r="M92" s="129"/>
      <c r="N92" s="129"/>
      <c r="O92" s="127"/>
    </row>
    <row r="93" spans="1:15" s="126" customFormat="1" ht="12.95" customHeight="1" x14ac:dyDescent="0.3">
      <c r="A93" s="229">
        <v>46121</v>
      </c>
      <c r="B93" s="226" t="s">
        <v>338</v>
      </c>
      <c r="C93" s="129"/>
      <c r="D93" s="135"/>
      <c r="E93" s="135"/>
      <c r="F93" s="135"/>
      <c r="G93" s="133"/>
      <c r="H93" s="133"/>
      <c r="I93" s="232"/>
      <c r="K93" s="138"/>
      <c r="L93" s="128"/>
      <c r="M93" s="129"/>
      <c r="N93" s="129"/>
      <c r="O93" s="127"/>
    </row>
    <row r="94" spans="1:15" s="126" customFormat="1" ht="12.95" customHeight="1" x14ac:dyDescent="0.25">
      <c r="A94" s="393">
        <v>46121</v>
      </c>
      <c r="B94" s="266" t="s">
        <v>338</v>
      </c>
      <c r="C94" s="262">
        <v>1</v>
      </c>
      <c r="D94" s="261">
        <v>11.18</v>
      </c>
      <c r="E94" s="261">
        <v>11.3</v>
      </c>
      <c r="F94" s="261">
        <v>3</v>
      </c>
      <c r="G94" s="261"/>
      <c r="H94" s="261"/>
      <c r="I94" s="219"/>
      <c r="J94" s="219"/>
      <c r="K94" s="138"/>
      <c r="L94" s="128"/>
      <c r="M94" s="129"/>
      <c r="N94" s="129"/>
      <c r="O94" s="127"/>
    </row>
    <row r="95" spans="1:15" s="126" customFormat="1" ht="12.95" customHeight="1" x14ac:dyDescent="0.25">
      <c r="A95" s="394">
        <v>46122</v>
      </c>
      <c r="B95" s="268" t="s">
        <v>339</v>
      </c>
      <c r="C95" s="264">
        <v>2</v>
      </c>
      <c r="D95" s="263">
        <v>8.23</v>
      </c>
      <c r="E95" s="263">
        <v>8.49</v>
      </c>
      <c r="F95" s="263">
        <v>6</v>
      </c>
      <c r="G95" s="263"/>
      <c r="H95" s="263"/>
      <c r="I95" s="223"/>
      <c r="J95" s="223"/>
      <c r="K95" s="138"/>
      <c r="L95" s="128"/>
      <c r="M95" s="129"/>
      <c r="N95" s="129"/>
      <c r="O95" s="127"/>
    </row>
    <row r="96" spans="1:15" s="126" customFormat="1" ht="12.95" customHeight="1" x14ac:dyDescent="0.25">
      <c r="A96" s="394">
        <v>46122</v>
      </c>
      <c r="B96" s="268" t="s">
        <v>340</v>
      </c>
      <c r="C96" s="264">
        <v>2</v>
      </c>
      <c r="D96" s="263">
        <v>8.23</v>
      </c>
      <c r="E96" s="263">
        <v>8.49</v>
      </c>
      <c r="F96" s="263">
        <v>6</v>
      </c>
      <c r="G96" s="263"/>
      <c r="H96" s="263"/>
      <c r="I96" s="223"/>
      <c r="J96" s="223"/>
      <c r="K96" s="138"/>
      <c r="L96" s="128"/>
      <c r="M96" s="129"/>
      <c r="N96" s="129"/>
      <c r="O96" s="127"/>
    </row>
    <row r="97" spans="1:15" s="126" customFormat="1" ht="12.95" customHeight="1" x14ac:dyDescent="0.3">
      <c r="A97" s="229">
        <v>46123</v>
      </c>
      <c r="B97" s="226" t="s">
        <v>706</v>
      </c>
      <c r="C97" s="129">
        <v>1</v>
      </c>
      <c r="D97" s="135">
        <v>14.18</v>
      </c>
      <c r="E97" s="135">
        <v>14.2</v>
      </c>
      <c r="F97" s="135">
        <v>2</v>
      </c>
      <c r="G97" s="133"/>
      <c r="H97" s="133"/>
      <c r="I97" s="232"/>
      <c r="K97" s="138"/>
      <c r="L97" s="128"/>
      <c r="M97" s="129"/>
      <c r="N97" s="129"/>
      <c r="O97" s="127"/>
    </row>
    <row r="98" spans="1:15" s="126" customFormat="1" ht="12.95" customHeight="1" x14ac:dyDescent="0.3">
      <c r="A98" s="229">
        <v>46123</v>
      </c>
      <c r="B98" s="227" t="s">
        <v>342</v>
      </c>
      <c r="C98" s="129">
        <v>1</v>
      </c>
      <c r="D98" s="135">
        <v>14.57</v>
      </c>
      <c r="E98" s="135">
        <v>14.59</v>
      </c>
      <c r="F98" s="135">
        <v>2</v>
      </c>
      <c r="G98" s="133"/>
      <c r="H98" s="133"/>
      <c r="I98" s="232"/>
      <c r="K98" s="138"/>
      <c r="L98" s="128"/>
      <c r="M98" s="129"/>
      <c r="N98" s="129"/>
      <c r="O98" s="127"/>
    </row>
    <row r="99" spans="1:15" s="126" customFormat="1" ht="12.95" customHeight="1" x14ac:dyDescent="0.3">
      <c r="A99" s="229">
        <v>46123</v>
      </c>
      <c r="B99" s="226" t="s">
        <v>306</v>
      </c>
      <c r="C99" s="129">
        <v>1</v>
      </c>
      <c r="D99" s="135">
        <v>11.58</v>
      </c>
      <c r="E99" s="135">
        <v>12.24</v>
      </c>
      <c r="F99" s="135">
        <v>2</v>
      </c>
      <c r="G99" s="133"/>
      <c r="H99" s="133"/>
      <c r="I99" s="232"/>
      <c r="K99" s="138"/>
      <c r="L99" s="128"/>
      <c r="M99" s="129"/>
      <c r="N99" s="129"/>
      <c r="O99" s="127"/>
    </row>
    <row r="100" spans="1:15" s="126" customFormat="1" ht="12.95" customHeight="1" x14ac:dyDescent="0.3">
      <c r="A100" s="229">
        <v>46123</v>
      </c>
      <c r="B100" s="226" t="s">
        <v>307</v>
      </c>
      <c r="C100" s="129">
        <v>1</v>
      </c>
      <c r="D100" s="135">
        <v>11.58</v>
      </c>
      <c r="E100" s="135">
        <v>12.24</v>
      </c>
      <c r="F100" s="135">
        <v>2</v>
      </c>
      <c r="G100" s="133"/>
      <c r="H100" s="133"/>
      <c r="I100" s="232"/>
      <c r="K100" s="138"/>
      <c r="L100" s="128"/>
      <c r="M100" s="129"/>
      <c r="N100" s="129"/>
      <c r="O100" s="127"/>
    </row>
    <row r="101" spans="1:15" s="126" customFormat="1" ht="12.95" customHeight="1" x14ac:dyDescent="0.3">
      <c r="A101" s="229">
        <v>46123</v>
      </c>
      <c r="B101" s="226" t="s">
        <v>343</v>
      </c>
      <c r="C101" s="129">
        <v>1</v>
      </c>
      <c r="D101" s="135">
        <v>11.58</v>
      </c>
      <c r="E101" s="135">
        <v>12.24</v>
      </c>
      <c r="F101" s="135">
        <v>2</v>
      </c>
      <c r="G101" s="133"/>
      <c r="H101" s="133"/>
      <c r="I101" s="232"/>
      <c r="K101" s="138"/>
      <c r="L101" s="128"/>
      <c r="M101" s="129"/>
      <c r="N101" s="129"/>
      <c r="O101" s="127"/>
    </row>
    <row r="102" spans="1:15" s="126" customFormat="1" ht="12.95" customHeight="1" x14ac:dyDescent="0.3">
      <c r="A102" s="229">
        <v>46123</v>
      </c>
      <c r="B102" s="226" t="s">
        <v>344</v>
      </c>
      <c r="C102" s="129">
        <v>1</v>
      </c>
      <c r="D102" s="135">
        <v>11.58</v>
      </c>
      <c r="E102" s="135">
        <v>12.24</v>
      </c>
      <c r="F102" s="135">
        <v>2</v>
      </c>
      <c r="G102" s="133"/>
      <c r="H102" s="133"/>
      <c r="I102" s="232"/>
      <c r="K102" s="138"/>
      <c r="L102" s="128"/>
      <c r="M102" s="129"/>
      <c r="N102" s="129"/>
      <c r="O102" s="127"/>
    </row>
    <row r="103" spans="1:15" s="126" customFormat="1" ht="12.95" customHeight="1" x14ac:dyDescent="0.3">
      <c r="A103" s="229">
        <v>46123</v>
      </c>
      <c r="B103" s="226" t="s">
        <v>308</v>
      </c>
      <c r="C103" s="129">
        <v>1</v>
      </c>
      <c r="D103" s="135">
        <v>11.58</v>
      </c>
      <c r="E103" s="135">
        <v>12.24</v>
      </c>
      <c r="F103" s="135">
        <v>2</v>
      </c>
      <c r="G103" s="133"/>
      <c r="H103" s="133"/>
      <c r="I103" s="232"/>
      <c r="K103" s="138"/>
      <c r="L103" s="128"/>
      <c r="M103" s="129"/>
      <c r="N103" s="129"/>
      <c r="O103" s="127"/>
    </row>
    <row r="104" spans="1:15" s="126" customFormat="1" ht="12.95" customHeight="1" x14ac:dyDescent="0.3">
      <c r="A104" s="229">
        <v>46123</v>
      </c>
      <c r="B104" s="226" t="s">
        <v>345</v>
      </c>
      <c r="C104" s="129">
        <v>1</v>
      </c>
      <c r="D104" s="135">
        <v>11.58</v>
      </c>
      <c r="E104" s="135">
        <v>12.24</v>
      </c>
      <c r="F104" s="135">
        <v>2</v>
      </c>
      <c r="G104" s="133"/>
      <c r="H104" s="133"/>
      <c r="I104" s="232"/>
      <c r="K104" s="138"/>
      <c r="L104" s="128"/>
      <c r="M104" s="129"/>
      <c r="N104" s="129"/>
      <c r="O104" s="127"/>
    </row>
    <row r="105" spans="1:15" s="126" customFormat="1" ht="12.95" customHeight="1" x14ac:dyDescent="0.3">
      <c r="A105" s="229">
        <v>46123</v>
      </c>
      <c r="B105" s="226" t="s">
        <v>346</v>
      </c>
      <c r="C105" s="129">
        <v>1</v>
      </c>
      <c r="D105" s="135">
        <v>11.58</v>
      </c>
      <c r="E105" s="135">
        <v>12.24</v>
      </c>
      <c r="F105" s="135">
        <v>2</v>
      </c>
      <c r="G105" s="133"/>
      <c r="H105" s="133"/>
      <c r="I105" s="232"/>
      <c r="K105" s="138"/>
      <c r="L105" s="128"/>
      <c r="M105" s="129"/>
      <c r="N105" s="129"/>
      <c r="O105" s="127"/>
    </row>
    <row r="106" spans="1:15" s="126" customFormat="1" ht="12.95" customHeight="1" x14ac:dyDescent="0.3">
      <c r="A106" s="229">
        <v>46123</v>
      </c>
      <c r="B106" s="226" t="s">
        <v>310</v>
      </c>
      <c r="C106" s="129">
        <v>1</v>
      </c>
      <c r="D106" s="135">
        <v>11.58</v>
      </c>
      <c r="E106" s="135">
        <v>12.24</v>
      </c>
      <c r="F106" s="135">
        <v>2</v>
      </c>
      <c r="G106" s="133"/>
      <c r="H106" s="133"/>
      <c r="I106" s="232"/>
      <c r="K106" s="138"/>
      <c r="L106" s="128"/>
      <c r="M106" s="129"/>
      <c r="N106" s="129"/>
      <c r="O106" s="127"/>
    </row>
    <row r="107" spans="1:15" s="126" customFormat="1" ht="12.95" customHeight="1" x14ac:dyDescent="0.3">
      <c r="A107" s="229">
        <v>46123</v>
      </c>
      <c r="B107" s="226" t="s">
        <v>347</v>
      </c>
      <c r="C107" s="129">
        <v>1</v>
      </c>
      <c r="D107" s="135">
        <v>11.58</v>
      </c>
      <c r="E107" s="135">
        <v>12.24</v>
      </c>
      <c r="F107" s="135">
        <v>2</v>
      </c>
      <c r="G107" s="133"/>
      <c r="H107" s="133"/>
      <c r="I107" s="232"/>
      <c r="K107" s="138"/>
      <c r="L107" s="128"/>
      <c r="M107" s="129"/>
      <c r="N107" s="129"/>
      <c r="O107" s="127"/>
    </row>
    <row r="108" spans="1:15" s="126" customFormat="1" ht="12.95" customHeight="1" x14ac:dyDescent="0.3">
      <c r="A108" s="229">
        <v>46123</v>
      </c>
      <c r="B108" s="226" t="s">
        <v>348</v>
      </c>
      <c r="C108" s="129">
        <v>1</v>
      </c>
      <c r="D108" s="135">
        <v>11.58</v>
      </c>
      <c r="E108" s="135">
        <v>12.24</v>
      </c>
      <c r="F108" s="135">
        <v>2</v>
      </c>
      <c r="G108" s="133"/>
      <c r="H108" s="133"/>
      <c r="I108" s="232"/>
      <c r="K108" s="138"/>
      <c r="L108" s="128"/>
      <c r="M108" s="129"/>
      <c r="N108" s="129"/>
      <c r="O108" s="127"/>
    </row>
    <row r="109" spans="1:15" s="126" customFormat="1" ht="12.95" customHeight="1" x14ac:dyDescent="0.3">
      <c r="A109" s="229">
        <v>46123</v>
      </c>
      <c r="B109" s="226" t="s">
        <v>349</v>
      </c>
      <c r="C109" s="129">
        <v>1</v>
      </c>
      <c r="D109" s="135">
        <v>11.58</v>
      </c>
      <c r="E109" s="135">
        <v>12.24</v>
      </c>
      <c r="F109" s="135">
        <v>2</v>
      </c>
      <c r="G109" s="133"/>
      <c r="H109" s="133"/>
      <c r="I109" s="232"/>
      <c r="K109" s="138"/>
      <c r="L109" s="128"/>
      <c r="M109" s="129"/>
      <c r="N109" s="129"/>
      <c r="O109" s="127"/>
    </row>
    <row r="110" spans="1:15" s="126" customFormat="1" ht="12.95" customHeight="1" x14ac:dyDescent="0.3">
      <c r="A110" s="229">
        <v>46123</v>
      </c>
      <c r="B110" s="226" t="s">
        <v>350</v>
      </c>
      <c r="C110" s="129">
        <v>1</v>
      </c>
      <c r="D110" s="135">
        <v>11.58</v>
      </c>
      <c r="E110" s="135">
        <v>12.24</v>
      </c>
      <c r="F110" s="135">
        <v>2</v>
      </c>
      <c r="G110" s="133"/>
      <c r="H110" s="133"/>
      <c r="I110" s="232"/>
      <c r="K110" s="138"/>
      <c r="L110" s="128"/>
      <c r="M110" s="129"/>
      <c r="N110" s="129"/>
      <c r="O110" s="127"/>
    </row>
    <row r="111" spans="1:15" s="126" customFormat="1" ht="12.95" customHeight="1" x14ac:dyDescent="0.3">
      <c r="A111" s="229">
        <v>46123</v>
      </c>
      <c r="B111" s="226" t="s">
        <v>351</v>
      </c>
      <c r="C111" s="129">
        <v>1</v>
      </c>
      <c r="D111" s="135">
        <v>11.58</v>
      </c>
      <c r="E111" s="135">
        <v>12.24</v>
      </c>
      <c r="F111" s="135">
        <v>2</v>
      </c>
      <c r="G111" s="133"/>
      <c r="H111" s="133"/>
      <c r="I111" s="232"/>
      <c r="K111" s="138"/>
      <c r="L111" s="128"/>
      <c r="M111" s="129"/>
      <c r="N111" s="129"/>
      <c r="O111" s="127"/>
    </row>
    <row r="112" spans="1:15" s="126" customFormat="1" ht="12.95" customHeight="1" x14ac:dyDescent="0.3">
      <c r="A112" s="229">
        <v>46125</v>
      </c>
      <c r="B112" s="226" t="s">
        <v>352</v>
      </c>
      <c r="C112" s="129">
        <v>2</v>
      </c>
      <c r="D112" s="135">
        <v>10.26</v>
      </c>
      <c r="E112" s="135">
        <v>10.3</v>
      </c>
      <c r="F112" s="135">
        <v>2</v>
      </c>
      <c r="G112" s="133"/>
      <c r="H112" s="133"/>
      <c r="I112" s="232"/>
      <c r="K112" s="138"/>
      <c r="L112" s="128"/>
      <c r="M112" s="129"/>
      <c r="N112" s="129"/>
      <c r="O112" s="127"/>
    </row>
    <row r="113" spans="1:15" s="126" customFormat="1" ht="12.95" customHeight="1" x14ac:dyDescent="0.3">
      <c r="A113" s="229">
        <v>46125</v>
      </c>
      <c r="B113" s="226" t="s">
        <v>353</v>
      </c>
      <c r="C113" s="129">
        <v>3</v>
      </c>
      <c r="D113" s="135">
        <v>15.14</v>
      </c>
      <c r="E113" s="135">
        <v>15.2</v>
      </c>
      <c r="F113" s="135">
        <v>2</v>
      </c>
      <c r="G113" s="133"/>
      <c r="H113" s="133"/>
      <c r="I113" s="232"/>
      <c r="K113" s="138"/>
      <c r="L113" s="128"/>
      <c r="M113" s="129"/>
      <c r="N113" s="129"/>
      <c r="O113" s="127"/>
    </row>
    <row r="114" spans="1:15" s="126" customFormat="1" ht="12.95" customHeight="1" x14ac:dyDescent="0.3">
      <c r="A114" s="229">
        <v>46125</v>
      </c>
      <c r="B114" s="226" t="s">
        <v>354</v>
      </c>
      <c r="C114" s="129">
        <v>1</v>
      </c>
      <c r="D114" s="135">
        <v>11.13</v>
      </c>
      <c r="E114" s="135">
        <v>11.15</v>
      </c>
      <c r="F114" s="135">
        <v>2</v>
      </c>
      <c r="G114" s="133"/>
      <c r="H114" s="133"/>
      <c r="I114" s="232"/>
      <c r="K114" s="138"/>
      <c r="L114" s="128"/>
      <c r="M114" s="129"/>
      <c r="N114" s="129"/>
      <c r="O114" s="127"/>
    </row>
    <row r="115" spans="1:15" s="126" customFormat="1" ht="12.95" customHeight="1" x14ac:dyDescent="0.3">
      <c r="A115" s="229">
        <v>46125</v>
      </c>
      <c r="B115" s="226" t="s">
        <v>355</v>
      </c>
      <c r="C115" s="129">
        <v>1</v>
      </c>
      <c r="D115" s="135">
        <v>14.02</v>
      </c>
      <c r="E115" s="135">
        <v>14.04</v>
      </c>
      <c r="F115" s="135">
        <v>2</v>
      </c>
      <c r="G115" s="133"/>
      <c r="H115" s="133"/>
      <c r="I115" s="232"/>
      <c r="K115" s="138"/>
      <c r="L115" s="128"/>
      <c r="M115" s="129"/>
      <c r="N115" s="129"/>
      <c r="O115" s="127"/>
    </row>
    <row r="116" spans="1:15" s="126" customFormat="1" ht="12.95" customHeight="1" x14ac:dyDescent="0.3">
      <c r="A116" s="229">
        <v>46125</v>
      </c>
      <c r="B116" s="226" t="s">
        <v>356</v>
      </c>
      <c r="C116" s="129">
        <v>3</v>
      </c>
      <c r="D116" s="135"/>
      <c r="E116" s="135"/>
      <c r="F116" s="135">
        <v>2</v>
      </c>
      <c r="G116" s="133"/>
      <c r="H116" s="133"/>
      <c r="I116" s="232"/>
      <c r="K116" s="138"/>
      <c r="L116" s="128"/>
      <c r="M116" s="129"/>
      <c r="N116" s="129"/>
      <c r="O116" s="127"/>
    </row>
    <row r="117" spans="1:15" s="126" customFormat="1" ht="12.95" customHeight="1" x14ac:dyDescent="0.3">
      <c r="A117" s="229">
        <v>46126</v>
      </c>
      <c r="B117" s="226" t="s">
        <v>357</v>
      </c>
      <c r="C117" s="129">
        <v>1</v>
      </c>
      <c r="D117" s="135">
        <v>13.05</v>
      </c>
      <c r="E117" s="135">
        <v>13.07</v>
      </c>
      <c r="F117" s="135">
        <v>2</v>
      </c>
      <c r="G117" s="133"/>
      <c r="H117" s="133"/>
      <c r="I117" s="232"/>
      <c r="K117" s="138"/>
      <c r="L117" s="128"/>
      <c r="M117" s="129"/>
      <c r="N117" s="129"/>
      <c r="O117" s="127"/>
    </row>
    <row r="118" spans="1:15" s="126" customFormat="1" ht="12.95" customHeight="1" x14ac:dyDescent="0.3">
      <c r="A118" s="229">
        <v>46126</v>
      </c>
      <c r="B118" s="226" t="s">
        <v>358</v>
      </c>
      <c r="C118" s="129">
        <v>2</v>
      </c>
      <c r="D118" s="135">
        <v>9.48</v>
      </c>
      <c r="E118" s="135">
        <v>9.5</v>
      </c>
      <c r="F118" s="135">
        <v>2</v>
      </c>
      <c r="G118" s="133"/>
      <c r="H118" s="133"/>
      <c r="I118" s="232"/>
      <c r="K118" s="138"/>
      <c r="L118" s="128"/>
      <c r="M118" s="129"/>
      <c r="N118" s="129"/>
      <c r="O118" s="127"/>
    </row>
    <row r="119" spans="1:15" s="126" customFormat="1" ht="12.95" customHeight="1" x14ac:dyDescent="0.3">
      <c r="A119" s="229">
        <v>46126</v>
      </c>
      <c r="B119" s="226" t="s">
        <v>312</v>
      </c>
      <c r="C119" s="129">
        <v>1</v>
      </c>
      <c r="D119" s="135">
        <v>13.05</v>
      </c>
      <c r="E119" s="135">
        <v>13.35</v>
      </c>
      <c r="F119" s="135">
        <v>2</v>
      </c>
      <c r="G119" s="133"/>
      <c r="H119" s="133"/>
      <c r="I119" s="232"/>
      <c r="K119" s="138"/>
      <c r="L119" s="128"/>
      <c r="M119" s="129"/>
      <c r="N119" s="129"/>
      <c r="O119" s="127"/>
    </row>
    <row r="120" spans="1:15" s="126" customFormat="1" ht="12.95" customHeight="1" x14ac:dyDescent="0.3">
      <c r="A120" s="229">
        <v>46126</v>
      </c>
      <c r="B120" s="226" t="s">
        <v>313</v>
      </c>
      <c r="C120" s="129">
        <v>1</v>
      </c>
      <c r="D120" s="135">
        <v>13.05</v>
      </c>
      <c r="E120" s="135">
        <v>13.35</v>
      </c>
      <c r="F120" s="135">
        <v>2</v>
      </c>
      <c r="G120" s="133"/>
      <c r="H120" s="133"/>
      <c r="I120" s="232"/>
      <c r="K120" s="138"/>
      <c r="L120" s="128"/>
      <c r="M120" s="129"/>
      <c r="N120" s="129"/>
      <c r="O120" s="127"/>
    </row>
    <row r="121" spans="1:15" s="126" customFormat="1" ht="12.95" customHeight="1" x14ac:dyDescent="0.3">
      <c r="A121" s="229">
        <v>46126</v>
      </c>
      <c r="B121" s="226" t="s">
        <v>314</v>
      </c>
      <c r="C121" s="129">
        <v>1</v>
      </c>
      <c r="D121" s="135">
        <v>13.05</v>
      </c>
      <c r="E121" s="135">
        <v>13.35</v>
      </c>
      <c r="F121" s="135">
        <v>2</v>
      </c>
      <c r="G121" s="133"/>
      <c r="H121" s="133"/>
      <c r="I121" s="232"/>
      <c r="K121" s="138"/>
      <c r="L121" s="128"/>
      <c r="M121" s="129"/>
      <c r="N121" s="129"/>
      <c r="O121" s="127"/>
    </row>
    <row r="122" spans="1:15" s="126" customFormat="1" ht="12.95" customHeight="1" x14ac:dyDescent="0.3">
      <c r="A122" s="229">
        <v>46126</v>
      </c>
      <c r="B122" s="226" t="s">
        <v>315</v>
      </c>
      <c r="C122" s="129">
        <v>1</v>
      </c>
      <c r="D122" s="135">
        <v>13.05</v>
      </c>
      <c r="E122" s="135">
        <v>13.35</v>
      </c>
      <c r="F122" s="135">
        <v>2</v>
      </c>
      <c r="G122" s="133"/>
      <c r="H122" s="133"/>
      <c r="I122" s="232"/>
      <c r="K122" s="138"/>
      <c r="L122" s="128"/>
      <c r="M122" s="129"/>
      <c r="N122" s="129"/>
      <c r="O122" s="127"/>
    </row>
    <row r="123" spans="1:15" s="126" customFormat="1" ht="12.95" customHeight="1" x14ac:dyDescent="0.3">
      <c r="A123" s="229">
        <v>46126</v>
      </c>
      <c r="B123" s="226" t="s">
        <v>316</v>
      </c>
      <c r="C123" s="129">
        <v>1</v>
      </c>
      <c r="D123" s="135">
        <v>13.05</v>
      </c>
      <c r="E123" s="135">
        <v>13.35</v>
      </c>
      <c r="F123" s="135">
        <v>2</v>
      </c>
      <c r="G123" s="133"/>
      <c r="H123" s="133"/>
      <c r="I123" s="232"/>
      <c r="K123" s="138"/>
      <c r="L123" s="128"/>
      <c r="M123" s="129"/>
      <c r="N123" s="129"/>
      <c r="O123" s="127"/>
    </row>
    <row r="124" spans="1:15" s="126" customFormat="1" ht="12.95" customHeight="1" x14ac:dyDescent="0.3">
      <c r="A124" s="229">
        <v>46126</v>
      </c>
      <c r="B124" s="226" t="s">
        <v>317</v>
      </c>
      <c r="C124" s="129">
        <v>1</v>
      </c>
      <c r="D124" s="135">
        <v>13.05</v>
      </c>
      <c r="E124" s="135">
        <v>13.35</v>
      </c>
      <c r="F124" s="135">
        <v>2</v>
      </c>
      <c r="G124" s="133"/>
      <c r="H124" s="133"/>
      <c r="I124" s="232"/>
      <c r="K124" s="138"/>
      <c r="L124" s="128"/>
      <c r="M124" s="129"/>
      <c r="N124" s="129"/>
      <c r="O124" s="127"/>
    </row>
    <row r="125" spans="1:15" s="126" customFormat="1" ht="12.95" customHeight="1" x14ac:dyDescent="0.3">
      <c r="A125" s="229">
        <v>46126</v>
      </c>
      <c r="B125" s="226" t="s">
        <v>318</v>
      </c>
      <c r="C125" s="129">
        <v>1</v>
      </c>
      <c r="D125" s="135">
        <v>13.05</v>
      </c>
      <c r="E125" s="135">
        <v>13.35</v>
      </c>
      <c r="F125" s="135">
        <v>2</v>
      </c>
      <c r="G125" s="133"/>
      <c r="H125" s="133"/>
      <c r="I125" s="232"/>
      <c r="K125" s="138"/>
      <c r="L125" s="128"/>
      <c r="M125" s="129"/>
      <c r="N125" s="129"/>
      <c r="O125" s="127"/>
    </row>
    <row r="126" spans="1:15" s="126" customFormat="1" ht="12.95" customHeight="1" x14ac:dyDescent="0.3">
      <c r="A126" s="229">
        <v>46126</v>
      </c>
      <c r="B126" s="226" t="s">
        <v>319</v>
      </c>
      <c r="C126" s="129">
        <v>1</v>
      </c>
      <c r="D126" s="135">
        <v>13.05</v>
      </c>
      <c r="E126" s="135">
        <v>13.35</v>
      </c>
      <c r="F126" s="135">
        <v>2</v>
      </c>
      <c r="G126" s="133"/>
      <c r="H126" s="133"/>
      <c r="I126" s="232"/>
      <c r="K126" s="138"/>
      <c r="L126" s="128"/>
      <c r="M126" s="129"/>
      <c r="N126" s="129"/>
      <c r="O126" s="127"/>
    </row>
    <row r="127" spans="1:15" s="126" customFormat="1" ht="12.95" customHeight="1" x14ac:dyDescent="0.3">
      <c r="A127" s="229">
        <v>46126</v>
      </c>
      <c r="B127" s="226" t="s">
        <v>320</v>
      </c>
      <c r="C127" s="129">
        <v>1</v>
      </c>
      <c r="D127" s="135">
        <v>13.05</v>
      </c>
      <c r="E127" s="135">
        <v>13.35</v>
      </c>
      <c r="F127" s="135">
        <v>2</v>
      </c>
      <c r="G127" s="133"/>
      <c r="H127" s="133"/>
      <c r="I127" s="232"/>
      <c r="K127" s="138"/>
      <c r="L127" s="128"/>
      <c r="M127" s="129"/>
      <c r="N127" s="129"/>
      <c r="O127" s="127"/>
    </row>
    <row r="128" spans="1:15" s="126" customFormat="1" ht="12.95" customHeight="1" x14ac:dyDescent="0.3">
      <c r="A128" s="229">
        <v>46126</v>
      </c>
      <c r="B128" s="226" t="s">
        <v>321</v>
      </c>
      <c r="C128" s="129">
        <v>1</v>
      </c>
      <c r="D128" s="135">
        <v>13.05</v>
      </c>
      <c r="E128" s="135">
        <v>13.35</v>
      </c>
      <c r="F128" s="135">
        <v>2</v>
      </c>
      <c r="G128" s="133"/>
      <c r="H128" s="133"/>
      <c r="I128" s="232"/>
      <c r="K128" s="138"/>
      <c r="L128" s="128"/>
      <c r="M128" s="129"/>
      <c r="N128" s="129"/>
      <c r="O128" s="127"/>
    </row>
    <row r="129" spans="1:15" s="126" customFormat="1" ht="12.95" customHeight="1" x14ac:dyDescent="0.3">
      <c r="A129" s="229">
        <v>46126</v>
      </c>
      <c r="B129" s="226" t="s">
        <v>322</v>
      </c>
      <c r="C129" s="129">
        <v>1</v>
      </c>
      <c r="D129" s="135">
        <v>13.05</v>
      </c>
      <c r="E129" s="135">
        <v>13.35</v>
      </c>
      <c r="F129" s="135">
        <v>2</v>
      </c>
      <c r="G129" s="133"/>
      <c r="H129" s="133"/>
      <c r="I129" s="232"/>
      <c r="K129" s="138"/>
      <c r="L129" s="128"/>
      <c r="M129" s="129"/>
      <c r="N129" s="129"/>
      <c r="O129" s="127"/>
    </row>
    <row r="130" spans="1:15" s="126" customFormat="1" ht="12.95" customHeight="1" x14ac:dyDescent="0.3">
      <c r="A130" s="229">
        <v>46126</v>
      </c>
      <c r="B130" s="226" t="s">
        <v>323</v>
      </c>
      <c r="C130" s="129">
        <v>1</v>
      </c>
      <c r="D130" s="135">
        <v>13.05</v>
      </c>
      <c r="E130" s="135">
        <v>13.35</v>
      </c>
      <c r="F130" s="135">
        <v>2</v>
      </c>
      <c r="G130" s="133"/>
      <c r="H130" s="133"/>
      <c r="I130" s="232"/>
      <c r="K130" s="138"/>
      <c r="L130" s="128"/>
      <c r="M130" s="129"/>
      <c r="N130" s="129"/>
      <c r="O130" s="127"/>
    </row>
    <row r="131" spans="1:15" s="126" customFormat="1" ht="12.95" customHeight="1" x14ac:dyDescent="0.3">
      <c r="A131" s="229">
        <v>46126</v>
      </c>
      <c r="B131" s="226" t="s">
        <v>324</v>
      </c>
      <c r="C131" s="129">
        <v>1</v>
      </c>
      <c r="D131" s="135">
        <v>13.05</v>
      </c>
      <c r="E131" s="135">
        <v>13.35</v>
      </c>
      <c r="F131" s="135">
        <v>2</v>
      </c>
      <c r="G131" s="133"/>
      <c r="H131" s="133"/>
      <c r="I131" s="232"/>
      <c r="K131" s="138"/>
      <c r="L131" s="128"/>
      <c r="M131" s="129"/>
      <c r="N131" s="129"/>
      <c r="O131" s="127"/>
    </row>
    <row r="132" spans="1:15" s="126" customFormat="1" ht="12.95" customHeight="1" x14ac:dyDescent="0.3">
      <c r="A132" s="229">
        <v>46126</v>
      </c>
      <c r="B132" s="226" t="s">
        <v>325</v>
      </c>
      <c r="C132" s="129">
        <v>1</v>
      </c>
      <c r="D132" s="135">
        <v>13.05</v>
      </c>
      <c r="E132" s="135">
        <v>13.35</v>
      </c>
      <c r="F132" s="135">
        <v>2</v>
      </c>
      <c r="G132" s="133"/>
      <c r="H132" s="133"/>
      <c r="I132" s="232"/>
      <c r="K132" s="138"/>
      <c r="L132" s="128"/>
      <c r="M132" s="129"/>
      <c r="N132" s="129"/>
      <c r="O132" s="127"/>
    </row>
    <row r="133" spans="1:15" s="126" customFormat="1" ht="12.95" customHeight="1" x14ac:dyDescent="0.3">
      <c r="A133" s="229">
        <v>46126</v>
      </c>
      <c r="B133" s="226" t="s">
        <v>326</v>
      </c>
      <c r="C133" s="129">
        <v>1</v>
      </c>
      <c r="D133" s="135">
        <v>13.05</v>
      </c>
      <c r="E133" s="135">
        <v>13.35</v>
      </c>
      <c r="F133" s="135">
        <v>2</v>
      </c>
      <c r="G133" s="133"/>
      <c r="H133" s="133"/>
      <c r="I133" s="232"/>
      <c r="K133" s="138"/>
      <c r="L133" s="128"/>
      <c r="M133" s="129"/>
      <c r="N133" s="129"/>
      <c r="O133" s="127"/>
    </row>
    <row r="134" spans="1:15" s="126" customFormat="1" ht="12.95" customHeight="1" x14ac:dyDescent="0.3">
      <c r="A134" s="229">
        <v>46126</v>
      </c>
      <c r="B134" s="226" t="s">
        <v>327</v>
      </c>
      <c r="C134" s="129">
        <v>1</v>
      </c>
      <c r="D134" s="135">
        <v>13.05</v>
      </c>
      <c r="E134" s="135">
        <v>13.35</v>
      </c>
      <c r="F134" s="135">
        <v>2</v>
      </c>
      <c r="G134" s="133"/>
      <c r="H134" s="133"/>
      <c r="I134" s="232"/>
      <c r="K134" s="138"/>
      <c r="L134" s="128"/>
      <c r="M134" s="129"/>
      <c r="N134" s="129"/>
      <c r="O134" s="127"/>
    </row>
    <row r="135" spans="1:15" s="126" customFormat="1" ht="12.95" customHeight="1" x14ac:dyDescent="0.3">
      <c r="A135" s="229">
        <v>46126</v>
      </c>
      <c r="B135" s="226" t="s">
        <v>328</v>
      </c>
      <c r="C135" s="129">
        <v>1</v>
      </c>
      <c r="D135" s="135">
        <v>13.05</v>
      </c>
      <c r="E135" s="135">
        <v>13.35</v>
      </c>
      <c r="F135" s="135">
        <v>2</v>
      </c>
      <c r="G135" s="133"/>
      <c r="H135" s="133"/>
      <c r="I135" s="232"/>
      <c r="K135" s="138"/>
      <c r="L135" s="128"/>
      <c r="M135" s="129"/>
      <c r="N135" s="129"/>
      <c r="O135" s="127"/>
    </row>
    <row r="136" spans="1:15" s="126" customFormat="1" ht="12.95" customHeight="1" x14ac:dyDescent="0.3">
      <c r="A136" s="229">
        <v>46126</v>
      </c>
      <c r="B136" s="226" t="s">
        <v>329</v>
      </c>
      <c r="C136" s="129">
        <v>1</v>
      </c>
      <c r="D136" s="135">
        <v>13.05</v>
      </c>
      <c r="E136" s="135">
        <v>13.35</v>
      </c>
      <c r="F136" s="135">
        <v>2</v>
      </c>
      <c r="G136" s="133"/>
      <c r="H136" s="133"/>
      <c r="I136" s="232"/>
      <c r="K136" s="138"/>
      <c r="L136" s="128"/>
      <c r="M136" s="129"/>
      <c r="N136" s="129"/>
      <c r="O136" s="127"/>
    </row>
    <row r="137" spans="1:15" s="126" customFormat="1" ht="12.95" customHeight="1" x14ac:dyDescent="0.3">
      <c r="A137" s="229">
        <v>46126</v>
      </c>
      <c r="B137" s="226" t="s">
        <v>330</v>
      </c>
      <c r="C137" s="129">
        <v>1</v>
      </c>
      <c r="D137" s="135">
        <v>13.05</v>
      </c>
      <c r="E137" s="135">
        <v>13.35</v>
      </c>
      <c r="F137" s="135">
        <v>2</v>
      </c>
      <c r="G137" s="133"/>
      <c r="H137" s="133"/>
      <c r="I137" s="232"/>
      <c r="K137" s="138"/>
      <c r="L137" s="128"/>
      <c r="M137" s="129"/>
      <c r="N137" s="129"/>
      <c r="O137" s="127"/>
    </row>
    <row r="138" spans="1:15" s="126" customFormat="1" ht="12.95" customHeight="1" x14ac:dyDescent="0.3">
      <c r="A138" s="229">
        <v>46126</v>
      </c>
      <c r="B138" s="226" t="s">
        <v>331</v>
      </c>
      <c r="C138" s="129">
        <v>1</v>
      </c>
      <c r="D138" s="135">
        <v>13.05</v>
      </c>
      <c r="E138" s="135">
        <v>13.35</v>
      </c>
      <c r="F138" s="135">
        <v>2</v>
      </c>
      <c r="G138" s="133"/>
      <c r="H138" s="133"/>
      <c r="I138" s="232"/>
      <c r="K138" s="138"/>
      <c r="L138" s="128"/>
      <c r="M138" s="129"/>
      <c r="N138" s="129"/>
      <c r="O138" s="127"/>
    </row>
    <row r="139" spans="1:15" s="126" customFormat="1" ht="12.95" customHeight="1" x14ac:dyDescent="0.3">
      <c r="A139" s="229">
        <v>46126</v>
      </c>
      <c r="B139" s="226" t="s">
        <v>359</v>
      </c>
      <c r="C139" s="129">
        <v>1</v>
      </c>
      <c r="D139" s="135">
        <v>13.32</v>
      </c>
      <c r="E139" s="135">
        <v>13.34</v>
      </c>
      <c r="F139" s="135">
        <v>2</v>
      </c>
      <c r="G139" s="133"/>
      <c r="H139" s="133"/>
      <c r="I139" s="232"/>
      <c r="K139" s="138"/>
      <c r="L139" s="128"/>
      <c r="M139" s="129"/>
      <c r="N139" s="129"/>
      <c r="O139" s="127"/>
    </row>
    <row r="140" spans="1:15" s="126" customFormat="1" ht="12.95" customHeight="1" x14ac:dyDescent="0.3">
      <c r="A140" s="230">
        <v>46126</v>
      </c>
      <c r="B140" s="226" t="s">
        <v>360</v>
      </c>
      <c r="C140" s="129">
        <v>1</v>
      </c>
      <c r="D140" s="135">
        <v>9.31</v>
      </c>
      <c r="E140" s="135">
        <v>9.35</v>
      </c>
      <c r="F140" s="135">
        <v>2</v>
      </c>
      <c r="G140" s="133"/>
      <c r="H140" s="133"/>
      <c r="I140" s="232"/>
      <c r="K140" s="138"/>
      <c r="L140" s="128"/>
      <c r="M140" s="129"/>
      <c r="N140" s="129"/>
      <c r="O140" s="127"/>
    </row>
    <row r="141" spans="1:15" s="126" customFormat="1" ht="12.95" customHeight="1" x14ac:dyDescent="0.3">
      <c r="A141" s="230">
        <v>46126</v>
      </c>
      <c r="B141" s="226" t="s">
        <v>361</v>
      </c>
      <c r="C141" s="129">
        <v>1</v>
      </c>
      <c r="D141" s="135">
        <v>9.31</v>
      </c>
      <c r="E141" s="135">
        <v>9.35</v>
      </c>
      <c r="F141" s="135">
        <v>2</v>
      </c>
      <c r="G141" s="133"/>
      <c r="H141" s="133"/>
      <c r="I141" s="232"/>
      <c r="K141" s="138"/>
      <c r="L141" s="128"/>
      <c r="M141" s="129"/>
      <c r="N141" s="129"/>
      <c r="O141" s="127"/>
    </row>
    <row r="142" spans="1:15" s="126" customFormat="1" ht="12.95" customHeight="1" x14ac:dyDescent="0.3">
      <c r="A142" s="230">
        <v>46126</v>
      </c>
      <c r="B142" s="226" t="s">
        <v>362</v>
      </c>
      <c r="C142" s="129">
        <v>1</v>
      </c>
      <c r="D142" s="135">
        <v>9.31</v>
      </c>
      <c r="E142" s="135">
        <v>9.35</v>
      </c>
      <c r="F142" s="135">
        <v>2</v>
      </c>
      <c r="G142" s="133"/>
      <c r="H142" s="133"/>
      <c r="I142" s="232"/>
      <c r="K142" s="138"/>
      <c r="L142" s="128"/>
      <c r="M142" s="129"/>
      <c r="N142" s="129"/>
      <c r="O142" s="127"/>
    </row>
    <row r="143" spans="1:15" s="126" customFormat="1" ht="12.95" customHeight="1" x14ac:dyDescent="0.3">
      <c r="A143" s="230">
        <v>46126</v>
      </c>
      <c r="B143" s="226" t="s">
        <v>363</v>
      </c>
      <c r="C143" s="129">
        <v>1</v>
      </c>
      <c r="D143" s="135">
        <v>9.01</v>
      </c>
      <c r="E143" s="135">
        <v>9.18</v>
      </c>
      <c r="F143" s="135">
        <v>3</v>
      </c>
      <c r="G143" s="133"/>
      <c r="H143" s="133"/>
      <c r="I143" s="232"/>
      <c r="K143" s="138"/>
      <c r="L143" s="128"/>
      <c r="M143" s="129"/>
      <c r="N143" s="129"/>
      <c r="O143" s="127"/>
    </row>
    <row r="144" spans="1:15" s="126" customFormat="1" ht="12.95" customHeight="1" x14ac:dyDescent="0.3">
      <c r="A144" s="230">
        <v>46126</v>
      </c>
      <c r="B144" s="226" t="s">
        <v>364</v>
      </c>
      <c r="C144" s="129">
        <v>1</v>
      </c>
      <c r="D144" s="135">
        <v>9.01</v>
      </c>
      <c r="E144" s="135">
        <v>9.18</v>
      </c>
      <c r="F144" s="135">
        <v>3</v>
      </c>
      <c r="G144" s="133"/>
      <c r="H144" s="133"/>
      <c r="I144" s="232"/>
      <c r="K144" s="138"/>
      <c r="L144" s="128"/>
      <c r="M144" s="129"/>
      <c r="N144" s="129"/>
      <c r="O144" s="127"/>
    </row>
    <row r="145" spans="1:15" s="126" customFormat="1" ht="12.95" customHeight="1" x14ac:dyDescent="0.3">
      <c r="A145" s="230">
        <v>46126</v>
      </c>
      <c r="B145" s="226" t="s">
        <v>365</v>
      </c>
      <c r="C145" s="129">
        <v>1</v>
      </c>
      <c r="D145" s="135">
        <v>9.01</v>
      </c>
      <c r="E145" s="135">
        <v>9.18</v>
      </c>
      <c r="F145" s="135">
        <v>3</v>
      </c>
      <c r="G145" s="133"/>
      <c r="H145" s="133"/>
      <c r="I145" s="232"/>
      <c r="K145" s="138"/>
      <c r="L145" s="128"/>
      <c r="M145" s="129"/>
      <c r="N145" s="129"/>
      <c r="O145" s="127"/>
    </row>
    <row r="146" spans="1:15" s="126" customFormat="1" ht="12.95" customHeight="1" x14ac:dyDescent="0.3">
      <c r="A146" s="230">
        <v>46126</v>
      </c>
      <c r="B146" s="226" t="s">
        <v>366</v>
      </c>
      <c r="C146" s="129">
        <v>1</v>
      </c>
      <c r="D146" s="135">
        <v>9.01</v>
      </c>
      <c r="E146" s="135">
        <v>9.18</v>
      </c>
      <c r="F146" s="135">
        <v>3</v>
      </c>
      <c r="G146" s="133"/>
      <c r="H146" s="133"/>
      <c r="I146" s="232"/>
      <c r="K146" s="138"/>
      <c r="L146" s="128"/>
      <c r="M146" s="129"/>
      <c r="N146" s="129"/>
      <c r="O146" s="127"/>
    </row>
    <row r="147" spans="1:15" s="126" customFormat="1" ht="12.95" customHeight="1" x14ac:dyDescent="0.3">
      <c r="A147" s="230">
        <v>46126</v>
      </c>
      <c r="B147" s="226" t="s">
        <v>367</v>
      </c>
      <c r="C147" s="129">
        <v>1</v>
      </c>
      <c r="D147" s="135">
        <v>9.01</v>
      </c>
      <c r="E147" s="135">
        <v>9.18</v>
      </c>
      <c r="F147" s="135">
        <v>3</v>
      </c>
      <c r="G147" s="133"/>
      <c r="H147" s="133"/>
      <c r="I147" s="232"/>
      <c r="K147" s="138"/>
      <c r="L147" s="128"/>
      <c r="M147" s="129"/>
      <c r="N147" s="129"/>
      <c r="O147" s="127"/>
    </row>
    <row r="148" spans="1:15" s="126" customFormat="1" ht="12.95" customHeight="1" x14ac:dyDescent="0.3">
      <c r="A148" s="230">
        <v>46126</v>
      </c>
      <c r="B148" s="226" t="s">
        <v>368</v>
      </c>
      <c r="C148" s="129">
        <v>1</v>
      </c>
      <c r="D148" s="135">
        <v>9.01</v>
      </c>
      <c r="E148" s="135">
        <v>9.18</v>
      </c>
      <c r="F148" s="135">
        <v>3</v>
      </c>
      <c r="G148" s="133"/>
      <c r="H148" s="133"/>
      <c r="I148" s="232"/>
      <c r="K148" s="138"/>
      <c r="L148" s="128"/>
      <c r="M148" s="129"/>
      <c r="N148" s="129"/>
      <c r="O148" s="127"/>
    </row>
    <row r="149" spans="1:15" s="126" customFormat="1" ht="12.95" customHeight="1" x14ac:dyDescent="0.3">
      <c r="A149" s="230">
        <v>46126</v>
      </c>
      <c r="B149" s="226" t="s">
        <v>369</v>
      </c>
      <c r="C149" s="129">
        <v>1</v>
      </c>
      <c r="D149" s="135">
        <v>9.01</v>
      </c>
      <c r="E149" s="135">
        <v>9.18</v>
      </c>
      <c r="F149" s="135">
        <v>3</v>
      </c>
      <c r="G149" s="133"/>
      <c r="H149" s="133"/>
      <c r="I149" s="232"/>
      <c r="K149" s="138"/>
      <c r="L149" s="128"/>
      <c r="M149" s="129"/>
      <c r="N149" s="129"/>
      <c r="O149" s="127"/>
    </row>
    <row r="150" spans="1:15" s="126" customFormat="1" ht="12.95" customHeight="1" x14ac:dyDescent="0.3">
      <c r="A150" s="230">
        <v>46126</v>
      </c>
      <c r="B150" s="226" t="s">
        <v>370</v>
      </c>
      <c r="C150" s="129">
        <v>1</v>
      </c>
      <c r="D150" s="135">
        <v>9.01</v>
      </c>
      <c r="E150" s="135">
        <v>9.18</v>
      </c>
      <c r="F150" s="135">
        <v>3</v>
      </c>
      <c r="G150" s="133"/>
      <c r="H150" s="133"/>
      <c r="I150" s="232"/>
      <c r="K150" s="138"/>
      <c r="L150" s="128"/>
      <c r="M150" s="129"/>
      <c r="N150" s="129"/>
      <c r="O150" s="127"/>
    </row>
    <row r="151" spans="1:15" s="126" customFormat="1" ht="12.95" customHeight="1" x14ac:dyDescent="0.3">
      <c r="A151" s="230">
        <v>46127</v>
      </c>
      <c r="B151" s="226" t="s">
        <v>371</v>
      </c>
      <c r="C151" s="129">
        <v>1</v>
      </c>
      <c r="D151" s="135">
        <v>10.220000000000001</v>
      </c>
      <c r="E151" s="135">
        <v>10.24</v>
      </c>
      <c r="F151" s="135">
        <v>2</v>
      </c>
      <c r="G151" s="133"/>
      <c r="H151" s="133"/>
      <c r="I151" s="232"/>
      <c r="K151" s="138"/>
      <c r="L151" s="128"/>
      <c r="M151" s="129"/>
      <c r="N151" s="129"/>
      <c r="O151" s="127"/>
    </row>
    <row r="152" spans="1:15" s="126" customFormat="1" ht="12.95" customHeight="1" x14ac:dyDescent="0.3">
      <c r="A152" s="229">
        <v>46128</v>
      </c>
      <c r="B152" s="226" t="s">
        <v>372</v>
      </c>
      <c r="C152" s="129">
        <v>1</v>
      </c>
      <c r="D152" s="135">
        <v>9.2799999999999994</v>
      </c>
      <c r="E152" s="135">
        <v>9.32</v>
      </c>
      <c r="F152" s="135">
        <v>2</v>
      </c>
      <c r="G152" s="133"/>
      <c r="H152" s="133"/>
      <c r="I152" s="232"/>
      <c r="K152" s="138"/>
      <c r="L152" s="128"/>
      <c r="M152" s="129"/>
      <c r="N152" s="129"/>
      <c r="O152" s="127"/>
    </row>
    <row r="153" spans="1:15" s="126" customFormat="1" ht="12.95" customHeight="1" x14ac:dyDescent="0.3">
      <c r="A153" s="229">
        <v>46128</v>
      </c>
      <c r="B153" s="226" t="s">
        <v>373</v>
      </c>
      <c r="C153" s="129">
        <v>1</v>
      </c>
      <c r="D153" s="135">
        <v>9.2799999999999994</v>
      </c>
      <c r="E153" s="135">
        <v>9.32</v>
      </c>
      <c r="F153" s="135">
        <v>2</v>
      </c>
      <c r="G153" s="133"/>
      <c r="H153" s="133"/>
      <c r="I153" s="232"/>
      <c r="K153" s="138"/>
      <c r="L153" s="128"/>
      <c r="M153" s="129"/>
      <c r="N153" s="129"/>
      <c r="O153" s="127"/>
    </row>
    <row r="154" spans="1:15" s="126" customFormat="1" ht="12.95" customHeight="1" x14ac:dyDescent="0.3">
      <c r="A154" s="229">
        <v>46128</v>
      </c>
      <c r="B154" s="226" t="s">
        <v>374</v>
      </c>
      <c r="C154" s="129">
        <v>1</v>
      </c>
      <c r="D154" s="135">
        <v>15.16</v>
      </c>
      <c r="E154" s="135">
        <v>15.21</v>
      </c>
      <c r="F154" s="135">
        <v>3</v>
      </c>
      <c r="G154" s="133"/>
      <c r="H154" s="133"/>
      <c r="I154" s="232"/>
      <c r="K154" s="138"/>
      <c r="L154" s="128"/>
      <c r="M154" s="129"/>
      <c r="N154" s="129"/>
      <c r="O154" s="127"/>
    </row>
    <row r="155" spans="1:15" s="126" customFormat="1" ht="12.95" customHeight="1" x14ac:dyDescent="0.3">
      <c r="A155" s="229">
        <v>46128</v>
      </c>
      <c r="B155" s="226" t="s">
        <v>375</v>
      </c>
      <c r="C155" s="129">
        <v>1</v>
      </c>
      <c r="D155" s="135">
        <v>15.16</v>
      </c>
      <c r="E155" s="135">
        <v>15.21</v>
      </c>
      <c r="F155" s="135">
        <v>3</v>
      </c>
      <c r="G155" s="133"/>
      <c r="H155" s="133"/>
      <c r="I155" s="232"/>
      <c r="K155" s="138"/>
      <c r="L155" s="128"/>
      <c r="M155" s="129"/>
      <c r="N155" s="129"/>
      <c r="O155" s="127"/>
    </row>
    <row r="156" spans="1:15" s="126" customFormat="1" ht="12.95" customHeight="1" x14ac:dyDescent="0.3">
      <c r="A156" s="229">
        <v>46128</v>
      </c>
      <c r="B156" s="226" t="s">
        <v>376</v>
      </c>
      <c r="C156" s="129">
        <v>1</v>
      </c>
      <c r="D156" s="135">
        <v>18.2</v>
      </c>
      <c r="E156" s="135">
        <v>8.31</v>
      </c>
      <c r="F156" s="135">
        <v>3</v>
      </c>
      <c r="G156" s="133"/>
      <c r="H156" s="133"/>
      <c r="I156" s="232"/>
      <c r="K156" s="138"/>
      <c r="L156" s="128"/>
      <c r="M156" s="129"/>
      <c r="N156" s="129"/>
      <c r="O156" s="127"/>
    </row>
    <row r="157" spans="1:15" s="126" customFormat="1" ht="12.95" customHeight="1" x14ac:dyDescent="0.3">
      <c r="A157" s="229">
        <v>46128</v>
      </c>
      <c r="B157" s="226" t="s">
        <v>377</v>
      </c>
      <c r="C157" s="129">
        <v>1</v>
      </c>
      <c r="D157" s="135">
        <v>18.2</v>
      </c>
      <c r="E157" s="135">
        <v>8.31</v>
      </c>
      <c r="F157" s="135">
        <v>3</v>
      </c>
      <c r="G157" s="133"/>
      <c r="H157" s="133"/>
      <c r="I157" s="232"/>
      <c r="K157" s="138"/>
      <c r="L157" s="128"/>
      <c r="M157" s="129"/>
      <c r="N157" s="129"/>
      <c r="O157" s="127"/>
    </row>
    <row r="158" spans="1:15" s="126" customFormat="1" ht="12.95" customHeight="1" x14ac:dyDescent="0.3">
      <c r="A158" s="229">
        <v>46128</v>
      </c>
      <c r="B158" s="226" t="s">
        <v>378</v>
      </c>
      <c r="C158" s="129">
        <v>1</v>
      </c>
      <c r="D158" s="135">
        <v>18.2</v>
      </c>
      <c r="E158" s="135">
        <v>8.31</v>
      </c>
      <c r="F158" s="135">
        <v>3</v>
      </c>
      <c r="G158" s="133"/>
      <c r="H158" s="133"/>
      <c r="I158" s="232"/>
      <c r="K158" s="138"/>
      <c r="L158" s="128"/>
      <c r="M158" s="129"/>
      <c r="N158" s="129"/>
      <c r="O158" s="127"/>
    </row>
    <row r="159" spans="1:15" s="126" customFormat="1" ht="12.95" customHeight="1" x14ac:dyDescent="0.3">
      <c r="A159" s="229">
        <v>46128</v>
      </c>
      <c r="B159" s="226" t="s">
        <v>379</v>
      </c>
      <c r="C159" s="129">
        <v>1</v>
      </c>
      <c r="D159" s="135">
        <v>18.2</v>
      </c>
      <c r="E159" s="135">
        <v>8.31</v>
      </c>
      <c r="F159" s="135">
        <v>3</v>
      </c>
      <c r="G159" s="133"/>
      <c r="H159" s="133"/>
      <c r="I159" s="232"/>
      <c r="K159" s="138"/>
      <c r="L159" s="128"/>
      <c r="M159" s="129"/>
      <c r="N159" s="129"/>
      <c r="O159" s="127"/>
    </row>
    <row r="160" spans="1:15" s="126" customFormat="1" ht="12.95" customHeight="1" x14ac:dyDescent="0.3">
      <c r="A160" s="229">
        <v>46128</v>
      </c>
      <c r="B160" s="226" t="s">
        <v>380</v>
      </c>
      <c r="C160" s="129">
        <v>1</v>
      </c>
      <c r="D160" s="135">
        <v>18.2</v>
      </c>
      <c r="E160" s="135">
        <v>8.31</v>
      </c>
      <c r="F160" s="135">
        <v>3</v>
      </c>
      <c r="G160" s="133"/>
      <c r="H160" s="133"/>
      <c r="I160" s="232"/>
      <c r="K160" s="138"/>
      <c r="L160" s="128"/>
      <c r="M160" s="129"/>
      <c r="N160" s="129"/>
      <c r="O160" s="127"/>
    </row>
    <row r="161" spans="1:15" s="126" customFormat="1" ht="12.95" customHeight="1" x14ac:dyDescent="0.3">
      <c r="A161" s="229">
        <v>46128</v>
      </c>
      <c r="B161" s="226" t="s">
        <v>381</v>
      </c>
      <c r="C161" s="129">
        <v>1</v>
      </c>
      <c r="D161" s="135">
        <v>18.2</v>
      </c>
      <c r="E161" s="135">
        <v>8.31</v>
      </c>
      <c r="F161" s="135">
        <v>3</v>
      </c>
      <c r="G161" s="133"/>
      <c r="H161" s="133"/>
      <c r="I161" s="232"/>
      <c r="K161" s="138"/>
      <c r="L161" s="128"/>
      <c r="M161" s="129"/>
      <c r="N161" s="129"/>
      <c r="O161" s="127"/>
    </row>
    <row r="162" spans="1:15" s="126" customFormat="1" ht="12.95" customHeight="1" x14ac:dyDescent="0.3">
      <c r="A162" s="229">
        <v>46128</v>
      </c>
      <c r="B162" s="226" t="s">
        <v>382</v>
      </c>
      <c r="C162" s="129">
        <v>1</v>
      </c>
      <c r="D162" s="135">
        <v>18.2</v>
      </c>
      <c r="E162" s="135">
        <v>8.31</v>
      </c>
      <c r="F162" s="135">
        <v>3</v>
      </c>
      <c r="G162" s="133"/>
      <c r="H162" s="133"/>
      <c r="I162" s="232"/>
      <c r="K162" s="138"/>
      <c r="L162" s="128"/>
      <c r="M162" s="129"/>
      <c r="N162" s="129"/>
      <c r="O162" s="127"/>
    </row>
    <row r="163" spans="1:15" s="126" customFormat="1" ht="12.95" customHeight="1" x14ac:dyDescent="0.3">
      <c r="A163" s="229">
        <v>46129</v>
      </c>
      <c r="B163" s="226" t="s">
        <v>383</v>
      </c>
      <c r="C163" s="129">
        <v>3</v>
      </c>
      <c r="D163" s="135">
        <v>9.27</v>
      </c>
      <c r="E163" s="135">
        <v>9.33</v>
      </c>
      <c r="F163" s="135">
        <v>2</v>
      </c>
      <c r="G163" s="133"/>
      <c r="H163" s="133"/>
      <c r="I163" s="232"/>
      <c r="K163" s="138"/>
      <c r="L163" s="128"/>
      <c r="M163" s="129"/>
      <c r="N163" s="129"/>
      <c r="O163" s="127"/>
    </row>
    <row r="164" spans="1:15" s="126" customFormat="1" ht="12.95" customHeight="1" x14ac:dyDescent="0.3">
      <c r="A164" s="229">
        <v>46129</v>
      </c>
      <c r="B164" s="226" t="s">
        <v>384</v>
      </c>
      <c r="C164" s="129">
        <v>1</v>
      </c>
      <c r="D164" s="135">
        <v>12.38</v>
      </c>
      <c r="E164" s="135">
        <v>12.4</v>
      </c>
      <c r="F164" s="135">
        <v>2</v>
      </c>
      <c r="G164" s="133"/>
      <c r="H164" s="133"/>
      <c r="I164" s="232"/>
      <c r="K164" s="138"/>
      <c r="L164" s="128"/>
      <c r="M164" s="129"/>
      <c r="N164" s="129"/>
      <c r="O164" s="127"/>
    </row>
    <row r="165" spans="1:15" s="126" customFormat="1" ht="12.95" customHeight="1" x14ac:dyDescent="0.3">
      <c r="A165" s="229">
        <v>46130</v>
      </c>
      <c r="B165" s="226" t="s">
        <v>385</v>
      </c>
      <c r="C165" s="129">
        <v>2</v>
      </c>
      <c r="D165" s="135">
        <v>12.57</v>
      </c>
      <c r="E165" s="135">
        <v>13.01</v>
      </c>
      <c r="F165" s="135">
        <v>2</v>
      </c>
      <c r="G165" s="133"/>
      <c r="H165" s="133"/>
      <c r="I165" s="232"/>
      <c r="K165" s="138"/>
      <c r="L165" s="128"/>
      <c r="M165" s="129"/>
      <c r="N165" s="129"/>
      <c r="O165" s="127"/>
    </row>
    <row r="166" spans="1:15" s="126" customFormat="1" ht="12.95" customHeight="1" x14ac:dyDescent="0.3">
      <c r="A166" s="229">
        <v>46130</v>
      </c>
      <c r="B166" s="226" t="s">
        <v>386</v>
      </c>
      <c r="C166" s="129">
        <v>1</v>
      </c>
      <c r="D166" s="135">
        <v>10.220000000000001</v>
      </c>
      <c r="E166" s="135">
        <v>10.24</v>
      </c>
      <c r="F166" s="135">
        <v>2</v>
      </c>
      <c r="G166" s="133"/>
      <c r="H166" s="133"/>
      <c r="I166" s="232"/>
      <c r="K166" s="138"/>
      <c r="L166" s="128"/>
      <c r="M166" s="129"/>
      <c r="N166" s="129"/>
      <c r="O166" s="127"/>
    </row>
    <row r="167" spans="1:15" s="126" customFormat="1" ht="12.95" customHeight="1" x14ac:dyDescent="0.3">
      <c r="A167" s="229">
        <v>46130</v>
      </c>
      <c r="B167" s="226" t="s">
        <v>387</v>
      </c>
      <c r="C167" s="129">
        <v>1</v>
      </c>
      <c r="D167" s="135">
        <v>13.13</v>
      </c>
      <c r="E167" s="135">
        <v>13.15</v>
      </c>
      <c r="F167" s="135">
        <v>2</v>
      </c>
      <c r="G167" s="133"/>
      <c r="H167" s="133"/>
      <c r="I167" s="232"/>
      <c r="K167" s="138"/>
      <c r="L167" s="128"/>
      <c r="M167" s="129"/>
      <c r="N167" s="129"/>
      <c r="O167" s="127"/>
    </row>
    <row r="168" spans="1:15" s="126" customFormat="1" ht="12.95" customHeight="1" x14ac:dyDescent="0.3">
      <c r="A168" s="229">
        <v>46132</v>
      </c>
      <c r="B168" s="228" t="s">
        <v>388</v>
      </c>
      <c r="C168" s="129">
        <v>1</v>
      </c>
      <c r="D168" s="135">
        <v>13.13</v>
      </c>
      <c r="E168" s="135">
        <v>13.15</v>
      </c>
      <c r="F168" s="135">
        <v>2</v>
      </c>
      <c r="G168" s="133"/>
      <c r="H168" s="133"/>
      <c r="I168" s="232"/>
      <c r="K168" s="138"/>
      <c r="L168" s="128"/>
      <c r="M168" s="129"/>
      <c r="N168" s="129"/>
      <c r="O168" s="127"/>
    </row>
    <row r="169" spans="1:15" s="126" customFormat="1" ht="12.95" customHeight="1" x14ac:dyDescent="0.3">
      <c r="A169" s="229">
        <v>46132</v>
      </c>
      <c r="B169" s="226" t="s">
        <v>389</v>
      </c>
      <c r="C169" s="129">
        <v>1</v>
      </c>
      <c r="D169" s="135">
        <v>15.31</v>
      </c>
      <c r="E169" s="135">
        <v>15.34</v>
      </c>
      <c r="F169" s="135">
        <v>3</v>
      </c>
      <c r="G169" s="133"/>
      <c r="H169" s="133"/>
      <c r="I169" s="232"/>
      <c r="K169" s="138"/>
      <c r="L169" s="128"/>
      <c r="M169" s="129"/>
      <c r="N169" s="129"/>
      <c r="O169" s="127"/>
    </row>
    <row r="170" spans="1:15" s="126" customFormat="1" ht="12.95" customHeight="1" x14ac:dyDescent="0.3">
      <c r="A170" s="229">
        <v>46133</v>
      </c>
      <c r="B170" s="226" t="s">
        <v>390</v>
      </c>
      <c r="C170" s="129">
        <v>1</v>
      </c>
      <c r="D170" s="135">
        <v>10.5</v>
      </c>
      <c r="E170" s="135">
        <v>10.52</v>
      </c>
      <c r="F170" s="135">
        <v>2</v>
      </c>
      <c r="G170" s="133"/>
      <c r="H170" s="133"/>
      <c r="I170" s="232"/>
      <c r="K170" s="138"/>
      <c r="L170" s="128"/>
      <c r="M170" s="129"/>
      <c r="N170" s="129"/>
      <c r="O170" s="127"/>
    </row>
    <row r="171" spans="1:15" s="126" customFormat="1" ht="12.95" customHeight="1" x14ac:dyDescent="0.3">
      <c r="A171" s="229">
        <v>46134</v>
      </c>
      <c r="B171" s="226" t="s">
        <v>391</v>
      </c>
      <c r="C171" s="129">
        <v>1</v>
      </c>
      <c r="D171" s="135">
        <v>9.2899999999999991</v>
      </c>
      <c r="E171" s="135">
        <v>9.32</v>
      </c>
      <c r="F171" s="135">
        <v>3</v>
      </c>
      <c r="G171" s="133"/>
      <c r="H171" s="133"/>
      <c r="I171" s="232"/>
      <c r="K171" s="138"/>
      <c r="L171" s="128"/>
      <c r="M171" s="129"/>
      <c r="N171" s="129"/>
      <c r="O171" s="127"/>
    </row>
    <row r="172" spans="1:15" s="126" customFormat="1" ht="12.95" customHeight="1" x14ac:dyDescent="0.3">
      <c r="A172" s="229">
        <v>46135</v>
      </c>
      <c r="B172" s="226" t="s">
        <v>392</v>
      </c>
      <c r="C172" s="129">
        <v>1</v>
      </c>
      <c r="D172" s="135">
        <v>8.17</v>
      </c>
      <c r="E172" s="135">
        <v>8.19</v>
      </c>
      <c r="F172" s="135">
        <v>2</v>
      </c>
      <c r="G172" s="133"/>
      <c r="H172" s="133"/>
      <c r="I172" s="232"/>
      <c r="K172" s="138"/>
      <c r="L172" s="128"/>
      <c r="M172" s="129"/>
      <c r="N172" s="129"/>
      <c r="O172" s="127"/>
    </row>
    <row r="173" spans="1:15" s="126" customFormat="1" ht="12.95" customHeight="1" x14ac:dyDescent="0.3">
      <c r="A173" s="229">
        <v>46135</v>
      </c>
      <c r="B173" s="226" t="s">
        <v>707</v>
      </c>
      <c r="C173" s="129">
        <v>2</v>
      </c>
      <c r="D173" s="135">
        <v>15.14</v>
      </c>
      <c r="E173" s="135">
        <v>15.2</v>
      </c>
      <c r="F173" s="135">
        <v>3</v>
      </c>
      <c r="G173" s="133"/>
      <c r="H173" s="133"/>
      <c r="I173" s="232"/>
      <c r="K173" s="138"/>
      <c r="L173" s="128"/>
      <c r="M173" s="129"/>
      <c r="N173" s="129"/>
      <c r="O173" s="127"/>
    </row>
    <row r="174" spans="1:15" s="126" customFormat="1" ht="12.95" customHeight="1" x14ac:dyDescent="0.3">
      <c r="A174" s="229">
        <v>46135</v>
      </c>
      <c r="B174" s="226" t="s">
        <v>393</v>
      </c>
      <c r="C174" s="129">
        <v>1</v>
      </c>
      <c r="D174" s="135">
        <v>15</v>
      </c>
      <c r="E174" s="135">
        <v>15.03</v>
      </c>
      <c r="F174" s="135">
        <v>3</v>
      </c>
      <c r="G174" s="133"/>
      <c r="H174" s="133"/>
      <c r="I174" s="232"/>
      <c r="K174" s="138"/>
      <c r="L174" s="128"/>
      <c r="M174" s="129"/>
      <c r="N174" s="129"/>
      <c r="O174" s="127"/>
    </row>
    <row r="175" spans="1:15" s="126" customFormat="1" ht="12.95" customHeight="1" x14ac:dyDescent="0.3">
      <c r="A175" s="229">
        <v>46135</v>
      </c>
      <c r="B175" s="226" t="s">
        <v>394</v>
      </c>
      <c r="C175" s="129">
        <v>1</v>
      </c>
      <c r="D175" s="135">
        <v>19.03</v>
      </c>
      <c r="E175" s="135">
        <v>9.14</v>
      </c>
      <c r="F175" s="135">
        <v>3</v>
      </c>
      <c r="G175" s="133"/>
      <c r="H175" s="133"/>
      <c r="I175" s="232"/>
      <c r="K175" s="138"/>
      <c r="L175" s="128"/>
      <c r="M175" s="129"/>
      <c r="N175" s="129"/>
      <c r="O175" s="127"/>
    </row>
    <row r="176" spans="1:15" s="126" customFormat="1" ht="12.95" customHeight="1" x14ac:dyDescent="0.3">
      <c r="A176" s="229">
        <v>46135</v>
      </c>
      <c r="B176" s="226" t="s">
        <v>395</v>
      </c>
      <c r="C176" s="129">
        <v>1</v>
      </c>
      <c r="D176" s="135">
        <v>19.03</v>
      </c>
      <c r="E176" s="135">
        <v>9.14</v>
      </c>
      <c r="F176" s="135">
        <v>3</v>
      </c>
      <c r="G176" s="133"/>
      <c r="H176" s="133"/>
      <c r="I176" s="232"/>
      <c r="K176" s="138"/>
      <c r="L176" s="128"/>
      <c r="M176" s="129"/>
      <c r="N176" s="129"/>
      <c r="O176" s="127"/>
    </row>
    <row r="177" spans="1:15" s="126" customFormat="1" ht="12.95" customHeight="1" x14ac:dyDescent="0.3">
      <c r="A177" s="229">
        <v>46135</v>
      </c>
      <c r="B177" s="226" t="s">
        <v>396</v>
      </c>
      <c r="C177" s="129">
        <v>1</v>
      </c>
      <c r="D177" s="135">
        <v>19.03</v>
      </c>
      <c r="E177" s="135">
        <v>9.14</v>
      </c>
      <c r="F177" s="135">
        <v>3</v>
      </c>
      <c r="G177" s="133"/>
      <c r="H177" s="133"/>
      <c r="I177" s="232"/>
      <c r="K177" s="138"/>
      <c r="L177" s="128"/>
      <c r="M177" s="129"/>
      <c r="N177" s="129"/>
      <c r="O177" s="127"/>
    </row>
    <row r="178" spans="1:15" s="126" customFormat="1" ht="12.95" customHeight="1" x14ac:dyDescent="0.3">
      <c r="A178" s="229">
        <v>46135</v>
      </c>
      <c r="B178" s="226" t="s">
        <v>397</v>
      </c>
      <c r="C178" s="129">
        <v>1</v>
      </c>
      <c r="D178" s="135">
        <v>19.03</v>
      </c>
      <c r="E178" s="135">
        <v>9.14</v>
      </c>
      <c r="F178" s="135">
        <v>3</v>
      </c>
      <c r="G178" s="133"/>
      <c r="H178" s="133"/>
      <c r="I178" s="232"/>
      <c r="K178" s="138"/>
      <c r="L178" s="128"/>
      <c r="M178" s="129"/>
      <c r="N178" s="129"/>
      <c r="O178" s="127"/>
    </row>
    <row r="179" spans="1:15" s="126" customFormat="1" ht="12.95" customHeight="1" x14ac:dyDescent="0.3">
      <c r="A179" s="229">
        <v>46135</v>
      </c>
      <c r="B179" s="226" t="s">
        <v>398</v>
      </c>
      <c r="C179" s="129">
        <v>1</v>
      </c>
      <c r="D179" s="135">
        <v>19.03</v>
      </c>
      <c r="E179" s="135">
        <v>9.14</v>
      </c>
      <c r="F179" s="135">
        <v>3</v>
      </c>
      <c r="G179" s="133"/>
      <c r="H179" s="133"/>
      <c r="I179" s="232"/>
      <c r="K179" s="138"/>
      <c r="L179" s="128"/>
      <c r="M179" s="129"/>
      <c r="N179" s="129"/>
      <c r="O179" s="127"/>
    </row>
    <row r="180" spans="1:15" s="126" customFormat="1" ht="12.95" customHeight="1" x14ac:dyDescent="0.3">
      <c r="A180" s="229">
        <v>46135</v>
      </c>
      <c r="B180" s="226" t="s">
        <v>399</v>
      </c>
      <c r="C180" s="129">
        <v>1</v>
      </c>
      <c r="D180" s="135">
        <v>19.03</v>
      </c>
      <c r="E180" s="135">
        <v>9.14</v>
      </c>
      <c r="F180" s="135">
        <v>3</v>
      </c>
      <c r="G180" s="133"/>
      <c r="H180" s="133"/>
      <c r="I180" s="232"/>
      <c r="K180" s="138"/>
      <c r="L180" s="128"/>
      <c r="M180" s="129"/>
      <c r="N180" s="129"/>
      <c r="O180" s="127"/>
    </row>
    <row r="181" spans="1:15" s="126" customFormat="1" ht="12.95" customHeight="1" x14ac:dyDescent="0.3">
      <c r="A181" s="229">
        <v>46135</v>
      </c>
      <c r="B181" s="226" t="s">
        <v>400</v>
      </c>
      <c r="C181" s="129">
        <v>1</v>
      </c>
      <c r="D181" s="135">
        <v>19.03</v>
      </c>
      <c r="E181" s="135">
        <v>9.14</v>
      </c>
      <c r="F181" s="135">
        <v>3</v>
      </c>
      <c r="G181" s="133"/>
      <c r="H181" s="133"/>
      <c r="I181" s="232"/>
      <c r="K181" s="138"/>
      <c r="L181" s="128"/>
      <c r="M181" s="129"/>
      <c r="N181" s="129"/>
      <c r="O181" s="127"/>
    </row>
    <row r="182" spans="1:15" s="126" customFormat="1" ht="12.95" customHeight="1" x14ac:dyDescent="0.3">
      <c r="A182" s="229">
        <v>46135</v>
      </c>
      <c r="B182" s="226" t="s">
        <v>401</v>
      </c>
      <c r="C182" s="129">
        <v>1</v>
      </c>
      <c r="D182" s="135">
        <v>19.03</v>
      </c>
      <c r="E182" s="135">
        <v>9.14</v>
      </c>
      <c r="F182" s="135">
        <v>3</v>
      </c>
      <c r="G182" s="133"/>
      <c r="H182" s="133"/>
      <c r="I182" s="232"/>
      <c r="K182" s="138"/>
      <c r="L182" s="128"/>
      <c r="M182" s="129"/>
      <c r="N182" s="129"/>
      <c r="O182" s="127"/>
    </row>
    <row r="183" spans="1:15" s="126" customFormat="1" ht="12.95" customHeight="1" x14ac:dyDescent="0.3">
      <c r="A183" s="229">
        <v>46135</v>
      </c>
      <c r="B183" s="226" t="s">
        <v>402</v>
      </c>
      <c r="C183" s="129">
        <v>1</v>
      </c>
      <c r="D183" s="135">
        <v>19.03</v>
      </c>
      <c r="E183" s="135">
        <v>9.14</v>
      </c>
      <c r="F183" s="135">
        <v>3</v>
      </c>
      <c r="G183" s="133"/>
      <c r="H183" s="133"/>
      <c r="I183" s="232"/>
      <c r="K183" s="138"/>
      <c r="L183" s="128"/>
      <c r="M183" s="129"/>
      <c r="N183" s="129"/>
      <c r="O183" s="127"/>
    </row>
    <row r="184" spans="1:15" s="126" customFormat="1" ht="12.95" customHeight="1" x14ac:dyDescent="0.3">
      <c r="A184" s="229">
        <v>46135</v>
      </c>
      <c r="B184" s="226" t="s">
        <v>403</v>
      </c>
      <c r="C184" s="129">
        <v>1</v>
      </c>
      <c r="D184" s="135">
        <v>19.03</v>
      </c>
      <c r="E184" s="135">
        <v>9.14</v>
      </c>
      <c r="F184" s="135">
        <v>3</v>
      </c>
      <c r="G184" s="133"/>
      <c r="H184" s="133"/>
      <c r="I184" s="232"/>
      <c r="K184" s="138"/>
      <c r="L184" s="128"/>
      <c r="M184" s="129"/>
      <c r="N184" s="129"/>
      <c r="O184" s="127"/>
    </row>
    <row r="185" spans="1:15" s="126" customFormat="1" ht="12.95" customHeight="1" x14ac:dyDescent="0.3">
      <c r="A185" s="229">
        <v>46135</v>
      </c>
      <c r="B185" s="226" t="s">
        <v>404</v>
      </c>
      <c r="C185" s="129">
        <v>1</v>
      </c>
      <c r="D185" s="135">
        <v>19.03</v>
      </c>
      <c r="E185" s="135">
        <v>9.14</v>
      </c>
      <c r="F185" s="135">
        <v>3</v>
      </c>
      <c r="G185" s="133"/>
      <c r="H185" s="133"/>
      <c r="I185" s="232"/>
      <c r="K185" s="138"/>
      <c r="L185" s="128"/>
      <c r="M185" s="129"/>
      <c r="N185" s="129"/>
      <c r="O185" s="127"/>
    </row>
    <row r="186" spans="1:15" s="126" customFormat="1" ht="12.95" customHeight="1" x14ac:dyDescent="0.3">
      <c r="A186" s="229">
        <v>46135</v>
      </c>
      <c r="B186" s="226" t="s">
        <v>405</v>
      </c>
      <c r="C186" s="129">
        <v>1</v>
      </c>
      <c r="D186" s="135">
        <v>19.03</v>
      </c>
      <c r="E186" s="135">
        <v>9.14</v>
      </c>
      <c r="F186" s="135">
        <v>3</v>
      </c>
      <c r="G186" s="133"/>
      <c r="H186" s="133"/>
      <c r="I186" s="232"/>
      <c r="K186" s="138"/>
      <c r="L186" s="128"/>
      <c r="M186" s="129"/>
      <c r="N186" s="129"/>
      <c r="O186" s="127"/>
    </row>
    <row r="187" spans="1:15" s="126" customFormat="1" ht="12.95" customHeight="1" x14ac:dyDescent="0.3">
      <c r="A187" s="229">
        <v>46135</v>
      </c>
      <c r="B187" s="226" t="s">
        <v>406</v>
      </c>
      <c r="C187" s="129">
        <v>1</v>
      </c>
      <c r="D187" s="135">
        <v>19.03</v>
      </c>
      <c r="E187" s="135">
        <v>9.14</v>
      </c>
      <c r="F187" s="135">
        <v>3</v>
      </c>
      <c r="G187" s="133"/>
      <c r="H187" s="133"/>
      <c r="I187" s="232"/>
      <c r="K187" s="138"/>
      <c r="L187" s="128"/>
      <c r="M187" s="129"/>
      <c r="N187" s="129"/>
      <c r="O187" s="127"/>
    </row>
    <row r="188" spans="1:15" s="126" customFormat="1" ht="12.95" customHeight="1" x14ac:dyDescent="0.3">
      <c r="A188" s="229">
        <v>46135</v>
      </c>
      <c r="B188" s="226" t="s">
        <v>407</v>
      </c>
      <c r="C188" s="129">
        <v>1</v>
      </c>
      <c r="D188" s="135">
        <v>19.03</v>
      </c>
      <c r="E188" s="135">
        <v>9.14</v>
      </c>
      <c r="F188" s="135">
        <v>3</v>
      </c>
      <c r="G188" s="133"/>
      <c r="H188" s="133"/>
      <c r="I188" s="232"/>
      <c r="K188" s="138"/>
      <c r="L188" s="128"/>
      <c r="M188" s="129"/>
      <c r="N188" s="129"/>
      <c r="O188" s="127"/>
    </row>
    <row r="189" spans="1:15" s="126" customFormat="1" ht="12.95" customHeight="1" x14ac:dyDescent="0.3">
      <c r="A189" s="229">
        <v>46135</v>
      </c>
      <c r="B189" s="226" t="s">
        <v>408</v>
      </c>
      <c r="C189" s="129">
        <v>1</v>
      </c>
      <c r="D189" s="135">
        <v>19.03</v>
      </c>
      <c r="E189" s="135">
        <v>9.14</v>
      </c>
      <c r="F189" s="135">
        <v>3</v>
      </c>
      <c r="G189" s="133"/>
      <c r="H189" s="133"/>
      <c r="I189" s="232"/>
      <c r="K189" s="138"/>
      <c r="L189" s="128"/>
      <c r="M189" s="129"/>
      <c r="N189" s="129"/>
      <c r="O189" s="127"/>
    </row>
    <row r="190" spans="1:15" s="126" customFormat="1" ht="12.95" customHeight="1" x14ac:dyDescent="0.3">
      <c r="A190" s="229">
        <v>46135</v>
      </c>
      <c r="B190" s="226" t="s">
        <v>409</v>
      </c>
      <c r="C190" s="129">
        <v>1</v>
      </c>
      <c r="D190" s="135">
        <v>19.03</v>
      </c>
      <c r="E190" s="135">
        <v>9.14</v>
      </c>
      <c r="F190" s="135">
        <v>3</v>
      </c>
      <c r="G190" s="133"/>
      <c r="H190" s="133"/>
      <c r="I190" s="232"/>
      <c r="K190" s="138"/>
      <c r="L190" s="128"/>
      <c r="M190" s="129"/>
      <c r="N190" s="129"/>
      <c r="O190" s="127"/>
    </row>
    <row r="191" spans="1:15" s="126" customFormat="1" ht="12.95" customHeight="1" x14ac:dyDescent="0.3">
      <c r="A191" s="229">
        <v>46135</v>
      </c>
      <c r="B191" s="226" t="s">
        <v>410</v>
      </c>
      <c r="C191" s="129">
        <v>1</v>
      </c>
      <c r="D191" s="135">
        <v>19.03</v>
      </c>
      <c r="E191" s="135">
        <v>9.14</v>
      </c>
      <c r="F191" s="135">
        <v>3</v>
      </c>
      <c r="G191" s="133"/>
      <c r="H191" s="133"/>
      <c r="I191" s="232"/>
      <c r="K191" s="138"/>
      <c r="L191" s="128"/>
      <c r="M191" s="129"/>
      <c r="N191" s="129"/>
      <c r="O191" s="127"/>
    </row>
    <row r="192" spans="1:15" s="126" customFormat="1" ht="12.95" customHeight="1" x14ac:dyDescent="0.3">
      <c r="A192" s="229">
        <v>46135</v>
      </c>
      <c r="B192" s="226" t="s">
        <v>411</v>
      </c>
      <c r="C192" s="129">
        <v>1</v>
      </c>
      <c r="D192" s="135">
        <v>19.03</v>
      </c>
      <c r="E192" s="135">
        <v>9.14</v>
      </c>
      <c r="F192" s="135">
        <v>3</v>
      </c>
      <c r="G192" s="133"/>
      <c r="H192" s="133"/>
      <c r="I192" s="232"/>
      <c r="K192" s="138"/>
      <c r="L192" s="128"/>
      <c r="M192" s="129"/>
      <c r="N192" s="129"/>
      <c r="O192" s="127"/>
    </row>
    <row r="193" spans="1:15" s="126" customFormat="1" ht="12.95" customHeight="1" x14ac:dyDescent="0.3">
      <c r="A193" s="229">
        <v>46135</v>
      </c>
      <c r="B193" s="226" t="s">
        <v>412</v>
      </c>
      <c r="C193" s="129">
        <v>1</v>
      </c>
      <c r="D193" s="135">
        <v>19.03</v>
      </c>
      <c r="E193" s="135">
        <v>9.14</v>
      </c>
      <c r="F193" s="135">
        <v>3</v>
      </c>
      <c r="G193" s="133"/>
      <c r="H193" s="133"/>
      <c r="I193" s="232"/>
      <c r="K193" s="138"/>
      <c r="L193" s="128"/>
      <c r="M193" s="129"/>
      <c r="N193" s="129"/>
      <c r="O193" s="127"/>
    </row>
    <row r="194" spans="1:15" s="126" customFormat="1" ht="12.95" customHeight="1" x14ac:dyDescent="0.3">
      <c r="A194" s="229">
        <v>46136</v>
      </c>
      <c r="B194" s="226" t="s">
        <v>414</v>
      </c>
      <c r="C194" s="129">
        <v>1</v>
      </c>
      <c r="D194" s="135">
        <v>10.16</v>
      </c>
      <c r="E194" s="135">
        <v>10.19</v>
      </c>
      <c r="F194" s="135">
        <v>3</v>
      </c>
      <c r="G194" s="133"/>
      <c r="H194" s="133"/>
      <c r="I194" s="232"/>
      <c r="K194" s="138"/>
      <c r="L194" s="128"/>
      <c r="M194" s="129"/>
      <c r="N194" s="129"/>
      <c r="O194" s="127"/>
    </row>
    <row r="195" spans="1:15" s="126" customFormat="1" ht="12.95" customHeight="1" x14ac:dyDescent="0.3">
      <c r="A195" s="229">
        <v>46136</v>
      </c>
      <c r="B195" s="226" t="s">
        <v>417</v>
      </c>
      <c r="C195" s="129">
        <v>1</v>
      </c>
      <c r="D195" s="135">
        <v>8.19</v>
      </c>
      <c r="E195" s="135">
        <v>10.130000000000001</v>
      </c>
      <c r="F195" s="135">
        <v>2</v>
      </c>
      <c r="G195" s="133"/>
      <c r="H195" s="133"/>
      <c r="I195" s="232"/>
      <c r="K195" s="138"/>
      <c r="L195" s="128"/>
      <c r="M195" s="129"/>
      <c r="N195" s="129"/>
      <c r="O195" s="127"/>
    </row>
    <row r="196" spans="1:15" s="126" customFormat="1" ht="12.95" customHeight="1" x14ac:dyDescent="0.3">
      <c r="A196" s="229">
        <v>46136</v>
      </c>
      <c r="B196" s="226" t="s">
        <v>418</v>
      </c>
      <c r="C196" s="129">
        <v>1</v>
      </c>
      <c r="D196" s="135">
        <v>8.19</v>
      </c>
      <c r="E196" s="135">
        <v>10.130000000000001</v>
      </c>
      <c r="F196" s="135">
        <v>2</v>
      </c>
      <c r="G196" s="133"/>
      <c r="H196" s="133"/>
      <c r="I196" s="232"/>
      <c r="K196" s="138"/>
      <c r="L196" s="128"/>
      <c r="M196" s="129"/>
      <c r="N196" s="129"/>
      <c r="O196" s="127"/>
    </row>
    <row r="197" spans="1:15" s="126" customFormat="1" ht="12.95" customHeight="1" x14ac:dyDescent="0.3">
      <c r="A197" s="229">
        <v>46136</v>
      </c>
      <c r="B197" s="226" t="s">
        <v>419</v>
      </c>
      <c r="C197" s="129">
        <v>1</v>
      </c>
      <c r="D197" s="135">
        <v>8.19</v>
      </c>
      <c r="E197" s="135">
        <v>10.130000000000001</v>
      </c>
      <c r="F197" s="135">
        <v>2</v>
      </c>
      <c r="G197" s="133"/>
      <c r="H197" s="133"/>
      <c r="I197" s="232"/>
      <c r="K197" s="138"/>
      <c r="L197" s="128"/>
      <c r="M197" s="129"/>
      <c r="N197" s="129"/>
      <c r="O197" s="127"/>
    </row>
    <row r="198" spans="1:15" s="126" customFormat="1" ht="12.95" customHeight="1" x14ac:dyDescent="0.3">
      <c r="A198" s="229">
        <v>46136</v>
      </c>
      <c r="B198" s="226" t="s">
        <v>420</v>
      </c>
      <c r="C198" s="129">
        <v>1</v>
      </c>
      <c r="D198" s="135">
        <v>8.19</v>
      </c>
      <c r="E198" s="135">
        <v>10.130000000000001</v>
      </c>
      <c r="F198" s="135">
        <v>2</v>
      </c>
      <c r="G198" s="133"/>
      <c r="H198" s="133"/>
      <c r="I198" s="232"/>
      <c r="K198" s="138"/>
      <c r="L198" s="128"/>
      <c r="M198" s="129"/>
      <c r="N198" s="129"/>
      <c r="O198" s="127"/>
    </row>
    <row r="199" spans="1:15" s="126" customFormat="1" ht="12.95" customHeight="1" x14ac:dyDescent="0.3">
      <c r="A199" s="229">
        <v>46136</v>
      </c>
      <c r="B199" s="226" t="s">
        <v>421</v>
      </c>
      <c r="C199" s="129">
        <v>1</v>
      </c>
      <c r="D199" s="135">
        <v>8.19</v>
      </c>
      <c r="E199" s="135">
        <v>10.130000000000001</v>
      </c>
      <c r="F199" s="135">
        <v>2</v>
      </c>
      <c r="G199" s="133"/>
      <c r="H199" s="133"/>
      <c r="I199" s="232"/>
      <c r="K199" s="138"/>
      <c r="L199" s="128"/>
      <c r="M199" s="129"/>
      <c r="N199" s="129"/>
      <c r="O199" s="127"/>
    </row>
    <row r="200" spans="1:15" s="126" customFormat="1" ht="12.95" customHeight="1" x14ac:dyDescent="0.3">
      <c r="A200" s="229">
        <v>46136</v>
      </c>
      <c r="B200" s="226" t="s">
        <v>422</v>
      </c>
      <c r="C200" s="129">
        <v>1</v>
      </c>
      <c r="D200" s="135">
        <v>8.19</v>
      </c>
      <c r="E200" s="135">
        <v>10.130000000000001</v>
      </c>
      <c r="F200" s="135">
        <v>2</v>
      </c>
      <c r="G200" s="133"/>
      <c r="H200" s="133"/>
      <c r="I200" s="232"/>
      <c r="K200" s="138"/>
      <c r="L200" s="128"/>
      <c r="M200" s="129"/>
      <c r="N200" s="129"/>
      <c r="O200" s="127"/>
    </row>
    <row r="201" spans="1:15" s="126" customFormat="1" ht="12.95" customHeight="1" x14ac:dyDescent="0.3">
      <c r="A201" s="229">
        <v>46136</v>
      </c>
      <c r="B201" s="226" t="s">
        <v>423</v>
      </c>
      <c r="C201" s="129">
        <v>1</v>
      </c>
      <c r="D201" s="135">
        <v>8.19</v>
      </c>
      <c r="E201" s="135">
        <v>10.130000000000001</v>
      </c>
      <c r="F201" s="135">
        <v>2</v>
      </c>
      <c r="G201" s="133"/>
      <c r="H201" s="133"/>
      <c r="I201" s="232"/>
      <c r="K201" s="138"/>
      <c r="L201" s="128"/>
      <c r="M201" s="129"/>
      <c r="N201" s="129"/>
      <c r="O201" s="127"/>
    </row>
    <row r="202" spans="1:15" s="126" customFormat="1" ht="12.95" customHeight="1" x14ac:dyDescent="0.3">
      <c r="A202" s="229">
        <v>46136</v>
      </c>
      <c r="B202" s="226" t="s">
        <v>424</v>
      </c>
      <c r="C202" s="129">
        <v>1</v>
      </c>
      <c r="D202" s="135">
        <v>8.19</v>
      </c>
      <c r="E202" s="135">
        <v>10.130000000000001</v>
      </c>
      <c r="F202" s="135">
        <v>2</v>
      </c>
      <c r="G202" s="133"/>
      <c r="H202" s="133"/>
      <c r="I202" s="232"/>
      <c r="K202" s="138"/>
      <c r="L202" s="128"/>
      <c r="M202" s="129"/>
      <c r="N202" s="129"/>
      <c r="O202" s="127"/>
    </row>
    <row r="203" spans="1:15" s="126" customFormat="1" ht="12.95" customHeight="1" x14ac:dyDescent="0.3">
      <c r="A203" s="229">
        <v>46136</v>
      </c>
      <c r="B203" s="226" t="s">
        <v>425</v>
      </c>
      <c r="C203" s="129">
        <v>1</v>
      </c>
      <c r="D203" s="135">
        <v>8.19</v>
      </c>
      <c r="E203" s="135">
        <v>10.130000000000001</v>
      </c>
      <c r="F203" s="135">
        <v>2</v>
      </c>
      <c r="G203" s="133"/>
      <c r="H203" s="133"/>
      <c r="I203" s="232"/>
      <c r="K203" s="138"/>
      <c r="L203" s="128"/>
      <c r="M203" s="129"/>
      <c r="N203" s="129"/>
      <c r="O203" s="127"/>
    </row>
    <row r="204" spans="1:15" s="126" customFormat="1" ht="12.95" customHeight="1" x14ac:dyDescent="0.3">
      <c r="A204" s="229">
        <v>46136</v>
      </c>
      <c r="B204" s="226" t="s">
        <v>426</v>
      </c>
      <c r="C204" s="129">
        <v>1</v>
      </c>
      <c r="D204" s="135">
        <v>8.19</v>
      </c>
      <c r="E204" s="135">
        <v>10.130000000000001</v>
      </c>
      <c r="F204" s="135">
        <v>2</v>
      </c>
      <c r="G204" s="133"/>
      <c r="H204" s="133"/>
      <c r="I204" s="232"/>
      <c r="K204" s="138"/>
      <c r="L204" s="128"/>
      <c r="M204" s="129"/>
      <c r="N204" s="129"/>
      <c r="O204" s="127"/>
    </row>
    <row r="205" spans="1:15" s="126" customFormat="1" ht="12.95" customHeight="1" x14ac:dyDescent="0.3">
      <c r="A205" s="229">
        <v>46136</v>
      </c>
      <c r="B205" s="226" t="s">
        <v>427</v>
      </c>
      <c r="C205" s="129">
        <v>1</v>
      </c>
      <c r="D205" s="135">
        <v>8.19</v>
      </c>
      <c r="E205" s="135">
        <v>10.130000000000001</v>
      </c>
      <c r="F205" s="135">
        <v>2</v>
      </c>
      <c r="G205" s="133"/>
      <c r="H205" s="133"/>
      <c r="I205" s="232"/>
      <c r="K205" s="138"/>
      <c r="L205" s="128"/>
      <c r="M205" s="129"/>
      <c r="N205" s="129"/>
      <c r="O205" s="127"/>
    </row>
    <row r="206" spans="1:15" s="126" customFormat="1" ht="12.95" customHeight="1" x14ac:dyDescent="0.3">
      <c r="A206" s="229">
        <v>46136</v>
      </c>
      <c r="B206" s="226" t="s">
        <v>428</v>
      </c>
      <c r="C206" s="129">
        <v>1</v>
      </c>
      <c r="D206" s="135">
        <v>8.19</v>
      </c>
      <c r="E206" s="135">
        <v>10.130000000000001</v>
      </c>
      <c r="F206" s="135">
        <v>2</v>
      </c>
      <c r="G206" s="133"/>
      <c r="H206" s="133"/>
      <c r="I206" s="232"/>
      <c r="K206" s="138"/>
      <c r="L206" s="128"/>
      <c r="M206" s="129"/>
      <c r="N206" s="129"/>
      <c r="O206" s="127"/>
    </row>
    <row r="207" spans="1:15" s="126" customFormat="1" ht="12.95" customHeight="1" x14ac:dyDescent="0.3">
      <c r="A207" s="229">
        <v>46136</v>
      </c>
      <c r="B207" s="226" t="s">
        <v>429</v>
      </c>
      <c r="C207" s="129">
        <v>1</v>
      </c>
      <c r="D207" s="135">
        <v>8.19</v>
      </c>
      <c r="E207" s="135">
        <v>10.130000000000001</v>
      </c>
      <c r="F207" s="135">
        <v>2</v>
      </c>
      <c r="G207" s="133"/>
      <c r="H207" s="133"/>
      <c r="I207" s="232"/>
      <c r="K207" s="138"/>
      <c r="L207" s="128"/>
      <c r="M207" s="129"/>
      <c r="N207" s="129"/>
      <c r="O207" s="127"/>
    </row>
    <row r="208" spans="1:15" s="126" customFormat="1" ht="12.95" customHeight="1" x14ac:dyDescent="0.3">
      <c r="A208" s="229">
        <v>46136</v>
      </c>
      <c r="B208" s="226" t="s">
        <v>430</v>
      </c>
      <c r="C208" s="129">
        <v>1</v>
      </c>
      <c r="D208" s="135">
        <v>8.19</v>
      </c>
      <c r="E208" s="135">
        <v>10.130000000000001</v>
      </c>
      <c r="F208" s="135">
        <v>2</v>
      </c>
      <c r="G208" s="133"/>
      <c r="H208" s="133"/>
      <c r="I208" s="232"/>
      <c r="K208" s="138"/>
      <c r="L208" s="128"/>
      <c r="M208" s="129"/>
      <c r="N208" s="129"/>
      <c r="O208" s="127"/>
    </row>
    <row r="209" spans="1:15" s="126" customFormat="1" ht="12.95" customHeight="1" x14ac:dyDescent="0.3">
      <c r="A209" s="229">
        <v>46136</v>
      </c>
      <c r="B209" s="226" t="s">
        <v>431</v>
      </c>
      <c r="C209" s="129">
        <v>1</v>
      </c>
      <c r="D209" s="135">
        <v>8.19</v>
      </c>
      <c r="E209" s="135">
        <v>10.130000000000001</v>
      </c>
      <c r="F209" s="135">
        <v>2</v>
      </c>
      <c r="G209" s="133"/>
      <c r="H209" s="133"/>
      <c r="I209" s="232"/>
      <c r="K209" s="138"/>
      <c r="L209" s="128"/>
      <c r="M209" s="129"/>
      <c r="N209" s="129"/>
      <c r="O209" s="127"/>
    </row>
    <row r="210" spans="1:15" s="126" customFormat="1" ht="12.95" customHeight="1" x14ac:dyDescent="0.3">
      <c r="A210" s="229">
        <v>46136</v>
      </c>
      <c r="B210" s="226" t="s">
        <v>432</v>
      </c>
      <c r="C210" s="129">
        <v>1</v>
      </c>
      <c r="D210" s="135">
        <v>8.19</v>
      </c>
      <c r="E210" s="135">
        <v>10.130000000000001</v>
      </c>
      <c r="F210" s="135">
        <v>2</v>
      </c>
      <c r="G210" s="133"/>
      <c r="H210" s="133"/>
      <c r="I210" s="232"/>
      <c r="K210" s="138"/>
      <c r="L210" s="128"/>
      <c r="M210" s="129"/>
      <c r="N210" s="129"/>
      <c r="O210" s="127"/>
    </row>
    <row r="211" spans="1:15" s="126" customFormat="1" ht="12.95" customHeight="1" x14ac:dyDescent="0.3">
      <c r="A211" s="229">
        <v>46136</v>
      </c>
      <c r="B211" s="226" t="s">
        <v>433</v>
      </c>
      <c r="C211" s="129">
        <v>1</v>
      </c>
      <c r="D211" s="135">
        <v>8.19</v>
      </c>
      <c r="E211" s="135">
        <v>10.130000000000001</v>
      </c>
      <c r="F211" s="135">
        <v>2</v>
      </c>
      <c r="G211" s="133"/>
      <c r="H211" s="133"/>
      <c r="I211" s="232"/>
      <c r="K211" s="138"/>
      <c r="L211" s="128"/>
      <c r="M211" s="129"/>
      <c r="N211" s="129"/>
      <c r="O211" s="127"/>
    </row>
    <row r="212" spans="1:15" s="126" customFormat="1" ht="12.95" customHeight="1" x14ac:dyDescent="0.3">
      <c r="A212" s="229">
        <v>46136</v>
      </c>
      <c r="B212" s="226" t="s">
        <v>434</v>
      </c>
      <c r="C212" s="129">
        <v>1</v>
      </c>
      <c r="D212" s="135">
        <v>8.19</v>
      </c>
      <c r="E212" s="135">
        <v>10.130000000000001</v>
      </c>
      <c r="F212" s="135">
        <v>2</v>
      </c>
      <c r="G212" s="133"/>
      <c r="H212" s="133"/>
      <c r="I212" s="232"/>
      <c r="K212" s="138"/>
      <c r="L212" s="128"/>
      <c r="M212" s="129"/>
      <c r="N212" s="129"/>
      <c r="O212" s="127"/>
    </row>
    <row r="213" spans="1:15" s="126" customFormat="1" ht="12.95" customHeight="1" x14ac:dyDescent="0.3">
      <c r="A213" s="229">
        <v>46136</v>
      </c>
      <c r="B213" s="226" t="s">
        <v>435</v>
      </c>
      <c r="C213" s="129">
        <v>1</v>
      </c>
      <c r="D213" s="135">
        <v>8.19</v>
      </c>
      <c r="E213" s="135">
        <v>10.130000000000001</v>
      </c>
      <c r="F213" s="135">
        <v>2</v>
      </c>
      <c r="G213" s="133"/>
      <c r="H213" s="133"/>
      <c r="I213" s="232"/>
      <c r="K213" s="138"/>
      <c r="L213" s="128"/>
      <c r="M213" s="129"/>
      <c r="N213" s="129"/>
      <c r="O213" s="127"/>
    </row>
    <row r="214" spans="1:15" s="126" customFormat="1" ht="12.95" customHeight="1" x14ac:dyDescent="0.3">
      <c r="A214" s="229">
        <v>46136</v>
      </c>
      <c r="B214" s="226" t="s">
        <v>436</v>
      </c>
      <c r="C214" s="129">
        <v>1</v>
      </c>
      <c r="D214" s="135">
        <v>8.19</v>
      </c>
      <c r="E214" s="135">
        <v>10.130000000000001</v>
      </c>
      <c r="F214" s="135">
        <v>2</v>
      </c>
      <c r="G214" s="133"/>
      <c r="H214" s="133"/>
      <c r="I214" s="232"/>
      <c r="K214" s="138"/>
      <c r="L214" s="128"/>
      <c r="M214" s="129"/>
      <c r="N214" s="129"/>
      <c r="O214" s="127"/>
    </row>
    <row r="215" spans="1:15" s="126" customFormat="1" ht="12.95" customHeight="1" x14ac:dyDescent="0.3">
      <c r="A215" s="229">
        <v>46136</v>
      </c>
      <c r="B215" s="226" t="s">
        <v>437</v>
      </c>
      <c r="C215" s="129">
        <v>1</v>
      </c>
      <c r="D215" s="135">
        <v>8.19</v>
      </c>
      <c r="E215" s="135">
        <v>10.130000000000001</v>
      </c>
      <c r="F215" s="135">
        <v>2</v>
      </c>
      <c r="G215" s="133"/>
      <c r="H215" s="133"/>
      <c r="I215" s="232"/>
      <c r="K215" s="138"/>
      <c r="L215" s="128"/>
      <c r="M215" s="129"/>
      <c r="N215" s="129"/>
      <c r="O215" s="127"/>
    </row>
    <row r="216" spans="1:15" s="126" customFormat="1" ht="12.95" customHeight="1" x14ac:dyDescent="0.3">
      <c r="A216" s="229">
        <v>46136</v>
      </c>
      <c r="B216" s="226" t="s">
        <v>438</v>
      </c>
      <c r="C216" s="129">
        <v>1</v>
      </c>
      <c r="D216" s="135">
        <v>8.19</v>
      </c>
      <c r="E216" s="135">
        <v>10.130000000000001</v>
      </c>
      <c r="F216" s="135">
        <v>2</v>
      </c>
      <c r="G216" s="133"/>
      <c r="H216" s="133"/>
      <c r="I216" s="232"/>
      <c r="K216" s="138"/>
      <c r="L216" s="128"/>
      <c r="M216" s="129"/>
      <c r="N216" s="129"/>
      <c r="O216" s="127"/>
    </row>
    <row r="217" spans="1:15" s="126" customFormat="1" ht="12.95" customHeight="1" x14ac:dyDescent="0.3">
      <c r="A217" s="229">
        <v>46136</v>
      </c>
      <c r="B217" s="226" t="s">
        <v>439</v>
      </c>
      <c r="C217" s="129">
        <v>1</v>
      </c>
      <c r="D217" s="135">
        <v>8.19</v>
      </c>
      <c r="E217" s="135">
        <v>10.130000000000001</v>
      </c>
      <c r="F217" s="135">
        <v>2</v>
      </c>
      <c r="G217" s="133"/>
      <c r="H217" s="133"/>
      <c r="I217" s="232"/>
      <c r="K217" s="138"/>
      <c r="L217" s="128"/>
      <c r="M217" s="129"/>
      <c r="N217" s="129"/>
      <c r="O217" s="127"/>
    </row>
    <row r="218" spans="1:15" s="126" customFormat="1" ht="12.95" customHeight="1" x14ac:dyDescent="0.3">
      <c r="A218" s="229">
        <v>46136</v>
      </c>
      <c r="B218" s="226" t="s">
        <v>440</v>
      </c>
      <c r="C218" s="129">
        <v>1</v>
      </c>
      <c r="D218" s="135">
        <v>8.19</v>
      </c>
      <c r="E218" s="135">
        <v>10.130000000000001</v>
      </c>
      <c r="F218" s="135">
        <v>2</v>
      </c>
      <c r="G218" s="133"/>
      <c r="H218" s="133"/>
      <c r="I218" s="232"/>
      <c r="K218" s="138"/>
      <c r="L218" s="128"/>
      <c r="M218" s="129"/>
      <c r="N218" s="129"/>
      <c r="O218" s="127"/>
    </row>
    <row r="219" spans="1:15" s="126" customFormat="1" ht="12.95" customHeight="1" x14ac:dyDescent="0.3">
      <c r="A219" s="229">
        <v>46136</v>
      </c>
      <c r="B219" s="226" t="s">
        <v>441</v>
      </c>
      <c r="C219" s="129">
        <v>1</v>
      </c>
      <c r="D219" s="135">
        <v>8.19</v>
      </c>
      <c r="E219" s="135">
        <v>10.130000000000001</v>
      </c>
      <c r="F219" s="135">
        <v>2</v>
      </c>
      <c r="G219" s="133"/>
      <c r="H219" s="133"/>
      <c r="I219" s="232"/>
      <c r="K219" s="138"/>
      <c r="L219" s="128"/>
      <c r="M219" s="129"/>
      <c r="N219" s="129"/>
      <c r="O219" s="127"/>
    </row>
    <row r="220" spans="1:15" s="126" customFormat="1" ht="12.95" customHeight="1" x14ac:dyDescent="0.3">
      <c r="A220" s="229">
        <v>46136</v>
      </c>
      <c r="B220" s="226" t="s">
        <v>442</v>
      </c>
      <c r="C220" s="129">
        <v>1</v>
      </c>
      <c r="D220" s="135">
        <v>8.19</v>
      </c>
      <c r="E220" s="135">
        <v>10.130000000000001</v>
      </c>
      <c r="F220" s="135">
        <v>2</v>
      </c>
      <c r="G220" s="133"/>
      <c r="H220" s="133"/>
      <c r="I220" s="232"/>
      <c r="K220" s="138"/>
      <c r="L220" s="128"/>
      <c r="M220" s="129"/>
      <c r="N220" s="129"/>
      <c r="O220" s="127"/>
    </row>
    <row r="221" spans="1:15" s="126" customFormat="1" ht="12.95" customHeight="1" x14ac:dyDescent="0.3">
      <c r="A221" s="229">
        <v>46136</v>
      </c>
      <c r="B221" s="226" t="s">
        <v>443</v>
      </c>
      <c r="C221" s="129">
        <v>1</v>
      </c>
      <c r="D221" s="135">
        <v>8.19</v>
      </c>
      <c r="E221" s="135">
        <v>10.130000000000001</v>
      </c>
      <c r="F221" s="135">
        <v>2</v>
      </c>
      <c r="G221" s="133"/>
      <c r="H221" s="133"/>
      <c r="I221" s="232"/>
      <c r="K221" s="138"/>
      <c r="L221" s="128"/>
      <c r="M221" s="129"/>
      <c r="N221" s="129"/>
      <c r="O221" s="127"/>
    </row>
    <row r="222" spans="1:15" s="126" customFormat="1" ht="12.95" customHeight="1" x14ac:dyDescent="0.3">
      <c r="A222" s="229">
        <v>46136</v>
      </c>
      <c r="B222" s="226" t="s">
        <v>444</v>
      </c>
      <c r="C222" s="129">
        <v>1</v>
      </c>
      <c r="D222" s="135">
        <v>8.19</v>
      </c>
      <c r="E222" s="135">
        <v>10.130000000000001</v>
      </c>
      <c r="F222" s="135">
        <v>2</v>
      </c>
      <c r="G222" s="133"/>
      <c r="H222" s="133"/>
      <c r="I222" s="232"/>
      <c r="K222" s="138"/>
      <c r="L222" s="128"/>
      <c r="M222" s="129"/>
      <c r="N222" s="129"/>
      <c r="O222" s="127"/>
    </row>
    <row r="223" spans="1:15" s="126" customFormat="1" ht="12.95" customHeight="1" x14ac:dyDescent="0.3">
      <c r="A223" s="229">
        <v>46136</v>
      </c>
      <c r="B223" s="226" t="s">
        <v>445</v>
      </c>
      <c r="C223" s="129">
        <v>1</v>
      </c>
      <c r="D223" s="135">
        <v>8.19</v>
      </c>
      <c r="E223" s="135">
        <v>10.130000000000001</v>
      </c>
      <c r="F223" s="135">
        <v>2</v>
      </c>
      <c r="G223" s="133"/>
      <c r="H223" s="133"/>
      <c r="I223" s="232"/>
      <c r="K223" s="138"/>
      <c r="L223" s="128"/>
      <c r="M223" s="129"/>
      <c r="N223" s="129"/>
      <c r="O223" s="127"/>
    </row>
    <row r="224" spans="1:15" s="126" customFormat="1" ht="12.95" customHeight="1" x14ac:dyDescent="0.3">
      <c r="A224" s="229">
        <v>46136</v>
      </c>
      <c r="B224" s="226" t="s">
        <v>446</v>
      </c>
      <c r="C224" s="129">
        <v>1</v>
      </c>
      <c r="D224" s="135">
        <v>8.19</v>
      </c>
      <c r="E224" s="135">
        <v>10.130000000000001</v>
      </c>
      <c r="F224" s="135">
        <v>2</v>
      </c>
      <c r="G224" s="133"/>
      <c r="H224" s="133"/>
      <c r="I224" s="232"/>
      <c r="K224" s="138"/>
      <c r="L224" s="128"/>
      <c r="M224" s="129"/>
      <c r="N224" s="129"/>
      <c r="O224" s="127"/>
    </row>
    <row r="225" spans="1:15" s="126" customFormat="1" ht="12.95" customHeight="1" x14ac:dyDescent="0.3">
      <c r="A225" s="229">
        <v>46136</v>
      </c>
      <c r="B225" s="226" t="s">
        <v>447</v>
      </c>
      <c r="C225" s="129">
        <v>1</v>
      </c>
      <c r="D225" s="135">
        <v>8.19</v>
      </c>
      <c r="E225" s="135">
        <v>10.130000000000001</v>
      </c>
      <c r="F225" s="135">
        <v>2</v>
      </c>
      <c r="G225" s="133"/>
      <c r="H225" s="133"/>
      <c r="I225" s="232"/>
      <c r="K225" s="138"/>
      <c r="L225" s="128"/>
      <c r="M225" s="129"/>
      <c r="N225" s="129"/>
      <c r="O225" s="127"/>
    </row>
    <row r="226" spans="1:15" s="126" customFormat="1" ht="12.95" customHeight="1" x14ac:dyDescent="0.3">
      <c r="A226" s="229">
        <v>46136</v>
      </c>
      <c r="B226" s="226" t="s">
        <v>448</v>
      </c>
      <c r="C226" s="129">
        <v>1</v>
      </c>
      <c r="D226" s="135">
        <v>8.19</v>
      </c>
      <c r="E226" s="135">
        <v>10.130000000000001</v>
      </c>
      <c r="F226" s="135">
        <v>2</v>
      </c>
      <c r="G226" s="133"/>
      <c r="H226" s="133"/>
      <c r="I226" s="232"/>
      <c r="K226" s="138"/>
      <c r="L226" s="128"/>
      <c r="M226" s="129"/>
      <c r="N226" s="129"/>
      <c r="O226" s="127"/>
    </row>
    <row r="227" spans="1:15" s="126" customFormat="1" ht="12.95" customHeight="1" x14ac:dyDescent="0.3">
      <c r="A227" s="229">
        <v>46136</v>
      </c>
      <c r="B227" s="226" t="s">
        <v>449</v>
      </c>
      <c r="C227" s="129">
        <v>1</v>
      </c>
      <c r="D227" s="135">
        <v>8.19</v>
      </c>
      <c r="E227" s="135">
        <v>10.130000000000001</v>
      </c>
      <c r="F227" s="135">
        <v>2</v>
      </c>
      <c r="G227" s="133"/>
      <c r="H227" s="133"/>
      <c r="I227" s="232"/>
      <c r="K227" s="138"/>
      <c r="L227" s="128"/>
      <c r="M227" s="129"/>
      <c r="N227" s="129"/>
      <c r="O227" s="127"/>
    </row>
    <row r="228" spans="1:15" s="126" customFormat="1" ht="12.95" customHeight="1" x14ac:dyDescent="0.3">
      <c r="A228" s="229">
        <v>46136</v>
      </c>
      <c r="B228" s="226" t="s">
        <v>450</v>
      </c>
      <c r="C228" s="129">
        <v>1</v>
      </c>
      <c r="D228" s="135">
        <v>8.19</v>
      </c>
      <c r="E228" s="135">
        <v>10.130000000000001</v>
      </c>
      <c r="F228" s="135">
        <v>2</v>
      </c>
      <c r="G228" s="133"/>
      <c r="H228" s="133"/>
      <c r="I228" s="232"/>
      <c r="K228" s="138"/>
      <c r="L228" s="128"/>
      <c r="M228" s="129"/>
      <c r="N228" s="129"/>
      <c r="O228" s="127"/>
    </row>
    <row r="229" spans="1:15" s="126" customFormat="1" ht="12.95" customHeight="1" x14ac:dyDescent="0.3">
      <c r="A229" s="229">
        <v>46136</v>
      </c>
      <c r="B229" s="226" t="s">
        <v>451</v>
      </c>
      <c r="C229" s="129">
        <v>1</v>
      </c>
      <c r="D229" s="135">
        <v>8.19</v>
      </c>
      <c r="E229" s="135">
        <v>10.130000000000001</v>
      </c>
      <c r="F229" s="135">
        <v>2</v>
      </c>
      <c r="G229" s="133"/>
      <c r="H229" s="133"/>
      <c r="I229" s="232"/>
      <c r="K229" s="138"/>
      <c r="L229" s="128"/>
      <c r="M229" s="129"/>
      <c r="N229" s="129"/>
      <c r="O229" s="127"/>
    </row>
    <row r="230" spans="1:15" s="126" customFormat="1" ht="12.95" customHeight="1" x14ac:dyDescent="0.3">
      <c r="A230" s="229">
        <v>46136</v>
      </c>
      <c r="B230" s="226" t="s">
        <v>452</v>
      </c>
      <c r="C230" s="129">
        <v>1</v>
      </c>
      <c r="D230" s="135">
        <v>8.19</v>
      </c>
      <c r="E230" s="135">
        <v>10.130000000000001</v>
      </c>
      <c r="F230" s="135">
        <v>2</v>
      </c>
      <c r="G230" s="133"/>
      <c r="H230" s="133"/>
      <c r="I230" s="232"/>
      <c r="K230" s="138"/>
      <c r="L230" s="128"/>
      <c r="M230" s="129"/>
      <c r="N230" s="129"/>
      <c r="O230" s="127"/>
    </row>
    <row r="231" spans="1:15" s="126" customFormat="1" ht="12.95" customHeight="1" x14ac:dyDescent="0.3">
      <c r="A231" s="229">
        <v>46136</v>
      </c>
      <c r="B231" s="226" t="s">
        <v>453</v>
      </c>
      <c r="C231" s="129">
        <v>1</v>
      </c>
      <c r="D231" s="135">
        <v>8.19</v>
      </c>
      <c r="E231" s="135">
        <v>10.130000000000001</v>
      </c>
      <c r="F231" s="135">
        <v>2</v>
      </c>
      <c r="G231" s="133"/>
      <c r="H231" s="133"/>
      <c r="I231" s="232"/>
      <c r="K231" s="138"/>
      <c r="L231" s="128"/>
      <c r="M231" s="129"/>
      <c r="N231" s="129"/>
      <c r="O231" s="127"/>
    </row>
    <row r="232" spans="1:15" s="126" customFormat="1" ht="12.95" customHeight="1" x14ac:dyDescent="0.3">
      <c r="A232" s="229">
        <v>46136</v>
      </c>
      <c r="B232" s="226" t="s">
        <v>454</v>
      </c>
      <c r="C232" s="129">
        <v>1</v>
      </c>
      <c r="D232" s="135">
        <v>8.19</v>
      </c>
      <c r="E232" s="135">
        <v>10.130000000000001</v>
      </c>
      <c r="F232" s="135">
        <v>2</v>
      </c>
      <c r="G232" s="133"/>
      <c r="H232" s="133"/>
      <c r="I232" s="232"/>
      <c r="K232" s="138"/>
      <c r="L232" s="128"/>
      <c r="M232" s="129"/>
      <c r="N232" s="129"/>
      <c r="O232" s="127"/>
    </row>
    <row r="233" spans="1:15" s="126" customFormat="1" ht="12.95" customHeight="1" x14ac:dyDescent="0.3">
      <c r="A233" s="229">
        <v>46136</v>
      </c>
      <c r="B233" s="226" t="s">
        <v>455</v>
      </c>
      <c r="C233" s="129">
        <v>1</v>
      </c>
      <c r="D233" s="135">
        <v>8.19</v>
      </c>
      <c r="E233" s="135">
        <v>10.130000000000001</v>
      </c>
      <c r="F233" s="135">
        <v>2</v>
      </c>
      <c r="G233" s="133"/>
      <c r="H233" s="133"/>
      <c r="I233" s="232"/>
      <c r="K233" s="138"/>
      <c r="L233" s="128"/>
      <c r="M233" s="129"/>
      <c r="N233" s="129"/>
      <c r="O233" s="127"/>
    </row>
    <row r="234" spans="1:15" s="126" customFormat="1" ht="12.95" customHeight="1" x14ac:dyDescent="0.3">
      <c r="A234" s="229">
        <v>46136</v>
      </c>
      <c r="B234" s="226" t="s">
        <v>456</v>
      </c>
      <c r="C234" s="129">
        <v>1</v>
      </c>
      <c r="D234" s="135">
        <v>8.19</v>
      </c>
      <c r="E234" s="135">
        <v>10.130000000000001</v>
      </c>
      <c r="F234" s="135">
        <v>2</v>
      </c>
      <c r="G234" s="133"/>
      <c r="H234" s="133"/>
      <c r="I234" s="232"/>
      <c r="K234" s="138"/>
      <c r="L234" s="128"/>
      <c r="M234" s="129"/>
      <c r="N234" s="129"/>
      <c r="O234" s="127"/>
    </row>
    <row r="235" spans="1:15" s="126" customFormat="1" ht="12.95" customHeight="1" x14ac:dyDescent="0.3">
      <c r="A235" s="229">
        <v>46136</v>
      </c>
      <c r="B235" s="226" t="s">
        <v>457</v>
      </c>
      <c r="C235" s="129">
        <v>1</v>
      </c>
      <c r="D235" s="135">
        <v>8.19</v>
      </c>
      <c r="E235" s="135">
        <v>10.130000000000001</v>
      </c>
      <c r="F235" s="135">
        <v>2</v>
      </c>
      <c r="G235" s="133"/>
      <c r="H235" s="133"/>
      <c r="I235" s="232"/>
      <c r="K235" s="138"/>
      <c r="L235" s="128"/>
      <c r="M235" s="129"/>
      <c r="N235" s="129"/>
      <c r="O235" s="127"/>
    </row>
    <row r="236" spans="1:15" s="126" customFormat="1" ht="12.95" customHeight="1" x14ac:dyDescent="0.3">
      <c r="A236" s="229">
        <v>46136</v>
      </c>
      <c r="B236" s="226" t="s">
        <v>458</v>
      </c>
      <c r="C236" s="129">
        <v>1</v>
      </c>
      <c r="D236" s="135">
        <v>8.19</v>
      </c>
      <c r="E236" s="135">
        <v>10.130000000000001</v>
      </c>
      <c r="F236" s="135">
        <v>2</v>
      </c>
      <c r="G236" s="133"/>
      <c r="H236" s="133"/>
      <c r="I236" s="232"/>
      <c r="K236" s="138"/>
      <c r="L236" s="128"/>
      <c r="M236" s="129"/>
      <c r="N236" s="129"/>
      <c r="O236" s="127"/>
    </row>
    <row r="237" spans="1:15" s="126" customFormat="1" ht="12.95" customHeight="1" x14ac:dyDescent="0.3">
      <c r="A237" s="229">
        <v>46136</v>
      </c>
      <c r="B237" s="226" t="s">
        <v>459</v>
      </c>
      <c r="C237" s="129">
        <v>1</v>
      </c>
      <c r="D237" s="135">
        <v>8.19</v>
      </c>
      <c r="E237" s="135">
        <v>10.130000000000001</v>
      </c>
      <c r="F237" s="135">
        <v>2</v>
      </c>
      <c r="G237" s="133"/>
      <c r="H237" s="133"/>
      <c r="I237" s="232"/>
      <c r="K237" s="138"/>
      <c r="L237" s="128"/>
      <c r="M237" s="129"/>
      <c r="N237" s="129"/>
      <c r="O237" s="127"/>
    </row>
    <row r="238" spans="1:15" s="126" customFormat="1" ht="12.95" customHeight="1" x14ac:dyDescent="0.3">
      <c r="A238" s="229">
        <v>46136</v>
      </c>
      <c r="B238" s="226" t="s">
        <v>460</v>
      </c>
      <c r="C238" s="129">
        <v>1</v>
      </c>
      <c r="D238" s="135">
        <v>8.19</v>
      </c>
      <c r="E238" s="135">
        <v>10.130000000000001</v>
      </c>
      <c r="F238" s="135">
        <v>2</v>
      </c>
      <c r="G238" s="133"/>
      <c r="H238" s="133"/>
      <c r="I238" s="232"/>
      <c r="K238" s="138"/>
      <c r="L238" s="128"/>
      <c r="M238" s="129"/>
      <c r="N238" s="129"/>
      <c r="O238" s="127"/>
    </row>
    <row r="239" spans="1:15" s="126" customFormat="1" ht="12.95" customHeight="1" x14ac:dyDescent="0.3">
      <c r="A239" s="229">
        <v>46136</v>
      </c>
      <c r="B239" s="226" t="s">
        <v>461</v>
      </c>
      <c r="C239" s="129">
        <v>1</v>
      </c>
      <c r="D239" s="135">
        <v>8.19</v>
      </c>
      <c r="E239" s="135">
        <v>10.130000000000001</v>
      </c>
      <c r="F239" s="135">
        <v>2</v>
      </c>
      <c r="G239" s="133"/>
      <c r="H239" s="133"/>
      <c r="I239" s="232"/>
      <c r="K239" s="138"/>
      <c r="L239" s="128"/>
      <c r="M239" s="129"/>
      <c r="N239" s="129"/>
      <c r="O239" s="127"/>
    </row>
    <row r="240" spans="1:15" s="126" customFormat="1" ht="12.95" customHeight="1" x14ac:dyDescent="0.3">
      <c r="A240" s="229">
        <v>46136</v>
      </c>
      <c r="B240" s="226" t="s">
        <v>462</v>
      </c>
      <c r="C240" s="129">
        <v>1</v>
      </c>
      <c r="D240" s="135">
        <v>8.19</v>
      </c>
      <c r="E240" s="135">
        <v>10.130000000000001</v>
      </c>
      <c r="F240" s="135">
        <v>2</v>
      </c>
      <c r="G240" s="133"/>
      <c r="H240" s="133"/>
      <c r="I240" s="232"/>
      <c r="K240" s="138"/>
      <c r="L240" s="128"/>
      <c r="M240" s="129"/>
      <c r="N240" s="129"/>
      <c r="O240" s="127"/>
    </row>
    <row r="241" spans="1:15" s="126" customFormat="1" ht="12.95" customHeight="1" x14ac:dyDescent="0.3">
      <c r="A241" s="229">
        <v>46136</v>
      </c>
      <c r="B241" s="226" t="s">
        <v>463</v>
      </c>
      <c r="C241" s="129">
        <v>1</v>
      </c>
      <c r="D241" s="135">
        <v>8.19</v>
      </c>
      <c r="E241" s="135">
        <v>10.130000000000001</v>
      </c>
      <c r="F241" s="135">
        <v>2</v>
      </c>
      <c r="G241" s="133"/>
      <c r="H241" s="133"/>
      <c r="I241" s="232"/>
      <c r="K241" s="138"/>
      <c r="L241" s="128"/>
      <c r="M241" s="129"/>
      <c r="N241" s="129"/>
      <c r="O241" s="127"/>
    </row>
    <row r="242" spans="1:15" s="126" customFormat="1" ht="12.95" customHeight="1" x14ac:dyDescent="0.3">
      <c r="A242" s="229">
        <v>46136</v>
      </c>
      <c r="B242" s="226" t="s">
        <v>464</v>
      </c>
      <c r="C242" s="129">
        <v>1</v>
      </c>
      <c r="D242" s="135">
        <v>8.19</v>
      </c>
      <c r="E242" s="135">
        <v>10.130000000000001</v>
      </c>
      <c r="F242" s="135">
        <v>2</v>
      </c>
      <c r="G242" s="133"/>
      <c r="H242" s="133"/>
      <c r="I242" s="232"/>
      <c r="K242" s="138"/>
      <c r="L242" s="128"/>
      <c r="M242" s="129"/>
      <c r="N242" s="129"/>
      <c r="O242" s="127"/>
    </row>
    <row r="243" spans="1:15" s="126" customFormat="1" ht="12.95" customHeight="1" x14ac:dyDescent="0.3">
      <c r="A243" s="229">
        <v>46136</v>
      </c>
      <c r="B243" s="226" t="s">
        <v>465</v>
      </c>
      <c r="C243" s="129">
        <v>1</v>
      </c>
      <c r="D243" s="135">
        <v>8.19</v>
      </c>
      <c r="E243" s="135">
        <v>10.130000000000001</v>
      </c>
      <c r="F243" s="135">
        <v>2</v>
      </c>
      <c r="G243" s="133"/>
      <c r="H243" s="133"/>
      <c r="I243" s="232"/>
      <c r="K243" s="138"/>
      <c r="L243" s="128"/>
      <c r="M243" s="129"/>
      <c r="N243" s="129"/>
      <c r="O243" s="127"/>
    </row>
    <row r="244" spans="1:15" s="126" customFormat="1" ht="12.95" customHeight="1" x14ac:dyDescent="0.3">
      <c r="A244" s="229">
        <v>46136</v>
      </c>
      <c r="B244" s="226" t="s">
        <v>466</v>
      </c>
      <c r="C244" s="129">
        <v>1</v>
      </c>
      <c r="D244" s="135">
        <v>8.19</v>
      </c>
      <c r="E244" s="135">
        <v>10.130000000000001</v>
      </c>
      <c r="F244" s="135">
        <v>2</v>
      </c>
      <c r="G244" s="133"/>
      <c r="H244" s="133"/>
      <c r="I244" s="232"/>
      <c r="K244" s="138"/>
      <c r="L244" s="128"/>
      <c r="M244" s="129"/>
      <c r="N244" s="129"/>
      <c r="O244" s="127"/>
    </row>
    <row r="245" spans="1:15" s="126" customFormat="1" ht="12.95" customHeight="1" x14ac:dyDescent="0.3">
      <c r="A245" s="229">
        <v>46136</v>
      </c>
      <c r="B245" s="226" t="s">
        <v>467</v>
      </c>
      <c r="C245" s="129">
        <v>1</v>
      </c>
      <c r="D245" s="135">
        <v>8.19</v>
      </c>
      <c r="E245" s="135">
        <v>10.130000000000001</v>
      </c>
      <c r="F245" s="135">
        <v>2</v>
      </c>
      <c r="G245" s="133"/>
      <c r="H245" s="133"/>
      <c r="I245" s="232"/>
      <c r="K245" s="138"/>
      <c r="L245" s="128"/>
      <c r="M245" s="129"/>
      <c r="N245" s="129"/>
      <c r="O245" s="127"/>
    </row>
    <row r="246" spans="1:15" s="126" customFormat="1" ht="12.95" customHeight="1" x14ac:dyDescent="0.3">
      <c r="A246" s="229">
        <v>46136</v>
      </c>
      <c r="B246" s="226" t="s">
        <v>468</v>
      </c>
      <c r="C246" s="129">
        <v>1</v>
      </c>
      <c r="D246" s="135">
        <v>8.19</v>
      </c>
      <c r="E246" s="135">
        <v>10.130000000000001</v>
      </c>
      <c r="F246" s="135">
        <v>2</v>
      </c>
      <c r="G246" s="133"/>
      <c r="H246" s="133"/>
      <c r="I246" s="232"/>
      <c r="K246" s="138"/>
      <c r="L246" s="128"/>
      <c r="M246" s="129"/>
      <c r="N246" s="129"/>
      <c r="O246" s="127"/>
    </row>
    <row r="247" spans="1:15" s="126" customFormat="1" ht="12.95" customHeight="1" x14ac:dyDescent="0.3">
      <c r="A247" s="229">
        <v>46136</v>
      </c>
      <c r="B247" s="226" t="s">
        <v>469</v>
      </c>
      <c r="C247" s="129">
        <v>1</v>
      </c>
      <c r="D247" s="135">
        <v>8.19</v>
      </c>
      <c r="E247" s="135">
        <v>10.130000000000001</v>
      </c>
      <c r="F247" s="135">
        <v>2</v>
      </c>
      <c r="G247" s="133"/>
      <c r="H247" s="133"/>
      <c r="I247" s="232"/>
      <c r="K247" s="138"/>
      <c r="L247" s="128"/>
      <c r="M247" s="129"/>
      <c r="N247" s="129"/>
      <c r="O247" s="127"/>
    </row>
    <row r="248" spans="1:15" s="126" customFormat="1" ht="12.95" customHeight="1" x14ac:dyDescent="0.3">
      <c r="A248" s="229">
        <v>46136</v>
      </c>
      <c r="B248" s="226" t="s">
        <v>470</v>
      </c>
      <c r="C248" s="129">
        <v>1</v>
      </c>
      <c r="D248" s="135">
        <v>8.19</v>
      </c>
      <c r="E248" s="135">
        <v>10.130000000000001</v>
      </c>
      <c r="F248" s="135">
        <v>2</v>
      </c>
      <c r="G248" s="133"/>
      <c r="H248" s="133"/>
      <c r="I248" s="232"/>
      <c r="K248" s="138"/>
      <c r="L248" s="128"/>
      <c r="M248" s="129"/>
      <c r="N248" s="129"/>
      <c r="O248" s="127"/>
    </row>
    <row r="249" spans="1:15" s="126" customFormat="1" ht="12.95" customHeight="1" x14ac:dyDescent="0.3">
      <c r="A249" s="229">
        <v>46136</v>
      </c>
      <c r="B249" s="226" t="s">
        <v>471</v>
      </c>
      <c r="C249" s="129">
        <v>1</v>
      </c>
      <c r="D249" s="135">
        <v>8.19</v>
      </c>
      <c r="E249" s="135">
        <v>10.130000000000001</v>
      </c>
      <c r="F249" s="135">
        <v>2</v>
      </c>
      <c r="G249" s="133"/>
      <c r="H249" s="133"/>
      <c r="I249" s="232"/>
      <c r="K249" s="138"/>
      <c r="L249" s="128"/>
      <c r="M249" s="129"/>
      <c r="N249" s="129"/>
      <c r="O249" s="127"/>
    </row>
    <row r="250" spans="1:15" s="126" customFormat="1" ht="12.95" customHeight="1" x14ac:dyDescent="0.3">
      <c r="A250" s="229">
        <v>46136</v>
      </c>
      <c r="B250" s="226" t="s">
        <v>472</v>
      </c>
      <c r="C250" s="129">
        <v>1</v>
      </c>
      <c r="D250" s="135">
        <v>8.19</v>
      </c>
      <c r="E250" s="135">
        <v>10.130000000000001</v>
      </c>
      <c r="F250" s="135">
        <v>2</v>
      </c>
      <c r="G250" s="133"/>
      <c r="H250" s="133"/>
      <c r="I250" s="232"/>
      <c r="K250" s="138"/>
      <c r="L250" s="128"/>
      <c r="M250" s="129"/>
      <c r="N250" s="129"/>
      <c r="O250" s="127"/>
    </row>
    <row r="251" spans="1:15" s="126" customFormat="1" ht="12.95" customHeight="1" x14ac:dyDescent="0.3">
      <c r="A251" s="229">
        <v>46136</v>
      </c>
      <c r="B251" s="226" t="s">
        <v>473</v>
      </c>
      <c r="C251" s="129">
        <v>1</v>
      </c>
      <c r="D251" s="135">
        <v>8.19</v>
      </c>
      <c r="E251" s="135">
        <v>10.130000000000001</v>
      </c>
      <c r="F251" s="135">
        <v>2</v>
      </c>
      <c r="G251" s="133"/>
      <c r="H251" s="133"/>
      <c r="I251" s="232"/>
      <c r="K251" s="138"/>
      <c r="L251" s="128"/>
      <c r="M251" s="129"/>
      <c r="N251" s="129"/>
      <c r="O251" s="127"/>
    </row>
    <row r="252" spans="1:15" s="126" customFormat="1" ht="12.95" customHeight="1" x14ac:dyDescent="0.3">
      <c r="A252" s="229">
        <v>46136</v>
      </c>
      <c r="B252" s="226" t="s">
        <v>474</v>
      </c>
      <c r="C252" s="129">
        <v>1</v>
      </c>
      <c r="D252" s="135">
        <v>8.19</v>
      </c>
      <c r="E252" s="135">
        <v>10.130000000000001</v>
      </c>
      <c r="F252" s="135">
        <v>2</v>
      </c>
      <c r="G252" s="133"/>
      <c r="H252" s="133"/>
      <c r="I252" s="232"/>
      <c r="K252" s="138"/>
      <c r="L252" s="128"/>
      <c r="M252" s="129"/>
      <c r="N252" s="129"/>
      <c r="O252" s="127"/>
    </row>
    <row r="253" spans="1:15" s="126" customFormat="1" ht="12.95" customHeight="1" x14ac:dyDescent="0.3">
      <c r="A253" s="229">
        <v>46136</v>
      </c>
      <c r="B253" s="226" t="s">
        <v>475</v>
      </c>
      <c r="C253" s="129">
        <v>1</v>
      </c>
      <c r="D253" s="135">
        <v>8.19</v>
      </c>
      <c r="E253" s="135">
        <v>10.130000000000001</v>
      </c>
      <c r="F253" s="135">
        <v>2</v>
      </c>
      <c r="G253" s="133"/>
      <c r="H253" s="133"/>
      <c r="I253" s="232"/>
      <c r="K253" s="138"/>
      <c r="L253" s="128"/>
      <c r="M253" s="129"/>
      <c r="N253" s="129"/>
      <c r="O253" s="127"/>
    </row>
    <row r="254" spans="1:15" s="126" customFormat="1" ht="12.95" customHeight="1" x14ac:dyDescent="0.3">
      <c r="A254" s="229">
        <v>46136</v>
      </c>
      <c r="B254" s="226" t="s">
        <v>476</v>
      </c>
      <c r="C254" s="129">
        <v>1</v>
      </c>
      <c r="D254" s="135">
        <v>8.19</v>
      </c>
      <c r="E254" s="135">
        <v>10.130000000000001</v>
      </c>
      <c r="F254" s="135">
        <v>2</v>
      </c>
      <c r="G254" s="133"/>
      <c r="H254" s="133"/>
      <c r="I254" s="232"/>
      <c r="K254" s="138"/>
      <c r="L254" s="128"/>
      <c r="M254" s="129"/>
      <c r="N254" s="129"/>
      <c r="O254" s="127"/>
    </row>
    <row r="255" spans="1:15" s="126" customFormat="1" ht="12.95" customHeight="1" x14ac:dyDescent="0.3">
      <c r="A255" s="229">
        <v>46136</v>
      </c>
      <c r="B255" s="226" t="s">
        <v>477</v>
      </c>
      <c r="C255" s="129">
        <v>1</v>
      </c>
      <c r="D255" s="135">
        <v>8.19</v>
      </c>
      <c r="E255" s="135">
        <v>10.130000000000001</v>
      </c>
      <c r="F255" s="135">
        <v>2</v>
      </c>
      <c r="G255" s="133"/>
      <c r="H255" s="133"/>
      <c r="I255" s="232"/>
      <c r="K255" s="138"/>
      <c r="L255" s="128"/>
      <c r="M255" s="129"/>
      <c r="N255" s="129"/>
      <c r="O255" s="127"/>
    </row>
    <row r="256" spans="1:15" s="126" customFormat="1" ht="12.95" customHeight="1" x14ac:dyDescent="0.3">
      <c r="A256" s="229">
        <v>46136</v>
      </c>
      <c r="B256" s="226" t="s">
        <v>478</v>
      </c>
      <c r="C256" s="129">
        <v>1</v>
      </c>
      <c r="D256" s="135">
        <v>8.19</v>
      </c>
      <c r="E256" s="135">
        <v>10.130000000000001</v>
      </c>
      <c r="F256" s="135">
        <v>2</v>
      </c>
      <c r="G256" s="133"/>
      <c r="H256" s="133"/>
      <c r="I256" s="232"/>
      <c r="K256" s="138"/>
      <c r="L256" s="128"/>
      <c r="M256" s="129"/>
      <c r="N256" s="129"/>
      <c r="O256" s="127"/>
    </row>
    <row r="257" spans="1:15" s="126" customFormat="1" ht="12.95" customHeight="1" x14ac:dyDescent="0.3">
      <c r="A257" s="229">
        <v>46136</v>
      </c>
      <c r="B257" s="226" t="s">
        <v>479</v>
      </c>
      <c r="C257" s="129">
        <v>1</v>
      </c>
      <c r="D257" s="135">
        <v>8.19</v>
      </c>
      <c r="E257" s="135">
        <v>10.130000000000001</v>
      </c>
      <c r="F257" s="135">
        <v>2</v>
      </c>
      <c r="G257" s="133"/>
      <c r="H257" s="133"/>
      <c r="I257" s="232"/>
      <c r="K257" s="138"/>
      <c r="L257" s="128"/>
      <c r="M257" s="129"/>
      <c r="N257" s="129"/>
      <c r="O257" s="127"/>
    </row>
    <row r="258" spans="1:15" s="126" customFormat="1" ht="12.95" customHeight="1" x14ac:dyDescent="0.3">
      <c r="A258" s="229">
        <v>46136</v>
      </c>
      <c r="B258" s="226" t="s">
        <v>480</v>
      </c>
      <c r="C258" s="129">
        <v>1</v>
      </c>
      <c r="D258" s="135">
        <v>8.19</v>
      </c>
      <c r="E258" s="135">
        <v>10.130000000000001</v>
      </c>
      <c r="F258" s="135">
        <v>2</v>
      </c>
      <c r="G258" s="133"/>
      <c r="H258" s="133"/>
      <c r="I258" s="232"/>
      <c r="K258" s="138"/>
      <c r="L258" s="128"/>
      <c r="M258" s="129"/>
      <c r="N258" s="129"/>
      <c r="O258" s="127"/>
    </row>
    <row r="259" spans="1:15" s="126" customFormat="1" ht="12.95" customHeight="1" x14ac:dyDescent="0.3">
      <c r="A259" s="229">
        <v>46136</v>
      </c>
      <c r="B259" s="226" t="s">
        <v>481</v>
      </c>
      <c r="C259" s="129">
        <v>1</v>
      </c>
      <c r="D259" s="135">
        <v>8.19</v>
      </c>
      <c r="E259" s="135">
        <v>10.130000000000001</v>
      </c>
      <c r="F259" s="135">
        <v>2</v>
      </c>
      <c r="G259" s="133"/>
      <c r="H259" s="133"/>
      <c r="I259" s="232"/>
      <c r="K259" s="138"/>
      <c r="L259" s="128"/>
      <c r="M259" s="129"/>
      <c r="N259" s="129"/>
      <c r="O259" s="127"/>
    </row>
    <row r="260" spans="1:15" s="126" customFormat="1" ht="12.95" customHeight="1" x14ac:dyDescent="0.3">
      <c r="A260" s="229">
        <v>46136</v>
      </c>
      <c r="B260" s="226" t="s">
        <v>482</v>
      </c>
      <c r="C260" s="129">
        <v>1</v>
      </c>
      <c r="D260" s="135">
        <v>8.19</v>
      </c>
      <c r="E260" s="135">
        <v>10.130000000000001</v>
      </c>
      <c r="F260" s="135">
        <v>2</v>
      </c>
      <c r="G260" s="133"/>
      <c r="H260" s="133"/>
      <c r="I260" s="232"/>
      <c r="K260" s="138"/>
      <c r="L260" s="128"/>
      <c r="M260" s="129"/>
      <c r="N260" s="129"/>
      <c r="O260" s="127"/>
    </row>
    <row r="261" spans="1:15" s="126" customFormat="1" ht="12.95" customHeight="1" x14ac:dyDescent="0.3">
      <c r="A261" s="229">
        <v>46136</v>
      </c>
      <c r="B261" s="226" t="s">
        <v>483</v>
      </c>
      <c r="C261" s="129">
        <v>1</v>
      </c>
      <c r="D261" s="135">
        <v>8.19</v>
      </c>
      <c r="E261" s="135">
        <v>10.130000000000001</v>
      </c>
      <c r="F261" s="135">
        <v>2</v>
      </c>
      <c r="G261" s="133"/>
      <c r="H261" s="133"/>
      <c r="I261" s="232"/>
      <c r="K261" s="138"/>
      <c r="L261" s="128"/>
      <c r="M261" s="129"/>
      <c r="N261" s="129"/>
      <c r="O261" s="127"/>
    </row>
    <row r="262" spans="1:15" s="126" customFormat="1" ht="12.95" customHeight="1" x14ac:dyDescent="0.3">
      <c r="A262" s="229">
        <v>46136</v>
      </c>
      <c r="B262" s="226" t="s">
        <v>484</v>
      </c>
      <c r="C262" s="129">
        <v>1</v>
      </c>
      <c r="D262" s="135">
        <v>8.19</v>
      </c>
      <c r="E262" s="135">
        <v>10.130000000000001</v>
      </c>
      <c r="F262" s="135">
        <v>2</v>
      </c>
      <c r="G262" s="133"/>
      <c r="H262" s="133"/>
      <c r="I262" s="232"/>
      <c r="K262" s="138"/>
      <c r="L262" s="128"/>
      <c r="M262" s="129"/>
      <c r="N262" s="129"/>
      <c r="O262" s="127"/>
    </row>
    <row r="263" spans="1:15" s="126" customFormat="1" ht="12.95" customHeight="1" x14ac:dyDescent="0.3">
      <c r="A263" s="229">
        <v>46136</v>
      </c>
      <c r="B263" s="226" t="s">
        <v>485</v>
      </c>
      <c r="C263" s="129">
        <v>1</v>
      </c>
      <c r="D263" s="135">
        <v>8.19</v>
      </c>
      <c r="E263" s="135">
        <v>10.130000000000001</v>
      </c>
      <c r="F263" s="135">
        <v>2</v>
      </c>
      <c r="G263" s="133"/>
      <c r="H263" s="133"/>
      <c r="I263" s="232"/>
      <c r="K263" s="138"/>
      <c r="L263" s="128"/>
      <c r="M263" s="129"/>
      <c r="N263" s="129"/>
      <c r="O263" s="127"/>
    </row>
    <row r="264" spans="1:15" s="126" customFormat="1" ht="12.95" customHeight="1" x14ac:dyDescent="0.3">
      <c r="A264" s="229">
        <v>46136</v>
      </c>
      <c r="B264" s="226" t="s">
        <v>486</v>
      </c>
      <c r="C264" s="129">
        <v>1</v>
      </c>
      <c r="D264" s="135">
        <v>8.19</v>
      </c>
      <c r="E264" s="135">
        <v>10.130000000000001</v>
      </c>
      <c r="F264" s="135">
        <v>2</v>
      </c>
      <c r="G264" s="133"/>
      <c r="H264" s="133"/>
      <c r="I264" s="232"/>
      <c r="K264" s="138"/>
      <c r="L264" s="128"/>
      <c r="M264" s="129"/>
      <c r="N264" s="129"/>
      <c r="O264" s="127"/>
    </row>
    <row r="265" spans="1:15" s="126" customFormat="1" ht="12.95" customHeight="1" x14ac:dyDescent="0.3">
      <c r="A265" s="229">
        <v>46136</v>
      </c>
      <c r="B265" s="226" t="s">
        <v>487</v>
      </c>
      <c r="C265" s="129">
        <v>1</v>
      </c>
      <c r="D265" s="135">
        <v>8.19</v>
      </c>
      <c r="E265" s="135">
        <v>10.130000000000001</v>
      </c>
      <c r="F265" s="135">
        <v>2</v>
      </c>
      <c r="G265" s="133"/>
      <c r="H265" s="133"/>
      <c r="I265" s="232"/>
      <c r="K265" s="138"/>
      <c r="L265" s="128"/>
      <c r="M265" s="129"/>
      <c r="N265" s="129"/>
      <c r="O265" s="127"/>
    </row>
    <row r="266" spans="1:15" s="126" customFormat="1" ht="12.95" customHeight="1" x14ac:dyDescent="0.3">
      <c r="A266" s="229">
        <v>46136</v>
      </c>
      <c r="B266" s="226" t="s">
        <v>497</v>
      </c>
      <c r="C266" s="129">
        <v>1</v>
      </c>
      <c r="D266" s="135">
        <v>8.19</v>
      </c>
      <c r="E266" s="135">
        <v>10.130000000000001</v>
      </c>
      <c r="F266" s="135">
        <v>2</v>
      </c>
      <c r="G266" s="133"/>
      <c r="H266" s="133"/>
      <c r="I266" s="232"/>
      <c r="K266" s="138"/>
      <c r="L266" s="128"/>
      <c r="M266" s="129"/>
      <c r="N266" s="129"/>
      <c r="O266" s="127"/>
    </row>
    <row r="267" spans="1:15" s="126" customFormat="1" ht="12.95" customHeight="1" x14ac:dyDescent="0.3">
      <c r="A267" s="229">
        <v>46136</v>
      </c>
      <c r="B267" s="226" t="s">
        <v>498</v>
      </c>
      <c r="C267" s="129">
        <v>1</v>
      </c>
      <c r="D267" s="135">
        <v>8.19</v>
      </c>
      <c r="E267" s="135">
        <v>10.130000000000001</v>
      </c>
      <c r="F267" s="135">
        <v>2</v>
      </c>
      <c r="G267" s="133"/>
      <c r="H267" s="133"/>
      <c r="I267" s="232"/>
      <c r="K267" s="138"/>
      <c r="L267" s="128"/>
      <c r="M267" s="129"/>
      <c r="N267" s="129"/>
      <c r="O267" s="127"/>
    </row>
    <row r="268" spans="1:15" s="126" customFormat="1" ht="12.95" customHeight="1" x14ac:dyDescent="0.3">
      <c r="A268" s="229">
        <v>46136</v>
      </c>
      <c r="B268" s="226" t="s">
        <v>499</v>
      </c>
      <c r="C268" s="129">
        <v>1</v>
      </c>
      <c r="D268" s="135">
        <v>8.19</v>
      </c>
      <c r="E268" s="135">
        <v>10.130000000000001</v>
      </c>
      <c r="F268" s="135">
        <v>2</v>
      </c>
      <c r="G268" s="133"/>
      <c r="H268" s="133"/>
      <c r="I268" s="232"/>
      <c r="K268" s="138"/>
      <c r="L268" s="128"/>
      <c r="M268" s="129"/>
      <c r="N268" s="129"/>
      <c r="O268" s="127"/>
    </row>
    <row r="269" spans="1:15" s="126" customFormat="1" ht="12.95" customHeight="1" x14ac:dyDescent="0.3">
      <c r="A269" s="229">
        <v>46136</v>
      </c>
      <c r="B269" s="226" t="s">
        <v>500</v>
      </c>
      <c r="C269" s="129">
        <v>1</v>
      </c>
      <c r="D269" s="135">
        <v>8.19</v>
      </c>
      <c r="E269" s="135">
        <v>10.130000000000001</v>
      </c>
      <c r="F269" s="135">
        <v>2</v>
      </c>
      <c r="G269" s="133"/>
      <c r="H269" s="133"/>
      <c r="I269" s="232"/>
      <c r="K269" s="138"/>
      <c r="L269" s="128"/>
      <c r="M269" s="129"/>
      <c r="N269" s="129"/>
      <c r="O269" s="127"/>
    </row>
    <row r="270" spans="1:15" s="126" customFormat="1" ht="12.95" customHeight="1" x14ac:dyDescent="0.3">
      <c r="A270" s="229">
        <v>46136</v>
      </c>
      <c r="B270" s="226" t="s">
        <v>501</v>
      </c>
      <c r="C270" s="129">
        <v>1</v>
      </c>
      <c r="D270" s="135">
        <v>8.19</v>
      </c>
      <c r="E270" s="135">
        <v>10.130000000000001</v>
      </c>
      <c r="F270" s="135">
        <v>2</v>
      </c>
      <c r="G270" s="133"/>
      <c r="H270" s="133"/>
      <c r="I270" s="232"/>
      <c r="K270" s="138"/>
      <c r="L270" s="128"/>
      <c r="M270" s="129"/>
      <c r="N270" s="129"/>
      <c r="O270" s="127"/>
    </row>
    <row r="271" spans="1:15" s="126" customFormat="1" ht="12.95" customHeight="1" x14ac:dyDescent="0.3">
      <c r="A271" s="229">
        <v>46136</v>
      </c>
      <c r="B271" s="226" t="s">
        <v>502</v>
      </c>
      <c r="C271" s="129">
        <v>1</v>
      </c>
      <c r="D271" s="135">
        <v>8.19</v>
      </c>
      <c r="E271" s="135">
        <v>10.130000000000001</v>
      </c>
      <c r="F271" s="135">
        <v>2</v>
      </c>
      <c r="G271" s="133"/>
      <c r="H271" s="133"/>
      <c r="I271" s="232"/>
      <c r="K271" s="138"/>
      <c r="L271" s="128"/>
      <c r="M271" s="129"/>
      <c r="N271" s="129"/>
      <c r="O271" s="127"/>
    </row>
    <row r="272" spans="1:15" s="126" customFormat="1" ht="12.95" customHeight="1" x14ac:dyDescent="0.3">
      <c r="A272" s="229">
        <v>46136</v>
      </c>
      <c r="B272" s="226" t="s">
        <v>503</v>
      </c>
      <c r="C272" s="129">
        <v>1</v>
      </c>
      <c r="D272" s="135">
        <v>8.19</v>
      </c>
      <c r="E272" s="135">
        <v>10.130000000000001</v>
      </c>
      <c r="F272" s="135">
        <v>2</v>
      </c>
      <c r="G272" s="133"/>
      <c r="H272" s="133"/>
      <c r="I272" s="232"/>
      <c r="K272" s="138"/>
      <c r="L272" s="128"/>
      <c r="M272" s="129"/>
      <c r="N272" s="129"/>
      <c r="O272" s="127"/>
    </row>
    <row r="273" spans="1:15" s="126" customFormat="1" ht="12.95" customHeight="1" x14ac:dyDescent="0.3">
      <c r="A273" s="229">
        <v>46136</v>
      </c>
      <c r="B273" s="226" t="s">
        <v>504</v>
      </c>
      <c r="C273" s="129">
        <v>1</v>
      </c>
      <c r="D273" s="135">
        <v>8.19</v>
      </c>
      <c r="E273" s="135">
        <v>10.130000000000001</v>
      </c>
      <c r="F273" s="135">
        <v>2</v>
      </c>
      <c r="G273" s="133"/>
      <c r="H273" s="133"/>
      <c r="I273" s="232"/>
      <c r="K273" s="138"/>
      <c r="L273" s="128"/>
      <c r="M273" s="129"/>
      <c r="N273" s="129"/>
      <c r="O273" s="127"/>
    </row>
    <row r="274" spans="1:15" s="126" customFormat="1" ht="12.95" customHeight="1" x14ac:dyDescent="0.3">
      <c r="A274" s="229">
        <v>46136</v>
      </c>
      <c r="B274" s="226" t="s">
        <v>505</v>
      </c>
      <c r="C274" s="129">
        <v>1</v>
      </c>
      <c r="D274" s="135">
        <v>8.19</v>
      </c>
      <c r="E274" s="135">
        <v>10.130000000000001</v>
      </c>
      <c r="F274" s="135">
        <v>2</v>
      </c>
      <c r="G274" s="133"/>
      <c r="H274" s="133"/>
      <c r="I274" s="232"/>
      <c r="K274" s="138"/>
      <c r="L274" s="128"/>
      <c r="M274" s="129"/>
      <c r="N274" s="129"/>
      <c r="O274" s="127"/>
    </row>
    <row r="275" spans="1:15" s="126" customFormat="1" ht="12.95" customHeight="1" x14ac:dyDescent="0.3">
      <c r="A275" s="229">
        <v>46136</v>
      </c>
      <c r="B275" s="226" t="s">
        <v>506</v>
      </c>
      <c r="C275" s="129">
        <v>1</v>
      </c>
      <c r="D275" s="135">
        <v>8.19</v>
      </c>
      <c r="E275" s="135">
        <v>10.130000000000001</v>
      </c>
      <c r="F275" s="135">
        <v>2</v>
      </c>
      <c r="G275" s="133"/>
      <c r="H275" s="133"/>
      <c r="I275" s="232"/>
      <c r="K275" s="138"/>
      <c r="L275" s="128"/>
      <c r="M275" s="129"/>
      <c r="N275" s="129"/>
      <c r="O275" s="127"/>
    </row>
    <row r="276" spans="1:15" s="126" customFormat="1" ht="12.95" customHeight="1" x14ac:dyDescent="0.3">
      <c r="A276" s="229">
        <v>46136</v>
      </c>
      <c r="B276" s="226" t="s">
        <v>507</v>
      </c>
      <c r="C276" s="129">
        <v>1</v>
      </c>
      <c r="D276" s="135">
        <v>8.19</v>
      </c>
      <c r="E276" s="135">
        <v>10.130000000000001</v>
      </c>
      <c r="F276" s="135">
        <v>2</v>
      </c>
      <c r="G276" s="133"/>
      <c r="H276" s="133"/>
      <c r="I276" s="232"/>
      <c r="K276" s="138"/>
      <c r="L276" s="128"/>
      <c r="M276" s="129"/>
      <c r="N276" s="129"/>
      <c r="O276" s="127"/>
    </row>
    <row r="277" spans="1:15" s="126" customFormat="1" ht="12.95" customHeight="1" x14ac:dyDescent="0.3">
      <c r="A277" s="229">
        <v>46136</v>
      </c>
      <c r="B277" s="226" t="s">
        <v>508</v>
      </c>
      <c r="C277" s="129">
        <v>1</v>
      </c>
      <c r="D277" s="135">
        <v>8.19</v>
      </c>
      <c r="E277" s="135">
        <v>10.130000000000001</v>
      </c>
      <c r="F277" s="135">
        <v>2</v>
      </c>
      <c r="G277" s="133"/>
      <c r="H277" s="133"/>
      <c r="I277" s="232"/>
      <c r="K277" s="138"/>
      <c r="L277" s="128"/>
      <c r="M277" s="129"/>
      <c r="N277" s="129"/>
      <c r="O277" s="127"/>
    </row>
    <row r="278" spans="1:15" s="126" customFormat="1" ht="12.95" customHeight="1" x14ac:dyDescent="0.3">
      <c r="A278" s="229">
        <v>46136</v>
      </c>
      <c r="B278" s="226" t="s">
        <v>509</v>
      </c>
      <c r="C278" s="129">
        <v>1</v>
      </c>
      <c r="D278" s="135">
        <v>8.19</v>
      </c>
      <c r="E278" s="135">
        <v>10.130000000000001</v>
      </c>
      <c r="F278" s="135">
        <v>2</v>
      </c>
      <c r="G278" s="133"/>
      <c r="H278" s="133"/>
      <c r="I278" s="232"/>
      <c r="K278" s="138"/>
      <c r="L278" s="128"/>
      <c r="M278" s="129"/>
      <c r="N278" s="129"/>
      <c r="O278" s="127"/>
    </row>
    <row r="279" spans="1:15" s="126" customFormat="1" ht="12.95" customHeight="1" x14ac:dyDescent="0.3">
      <c r="A279" s="229">
        <v>46136</v>
      </c>
      <c r="B279" s="226" t="s">
        <v>488</v>
      </c>
      <c r="C279" s="129">
        <v>1</v>
      </c>
      <c r="D279" s="135">
        <v>9.57</v>
      </c>
      <c r="E279" s="135">
        <v>10.35</v>
      </c>
      <c r="F279" s="135">
        <v>3</v>
      </c>
      <c r="G279" s="133"/>
      <c r="H279" s="133"/>
      <c r="I279" s="232"/>
      <c r="K279" s="138"/>
      <c r="L279" s="128"/>
      <c r="M279" s="129"/>
      <c r="N279" s="129"/>
      <c r="O279" s="127"/>
    </row>
    <row r="280" spans="1:15" s="126" customFormat="1" ht="12.95" customHeight="1" x14ac:dyDescent="0.3">
      <c r="A280" s="229">
        <v>46136</v>
      </c>
      <c r="B280" s="226" t="s">
        <v>489</v>
      </c>
      <c r="C280" s="129">
        <v>1</v>
      </c>
      <c r="D280" s="135">
        <v>9.57</v>
      </c>
      <c r="E280" s="135">
        <v>10.35</v>
      </c>
      <c r="F280" s="135">
        <v>3</v>
      </c>
      <c r="G280" s="133"/>
      <c r="H280" s="133"/>
      <c r="I280" s="232"/>
      <c r="K280" s="138"/>
      <c r="L280" s="128"/>
      <c r="M280" s="129"/>
      <c r="N280" s="129"/>
      <c r="O280" s="127"/>
    </row>
    <row r="281" spans="1:15" s="126" customFormat="1" ht="12.95" customHeight="1" x14ac:dyDescent="0.3">
      <c r="A281" s="229">
        <v>46136</v>
      </c>
      <c r="B281" s="226" t="s">
        <v>490</v>
      </c>
      <c r="C281" s="129">
        <v>1</v>
      </c>
      <c r="D281" s="135">
        <v>9.57</v>
      </c>
      <c r="E281" s="135">
        <v>10.35</v>
      </c>
      <c r="F281" s="135">
        <v>3</v>
      </c>
      <c r="G281" s="133"/>
      <c r="H281" s="133"/>
      <c r="I281" s="232"/>
      <c r="K281" s="138"/>
      <c r="L281" s="128"/>
      <c r="M281" s="129"/>
      <c r="N281" s="129"/>
      <c r="O281" s="127"/>
    </row>
    <row r="282" spans="1:15" s="126" customFormat="1" ht="12.95" customHeight="1" x14ac:dyDescent="0.3">
      <c r="A282" s="229">
        <v>46136</v>
      </c>
      <c r="B282" s="226" t="s">
        <v>491</v>
      </c>
      <c r="C282" s="129">
        <v>1</v>
      </c>
      <c r="D282" s="135">
        <v>9.57</v>
      </c>
      <c r="E282" s="135">
        <v>10.35</v>
      </c>
      <c r="F282" s="135">
        <v>3</v>
      </c>
      <c r="G282" s="133"/>
      <c r="H282" s="133"/>
      <c r="I282" s="232"/>
      <c r="K282" s="138"/>
      <c r="L282" s="128"/>
      <c r="M282" s="129"/>
      <c r="N282" s="129"/>
      <c r="O282" s="127"/>
    </row>
    <row r="283" spans="1:15" s="126" customFormat="1" ht="12.95" customHeight="1" x14ac:dyDescent="0.3">
      <c r="A283" s="229">
        <v>46136</v>
      </c>
      <c r="B283" s="226" t="s">
        <v>492</v>
      </c>
      <c r="C283" s="129">
        <v>1</v>
      </c>
      <c r="D283" s="135">
        <v>9.57</v>
      </c>
      <c r="E283" s="135">
        <v>10.35</v>
      </c>
      <c r="F283" s="135">
        <v>3</v>
      </c>
      <c r="G283" s="133"/>
      <c r="H283" s="133"/>
      <c r="I283" s="232"/>
      <c r="K283" s="138"/>
      <c r="L283" s="128"/>
      <c r="M283" s="129"/>
      <c r="N283" s="129"/>
      <c r="O283" s="127"/>
    </row>
    <row r="284" spans="1:15" s="126" customFormat="1" ht="12.95" customHeight="1" x14ac:dyDescent="0.3">
      <c r="A284" s="229">
        <v>46136</v>
      </c>
      <c r="B284" s="226" t="s">
        <v>493</v>
      </c>
      <c r="C284" s="129">
        <v>1</v>
      </c>
      <c r="D284" s="135">
        <v>9.57</v>
      </c>
      <c r="E284" s="135">
        <v>10.35</v>
      </c>
      <c r="F284" s="135">
        <v>3</v>
      </c>
      <c r="G284" s="133"/>
      <c r="H284" s="133"/>
      <c r="I284" s="232"/>
      <c r="K284" s="138"/>
      <c r="L284" s="128"/>
      <c r="M284" s="129"/>
      <c r="N284" s="129"/>
      <c r="O284" s="127"/>
    </row>
    <row r="285" spans="1:15" s="126" customFormat="1" ht="12.95" customHeight="1" x14ac:dyDescent="0.3">
      <c r="A285" s="229">
        <v>46136</v>
      </c>
      <c r="B285" s="226" t="s">
        <v>494</v>
      </c>
      <c r="C285" s="129">
        <v>1</v>
      </c>
      <c r="D285" s="135">
        <v>9.57</v>
      </c>
      <c r="E285" s="135">
        <v>10.35</v>
      </c>
      <c r="F285" s="135">
        <v>3</v>
      </c>
      <c r="G285" s="133"/>
      <c r="H285" s="133"/>
      <c r="I285" s="232"/>
      <c r="K285" s="138"/>
      <c r="L285" s="128"/>
      <c r="M285" s="129"/>
      <c r="N285" s="129"/>
      <c r="O285" s="127"/>
    </row>
    <row r="286" spans="1:15" s="126" customFormat="1" ht="12.95" customHeight="1" x14ac:dyDescent="0.3">
      <c r="A286" s="229">
        <v>46136</v>
      </c>
      <c r="B286" s="226" t="s">
        <v>495</v>
      </c>
      <c r="C286" s="129">
        <v>1</v>
      </c>
      <c r="D286" s="135">
        <v>9.57</v>
      </c>
      <c r="E286" s="135">
        <v>10.35</v>
      </c>
      <c r="F286" s="135">
        <v>3</v>
      </c>
      <c r="G286" s="133"/>
      <c r="H286" s="133"/>
      <c r="I286" s="232"/>
      <c r="K286" s="138"/>
      <c r="L286" s="128"/>
      <c r="M286" s="129"/>
      <c r="N286" s="129"/>
      <c r="O286" s="127"/>
    </row>
    <row r="287" spans="1:15" s="126" customFormat="1" ht="12.95" customHeight="1" x14ac:dyDescent="0.3">
      <c r="A287" s="229">
        <v>46136</v>
      </c>
      <c r="B287" s="226" t="s">
        <v>496</v>
      </c>
      <c r="C287" s="129">
        <v>1</v>
      </c>
      <c r="D287" s="135">
        <v>9.57</v>
      </c>
      <c r="E287" s="135">
        <v>10.35</v>
      </c>
      <c r="F287" s="135">
        <v>3</v>
      </c>
      <c r="G287" s="133"/>
      <c r="H287" s="133"/>
      <c r="I287" s="232"/>
      <c r="K287" s="138"/>
      <c r="L287" s="128"/>
      <c r="M287" s="129"/>
      <c r="N287" s="129"/>
      <c r="O287" s="127"/>
    </row>
    <row r="288" spans="1:15" s="126" customFormat="1" ht="12.95" customHeight="1" x14ac:dyDescent="0.3">
      <c r="A288" s="229">
        <v>46136</v>
      </c>
      <c r="B288" s="227" t="s">
        <v>415</v>
      </c>
      <c r="C288" s="129">
        <v>1</v>
      </c>
      <c r="D288" s="135">
        <v>15.59</v>
      </c>
      <c r="E288" s="135">
        <v>9.17</v>
      </c>
      <c r="F288" s="135">
        <v>2</v>
      </c>
      <c r="G288" s="133"/>
      <c r="H288" s="133"/>
      <c r="I288" s="232"/>
      <c r="K288" s="138"/>
      <c r="L288" s="128"/>
      <c r="M288" s="129"/>
      <c r="N288" s="129"/>
      <c r="O288" s="127"/>
    </row>
    <row r="289" spans="1:15" s="126" customFormat="1" ht="12.95" customHeight="1" x14ac:dyDescent="0.3">
      <c r="A289" s="229">
        <v>46136</v>
      </c>
      <c r="B289" s="226" t="s">
        <v>416</v>
      </c>
      <c r="C289" s="129">
        <v>1</v>
      </c>
      <c r="D289" s="135">
        <v>15.59</v>
      </c>
      <c r="E289" s="135">
        <v>9.17</v>
      </c>
      <c r="F289" s="135">
        <v>2</v>
      </c>
      <c r="G289" s="133"/>
      <c r="H289" s="133"/>
      <c r="I289" s="232"/>
      <c r="K289" s="138"/>
      <c r="L289" s="128"/>
      <c r="M289" s="129"/>
      <c r="N289" s="129"/>
      <c r="O289" s="127"/>
    </row>
    <row r="290" spans="1:15" s="126" customFormat="1" ht="12.95" customHeight="1" x14ac:dyDescent="0.3">
      <c r="A290" s="229">
        <v>46137</v>
      </c>
      <c r="B290" s="226" t="s">
        <v>510</v>
      </c>
      <c r="C290" s="129">
        <v>1</v>
      </c>
      <c r="D290" s="135">
        <v>15.59</v>
      </c>
      <c r="E290" s="135">
        <v>9.17</v>
      </c>
      <c r="F290" s="135">
        <v>2</v>
      </c>
      <c r="G290" s="133"/>
      <c r="H290" s="133"/>
      <c r="I290" s="232"/>
      <c r="K290" s="138"/>
      <c r="L290" s="128"/>
      <c r="M290" s="129"/>
      <c r="N290" s="129"/>
      <c r="O290" s="127"/>
    </row>
    <row r="291" spans="1:15" s="126" customFormat="1" ht="12.95" customHeight="1" x14ac:dyDescent="0.3">
      <c r="A291" s="229">
        <v>46137</v>
      </c>
      <c r="B291" s="226" t="s">
        <v>511</v>
      </c>
      <c r="C291" s="129">
        <v>1</v>
      </c>
      <c r="D291" s="135">
        <v>15.59</v>
      </c>
      <c r="E291" s="135">
        <v>9.17</v>
      </c>
      <c r="F291" s="135">
        <v>2</v>
      </c>
      <c r="G291" s="133"/>
      <c r="H291" s="133"/>
      <c r="I291" s="232"/>
      <c r="K291" s="138"/>
      <c r="L291" s="128"/>
      <c r="M291" s="129"/>
      <c r="N291" s="129"/>
      <c r="O291" s="127"/>
    </row>
    <row r="292" spans="1:15" s="126" customFormat="1" ht="12.95" customHeight="1" x14ac:dyDescent="0.3">
      <c r="A292" s="229">
        <v>46137</v>
      </c>
      <c r="B292" s="226" t="s">
        <v>512</v>
      </c>
      <c r="C292" s="129">
        <v>1</v>
      </c>
      <c r="D292" s="135">
        <v>15.59</v>
      </c>
      <c r="E292" s="135">
        <v>9.17</v>
      </c>
      <c r="F292" s="135">
        <v>2</v>
      </c>
      <c r="G292" s="133"/>
      <c r="H292" s="133"/>
      <c r="I292" s="232"/>
      <c r="K292" s="138"/>
      <c r="L292" s="128"/>
      <c r="M292" s="129"/>
      <c r="N292" s="129"/>
      <c r="O292" s="127"/>
    </row>
    <row r="293" spans="1:15" s="126" customFormat="1" ht="12.95" customHeight="1" x14ac:dyDescent="0.3">
      <c r="A293" s="229">
        <v>46137</v>
      </c>
      <c r="B293" s="226" t="s">
        <v>513</v>
      </c>
      <c r="C293" s="129">
        <v>1</v>
      </c>
      <c r="D293" s="135">
        <v>15.59</v>
      </c>
      <c r="E293" s="135">
        <v>9.17</v>
      </c>
      <c r="F293" s="135">
        <v>2</v>
      </c>
      <c r="G293" s="133"/>
      <c r="H293" s="133"/>
      <c r="I293" s="232"/>
      <c r="K293" s="138"/>
      <c r="L293" s="128"/>
      <c r="M293" s="129"/>
      <c r="N293" s="129"/>
      <c r="O293" s="127"/>
    </row>
    <row r="294" spans="1:15" s="126" customFormat="1" ht="12.95" customHeight="1" x14ac:dyDescent="0.3">
      <c r="A294" s="229">
        <v>46137</v>
      </c>
      <c r="B294" s="226" t="s">
        <v>514</v>
      </c>
      <c r="C294" s="129">
        <v>1</v>
      </c>
      <c r="D294" s="135">
        <v>15.59</v>
      </c>
      <c r="E294" s="135">
        <v>9.17</v>
      </c>
      <c r="F294" s="135">
        <v>2</v>
      </c>
      <c r="G294" s="133"/>
      <c r="H294" s="133"/>
      <c r="I294" s="232"/>
      <c r="K294" s="138"/>
      <c r="L294" s="128"/>
      <c r="M294" s="129"/>
      <c r="N294" s="129"/>
      <c r="O294" s="127"/>
    </row>
    <row r="295" spans="1:15" s="126" customFormat="1" ht="12.95" customHeight="1" x14ac:dyDescent="0.3">
      <c r="A295" s="229">
        <v>46137</v>
      </c>
      <c r="B295" s="226" t="s">
        <v>515</v>
      </c>
      <c r="C295" s="129">
        <v>1</v>
      </c>
      <c r="D295" s="135">
        <v>15.59</v>
      </c>
      <c r="E295" s="135">
        <v>9.17</v>
      </c>
      <c r="F295" s="135">
        <v>2</v>
      </c>
      <c r="G295" s="133"/>
      <c r="H295" s="133"/>
      <c r="I295" s="232"/>
      <c r="K295" s="138"/>
      <c r="L295" s="128"/>
      <c r="M295" s="129"/>
      <c r="N295" s="129"/>
      <c r="O295" s="127"/>
    </row>
    <row r="296" spans="1:15" s="126" customFormat="1" ht="12.95" customHeight="1" x14ac:dyDescent="0.3">
      <c r="A296" s="229">
        <v>46137</v>
      </c>
      <c r="B296" s="226" t="s">
        <v>516</v>
      </c>
      <c r="C296" s="129">
        <v>1</v>
      </c>
      <c r="D296" s="135">
        <v>15.59</v>
      </c>
      <c r="E296" s="135">
        <v>9.17</v>
      </c>
      <c r="F296" s="135">
        <v>2</v>
      </c>
      <c r="G296" s="133"/>
      <c r="H296" s="133"/>
      <c r="I296" s="232"/>
      <c r="K296" s="138"/>
      <c r="L296" s="128"/>
      <c r="M296" s="129"/>
      <c r="N296" s="129"/>
      <c r="O296" s="127"/>
    </row>
    <row r="297" spans="1:15" s="126" customFormat="1" ht="12.95" customHeight="1" x14ac:dyDescent="0.3">
      <c r="A297" s="229">
        <v>46137</v>
      </c>
      <c r="B297" s="226" t="s">
        <v>517</v>
      </c>
      <c r="C297" s="129">
        <v>1</v>
      </c>
      <c r="D297" s="135">
        <v>15.59</v>
      </c>
      <c r="E297" s="135">
        <v>9.17</v>
      </c>
      <c r="F297" s="135">
        <v>2</v>
      </c>
      <c r="G297" s="133"/>
      <c r="H297" s="133"/>
      <c r="I297" s="232"/>
      <c r="K297" s="138"/>
      <c r="L297" s="128"/>
      <c r="M297" s="129"/>
      <c r="N297" s="129"/>
      <c r="O297" s="127"/>
    </row>
    <row r="298" spans="1:15" s="126" customFormat="1" ht="12.95" customHeight="1" x14ac:dyDescent="0.3">
      <c r="A298" s="229">
        <v>46137</v>
      </c>
      <c r="B298" s="226" t="s">
        <v>518</v>
      </c>
      <c r="C298" s="129">
        <v>1</v>
      </c>
      <c r="D298" s="135">
        <v>15.59</v>
      </c>
      <c r="E298" s="135">
        <v>9.17</v>
      </c>
      <c r="F298" s="135">
        <v>2</v>
      </c>
      <c r="G298" s="133"/>
      <c r="H298" s="133"/>
      <c r="I298" s="232"/>
      <c r="K298" s="138"/>
      <c r="L298" s="128"/>
      <c r="M298" s="129"/>
      <c r="N298" s="129"/>
      <c r="O298" s="127"/>
    </row>
    <row r="299" spans="1:15" s="126" customFormat="1" ht="12.95" customHeight="1" x14ac:dyDescent="0.3">
      <c r="A299" s="229">
        <v>46137</v>
      </c>
      <c r="B299" s="226" t="s">
        <v>519</v>
      </c>
      <c r="C299" s="129">
        <v>1</v>
      </c>
      <c r="D299" s="135">
        <v>15.59</v>
      </c>
      <c r="E299" s="135">
        <v>9.17</v>
      </c>
      <c r="F299" s="135">
        <v>2</v>
      </c>
      <c r="G299" s="133"/>
      <c r="H299" s="133"/>
      <c r="I299" s="232"/>
      <c r="K299" s="138"/>
      <c r="L299" s="128"/>
      <c r="M299" s="129"/>
      <c r="N299" s="129"/>
      <c r="O299" s="127"/>
    </row>
    <row r="300" spans="1:15" s="126" customFormat="1" ht="12.95" customHeight="1" x14ac:dyDescent="0.3">
      <c r="A300" s="229">
        <v>46137</v>
      </c>
      <c r="B300" s="226" t="s">
        <v>520</v>
      </c>
      <c r="C300" s="129">
        <v>1</v>
      </c>
      <c r="D300" s="135">
        <v>15.59</v>
      </c>
      <c r="E300" s="135">
        <v>9.17</v>
      </c>
      <c r="F300" s="135">
        <v>2</v>
      </c>
      <c r="G300" s="133"/>
      <c r="H300" s="133"/>
      <c r="I300" s="232"/>
      <c r="K300" s="138"/>
      <c r="L300" s="128"/>
      <c r="M300" s="129"/>
      <c r="N300" s="129"/>
      <c r="O300" s="127"/>
    </row>
    <row r="301" spans="1:15" s="126" customFormat="1" ht="12.95" customHeight="1" x14ac:dyDescent="0.3">
      <c r="A301" s="229">
        <v>46137</v>
      </c>
      <c r="B301" s="226" t="s">
        <v>521</v>
      </c>
      <c r="C301" s="129">
        <v>1</v>
      </c>
      <c r="D301" s="135">
        <v>15.59</v>
      </c>
      <c r="E301" s="135">
        <v>9.17</v>
      </c>
      <c r="F301" s="135">
        <v>2</v>
      </c>
      <c r="G301" s="133"/>
      <c r="H301" s="133"/>
      <c r="I301" s="232"/>
      <c r="K301" s="138"/>
      <c r="L301" s="128"/>
      <c r="M301" s="129"/>
      <c r="N301" s="129"/>
      <c r="O301" s="127"/>
    </row>
    <row r="302" spans="1:15" s="126" customFormat="1" ht="12.95" customHeight="1" x14ac:dyDescent="0.3">
      <c r="A302" s="229">
        <v>46137</v>
      </c>
      <c r="B302" s="226" t="s">
        <v>522</v>
      </c>
      <c r="C302" s="129">
        <v>1</v>
      </c>
      <c r="D302" s="135">
        <v>15.59</v>
      </c>
      <c r="E302" s="135">
        <v>9.17</v>
      </c>
      <c r="F302" s="135">
        <v>2</v>
      </c>
      <c r="G302" s="133"/>
      <c r="H302" s="133"/>
      <c r="I302" s="232"/>
      <c r="K302" s="138"/>
      <c r="L302" s="128"/>
      <c r="M302" s="129"/>
      <c r="N302" s="129"/>
      <c r="O302" s="127"/>
    </row>
    <row r="303" spans="1:15" s="126" customFormat="1" ht="12.95" customHeight="1" x14ac:dyDescent="0.3">
      <c r="A303" s="229">
        <v>46137</v>
      </c>
      <c r="B303" s="226" t="s">
        <v>523</v>
      </c>
      <c r="C303" s="129">
        <v>1</v>
      </c>
      <c r="D303" s="135">
        <v>15.59</v>
      </c>
      <c r="E303" s="135">
        <v>9.17</v>
      </c>
      <c r="F303" s="135">
        <v>2</v>
      </c>
      <c r="G303" s="133"/>
      <c r="H303" s="133"/>
      <c r="I303" s="232"/>
      <c r="K303" s="138"/>
      <c r="L303" s="128"/>
      <c r="M303" s="129"/>
      <c r="N303" s="129"/>
      <c r="O303" s="127"/>
    </row>
    <row r="304" spans="1:15" s="126" customFormat="1" ht="12.95" customHeight="1" x14ac:dyDescent="0.3">
      <c r="A304" s="229">
        <v>46137</v>
      </c>
      <c r="B304" s="226" t="s">
        <v>524</v>
      </c>
      <c r="C304" s="129">
        <v>1</v>
      </c>
      <c r="D304" s="135">
        <v>15.59</v>
      </c>
      <c r="E304" s="135">
        <v>9.17</v>
      </c>
      <c r="F304" s="135">
        <v>2</v>
      </c>
      <c r="G304" s="133"/>
      <c r="H304" s="133"/>
      <c r="I304" s="232"/>
      <c r="K304" s="138"/>
      <c r="L304" s="128"/>
      <c r="M304" s="129"/>
      <c r="N304" s="129"/>
      <c r="O304" s="127"/>
    </row>
    <row r="305" spans="1:15" s="126" customFormat="1" ht="12.95" customHeight="1" x14ac:dyDescent="0.3">
      <c r="A305" s="229">
        <v>46137</v>
      </c>
      <c r="B305" s="226" t="s">
        <v>525</v>
      </c>
      <c r="C305" s="129">
        <v>1</v>
      </c>
      <c r="D305" s="135">
        <v>15.59</v>
      </c>
      <c r="E305" s="135">
        <v>9.17</v>
      </c>
      <c r="F305" s="135">
        <v>2</v>
      </c>
      <c r="G305" s="133"/>
      <c r="H305" s="133"/>
      <c r="I305" s="232"/>
      <c r="K305" s="138"/>
      <c r="L305" s="128"/>
      <c r="M305" s="129"/>
      <c r="N305" s="129"/>
      <c r="O305" s="127"/>
    </row>
    <row r="306" spans="1:15" s="126" customFormat="1" ht="12.95" customHeight="1" x14ac:dyDescent="0.3">
      <c r="A306" s="229">
        <v>46137</v>
      </c>
      <c r="B306" s="226" t="s">
        <v>526</v>
      </c>
      <c r="C306" s="129">
        <v>1</v>
      </c>
      <c r="D306" s="135">
        <v>15.59</v>
      </c>
      <c r="E306" s="135">
        <v>9.17</v>
      </c>
      <c r="F306" s="135">
        <v>2</v>
      </c>
      <c r="G306" s="133"/>
      <c r="H306" s="133"/>
      <c r="I306" s="232"/>
      <c r="K306" s="138"/>
      <c r="L306" s="128"/>
      <c r="M306" s="129"/>
      <c r="N306" s="129"/>
      <c r="O306" s="127"/>
    </row>
    <row r="307" spans="1:15" s="126" customFormat="1" ht="12.95" customHeight="1" x14ac:dyDescent="0.3">
      <c r="A307" s="229">
        <v>46137</v>
      </c>
      <c r="B307" s="226" t="s">
        <v>527</v>
      </c>
      <c r="C307" s="129">
        <v>1</v>
      </c>
      <c r="D307" s="135">
        <v>15.59</v>
      </c>
      <c r="E307" s="135">
        <v>9.17</v>
      </c>
      <c r="F307" s="135">
        <v>2</v>
      </c>
      <c r="G307" s="133"/>
      <c r="H307" s="133"/>
      <c r="I307" s="232"/>
      <c r="K307" s="138"/>
      <c r="L307" s="128"/>
      <c r="M307" s="129"/>
      <c r="N307" s="129"/>
      <c r="O307" s="127"/>
    </row>
    <row r="308" spans="1:15" s="126" customFormat="1" ht="12.95" customHeight="1" x14ac:dyDescent="0.3">
      <c r="A308" s="229">
        <v>46137</v>
      </c>
      <c r="B308" s="226" t="s">
        <v>528</v>
      </c>
      <c r="C308" s="129">
        <v>1</v>
      </c>
      <c r="D308" s="135">
        <v>15.59</v>
      </c>
      <c r="E308" s="135">
        <v>9.17</v>
      </c>
      <c r="F308" s="135">
        <v>2</v>
      </c>
      <c r="G308" s="133"/>
      <c r="H308" s="133"/>
      <c r="I308" s="232"/>
      <c r="K308" s="138"/>
      <c r="L308" s="128"/>
      <c r="M308" s="129"/>
      <c r="N308" s="129"/>
      <c r="O308" s="127"/>
    </row>
    <row r="309" spans="1:15" s="126" customFormat="1" ht="12.95" customHeight="1" x14ac:dyDescent="0.3">
      <c r="A309" s="229">
        <v>46137</v>
      </c>
      <c r="B309" s="226" t="s">
        <v>529</v>
      </c>
      <c r="C309" s="129">
        <v>1</v>
      </c>
      <c r="D309" s="135">
        <v>15.59</v>
      </c>
      <c r="E309" s="135">
        <v>9.17</v>
      </c>
      <c r="F309" s="135">
        <v>2</v>
      </c>
      <c r="G309" s="133"/>
      <c r="H309" s="133"/>
      <c r="I309" s="232"/>
      <c r="K309" s="138"/>
      <c r="L309" s="128"/>
      <c r="M309" s="129"/>
      <c r="N309" s="129"/>
      <c r="O309" s="127"/>
    </row>
    <row r="310" spans="1:15" s="126" customFormat="1" ht="12.95" customHeight="1" x14ac:dyDescent="0.3">
      <c r="A310" s="229">
        <v>46137</v>
      </c>
      <c r="B310" s="226" t="s">
        <v>530</v>
      </c>
      <c r="C310" s="129">
        <v>1</v>
      </c>
      <c r="D310" s="135">
        <v>15.59</v>
      </c>
      <c r="E310" s="135">
        <v>9.17</v>
      </c>
      <c r="F310" s="135">
        <v>2</v>
      </c>
      <c r="G310" s="133"/>
      <c r="H310" s="133"/>
      <c r="I310" s="232"/>
      <c r="K310" s="138"/>
      <c r="L310" s="128"/>
      <c r="M310" s="129"/>
      <c r="N310" s="129"/>
      <c r="O310" s="127"/>
    </row>
    <row r="311" spans="1:15" s="126" customFormat="1" ht="12.95" customHeight="1" x14ac:dyDescent="0.3">
      <c r="A311" s="229">
        <v>46137</v>
      </c>
      <c r="B311" s="226" t="s">
        <v>531</v>
      </c>
      <c r="C311" s="129">
        <v>1</v>
      </c>
      <c r="D311" s="135">
        <v>15.59</v>
      </c>
      <c r="E311" s="135">
        <v>9.17</v>
      </c>
      <c r="F311" s="135">
        <v>2</v>
      </c>
      <c r="G311" s="133"/>
      <c r="H311" s="133"/>
      <c r="I311" s="232"/>
      <c r="K311" s="138"/>
      <c r="L311" s="128"/>
      <c r="M311" s="129"/>
      <c r="N311" s="129"/>
      <c r="O311" s="127"/>
    </row>
    <row r="312" spans="1:15" s="126" customFormat="1" ht="12.95" customHeight="1" x14ac:dyDescent="0.3">
      <c r="A312" s="229">
        <v>46137</v>
      </c>
      <c r="B312" s="226" t="s">
        <v>532</v>
      </c>
      <c r="C312" s="129">
        <v>1</v>
      </c>
      <c r="D312" s="135">
        <v>15.59</v>
      </c>
      <c r="E312" s="135">
        <v>9.17</v>
      </c>
      <c r="F312" s="135">
        <v>2</v>
      </c>
      <c r="G312" s="133"/>
      <c r="H312" s="133"/>
      <c r="I312" s="232"/>
      <c r="K312" s="138"/>
      <c r="L312" s="128"/>
      <c r="M312" s="129"/>
      <c r="N312" s="129"/>
      <c r="O312" s="127"/>
    </row>
    <row r="313" spans="1:15" s="126" customFormat="1" ht="12.95" customHeight="1" x14ac:dyDescent="0.3">
      <c r="A313" s="229">
        <v>46137</v>
      </c>
      <c r="B313" s="226" t="s">
        <v>533</v>
      </c>
      <c r="C313" s="129">
        <v>1</v>
      </c>
      <c r="D313" s="135">
        <v>15.59</v>
      </c>
      <c r="E313" s="135">
        <v>9.17</v>
      </c>
      <c r="F313" s="135">
        <v>2</v>
      </c>
      <c r="G313" s="133"/>
      <c r="H313" s="133"/>
      <c r="I313" s="232"/>
      <c r="K313" s="138"/>
      <c r="L313" s="128"/>
      <c r="M313" s="129"/>
      <c r="N313" s="129"/>
      <c r="O313" s="127"/>
    </row>
    <row r="314" spans="1:15" s="126" customFormat="1" ht="12.95" customHeight="1" x14ac:dyDescent="0.3">
      <c r="A314" s="229">
        <v>46137</v>
      </c>
      <c r="B314" s="226" t="s">
        <v>534</v>
      </c>
      <c r="C314" s="129">
        <v>1</v>
      </c>
      <c r="D314" s="135">
        <v>15.59</v>
      </c>
      <c r="E314" s="135">
        <v>9.17</v>
      </c>
      <c r="F314" s="135">
        <v>2</v>
      </c>
      <c r="G314" s="133"/>
      <c r="H314" s="133"/>
      <c r="I314" s="232"/>
      <c r="K314" s="138"/>
      <c r="L314" s="128"/>
      <c r="M314" s="129"/>
      <c r="N314" s="129"/>
      <c r="O314" s="127"/>
    </row>
    <row r="315" spans="1:15" s="126" customFormat="1" ht="12.95" customHeight="1" x14ac:dyDescent="0.3">
      <c r="A315" s="229">
        <v>46137</v>
      </c>
      <c r="B315" s="226" t="s">
        <v>535</v>
      </c>
      <c r="C315" s="129">
        <v>1</v>
      </c>
      <c r="D315" s="135">
        <v>15.59</v>
      </c>
      <c r="E315" s="135">
        <v>9.17</v>
      </c>
      <c r="F315" s="135">
        <v>2</v>
      </c>
      <c r="G315" s="133"/>
      <c r="H315" s="133"/>
      <c r="I315" s="232"/>
      <c r="K315" s="138"/>
      <c r="L315" s="128"/>
      <c r="M315" s="129"/>
      <c r="N315" s="129"/>
      <c r="O315" s="127"/>
    </row>
    <row r="316" spans="1:15" s="126" customFormat="1" ht="12.95" customHeight="1" x14ac:dyDescent="0.3">
      <c r="A316" s="229">
        <v>46137</v>
      </c>
      <c r="B316" s="226" t="s">
        <v>536</v>
      </c>
      <c r="C316" s="129">
        <v>1</v>
      </c>
      <c r="D316" s="135">
        <v>15.59</v>
      </c>
      <c r="E316" s="135">
        <v>9.17</v>
      </c>
      <c r="F316" s="135">
        <v>2</v>
      </c>
      <c r="G316" s="133"/>
      <c r="H316" s="133"/>
      <c r="I316" s="232"/>
      <c r="K316" s="138"/>
      <c r="L316" s="128"/>
      <c r="M316" s="129"/>
      <c r="N316" s="129"/>
      <c r="O316" s="127"/>
    </row>
    <row r="317" spans="1:15" s="126" customFormat="1" ht="12.95" customHeight="1" x14ac:dyDescent="0.3">
      <c r="A317" s="229">
        <v>46137</v>
      </c>
      <c r="B317" s="226" t="s">
        <v>537</v>
      </c>
      <c r="C317" s="129">
        <v>1</v>
      </c>
      <c r="D317" s="135">
        <v>15.59</v>
      </c>
      <c r="E317" s="135">
        <v>9.17</v>
      </c>
      <c r="F317" s="135">
        <v>2</v>
      </c>
      <c r="G317" s="133"/>
      <c r="H317" s="133"/>
      <c r="I317" s="232"/>
      <c r="K317" s="138"/>
      <c r="L317" s="128"/>
      <c r="M317" s="129"/>
      <c r="N317" s="129"/>
      <c r="O317" s="127"/>
    </row>
    <row r="318" spans="1:15" s="126" customFormat="1" ht="12.95" customHeight="1" x14ac:dyDescent="0.3">
      <c r="A318" s="229">
        <v>46137</v>
      </c>
      <c r="B318" s="226" t="s">
        <v>538</v>
      </c>
      <c r="C318" s="129">
        <v>1</v>
      </c>
      <c r="D318" s="135">
        <v>15.59</v>
      </c>
      <c r="E318" s="135">
        <v>9.17</v>
      </c>
      <c r="F318" s="135">
        <v>2</v>
      </c>
      <c r="G318" s="133"/>
      <c r="H318" s="133"/>
      <c r="I318" s="232"/>
      <c r="K318" s="138"/>
      <c r="L318" s="128"/>
      <c r="M318" s="129"/>
      <c r="N318" s="129"/>
      <c r="O318" s="127"/>
    </row>
    <row r="319" spans="1:15" s="126" customFormat="1" ht="12.95" customHeight="1" x14ac:dyDescent="0.3">
      <c r="A319" s="229">
        <v>46137</v>
      </c>
      <c r="B319" s="226" t="s">
        <v>539</v>
      </c>
      <c r="C319" s="129">
        <v>1</v>
      </c>
      <c r="D319" s="135">
        <v>15.59</v>
      </c>
      <c r="E319" s="135">
        <v>9.17</v>
      </c>
      <c r="F319" s="135">
        <v>2</v>
      </c>
      <c r="G319" s="133"/>
      <c r="H319" s="133"/>
      <c r="I319" s="232"/>
      <c r="K319" s="138"/>
      <c r="L319" s="128"/>
      <c r="M319" s="129"/>
      <c r="N319" s="129"/>
      <c r="O319" s="127"/>
    </row>
    <row r="320" spans="1:15" s="126" customFormat="1" ht="12.95" customHeight="1" x14ac:dyDescent="0.3">
      <c r="A320" s="229">
        <v>46137</v>
      </c>
      <c r="B320" s="226" t="s">
        <v>540</v>
      </c>
      <c r="C320" s="129">
        <v>1</v>
      </c>
      <c r="D320" s="135">
        <v>15.59</v>
      </c>
      <c r="E320" s="135">
        <v>9.17</v>
      </c>
      <c r="F320" s="135">
        <v>2</v>
      </c>
      <c r="G320" s="133"/>
      <c r="H320" s="133"/>
      <c r="I320" s="232"/>
      <c r="K320" s="138"/>
      <c r="L320" s="128"/>
      <c r="M320" s="129"/>
      <c r="N320" s="129"/>
      <c r="O320" s="127"/>
    </row>
    <row r="321" spans="1:15" s="126" customFormat="1" ht="12.95" customHeight="1" x14ac:dyDescent="0.3">
      <c r="A321" s="229">
        <v>46137</v>
      </c>
      <c r="B321" s="226" t="s">
        <v>541</v>
      </c>
      <c r="C321" s="129">
        <v>1</v>
      </c>
      <c r="D321" s="135">
        <v>15.59</v>
      </c>
      <c r="E321" s="135">
        <v>9.17</v>
      </c>
      <c r="F321" s="135">
        <v>2</v>
      </c>
      <c r="G321" s="133"/>
      <c r="H321" s="133"/>
      <c r="I321" s="232"/>
      <c r="K321" s="138"/>
      <c r="L321" s="128"/>
      <c r="M321" s="129"/>
      <c r="N321" s="129"/>
      <c r="O321" s="127"/>
    </row>
    <row r="322" spans="1:15" s="126" customFormat="1" ht="12.95" customHeight="1" x14ac:dyDescent="0.3">
      <c r="A322" s="229">
        <v>46137</v>
      </c>
      <c r="B322" s="226" t="s">
        <v>542</v>
      </c>
      <c r="C322" s="129">
        <v>1</v>
      </c>
      <c r="D322" s="135">
        <v>15.59</v>
      </c>
      <c r="E322" s="135">
        <v>9.17</v>
      </c>
      <c r="F322" s="135">
        <v>2</v>
      </c>
      <c r="G322" s="133"/>
      <c r="H322" s="133"/>
      <c r="I322" s="232"/>
      <c r="K322" s="138"/>
      <c r="L322" s="128"/>
      <c r="M322" s="129"/>
      <c r="N322" s="129"/>
      <c r="O322" s="127"/>
    </row>
    <row r="323" spans="1:15" s="126" customFormat="1" ht="12.95" customHeight="1" x14ac:dyDescent="0.3">
      <c r="A323" s="229">
        <v>46137</v>
      </c>
      <c r="B323" s="226" t="s">
        <v>543</v>
      </c>
      <c r="C323" s="129">
        <v>1</v>
      </c>
      <c r="D323" s="135">
        <v>15.59</v>
      </c>
      <c r="E323" s="135">
        <v>9.17</v>
      </c>
      <c r="F323" s="135">
        <v>2</v>
      </c>
      <c r="G323" s="133"/>
      <c r="H323" s="133"/>
      <c r="I323" s="232"/>
      <c r="K323" s="138"/>
      <c r="L323" s="128"/>
      <c r="M323" s="129"/>
      <c r="N323" s="129"/>
      <c r="O323" s="127"/>
    </row>
    <row r="324" spans="1:15" s="126" customFormat="1" ht="12.95" customHeight="1" x14ac:dyDescent="0.3">
      <c r="A324" s="229">
        <v>46137</v>
      </c>
      <c r="B324" s="226" t="s">
        <v>544</v>
      </c>
      <c r="C324" s="129">
        <v>1</v>
      </c>
      <c r="D324" s="135">
        <v>15.59</v>
      </c>
      <c r="E324" s="135">
        <v>9.17</v>
      </c>
      <c r="F324" s="135">
        <v>2</v>
      </c>
      <c r="G324" s="133"/>
      <c r="H324" s="133"/>
      <c r="I324" s="232"/>
      <c r="K324" s="138"/>
      <c r="L324" s="128"/>
      <c r="M324" s="129"/>
      <c r="N324" s="129"/>
      <c r="O324" s="127"/>
    </row>
    <row r="325" spans="1:15" s="126" customFormat="1" ht="12.95" customHeight="1" x14ac:dyDescent="0.3">
      <c r="A325" s="229">
        <v>46137</v>
      </c>
      <c r="B325" s="226" t="s">
        <v>545</v>
      </c>
      <c r="C325" s="129">
        <v>1</v>
      </c>
      <c r="D325" s="135">
        <v>15.59</v>
      </c>
      <c r="E325" s="135">
        <v>9.17</v>
      </c>
      <c r="F325" s="135">
        <v>2</v>
      </c>
      <c r="G325" s="133"/>
      <c r="H325" s="133"/>
      <c r="I325" s="232"/>
      <c r="K325" s="138"/>
      <c r="L325" s="128"/>
      <c r="M325" s="129"/>
      <c r="N325" s="129"/>
      <c r="O325" s="127"/>
    </row>
    <row r="326" spans="1:15" s="126" customFormat="1" ht="12.95" customHeight="1" x14ac:dyDescent="0.3">
      <c r="A326" s="229">
        <v>46137</v>
      </c>
      <c r="B326" s="226" t="s">
        <v>546</v>
      </c>
      <c r="C326" s="129">
        <v>1</v>
      </c>
      <c r="D326" s="135">
        <v>15.59</v>
      </c>
      <c r="E326" s="135">
        <v>9.17</v>
      </c>
      <c r="F326" s="135">
        <v>2</v>
      </c>
      <c r="G326" s="133"/>
      <c r="H326" s="133"/>
      <c r="I326" s="232"/>
      <c r="K326" s="138"/>
      <c r="L326" s="128"/>
      <c r="M326" s="129"/>
      <c r="N326" s="129"/>
      <c r="O326" s="127"/>
    </row>
    <row r="327" spans="1:15" s="126" customFormat="1" ht="12.95" customHeight="1" x14ac:dyDescent="0.3">
      <c r="A327" s="229">
        <v>46137</v>
      </c>
      <c r="B327" s="226" t="s">
        <v>547</v>
      </c>
      <c r="C327" s="129">
        <v>1</v>
      </c>
      <c r="D327" s="135">
        <v>15.59</v>
      </c>
      <c r="E327" s="135">
        <v>9.17</v>
      </c>
      <c r="F327" s="135">
        <v>2</v>
      </c>
      <c r="G327" s="133"/>
      <c r="H327" s="133"/>
      <c r="I327" s="232"/>
      <c r="K327" s="138"/>
      <c r="L327" s="128"/>
      <c r="M327" s="129"/>
      <c r="N327" s="129"/>
      <c r="O327" s="127"/>
    </row>
    <row r="328" spans="1:15" s="126" customFormat="1" ht="12.95" customHeight="1" x14ac:dyDescent="0.3">
      <c r="A328" s="229">
        <v>46137</v>
      </c>
      <c r="B328" s="226" t="s">
        <v>548</v>
      </c>
      <c r="C328" s="129">
        <v>1</v>
      </c>
      <c r="D328" s="135">
        <v>15.59</v>
      </c>
      <c r="E328" s="135">
        <v>9.17</v>
      </c>
      <c r="F328" s="135">
        <v>2</v>
      </c>
      <c r="G328" s="133"/>
      <c r="H328" s="133"/>
      <c r="I328" s="232"/>
      <c r="K328" s="138"/>
      <c r="L328" s="128"/>
      <c r="M328" s="129"/>
      <c r="N328" s="129"/>
      <c r="O328" s="127"/>
    </row>
    <row r="329" spans="1:15" s="126" customFormat="1" ht="12.95" customHeight="1" x14ac:dyDescent="0.3">
      <c r="A329" s="229">
        <v>46137</v>
      </c>
      <c r="B329" s="226" t="s">
        <v>549</v>
      </c>
      <c r="C329" s="129">
        <v>1</v>
      </c>
      <c r="D329" s="135">
        <v>15.59</v>
      </c>
      <c r="E329" s="135">
        <v>9.17</v>
      </c>
      <c r="F329" s="135">
        <v>2</v>
      </c>
      <c r="G329" s="133"/>
      <c r="H329" s="133"/>
      <c r="I329" s="232"/>
      <c r="K329" s="138"/>
      <c r="L329" s="128"/>
      <c r="M329" s="129"/>
      <c r="N329" s="129"/>
      <c r="O329" s="127"/>
    </row>
    <row r="330" spans="1:15" s="126" customFormat="1" ht="12.95" customHeight="1" x14ac:dyDescent="0.3">
      <c r="A330" s="229">
        <v>46137</v>
      </c>
      <c r="B330" s="226" t="s">
        <v>550</v>
      </c>
      <c r="C330" s="129">
        <v>1</v>
      </c>
      <c r="D330" s="135">
        <v>15.59</v>
      </c>
      <c r="E330" s="135">
        <v>9.17</v>
      </c>
      <c r="F330" s="135">
        <v>2</v>
      </c>
      <c r="G330" s="133"/>
      <c r="H330" s="133"/>
      <c r="I330" s="232"/>
      <c r="K330" s="138"/>
      <c r="L330" s="128"/>
      <c r="M330" s="129"/>
      <c r="N330" s="129"/>
      <c r="O330" s="127"/>
    </row>
    <row r="331" spans="1:15" s="126" customFormat="1" ht="12.95" customHeight="1" x14ac:dyDescent="0.3">
      <c r="A331" s="229">
        <v>46137</v>
      </c>
      <c r="B331" s="226" t="s">
        <v>551</v>
      </c>
      <c r="C331" s="129">
        <v>1</v>
      </c>
      <c r="D331" s="135">
        <v>15.59</v>
      </c>
      <c r="E331" s="135">
        <v>9.17</v>
      </c>
      <c r="F331" s="135">
        <v>2</v>
      </c>
      <c r="G331" s="133"/>
      <c r="H331" s="133"/>
      <c r="I331" s="232"/>
      <c r="K331" s="138"/>
      <c r="L331" s="128"/>
      <c r="M331" s="129"/>
      <c r="N331" s="129"/>
      <c r="O331" s="127"/>
    </row>
    <row r="332" spans="1:15" s="126" customFormat="1" ht="12.95" customHeight="1" x14ac:dyDescent="0.3">
      <c r="A332" s="229">
        <v>46137</v>
      </c>
      <c r="B332" s="226" t="s">
        <v>552</v>
      </c>
      <c r="C332" s="129">
        <v>1</v>
      </c>
      <c r="D332" s="135">
        <v>15.59</v>
      </c>
      <c r="E332" s="135">
        <v>9.17</v>
      </c>
      <c r="F332" s="135">
        <v>2</v>
      </c>
      <c r="G332" s="133"/>
      <c r="H332" s="133"/>
      <c r="I332" s="232"/>
      <c r="K332" s="138"/>
      <c r="L332" s="128"/>
      <c r="M332" s="129"/>
      <c r="N332" s="129"/>
      <c r="O332" s="127"/>
    </row>
    <row r="333" spans="1:15" s="126" customFormat="1" ht="12.95" customHeight="1" x14ac:dyDescent="0.3">
      <c r="A333" s="229">
        <v>46137</v>
      </c>
      <c r="B333" s="226" t="s">
        <v>553</v>
      </c>
      <c r="C333" s="129">
        <v>1</v>
      </c>
      <c r="D333" s="135">
        <v>15.59</v>
      </c>
      <c r="E333" s="135">
        <v>9.17</v>
      </c>
      <c r="F333" s="135">
        <v>2</v>
      </c>
      <c r="G333" s="133"/>
      <c r="H333" s="133"/>
      <c r="I333" s="232"/>
      <c r="K333" s="138"/>
      <c r="L333" s="128"/>
      <c r="M333" s="129"/>
      <c r="N333" s="129"/>
      <c r="O333" s="127"/>
    </row>
    <row r="334" spans="1:15" s="126" customFormat="1" ht="12.95" customHeight="1" x14ac:dyDescent="0.3">
      <c r="A334" s="229">
        <v>46137</v>
      </c>
      <c r="B334" s="226" t="s">
        <v>336</v>
      </c>
      <c r="C334" s="129">
        <v>1</v>
      </c>
      <c r="D334" s="135">
        <v>14.23</v>
      </c>
      <c r="E334" s="135">
        <v>14.26</v>
      </c>
      <c r="F334" s="135">
        <v>3</v>
      </c>
      <c r="G334" s="133"/>
      <c r="H334" s="133"/>
      <c r="I334" s="232"/>
      <c r="K334" s="138"/>
      <c r="L334" s="128"/>
      <c r="M334" s="129"/>
      <c r="N334" s="129"/>
      <c r="O334" s="127"/>
    </row>
    <row r="335" spans="1:15" s="126" customFormat="1" ht="12.95" customHeight="1" x14ac:dyDescent="0.3">
      <c r="A335" s="229">
        <v>46137</v>
      </c>
      <c r="B335" s="226" t="s">
        <v>554</v>
      </c>
      <c r="C335" s="129">
        <v>1</v>
      </c>
      <c r="D335" s="135">
        <v>14.34</v>
      </c>
      <c r="E335" s="135">
        <v>14.37</v>
      </c>
      <c r="F335" s="135">
        <v>3</v>
      </c>
      <c r="G335" s="133"/>
      <c r="H335" s="133"/>
      <c r="I335" s="232"/>
      <c r="K335" s="138"/>
      <c r="L335" s="128"/>
      <c r="M335" s="129"/>
      <c r="N335" s="129"/>
      <c r="O335" s="127"/>
    </row>
    <row r="336" spans="1:15" s="126" customFormat="1" ht="12.95" customHeight="1" x14ac:dyDescent="0.3">
      <c r="A336" s="229">
        <v>46139</v>
      </c>
      <c r="B336" s="226" t="s">
        <v>413</v>
      </c>
      <c r="C336" s="129">
        <v>1</v>
      </c>
      <c r="D336" s="135">
        <v>13.3</v>
      </c>
      <c r="E336" s="135">
        <v>13.32</v>
      </c>
      <c r="F336" s="135">
        <v>2</v>
      </c>
      <c r="G336" s="133"/>
      <c r="H336" s="133"/>
      <c r="I336" s="232"/>
      <c r="K336" s="138"/>
      <c r="L336" s="128"/>
      <c r="M336" s="129"/>
      <c r="N336" s="129"/>
      <c r="O336" s="127"/>
    </row>
    <row r="337" spans="1:15" s="126" customFormat="1" ht="12.95" customHeight="1" x14ac:dyDescent="0.3">
      <c r="A337" s="229">
        <v>46139</v>
      </c>
      <c r="B337" s="226" t="s">
        <v>555</v>
      </c>
      <c r="C337" s="129">
        <v>1</v>
      </c>
      <c r="D337" s="135">
        <v>19.23</v>
      </c>
      <c r="E337" s="135">
        <v>8.16</v>
      </c>
      <c r="F337" s="135">
        <v>2</v>
      </c>
      <c r="G337" s="133"/>
      <c r="H337" s="133"/>
      <c r="I337" s="232"/>
      <c r="K337" s="138"/>
      <c r="L337" s="128"/>
      <c r="M337" s="129"/>
      <c r="N337" s="129"/>
      <c r="O337" s="127"/>
    </row>
    <row r="338" spans="1:15" s="126" customFormat="1" ht="12.95" customHeight="1" x14ac:dyDescent="0.3">
      <c r="A338" s="229">
        <v>46139</v>
      </c>
      <c r="B338" s="226" t="s">
        <v>556</v>
      </c>
      <c r="C338" s="129">
        <v>1</v>
      </c>
      <c r="D338" s="135">
        <v>11.34</v>
      </c>
      <c r="E338" s="135">
        <v>11.35</v>
      </c>
      <c r="F338" s="135">
        <v>2</v>
      </c>
      <c r="G338" s="133"/>
      <c r="H338" s="133"/>
      <c r="I338" s="232"/>
      <c r="K338" s="138"/>
      <c r="L338" s="128"/>
      <c r="M338" s="129"/>
      <c r="N338" s="129"/>
      <c r="O338" s="127"/>
    </row>
    <row r="339" spans="1:15" s="126" customFormat="1" ht="12.95" customHeight="1" x14ac:dyDescent="0.3">
      <c r="A339" s="229">
        <v>46139</v>
      </c>
      <c r="B339" s="226" t="s">
        <v>557</v>
      </c>
      <c r="C339" s="129">
        <v>1</v>
      </c>
      <c r="D339" s="135">
        <v>7.52</v>
      </c>
      <c r="E339" s="135">
        <v>7.55</v>
      </c>
      <c r="F339" s="135">
        <v>3</v>
      </c>
      <c r="G339" s="133"/>
      <c r="H339" s="133"/>
      <c r="I339" s="232"/>
      <c r="K339" s="138"/>
      <c r="L339" s="128"/>
      <c r="M339" s="129"/>
      <c r="N339" s="129"/>
      <c r="O339" s="127"/>
    </row>
    <row r="340" spans="1:15" s="126" customFormat="1" ht="12.95" customHeight="1" x14ac:dyDescent="0.3">
      <c r="A340" s="229">
        <v>46140</v>
      </c>
      <c r="B340" s="226" t="s">
        <v>558</v>
      </c>
      <c r="C340" s="129">
        <v>1</v>
      </c>
      <c r="D340" s="135">
        <v>15.54</v>
      </c>
      <c r="E340" s="135">
        <v>15.57</v>
      </c>
      <c r="F340" s="135">
        <v>3</v>
      </c>
      <c r="G340" s="133"/>
      <c r="H340" s="133"/>
      <c r="I340" s="232"/>
      <c r="K340" s="138"/>
      <c r="L340" s="128"/>
      <c r="M340" s="129"/>
      <c r="N340" s="129"/>
      <c r="O340" s="127"/>
    </row>
    <row r="341" spans="1:15" s="126" customFormat="1" ht="12.95" customHeight="1" x14ac:dyDescent="0.3">
      <c r="A341" s="229">
        <v>46140</v>
      </c>
      <c r="B341" s="226" t="s">
        <v>559</v>
      </c>
      <c r="C341" s="129">
        <v>1</v>
      </c>
      <c r="D341" s="135">
        <v>10.220000000000001</v>
      </c>
      <c r="E341" s="135">
        <v>10.28</v>
      </c>
      <c r="F341" s="135">
        <v>3</v>
      </c>
      <c r="G341" s="133"/>
      <c r="H341" s="133"/>
      <c r="I341" s="232"/>
      <c r="K341" s="138"/>
      <c r="L341" s="128"/>
      <c r="M341" s="129"/>
      <c r="N341" s="129"/>
      <c r="O341" s="127"/>
    </row>
    <row r="342" spans="1:15" s="126" customFormat="1" ht="12.95" customHeight="1" x14ac:dyDescent="0.3">
      <c r="A342" s="229">
        <v>46140</v>
      </c>
      <c r="B342" s="226" t="s">
        <v>560</v>
      </c>
      <c r="C342" s="129">
        <v>1</v>
      </c>
      <c r="D342" s="135">
        <v>10.220000000000001</v>
      </c>
      <c r="E342" s="135">
        <v>10.28</v>
      </c>
      <c r="F342" s="135">
        <v>3</v>
      </c>
      <c r="G342" s="133"/>
      <c r="H342" s="133"/>
      <c r="I342" s="232"/>
      <c r="K342" s="138"/>
      <c r="L342" s="128"/>
      <c r="M342" s="129"/>
      <c r="N342" s="129"/>
      <c r="O342" s="127"/>
    </row>
    <row r="343" spans="1:15" s="126" customFormat="1" ht="12.95" customHeight="1" x14ac:dyDescent="0.3">
      <c r="A343" s="229">
        <v>46140</v>
      </c>
      <c r="B343" s="226" t="s">
        <v>561</v>
      </c>
      <c r="C343" s="129">
        <v>1</v>
      </c>
      <c r="D343" s="135">
        <v>12.41</v>
      </c>
      <c r="E343" s="135">
        <v>12.45</v>
      </c>
      <c r="F343" s="135">
        <v>4</v>
      </c>
      <c r="G343" s="133"/>
      <c r="H343" s="133"/>
      <c r="I343" s="232"/>
      <c r="K343" s="138"/>
      <c r="L343" s="128"/>
      <c r="M343" s="129"/>
      <c r="N343" s="129"/>
      <c r="O343" s="127"/>
    </row>
    <row r="344" spans="1:15" s="126" customFormat="1" ht="12.95" customHeight="1" x14ac:dyDescent="0.3">
      <c r="A344" s="265">
        <v>46141</v>
      </c>
      <c r="B344" s="267" t="s">
        <v>562</v>
      </c>
      <c r="C344" s="129">
        <v>1</v>
      </c>
      <c r="D344" s="135">
        <v>8.41</v>
      </c>
      <c r="E344" s="135">
        <v>8.42</v>
      </c>
      <c r="F344" s="135">
        <v>2</v>
      </c>
      <c r="G344" s="133"/>
      <c r="H344" s="133"/>
      <c r="I344" s="232"/>
      <c r="K344" s="138"/>
      <c r="L344" s="128"/>
      <c r="M344" s="129"/>
      <c r="N344" s="129"/>
      <c r="O344" s="127"/>
    </row>
    <row r="345" spans="1:15" s="126" customFormat="1" ht="12.95" customHeight="1" x14ac:dyDescent="0.3">
      <c r="A345" s="265">
        <v>46141</v>
      </c>
      <c r="B345" s="267" t="s">
        <v>708</v>
      </c>
      <c r="C345" s="129">
        <v>4</v>
      </c>
      <c r="D345" s="135">
        <v>13.02</v>
      </c>
      <c r="E345" s="135">
        <v>13.11</v>
      </c>
      <c r="F345" s="135">
        <v>2</v>
      </c>
      <c r="G345" s="133"/>
      <c r="H345" s="133"/>
      <c r="I345" s="232"/>
      <c r="K345" s="138"/>
      <c r="L345" s="128"/>
      <c r="M345" s="129"/>
      <c r="N345" s="129"/>
      <c r="O345" s="127"/>
    </row>
    <row r="346" spans="1:15" s="126" customFormat="1" ht="12.95" customHeight="1" x14ac:dyDescent="0.3">
      <c r="A346" s="265">
        <v>46141</v>
      </c>
      <c r="B346" s="267" t="s">
        <v>711</v>
      </c>
      <c r="C346" s="129">
        <v>2</v>
      </c>
      <c r="D346" s="135">
        <v>14.4</v>
      </c>
      <c r="E346" s="135">
        <v>14.48</v>
      </c>
      <c r="F346" s="135">
        <v>2</v>
      </c>
      <c r="G346" s="133"/>
      <c r="H346" s="133"/>
      <c r="I346" s="232"/>
      <c r="K346" s="138"/>
      <c r="L346" s="128"/>
      <c r="M346" s="129"/>
      <c r="N346" s="129"/>
      <c r="O346" s="127"/>
    </row>
    <row r="347" spans="1:15" s="126" customFormat="1" ht="12.95" customHeight="1" x14ac:dyDescent="0.3">
      <c r="A347" s="265">
        <v>46142</v>
      </c>
      <c r="B347" s="267" t="s">
        <v>709</v>
      </c>
      <c r="C347" s="129">
        <v>4</v>
      </c>
      <c r="D347" s="135">
        <v>9.5299999999999994</v>
      </c>
      <c r="E347" s="135">
        <v>10.029999999999999</v>
      </c>
      <c r="F347" s="135">
        <v>2</v>
      </c>
      <c r="G347" s="133"/>
      <c r="H347" s="133"/>
      <c r="I347" s="223"/>
      <c r="J347" s="223"/>
      <c r="K347" s="138"/>
      <c r="L347" s="128"/>
      <c r="M347" s="129"/>
      <c r="N347" s="129"/>
      <c r="O347" s="127"/>
    </row>
    <row r="348" spans="1:15" s="126" customFormat="1" ht="12.95" customHeight="1" x14ac:dyDescent="0.3">
      <c r="A348" s="265">
        <v>46142</v>
      </c>
      <c r="B348" s="267" t="s">
        <v>710</v>
      </c>
      <c r="C348" s="129">
        <v>4</v>
      </c>
      <c r="D348" s="135">
        <v>9.5299999999999994</v>
      </c>
      <c r="E348" s="135">
        <v>10.029999999999999</v>
      </c>
      <c r="F348" s="135">
        <v>2</v>
      </c>
      <c r="G348" s="133">
        <v>1</v>
      </c>
      <c r="H348" s="133"/>
      <c r="I348"/>
      <c r="K348" s="138"/>
      <c r="L348" s="128"/>
      <c r="M348" s="129"/>
      <c r="N348" s="129"/>
      <c r="O348" s="127"/>
    </row>
    <row r="349" spans="1:15" s="126" customFormat="1" ht="12.95" customHeight="1" x14ac:dyDescent="0.3">
      <c r="A349" s="265"/>
      <c r="B349" s="267"/>
      <c r="C349" s="129"/>
      <c r="D349" s="135"/>
      <c r="E349" s="135"/>
      <c r="F349" s="135"/>
      <c r="G349" s="133"/>
      <c r="H349" s="133"/>
      <c r="I349"/>
      <c r="K349" s="138"/>
      <c r="L349" s="128"/>
      <c r="M349" s="129"/>
      <c r="N349" s="129"/>
      <c r="O349" s="127"/>
    </row>
    <row r="350" spans="1:15" s="126" customFormat="1" ht="12.95" customHeight="1" x14ac:dyDescent="0.25">
      <c r="A350"/>
      <c r="B350"/>
      <c r="C350"/>
      <c r="D350"/>
      <c r="E350"/>
      <c r="F350"/>
      <c r="G350"/>
      <c r="H350"/>
      <c r="I350"/>
      <c r="K350" s="138"/>
      <c r="L350" s="128"/>
      <c r="M350" s="129"/>
      <c r="N350" s="129"/>
      <c r="O350" s="127"/>
    </row>
    <row r="351" spans="1:15" s="126" customFormat="1" ht="12.95" customHeight="1" x14ac:dyDescent="0.25">
      <c r="A351"/>
      <c r="B351"/>
      <c r="C351"/>
      <c r="D351"/>
      <c r="E351"/>
      <c r="F351"/>
      <c r="G351"/>
      <c r="H351"/>
      <c r="I351"/>
      <c r="K351" s="138"/>
      <c r="L351" s="128"/>
      <c r="M351" s="129"/>
      <c r="N351" s="129"/>
      <c r="O351" s="127"/>
    </row>
    <row r="352" spans="1:15" s="126" customFormat="1" ht="12.95" customHeight="1" x14ac:dyDescent="0.25">
      <c r="A352"/>
      <c r="B352"/>
      <c r="C352"/>
      <c r="D352"/>
      <c r="E352"/>
      <c r="F352"/>
      <c r="G352"/>
      <c r="H352"/>
      <c r="I352"/>
      <c r="K352" s="138"/>
      <c r="L352" s="128"/>
      <c r="M352" s="129"/>
      <c r="N352" s="129"/>
      <c r="O352" s="127"/>
    </row>
    <row r="353" spans="1:15" s="126" customFormat="1" ht="12.95" customHeight="1" x14ac:dyDescent="0.25">
      <c r="A353"/>
      <c r="B353"/>
      <c r="C353"/>
      <c r="D353"/>
      <c r="E353"/>
      <c r="F353"/>
      <c r="G353"/>
      <c r="H353"/>
      <c r="I353"/>
      <c r="K353" s="138"/>
      <c r="L353" s="128"/>
      <c r="M353" s="129"/>
      <c r="N353" s="129"/>
      <c r="O353" s="127"/>
    </row>
    <row r="354" spans="1:15" s="126" customFormat="1" ht="12.95" customHeight="1" x14ac:dyDescent="0.25">
      <c r="A354"/>
      <c r="B354"/>
      <c r="C354"/>
      <c r="D354"/>
      <c r="E354"/>
      <c r="F354"/>
      <c r="G354"/>
      <c r="H354"/>
      <c r="I354"/>
      <c r="K354" s="138"/>
      <c r="L354" s="128"/>
      <c r="M354" s="129"/>
      <c r="N354" s="129"/>
      <c r="O354" s="127"/>
    </row>
    <row r="355" spans="1:15" s="126" customFormat="1" ht="12.95" customHeight="1" x14ac:dyDescent="0.25">
      <c r="A355"/>
      <c r="B355"/>
      <c r="C355"/>
      <c r="D355"/>
      <c r="E355"/>
      <c r="F355"/>
      <c r="G355"/>
      <c r="H355"/>
      <c r="I355"/>
      <c r="K355" s="138"/>
      <c r="L355" s="128"/>
      <c r="M355" s="129"/>
      <c r="N355" s="129"/>
      <c r="O355" s="127"/>
    </row>
    <row r="356" spans="1:15" s="126" customFormat="1" ht="12.95" customHeight="1" x14ac:dyDescent="0.25">
      <c r="A356"/>
      <c r="B356"/>
      <c r="C356"/>
      <c r="D356"/>
      <c r="E356"/>
      <c r="F356"/>
      <c r="G356"/>
      <c r="H356"/>
      <c r="I356"/>
      <c r="K356" s="138"/>
      <c r="L356" s="128"/>
      <c r="M356" s="129"/>
      <c r="N356" s="129"/>
      <c r="O356" s="127"/>
    </row>
    <row r="357" spans="1:15" s="126" customFormat="1" ht="12.95" customHeight="1" x14ac:dyDescent="0.25">
      <c r="A357"/>
      <c r="B357"/>
      <c r="C357"/>
      <c r="D357"/>
      <c r="E357"/>
      <c r="F357"/>
      <c r="G357"/>
      <c r="H357"/>
      <c r="I357"/>
      <c r="K357" s="138"/>
      <c r="L357" s="128"/>
      <c r="M357" s="129"/>
      <c r="N357" s="129"/>
      <c r="O357" s="127"/>
    </row>
    <row r="358" spans="1:15" s="126" customFormat="1" ht="12.95" customHeight="1" x14ac:dyDescent="0.25">
      <c r="A358"/>
      <c r="B358"/>
      <c r="C358"/>
      <c r="D358"/>
      <c r="E358"/>
      <c r="F358"/>
      <c r="G358"/>
      <c r="H358"/>
      <c r="I358"/>
      <c r="K358" s="138"/>
      <c r="L358" s="128"/>
      <c r="M358" s="129"/>
      <c r="N358" s="129"/>
      <c r="O358" s="127"/>
    </row>
    <row r="359" spans="1:15" s="126" customFormat="1" ht="12.95" customHeight="1" x14ac:dyDescent="0.25">
      <c r="A359"/>
      <c r="B359"/>
      <c r="C359"/>
      <c r="D359"/>
      <c r="E359"/>
      <c r="F359"/>
      <c r="G359"/>
      <c r="H359"/>
      <c r="I359"/>
      <c r="K359" s="138"/>
      <c r="L359" s="128"/>
      <c r="M359" s="129"/>
      <c r="N359" s="129"/>
      <c r="O359" s="127"/>
    </row>
    <row r="360" spans="1:15" s="126" customFormat="1" ht="12.95" customHeight="1" x14ac:dyDescent="0.25">
      <c r="A360"/>
      <c r="B360"/>
      <c r="C360"/>
      <c r="D360"/>
      <c r="E360"/>
      <c r="F360"/>
      <c r="G360"/>
      <c r="H360"/>
      <c r="I360"/>
      <c r="K360" s="138"/>
      <c r="L360" s="128"/>
      <c r="M360" s="129"/>
      <c r="N360" s="129"/>
      <c r="O360" s="127"/>
    </row>
    <row r="361" spans="1:15" s="126" customFormat="1" ht="12.95" customHeight="1" x14ac:dyDescent="0.25">
      <c r="A361"/>
      <c r="B361"/>
      <c r="C361"/>
      <c r="D361"/>
      <c r="E361"/>
      <c r="F361"/>
      <c r="G361"/>
      <c r="H361"/>
      <c r="I361"/>
      <c r="K361" s="138"/>
      <c r="L361" s="128"/>
      <c r="M361" s="129"/>
      <c r="N361" s="129"/>
      <c r="O361" s="127"/>
    </row>
    <row r="362" spans="1:15" s="126" customFormat="1" ht="12.95" customHeight="1" x14ac:dyDescent="0.25">
      <c r="A362"/>
      <c r="B362"/>
      <c r="C362"/>
      <c r="D362"/>
      <c r="E362"/>
      <c r="F362"/>
      <c r="G362"/>
      <c r="H362"/>
      <c r="I362"/>
      <c r="K362" s="138"/>
      <c r="L362" s="128"/>
      <c r="M362" s="129"/>
      <c r="N362" s="129"/>
      <c r="O362" s="127"/>
    </row>
    <row r="363" spans="1:15" s="126" customFormat="1" ht="12.95" customHeight="1" x14ac:dyDescent="0.25">
      <c r="A363"/>
      <c r="B363"/>
      <c r="C363"/>
      <c r="D363"/>
      <c r="E363"/>
      <c r="F363"/>
      <c r="G363"/>
      <c r="H363"/>
      <c r="I363"/>
      <c r="K363" s="138"/>
      <c r="L363" s="128"/>
      <c r="M363" s="129"/>
      <c r="N363" s="129"/>
      <c r="O363" s="127"/>
    </row>
    <row r="364" spans="1:15" s="126" customFormat="1" ht="12.95" customHeight="1" x14ac:dyDescent="0.25">
      <c r="A364"/>
      <c r="B364"/>
      <c r="C364"/>
      <c r="D364"/>
      <c r="E364"/>
      <c r="F364"/>
      <c r="G364"/>
      <c r="H364"/>
      <c r="I364"/>
      <c r="K364" s="138"/>
      <c r="L364" s="128"/>
      <c r="M364" s="129"/>
      <c r="N364" s="129"/>
      <c r="O364" s="127"/>
    </row>
    <row r="365" spans="1:15" s="126" customFormat="1" ht="12.95" customHeight="1" x14ac:dyDescent="0.25">
      <c r="A365"/>
      <c r="B365"/>
      <c r="C365"/>
      <c r="D365"/>
      <c r="E365"/>
      <c r="F365"/>
      <c r="G365"/>
      <c r="H365"/>
      <c r="I365"/>
      <c r="K365" s="138"/>
      <c r="L365" s="128"/>
      <c r="M365" s="129"/>
      <c r="N365" s="129"/>
      <c r="O365" s="127"/>
    </row>
    <row r="366" spans="1:15" s="126" customFormat="1" ht="12.95" customHeight="1" x14ac:dyDescent="0.25">
      <c r="A366"/>
      <c r="B366"/>
      <c r="C366"/>
      <c r="D366"/>
      <c r="E366"/>
      <c r="F366"/>
      <c r="G366"/>
      <c r="H366"/>
      <c r="I366"/>
      <c r="K366" s="138"/>
      <c r="L366" s="128"/>
      <c r="M366" s="129"/>
      <c r="N366" s="129"/>
      <c r="O366" s="127"/>
    </row>
    <row r="367" spans="1:15" s="126" customFormat="1" ht="12.95" customHeight="1" x14ac:dyDescent="0.25">
      <c r="A367"/>
      <c r="B367"/>
      <c r="C367"/>
      <c r="D367"/>
      <c r="E367"/>
      <c r="F367"/>
      <c r="G367"/>
      <c r="H367"/>
      <c r="I367"/>
      <c r="K367" s="138"/>
      <c r="L367" s="128"/>
      <c r="M367" s="129"/>
      <c r="N367" s="129"/>
      <c r="O367" s="127"/>
    </row>
    <row r="368" spans="1:15" s="126" customFormat="1" ht="12.95" customHeight="1" x14ac:dyDescent="0.25">
      <c r="A368"/>
      <c r="B368"/>
      <c r="C368"/>
      <c r="D368"/>
      <c r="E368"/>
      <c r="F368"/>
      <c r="G368"/>
      <c r="H368"/>
      <c r="I368"/>
      <c r="K368" s="138"/>
      <c r="L368" s="128"/>
      <c r="M368" s="129"/>
      <c r="N368" s="129"/>
      <c r="O368" s="127"/>
    </row>
    <row r="369" spans="1:15" s="126" customFormat="1" ht="12.95" customHeight="1" x14ac:dyDescent="0.25">
      <c r="A369"/>
      <c r="B369"/>
      <c r="C369"/>
      <c r="D369"/>
      <c r="E369"/>
      <c r="F369"/>
      <c r="G369"/>
      <c r="H369"/>
      <c r="I369"/>
      <c r="K369" s="138"/>
      <c r="L369" s="128"/>
      <c r="M369" s="129"/>
      <c r="N369" s="129"/>
      <c r="O369" s="127"/>
    </row>
    <row r="370" spans="1:15" s="126" customFormat="1" ht="12.95" customHeight="1" x14ac:dyDescent="0.25">
      <c r="A370"/>
      <c r="B370"/>
      <c r="C370"/>
      <c r="D370"/>
      <c r="E370"/>
      <c r="F370"/>
      <c r="G370"/>
      <c r="H370"/>
      <c r="I370"/>
      <c r="K370" s="138"/>
      <c r="L370" s="128"/>
      <c r="M370" s="129"/>
      <c r="N370" s="129"/>
      <c r="O370" s="127"/>
    </row>
    <row r="371" spans="1:15" s="126" customFormat="1" ht="12.95" customHeight="1" x14ac:dyDescent="0.25">
      <c r="A371"/>
      <c r="B371"/>
      <c r="C371"/>
      <c r="D371"/>
      <c r="E371"/>
      <c r="F371"/>
      <c r="G371"/>
      <c r="H371"/>
      <c r="I371"/>
      <c r="K371" s="138"/>
      <c r="L371" s="128"/>
      <c r="M371" s="129"/>
      <c r="N371" s="129"/>
      <c r="O371" s="127"/>
    </row>
    <row r="372" spans="1:15" s="126" customFormat="1" ht="12.95" customHeight="1" x14ac:dyDescent="0.25">
      <c r="A372"/>
      <c r="B372"/>
      <c r="C372"/>
      <c r="D372"/>
      <c r="E372"/>
      <c r="F372"/>
      <c r="G372"/>
      <c r="H372"/>
      <c r="I372"/>
      <c r="K372" s="138"/>
      <c r="L372" s="128"/>
      <c r="M372" s="129"/>
      <c r="N372" s="129"/>
      <c r="O372" s="127"/>
    </row>
    <row r="373" spans="1:15" s="126" customFormat="1" ht="12.95" customHeight="1" x14ac:dyDescent="0.25">
      <c r="A373"/>
      <c r="B373"/>
      <c r="C373"/>
      <c r="D373"/>
      <c r="E373"/>
      <c r="F373"/>
      <c r="G373"/>
      <c r="H373"/>
      <c r="I373"/>
      <c r="K373" s="138"/>
      <c r="L373" s="128"/>
      <c r="M373" s="129"/>
      <c r="N373" s="129"/>
      <c r="O373" s="127"/>
    </row>
    <row r="374" spans="1:15" s="126" customFormat="1" ht="12.95" customHeight="1" x14ac:dyDescent="0.25">
      <c r="A374"/>
      <c r="B374"/>
      <c r="C374"/>
      <c r="D374"/>
      <c r="E374"/>
      <c r="F374"/>
      <c r="G374"/>
      <c r="H374"/>
      <c r="I374"/>
      <c r="K374" s="138"/>
      <c r="L374" s="128"/>
      <c r="M374" s="129"/>
      <c r="N374" s="129"/>
      <c r="O374" s="127"/>
    </row>
    <row r="375" spans="1:15" s="126" customFormat="1" ht="12.95" customHeight="1" x14ac:dyDescent="0.25">
      <c r="A375"/>
      <c r="B375"/>
      <c r="C375"/>
      <c r="D375"/>
      <c r="E375"/>
      <c r="F375"/>
      <c r="G375"/>
      <c r="H375"/>
      <c r="I375"/>
      <c r="K375" s="138"/>
      <c r="L375" s="128"/>
      <c r="M375" s="129"/>
      <c r="N375" s="129"/>
      <c r="O375" s="127"/>
    </row>
    <row r="376" spans="1:15" s="126" customFormat="1" ht="12.95" customHeight="1" x14ac:dyDescent="0.25">
      <c r="A376"/>
      <c r="B376"/>
      <c r="C376"/>
      <c r="D376"/>
      <c r="E376"/>
      <c r="F376"/>
      <c r="G376"/>
      <c r="H376"/>
      <c r="I376"/>
      <c r="K376" s="138"/>
      <c r="L376" s="128"/>
      <c r="M376" s="129"/>
      <c r="N376" s="129"/>
      <c r="O376" s="127"/>
    </row>
    <row r="377" spans="1:15" s="126" customFormat="1" ht="12.95" customHeight="1" x14ac:dyDescent="0.25">
      <c r="A377"/>
      <c r="B377"/>
      <c r="C377"/>
      <c r="D377"/>
      <c r="E377"/>
      <c r="F377"/>
      <c r="G377"/>
      <c r="H377"/>
      <c r="I377"/>
      <c r="K377" s="138"/>
      <c r="L377" s="128"/>
      <c r="M377" s="129"/>
      <c r="N377" s="129"/>
      <c r="O377" s="127"/>
    </row>
    <row r="378" spans="1:15" s="126" customFormat="1" ht="12.95" customHeight="1" x14ac:dyDescent="0.25">
      <c r="A378"/>
      <c r="B378"/>
      <c r="C378"/>
      <c r="D378"/>
      <c r="E378"/>
      <c r="F378"/>
      <c r="G378"/>
      <c r="H378"/>
      <c r="I378"/>
      <c r="K378" s="138"/>
      <c r="L378" s="128"/>
      <c r="M378" s="129"/>
      <c r="N378" s="129"/>
      <c r="O378" s="127"/>
    </row>
    <row r="379" spans="1:15" s="126" customFormat="1" ht="12.95" customHeight="1" x14ac:dyDescent="0.25">
      <c r="A379"/>
      <c r="B379"/>
      <c r="C379"/>
      <c r="D379"/>
      <c r="E379"/>
      <c r="F379"/>
      <c r="G379"/>
      <c r="H379"/>
      <c r="I379"/>
      <c r="K379" s="138"/>
      <c r="L379" s="128"/>
      <c r="M379" s="129"/>
      <c r="N379" s="129"/>
      <c r="O379" s="127"/>
    </row>
    <row r="380" spans="1:15" s="126" customFormat="1" ht="12.95" customHeight="1" x14ac:dyDescent="0.25">
      <c r="A380"/>
      <c r="B380"/>
      <c r="C380"/>
      <c r="D380"/>
      <c r="E380"/>
      <c r="F380"/>
      <c r="G380"/>
      <c r="H380"/>
      <c r="I380"/>
      <c r="K380" s="138"/>
      <c r="L380" s="128"/>
      <c r="M380" s="129"/>
      <c r="N380" s="129"/>
      <c r="O380" s="127"/>
    </row>
    <row r="381" spans="1:15" s="126" customFormat="1" ht="12.95" customHeight="1" x14ac:dyDescent="0.25">
      <c r="A381"/>
      <c r="B381"/>
      <c r="C381"/>
      <c r="D381"/>
      <c r="E381"/>
      <c r="F381"/>
      <c r="G381"/>
      <c r="H381"/>
      <c r="I381"/>
      <c r="K381" s="138"/>
      <c r="L381" s="128"/>
      <c r="M381" s="129"/>
      <c r="N381" s="129"/>
      <c r="O381" s="127"/>
    </row>
    <row r="382" spans="1:15" s="126" customFormat="1" ht="12.95" customHeight="1" x14ac:dyDescent="0.25">
      <c r="A382"/>
      <c r="B382"/>
      <c r="C382"/>
      <c r="D382"/>
      <c r="E382"/>
      <c r="F382"/>
      <c r="G382"/>
      <c r="H382"/>
      <c r="I382"/>
      <c r="K382" s="138"/>
      <c r="L382" s="128"/>
      <c r="M382" s="129"/>
      <c r="N382" s="129"/>
      <c r="O382" s="127"/>
    </row>
    <row r="383" spans="1:15" s="126" customFormat="1" ht="12.95" customHeight="1" x14ac:dyDescent="0.25">
      <c r="A383"/>
      <c r="B383"/>
      <c r="C383"/>
      <c r="D383"/>
      <c r="E383"/>
      <c r="F383"/>
      <c r="G383"/>
      <c r="H383"/>
      <c r="I383"/>
      <c r="K383" s="138"/>
      <c r="L383" s="128"/>
      <c r="M383" s="129"/>
      <c r="N383" s="129"/>
      <c r="O383" s="127"/>
    </row>
    <row r="384" spans="1:15" s="126" customFormat="1" ht="12.95" customHeight="1" x14ac:dyDescent="0.25">
      <c r="A384"/>
      <c r="B384"/>
      <c r="C384"/>
      <c r="D384"/>
      <c r="E384"/>
      <c r="F384"/>
      <c r="G384"/>
      <c r="H384"/>
      <c r="I384"/>
      <c r="K384" s="138"/>
      <c r="L384" s="128"/>
      <c r="M384" s="129"/>
      <c r="N384" s="129"/>
      <c r="O384" s="127"/>
    </row>
    <row r="385" spans="1:15" s="126" customFormat="1" ht="12.95" customHeight="1" x14ac:dyDescent="0.25">
      <c r="A385"/>
      <c r="B385"/>
      <c r="C385"/>
      <c r="D385"/>
      <c r="E385"/>
      <c r="F385"/>
      <c r="G385"/>
      <c r="H385"/>
      <c r="I385"/>
      <c r="K385" s="138"/>
      <c r="L385" s="128"/>
      <c r="M385" s="129"/>
      <c r="N385" s="129"/>
      <c r="O385" s="127"/>
    </row>
    <row r="386" spans="1:15" s="126" customFormat="1" ht="12.95" customHeight="1" x14ac:dyDescent="0.25">
      <c r="A386"/>
      <c r="B386"/>
      <c r="C386"/>
      <c r="D386"/>
      <c r="E386"/>
      <c r="F386"/>
      <c r="G386"/>
      <c r="H386"/>
      <c r="I386"/>
      <c r="K386" s="138"/>
      <c r="L386" s="128"/>
      <c r="M386" s="129"/>
      <c r="N386" s="129"/>
      <c r="O386" s="127"/>
    </row>
    <row r="387" spans="1:15" s="126" customFormat="1" ht="12.95" customHeight="1" x14ac:dyDescent="0.25">
      <c r="A387"/>
      <c r="B387"/>
      <c r="C387"/>
      <c r="D387"/>
      <c r="E387"/>
      <c r="F387"/>
      <c r="G387"/>
      <c r="H387"/>
      <c r="I387"/>
      <c r="K387" s="138"/>
      <c r="L387" s="128"/>
      <c r="M387" s="129"/>
      <c r="N387" s="129"/>
      <c r="O387" s="127"/>
    </row>
    <row r="388" spans="1:15" s="126" customFormat="1" ht="12.95" customHeight="1" x14ac:dyDescent="0.25">
      <c r="A388"/>
      <c r="B388"/>
      <c r="C388"/>
      <c r="D388"/>
      <c r="E388"/>
      <c r="F388"/>
      <c r="G388"/>
      <c r="H388"/>
      <c r="I388"/>
      <c r="K388" s="138"/>
      <c r="L388" s="128"/>
      <c r="M388" s="129"/>
      <c r="N388" s="129"/>
      <c r="O388" s="127"/>
    </row>
    <row r="389" spans="1:15" s="126" customFormat="1" ht="12.95" customHeight="1" x14ac:dyDescent="0.25">
      <c r="A389"/>
      <c r="B389"/>
      <c r="C389"/>
      <c r="D389"/>
      <c r="E389"/>
      <c r="F389"/>
      <c r="G389"/>
      <c r="H389"/>
      <c r="I389"/>
      <c r="K389" s="138"/>
      <c r="L389" s="128"/>
      <c r="M389" s="129"/>
      <c r="N389" s="129"/>
      <c r="O389" s="127"/>
    </row>
    <row r="390" spans="1:15" s="126" customFormat="1" ht="12.95" customHeight="1" x14ac:dyDescent="0.25">
      <c r="A390"/>
      <c r="B390"/>
      <c r="C390"/>
      <c r="D390"/>
      <c r="E390"/>
      <c r="F390"/>
      <c r="G390"/>
      <c r="H390"/>
      <c r="I390"/>
      <c r="K390" s="138"/>
      <c r="L390" s="128"/>
      <c r="M390" s="129"/>
      <c r="N390" s="129"/>
      <c r="O390" s="127"/>
    </row>
    <row r="391" spans="1:15" s="126" customFormat="1" ht="12.95" customHeight="1" x14ac:dyDescent="0.25">
      <c r="A391"/>
      <c r="B391"/>
      <c r="C391"/>
      <c r="D391"/>
      <c r="E391"/>
      <c r="F391"/>
      <c r="G391"/>
      <c r="H391"/>
      <c r="I391"/>
      <c r="K391" s="138"/>
      <c r="L391" s="128"/>
      <c r="M391" s="129"/>
      <c r="N391" s="129"/>
      <c r="O391" s="127"/>
    </row>
    <row r="392" spans="1:15" s="126" customFormat="1" ht="12.95" customHeight="1" x14ac:dyDescent="0.25">
      <c r="A392"/>
      <c r="B392"/>
      <c r="C392"/>
      <c r="D392"/>
      <c r="E392"/>
      <c r="F392"/>
      <c r="G392"/>
      <c r="H392"/>
      <c r="I392"/>
      <c r="K392" s="138"/>
      <c r="L392" s="128"/>
      <c r="M392" s="129"/>
      <c r="N392" s="129"/>
      <c r="O392" s="127"/>
    </row>
    <row r="393" spans="1:15" s="126" customFormat="1" ht="12.95" customHeight="1" x14ac:dyDescent="0.25">
      <c r="A393"/>
      <c r="B393"/>
      <c r="C393"/>
      <c r="D393"/>
      <c r="E393"/>
      <c r="F393"/>
      <c r="G393"/>
      <c r="H393"/>
      <c r="I393"/>
      <c r="K393" s="138"/>
      <c r="L393" s="128"/>
      <c r="M393" s="129"/>
      <c r="N393" s="129"/>
      <c r="O393" s="127"/>
    </row>
    <row r="394" spans="1:15" s="126" customFormat="1" ht="12.95" customHeight="1" x14ac:dyDescent="0.25">
      <c r="A394"/>
      <c r="B394"/>
      <c r="C394"/>
      <c r="D394"/>
      <c r="E394"/>
      <c r="F394"/>
      <c r="G394"/>
      <c r="H394"/>
      <c r="I394"/>
      <c r="K394" s="138"/>
      <c r="L394" s="128"/>
      <c r="M394" s="129"/>
      <c r="N394" s="129"/>
      <c r="O394" s="127"/>
    </row>
    <row r="395" spans="1:15" s="126" customFormat="1" ht="12.95" customHeight="1" x14ac:dyDescent="0.25">
      <c r="A395"/>
      <c r="B395"/>
      <c r="C395"/>
      <c r="D395"/>
      <c r="E395"/>
      <c r="F395"/>
      <c r="G395"/>
      <c r="H395"/>
      <c r="I395"/>
      <c r="K395" s="138"/>
      <c r="L395" s="128"/>
      <c r="M395" s="129"/>
      <c r="N395" s="129"/>
      <c r="O395" s="127"/>
    </row>
    <row r="396" spans="1:15" s="126" customFormat="1" ht="12.95" customHeight="1" x14ac:dyDescent="0.25">
      <c r="A396"/>
      <c r="B396"/>
      <c r="C396"/>
      <c r="D396"/>
      <c r="E396"/>
      <c r="F396"/>
      <c r="G396"/>
      <c r="H396"/>
      <c r="I396"/>
      <c r="K396" s="138"/>
      <c r="L396" s="128"/>
      <c r="M396" s="129"/>
      <c r="N396" s="129"/>
      <c r="O396" s="127"/>
    </row>
    <row r="397" spans="1:15" s="126" customFormat="1" ht="12.95" customHeight="1" x14ac:dyDescent="0.25">
      <c r="A397"/>
      <c r="B397"/>
      <c r="C397"/>
      <c r="D397"/>
      <c r="E397"/>
      <c r="F397"/>
      <c r="G397"/>
      <c r="H397"/>
      <c r="I397"/>
      <c r="K397" s="138"/>
      <c r="L397" s="128"/>
      <c r="M397" s="129"/>
      <c r="N397" s="129"/>
      <c r="O397" s="127"/>
    </row>
    <row r="398" spans="1:15" s="126" customFormat="1" ht="12.95" customHeight="1" x14ac:dyDescent="0.25">
      <c r="A398"/>
      <c r="B398"/>
      <c r="C398"/>
      <c r="D398"/>
      <c r="E398"/>
      <c r="F398"/>
      <c r="G398"/>
      <c r="H398"/>
      <c r="I398"/>
      <c r="K398" s="138"/>
      <c r="L398" s="128"/>
      <c r="M398" s="129"/>
      <c r="N398" s="129"/>
      <c r="O398" s="127"/>
    </row>
    <row r="399" spans="1:15" s="126" customFormat="1" ht="12.95" customHeight="1" x14ac:dyDescent="0.25">
      <c r="A399"/>
      <c r="B399"/>
      <c r="C399"/>
      <c r="D399"/>
      <c r="E399"/>
      <c r="F399"/>
      <c r="G399"/>
      <c r="H399"/>
      <c r="I399"/>
      <c r="K399" s="138"/>
      <c r="L399" s="128"/>
      <c r="M399" s="129"/>
      <c r="N399" s="129"/>
      <c r="O399" s="127"/>
    </row>
    <row r="400" spans="1:15" s="126" customFormat="1" ht="12.95" customHeight="1" x14ac:dyDescent="0.25">
      <c r="A400"/>
      <c r="B400"/>
      <c r="C400"/>
      <c r="D400"/>
      <c r="E400"/>
      <c r="F400"/>
      <c r="G400"/>
      <c r="H400"/>
      <c r="I400"/>
      <c r="K400" s="138"/>
      <c r="L400" s="128"/>
      <c r="M400" s="129"/>
      <c r="N400" s="129"/>
      <c r="O400" s="127"/>
    </row>
    <row r="401" spans="1:15" s="126" customFormat="1" ht="12.95" customHeight="1" x14ac:dyDescent="0.25">
      <c r="A401"/>
      <c r="B401"/>
      <c r="C401"/>
      <c r="D401"/>
      <c r="E401"/>
      <c r="F401"/>
      <c r="G401"/>
      <c r="H401"/>
      <c r="I401"/>
      <c r="K401" s="138"/>
      <c r="L401" s="128"/>
      <c r="M401" s="129"/>
      <c r="N401" s="129"/>
      <c r="O401" s="127"/>
    </row>
    <row r="402" spans="1:15" s="126" customFormat="1" ht="12.95" customHeight="1" x14ac:dyDescent="0.25">
      <c r="A402"/>
      <c r="B402"/>
      <c r="C402"/>
      <c r="D402"/>
      <c r="E402"/>
      <c r="F402"/>
      <c r="G402"/>
      <c r="H402"/>
      <c r="I402"/>
      <c r="K402" s="138"/>
      <c r="L402" s="128"/>
      <c r="M402" s="129"/>
      <c r="N402" s="129"/>
      <c r="O402" s="127"/>
    </row>
    <row r="403" spans="1:15" s="126" customFormat="1" ht="12.95" customHeight="1" x14ac:dyDescent="0.25">
      <c r="A403"/>
      <c r="B403"/>
      <c r="C403"/>
      <c r="D403"/>
      <c r="E403"/>
      <c r="F403"/>
      <c r="G403"/>
      <c r="H403"/>
      <c r="I403"/>
      <c r="K403" s="138"/>
      <c r="L403" s="128"/>
      <c r="M403" s="129"/>
      <c r="N403" s="129"/>
      <c r="O403" s="127"/>
    </row>
    <row r="404" spans="1:15" s="126" customFormat="1" ht="12.95" customHeight="1" x14ac:dyDescent="0.25">
      <c r="A404"/>
      <c r="B404"/>
      <c r="C404"/>
      <c r="D404"/>
      <c r="E404"/>
      <c r="F404"/>
      <c r="G404"/>
      <c r="H404"/>
      <c r="I404"/>
      <c r="K404" s="138"/>
      <c r="L404" s="128"/>
      <c r="M404" s="129"/>
      <c r="N404" s="129"/>
      <c r="O404" s="127"/>
    </row>
    <row r="405" spans="1:15" s="126" customFormat="1" ht="12.95" customHeight="1" x14ac:dyDescent="0.25">
      <c r="A405"/>
      <c r="B405"/>
      <c r="C405"/>
      <c r="D405"/>
      <c r="E405"/>
      <c r="F405"/>
      <c r="G405"/>
      <c r="H405"/>
      <c r="I405"/>
      <c r="K405" s="138"/>
      <c r="L405" s="128"/>
      <c r="M405" s="129"/>
      <c r="N405" s="129"/>
      <c r="O405" s="127"/>
    </row>
    <row r="406" spans="1:15" s="126" customFormat="1" ht="12.95" customHeight="1" x14ac:dyDescent="0.25">
      <c r="A406"/>
      <c r="B406"/>
      <c r="C406"/>
      <c r="D406"/>
      <c r="E406"/>
      <c r="F406"/>
      <c r="G406"/>
      <c r="H406"/>
      <c r="I406"/>
      <c r="K406" s="138"/>
      <c r="L406" s="128"/>
      <c r="M406" s="129"/>
      <c r="N406" s="129"/>
      <c r="O406" s="127"/>
    </row>
    <row r="407" spans="1:15" s="126" customFormat="1" ht="12.95" customHeight="1" x14ac:dyDescent="0.25">
      <c r="A407"/>
      <c r="B407"/>
      <c r="C407"/>
      <c r="D407"/>
      <c r="E407"/>
      <c r="F407"/>
      <c r="G407"/>
      <c r="H407"/>
      <c r="I407"/>
      <c r="K407" s="138"/>
      <c r="L407" s="128"/>
      <c r="M407" s="129"/>
      <c r="N407" s="129"/>
      <c r="O407" s="127"/>
    </row>
    <row r="408" spans="1:15" s="126" customFormat="1" ht="12.95" customHeight="1" x14ac:dyDescent="0.25">
      <c r="A408"/>
      <c r="B408"/>
      <c r="C408"/>
      <c r="D408"/>
      <c r="E408"/>
      <c r="F408"/>
      <c r="G408"/>
      <c r="H408"/>
      <c r="I408"/>
      <c r="K408" s="138"/>
      <c r="L408" s="128"/>
      <c r="M408" s="129"/>
      <c r="N408" s="129"/>
      <c r="O408" s="127"/>
    </row>
    <row r="409" spans="1:15" s="126" customFormat="1" ht="12.95" customHeight="1" x14ac:dyDescent="0.25">
      <c r="A409"/>
      <c r="B409"/>
      <c r="C409"/>
      <c r="D409"/>
      <c r="E409"/>
      <c r="F409"/>
      <c r="G409"/>
      <c r="H409"/>
      <c r="I409"/>
      <c r="K409" s="138"/>
      <c r="L409" s="128"/>
      <c r="M409" s="129"/>
      <c r="N409" s="129"/>
      <c r="O409" s="127"/>
    </row>
    <row r="410" spans="1:15" s="126" customFormat="1" ht="12.95" customHeight="1" x14ac:dyDescent="0.25">
      <c r="A410"/>
      <c r="B410"/>
      <c r="C410"/>
      <c r="D410"/>
      <c r="E410"/>
      <c r="F410"/>
      <c r="G410"/>
      <c r="H410"/>
      <c r="I410"/>
      <c r="K410" s="138"/>
      <c r="L410" s="128"/>
      <c r="M410" s="129"/>
      <c r="N410" s="129"/>
      <c r="O410" s="127"/>
    </row>
    <row r="411" spans="1:15" s="126" customFormat="1" ht="12.95" customHeight="1" x14ac:dyDescent="0.25">
      <c r="A411"/>
      <c r="B411"/>
      <c r="C411"/>
      <c r="D411"/>
      <c r="E411"/>
      <c r="F411"/>
      <c r="G411"/>
      <c r="H411"/>
      <c r="I411"/>
      <c r="K411" s="138"/>
      <c r="L411" s="128"/>
      <c r="M411" s="129"/>
      <c r="N411" s="129"/>
      <c r="O411" s="127"/>
    </row>
    <row r="412" spans="1:15" s="126" customFormat="1" ht="12.95" customHeight="1" x14ac:dyDescent="0.25">
      <c r="A412"/>
      <c r="B412"/>
      <c r="C412"/>
      <c r="D412"/>
      <c r="E412"/>
      <c r="F412"/>
      <c r="G412"/>
      <c r="H412"/>
      <c r="I412"/>
      <c r="K412" s="138"/>
      <c r="L412" s="128"/>
      <c r="M412" s="129"/>
      <c r="N412" s="129"/>
      <c r="O412" s="127"/>
    </row>
    <row r="413" spans="1:15" s="126" customFormat="1" ht="12.95" customHeight="1" x14ac:dyDescent="0.25">
      <c r="A413"/>
      <c r="B413"/>
      <c r="C413"/>
      <c r="D413"/>
      <c r="E413"/>
      <c r="F413"/>
      <c r="G413"/>
      <c r="H413"/>
      <c r="I413"/>
      <c r="K413" s="138"/>
      <c r="L413" s="128"/>
      <c r="M413" s="129"/>
      <c r="N413" s="129"/>
      <c r="O413" s="127"/>
    </row>
    <row r="414" spans="1:15" s="126" customFormat="1" ht="12.95" customHeight="1" x14ac:dyDescent="0.25">
      <c r="A414"/>
      <c r="B414"/>
      <c r="C414"/>
      <c r="D414"/>
      <c r="E414"/>
      <c r="F414"/>
      <c r="G414"/>
      <c r="H414"/>
      <c r="I414"/>
      <c r="K414" s="138"/>
      <c r="L414" s="128"/>
      <c r="M414" s="129"/>
      <c r="N414" s="129"/>
      <c r="O414" s="127"/>
    </row>
    <row r="415" spans="1:15" s="126" customFormat="1" ht="12.95" customHeight="1" x14ac:dyDescent="0.25">
      <c r="A415"/>
      <c r="B415"/>
      <c r="C415"/>
      <c r="D415"/>
      <c r="E415"/>
      <c r="F415"/>
      <c r="G415"/>
      <c r="H415"/>
      <c r="I415"/>
      <c r="K415" s="138"/>
      <c r="L415" s="128"/>
      <c r="M415" s="129"/>
      <c r="N415" s="129"/>
      <c r="O415" s="127"/>
    </row>
    <row r="416" spans="1:15" s="126" customFormat="1" ht="12.95" customHeight="1" x14ac:dyDescent="0.25">
      <c r="A416"/>
      <c r="B416"/>
      <c r="C416"/>
      <c r="D416"/>
      <c r="E416"/>
      <c r="F416"/>
      <c r="G416"/>
      <c r="H416"/>
      <c r="I416"/>
      <c r="K416" s="138"/>
      <c r="L416" s="128"/>
      <c r="M416" s="129"/>
      <c r="N416" s="129"/>
      <c r="O416" s="127"/>
    </row>
    <row r="417" spans="1:15" s="126" customFormat="1" ht="12.95" customHeight="1" x14ac:dyDescent="0.25">
      <c r="A417"/>
      <c r="B417"/>
      <c r="C417"/>
      <c r="D417"/>
      <c r="E417"/>
      <c r="F417"/>
      <c r="G417"/>
      <c r="H417"/>
      <c r="I417"/>
      <c r="K417" s="138"/>
      <c r="L417" s="128"/>
      <c r="M417" s="129"/>
      <c r="N417" s="129"/>
      <c r="O417" s="127"/>
    </row>
    <row r="418" spans="1:15" s="126" customFormat="1" ht="12.95" customHeight="1" x14ac:dyDescent="0.25">
      <c r="A418"/>
      <c r="B418"/>
      <c r="C418"/>
      <c r="D418"/>
      <c r="E418"/>
      <c r="F418"/>
      <c r="G418"/>
      <c r="H418"/>
      <c r="I418"/>
      <c r="K418" s="138"/>
      <c r="L418" s="128"/>
      <c r="M418" s="129"/>
      <c r="N418" s="129"/>
      <c r="O418" s="127"/>
    </row>
    <row r="419" spans="1:15" s="126" customFormat="1" ht="12.95" customHeight="1" x14ac:dyDescent="0.25">
      <c r="A419"/>
      <c r="B419"/>
      <c r="C419"/>
      <c r="D419"/>
      <c r="E419"/>
      <c r="F419"/>
      <c r="G419"/>
      <c r="H419"/>
      <c r="I419"/>
      <c r="K419" s="138"/>
      <c r="L419" s="128"/>
      <c r="M419" s="129"/>
      <c r="N419" s="129"/>
      <c r="O419" s="127"/>
    </row>
    <row r="420" spans="1:15" s="126" customFormat="1" ht="12.95" customHeight="1" x14ac:dyDescent="0.25">
      <c r="A420"/>
      <c r="B420"/>
      <c r="C420"/>
      <c r="D420"/>
      <c r="E420"/>
      <c r="F420"/>
      <c r="G420"/>
      <c r="H420"/>
      <c r="I420"/>
      <c r="K420" s="138"/>
      <c r="L420" s="128"/>
      <c r="M420" s="129"/>
      <c r="N420" s="129"/>
      <c r="O420" s="127"/>
    </row>
    <row r="421" spans="1:15" s="126" customFormat="1" ht="12.95" customHeight="1" x14ac:dyDescent="0.25">
      <c r="A421"/>
      <c r="B421"/>
      <c r="C421"/>
      <c r="D421"/>
      <c r="E421"/>
      <c r="F421"/>
      <c r="G421"/>
      <c r="H421"/>
      <c r="I421"/>
      <c r="K421" s="138"/>
      <c r="L421" s="128"/>
      <c r="M421" s="129"/>
      <c r="N421" s="129"/>
      <c r="O421" s="127"/>
    </row>
    <row r="422" spans="1:15" s="126" customFormat="1" ht="12.95" customHeight="1" x14ac:dyDescent="0.25">
      <c r="A422"/>
      <c r="B422"/>
      <c r="C422"/>
      <c r="D422"/>
      <c r="E422"/>
      <c r="F422"/>
      <c r="G422"/>
      <c r="H422"/>
      <c r="I422"/>
      <c r="K422" s="138"/>
      <c r="L422" s="128"/>
      <c r="M422" s="129"/>
      <c r="N422" s="129"/>
      <c r="O422" s="127"/>
    </row>
    <row r="423" spans="1:15" s="126" customFormat="1" ht="12.95" customHeight="1" x14ac:dyDescent="0.25">
      <c r="A423"/>
      <c r="B423"/>
      <c r="C423"/>
      <c r="D423"/>
      <c r="E423"/>
      <c r="F423"/>
      <c r="G423"/>
      <c r="H423"/>
      <c r="I423"/>
      <c r="K423" s="138"/>
      <c r="L423" s="128"/>
      <c r="M423" s="129"/>
      <c r="N423" s="129"/>
      <c r="O423" s="127"/>
    </row>
    <row r="424" spans="1:15" s="126" customFormat="1" ht="12.95" customHeight="1" x14ac:dyDescent="0.25">
      <c r="A424"/>
      <c r="B424"/>
      <c r="C424"/>
      <c r="D424"/>
      <c r="E424"/>
      <c r="F424"/>
      <c r="G424"/>
      <c r="H424"/>
      <c r="I424"/>
      <c r="K424" s="138"/>
      <c r="L424" s="128"/>
      <c r="M424" s="129"/>
      <c r="N424" s="129"/>
      <c r="O424" s="127"/>
    </row>
    <row r="425" spans="1:15" s="126" customFormat="1" ht="12.95" customHeight="1" x14ac:dyDescent="0.25">
      <c r="A425"/>
      <c r="B425"/>
      <c r="C425"/>
      <c r="D425"/>
      <c r="E425"/>
      <c r="F425"/>
      <c r="G425"/>
      <c r="H425"/>
      <c r="I425"/>
      <c r="K425" s="138"/>
      <c r="L425" s="128"/>
      <c r="M425" s="129"/>
      <c r="N425" s="129"/>
      <c r="O425" s="127"/>
    </row>
    <row r="426" spans="1:15" s="126" customFormat="1" ht="12.95" customHeight="1" x14ac:dyDescent="0.25">
      <c r="A426"/>
      <c r="B426"/>
      <c r="C426"/>
      <c r="D426"/>
      <c r="E426"/>
      <c r="F426"/>
      <c r="G426"/>
      <c r="H426"/>
      <c r="I426"/>
      <c r="K426" s="138"/>
      <c r="L426" s="128"/>
      <c r="M426" s="129"/>
      <c r="N426" s="129"/>
      <c r="O426" s="127"/>
    </row>
    <row r="427" spans="1:15" s="126" customFormat="1" ht="12.95" customHeight="1" x14ac:dyDescent="0.25">
      <c r="A427"/>
      <c r="B427"/>
      <c r="C427"/>
      <c r="D427"/>
      <c r="E427"/>
      <c r="F427"/>
      <c r="G427"/>
      <c r="H427"/>
      <c r="I427"/>
      <c r="K427" s="138"/>
      <c r="L427" s="128"/>
      <c r="M427" s="129"/>
      <c r="N427" s="129"/>
      <c r="O427" s="127"/>
    </row>
    <row r="428" spans="1:15" s="126" customFormat="1" ht="12.95" customHeight="1" x14ac:dyDescent="0.25">
      <c r="A428"/>
      <c r="B428"/>
      <c r="C428"/>
      <c r="D428"/>
      <c r="E428"/>
      <c r="F428"/>
      <c r="G428"/>
      <c r="H428"/>
      <c r="I428"/>
      <c r="K428" s="138"/>
      <c r="L428" s="128"/>
      <c r="M428" s="129"/>
      <c r="N428" s="129"/>
      <c r="O428" s="127"/>
    </row>
    <row r="429" spans="1:15" s="126" customFormat="1" ht="12.95" customHeight="1" x14ac:dyDescent="0.25">
      <c r="A429"/>
      <c r="B429"/>
      <c r="C429"/>
      <c r="D429"/>
      <c r="E429"/>
      <c r="F429"/>
      <c r="G429"/>
      <c r="H429"/>
      <c r="I429"/>
      <c r="K429" s="138"/>
      <c r="L429" s="128"/>
      <c r="M429" s="129"/>
      <c r="N429" s="129"/>
      <c r="O429" s="127"/>
    </row>
    <row r="430" spans="1:15" s="126" customFormat="1" ht="12.95" customHeight="1" x14ac:dyDescent="0.25">
      <c r="A430"/>
      <c r="B430"/>
      <c r="C430"/>
      <c r="D430"/>
      <c r="E430"/>
      <c r="F430"/>
      <c r="G430"/>
      <c r="H430"/>
      <c r="I430"/>
      <c r="K430" s="138"/>
      <c r="L430" s="128"/>
      <c r="M430" s="129"/>
      <c r="N430" s="129"/>
      <c r="O430" s="127"/>
    </row>
    <row r="431" spans="1:15" s="126" customFormat="1" ht="12.95" customHeight="1" x14ac:dyDescent="0.25">
      <c r="A431"/>
      <c r="B431"/>
      <c r="C431"/>
      <c r="D431"/>
      <c r="E431"/>
      <c r="F431"/>
      <c r="G431"/>
      <c r="H431"/>
      <c r="I431"/>
      <c r="K431" s="138"/>
      <c r="L431" s="128"/>
      <c r="M431" s="129"/>
      <c r="N431" s="129"/>
      <c r="O431" s="127"/>
    </row>
    <row r="432" spans="1:15" s="126" customFormat="1" ht="12.95" customHeight="1" x14ac:dyDescent="0.25">
      <c r="A432"/>
      <c r="B432"/>
      <c r="C432"/>
      <c r="D432"/>
      <c r="E432"/>
      <c r="F432"/>
      <c r="G432"/>
      <c r="H432"/>
      <c r="I432"/>
      <c r="K432" s="138"/>
      <c r="L432" s="128"/>
      <c r="M432" s="129"/>
      <c r="N432" s="129"/>
      <c r="O432" s="127"/>
    </row>
    <row r="433" spans="1:15" s="126" customFormat="1" ht="12.95" customHeight="1" x14ac:dyDescent="0.25">
      <c r="A433"/>
      <c r="B433"/>
      <c r="C433"/>
      <c r="D433"/>
      <c r="E433"/>
      <c r="F433"/>
      <c r="G433"/>
      <c r="H433"/>
      <c r="I433"/>
      <c r="K433" s="138"/>
      <c r="L433" s="128"/>
      <c r="M433" s="129"/>
      <c r="N433" s="129"/>
      <c r="O433" s="127"/>
    </row>
    <row r="434" spans="1:15" s="126" customFormat="1" ht="12.95" customHeight="1" x14ac:dyDescent="0.25">
      <c r="A434"/>
      <c r="B434"/>
      <c r="C434"/>
      <c r="D434"/>
      <c r="E434"/>
      <c r="F434"/>
      <c r="G434"/>
      <c r="H434"/>
      <c r="I434"/>
      <c r="K434" s="138"/>
      <c r="L434" s="128"/>
      <c r="M434" s="129"/>
      <c r="N434" s="129"/>
      <c r="O434" s="127"/>
    </row>
    <row r="435" spans="1:15" s="126" customFormat="1" ht="12.95" customHeight="1" x14ac:dyDescent="0.25">
      <c r="A435"/>
      <c r="B435"/>
      <c r="C435"/>
      <c r="D435"/>
      <c r="E435"/>
      <c r="F435"/>
      <c r="G435"/>
      <c r="H435"/>
      <c r="I435"/>
      <c r="K435" s="138"/>
      <c r="L435" s="128"/>
      <c r="M435" s="129"/>
      <c r="N435" s="129"/>
      <c r="O435" s="127"/>
    </row>
    <row r="436" spans="1:15" s="126" customFormat="1" ht="12.95" customHeight="1" x14ac:dyDescent="0.25">
      <c r="A436"/>
      <c r="B436"/>
      <c r="C436"/>
      <c r="D436"/>
      <c r="E436"/>
      <c r="F436"/>
      <c r="G436"/>
      <c r="H436"/>
      <c r="I436"/>
      <c r="K436" s="138"/>
      <c r="L436" s="128"/>
      <c r="M436" s="129"/>
      <c r="N436" s="129"/>
      <c r="O436" s="127"/>
    </row>
    <row r="437" spans="1:15" s="126" customFormat="1" ht="12.95" customHeight="1" x14ac:dyDescent="0.25">
      <c r="A437"/>
      <c r="B437"/>
      <c r="C437"/>
      <c r="D437"/>
      <c r="E437"/>
      <c r="F437"/>
      <c r="G437"/>
      <c r="H437"/>
      <c r="I437"/>
      <c r="K437" s="138"/>
      <c r="L437" s="128"/>
      <c r="M437" s="129"/>
      <c r="N437" s="129"/>
      <c r="O437" s="127"/>
    </row>
    <row r="438" spans="1:15" s="126" customFormat="1" ht="12.95" customHeight="1" x14ac:dyDescent="0.25">
      <c r="A438"/>
      <c r="B438"/>
      <c r="C438"/>
      <c r="D438"/>
      <c r="E438"/>
      <c r="F438"/>
      <c r="G438"/>
      <c r="H438"/>
      <c r="I438"/>
      <c r="K438" s="138"/>
      <c r="L438" s="128"/>
      <c r="M438" s="129"/>
      <c r="N438" s="129"/>
      <c r="O438" s="127"/>
    </row>
    <row r="439" spans="1:15" s="126" customFormat="1" ht="12.95" customHeight="1" x14ac:dyDescent="0.25">
      <c r="A439"/>
      <c r="B439"/>
      <c r="C439"/>
      <c r="D439"/>
      <c r="E439"/>
      <c r="F439"/>
      <c r="G439"/>
      <c r="H439"/>
      <c r="I439"/>
      <c r="K439" s="138"/>
      <c r="L439" s="128"/>
      <c r="M439" s="129"/>
      <c r="N439" s="129"/>
      <c r="O439" s="127"/>
    </row>
    <row r="440" spans="1:15" s="126" customFormat="1" ht="12.95" customHeight="1" x14ac:dyDescent="0.25">
      <c r="A440"/>
      <c r="B440"/>
      <c r="C440"/>
      <c r="D440"/>
      <c r="E440"/>
      <c r="F440"/>
      <c r="G440"/>
      <c r="H440"/>
      <c r="I440"/>
      <c r="K440" s="138"/>
      <c r="L440" s="128"/>
      <c r="M440" s="129"/>
      <c r="N440" s="129"/>
      <c r="O440" s="127"/>
    </row>
    <row r="441" spans="1:15" s="126" customFormat="1" ht="12.95" customHeight="1" x14ac:dyDescent="0.25">
      <c r="A441"/>
      <c r="B441"/>
      <c r="C441"/>
      <c r="D441"/>
      <c r="E441"/>
      <c r="F441"/>
      <c r="G441"/>
      <c r="H441"/>
      <c r="I441"/>
      <c r="K441" s="138"/>
      <c r="L441" s="128"/>
      <c r="M441" s="129"/>
      <c r="N441" s="129"/>
      <c r="O441" s="127"/>
    </row>
    <row r="442" spans="1:15" s="126" customFormat="1" ht="12.95" customHeight="1" x14ac:dyDescent="0.25">
      <c r="A442"/>
      <c r="B442"/>
      <c r="C442"/>
      <c r="D442"/>
      <c r="E442"/>
      <c r="F442"/>
      <c r="G442"/>
      <c r="H442"/>
      <c r="I442"/>
      <c r="K442" s="138"/>
      <c r="L442" s="128"/>
      <c r="M442" s="129"/>
      <c r="N442" s="129"/>
      <c r="O442" s="127"/>
    </row>
    <row r="443" spans="1:15" s="126" customFormat="1" ht="12.95" customHeight="1" x14ac:dyDescent="0.25">
      <c r="A443"/>
      <c r="B443"/>
      <c r="C443"/>
      <c r="D443"/>
      <c r="E443"/>
      <c r="F443"/>
      <c r="G443"/>
      <c r="H443"/>
      <c r="I443"/>
      <c r="K443" s="138"/>
      <c r="L443" s="128"/>
      <c r="M443" s="129"/>
      <c r="N443" s="129"/>
      <c r="O443" s="127"/>
    </row>
    <row r="444" spans="1:15" s="126" customFormat="1" ht="12.95" customHeight="1" x14ac:dyDescent="0.25">
      <c r="A444"/>
      <c r="B444"/>
      <c r="C444"/>
      <c r="D444"/>
      <c r="E444"/>
      <c r="F444"/>
      <c r="G444"/>
      <c r="H444"/>
      <c r="I444"/>
      <c r="K444" s="138"/>
      <c r="L444" s="128"/>
      <c r="M444" s="129"/>
      <c r="N444" s="129"/>
      <c r="O444" s="127"/>
    </row>
    <row r="445" spans="1:15" s="126" customFormat="1" ht="12.95" customHeight="1" x14ac:dyDescent="0.25">
      <c r="A445"/>
      <c r="B445"/>
      <c r="C445"/>
      <c r="D445"/>
      <c r="E445"/>
      <c r="F445"/>
      <c r="G445"/>
      <c r="H445"/>
      <c r="I445"/>
      <c r="K445" s="138"/>
      <c r="L445" s="128"/>
      <c r="M445" s="129"/>
      <c r="N445" s="129"/>
      <c r="O445" s="127"/>
    </row>
    <row r="446" spans="1:15" s="126" customFormat="1" ht="12.95" customHeight="1" x14ac:dyDescent="0.25">
      <c r="A446"/>
      <c r="B446"/>
      <c r="C446"/>
      <c r="D446"/>
      <c r="E446"/>
      <c r="F446"/>
      <c r="G446"/>
      <c r="H446"/>
      <c r="I446"/>
      <c r="K446" s="138"/>
      <c r="L446" s="128"/>
      <c r="M446" s="129"/>
      <c r="N446" s="129"/>
      <c r="O446" s="127"/>
    </row>
    <row r="447" spans="1:15" s="126" customFormat="1" ht="12.95" customHeight="1" x14ac:dyDescent="0.25">
      <c r="A447"/>
      <c r="B447"/>
      <c r="C447"/>
      <c r="D447"/>
      <c r="E447"/>
      <c r="F447"/>
      <c r="G447"/>
      <c r="H447"/>
      <c r="I447"/>
      <c r="K447" s="138"/>
      <c r="L447" s="128"/>
      <c r="M447" s="129"/>
      <c r="N447" s="129"/>
      <c r="O447" s="127"/>
    </row>
    <row r="448" spans="1:15" s="126" customFormat="1" ht="12.95" customHeight="1" x14ac:dyDescent="0.25">
      <c r="A448"/>
      <c r="B448"/>
      <c r="C448"/>
      <c r="D448"/>
      <c r="E448"/>
      <c r="F448"/>
      <c r="G448"/>
      <c r="H448"/>
      <c r="I448"/>
      <c r="K448" s="138"/>
      <c r="L448" s="128"/>
      <c r="M448" s="129"/>
      <c r="N448" s="129"/>
      <c r="O448" s="127"/>
    </row>
    <row r="449" spans="1:15" s="126" customFormat="1" ht="12.95" customHeight="1" x14ac:dyDescent="0.25">
      <c r="A449" s="138"/>
      <c r="B449" s="136"/>
      <c r="C449" s="129"/>
      <c r="D449" s="135"/>
      <c r="E449" s="135"/>
      <c r="F449" s="135"/>
      <c r="G449" s="133"/>
      <c r="H449" s="133"/>
      <c r="I449" s="232"/>
      <c r="K449" s="138"/>
      <c r="L449" s="128"/>
      <c r="M449" s="129"/>
      <c r="N449" s="129"/>
      <c r="O449" s="127"/>
    </row>
    <row r="451" spans="1:15" s="219" customFormat="1" ht="13.5" x14ac:dyDescent="0.25">
      <c r="K451" s="221"/>
      <c r="L451" s="220"/>
      <c r="M451" s="220"/>
      <c r="N451" s="220"/>
    </row>
    <row r="452" spans="1:15" s="223" customFormat="1" ht="11.25" x14ac:dyDescent="0.25">
      <c r="K452" s="225"/>
      <c r="L452" s="224"/>
      <c r="M452" s="224"/>
      <c r="N452" s="224"/>
    </row>
    <row r="453" spans="1:15" s="223" customFormat="1" ht="11.25" x14ac:dyDescent="0.25">
      <c r="K453" s="225"/>
      <c r="L453" s="224"/>
      <c r="M453" s="224"/>
      <c r="N453" s="224"/>
    </row>
    <row r="454" spans="1:15" s="223" customFormat="1" ht="11.25" x14ac:dyDescent="0.25">
      <c r="K454" s="225"/>
      <c r="L454" s="224"/>
      <c r="M454" s="224"/>
      <c r="N454" s="224"/>
    </row>
    <row r="455" spans="1:15" s="223" customFormat="1" ht="11.25" x14ac:dyDescent="0.25">
      <c r="A455" s="222"/>
      <c r="C455" s="224"/>
      <c r="K455" s="225"/>
      <c r="L455" s="224"/>
      <c r="M455" s="224"/>
      <c r="N455" s="224"/>
    </row>
    <row r="456" spans="1:15" s="223" customFormat="1" ht="11.25" x14ac:dyDescent="0.25">
      <c r="A456" s="222"/>
      <c r="C456" s="224"/>
      <c r="K456" s="225"/>
      <c r="L456" s="224"/>
      <c r="M456" s="224"/>
      <c r="N456" s="224"/>
    </row>
    <row r="457" spans="1:15" s="223" customFormat="1" ht="11.25" x14ac:dyDescent="0.25">
      <c r="A457" s="222"/>
      <c r="C457" s="224"/>
      <c r="K457" s="225"/>
      <c r="L457" s="224"/>
      <c r="M457" s="224"/>
      <c r="N457" s="224"/>
    </row>
    <row r="458" spans="1:15" s="223" customFormat="1" ht="11.25" x14ac:dyDescent="0.25">
      <c r="A458" s="222"/>
      <c r="C458" s="224"/>
      <c r="K458" s="225"/>
      <c r="L458" s="224"/>
      <c r="M458" s="224"/>
      <c r="N458" s="224"/>
    </row>
  </sheetData>
  <autoFilter ref="A1:O449"/>
  <sortState ref="K2:N26">
    <sortCondition ref="K2:K26"/>
  </sortState>
  <pageMargins left="0.7" right="0.7" top="0.75" bottom="0.75" header="0.3" footer="0.3"/>
  <pageSetup orientation="portrait" horizontalDpi="120" verticalDpi="72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D26"/>
  <sheetViews>
    <sheetView workbookViewId="0">
      <selection activeCell="F15" sqref="F15"/>
    </sheetView>
  </sheetViews>
  <sheetFormatPr defaultColWidth="11.42578125" defaultRowHeight="15" x14ac:dyDescent="0.25"/>
  <cols>
    <col min="1" max="1" width="14.42578125" style="81" bestFit="1" customWidth="1"/>
    <col min="2" max="2" width="15.28515625" style="81" bestFit="1" customWidth="1"/>
    <col min="3" max="3" width="22" style="81" bestFit="1" customWidth="1"/>
    <col min="4" max="4" width="14.5703125" style="83" bestFit="1" customWidth="1"/>
    <col min="5" max="16384" width="11.42578125" style="81"/>
  </cols>
  <sheetData>
    <row r="1" spans="1:4" x14ac:dyDescent="0.25">
      <c r="A1" s="382" t="s">
        <v>126</v>
      </c>
      <c r="B1" s="382"/>
      <c r="C1" s="382"/>
      <c r="D1" s="382"/>
    </row>
    <row r="2" spans="1:4" x14ac:dyDescent="0.25">
      <c r="A2" s="82"/>
      <c r="C2" s="82"/>
    </row>
    <row r="3" spans="1:4" ht="15" customHeight="1" x14ac:dyDescent="0.25">
      <c r="A3" s="140" t="s">
        <v>127</v>
      </c>
      <c r="B3" s="140" t="s">
        <v>128</v>
      </c>
      <c r="C3" s="140" t="s">
        <v>129</v>
      </c>
      <c r="D3" s="141" t="s">
        <v>130</v>
      </c>
    </row>
    <row r="4" spans="1:4" s="126" customFormat="1" ht="15" customHeight="1" x14ac:dyDescent="0.25">
      <c r="A4" s="143">
        <v>46125</v>
      </c>
      <c r="B4" s="134">
        <v>16</v>
      </c>
      <c r="C4" s="143">
        <v>46126</v>
      </c>
      <c r="D4" s="144">
        <v>1</v>
      </c>
    </row>
    <row r="5" spans="1:4" s="126" customFormat="1" ht="15" customHeight="1" x14ac:dyDescent="0.25">
      <c r="A5" s="143">
        <v>46127</v>
      </c>
      <c r="B5" s="134">
        <v>3</v>
      </c>
      <c r="C5" s="143">
        <v>46127</v>
      </c>
      <c r="D5" s="144">
        <v>0</v>
      </c>
    </row>
    <row r="6" spans="1:4" s="126" customFormat="1" ht="15" customHeight="1" x14ac:dyDescent="0.25">
      <c r="A6" s="143">
        <v>46129</v>
      </c>
      <c r="B6" s="134">
        <v>7</v>
      </c>
      <c r="C6" s="143">
        <v>46129</v>
      </c>
      <c r="D6" s="144">
        <v>0</v>
      </c>
    </row>
    <row r="7" spans="1:4" s="126" customFormat="1" ht="15" customHeight="1" x14ac:dyDescent="0.25">
      <c r="A7" s="143">
        <v>46129</v>
      </c>
      <c r="B7" s="134">
        <v>4</v>
      </c>
      <c r="C7" s="143">
        <v>46130</v>
      </c>
      <c r="D7" s="144">
        <v>1</v>
      </c>
    </row>
    <row r="8" spans="1:4" s="126" customFormat="1" ht="15" customHeight="1" x14ac:dyDescent="0.25">
      <c r="A8" s="143">
        <v>46132</v>
      </c>
      <c r="B8" s="134">
        <v>2</v>
      </c>
      <c r="C8" s="143">
        <v>46132</v>
      </c>
      <c r="D8" s="144">
        <v>0</v>
      </c>
    </row>
    <row r="9" spans="1:4" s="126" customFormat="1" ht="15" customHeight="1" x14ac:dyDescent="0.25">
      <c r="A9" s="143">
        <v>46133</v>
      </c>
      <c r="B9" s="134">
        <v>3</v>
      </c>
      <c r="C9" s="143">
        <v>46133</v>
      </c>
      <c r="D9" s="144">
        <v>0</v>
      </c>
    </row>
    <row r="10" spans="1:4" s="126" customFormat="1" ht="15" customHeight="1" x14ac:dyDescent="0.25">
      <c r="A10" s="143">
        <v>46133</v>
      </c>
      <c r="B10" s="134">
        <v>6</v>
      </c>
      <c r="C10" s="143">
        <v>46134</v>
      </c>
      <c r="D10" s="144">
        <v>1</v>
      </c>
    </row>
    <row r="11" spans="1:4" s="126" customFormat="1" ht="15" customHeight="1" x14ac:dyDescent="0.25">
      <c r="A11" s="143">
        <v>46135</v>
      </c>
      <c r="B11" s="134">
        <v>2</v>
      </c>
      <c r="C11" s="143">
        <v>46135</v>
      </c>
      <c r="D11" s="144">
        <v>0</v>
      </c>
    </row>
    <row r="12" spans="1:4" s="126" customFormat="1" ht="15" customHeight="1" x14ac:dyDescent="0.25">
      <c r="A12" s="143">
        <v>46136</v>
      </c>
      <c r="B12" s="134">
        <v>1</v>
      </c>
      <c r="C12" s="143">
        <v>46136</v>
      </c>
      <c r="D12" s="144">
        <v>0</v>
      </c>
    </row>
    <row r="13" spans="1:4" s="126" customFormat="1" ht="15" customHeight="1" x14ac:dyDescent="0.25">
      <c r="A13" s="143">
        <v>46140</v>
      </c>
      <c r="B13" s="134">
        <v>1</v>
      </c>
      <c r="C13" s="143">
        <v>46140</v>
      </c>
      <c r="D13" s="144">
        <v>0</v>
      </c>
    </row>
    <row r="14" spans="1:4" s="126" customFormat="1" ht="15" customHeight="1" x14ac:dyDescent="0.25">
      <c r="A14" s="143">
        <v>46141</v>
      </c>
      <c r="B14" s="134">
        <v>1</v>
      </c>
      <c r="C14" s="143">
        <v>46141</v>
      </c>
      <c r="D14" s="144">
        <v>0</v>
      </c>
    </row>
    <row r="15" spans="1:4" s="126" customFormat="1" ht="15" customHeight="1" x14ac:dyDescent="0.25">
      <c r="A15" s="143">
        <v>46142</v>
      </c>
      <c r="B15" s="134">
        <v>2</v>
      </c>
      <c r="C15" s="143">
        <v>46142</v>
      </c>
      <c r="D15" s="144">
        <v>0</v>
      </c>
    </row>
    <row r="16" spans="1:4" s="126" customFormat="1" ht="15" customHeight="1" x14ac:dyDescent="0.25">
      <c r="A16" s="143"/>
      <c r="B16" s="134"/>
      <c r="C16" s="143"/>
      <c r="D16" s="144"/>
    </row>
    <row r="17" spans="1:4" s="126" customFormat="1" ht="15" customHeight="1" x14ac:dyDescent="0.25">
      <c r="A17" s="143"/>
      <c r="B17" s="134"/>
      <c r="C17" s="143"/>
      <c r="D17" s="144"/>
    </row>
    <row r="18" spans="1:4" s="126" customFormat="1" ht="15" customHeight="1" x14ac:dyDescent="0.25">
      <c r="A18" s="143"/>
      <c r="B18" s="134"/>
      <c r="C18" s="143"/>
      <c r="D18" s="144"/>
    </row>
    <row r="19" spans="1:4" s="126" customFormat="1" ht="12" x14ac:dyDescent="0.25">
      <c r="A19" s="143"/>
      <c r="B19" s="134"/>
      <c r="C19" s="143"/>
      <c r="D19" s="144"/>
    </row>
    <row r="20" spans="1:4" s="126" customFormat="1" ht="12" x14ac:dyDescent="0.25">
      <c r="A20" s="142"/>
      <c r="B20" s="133"/>
      <c r="C20" s="133" t="s">
        <v>164</v>
      </c>
      <c r="D20" s="173">
        <f>AVERAGE(D4:D18)</f>
        <v>0.25</v>
      </c>
    </row>
    <row r="21" spans="1:4" x14ac:dyDescent="0.25">
      <c r="A21" s="84"/>
    </row>
    <row r="22" spans="1:4" x14ac:dyDescent="0.25">
      <c r="A22" s="84"/>
    </row>
    <row r="23" spans="1:4" x14ac:dyDescent="0.25">
      <c r="A23" s="84"/>
      <c r="D23" s="81"/>
    </row>
    <row r="24" spans="1:4" x14ac:dyDescent="0.25">
      <c r="A24" s="84"/>
      <c r="D24" s="81"/>
    </row>
    <row r="25" spans="1:4" x14ac:dyDescent="0.25">
      <c r="A25" s="84"/>
      <c r="D25" s="81"/>
    </row>
    <row r="26" spans="1:4" x14ac:dyDescent="0.25">
      <c r="A26" s="84"/>
      <c r="D26" s="81"/>
    </row>
  </sheetData>
  <mergeCells count="1">
    <mergeCell ref="A1:D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E75BC2"/>
    <pageSetUpPr fitToPage="1"/>
  </sheetPr>
  <dimension ref="A1:AI15"/>
  <sheetViews>
    <sheetView workbookViewId="0">
      <pane xSplit="17" ySplit="3" topLeftCell="R4" activePane="bottomRight" state="frozen"/>
      <selection pane="topRight" activeCell="R1" sqref="R1"/>
      <selection pane="bottomLeft" activeCell="A4" sqref="A4"/>
      <selection pane="bottomRight" activeCell="U6" sqref="U6"/>
    </sheetView>
  </sheetViews>
  <sheetFormatPr defaultRowHeight="12.75" x14ac:dyDescent="0.2"/>
  <cols>
    <col min="1" max="1" width="4.85546875" style="159" bestFit="1" customWidth="1"/>
    <col min="2" max="2" width="28.5703125" style="160" customWidth="1"/>
    <col min="3" max="4" width="7.5703125" style="172" hidden="1" customWidth="1"/>
    <col min="5" max="5" width="7" style="172" hidden="1" customWidth="1"/>
    <col min="6" max="7" width="5.7109375" style="172" hidden="1" customWidth="1"/>
    <col min="8" max="17" width="6.7109375" style="172" hidden="1" customWidth="1"/>
    <col min="18" max="19" width="5.7109375" style="172" customWidth="1"/>
    <col min="20" max="21" width="5.7109375" style="159" customWidth="1"/>
    <col min="22" max="35" width="5.7109375" style="160" customWidth="1"/>
    <col min="36" max="16384" width="9.140625" style="160"/>
  </cols>
  <sheetData>
    <row r="1" spans="1:35" ht="18.75" x14ac:dyDescent="0.3">
      <c r="A1" s="158" t="s">
        <v>211</v>
      </c>
      <c r="B1" s="158"/>
      <c r="C1" s="158"/>
      <c r="D1" s="158"/>
      <c r="E1" s="158"/>
      <c r="F1" s="158"/>
      <c r="G1" s="158"/>
      <c r="H1" s="158"/>
      <c r="I1" s="159"/>
      <c r="J1" s="159"/>
      <c r="K1" s="159"/>
      <c r="L1" s="159"/>
      <c r="M1" s="159"/>
      <c r="N1" s="159"/>
      <c r="O1" s="159"/>
      <c r="P1" s="159"/>
      <c r="Q1" s="159"/>
      <c r="R1" s="159"/>
      <c r="S1" s="159"/>
    </row>
    <row r="2" spans="1:35" ht="15" customHeight="1" x14ac:dyDescent="0.2">
      <c r="A2" s="383" t="s">
        <v>150</v>
      </c>
      <c r="B2" s="383" t="s">
        <v>151</v>
      </c>
      <c r="C2" s="396">
        <v>2025</v>
      </c>
      <c r="D2" s="397"/>
      <c r="E2" s="397"/>
      <c r="F2" s="397"/>
      <c r="G2" s="397"/>
      <c r="H2" s="397"/>
      <c r="I2" s="397"/>
      <c r="J2" s="397"/>
      <c r="K2" s="397"/>
      <c r="L2" s="397"/>
      <c r="M2" s="397"/>
      <c r="N2" s="397"/>
      <c r="O2" s="397"/>
      <c r="P2" s="397"/>
      <c r="Q2" s="397"/>
      <c r="R2" s="397"/>
      <c r="S2" s="397"/>
      <c r="T2" s="397"/>
      <c r="U2" s="397"/>
      <c r="V2" s="397"/>
      <c r="W2" s="397"/>
      <c r="X2" s="397"/>
      <c r="Y2" s="397"/>
      <c r="Z2" s="397"/>
      <c r="AA2" s="397"/>
      <c r="AB2" s="397"/>
      <c r="AC2" s="397"/>
      <c r="AD2" s="397"/>
      <c r="AE2" s="397"/>
      <c r="AF2" s="397"/>
      <c r="AG2" s="397"/>
      <c r="AH2" s="397"/>
      <c r="AI2" s="397"/>
    </row>
    <row r="3" spans="1:35" s="163" customFormat="1" ht="15" customHeight="1" x14ac:dyDescent="0.2">
      <c r="A3" s="383"/>
      <c r="B3" s="383"/>
      <c r="C3" s="161">
        <v>45696</v>
      </c>
      <c r="D3" s="162">
        <v>45699</v>
      </c>
      <c r="E3" s="162">
        <v>45700</v>
      </c>
      <c r="F3" s="162">
        <v>45701</v>
      </c>
      <c r="G3" s="162">
        <v>45702</v>
      </c>
      <c r="H3" s="162">
        <v>45703</v>
      </c>
      <c r="I3" s="162">
        <v>45705</v>
      </c>
      <c r="J3" s="162">
        <v>45706</v>
      </c>
      <c r="K3" s="162">
        <v>45707</v>
      </c>
      <c r="L3" s="162">
        <v>45708</v>
      </c>
      <c r="M3" s="162">
        <v>45709</v>
      </c>
      <c r="N3" s="162">
        <v>45710</v>
      </c>
      <c r="O3" s="162">
        <v>45712</v>
      </c>
      <c r="P3" s="162">
        <v>45713</v>
      </c>
      <c r="Q3" s="162">
        <v>45714</v>
      </c>
      <c r="R3" s="162">
        <v>46113</v>
      </c>
      <c r="S3" s="162">
        <v>46114</v>
      </c>
      <c r="T3" s="162">
        <v>46118</v>
      </c>
      <c r="U3" s="162">
        <v>46119</v>
      </c>
      <c r="V3" s="162">
        <v>46121</v>
      </c>
      <c r="W3" s="162">
        <v>46122</v>
      </c>
      <c r="X3" s="162">
        <v>46125</v>
      </c>
      <c r="Y3" s="162">
        <v>46126</v>
      </c>
      <c r="Z3" s="162">
        <v>46128</v>
      </c>
      <c r="AA3" s="162">
        <v>46129</v>
      </c>
      <c r="AB3" s="162">
        <v>46132</v>
      </c>
      <c r="AC3" s="162">
        <v>46133</v>
      </c>
      <c r="AD3" s="162">
        <v>46135</v>
      </c>
      <c r="AE3" s="162">
        <v>46136</v>
      </c>
      <c r="AF3" s="162">
        <v>46138</v>
      </c>
      <c r="AG3" s="162">
        <v>46139</v>
      </c>
      <c r="AH3" s="162">
        <v>46140</v>
      </c>
      <c r="AI3" s="162">
        <v>46142</v>
      </c>
    </row>
    <row r="4" spans="1:35" s="167" customFormat="1" ht="15" customHeight="1" x14ac:dyDescent="0.25">
      <c r="A4" s="164">
        <v>1</v>
      </c>
      <c r="B4" s="165" t="s">
        <v>152</v>
      </c>
      <c r="C4" s="166" t="s">
        <v>153</v>
      </c>
      <c r="D4" s="166"/>
      <c r="E4" s="166"/>
      <c r="F4" s="166" t="s">
        <v>153</v>
      </c>
      <c r="G4" s="166"/>
      <c r="H4" s="166"/>
      <c r="I4" s="166" t="s">
        <v>153</v>
      </c>
      <c r="J4" s="166"/>
      <c r="K4" s="166"/>
      <c r="L4" s="166"/>
      <c r="M4" s="166"/>
      <c r="N4" s="166"/>
      <c r="O4" s="166"/>
      <c r="P4" s="166"/>
      <c r="Q4" s="166"/>
      <c r="R4" s="166"/>
      <c r="S4" s="166" t="s">
        <v>153</v>
      </c>
      <c r="T4" s="166"/>
      <c r="U4" s="166"/>
      <c r="V4" s="166" t="s">
        <v>153</v>
      </c>
      <c r="W4" s="166"/>
      <c r="X4" s="166"/>
      <c r="Y4" s="166" t="s">
        <v>153</v>
      </c>
      <c r="Z4" s="166"/>
      <c r="AA4" s="166"/>
      <c r="AB4" s="166" t="s">
        <v>153</v>
      </c>
      <c r="AC4" s="166"/>
      <c r="AD4" s="166"/>
      <c r="AE4" s="166" t="s">
        <v>153</v>
      </c>
      <c r="AF4" s="166" t="s">
        <v>153</v>
      </c>
      <c r="AG4" s="166"/>
      <c r="AH4" s="166"/>
      <c r="AI4" s="166" t="s">
        <v>153</v>
      </c>
    </row>
    <row r="5" spans="1:35" s="167" customFormat="1" ht="15" customHeight="1" x14ac:dyDescent="0.25">
      <c r="A5" s="164">
        <v>2</v>
      </c>
      <c r="B5" s="165" t="s">
        <v>154</v>
      </c>
      <c r="C5" s="166" t="s">
        <v>153</v>
      </c>
      <c r="D5" s="166" t="s">
        <v>153</v>
      </c>
      <c r="E5" s="166"/>
      <c r="F5" s="166"/>
      <c r="G5" s="166"/>
      <c r="H5" s="166" t="s">
        <v>153</v>
      </c>
      <c r="I5" s="166"/>
      <c r="J5" s="166" t="s">
        <v>153</v>
      </c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/>
      <c r="AH5" s="166"/>
      <c r="AI5" s="166"/>
    </row>
    <row r="6" spans="1:35" s="167" customFormat="1" ht="15" customHeight="1" x14ac:dyDescent="0.25">
      <c r="A6" s="164">
        <v>3</v>
      </c>
      <c r="B6" s="165" t="s">
        <v>155</v>
      </c>
      <c r="C6" s="166" t="s">
        <v>153</v>
      </c>
      <c r="D6" s="166"/>
      <c r="E6" s="166"/>
      <c r="F6" s="166"/>
      <c r="G6" s="166"/>
      <c r="H6" s="16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 t="s">
        <v>153</v>
      </c>
      <c r="V6" s="166"/>
      <c r="W6" s="166"/>
      <c r="X6" s="166"/>
      <c r="Y6" s="166"/>
      <c r="Z6" s="166"/>
      <c r="AA6" s="166"/>
      <c r="AB6" s="166"/>
      <c r="AC6" s="166"/>
      <c r="AD6" s="166"/>
      <c r="AE6" s="166"/>
      <c r="AF6" s="166"/>
      <c r="AG6" s="166"/>
      <c r="AH6" s="166"/>
      <c r="AI6" s="166"/>
    </row>
    <row r="7" spans="1:35" s="167" customFormat="1" ht="15" customHeight="1" x14ac:dyDescent="0.25">
      <c r="A7" s="164">
        <v>4</v>
      </c>
      <c r="B7" s="165" t="s">
        <v>221</v>
      </c>
      <c r="C7" s="166" t="s">
        <v>153</v>
      </c>
      <c r="D7" s="166" t="s">
        <v>153</v>
      </c>
      <c r="E7" s="166" t="s">
        <v>153</v>
      </c>
      <c r="F7" s="166"/>
      <c r="G7" s="166"/>
      <c r="H7" s="166"/>
      <c r="I7" s="166"/>
      <c r="J7" s="166"/>
      <c r="K7" s="166" t="s">
        <v>153</v>
      </c>
      <c r="L7" s="166"/>
      <c r="M7" s="166"/>
      <c r="N7" s="166"/>
      <c r="O7" s="166"/>
      <c r="P7" s="166"/>
      <c r="Q7" s="166"/>
      <c r="R7" s="166"/>
      <c r="S7" s="166" t="s">
        <v>153</v>
      </c>
      <c r="T7" s="166" t="s">
        <v>153</v>
      </c>
      <c r="U7" s="166" t="s">
        <v>153</v>
      </c>
      <c r="V7" s="166"/>
      <c r="W7" s="166"/>
      <c r="X7" s="166"/>
      <c r="Y7" s="166" t="s">
        <v>153</v>
      </c>
      <c r="Z7" s="166" t="s">
        <v>153</v>
      </c>
      <c r="AA7" s="166" t="s">
        <v>153</v>
      </c>
      <c r="AB7" s="166" t="s">
        <v>153</v>
      </c>
      <c r="AC7" s="166"/>
      <c r="AD7" s="166"/>
      <c r="AE7" s="166"/>
      <c r="AF7" s="166"/>
      <c r="AG7" s="166"/>
      <c r="AH7" s="166"/>
      <c r="AI7" s="166" t="s">
        <v>153</v>
      </c>
    </row>
    <row r="8" spans="1:35" s="167" customFormat="1" ht="15" customHeight="1" x14ac:dyDescent="0.25">
      <c r="A8" s="164">
        <v>5</v>
      </c>
      <c r="B8" s="165" t="s">
        <v>137</v>
      </c>
      <c r="C8" s="168"/>
      <c r="D8" s="168"/>
      <c r="E8" s="168"/>
      <c r="F8" s="168"/>
      <c r="G8" s="168"/>
      <c r="H8" s="168"/>
      <c r="I8" s="168"/>
      <c r="J8" s="168"/>
      <c r="K8" s="168"/>
      <c r="L8" s="168"/>
      <c r="M8" s="168"/>
      <c r="N8" s="168"/>
      <c r="O8" s="168"/>
      <c r="P8" s="168"/>
      <c r="Q8" s="168"/>
      <c r="R8" s="166"/>
      <c r="S8" s="166" t="s">
        <v>153</v>
      </c>
      <c r="T8" s="166"/>
      <c r="U8" s="166" t="s">
        <v>153</v>
      </c>
      <c r="V8" s="166"/>
      <c r="W8" s="166" t="s">
        <v>153</v>
      </c>
      <c r="X8" s="166"/>
      <c r="Y8" s="166"/>
      <c r="Z8" s="166" t="s">
        <v>153</v>
      </c>
      <c r="AA8" s="166"/>
      <c r="AB8" s="166" t="s">
        <v>153</v>
      </c>
      <c r="AC8" s="166"/>
      <c r="AD8" s="166"/>
      <c r="AE8" s="166" t="s">
        <v>153</v>
      </c>
      <c r="AF8" s="166" t="s">
        <v>153</v>
      </c>
      <c r="AG8" s="166" t="s">
        <v>153</v>
      </c>
      <c r="AH8" s="166" t="s">
        <v>153</v>
      </c>
      <c r="AI8" s="166" t="s">
        <v>153</v>
      </c>
    </row>
    <row r="9" spans="1:35" s="167" customFormat="1" ht="15" customHeight="1" x14ac:dyDescent="0.25">
      <c r="A9" s="164">
        <v>6</v>
      </c>
      <c r="B9" s="165" t="s">
        <v>156</v>
      </c>
      <c r="C9" s="168"/>
      <c r="D9" s="168"/>
      <c r="E9" s="168"/>
      <c r="F9" s="168"/>
      <c r="G9" s="168"/>
      <c r="H9" s="168"/>
      <c r="I9" s="168"/>
      <c r="J9" s="168"/>
      <c r="K9" s="168"/>
      <c r="L9" s="168"/>
      <c r="M9" s="168"/>
      <c r="N9" s="168"/>
      <c r="O9" s="168"/>
      <c r="P9" s="168"/>
      <c r="Q9" s="168"/>
      <c r="R9" s="166" t="s">
        <v>153</v>
      </c>
      <c r="S9" s="166"/>
      <c r="T9" s="166"/>
      <c r="U9" s="166"/>
      <c r="V9" s="166"/>
      <c r="W9" s="166"/>
      <c r="X9" s="166" t="s">
        <v>153</v>
      </c>
      <c r="Y9" s="166" t="s">
        <v>153</v>
      </c>
      <c r="Z9" s="166" t="s">
        <v>153</v>
      </c>
      <c r="AA9" s="166"/>
      <c r="AB9" s="166"/>
      <c r="AC9" s="166"/>
      <c r="AD9" s="166" t="s">
        <v>153</v>
      </c>
      <c r="AE9" s="166" t="s">
        <v>153</v>
      </c>
      <c r="AF9" s="166"/>
      <c r="AG9" s="166" t="s">
        <v>153</v>
      </c>
      <c r="AH9" s="166"/>
      <c r="AI9" s="166" t="s">
        <v>153</v>
      </c>
    </row>
    <row r="10" spans="1:35" s="167" customFormat="1" ht="15" customHeight="1" x14ac:dyDescent="0.25">
      <c r="A10" s="164">
        <v>7</v>
      </c>
      <c r="B10" s="165" t="s">
        <v>157</v>
      </c>
      <c r="C10" s="168"/>
      <c r="D10" s="168"/>
      <c r="E10" s="168"/>
      <c r="F10" s="168"/>
      <c r="G10" s="168"/>
      <c r="H10" s="168"/>
      <c r="I10" s="168"/>
      <c r="J10" s="168"/>
      <c r="K10" s="168"/>
      <c r="L10" s="168"/>
      <c r="M10" s="168"/>
      <c r="N10" s="168"/>
      <c r="O10" s="168"/>
      <c r="P10" s="168"/>
      <c r="Q10" s="168"/>
      <c r="R10" s="166" t="s">
        <v>153</v>
      </c>
      <c r="S10" s="166"/>
      <c r="T10" s="166"/>
      <c r="U10" s="166"/>
      <c r="V10" s="166"/>
      <c r="W10" s="166"/>
      <c r="X10" s="166" t="s">
        <v>153</v>
      </c>
      <c r="Y10" s="166" t="s">
        <v>153</v>
      </c>
      <c r="Z10" s="166" t="s">
        <v>153</v>
      </c>
      <c r="AA10" s="166"/>
      <c r="AB10" s="166"/>
      <c r="AC10" s="166"/>
      <c r="AD10" s="166" t="s">
        <v>153</v>
      </c>
      <c r="AE10" s="166" t="s">
        <v>153</v>
      </c>
      <c r="AF10" s="166"/>
      <c r="AG10" s="166" t="s">
        <v>153</v>
      </c>
      <c r="AH10" s="166"/>
      <c r="AI10" s="166" t="s">
        <v>153</v>
      </c>
    </row>
    <row r="11" spans="1:35" s="167" customFormat="1" ht="15" customHeight="1" x14ac:dyDescent="0.25">
      <c r="A11" s="164">
        <v>8</v>
      </c>
      <c r="B11" s="165" t="s">
        <v>158</v>
      </c>
      <c r="C11" s="168"/>
      <c r="D11" s="168"/>
      <c r="E11" s="168"/>
      <c r="F11" s="168"/>
      <c r="G11" s="168"/>
      <c r="H11" s="168"/>
      <c r="I11" s="168"/>
      <c r="J11" s="168"/>
      <c r="K11" s="168"/>
      <c r="L11" s="168"/>
      <c r="M11" s="168"/>
      <c r="N11" s="168"/>
      <c r="O11" s="168"/>
      <c r="P11" s="168"/>
      <c r="Q11" s="168"/>
      <c r="R11" s="166"/>
      <c r="S11" s="166"/>
      <c r="T11" s="166"/>
      <c r="U11" s="166"/>
      <c r="V11" s="166"/>
      <c r="W11" s="166"/>
      <c r="X11" s="166" t="s">
        <v>153</v>
      </c>
      <c r="Y11" s="166"/>
      <c r="Z11" s="166"/>
      <c r="AA11" s="166"/>
      <c r="AB11" s="166"/>
      <c r="AC11" s="166"/>
      <c r="AD11" s="166" t="s">
        <v>153</v>
      </c>
      <c r="AE11" s="166"/>
      <c r="AF11" s="166"/>
      <c r="AG11" s="166"/>
      <c r="AH11" s="166"/>
      <c r="AI11" s="166"/>
    </row>
    <row r="12" spans="1:35" s="167" customFormat="1" ht="15" customHeight="1" x14ac:dyDescent="0.25">
      <c r="A12" s="164">
        <v>9</v>
      </c>
      <c r="B12" s="165" t="s">
        <v>159</v>
      </c>
      <c r="C12" s="168"/>
      <c r="D12" s="168"/>
      <c r="E12" s="168"/>
      <c r="F12" s="168"/>
      <c r="G12" s="168"/>
      <c r="H12" s="168"/>
      <c r="I12" s="168"/>
      <c r="J12" s="168"/>
      <c r="K12" s="168"/>
      <c r="L12" s="168"/>
      <c r="M12" s="168"/>
      <c r="N12" s="168"/>
      <c r="O12" s="168"/>
      <c r="P12" s="168"/>
      <c r="Q12" s="168"/>
      <c r="R12" s="166"/>
      <c r="S12" s="166" t="s">
        <v>153</v>
      </c>
      <c r="T12" s="166"/>
      <c r="U12" s="166"/>
      <c r="V12" s="166"/>
      <c r="W12" s="166" t="s">
        <v>153</v>
      </c>
      <c r="X12" s="166"/>
      <c r="Y12" s="166"/>
      <c r="Z12" s="166" t="s">
        <v>153</v>
      </c>
      <c r="AA12" s="166"/>
      <c r="AB12" s="166"/>
      <c r="AC12" s="166" t="s">
        <v>153</v>
      </c>
      <c r="AD12" s="166" t="s">
        <v>153</v>
      </c>
      <c r="AE12" s="166"/>
      <c r="AF12" s="166"/>
      <c r="AG12" s="166"/>
      <c r="AH12" s="166"/>
      <c r="AI12" s="166" t="s">
        <v>153</v>
      </c>
    </row>
    <row r="13" spans="1:35" s="167" customFormat="1" ht="15" customHeight="1" x14ac:dyDescent="0.25">
      <c r="A13" s="164">
        <v>10</v>
      </c>
      <c r="B13" s="165" t="s">
        <v>160</v>
      </c>
      <c r="C13" s="168"/>
      <c r="D13" s="168"/>
      <c r="E13" s="168"/>
      <c r="F13" s="168"/>
      <c r="G13" s="168"/>
      <c r="H13" s="168"/>
      <c r="I13" s="168"/>
      <c r="J13" s="168"/>
      <c r="K13" s="168"/>
      <c r="L13" s="168"/>
      <c r="M13" s="168"/>
      <c r="N13" s="168"/>
      <c r="O13" s="168"/>
      <c r="P13" s="168"/>
      <c r="Q13" s="168"/>
      <c r="R13" s="166" t="s">
        <v>153</v>
      </c>
      <c r="S13" s="166"/>
      <c r="T13" s="166"/>
      <c r="U13" s="166"/>
      <c r="V13" s="166"/>
      <c r="W13" s="166"/>
      <c r="X13" s="166" t="s">
        <v>153</v>
      </c>
      <c r="Y13" s="166"/>
      <c r="Z13" s="166" t="s">
        <v>153</v>
      </c>
      <c r="AA13" s="166"/>
      <c r="AB13" s="166"/>
      <c r="AC13" s="166"/>
      <c r="AD13" s="166"/>
      <c r="AE13" s="166" t="s">
        <v>153</v>
      </c>
      <c r="AF13" s="166"/>
      <c r="AG13" s="166"/>
      <c r="AH13" s="166"/>
      <c r="AI13" s="166" t="s">
        <v>153</v>
      </c>
    </row>
    <row r="14" spans="1:35" s="167" customFormat="1" ht="15" customHeight="1" x14ac:dyDescent="0.25">
      <c r="A14" s="164">
        <v>11</v>
      </c>
      <c r="B14" s="165" t="s">
        <v>161</v>
      </c>
      <c r="C14" s="168"/>
      <c r="D14" s="168"/>
      <c r="E14" s="168"/>
      <c r="F14" s="168"/>
      <c r="G14" s="168"/>
      <c r="H14" s="168"/>
      <c r="I14" s="168"/>
      <c r="J14" s="168"/>
      <c r="K14" s="168"/>
      <c r="L14" s="168"/>
      <c r="M14" s="168"/>
      <c r="N14" s="168"/>
      <c r="O14" s="168"/>
      <c r="P14" s="168"/>
      <c r="Q14" s="168"/>
      <c r="R14" s="166" t="s">
        <v>153</v>
      </c>
      <c r="S14" s="166"/>
      <c r="T14" s="166"/>
      <c r="U14" s="166"/>
      <c r="V14" s="166"/>
      <c r="W14" s="166"/>
      <c r="X14" s="166" t="s">
        <v>153</v>
      </c>
      <c r="Y14" s="166"/>
      <c r="Z14" s="166" t="s">
        <v>153</v>
      </c>
      <c r="AA14" s="166"/>
      <c r="AB14" s="166"/>
      <c r="AC14" s="166"/>
      <c r="AD14" s="166"/>
      <c r="AE14" s="166" t="s">
        <v>153</v>
      </c>
      <c r="AF14" s="166"/>
      <c r="AG14" s="166"/>
      <c r="AH14" s="166"/>
      <c r="AI14" s="166" t="s">
        <v>153</v>
      </c>
    </row>
    <row r="15" spans="1:35" ht="15" customHeight="1" x14ac:dyDescent="0.2">
      <c r="A15" s="169">
        <v>12</v>
      </c>
      <c r="B15" s="165" t="s">
        <v>204</v>
      </c>
      <c r="C15" s="170"/>
      <c r="D15" s="170"/>
      <c r="E15" s="170"/>
      <c r="F15" s="170"/>
      <c r="G15" s="170"/>
      <c r="H15" s="170"/>
      <c r="I15" s="170"/>
      <c r="J15" s="170"/>
      <c r="K15" s="170"/>
      <c r="L15" s="170"/>
      <c r="M15" s="170"/>
      <c r="N15" s="170"/>
      <c r="O15" s="170"/>
      <c r="P15" s="170"/>
      <c r="Q15" s="170"/>
      <c r="R15" s="171"/>
      <c r="S15" s="171"/>
      <c r="T15" s="166"/>
      <c r="U15" s="171"/>
      <c r="V15" s="171"/>
      <c r="W15" s="171"/>
      <c r="X15" s="171"/>
      <c r="Y15" s="166"/>
      <c r="Z15" s="171"/>
      <c r="AA15" s="171"/>
      <c r="AB15" s="171"/>
      <c r="AC15" s="171"/>
      <c r="AD15" s="171"/>
      <c r="AE15" s="171" t="s">
        <v>153</v>
      </c>
      <c r="AF15" s="171"/>
      <c r="AG15" s="171"/>
      <c r="AH15" s="171"/>
      <c r="AI15" s="166"/>
    </row>
  </sheetData>
  <mergeCells count="3">
    <mergeCell ref="A2:A3"/>
    <mergeCell ref="B2:B3"/>
    <mergeCell ref="C2:AI2"/>
  </mergeCells>
  <pageMargins left="0.7" right="0.7" top="0.75" bottom="0.75" header="0.3" footer="0.3"/>
  <pageSetup fitToWidth="5" fitToHeight="0" orientation="portrait" horizontalDpi="120" verticalDpi="72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B2:H37"/>
  <sheetViews>
    <sheetView topLeftCell="A4" workbookViewId="0">
      <selection activeCell="F14" sqref="F14"/>
    </sheetView>
  </sheetViews>
  <sheetFormatPr defaultRowHeight="15" x14ac:dyDescent="0.25"/>
  <cols>
    <col min="1" max="1" width="5" customWidth="1"/>
    <col min="2" max="2" width="7" bestFit="1" customWidth="1"/>
    <col min="3" max="3" width="14.140625" customWidth="1"/>
    <col min="4" max="4" width="13.42578125" customWidth="1"/>
    <col min="5" max="5" width="13.42578125" style="60" customWidth="1"/>
    <col min="6" max="6" width="7.7109375" customWidth="1"/>
    <col min="7" max="7" width="3.7109375" bestFit="1" customWidth="1"/>
    <col min="8" max="8" width="21.5703125" bestFit="1" customWidth="1"/>
  </cols>
  <sheetData>
    <row r="2" spans="2:8" x14ac:dyDescent="0.25">
      <c r="B2" t="s">
        <v>139</v>
      </c>
      <c r="C2" s="61" t="s">
        <v>140</v>
      </c>
      <c r="D2" s="61"/>
      <c r="E2" s="62"/>
      <c r="F2" s="61"/>
      <c r="G2" s="61"/>
    </row>
    <row r="3" spans="2:8" ht="15.75" thickBot="1" x14ac:dyDescent="0.3">
      <c r="B3" s="384" t="s">
        <v>141</v>
      </c>
      <c r="C3" s="385"/>
      <c r="D3" s="385"/>
      <c r="E3" s="385"/>
      <c r="F3" s="385"/>
      <c r="G3" s="385"/>
    </row>
    <row r="4" spans="2:8" ht="15.75" thickBot="1" x14ac:dyDescent="0.3">
      <c r="B4" s="386" t="s">
        <v>142</v>
      </c>
      <c r="C4" s="388" t="s">
        <v>143</v>
      </c>
      <c r="D4" s="389"/>
      <c r="E4" s="389"/>
      <c r="F4" s="389"/>
      <c r="G4" s="389"/>
    </row>
    <row r="5" spans="2:8" ht="48.75" thickBot="1" x14ac:dyDescent="0.3">
      <c r="B5" s="387"/>
      <c r="C5" s="86" t="s">
        <v>145</v>
      </c>
      <c r="D5" s="87" t="s">
        <v>166</v>
      </c>
      <c r="E5" s="88" t="s">
        <v>147</v>
      </c>
      <c r="F5" s="86" t="s">
        <v>165</v>
      </c>
      <c r="G5" s="86" t="s">
        <v>148</v>
      </c>
    </row>
    <row r="6" spans="2:8" ht="15.75" thickBot="1" x14ac:dyDescent="0.3">
      <c r="B6" s="68"/>
      <c r="C6" s="63"/>
      <c r="D6" s="63"/>
      <c r="E6" s="69"/>
      <c r="F6" s="70"/>
      <c r="G6" s="63"/>
    </row>
    <row r="7" spans="2:8" ht="15.75" thickBot="1" x14ac:dyDescent="0.3">
      <c r="B7" s="64">
        <v>2025</v>
      </c>
      <c r="C7" s="65"/>
      <c r="D7" s="65"/>
      <c r="E7" s="66"/>
      <c r="F7" s="67"/>
      <c r="G7" s="65"/>
    </row>
    <row r="8" spans="2:8" s="85" customFormat="1" ht="15" customHeight="1" thickBot="1" x14ac:dyDescent="0.25">
      <c r="B8" s="68">
        <v>10</v>
      </c>
      <c r="C8" s="63">
        <v>45933</v>
      </c>
      <c r="D8" s="63">
        <v>45938</v>
      </c>
      <c r="E8" s="63">
        <v>45938</v>
      </c>
      <c r="F8" s="70">
        <v>7</v>
      </c>
      <c r="G8" s="63"/>
      <c r="H8" s="85" t="s">
        <v>167</v>
      </c>
    </row>
    <row r="9" spans="2:8" s="85" customFormat="1" ht="15" customHeight="1" thickBot="1" x14ac:dyDescent="0.25">
      <c r="B9" s="71">
        <v>11</v>
      </c>
      <c r="C9" s="65">
        <v>45964</v>
      </c>
      <c r="D9" s="65">
        <v>45972</v>
      </c>
      <c r="E9" s="65">
        <v>45972</v>
      </c>
      <c r="F9" s="67">
        <v>9</v>
      </c>
      <c r="G9" s="65"/>
      <c r="H9" s="85" t="s">
        <v>209</v>
      </c>
    </row>
    <row r="10" spans="2:8" s="85" customFormat="1" ht="15" customHeight="1" thickBot="1" x14ac:dyDescent="0.25">
      <c r="B10" s="68">
        <v>12</v>
      </c>
      <c r="C10" s="63">
        <v>45994</v>
      </c>
      <c r="D10" s="63">
        <v>46002</v>
      </c>
      <c r="E10" s="63">
        <v>46002</v>
      </c>
      <c r="F10" s="70">
        <v>10</v>
      </c>
      <c r="G10" s="63"/>
      <c r="H10" s="85" t="s">
        <v>210</v>
      </c>
    </row>
    <row r="11" spans="2:8" s="85" customFormat="1" ht="15" customHeight="1" thickBot="1" x14ac:dyDescent="0.25">
      <c r="B11" s="64">
        <v>2026</v>
      </c>
      <c r="C11" s="65"/>
      <c r="D11" s="65"/>
      <c r="E11" s="65"/>
      <c r="F11" s="74"/>
      <c r="G11" s="65"/>
    </row>
    <row r="12" spans="2:8" s="85" customFormat="1" ht="15" customHeight="1" thickBot="1" x14ac:dyDescent="0.25">
      <c r="B12" s="68">
        <v>1</v>
      </c>
      <c r="C12" s="63">
        <v>46025</v>
      </c>
      <c r="D12" s="63">
        <v>46032</v>
      </c>
      <c r="E12" s="63">
        <v>46032</v>
      </c>
      <c r="F12" s="73">
        <v>8</v>
      </c>
      <c r="G12" s="63"/>
      <c r="H12" s="85" t="s">
        <v>212</v>
      </c>
    </row>
    <row r="13" spans="2:8" s="85" customFormat="1" ht="15" customHeight="1" thickBot="1" x14ac:dyDescent="0.25">
      <c r="B13" s="71">
        <v>2</v>
      </c>
      <c r="C13" s="65">
        <v>46056</v>
      </c>
      <c r="D13" s="65">
        <v>46064</v>
      </c>
      <c r="E13" s="65">
        <v>46064</v>
      </c>
      <c r="F13" s="67">
        <v>9</v>
      </c>
      <c r="G13" s="65"/>
      <c r="H13" s="85" t="s">
        <v>222</v>
      </c>
    </row>
    <row r="14" spans="2:8" s="85" customFormat="1" ht="15" customHeight="1" thickBot="1" x14ac:dyDescent="0.25">
      <c r="B14" s="68">
        <v>3</v>
      </c>
      <c r="C14" s="63">
        <v>46084</v>
      </c>
      <c r="D14" s="63">
        <v>46092</v>
      </c>
      <c r="E14" s="63">
        <v>46092</v>
      </c>
      <c r="F14" s="73">
        <v>9</v>
      </c>
      <c r="G14" s="63"/>
      <c r="H14" s="85" t="s">
        <v>223</v>
      </c>
    </row>
    <row r="15" spans="2:8" s="85" customFormat="1" ht="15" customHeight="1" thickBot="1" x14ac:dyDescent="0.25">
      <c r="B15" s="71">
        <v>4</v>
      </c>
      <c r="C15" s="65"/>
      <c r="D15" s="65"/>
      <c r="E15" s="65"/>
      <c r="F15" s="74"/>
      <c r="G15" s="65"/>
    </row>
    <row r="16" spans="2:8" s="85" customFormat="1" ht="15" customHeight="1" thickBot="1" x14ac:dyDescent="0.25">
      <c r="B16" s="68"/>
      <c r="C16" s="63"/>
      <c r="D16" s="63"/>
      <c r="E16" s="63"/>
      <c r="F16" s="70"/>
      <c r="G16" s="63"/>
    </row>
    <row r="17" spans="2:7" s="85" customFormat="1" ht="15" customHeight="1" thickBot="1" x14ac:dyDescent="0.25">
      <c r="B17" s="71"/>
      <c r="C17" s="65"/>
      <c r="D17" s="65"/>
      <c r="E17" s="72"/>
      <c r="F17" s="67"/>
      <c r="G17" s="65"/>
    </row>
    <row r="18" spans="2:7" s="85" customFormat="1" ht="15" customHeight="1" thickBot="1" x14ac:dyDescent="0.25">
      <c r="B18" s="68"/>
      <c r="C18" s="63"/>
      <c r="D18" s="63"/>
      <c r="E18" s="69"/>
      <c r="F18" s="70"/>
      <c r="G18" s="63"/>
    </row>
    <row r="19" spans="2:7" s="85" customFormat="1" ht="15" customHeight="1" thickBot="1" x14ac:dyDescent="0.25">
      <c r="B19" s="71"/>
      <c r="C19" s="65"/>
      <c r="D19" s="65"/>
      <c r="E19" s="72"/>
      <c r="F19" s="67"/>
      <c r="G19" s="65"/>
    </row>
    <row r="20" spans="2:7" ht="15.75" thickBot="1" x14ac:dyDescent="0.3">
      <c r="B20" s="75" t="s">
        <v>134</v>
      </c>
      <c r="C20" s="76" t="s">
        <v>149</v>
      </c>
      <c r="D20" s="76"/>
      <c r="E20" s="77"/>
      <c r="F20" s="78">
        <f>AVERAGE(F8:F19)</f>
        <v>8.6666666666666661</v>
      </c>
      <c r="G20" s="76"/>
    </row>
    <row r="33" spans="5:5" x14ac:dyDescent="0.25">
      <c r="E33"/>
    </row>
    <row r="34" spans="5:5" x14ac:dyDescent="0.25">
      <c r="E34"/>
    </row>
    <row r="35" spans="5:5" x14ac:dyDescent="0.25">
      <c r="E35"/>
    </row>
    <row r="36" spans="5:5" x14ac:dyDescent="0.25">
      <c r="E36"/>
    </row>
    <row r="37" spans="5:5" x14ac:dyDescent="0.25">
      <c r="E37"/>
    </row>
  </sheetData>
  <mergeCells count="3">
    <mergeCell ref="B3:G3"/>
    <mergeCell ref="B4:B5"/>
    <mergeCell ref="C4:G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H98"/>
  <sheetViews>
    <sheetView workbookViewId="0">
      <pane xSplit="3" ySplit="5" topLeftCell="D33" activePane="bottomRight" state="frozen"/>
      <selection pane="topRight" activeCell="E1" sqref="E1"/>
      <selection pane="bottomLeft" activeCell="A6" sqref="A6"/>
      <selection pane="bottomRight" activeCell="D41" sqref="D41"/>
    </sheetView>
  </sheetViews>
  <sheetFormatPr defaultRowHeight="15" x14ac:dyDescent="0.25"/>
  <cols>
    <col min="1" max="1" width="5.85546875" customWidth="1"/>
    <col min="2" max="2" width="10.5703125" customWidth="1"/>
    <col min="3" max="3" width="26.5703125" customWidth="1"/>
    <col min="4" max="4" width="51.85546875" bestFit="1" customWidth="1"/>
    <col min="5" max="5" width="30.28515625" customWidth="1"/>
    <col min="6" max="6" width="13.7109375" customWidth="1"/>
    <col min="7" max="7" width="32.42578125" bestFit="1" customWidth="1"/>
  </cols>
  <sheetData>
    <row r="1" spans="1:7" ht="15" customHeight="1" x14ac:dyDescent="0.25"/>
    <row r="2" spans="1:7" ht="15" customHeight="1" x14ac:dyDescent="0.25">
      <c r="B2" t="s">
        <v>139</v>
      </c>
      <c r="C2" s="125" t="s">
        <v>168</v>
      </c>
      <c r="D2" s="61"/>
    </row>
    <row r="3" spans="1:7" ht="15" customHeight="1" x14ac:dyDescent="0.25">
      <c r="C3" s="61"/>
      <c r="D3" s="61"/>
    </row>
    <row r="4" spans="1:7" ht="15" customHeight="1" thickBot="1" x14ac:dyDescent="0.3">
      <c r="A4" s="390" t="s">
        <v>141</v>
      </c>
      <c r="B4" s="390"/>
      <c r="C4" s="390"/>
      <c r="D4" s="390"/>
      <c r="E4" s="390"/>
      <c r="F4" s="390"/>
      <c r="G4" s="390"/>
    </row>
    <row r="5" spans="1:7" s="91" customFormat="1" ht="15" customHeight="1" thickBot="1" x14ac:dyDescent="0.3">
      <c r="A5" s="89" t="s">
        <v>169</v>
      </c>
      <c r="B5" s="89" t="s">
        <v>142</v>
      </c>
      <c r="C5" s="89" t="s">
        <v>170</v>
      </c>
      <c r="D5" s="90" t="s">
        <v>202</v>
      </c>
      <c r="E5" s="90" t="s">
        <v>171</v>
      </c>
      <c r="F5" s="90" t="s">
        <v>146</v>
      </c>
      <c r="G5" s="90" t="s">
        <v>144</v>
      </c>
    </row>
    <row r="6" spans="1:7" s="55" customFormat="1" ht="15" customHeight="1" thickBot="1" x14ac:dyDescent="0.3">
      <c r="A6" s="92">
        <v>1</v>
      </c>
      <c r="B6" s="92" t="s">
        <v>172</v>
      </c>
      <c r="C6" s="93" t="s">
        <v>173</v>
      </c>
      <c r="D6" s="94">
        <v>45658</v>
      </c>
      <c r="E6" s="94">
        <v>45658</v>
      </c>
      <c r="F6" s="95">
        <v>0</v>
      </c>
      <c r="G6" s="96"/>
    </row>
    <row r="7" spans="1:7" s="55" customFormat="1" ht="15" customHeight="1" thickBot="1" x14ac:dyDescent="0.3">
      <c r="A7" s="92"/>
      <c r="B7" s="92"/>
      <c r="C7" s="93" t="s">
        <v>174</v>
      </c>
      <c r="D7" s="94">
        <v>45688</v>
      </c>
      <c r="E7" s="94">
        <v>45688</v>
      </c>
      <c r="F7" s="97">
        <v>0</v>
      </c>
      <c r="G7" s="92"/>
    </row>
    <row r="8" spans="1:7" s="55" customFormat="1" ht="15" customHeight="1" thickBot="1" x14ac:dyDescent="0.3">
      <c r="A8" s="92"/>
      <c r="B8" s="92"/>
      <c r="C8" s="93" t="s">
        <v>174</v>
      </c>
      <c r="D8" s="94">
        <v>45688</v>
      </c>
      <c r="E8" s="94">
        <v>45688</v>
      </c>
      <c r="F8" s="95">
        <v>0</v>
      </c>
      <c r="G8" s="96"/>
    </row>
    <row r="9" spans="1:7" s="55" customFormat="1" ht="15" customHeight="1" thickBot="1" x14ac:dyDescent="0.3">
      <c r="A9" s="92"/>
      <c r="B9" s="92"/>
      <c r="C9" s="93" t="s">
        <v>175</v>
      </c>
      <c r="D9" s="94">
        <v>45660</v>
      </c>
      <c r="E9" s="94">
        <v>45660</v>
      </c>
      <c r="F9" s="95">
        <v>0</v>
      </c>
      <c r="G9" s="98"/>
    </row>
    <row r="10" spans="1:7" s="55" customFormat="1" ht="15" customHeight="1" thickBot="1" x14ac:dyDescent="0.3">
      <c r="A10" s="99"/>
      <c r="B10" s="99"/>
      <c r="C10" s="100"/>
      <c r="D10" s="101"/>
      <c r="E10" s="101"/>
      <c r="F10" s="102"/>
      <c r="G10" s="99"/>
    </row>
    <row r="11" spans="1:7" s="55" customFormat="1" ht="15" customHeight="1" thickBot="1" x14ac:dyDescent="0.3">
      <c r="A11" s="92">
        <v>2</v>
      </c>
      <c r="B11" s="92" t="s">
        <v>176</v>
      </c>
      <c r="C11" s="93" t="s">
        <v>177</v>
      </c>
      <c r="D11" s="103">
        <v>45693</v>
      </c>
      <c r="E11" s="103">
        <v>45693</v>
      </c>
      <c r="F11" s="95">
        <v>0</v>
      </c>
      <c r="G11" s="96"/>
    </row>
    <row r="12" spans="1:7" s="55" customFormat="1" ht="15" customHeight="1" thickBot="1" x14ac:dyDescent="0.3">
      <c r="A12" s="99"/>
      <c r="B12" s="99"/>
      <c r="C12" s="100"/>
      <c r="D12" s="101"/>
      <c r="E12" s="101"/>
      <c r="F12" s="102"/>
      <c r="G12" s="104"/>
    </row>
    <row r="13" spans="1:7" s="55" customFormat="1" ht="15" customHeight="1" thickBot="1" x14ac:dyDescent="0.3">
      <c r="B13" s="99"/>
      <c r="C13" s="100"/>
      <c r="D13" s="101"/>
      <c r="E13" s="101"/>
      <c r="F13" s="102"/>
      <c r="G13" s="105"/>
    </row>
    <row r="14" spans="1:7" s="55" customFormat="1" ht="15" customHeight="1" thickBot="1" x14ac:dyDescent="0.3">
      <c r="A14" s="99">
        <v>3</v>
      </c>
      <c r="B14" s="99" t="s">
        <v>178</v>
      </c>
      <c r="C14" s="100" t="s">
        <v>179</v>
      </c>
      <c r="D14" s="103">
        <v>45717</v>
      </c>
      <c r="E14" s="103">
        <v>45717</v>
      </c>
      <c r="F14" s="95">
        <v>0</v>
      </c>
      <c r="G14" s="106"/>
    </row>
    <row r="15" spans="1:7" s="55" customFormat="1" ht="15" customHeight="1" thickBot="1" x14ac:dyDescent="0.3">
      <c r="A15" s="99"/>
      <c r="B15" s="99"/>
      <c r="C15" s="100" t="s">
        <v>180</v>
      </c>
      <c r="D15" s="103">
        <v>45717</v>
      </c>
      <c r="E15" s="103">
        <v>45717</v>
      </c>
      <c r="F15" s="95">
        <v>0</v>
      </c>
      <c r="G15" s="99"/>
    </row>
    <row r="16" spans="1:7" s="55" customFormat="1" ht="15" customHeight="1" thickBot="1" x14ac:dyDescent="0.3">
      <c r="A16" s="99"/>
      <c r="B16" s="99"/>
      <c r="C16" s="100" t="s">
        <v>181</v>
      </c>
      <c r="D16" s="103">
        <v>45717</v>
      </c>
      <c r="E16" s="103">
        <v>45717</v>
      </c>
      <c r="F16" s="95">
        <v>0</v>
      </c>
      <c r="G16" s="99"/>
    </row>
    <row r="17" spans="1:7" s="55" customFormat="1" ht="15" customHeight="1" thickBot="1" x14ac:dyDescent="0.3">
      <c r="A17" s="99"/>
      <c r="B17" s="99"/>
      <c r="C17" s="100" t="s">
        <v>182</v>
      </c>
      <c r="D17" s="103">
        <v>45717</v>
      </c>
      <c r="E17" s="103">
        <v>45717</v>
      </c>
      <c r="F17" s="95">
        <v>0</v>
      </c>
      <c r="G17" s="99"/>
    </row>
    <row r="18" spans="1:7" s="55" customFormat="1" ht="15" customHeight="1" thickBot="1" x14ac:dyDescent="0.3">
      <c r="A18" s="99"/>
      <c r="B18" s="99"/>
      <c r="C18" s="100" t="s">
        <v>183</v>
      </c>
      <c r="D18" s="103">
        <v>45717</v>
      </c>
      <c r="E18" s="103">
        <v>45717</v>
      </c>
      <c r="F18" s="95">
        <v>0</v>
      </c>
      <c r="G18" s="99"/>
    </row>
    <row r="19" spans="1:7" s="55" customFormat="1" ht="15" customHeight="1" thickBot="1" x14ac:dyDescent="0.3">
      <c r="A19" s="99"/>
      <c r="B19" s="99"/>
      <c r="C19" s="100" t="s">
        <v>184</v>
      </c>
      <c r="D19" s="103">
        <v>45717</v>
      </c>
      <c r="E19" s="103">
        <v>45717</v>
      </c>
      <c r="F19" s="95">
        <v>0</v>
      </c>
      <c r="G19" s="105"/>
    </row>
    <row r="20" spans="1:7" s="55" customFormat="1" ht="15" customHeight="1" thickBot="1" x14ac:dyDescent="0.3">
      <c r="A20" s="99"/>
      <c r="B20" s="99"/>
      <c r="C20" s="100" t="s">
        <v>185</v>
      </c>
      <c r="D20" s="103">
        <v>45717</v>
      </c>
      <c r="E20" s="103">
        <v>45717</v>
      </c>
      <c r="F20" s="95">
        <v>0</v>
      </c>
      <c r="G20" s="105"/>
    </row>
    <row r="21" spans="1:7" s="55" customFormat="1" ht="15" customHeight="1" thickBot="1" x14ac:dyDescent="0.3">
      <c r="A21" s="99"/>
      <c r="B21" s="99"/>
      <c r="C21" s="100" t="s">
        <v>138</v>
      </c>
      <c r="D21" s="103">
        <v>45717</v>
      </c>
      <c r="E21" s="103">
        <v>45717</v>
      </c>
      <c r="F21" s="95">
        <v>0</v>
      </c>
      <c r="G21" s="105"/>
    </row>
    <row r="22" spans="1:7" s="55" customFormat="1" ht="15" customHeight="1" thickBot="1" x14ac:dyDescent="0.3">
      <c r="A22" s="99"/>
      <c r="B22" s="99"/>
      <c r="C22" s="100" t="s">
        <v>186</v>
      </c>
      <c r="D22" s="103">
        <v>45717</v>
      </c>
      <c r="E22" s="103">
        <v>45717</v>
      </c>
      <c r="F22" s="95">
        <v>0</v>
      </c>
      <c r="G22" s="105"/>
    </row>
    <row r="23" spans="1:7" s="55" customFormat="1" ht="15" customHeight="1" thickBot="1" x14ac:dyDescent="0.3">
      <c r="A23" s="99"/>
      <c r="B23" s="99"/>
      <c r="C23" s="100" t="s">
        <v>187</v>
      </c>
      <c r="D23" s="103">
        <v>45717</v>
      </c>
      <c r="E23" s="103">
        <v>45717</v>
      </c>
      <c r="F23" s="95">
        <v>0</v>
      </c>
      <c r="G23" s="105"/>
    </row>
    <row r="24" spans="1:7" s="55" customFormat="1" ht="15" customHeight="1" thickBot="1" x14ac:dyDescent="0.3">
      <c r="A24" s="99"/>
      <c r="B24" s="99"/>
      <c r="C24" s="100" t="s">
        <v>188</v>
      </c>
      <c r="D24" s="103">
        <v>45717</v>
      </c>
      <c r="E24" s="103">
        <v>45717</v>
      </c>
      <c r="F24" s="95">
        <v>0</v>
      </c>
      <c r="G24" s="105"/>
    </row>
    <row r="25" spans="1:7" s="55" customFormat="1" ht="15" customHeight="1" thickBot="1" x14ac:dyDescent="0.3">
      <c r="A25" s="99"/>
      <c r="B25" s="99"/>
      <c r="C25" s="100"/>
      <c r="D25" s="101"/>
      <c r="E25" s="101"/>
      <c r="F25" s="102"/>
      <c r="G25" s="105"/>
    </row>
    <row r="26" spans="1:7" s="55" customFormat="1" ht="15" customHeight="1" thickBot="1" x14ac:dyDescent="0.3">
      <c r="A26" s="99">
        <v>4</v>
      </c>
      <c r="B26" s="99" t="s">
        <v>189</v>
      </c>
      <c r="C26" s="100" t="s">
        <v>174</v>
      </c>
      <c r="D26" s="103">
        <v>45777</v>
      </c>
      <c r="E26" s="103">
        <v>45777</v>
      </c>
      <c r="F26" s="95">
        <v>0</v>
      </c>
      <c r="G26" s="105"/>
    </row>
    <row r="27" spans="1:7" s="55" customFormat="1" ht="15" customHeight="1" thickBot="1" x14ac:dyDescent="0.3">
      <c r="A27" s="99"/>
      <c r="B27" s="99"/>
      <c r="C27" s="100" t="s">
        <v>174</v>
      </c>
      <c r="D27" s="103">
        <v>45777</v>
      </c>
      <c r="E27" s="103">
        <v>45777</v>
      </c>
      <c r="F27" s="95">
        <v>0</v>
      </c>
      <c r="G27" s="105"/>
    </row>
    <row r="28" spans="1:7" s="55" customFormat="1" ht="15" customHeight="1" thickBot="1" x14ac:dyDescent="0.3">
      <c r="A28" s="99"/>
      <c r="B28" s="99"/>
      <c r="C28" s="100"/>
      <c r="D28" s="101"/>
      <c r="E28" s="101"/>
      <c r="F28" s="102"/>
      <c r="G28" s="105"/>
    </row>
    <row r="29" spans="1:7" s="55" customFormat="1" ht="15" customHeight="1" thickBot="1" x14ac:dyDescent="0.3">
      <c r="A29" s="92">
        <v>5</v>
      </c>
      <c r="B29" s="92" t="s">
        <v>190</v>
      </c>
      <c r="C29" s="93" t="s">
        <v>191</v>
      </c>
      <c r="D29" s="103">
        <v>45824</v>
      </c>
      <c r="E29" s="103">
        <v>45824</v>
      </c>
      <c r="F29" s="95">
        <v>0</v>
      </c>
      <c r="G29" s="96"/>
    </row>
    <row r="30" spans="1:7" s="55" customFormat="1" ht="15" customHeight="1" thickBot="1" x14ac:dyDescent="0.3">
      <c r="A30" s="99"/>
      <c r="B30" s="99"/>
      <c r="C30" s="100"/>
      <c r="D30" s="101"/>
      <c r="E30" s="101"/>
      <c r="F30" s="102"/>
      <c r="G30" s="105"/>
    </row>
    <row r="31" spans="1:7" s="55" customFormat="1" ht="15" customHeight="1" thickBot="1" x14ac:dyDescent="0.3">
      <c r="A31" s="92">
        <v>6</v>
      </c>
      <c r="B31" s="92" t="s">
        <v>192</v>
      </c>
      <c r="C31" s="122" t="s">
        <v>195</v>
      </c>
      <c r="D31" s="103">
        <v>45909</v>
      </c>
      <c r="E31" s="103">
        <v>45909</v>
      </c>
      <c r="F31" s="95">
        <v>0</v>
      </c>
      <c r="G31" s="124" t="s">
        <v>196</v>
      </c>
    </row>
    <row r="32" spans="1:7" s="55" customFormat="1" ht="15" customHeight="1" thickBot="1" x14ac:dyDescent="0.3">
      <c r="A32" s="99"/>
      <c r="B32" s="99"/>
      <c r="C32" s="122" t="s">
        <v>193</v>
      </c>
      <c r="D32" s="103">
        <v>45919</v>
      </c>
      <c r="E32" s="103">
        <v>45919</v>
      </c>
      <c r="F32" s="95">
        <v>0</v>
      </c>
      <c r="G32" s="123" t="s">
        <v>197</v>
      </c>
    </row>
    <row r="33" spans="1:8" s="55" customFormat="1" ht="15" customHeight="1" thickBot="1" x14ac:dyDescent="0.3">
      <c r="A33" s="92"/>
      <c r="B33" s="92"/>
      <c r="C33" s="122" t="s">
        <v>193</v>
      </c>
      <c r="D33" s="103">
        <v>45919</v>
      </c>
      <c r="E33" s="103">
        <v>45919</v>
      </c>
      <c r="F33" s="95">
        <v>0</v>
      </c>
      <c r="G33" s="123" t="s">
        <v>197</v>
      </c>
    </row>
    <row r="34" spans="1:8" s="55" customFormat="1" ht="15" customHeight="1" thickBot="1" x14ac:dyDescent="0.3">
      <c r="A34" s="92"/>
      <c r="B34" s="92"/>
      <c r="C34" s="122" t="s">
        <v>194</v>
      </c>
      <c r="D34" s="103">
        <v>45930</v>
      </c>
      <c r="E34" s="103">
        <v>45930</v>
      </c>
      <c r="F34" s="95">
        <v>0</v>
      </c>
      <c r="G34" s="123" t="s">
        <v>197</v>
      </c>
    </row>
    <row r="35" spans="1:8" s="55" customFormat="1" ht="15" customHeight="1" thickBot="1" x14ac:dyDescent="0.3">
      <c r="A35" s="92"/>
      <c r="B35" s="92"/>
    </row>
    <row r="36" spans="1:8" s="55" customFormat="1" ht="15" customHeight="1" thickBot="1" x14ac:dyDescent="0.3">
      <c r="A36" s="92">
        <v>7</v>
      </c>
      <c r="B36" s="92" t="s">
        <v>198</v>
      </c>
      <c r="C36" s="122" t="s">
        <v>199</v>
      </c>
      <c r="D36" s="103">
        <v>45957</v>
      </c>
      <c r="E36" s="103">
        <v>45957</v>
      </c>
      <c r="F36" s="95">
        <v>0</v>
      </c>
      <c r="G36" s="98" t="s">
        <v>201</v>
      </c>
      <c r="H36" s="132" t="s">
        <v>203</v>
      </c>
    </row>
    <row r="37" spans="1:8" s="55" customFormat="1" ht="15" customHeight="1" thickBot="1" x14ac:dyDescent="0.3">
      <c r="A37" s="92"/>
      <c r="B37" s="92"/>
      <c r="C37" s="122" t="s">
        <v>200</v>
      </c>
      <c r="D37" s="103">
        <v>45957</v>
      </c>
      <c r="E37" s="103">
        <v>45957</v>
      </c>
      <c r="F37" s="95">
        <v>0</v>
      </c>
      <c r="G37" s="98" t="s">
        <v>201</v>
      </c>
    </row>
    <row r="38" spans="1:8" s="55" customFormat="1" ht="15" customHeight="1" thickBot="1" x14ac:dyDescent="0.3">
      <c r="A38" s="92"/>
      <c r="B38" s="92"/>
      <c r="C38" s="122" t="s">
        <v>186</v>
      </c>
      <c r="D38" s="103">
        <v>45957</v>
      </c>
      <c r="E38" s="103">
        <v>45957</v>
      </c>
      <c r="F38" s="95">
        <v>0</v>
      </c>
      <c r="G38" s="98" t="s">
        <v>201</v>
      </c>
    </row>
    <row r="39" spans="1:8" s="55" customFormat="1" ht="15" customHeight="1" thickBot="1" x14ac:dyDescent="0.3">
      <c r="A39" s="99"/>
      <c r="B39" s="99"/>
      <c r="C39" s="104"/>
      <c r="D39" s="107"/>
      <c r="E39" s="107"/>
      <c r="F39" s="102"/>
      <c r="G39" s="106"/>
    </row>
    <row r="40" spans="1:8" s="55" customFormat="1" ht="15" customHeight="1" thickBot="1" x14ac:dyDescent="0.3">
      <c r="A40" s="99">
        <v>8</v>
      </c>
      <c r="B40" s="99" t="s">
        <v>220</v>
      </c>
      <c r="C40" s="104" t="s">
        <v>219</v>
      </c>
      <c r="D40" s="107" t="s">
        <v>218</v>
      </c>
      <c r="E40" s="107"/>
      <c r="F40" s="102"/>
      <c r="G40" s="98" t="s">
        <v>217</v>
      </c>
    </row>
    <row r="41" spans="1:8" s="55" customFormat="1" ht="15" customHeight="1" thickBot="1" x14ac:dyDescent="0.3">
      <c r="A41" s="99"/>
      <c r="B41" s="99"/>
      <c r="C41" s="104" t="s">
        <v>216</v>
      </c>
      <c r="D41" s="107"/>
      <c r="E41" s="107"/>
      <c r="F41" s="95">
        <v>0</v>
      </c>
      <c r="G41" s="98" t="s">
        <v>215</v>
      </c>
    </row>
    <row r="42" spans="1:8" s="55" customFormat="1" ht="15" customHeight="1" thickBot="1" x14ac:dyDescent="0.3">
      <c r="A42" s="99"/>
      <c r="B42" s="99"/>
      <c r="C42" s="104" t="s">
        <v>214</v>
      </c>
      <c r="D42" s="107"/>
      <c r="E42" s="107"/>
      <c r="F42" s="95">
        <v>0</v>
      </c>
      <c r="G42" s="98" t="s">
        <v>213</v>
      </c>
    </row>
    <row r="43" spans="1:8" s="55" customFormat="1" ht="15" customHeight="1" thickBot="1" x14ac:dyDescent="0.3">
      <c r="A43" s="99"/>
      <c r="B43" s="99"/>
      <c r="C43" s="104"/>
      <c r="D43" s="107"/>
      <c r="E43" s="107"/>
      <c r="F43" s="102"/>
      <c r="G43" s="106"/>
    </row>
    <row r="44" spans="1:8" s="55" customFormat="1" ht="15" customHeight="1" thickBot="1" x14ac:dyDescent="0.3">
      <c r="A44" s="99"/>
      <c r="B44" s="99"/>
      <c r="C44" s="99"/>
      <c r="D44" s="107"/>
      <c r="E44" s="108"/>
      <c r="F44" s="109"/>
      <c r="G44" s="106"/>
    </row>
    <row r="45" spans="1:8" s="55" customFormat="1" ht="15" customHeight="1" thickBot="1" x14ac:dyDescent="0.3">
      <c r="A45" s="99"/>
      <c r="B45" s="99"/>
      <c r="C45" s="104"/>
      <c r="D45" s="107"/>
      <c r="E45" s="107"/>
      <c r="F45" s="109"/>
      <c r="G45" s="106"/>
    </row>
    <row r="46" spans="1:8" s="55" customFormat="1" ht="15" customHeight="1" thickBot="1" x14ac:dyDescent="0.3">
      <c r="A46" s="99"/>
      <c r="B46" s="99"/>
      <c r="C46" s="99"/>
      <c r="D46" s="107"/>
      <c r="E46" s="108"/>
      <c r="F46" s="109"/>
      <c r="G46" s="106"/>
    </row>
    <row r="47" spans="1:8" s="55" customFormat="1" ht="15" customHeight="1" thickBot="1" x14ac:dyDescent="0.3">
      <c r="A47" s="99"/>
      <c r="B47" s="99"/>
      <c r="C47" s="99"/>
      <c r="D47" s="107"/>
      <c r="E47" s="108"/>
      <c r="F47" s="109"/>
      <c r="G47" s="106"/>
    </row>
    <row r="48" spans="1:8" s="55" customFormat="1" ht="15" customHeight="1" thickBot="1" x14ac:dyDescent="0.3">
      <c r="A48" s="99"/>
      <c r="B48" s="99"/>
      <c r="C48" s="99"/>
      <c r="D48" s="107"/>
      <c r="E48" s="108"/>
      <c r="F48" s="109"/>
      <c r="G48" s="106"/>
    </row>
    <row r="49" spans="1:7" s="55" customFormat="1" ht="15" customHeight="1" thickBot="1" x14ac:dyDescent="0.3">
      <c r="A49" s="99"/>
      <c r="B49" s="99"/>
      <c r="C49" s="99"/>
      <c r="D49" s="107"/>
      <c r="E49" s="108"/>
      <c r="F49" s="109"/>
      <c r="G49" s="106"/>
    </row>
    <row r="50" spans="1:7" s="55" customFormat="1" ht="15" customHeight="1" thickBot="1" x14ac:dyDescent="0.3">
      <c r="A50" s="99"/>
      <c r="B50" s="99"/>
      <c r="C50" s="99"/>
      <c r="D50" s="107"/>
      <c r="E50" s="108"/>
      <c r="F50" s="109"/>
      <c r="G50" s="106"/>
    </row>
    <row r="51" spans="1:7" s="55" customFormat="1" ht="15" customHeight="1" thickBot="1" x14ac:dyDescent="0.3">
      <c r="A51" s="99"/>
      <c r="B51" s="99"/>
      <c r="C51" s="99"/>
      <c r="D51" s="107"/>
      <c r="E51" s="108"/>
      <c r="F51" s="109"/>
      <c r="G51" s="106"/>
    </row>
    <row r="52" spans="1:7" s="55" customFormat="1" ht="15" customHeight="1" thickBot="1" x14ac:dyDescent="0.3">
      <c r="A52" s="99"/>
      <c r="B52" s="99"/>
      <c r="C52" s="99"/>
      <c r="D52" s="107"/>
      <c r="E52" s="108"/>
      <c r="F52" s="109"/>
      <c r="G52" s="106"/>
    </row>
    <row r="53" spans="1:7" s="55" customFormat="1" ht="15" customHeight="1" thickBot="1" x14ac:dyDescent="0.3">
      <c r="A53" s="99"/>
      <c r="B53" s="99"/>
      <c r="C53" s="99"/>
      <c r="D53" s="107"/>
      <c r="E53" s="108"/>
      <c r="F53" s="109"/>
      <c r="G53" s="106"/>
    </row>
    <row r="54" spans="1:7" s="55" customFormat="1" ht="15" customHeight="1" thickBot="1" x14ac:dyDescent="0.3">
      <c r="A54" s="99"/>
      <c r="B54" s="99"/>
      <c r="C54" s="99"/>
      <c r="D54" s="107"/>
      <c r="E54" s="108"/>
      <c r="F54" s="109"/>
      <c r="G54" s="106"/>
    </row>
    <row r="55" spans="1:7" s="55" customFormat="1" ht="15" customHeight="1" thickBot="1" x14ac:dyDescent="0.3">
      <c r="A55" s="99"/>
      <c r="B55" s="99"/>
      <c r="C55" s="99"/>
      <c r="D55" s="107"/>
      <c r="E55" s="108"/>
      <c r="F55" s="109"/>
      <c r="G55" s="106"/>
    </row>
    <row r="56" spans="1:7" s="55" customFormat="1" ht="15" customHeight="1" thickBot="1" x14ac:dyDescent="0.3">
      <c r="A56" s="99"/>
      <c r="B56" s="99"/>
      <c r="C56" s="99"/>
      <c r="D56" s="107"/>
      <c r="E56" s="108"/>
      <c r="F56" s="109"/>
      <c r="G56" s="106"/>
    </row>
    <row r="57" spans="1:7" s="55" customFormat="1" ht="15" customHeight="1" thickBot="1" x14ac:dyDescent="0.3">
      <c r="A57" s="99"/>
      <c r="B57" s="99"/>
      <c r="C57" s="99"/>
      <c r="D57" s="107"/>
      <c r="E57" s="108"/>
      <c r="F57" s="109"/>
      <c r="G57" s="106"/>
    </row>
    <row r="58" spans="1:7" s="55" customFormat="1" ht="15" customHeight="1" thickBot="1" x14ac:dyDescent="0.3">
      <c r="A58" s="99"/>
      <c r="B58" s="99"/>
      <c r="C58" s="99"/>
      <c r="D58" s="107"/>
      <c r="E58" s="108"/>
      <c r="F58" s="109"/>
      <c r="G58" s="106"/>
    </row>
    <row r="59" spans="1:7" s="55" customFormat="1" ht="15" customHeight="1" thickBot="1" x14ac:dyDescent="0.3">
      <c r="A59" s="99"/>
      <c r="B59" s="99"/>
      <c r="C59" s="99"/>
      <c r="D59" s="107"/>
      <c r="E59" s="108"/>
      <c r="F59" s="109"/>
      <c r="G59" s="106"/>
    </row>
    <row r="60" spans="1:7" s="55" customFormat="1" ht="15" customHeight="1" thickBot="1" x14ac:dyDescent="0.3">
      <c r="A60" s="99"/>
      <c r="B60" s="99"/>
      <c r="C60" s="99"/>
      <c r="D60" s="107"/>
      <c r="E60" s="108"/>
      <c r="F60" s="109"/>
      <c r="G60" s="106"/>
    </row>
    <row r="61" spans="1:7" s="55" customFormat="1" ht="15" customHeight="1" thickBot="1" x14ac:dyDescent="0.3">
      <c r="A61" s="99"/>
      <c r="B61" s="99"/>
      <c r="C61" s="99"/>
      <c r="D61" s="107"/>
      <c r="E61" s="108"/>
      <c r="F61" s="109"/>
      <c r="G61" s="106"/>
    </row>
    <row r="62" spans="1:7" s="55" customFormat="1" ht="15" customHeight="1" thickBot="1" x14ac:dyDescent="0.3">
      <c r="A62" s="99"/>
      <c r="B62" s="99"/>
      <c r="C62" s="99"/>
      <c r="D62" s="107"/>
      <c r="E62" s="108"/>
      <c r="F62" s="109"/>
      <c r="G62" s="106"/>
    </row>
    <row r="63" spans="1:7" s="55" customFormat="1" ht="15" customHeight="1" thickBot="1" x14ac:dyDescent="0.3">
      <c r="A63" s="99"/>
      <c r="B63" s="99"/>
      <c r="C63" s="99"/>
      <c r="D63" s="107"/>
      <c r="E63" s="108"/>
      <c r="F63" s="109"/>
      <c r="G63" s="106"/>
    </row>
    <row r="64" spans="1:7" s="55" customFormat="1" ht="15" customHeight="1" thickBot="1" x14ac:dyDescent="0.3">
      <c r="A64" s="99"/>
      <c r="B64" s="99"/>
      <c r="C64" s="99"/>
      <c r="D64" s="107"/>
      <c r="E64" s="108"/>
      <c r="F64" s="109"/>
      <c r="G64" s="106"/>
    </row>
    <row r="65" spans="1:7" s="55" customFormat="1" ht="15" customHeight="1" thickBot="1" x14ac:dyDescent="0.3">
      <c r="A65" s="99"/>
      <c r="B65" s="99"/>
      <c r="C65" s="99"/>
      <c r="D65" s="107"/>
      <c r="E65" s="108"/>
      <c r="F65" s="109"/>
      <c r="G65" s="106"/>
    </row>
    <row r="66" spans="1:7" s="55" customFormat="1" ht="15" customHeight="1" thickBot="1" x14ac:dyDescent="0.3">
      <c r="A66" s="99"/>
      <c r="B66" s="99"/>
      <c r="C66" s="99"/>
      <c r="D66" s="107"/>
      <c r="E66" s="108"/>
      <c r="F66" s="109"/>
      <c r="G66" s="106"/>
    </row>
    <row r="67" spans="1:7" s="55" customFormat="1" ht="15" customHeight="1" thickBot="1" x14ac:dyDescent="0.3">
      <c r="A67" s="99"/>
      <c r="B67" s="99"/>
      <c r="C67" s="104"/>
      <c r="D67" s="99"/>
      <c r="E67" s="99"/>
      <c r="F67" s="110"/>
      <c r="G67" s="99"/>
    </row>
    <row r="68" spans="1:7" s="55" customFormat="1" ht="15" customHeight="1" thickBot="1" x14ac:dyDescent="0.3">
      <c r="A68" s="111"/>
      <c r="B68" s="111"/>
      <c r="C68" s="112"/>
      <c r="D68" s="113"/>
      <c r="E68" s="114"/>
      <c r="F68" s="115"/>
      <c r="G68" s="116"/>
    </row>
    <row r="69" spans="1:7" s="55" customFormat="1" ht="15" customHeight="1" thickBot="1" x14ac:dyDescent="0.3">
      <c r="A69" s="117"/>
      <c r="B69" s="391"/>
      <c r="C69" s="392"/>
      <c r="D69" s="117"/>
      <c r="E69" s="118"/>
      <c r="F69" s="119"/>
      <c r="G69" s="118"/>
    </row>
    <row r="70" spans="1:7" s="55" customFormat="1" ht="15" customHeight="1" x14ac:dyDescent="0.25">
      <c r="D70" s="120"/>
    </row>
    <row r="71" spans="1:7" s="55" customFormat="1" ht="15" customHeight="1" x14ac:dyDescent="0.25">
      <c r="D71" s="120"/>
    </row>
    <row r="72" spans="1:7" s="55" customFormat="1" ht="15" customHeight="1" x14ac:dyDescent="0.25">
      <c r="D72" s="120"/>
    </row>
    <row r="73" spans="1:7" s="55" customFormat="1" ht="15" customHeight="1" x14ac:dyDescent="0.25">
      <c r="D73" s="120"/>
    </row>
    <row r="74" spans="1:7" s="55" customFormat="1" ht="15" customHeight="1" x14ac:dyDescent="0.25">
      <c r="A74"/>
      <c r="B74"/>
      <c r="C74"/>
      <c r="D74" s="121"/>
      <c r="E74"/>
      <c r="F74"/>
      <c r="G74"/>
    </row>
    <row r="75" spans="1:7" ht="15" customHeight="1" x14ac:dyDescent="0.25"/>
    <row r="76" spans="1:7" ht="15" customHeight="1" x14ac:dyDescent="0.25"/>
    <row r="77" spans="1:7" ht="15" customHeight="1" x14ac:dyDescent="0.25"/>
    <row r="78" spans="1:7" ht="15" customHeight="1" x14ac:dyDescent="0.25"/>
    <row r="79" spans="1:7" ht="15" customHeight="1" x14ac:dyDescent="0.25"/>
    <row r="80" spans="1:7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</sheetData>
  <mergeCells count="2">
    <mergeCell ref="A4:G4"/>
    <mergeCell ref="B69:C69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KPI</vt:lpstr>
      <vt:lpstr>Retur</vt:lpstr>
      <vt:lpstr>PL</vt:lpstr>
      <vt:lpstr>Program</vt:lpstr>
      <vt:lpstr>BACK UP</vt:lpstr>
      <vt:lpstr>Olah Data Penjualan</vt:lpstr>
      <vt:lpstr>BONUS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Wahyu Arif Prasetyo</dc:creator>
  <cp:lastModifiedBy>Putri Qutisyah Sari</cp:lastModifiedBy>
  <cp:lastPrinted>2021-06-10T08:57:10Z</cp:lastPrinted>
  <dcterms:created xsi:type="dcterms:W3CDTF">2021-06-05T03:16:25Z</dcterms:created>
  <dcterms:modified xsi:type="dcterms:W3CDTF">2026-05-08T03:29:28Z</dcterms:modified>
</cp:coreProperties>
</file>