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20" windowWidth="20115" windowHeight="6180" firstSheet="1" activeTab="1"/>
  </bookViews>
  <sheets>
    <sheet name="KPI" sheetId="4" state="hidden" r:id="rId1"/>
    <sheet name="Retur" sheetId="97" r:id="rId2"/>
    <sheet name="PL" sheetId="94" r:id="rId3"/>
    <sheet name="Program" sheetId="96" r:id="rId4"/>
    <sheet name="BACK UP" sheetId="95" r:id="rId5"/>
    <sheet name="Olah Data Penjualan" sheetId="92" r:id="rId6"/>
    <sheet name="BONUS" sheetId="93" r:id="rId7"/>
  </sheets>
  <externalReferences>
    <externalReference r:id="rId8"/>
    <externalReference r:id="rId9"/>
  </externalReferences>
  <definedNames>
    <definedName name="_xlnm._FilterDatabase" localSheetId="2" hidden="1">PL!$A$1:$N$23</definedName>
    <definedName name="_xlnm._FilterDatabase" localSheetId="1" hidden="1">Retur!#REF!</definedName>
    <definedName name="Progresit" localSheetId="4">'[1]PROGRES TUGAS IT 2020'!$B$3:$L$215</definedName>
    <definedName name="Progresit" localSheetId="2">'[1]PROGRES TUGAS IT 2020'!$B$3:$L$215</definedName>
    <definedName name="Progresit" localSheetId="3">'[1]PROGRES TUGAS IT 2020'!$B$3:$L$215</definedName>
    <definedName name="Progresit" localSheetId="1">'[1]PROGRES TUGAS IT 2020'!$B$3:$L$215</definedName>
    <definedName name="Progresit">'[2]PROGRES TUGAS IT 2020'!$B$3:$L$215</definedName>
    <definedName name="sortsummary" localSheetId="6">#REF!</definedName>
    <definedName name="sortsummary" localSheetId="5">#REF!</definedName>
    <definedName name="sortsummary">#REF!</definedName>
  </definedNames>
  <calcPr calcId="144525"/>
</workbook>
</file>

<file path=xl/calcChain.xml><?xml version="1.0" encoding="utf-8"?>
<calcChain xmlns="http://schemas.openxmlformats.org/spreadsheetml/2006/main">
  <c r="M22" i="94" l="1"/>
  <c r="K35" i="97" l="1"/>
  <c r="K34" i="97"/>
  <c r="K33" i="97"/>
  <c r="K32" i="97"/>
  <c r="K31" i="97"/>
  <c r="K30" i="97"/>
  <c r="K29" i="97"/>
  <c r="K28" i="97"/>
  <c r="K27" i="97"/>
  <c r="K26" i="97"/>
  <c r="K25" i="97"/>
  <c r="K23" i="97"/>
  <c r="K22" i="97"/>
  <c r="K21" i="97"/>
  <c r="K20" i="97"/>
  <c r="K19" i="97"/>
  <c r="K18" i="97"/>
  <c r="K17" i="97"/>
  <c r="K16" i="97"/>
  <c r="K15" i="97"/>
  <c r="K14" i="97"/>
  <c r="K13" i="97"/>
  <c r="K12" i="97"/>
  <c r="K11" i="97"/>
  <c r="K10" i="97"/>
  <c r="K9" i="97"/>
  <c r="K8" i="97"/>
  <c r="K7" i="97"/>
  <c r="K6" i="97"/>
  <c r="K5" i="97"/>
  <c r="K4" i="97"/>
  <c r="D16" i="96" l="1"/>
  <c r="D15" i="96"/>
  <c r="D14" i="96"/>
  <c r="D13" i="96"/>
  <c r="D12" i="96"/>
  <c r="D11" i="96"/>
  <c r="D10" i="96"/>
  <c r="D9" i="96"/>
  <c r="D8" i="96"/>
  <c r="D7" i="96"/>
  <c r="D6" i="96"/>
  <c r="D5" i="96"/>
  <c r="D4" i="96"/>
  <c r="D18" i="96" l="1"/>
  <c r="F20" i="92" l="1"/>
  <c r="L174" i="4" l="1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H34" i="4" l="1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<sst xmlns="http://schemas.openxmlformats.org/spreadsheetml/2006/main" count="861" uniqueCount="524">
  <si>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</si>
  <si>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</si>
  <si>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</si>
  <si>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</si>
  <si>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</si>
  <si>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</si>
  <si>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</si>
  <si>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</si>
  <si>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</si>
  <si>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</si>
  <si>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</si>
  <si>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</si>
  <si>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</si>
  <si>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</si>
  <si>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</si>
  <si>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</si>
  <si>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</si>
  <si>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</si>
  <si>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</si>
  <si>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</si>
  <si>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</si>
  <si>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</si>
  <si>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</si>
  <si>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</si>
  <si>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</si>
  <si>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</si>
  <si>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</si>
  <si>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</si>
  <si>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</si>
  <si>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</si>
  <si>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</si>
  <si>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</si>
  <si>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</si>
  <si>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</si>
  <si>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</si>
  <si>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</si>
  <si>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</si>
  <si>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</si>
  <si>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</si>
  <si>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</si>
  <si>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</si>
  <si>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</si>
  <si>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</si>
  <si>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</si>
  <si>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</si>
  <si>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</si>
  <si>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</si>
  <si>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</si>
  <si>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</si>
  <si>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</si>
  <si>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</si>
  <si>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</si>
  <si>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</si>
  <si>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</si>
  <si>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</si>
  <si>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</si>
  <si>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</si>
  <si>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</si>
  <si>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</si>
  <si>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</si>
  <si>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</si>
  <si>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</si>
  <si>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</si>
  <si>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</si>
  <si>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</si>
  <si>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</si>
  <si>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</si>
  <si>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</si>
  <si>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</si>
  <si>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</si>
  <si>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</si>
  <si>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</si>
  <si>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</si>
  <si>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</si>
  <si>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</si>
  <si>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</si>
  <si>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</si>
  <si>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</si>
  <si>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</si>
  <si>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</si>
  <si>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</si>
  <si>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</si>
  <si>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</si>
  <si>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</si>
  <si>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</si>
  <si>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</si>
  <si>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</si>
  <si>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</si>
  <si>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</si>
  <si>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</si>
  <si>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</si>
  <si>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</si>
  <si>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</si>
  <si>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</si>
  <si>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</si>
  <si>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</si>
  <si>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</si>
  <si>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</si>
  <si>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</si>
  <si>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</si>
  <si>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</si>
  <si>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</si>
  <si>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</si>
  <si>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</si>
  <si>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</si>
  <si>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</si>
  <si>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</si>
  <si>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</si>
  <si>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</si>
  <si>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</si>
  <si>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</si>
  <si>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</si>
  <si>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</si>
  <si>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</si>
  <si>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</si>
  <si>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</si>
  <si>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</si>
  <si>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Nama Barang</t>
  </si>
  <si>
    <t>Jumlah Item</t>
  </si>
  <si>
    <t>Terima info</t>
  </si>
  <si>
    <t>Harga Update</t>
  </si>
  <si>
    <t>Durasi per barang (menit)</t>
  </si>
  <si>
    <t>Note</t>
  </si>
  <si>
    <t>Cek Pertama</t>
  </si>
  <si>
    <t>Selesai Cek harga s/d laporan</t>
  </si>
  <si>
    <t>√</t>
  </si>
  <si>
    <t>Cek Program</t>
  </si>
  <si>
    <t>Tanggal Terima</t>
  </si>
  <si>
    <t>Jumlah Program</t>
  </si>
  <si>
    <t>Program ke Admin Stok</t>
  </si>
  <si>
    <t>Durasi max H+0</t>
  </si>
  <si>
    <t>No</t>
  </si>
  <si>
    <t>Nama Toko</t>
  </si>
  <si>
    <t>Tgl Distribusi</t>
  </si>
  <si>
    <t>Rata2</t>
  </si>
  <si>
    <t>Point</t>
  </si>
  <si>
    <t>No Retur</t>
  </si>
  <si>
    <t>Retur</t>
  </si>
  <si>
    <t>Merdeka Tani/Sugiono</t>
  </si>
  <si>
    <t xml:space="preserve">HOW : </t>
  </si>
  <si>
    <t>Ambil &amp; Mengolah data penjualan dari admin Penjualan Max Tgl 20 bulan berikutnya</t>
  </si>
  <si>
    <t>Tahun 2025</t>
  </si>
  <si>
    <t>BULAN</t>
  </si>
  <si>
    <t>Dewi</t>
  </si>
  <si>
    <t>Ket</t>
  </si>
  <si>
    <t>Mengolah Data Penjualan</t>
  </si>
  <si>
    <t>Tercapai (Hari)</t>
  </si>
  <si>
    <t>Penyerahan data Kpd Adm. Pajak U/ Efaktur</t>
  </si>
  <si>
    <t>KET</t>
  </si>
  <si>
    <t>Tgl 20 Tiap Bulan</t>
  </si>
  <si>
    <t xml:space="preserve">NO. </t>
  </si>
  <si>
    <t>NAMA FILE</t>
  </si>
  <si>
    <t>Alamat Email &amp; Kirim Faktur Pajak</t>
  </si>
  <si>
    <t>P</t>
  </si>
  <si>
    <t>Kartu NPWP/ KTP Asli</t>
  </si>
  <si>
    <t>Kwitansi Bermaterai</t>
  </si>
  <si>
    <t>PL Cek Harga</t>
  </si>
  <si>
    <t>Pricelist New sekali 1</t>
  </si>
  <si>
    <t>Rumus Barang QTY FIXXXX</t>
  </si>
  <si>
    <t>Expotan</t>
  </si>
  <si>
    <t>Cek Harga 2025 - SMT 2</t>
  </si>
  <si>
    <t>Daftar ACC Harga 2025</t>
  </si>
  <si>
    <t>KET.  LPB &amp; SPR</t>
  </si>
  <si>
    <t>Durasi H+</t>
  </si>
  <si>
    <t>Rata-Rata</t>
  </si>
  <si>
    <t>Rata- Rata</t>
  </si>
  <si>
    <t>Tercapai (H+)</t>
  </si>
  <si>
    <t>Selesai Rekap  Data Penj. u/Upload E Faktur</t>
  </si>
  <si>
    <t>5 Okt libur</t>
  </si>
  <si>
    <t>Input data tambahan dari Pembelian atas bonus / transksi lain- lain yang perlu diterbitkan Faktur Pajaknya</t>
  </si>
  <si>
    <t>NO.</t>
  </si>
  <si>
    <t>Customer</t>
  </si>
  <si>
    <t>Rekap Data Bonus/Transaksi Lain-Lain</t>
  </si>
  <si>
    <t>Januari 2025</t>
  </si>
  <si>
    <t>Yudianto Sastrodiarjo</t>
  </si>
  <si>
    <t>CV. Sarana Tani Makmur</t>
  </si>
  <si>
    <t>PT. Mitra Indotani Abadi</t>
  </si>
  <si>
    <t>Februari 2025</t>
  </si>
  <si>
    <t>Dedik Susianto</t>
  </si>
  <si>
    <t>Maret 2025</t>
  </si>
  <si>
    <t>Sedulur Tani/Eko Galih</t>
  </si>
  <si>
    <t>Tani Sukses/Muklis, H</t>
  </si>
  <si>
    <t>Podo Tani/Supri</t>
  </si>
  <si>
    <t>Koko Tani</t>
  </si>
  <si>
    <t>Mujahidin Delapan, UD</t>
  </si>
  <si>
    <t>Prima Tani/Candra Sanjaya</t>
  </si>
  <si>
    <t>Kumpul Tani/Hendro</t>
  </si>
  <si>
    <t>Al Badar/Badar, H</t>
  </si>
  <si>
    <t>Sugeng Makmur, Toko</t>
  </si>
  <si>
    <t>Enggal Unggul</t>
  </si>
  <si>
    <t>April</t>
  </si>
  <si>
    <t>Juni</t>
  </si>
  <si>
    <t>Ghufron</t>
  </si>
  <si>
    <t>September</t>
  </si>
  <si>
    <t>Perli Heru Basuki</t>
  </si>
  <si>
    <t>Willyadi</t>
  </si>
  <si>
    <t>Petrokimia Kayaku, PT</t>
  </si>
  <si>
    <t>Jasa Pembuatan Sarana Promosi Film, Iklan</t>
  </si>
  <si>
    <t>Jual Kendraan</t>
  </si>
  <si>
    <t>Oktober</t>
  </si>
  <si>
    <t>Bumi Jaya, UD/Farida</t>
  </si>
  <si>
    <t>Serba Hasil/Ansori</t>
  </si>
  <si>
    <t>Insentif Program PT. Agri Makmur Pertiwi</t>
  </si>
  <si>
    <t>Terima Lampiran Bonus/Transaksi Lain-Lain</t>
  </si>
  <si>
    <t>geser November</t>
  </si>
  <si>
    <t>PL Khusus</t>
  </si>
  <si>
    <t>No LPB</t>
  </si>
  <si>
    <t>Tgl Fak Retur</t>
  </si>
  <si>
    <t>No. Faktur</t>
  </si>
  <si>
    <t>Kategori</t>
  </si>
  <si>
    <t>2 Nov libur</t>
  </si>
  <si>
    <t>Braunxone</t>
  </si>
  <si>
    <t>7 Des libur</t>
  </si>
  <si>
    <t>Spyker</t>
  </si>
  <si>
    <t>Backup data di Kiuserver 2026</t>
  </si>
  <si>
    <t>1 &amp; 4 Januari libur</t>
  </si>
  <si>
    <t>Mesin Cuci Sharp</t>
  </si>
  <si>
    <t>Tani Maju, TK / Samsuni</t>
  </si>
  <si>
    <t>Jasa Perantara dan/atau Keagenan</t>
  </si>
  <si>
    <t>Bina Guna Kimia, PT</t>
  </si>
  <si>
    <t>Donasi Extravaganza 2025</t>
  </si>
  <si>
    <t>pending</t>
  </si>
  <si>
    <t xml:space="preserve">Agromanna Jaya Lestari, PT </t>
  </si>
  <si>
    <t>Desember</t>
  </si>
  <si>
    <t>Format Faktur Pajak 2026</t>
  </si>
  <si>
    <t>8 minggu</t>
  </si>
  <si>
    <t>Online Shop Tik tok</t>
  </si>
  <si>
    <t>Arinda/KIU</t>
  </si>
  <si>
    <t>Revisi Nota</t>
  </si>
  <si>
    <t>Replacement</t>
  </si>
  <si>
    <t>1 &amp; 8 Feb minggu</t>
  </si>
  <si>
    <t>Sofia</t>
  </si>
  <si>
    <t>Camix Gold</t>
  </si>
  <si>
    <t>Mia</t>
  </si>
  <si>
    <t>Jagung NK 7328 BTGT 20 X 1 kg</t>
  </si>
  <si>
    <t>ZA Pak Tani 50 kg</t>
  </si>
  <si>
    <t>30 cuti</t>
  </si>
  <si>
    <t>1 &amp; 8 Mar minggu</t>
  </si>
  <si>
    <t>RA2600037</t>
  </si>
  <si>
    <t>RA26000010B</t>
  </si>
  <si>
    <t>RA2600039</t>
  </si>
  <si>
    <t>R26000036</t>
  </si>
  <si>
    <t>R26000037</t>
  </si>
  <si>
    <t>RA2600038</t>
  </si>
  <si>
    <t>R26000038</t>
  </si>
  <si>
    <t>R26000008B</t>
  </si>
  <si>
    <t>R26000009B</t>
  </si>
  <si>
    <t>R26000010B</t>
  </si>
  <si>
    <t>R26000039</t>
  </si>
  <si>
    <t>RA2600042</t>
  </si>
  <si>
    <t>RA2600043</t>
  </si>
  <si>
    <t>R26000040</t>
  </si>
  <si>
    <t>R26000041</t>
  </si>
  <si>
    <t>RA2600045</t>
  </si>
  <si>
    <t>RA2600047</t>
  </si>
  <si>
    <t>R26000042</t>
  </si>
  <si>
    <t>R26000011B</t>
  </si>
  <si>
    <t>RA2600050</t>
  </si>
  <si>
    <t>RA2600051</t>
  </si>
  <si>
    <t>R26000012B</t>
  </si>
  <si>
    <t>R26000013B</t>
  </si>
  <si>
    <t>R26000014B</t>
  </si>
  <si>
    <t>R26000043</t>
  </si>
  <si>
    <t>R26000044</t>
  </si>
  <si>
    <t>R26000046</t>
  </si>
  <si>
    <t>R26000047</t>
  </si>
  <si>
    <t>R26000048</t>
  </si>
  <si>
    <t>RA2600054</t>
  </si>
  <si>
    <t>R26000049</t>
  </si>
  <si>
    <t>R000035</t>
  </si>
  <si>
    <t>R000036</t>
  </si>
  <si>
    <t>R000037</t>
  </si>
  <si>
    <t>R000038</t>
  </si>
  <si>
    <t>026</t>
  </si>
  <si>
    <t>R000039</t>
  </si>
  <si>
    <t>027</t>
  </si>
  <si>
    <t>028</t>
  </si>
  <si>
    <t>029</t>
  </si>
  <si>
    <t>030</t>
  </si>
  <si>
    <t>R000040</t>
  </si>
  <si>
    <t>R000041</t>
  </si>
  <si>
    <t>R000042</t>
  </si>
  <si>
    <t>R000043</t>
  </si>
  <si>
    <t>R000044</t>
  </si>
  <si>
    <t>R000045</t>
  </si>
  <si>
    <t>R000046</t>
  </si>
  <si>
    <t>031</t>
  </si>
  <si>
    <t>032</t>
  </si>
  <si>
    <t>R000048</t>
  </si>
  <si>
    <t>R000049</t>
  </si>
  <si>
    <t>00033</t>
  </si>
  <si>
    <t>00034</t>
  </si>
  <si>
    <t>R000050</t>
  </si>
  <si>
    <t>00035</t>
  </si>
  <si>
    <t>R000051</t>
  </si>
  <si>
    <t>00036</t>
  </si>
  <si>
    <t>00037</t>
  </si>
  <si>
    <t>R000052</t>
  </si>
  <si>
    <t>R000053</t>
  </si>
  <si>
    <t>R000054</t>
  </si>
  <si>
    <t>R25000122</t>
  </si>
  <si>
    <t>R25000135</t>
  </si>
  <si>
    <t>R26000009</t>
  </si>
  <si>
    <t>B26002928</t>
  </si>
  <si>
    <t>B25016644</t>
  </si>
  <si>
    <t>T25001655</t>
  </si>
  <si>
    <t>B25016118</t>
  </si>
  <si>
    <t>T25001366</t>
  </si>
  <si>
    <t>T25001347</t>
  </si>
  <si>
    <t>T25001346</t>
  </si>
  <si>
    <t>B26003128</t>
  </si>
  <si>
    <t>T25001533K</t>
  </si>
  <si>
    <t>T25001240K</t>
  </si>
  <si>
    <t>B26003284</t>
  </si>
  <si>
    <t>T26000180</t>
  </si>
  <si>
    <t>T25000027</t>
  </si>
  <si>
    <t>T26000086</t>
  </si>
  <si>
    <t>D26001445</t>
  </si>
  <si>
    <t>B26002820</t>
  </si>
  <si>
    <t>R26000014</t>
  </si>
  <si>
    <t>T25001865</t>
  </si>
  <si>
    <t>B26000417</t>
  </si>
  <si>
    <t>D25003216</t>
  </si>
  <si>
    <t>Z26000771</t>
  </si>
  <si>
    <t>D25017428</t>
  </si>
  <si>
    <t>A26000418</t>
  </si>
  <si>
    <t>B25015384</t>
  </si>
  <si>
    <t>E22003099</t>
  </si>
  <si>
    <t>B26003764</t>
  </si>
  <si>
    <t>R26000015</t>
  </si>
  <si>
    <t>D26003762</t>
  </si>
  <si>
    <t>Karisma Indoagro Universal, PT</t>
  </si>
  <si>
    <t>Oat Mitoku Agrio, PT</t>
  </si>
  <si>
    <t>Tempurejo, PT</t>
  </si>
  <si>
    <t>Riski Tani/Hadi</t>
  </si>
  <si>
    <t>Widya Parta, UD</t>
  </si>
  <si>
    <t>Jaya Tani/Rida</t>
  </si>
  <si>
    <t>Rekan Tani/Liong Putu</t>
  </si>
  <si>
    <t>Anugrah Tani/Agung</t>
  </si>
  <si>
    <t>Jaya Abadi, UD/Misdi</t>
  </si>
  <si>
    <t>Mulur, UD</t>
  </si>
  <si>
    <t>Bintang Tani/Kabul</t>
  </si>
  <si>
    <t>Gota, Toko/Pujiono</t>
  </si>
  <si>
    <t>Konco Tani/Hamdani</t>
  </si>
  <si>
    <t>Mubarok, Toko</t>
  </si>
  <si>
    <t>Tani Sentosa</t>
  </si>
  <si>
    <t>Sumber Makmur/Masrokib</t>
  </si>
  <si>
    <t>Surya Tani/Mashuri</t>
  </si>
  <si>
    <t>Pusaka Tani/Ashari</t>
  </si>
  <si>
    <t>Maju, UD/Agus</t>
  </si>
  <si>
    <t>Jaya Tani/Asfiyak</t>
  </si>
  <si>
    <t>Sumber Berkat/Agus</t>
  </si>
  <si>
    <t>LPB (02/3/26 09.42) + Rekap (02/03/26 08.56)</t>
  </si>
  <si>
    <t>LPB (02/3/26 09.7) + SPR (02/03/26 08.54)</t>
  </si>
  <si>
    <t>LPB (02/3/26 09.46) + SPR (02/03/26 09.31)</t>
  </si>
  <si>
    <t>LPB (02/3/26 09.49) + SPR (02/03/26 08.54)</t>
  </si>
  <si>
    <t>LPB (03/3/26 10.38) + SPR (03/3/26 10.06)</t>
  </si>
  <si>
    <t>LPB (04/3/26 10.35) + SPR (04/3/26 11.20)</t>
  </si>
  <si>
    <t>LPB (04/3/26 11.36) + SPR (04/3/26 11.20)</t>
  </si>
  <si>
    <t>LPB (04/3/26 11.38) + SPR (04/3/26 11.21)</t>
  </si>
  <si>
    <t>LPB (05/3/26 10.46) + SPR (05/3/26 10.36)</t>
  </si>
  <si>
    <t>LPB (05/3/26 08.47) + SPR (05/3/26 08.14)</t>
  </si>
  <si>
    <t>LPB (09/3/26 11.03) + SPR (09/3/26 10.56)</t>
  </si>
  <si>
    <t>LPB (09/3/26 11.43) + SPR (09/3/26 11.27)</t>
  </si>
  <si>
    <t>LPB (10/3/26 09.02) + SPR (10/3/26 08.54)</t>
  </si>
  <si>
    <t xml:space="preserve"> - </t>
  </si>
  <si>
    <t>LPB (13/3/26 14.25) + SPR (13/3/26 14.10)</t>
  </si>
  <si>
    <t>LPB (13/3/26 08.59) + SPR (13/3/26 08.23)</t>
  </si>
  <si>
    <t>LPB (14/3/26 10.03) + SPR (12/3/26 10.03)</t>
  </si>
  <si>
    <t>LPB (14/3/26 11.00) + TT (14/3/26 10.40)</t>
  </si>
  <si>
    <t>LPB (14/3/26 14.58) + SPR (14/3/26 14.51)</t>
  </si>
  <si>
    <t>LPB (17/3/26 10.15) + SPR (17/3/26 09.26)</t>
  </si>
  <si>
    <t>LPB (17/3/26 10.16) + SPR (17/3/26 09.25)</t>
  </si>
  <si>
    <t>LPB (18/3/26 09.28) + SPR (18/3/26 08.49)</t>
  </si>
  <si>
    <t>LPB (18/3/26 15.14) + SPR (18/3/26 15.11)</t>
  </si>
  <si>
    <t>LPB (26/3/26 11.17) + SPR (26/3/26 11.46)</t>
  </si>
  <si>
    <t>LPB (30/3/26 09.57) + SPR (30/3/26 08.30)</t>
  </si>
  <si>
    <t>LPB (30/3/26 09.58) + SPR (30/3/26 08.30)</t>
  </si>
  <si>
    <t>LPB (30/3/26 11.06) + TT Supir (30/3/26 10.51)</t>
  </si>
  <si>
    <t>LPB (31/3/26 09.08) + TT Supir (30/3/26 11.48)</t>
  </si>
  <si>
    <t>LPB (31/3/26 10.33) + SPR (31/3/26 09.24)</t>
  </si>
  <si>
    <t>15 minggu</t>
  </si>
  <si>
    <t>Rata - Rata</t>
  </si>
  <si>
    <t>19-25 Libur</t>
  </si>
  <si>
    <t>tgl 19-25 Libur</t>
  </si>
  <si>
    <t>tutupan hampir jam 3</t>
  </si>
  <si>
    <t>Liding 240 EC 48 X 200 ml</t>
  </si>
  <si>
    <t>Eros Gold 0.75/30 DF 50 X 100 gr</t>
  </si>
  <si>
    <t>Agridex 715 EC 12 X 1 ltr</t>
  </si>
  <si>
    <t>Benang Pe mlg</t>
  </si>
  <si>
    <t>Tali Gawar 989 40 X 600 gr</t>
  </si>
  <si>
    <t>Konsep 50 EC 20 X 1 ltr</t>
  </si>
  <si>
    <t>Amabas 500 EC 20 X 400 ml</t>
  </si>
  <si>
    <t>Bigxone 135 SL 4 X 5 ltr</t>
  </si>
  <si>
    <t>Bionik 400 EC 20 X 500 ml</t>
  </si>
  <si>
    <t>Bionik 400 EC 50 X 100 ml</t>
  </si>
  <si>
    <t>Bravoxone 276 SL 20 ltr</t>
  </si>
  <si>
    <t>Bravoxone 276 SL 20 ltr (Label Kuda)*</t>
  </si>
  <si>
    <t>Bravoxone 276 SL 4 X 5 ltr</t>
  </si>
  <si>
    <t>Bravoxone 276 SL 4 X 5 ltr (Label Kuda)</t>
  </si>
  <si>
    <t>Gibas 240 SL 20 ltr</t>
  </si>
  <si>
    <t>Gibas 240 SL 4 X 5 ltr</t>
  </si>
  <si>
    <t>Hokky 30 EC 20 X 400 ml</t>
  </si>
  <si>
    <t>Kayaris 555 SC 20 X 500 ml</t>
  </si>
  <si>
    <t>Kayaris 555 SC 40 X 250 ml</t>
  </si>
  <si>
    <t>Kobong 138 SL 20 ltr</t>
  </si>
  <si>
    <t>Kobong 138 SL 4 X 5 ltr</t>
  </si>
  <si>
    <t>Kresnadan 3 G 10 X 2 kg</t>
  </si>
  <si>
    <t>Kresnadan 3G 10 X 2 kg</t>
  </si>
  <si>
    <t>Kresnakum 0.005 20 X 10 X 100 gr</t>
  </si>
  <si>
    <t>Kresnatop 500 SC 20 ltr</t>
  </si>
  <si>
    <t>Kresnatop 500 SC 4 X 5 ltr</t>
  </si>
  <si>
    <t>Qiumex 36 EC 100 X 100 ml</t>
  </si>
  <si>
    <t>Qiumex 36 EC 20 X 500 ml</t>
  </si>
  <si>
    <t>Qiumex 36 EC 40 X 250 ml</t>
  </si>
  <si>
    <t>Qiumex 36 EC 50 X 100 ml</t>
  </si>
  <si>
    <t>Topjos 300 SL 20 ltr</t>
  </si>
  <si>
    <t>Topjos 300 SL 4 X 5 ltr</t>
  </si>
  <si>
    <t>Viaron 80 WP 40 X 250 gr</t>
  </si>
  <si>
    <t>Vista 400 SL 20 X 500 ml</t>
  </si>
  <si>
    <t>Vista 400 SL 50 X 200 ml</t>
  </si>
  <si>
    <t>Grasso 480 SL 20 ltr</t>
  </si>
  <si>
    <t>Grasso 480 SL 20 X 1 ltr</t>
  </si>
  <si>
    <t>Grasso 480 SL 4 X 5 ltr</t>
  </si>
  <si>
    <t>Sagri-Meth 77 SP 100 X 100 gr</t>
  </si>
  <si>
    <t>Amabas 500 EC 16 X 1 ltr</t>
  </si>
  <si>
    <t>Bestar 200 SL 20 X 1 ltr</t>
  </si>
  <si>
    <t>Bigxone 135 SL 20 X 1 ltr</t>
  </si>
  <si>
    <t>Bravoxone 276 SL 20 X 1 ltr (Label Kuda)</t>
  </si>
  <si>
    <t>Gemilang 110 EC 16 X 1 ltr</t>
  </si>
  <si>
    <t>Gibas 240 SL 20 X 1 ltr</t>
  </si>
  <si>
    <t>Hoky 30 EC 16 X 1 ltr*</t>
  </si>
  <si>
    <t>Kayaris 555 SC 10 X 1 ltr</t>
  </si>
  <si>
    <t>Kobong 138 SL 20 X 1 ltr</t>
  </si>
  <si>
    <t>Kresnakum 0.005 20 X 1 kg</t>
  </si>
  <si>
    <t>Kresnatop 500 SC 20 X 1 ltr</t>
  </si>
  <si>
    <t>Megazeb 80 WP 20 X 1 kg</t>
  </si>
  <si>
    <t>Qiumex 36 EC 10 X 1 ltr</t>
  </si>
  <si>
    <t>Qiumex 36 EC 16 X 1 ltr</t>
  </si>
  <si>
    <t>Topjos 300 SL 20 X 1 ltr</t>
  </si>
  <si>
    <t>Viaron 80 WP 10 X 1 kg</t>
  </si>
  <si>
    <t>Vista 400 SL 16 X 1 ltr</t>
  </si>
  <si>
    <t>Rayaxone 400/60 SL 1 ltr</t>
  </si>
  <si>
    <t>Baycarb 500 EC 100 X 100 ml</t>
  </si>
  <si>
    <t>Baycarb 500 EC 20 X 500 ml</t>
  </si>
  <si>
    <t>Belt Expert 480 SC 100 X 100 ml</t>
  </si>
  <si>
    <t>Belt Expert 480 SC 40 X 250 ml</t>
  </si>
  <si>
    <t>Confidor 200 SL 100 X 60 ml</t>
  </si>
  <si>
    <t>Confidor Extra 350 SC 100 X 100 ml</t>
  </si>
  <si>
    <t>Confidor Extra 350 SC 100 X 50 ml</t>
  </si>
  <si>
    <t>Council Complete SC 300 50 X 100 ml</t>
  </si>
  <si>
    <t>Council Complete SC 300 50 X 50 ml</t>
  </si>
  <si>
    <t>Decis 25 EC 100 X 100 ml</t>
  </si>
  <si>
    <t>Decis 2.5 EC 40 X 250 ml</t>
  </si>
  <si>
    <t>Decis 2.5 EC 20 X 500 ml</t>
  </si>
  <si>
    <t>Ethrel 480 SL 100 X 100 ml</t>
  </si>
  <si>
    <t>Luna Smart 250/250 SC 100 X 100 ml</t>
  </si>
  <si>
    <t>Luna Smart 250/250 SC 100 X 50 ml</t>
  </si>
  <si>
    <t>Movento Energy 240 SC 100 X 50 ml</t>
  </si>
  <si>
    <t>Movento Energy 240 SC 100 X 100 ml</t>
  </si>
  <si>
    <t>Nativo 75 WG 100 X 50 gr</t>
  </si>
  <si>
    <t>Nativo 75 WG 16 X 20 X 12.5 gr</t>
  </si>
  <si>
    <t>Previcur N 722SL 100 X 100 ml</t>
  </si>
  <si>
    <t>Previcur N 722SL 20 X 500 ml</t>
  </si>
  <si>
    <t>Ricestar 69 EC 100 X 100 ml</t>
  </si>
  <si>
    <t>Ricestar 69 EC 40 X 250 ml</t>
  </si>
  <si>
    <t>Ricestar Xtra 89 OD 100 X 100 ml</t>
  </si>
  <si>
    <t>Ricestar Xtra 89 OD 40 X 250 ml</t>
  </si>
  <si>
    <t>Rumpas 110 EW 100 X 100 ml</t>
  </si>
  <si>
    <t>Rumpas 110 EW 40 X 250 ml</t>
  </si>
  <si>
    <t>Sivanto Prime 200 SL 100 X 100 ml</t>
  </si>
  <si>
    <t>Sivanto Prime 200 SL 100 X 50 ml</t>
  </si>
  <si>
    <t>Vayego 200 SC 100 X 50 ml</t>
  </si>
  <si>
    <t>Vayego 200 SC 100 X 100 ml</t>
  </si>
  <si>
    <t>Belt Expert 480 SC 100 X 50 ml</t>
  </si>
  <si>
    <t>Fenval 200 EC 15 X 1 ltr</t>
  </si>
  <si>
    <t>Winder 100 EC 50 X 250 ml</t>
  </si>
  <si>
    <t>Jagung NK 212 20 X 1 kg</t>
  </si>
  <si>
    <t>Triplelima 555 SL 20 X 1 ltr</t>
  </si>
  <si>
    <t>Cabe Iggo Tavi F1 20 X 12 X 10 gr</t>
  </si>
  <si>
    <t>Filia 525 SE 20 X 250 ml</t>
  </si>
  <si>
    <t>Jagung Bisi 18 20 X 1 kg (+Kaos)</t>
  </si>
  <si>
    <t>Jagung Bisi 234 20 X 1 kg</t>
  </si>
  <si>
    <t>Jagung Bisi 235 20 X 1 kg</t>
  </si>
  <si>
    <t>BM Jamurlang 300 EC 40 X 250 ml</t>
  </si>
  <si>
    <t>Amegu 200 SL 20 X 1 ltr</t>
  </si>
  <si>
    <t>Mulsa Coboy 60 cm X 1 kg</t>
  </si>
  <si>
    <t>Mulsa Coboy 80 cm X 1 kg</t>
  </si>
  <si>
    <t>Mulsa Karisma 50 cm / 10 kg</t>
  </si>
  <si>
    <t>Mulsa Karisma 50 cm / 10 kg (Roll)</t>
  </si>
  <si>
    <t>Mulsa Karisma 50 cm / 20 kg</t>
  </si>
  <si>
    <t>Mulsa Karisma 50 cm / 20 kg (Roll)</t>
  </si>
  <si>
    <t>Mulsa Karisma 60 cm / 10 kg</t>
  </si>
  <si>
    <t>Mulsa Karisma 60 cm / 10 kg (Roll)</t>
  </si>
  <si>
    <t>Mulsa Karisma 60 cm / 20 kg</t>
  </si>
  <si>
    <t>Mulsa Karisma 60 cm / 20 kg (Roll)</t>
  </si>
  <si>
    <t>Mulsa Karisma 70 cm / 10 kg (Roll)</t>
  </si>
  <si>
    <t>Mulsa Karisma 70 cm / 20 kg</t>
  </si>
  <si>
    <t>Mulsa Karisma 70 cm / 20 kg (Roll)</t>
  </si>
  <si>
    <t>Mulsa Karisma 80 cm / 10 kg (Roll)</t>
  </si>
  <si>
    <t>Mulsa Karisma 80 cm / 20 kg</t>
  </si>
  <si>
    <t>Mulsa Ori Gajah 0.3 60 cm X 18 kg (Roll)</t>
  </si>
  <si>
    <t>Mulsa Ori Universal 0.25 50 cm X 18 kg (Roll)</t>
  </si>
  <si>
    <t>Mulsa Ori Universal 0.25 50 cm X 9 kg (Roll)</t>
  </si>
  <si>
    <t>Mulsa Ori Universal 0.25 60 cm X 18 kg (Roll)</t>
  </si>
  <si>
    <t>Mulsa Ori Universal 0.25 60 cm X 9 kg (Roll)</t>
  </si>
  <si>
    <t>Agristick 400 L 12 X 1 ltr</t>
  </si>
  <si>
    <t>Jagung P27 Gajah 20 X 1 kg</t>
  </si>
  <si>
    <t>Jagung P27 Lumigen 20 X 1 kg</t>
  </si>
  <si>
    <t xml:space="preserve">Asia Top 288 SL </t>
  </si>
  <si>
    <t>-</t>
  </si>
  <si>
    <t>Megaxone 135 SL</t>
  </si>
  <si>
    <t>Orca 480 SL</t>
  </si>
  <si>
    <t>Tuntas 300/100 SL</t>
  </si>
  <si>
    <t>Flonipro</t>
  </si>
  <si>
    <t>Granprix</t>
  </si>
  <si>
    <t>Symphony Plus</t>
  </si>
  <si>
    <t>By phone</t>
  </si>
  <si>
    <t>Teballo 250 SL</t>
  </si>
  <si>
    <t>Marshal 200 EC 24 X 500 ml</t>
  </si>
  <si>
    <t>Metachlor 650 EC</t>
  </si>
  <si>
    <t>Aminosong</t>
  </si>
  <si>
    <t>Paskal 50 WP</t>
  </si>
  <si>
    <t>Chief 480 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</si>
</sst>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[$-409]d\-mmm\-yy;@"/>
    <numFmt numFmtId="168" formatCode="[$-409]d\-mmm;@"/>
    <numFmt numFmtId="169" formatCode="[$-409]dd\-mmm\-yy;@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sz val="11"/>
      <name val="Arial"/>
      <family val="2"/>
    </font>
    <font>
      <b/>
      <sz val="8"/>
      <color theme="1"/>
      <name val="Arial"/>
      <family val="2"/>
    </font>
    <font>
      <sz val="8"/>
      <color rgb="FF000000"/>
      <name val="Tahoma"/>
      <family val="2"/>
    </font>
    <font>
      <sz val="9"/>
      <color rgb="FF000000"/>
      <name val="Tahoma"/>
      <family val="2"/>
    </font>
    <font>
      <sz val="11"/>
      <name val="Arial"/>
      <family val="2"/>
    </font>
    <font>
      <sz val="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9"/>
      <color rgb="FF000000"/>
      <name val="Segoe UI"/>
      <family val="2"/>
    </font>
    <font>
      <b/>
      <i/>
      <sz val="16"/>
      <color indexed="18"/>
      <name val="Tahoma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4"/>
      <color indexed="8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indexed="8"/>
      <name val="Tahoma"/>
      <family val="2"/>
    </font>
    <font>
      <sz val="8"/>
      <color indexed="8"/>
      <name val="Arial"/>
      <family val="2"/>
    </font>
    <font>
      <sz val="8"/>
      <color rgb="FF000000"/>
      <name val="Wingdings"/>
      <charset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9"/>
      <color indexed="16"/>
      <name val="Arial"/>
      <family val="2"/>
    </font>
    <font>
      <b/>
      <sz val="16"/>
      <color rgb="FF1079AE"/>
      <name val="Segoe UI"/>
      <family val="2"/>
    </font>
    <font>
      <b/>
      <sz val="18"/>
      <color rgb="FF0000A0"/>
      <name val="Arial"/>
      <family val="2"/>
    </font>
    <font>
      <b/>
      <sz val="8"/>
      <color rgb="FF000000"/>
      <name val="Tahoma"/>
      <family val="2"/>
    </font>
    <font>
      <b/>
      <sz val="8"/>
      <color indexed="8"/>
      <name val="Tahoma"/>
      <family val="2"/>
    </font>
    <font>
      <b/>
      <sz val="13"/>
      <color rgb="FF000000"/>
      <name val="Segoe UI"/>
      <family val="2"/>
    </font>
    <font>
      <b/>
      <sz val="8"/>
      <color rgb="FF800000"/>
      <name val="Segoe UI"/>
      <family val="2"/>
    </font>
    <font>
      <b/>
      <sz val="11"/>
      <color rgb="FF1079AE"/>
      <name val="Segoe UI"/>
      <family val="2"/>
    </font>
    <font>
      <b/>
      <sz val="9"/>
      <color rgb="FF1079AE"/>
      <name val="Segoe UI"/>
      <family val="2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Wingdings 2"/>
      <family val="1"/>
      <charset val="2"/>
    </font>
    <font>
      <sz val="10"/>
      <color theme="1"/>
      <name val="Wingdings 2"/>
      <family val="1"/>
      <charset val="2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9"/>
      <color rgb="FF0033CC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Khmer UI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theme="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"/>
      <name val="Khmer UI"/>
      <family val="2"/>
    </font>
    <font>
      <sz val="8"/>
      <color rgb="FF0000FF"/>
      <name val="Khmer UI"/>
      <family val="2"/>
    </font>
    <font>
      <sz val="8"/>
      <color rgb="FFFF0000"/>
      <name val="Khmer UI"/>
      <family val="2"/>
    </font>
    <font>
      <sz val="8"/>
      <color theme="0"/>
      <name val="Khmer UI"/>
      <family val="2"/>
    </font>
    <font>
      <b/>
      <sz val="8"/>
      <name val="Khmer UI"/>
      <family val="2"/>
    </font>
    <font>
      <sz val="8"/>
      <color rgb="FF0000FF"/>
      <name val="Arial"/>
      <family val="2"/>
    </font>
    <font>
      <sz val="8"/>
      <color rgb="FFFF0000"/>
      <name val="Arial"/>
      <family val="2"/>
    </font>
    <font>
      <b/>
      <sz val="8"/>
      <color theme="1"/>
      <name val="Khmer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ck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10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4" fillId="0" borderId="0">
      <alignment vertical="center"/>
    </xf>
    <xf numFmtId="0" fontId="26" fillId="0" borderId="0">
      <alignment horizontal="left" vertical="top"/>
    </xf>
    <xf numFmtId="0" fontId="27" fillId="0" borderId="0">
      <alignment horizontal="left" vertical="top"/>
    </xf>
    <xf numFmtId="0" fontId="28" fillId="0" borderId="0">
      <alignment vertical="center"/>
    </xf>
    <xf numFmtId="43" fontId="24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9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9" fillId="0" borderId="0"/>
    <xf numFmtId="0" fontId="29" fillId="0" borderId="0"/>
    <xf numFmtId="0" fontId="19" fillId="0" borderId="0"/>
    <xf numFmtId="0" fontId="1" fillId="0" borderId="0"/>
    <xf numFmtId="0" fontId="31" fillId="8" borderId="0"/>
    <xf numFmtId="0" fontId="19" fillId="0" borderId="0"/>
    <xf numFmtId="167" fontId="1" fillId="0" borderId="0"/>
    <xf numFmtId="167" fontId="1" fillId="0" borderId="0"/>
    <xf numFmtId="167" fontId="1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32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center" vertical="top"/>
    </xf>
    <xf numFmtId="0" fontId="29" fillId="0" borderId="0">
      <alignment horizontal="center" vertical="top"/>
    </xf>
    <xf numFmtId="0" fontId="29" fillId="0" borderId="0">
      <alignment horizontal="left" vertical="top"/>
    </xf>
    <xf numFmtId="0" fontId="33" fillId="0" borderId="0">
      <alignment horizontal="left" vertical="top"/>
    </xf>
    <xf numFmtId="0" fontId="34" fillId="0" borderId="0">
      <alignment horizontal="left" vertical="top"/>
    </xf>
    <xf numFmtId="0" fontId="29" fillId="9" borderId="0">
      <alignment horizontal="center" vertical="top"/>
    </xf>
    <xf numFmtId="0" fontId="32" fillId="0" borderId="0">
      <alignment horizontal="left" vertical="top"/>
    </xf>
    <xf numFmtId="0" fontId="32" fillId="0" borderId="0">
      <alignment horizontal="left" vertical="top"/>
    </xf>
    <xf numFmtId="0" fontId="35" fillId="0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36" fillId="0" borderId="0">
      <alignment horizontal="left" vertical="top"/>
    </xf>
    <xf numFmtId="0" fontId="32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center" vertical="top"/>
    </xf>
    <xf numFmtId="0" fontId="29" fillId="0" borderId="0">
      <alignment horizontal="center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38" fillId="0" borderId="0">
      <alignment horizontal="left" vertical="top"/>
    </xf>
    <xf numFmtId="0" fontId="29" fillId="9" borderId="0">
      <alignment horizontal="center" vertical="top"/>
    </xf>
    <xf numFmtId="0" fontId="32" fillId="0" borderId="0">
      <alignment horizontal="left" vertical="top"/>
    </xf>
    <xf numFmtId="0" fontId="32" fillId="0" borderId="0">
      <alignment horizontal="left" vertical="top"/>
    </xf>
    <xf numFmtId="0" fontId="35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39" fillId="0" borderId="0">
      <alignment horizontal="left" vertical="top"/>
    </xf>
    <xf numFmtId="0" fontId="40" fillId="0" borderId="0">
      <alignment horizontal="left" vertical="top"/>
    </xf>
    <xf numFmtId="0" fontId="37" fillId="0" borderId="0">
      <alignment horizontal="left" vertical="top"/>
    </xf>
    <xf numFmtId="0" fontId="41" fillId="0" borderId="0">
      <alignment horizontal="left" vertical="top"/>
    </xf>
    <xf numFmtId="0" fontId="26" fillId="0" borderId="0">
      <alignment horizontal="left" vertical="top"/>
    </xf>
    <xf numFmtId="0" fontId="29" fillId="9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right" vertical="center"/>
    </xf>
    <xf numFmtId="0" fontId="32" fillId="0" borderId="0">
      <alignment horizontal="right" vertical="top"/>
    </xf>
    <xf numFmtId="0" fontId="32" fillId="0" borderId="0">
      <alignment horizontal="left" vertical="top"/>
    </xf>
    <xf numFmtId="167" fontId="26" fillId="0" borderId="0">
      <alignment horizontal="left" vertical="top"/>
    </xf>
    <xf numFmtId="0" fontId="41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6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right" vertical="top"/>
    </xf>
    <xf numFmtId="0" fontId="29" fillId="0" borderId="0">
      <alignment horizontal="left" vertical="top"/>
    </xf>
    <xf numFmtId="0" fontId="29" fillId="0" borderId="0">
      <alignment horizontal="right" vertical="top"/>
    </xf>
    <xf numFmtId="0" fontId="37" fillId="0" borderId="0">
      <alignment horizontal="right" vertical="top"/>
    </xf>
    <xf numFmtId="0" fontId="45" fillId="0" borderId="0">
      <alignment horizontal="left" vertical="top"/>
    </xf>
    <xf numFmtId="0" fontId="40" fillId="0" borderId="0">
      <alignment horizontal="left" vertical="top"/>
    </xf>
    <xf numFmtId="0" fontId="29" fillId="9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left" vertical="top"/>
    </xf>
    <xf numFmtId="0" fontId="42" fillId="0" borderId="0">
      <alignment horizontal="right" vertical="top"/>
    </xf>
    <xf numFmtId="0" fontId="32" fillId="0" borderId="0">
      <alignment horizontal="left" vertical="top"/>
    </xf>
    <xf numFmtId="0" fontId="40" fillId="0" borderId="0">
      <alignment horizontal="left" vertical="top"/>
    </xf>
    <xf numFmtId="0" fontId="32" fillId="0" borderId="0">
      <alignment horizontal="right" vertical="top"/>
    </xf>
    <xf numFmtId="0" fontId="40" fillId="0" borderId="0">
      <alignment horizontal="right" vertical="top"/>
    </xf>
    <xf numFmtId="167" fontId="32" fillId="0" borderId="0">
      <alignment horizontal="right" vertical="top"/>
    </xf>
    <xf numFmtId="0" fontId="29" fillId="9" borderId="0">
      <alignment horizontal="left" vertical="top"/>
    </xf>
    <xf numFmtId="0" fontId="29" fillId="0" borderId="0">
      <alignment horizontal="left" vertical="top"/>
    </xf>
    <xf numFmtId="0" fontId="26" fillId="0" borderId="0">
      <alignment horizontal="left" vertical="top"/>
    </xf>
    <xf numFmtId="0" fontId="29" fillId="0" borderId="0">
      <alignment horizontal="righ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37" fillId="0" borderId="0">
      <alignment horizontal="right" vertical="top"/>
    </xf>
    <xf numFmtId="0" fontId="43" fillId="0" borderId="0">
      <alignment horizontal="right" vertical="top"/>
    </xf>
    <xf numFmtId="0" fontId="41" fillId="0" borderId="0">
      <alignment horizontal="left" vertical="top"/>
    </xf>
    <xf numFmtId="0" fontId="46" fillId="0" borderId="0">
      <alignment horizontal="right" vertical="top"/>
    </xf>
    <xf numFmtId="0" fontId="40" fillId="0" borderId="0">
      <alignment horizontal="right" vertical="top"/>
    </xf>
    <xf numFmtId="0" fontId="26" fillId="0" borderId="0">
      <alignment horizontal="left" vertical="top"/>
    </xf>
    <xf numFmtId="167" fontId="32" fillId="0" borderId="0">
      <alignment horizontal="righ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right" vertical="top"/>
    </xf>
    <xf numFmtId="0" fontId="29" fillId="0" borderId="0">
      <alignment horizontal="right" vertical="top"/>
    </xf>
    <xf numFmtId="0" fontId="42" fillId="0" borderId="0">
      <alignment horizontal="right" vertical="top"/>
    </xf>
    <xf numFmtId="0" fontId="32" fillId="0" borderId="0">
      <alignment horizontal="right" vertical="top"/>
    </xf>
    <xf numFmtId="0" fontId="40" fillId="0" borderId="0">
      <alignment horizontal="right" vertical="top"/>
    </xf>
    <xf numFmtId="0" fontId="40" fillId="0" borderId="0">
      <alignment horizontal="left" vertical="top"/>
    </xf>
    <xf numFmtId="0" fontId="46" fillId="0" borderId="0">
      <alignment horizontal="right" vertical="top"/>
    </xf>
    <xf numFmtId="0" fontId="47" fillId="0" borderId="0">
      <alignment horizontal="left" vertical="center"/>
    </xf>
    <xf numFmtId="0" fontId="44" fillId="0" borderId="0">
      <alignment horizontal="left" vertical="center"/>
    </xf>
    <xf numFmtId="0" fontId="32" fillId="0" borderId="0">
      <alignment horizontal="left" vertical="top"/>
    </xf>
    <xf numFmtId="167" fontId="32" fillId="0" borderId="0">
      <alignment horizontal="left" vertical="top"/>
    </xf>
    <xf numFmtId="0" fontId="29" fillId="0" borderId="0">
      <alignment horizontal="left" vertical="top"/>
    </xf>
    <xf numFmtId="0" fontId="43" fillId="0" borderId="0">
      <alignment horizontal="left" vertical="top"/>
    </xf>
    <xf numFmtId="0" fontId="29" fillId="0" borderId="0">
      <alignment horizontal="left" vertical="top"/>
    </xf>
    <xf numFmtId="0" fontId="42" fillId="0" borderId="0">
      <alignment horizontal="right" vertical="top"/>
    </xf>
    <xf numFmtId="0" fontId="48" fillId="0" borderId="0">
      <alignment horizontal="left" vertical="top"/>
    </xf>
    <xf numFmtId="0" fontId="32" fillId="0" borderId="0">
      <alignment horizontal="right" vertical="top"/>
    </xf>
    <xf numFmtId="0" fontId="47" fillId="0" borderId="0">
      <alignment horizontal="left" vertical="center"/>
    </xf>
    <xf numFmtId="0" fontId="26" fillId="0" borderId="0">
      <alignment horizontal="left" vertical="top"/>
    </xf>
    <xf numFmtId="0" fontId="40" fillId="0" borderId="0">
      <alignment horizontal="right" vertical="top"/>
    </xf>
    <xf numFmtId="0" fontId="43" fillId="0" borderId="0">
      <alignment horizontal="right" vertical="top"/>
    </xf>
    <xf numFmtId="0" fontId="46" fillId="0" borderId="0">
      <alignment horizontal="left" vertical="top"/>
    </xf>
    <xf numFmtId="0" fontId="32" fillId="0" borderId="0">
      <alignment horizontal="left" vertical="top"/>
    </xf>
    <xf numFmtId="167" fontId="26" fillId="0" borderId="0">
      <alignment horizontal="left" vertical="top"/>
    </xf>
    <xf numFmtId="0" fontId="49" fillId="0" borderId="0">
      <alignment horizontal="left" vertical="top"/>
    </xf>
    <xf numFmtId="0" fontId="29" fillId="0" borderId="0">
      <alignment horizontal="left" vertical="top"/>
    </xf>
    <xf numFmtId="0" fontId="32" fillId="0" borderId="0">
      <alignment horizontal="left" vertical="top"/>
    </xf>
    <xf numFmtId="0" fontId="32" fillId="0" borderId="0">
      <alignment horizontal="left" vertical="top"/>
    </xf>
    <xf numFmtId="0" fontId="35" fillId="0" borderId="0">
      <alignment horizontal="left" vertical="top"/>
    </xf>
    <xf numFmtId="0" fontId="44" fillId="0" borderId="0">
      <alignment horizontal="center" vertical="center"/>
    </xf>
    <xf numFmtId="0" fontId="26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left" vertical="center"/>
    </xf>
    <xf numFmtId="0" fontId="45" fillId="0" borderId="0">
      <alignment horizontal="left" vertical="top"/>
    </xf>
    <xf numFmtId="0" fontId="50" fillId="0" borderId="0">
      <alignment horizontal="right" vertical="top"/>
    </xf>
    <xf numFmtId="0" fontId="32" fillId="0" borderId="0">
      <alignment horizontal="right" vertical="top"/>
    </xf>
    <xf numFmtId="0" fontId="50" fillId="0" borderId="0">
      <alignment horizontal="right" vertical="top"/>
    </xf>
    <xf numFmtId="0" fontId="26" fillId="0" borderId="0">
      <alignment horizontal="left" vertical="top"/>
    </xf>
    <xf numFmtId="0" fontId="50" fillId="0" borderId="0">
      <alignment horizontal="left" vertical="top"/>
    </xf>
    <xf numFmtId="0" fontId="32" fillId="0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center" vertical="center"/>
    </xf>
    <xf numFmtId="167" fontId="32" fillId="0" borderId="0">
      <alignment horizontal="left" vertical="top"/>
    </xf>
    <xf numFmtId="0" fontId="46" fillId="0" borderId="0">
      <alignment horizontal="left" vertical="top"/>
    </xf>
    <xf numFmtId="0" fontId="50" fillId="0" borderId="0">
      <alignment horizontal="left" vertical="top"/>
    </xf>
    <xf numFmtId="0" fontId="32" fillId="0" borderId="0">
      <alignment horizontal="left" vertical="top"/>
    </xf>
    <xf numFmtId="0" fontId="50" fillId="0" borderId="0">
      <alignment horizontal="left" vertical="top"/>
    </xf>
    <xf numFmtId="0" fontId="50" fillId="0" borderId="0">
      <alignment horizontal="right" vertical="top"/>
    </xf>
    <xf numFmtId="0" fontId="26" fillId="0" borderId="0">
      <alignment horizontal="left" vertical="top"/>
    </xf>
    <xf numFmtId="167" fontId="26" fillId="0" borderId="0">
      <alignment horizontal="left" vertical="top"/>
    </xf>
    <xf numFmtId="0" fontId="45" fillId="0" borderId="0">
      <alignment horizontal="left" vertical="top"/>
    </xf>
    <xf numFmtId="0" fontId="43" fillId="0" borderId="0">
      <alignment horizontal="left" vertical="top"/>
    </xf>
    <xf numFmtId="0" fontId="41" fillId="0" borderId="0">
      <alignment horizontal="left" vertical="top"/>
    </xf>
    <xf numFmtId="0" fontId="43" fillId="0" borderId="0">
      <alignment horizontal="right" vertical="top"/>
    </xf>
    <xf numFmtId="167" fontId="43" fillId="0" borderId="0">
      <alignment horizontal="right" vertical="top"/>
    </xf>
    <xf numFmtId="0" fontId="51" fillId="0" borderId="0">
      <alignment horizontal="right" vertical="top"/>
    </xf>
    <xf numFmtId="0" fontId="49" fillId="0" borderId="0">
      <alignment horizontal="left" vertical="top"/>
    </xf>
    <xf numFmtId="0" fontId="43" fillId="0" borderId="0">
      <alignment horizontal="left" vertical="top"/>
    </xf>
    <xf numFmtId="0" fontId="32" fillId="0" borderId="0">
      <alignment horizontal="left" vertical="top"/>
    </xf>
    <xf numFmtId="167" fontId="43" fillId="0" borderId="0">
      <alignment horizontal="left" vertical="top"/>
    </xf>
    <xf numFmtId="0" fontId="51" fillId="0" borderId="0">
      <alignment horizontal="left" vertical="top"/>
    </xf>
    <xf numFmtId="0" fontId="32" fillId="0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center" vertical="top"/>
    </xf>
    <xf numFmtId="0" fontId="29" fillId="0" borderId="0">
      <alignment horizontal="center" vertical="top"/>
    </xf>
    <xf numFmtId="0" fontId="29" fillId="0" borderId="0">
      <alignment horizontal="left" vertical="top"/>
    </xf>
    <xf numFmtId="0" fontId="52" fillId="0" borderId="0">
      <alignment horizontal="left" vertical="top"/>
    </xf>
    <xf numFmtId="0" fontId="53" fillId="0" borderId="0">
      <alignment horizontal="left" vertical="top"/>
    </xf>
    <xf numFmtId="0" fontId="29" fillId="9" borderId="0">
      <alignment horizontal="center" vertical="top"/>
    </xf>
    <xf numFmtId="0" fontId="32" fillId="0" borderId="0">
      <alignment horizontal="right" vertical="top"/>
    </xf>
    <xf numFmtId="0" fontId="32" fillId="0" borderId="0">
      <alignment horizontal="right" vertical="top"/>
    </xf>
    <xf numFmtId="0" fontId="35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54" fillId="0" borderId="0">
      <alignment horizontal="left" vertical="top"/>
    </xf>
    <xf numFmtId="0" fontId="55" fillId="0" borderId="0">
      <alignment horizontal="center" vertical="top"/>
    </xf>
    <xf numFmtId="0" fontId="56" fillId="0" borderId="0">
      <alignment horizontal="left" vertical="top"/>
    </xf>
    <xf numFmtId="167" fontId="57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57" fillId="0" borderId="0">
      <alignment horizontal="left" vertical="top"/>
    </xf>
    <xf numFmtId="0" fontId="29" fillId="9" borderId="0">
      <alignment horizontal="left" vertical="top"/>
    </xf>
    <xf numFmtId="0" fontId="56" fillId="0" borderId="0">
      <alignment horizontal="center" vertical="top"/>
    </xf>
    <xf numFmtId="0" fontId="58" fillId="0" borderId="0">
      <alignment horizontal="left" vertical="top"/>
    </xf>
    <xf numFmtId="0" fontId="59" fillId="0" borderId="0">
      <alignment horizontal="center" vertical="top"/>
    </xf>
    <xf numFmtId="0" fontId="29" fillId="9" borderId="0">
      <alignment horizontal="left" vertical="top"/>
    </xf>
    <xf numFmtId="0" fontId="49" fillId="0" borderId="0">
      <alignment horizontal="left" vertical="top"/>
    </xf>
    <xf numFmtId="0" fontId="29" fillId="9" borderId="0">
      <alignment horizontal="left" vertical="top"/>
    </xf>
    <xf numFmtId="0" fontId="38" fillId="0" borderId="0">
      <alignment horizontal="center" vertical="top"/>
    </xf>
    <xf numFmtId="0" fontId="59" fillId="0" borderId="0">
      <alignment horizontal="center" vertical="top"/>
    </xf>
    <xf numFmtId="0" fontId="26" fillId="0" borderId="0">
      <alignment horizontal="right" vertical="top"/>
    </xf>
    <xf numFmtId="0" fontId="29" fillId="9" borderId="0">
      <alignment horizontal="left" vertical="top"/>
    </xf>
    <xf numFmtId="0" fontId="38" fillId="0" borderId="0">
      <alignment horizontal="left" vertical="top"/>
    </xf>
    <xf numFmtId="167" fontId="26" fillId="0" borderId="0">
      <alignment horizontal="right" vertical="top"/>
    </xf>
    <xf numFmtId="0" fontId="26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0" borderId="0">
      <alignment horizontal="lef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26" fillId="0" borderId="0">
      <alignment horizontal="left" vertical="top"/>
    </xf>
    <xf numFmtId="0" fontId="26" fillId="0" borderId="0">
      <alignment horizontal="left" vertical="top"/>
    </xf>
    <xf numFmtId="0" fontId="45" fillId="0" borderId="0">
      <alignment horizontal="right" vertical="top"/>
    </xf>
    <xf numFmtId="0" fontId="26" fillId="9" borderId="0">
      <alignment horizontal="left" vertical="top"/>
    </xf>
    <xf numFmtId="0" fontId="29" fillId="9" borderId="0">
      <alignment horizontal="left" vertical="top"/>
    </xf>
    <xf numFmtId="0" fontId="53" fillId="0" borderId="0">
      <alignment horizontal="center" vertical="top"/>
    </xf>
    <xf numFmtId="0" fontId="26" fillId="9" borderId="0">
      <alignment horizontal="left" vertical="top"/>
    </xf>
    <xf numFmtId="0" fontId="32" fillId="0" borderId="0">
      <alignment horizontal="right" vertical="top"/>
    </xf>
    <xf numFmtId="167" fontId="26" fillId="0" borderId="0">
      <alignment horizontal="left" vertical="top"/>
    </xf>
    <xf numFmtId="0" fontId="26" fillId="0" borderId="0">
      <alignment horizontal="left" vertical="top"/>
    </xf>
    <xf numFmtId="0" fontId="60" fillId="0" borderId="0">
      <alignment horizontal="center" vertical="top"/>
    </xf>
    <xf numFmtId="0" fontId="29" fillId="9" borderId="0">
      <alignment horizontal="left" vertical="top"/>
    </xf>
    <xf numFmtId="0" fontId="29" fillId="9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1" fillId="0" borderId="0">
      <alignment horizontal="left" vertical="top"/>
    </xf>
    <xf numFmtId="0" fontId="26" fillId="0" borderId="0">
      <alignment horizontal="left" vertical="top"/>
    </xf>
    <xf numFmtId="0" fontId="45" fillId="0" borderId="0">
      <alignment horizontal="left" vertical="top"/>
    </xf>
    <xf numFmtId="0" fontId="50" fillId="0" borderId="0">
      <alignment horizontal="left" vertical="center"/>
    </xf>
    <xf numFmtId="0" fontId="37" fillId="0" borderId="0">
      <alignment horizontal="right" vertical="top"/>
    </xf>
    <xf numFmtId="0" fontId="1" fillId="0" borderId="0">
      <alignment horizontal="right" vertical="top"/>
    </xf>
    <xf numFmtId="0" fontId="26" fillId="0" borderId="0">
      <alignment horizontal="right" vertical="top"/>
    </xf>
    <xf numFmtId="0" fontId="26" fillId="0" borderId="0">
      <alignment horizontal="left" vertical="top"/>
    </xf>
    <xf numFmtId="0" fontId="29" fillId="9" borderId="0">
      <alignment horizontal="right" vertical="top"/>
    </xf>
    <xf numFmtId="0" fontId="43" fillId="0" borderId="0">
      <alignment horizontal="left" vertical="top"/>
    </xf>
    <xf numFmtId="0" fontId="43" fillId="0" borderId="0">
      <alignment horizontal="center" vertical="center"/>
    </xf>
    <xf numFmtId="0" fontId="50" fillId="0" borderId="0">
      <alignment horizontal="left" vertical="center"/>
    </xf>
    <xf numFmtId="0" fontId="61" fillId="0" borderId="0">
      <alignment horizontal="center" vertical="top"/>
    </xf>
    <xf numFmtId="167" fontId="26" fillId="0" borderId="0">
      <alignment horizontal="left" vertical="top"/>
    </xf>
    <xf numFmtId="0" fontId="26" fillId="0" borderId="0">
      <alignment horizontal="right" vertical="top"/>
    </xf>
    <xf numFmtId="0" fontId="29" fillId="9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right" vertical="top"/>
    </xf>
    <xf numFmtId="0" fontId="29" fillId="9" borderId="0">
      <alignment horizontal="right" vertical="top"/>
    </xf>
    <xf numFmtId="0" fontId="29" fillId="9" borderId="0">
      <alignment horizontal="right" vertical="top"/>
    </xf>
    <xf numFmtId="0" fontId="29" fillId="0" borderId="0">
      <alignment horizontal="left" vertical="top"/>
    </xf>
    <xf numFmtId="0" fontId="29" fillId="0" borderId="0">
      <alignment horizontal="right" vertical="top"/>
    </xf>
    <xf numFmtId="0" fontId="45" fillId="0" borderId="0">
      <alignment horizontal="left" vertical="top"/>
    </xf>
    <xf numFmtId="0" fontId="50" fillId="0" borderId="0">
      <alignment horizontal="left" vertical="center"/>
    </xf>
    <xf numFmtId="0" fontId="26" fillId="0" borderId="0">
      <alignment horizontal="left" vertical="top"/>
    </xf>
    <xf numFmtId="0" fontId="26" fillId="0" borderId="0">
      <alignment horizontal="left" vertical="top"/>
    </xf>
    <xf numFmtId="0" fontId="26" fillId="0" borderId="0">
      <alignment horizontal="right" vertical="top"/>
    </xf>
    <xf numFmtId="0" fontId="29" fillId="9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left" vertical="center"/>
    </xf>
    <xf numFmtId="0" fontId="50" fillId="0" borderId="0">
      <alignment horizontal="left" vertical="center"/>
    </xf>
    <xf numFmtId="0" fontId="62" fillId="0" borderId="0">
      <alignment horizontal="left" vertical="top"/>
    </xf>
    <xf numFmtId="167" fontId="26" fillId="0" borderId="0">
      <alignment horizontal="right" vertical="top"/>
    </xf>
    <xf numFmtId="0" fontId="26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0" borderId="0">
      <alignment horizontal="righ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45" fillId="0" borderId="0">
      <alignment horizontal="right" vertical="top"/>
    </xf>
    <xf numFmtId="0" fontId="50" fillId="0" borderId="0">
      <alignment horizontal="right" vertical="center"/>
    </xf>
    <xf numFmtId="0" fontId="44" fillId="0" borderId="0">
      <alignment horizontal="left" vertical="center"/>
    </xf>
    <xf numFmtId="0" fontId="50" fillId="0" borderId="0">
      <alignment horizontal="right" vertical="center"/>
    </xf>
    <xf numFmtId="0" fontId="50" fillId="0" borderId="0">
      <alignment horizontal="left" vertical="top"/>
    </xf>
    <xf numFmtId="0" fontId="44" fillId="0" borderId="0">
      <alignment horizontal="right" vertical="center"/>
    </xf>
    <xf numFmtId="167" fontId="26" fillId="0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9" fillId="9" borderId="0">
      <alignment horizontal="left" vertical="top"/>
    </xf>
    <xf numFmtId="0" fontId="26" fillId="0" borderId="0">
      <alignment horizontal="righ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29" fillId="9" borderId="0">
      <alignment horizontal="left" vertical="top"/>
    </xf>
    <xf numFmtId="0" fontId="43" fillId="0" borderId="0">
      <alignment horizontal="right" vertical="top"/>
    </xf>
    <xf numFmtId="0" fontId="45" fillId="0" borderId="0">
      <alignment horizontal="left" vertical="top"/>
    </xf>
    <xf numFmtId="0" fontId="40" fillId="0" borderId="0">
      <alignment horizontal="left" vertical="top"/>
    </xf>
    <xf numFmtId="0" fontId="26" fillId="0" borderId="0">
      <alignment horizontal="left" vertical="top"/>
    </xf>
    <xf numFmtId="0" fontId="29" fillId="9" borderId="0">
      <alignment horizontal="right" vertical="top"/>
    </xf>
    <xf numFmtId="0" fontId="42" fillId="0" borderId="0">
      <alignment horizontal="left" vertical="top"/>
    </xf>
    <xf numFmtId="0" fontId="32" fillId="0" borderId="0">
      <alignment horizontal="left" vertical="top"/>
    </xf>
    <xf numFmtId="0" fontId="44" fillId="0" borderId="0">
      <alignment horizontal="center" vertical="center"/>
    </xf>
    <xf numFmtId="0" fontId="40" fillId="0" borderId="0">
      <alignment horizontal="left" vertical="top"/>
    </xf>
    <xf numFmtId="0" fontId="50" fillId="0" borderId="0">
      <alignment horizontal="right" vertical="top"/>
    </xf>
    <xf numFmtId="0" fontId="26" fillId="0" borderId="0">
      <alignment horizontal="right" vertical="top"/>
    </xf>
    <xf numFmtId="167" fontId="32" fillId="0" borderId="0">
      <alignment horizontal="left" vertical="top"/>
    </xf>
    <xf numFmtId="0" fontId="29" fillId="9" borderId="0">
      <alignment horizontal="right" vertical="top"/>
    </xf>
    <xf numFmtId="0" fontId="29" fillId="9" borderId="0">
      <alignment horizontal="left" vertical="top"/>
    </xf>
    <xf numFmtId="0" fontId="29" fillId="9" borderId="0">
      <alignment horizontal="right" vertical="top"/>
    </xf>
    <xf numFmtId="0" fontId="29" fillId="9" borderId="0">
      <alignment horizontal="right" vertical="top"/>
    </xf>
    <xf numFmtId="0" fontId="29" fillId="9" borderId="0">
      <alignment horizontal="right" vertical="top"/>
    </xf>
    <xf numFmtId="0" fontId="29" fillId="9" borderId="0">
      <alignment horizontal="left" vertical="top"/>
    </xf>
    <xf numFmtId="0" fontId="29" fillId="0" borderId="0">
      <alignment horizontal="left" vertical="top"/>
    </xf>
    <xf numFmtId="0" fontId="37" fillId="0" borderId="0">
      <alignment horizontal="left" vertical="top"/>
    </xf>
    <xf numFmtId="0" fontId="46" fillId="0" borderId="0">
      <alignment horizontal="left" vertical="top"/>
    </xf>
    <xf numFmtId="0" fontId="65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</cellStyleXfs>
  <cellXfs count="396">
    <xf numFmtId="0" fontId="0" fillId="0" borderId="0" xfId="0"/>
    <xf numFmtId="0" fontId="5" fillId="0" borderId="10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17" fontId="6" fillId="0" borderId="10" xfId="0" applyNumberFormat="1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17" fontId="7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1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1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1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9" fontId="2" fillId="0" borderId="15" xfId="0" applyNumberFormat="1" applyFont="1" applyBorder="1" applyAlignment="1">
      <alignment horizontal="center"/>
    </xf>
    <xf numFmtId="0" fontId="2" fillId="0" borderId="15" xfId="0" applyFont="1" applyBorder="1" applyAlignment="1">
      <alignment horizontal="right"/>
    </xf>
    <xf numFmtId="0" fontId="2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2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18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23" fillId="0" borderId="0" xfId="0" applyFont="1"/>
    <xf numFmtId="0" fontId="24" fillId="0" borderId="0" xfId="5">
      <alignment vertical="center"/>
    </xf>
    <xf numFmtId="0" fontId="25" fillId="7" borderId="10" xfId="0" applyFont="1" applyFill="1" applyBorder="1" applyAlignment="1">
      <alignment horizontal="center" vertical="center" wrapText="1"/>
    </xf>
    <xf numFmtId="0" fontId="0" fillId="0" borderId="0" xfId="0" applyNumberFormat="1"/>
    <xf numFmtId="0" fontId="16" fillId="0" borderId="0" xfId="0" applyFont="1"/>
    <xf numFmtId="0" fontId="16" fillId="0" borderId="0" xfId="0" applyNumberFormat="1" applyFont="1"/>
    <xf numFmtId="167" fontId="63" fillId="12" borderId="28" xfId="2" applyNumberFormat="1" applyFont="1" applyFill="1" applyBorder="1" applyAlignment="1">
      <alignment horizontal="center" vertical="center"/>
    </xf>
    <xf numFmtId="0" fontId="63" fillId="5" borderId="28" xfId="0" applyFont="1" applyFill="1" applyBorder="1" applyAlignment="1">
      <alignment horizontal="center" vertical="center"/>
    </xf>
    <xf numFmtId="167" fontId="63" fillId="13" borderId="28" xfId="2" applyNumberFormat="1" applyFont="1" applyFill="1" applyBorder="1" applyAlignment="1">
      <alignment horizontal="center" vertical="center"/>
    </xf>
    <xf numFmtId="0" fontId="63" fillId="13" borderId="29" xfId="2" applyNumberFormat="1" applyFont="1" applyFill="1" applyBorder="1" applyAlignment="1">
      <alignment horizontal="center" vertical="center"/>
    </xf>
    <xf numFmtId="0" fontId="63" fillId="13" borderId="28" xfId="2" applyNumberFormat="1" applyFont="1" applyFill="1" applyBorder="1" applyAlignment="1">
      <alignment horizontal="center" vertical="center"/>
    </xf>
    <xf numFmtId="0" fontId="63" fillId="12" borderId="28" xfId="0" applyFont="1" applyFill="1" applyBorder="1" applyAlignment="1">
      <alignment horizontal="center" vertical="center"/>
    </xf>
    <xf numFmtId="0" fontId="63" fillId="12" borderId="23" xfId="2" applyNumberFormat="1" applyFont="1" applyFill="1" applyBorder="1" applyAlignment="1">
      <alignment horizontal="center" vertical="center"/>
    </xf>
    <xf numFmtId="0" fontId="63" fillId="12" borderId="28" xfId="2" applyNumberFormat="1" applyFont="1" applyFill="1" applyBorder="1" applyAlignment="1">
      <alignment horizontal="center" vertical="center"/>
    </xf>
    <xf numFmtId="0" fontId="63" fillId="13" borderId="28" xfId="0" applyFont="1" applyFill="1" applyBorder="1" applyAlignment="1">
      <alignment horizontal="center" vertical="center"/>
    </xf>
    <xf numFmtId="0" fontId="63" fillId="13" borderId="23" xfId="2" applyNumberFormat="1" applyFont="1" applyFill="1" applyBorder="1" applyAlignment="1">
      <alignment horizontal="center" vertical="center"/>
    </xf>
    <xf numFmtId="0" fontId="63" fillId="12" borderId="28" xfId="3" applyNumberFormat="1" applyFont="1" applyFill="1" applyBorder="1" applyAlignment="1">
      <alignment horizontal="center" vertical="center"/>
    </xf>
    <xf numFmtId="0" fontId="63" fillId="13" borderId="28" xfId="3" applyNumberFormat="1" applyFont="1" applyFill="1" applyBorder="1" applyAlignment="1">
      <alignment horizontal="center" vertical="center"/>
    </xf>
    <xf numFmtId="0" fontId="64" fillId="6" borderId="28" xfId="0" applyFont="1" applyFill="1" applyBorder="1" applyAlignment="1">
      <alignment horizontal="center" vertical="center"/>
    </xf>
    <xf numFmtId="167" fontId="64" fillId="6" borderId="28" xfId="2" applyNumberFormat="1" applyFont="1" applyFill="1" applyBorder="1" applyAlignment="1">
      <alignment horizontal="center" vertical="center"/>
    </xf>
    <xf numFmtId="0" fontId="64" fillId="6" borderId="27" xfId="2" applyNumberFormat="1" applyFont="1" applyFill="1" applyBorder="1" applyAlignment="1">
      <alignment horizontal="center" vertical="center"/>
    </xf>
    <xf numFmtId="164" fontId="64" fillId="6" borderId="28" xfId="3" applyFont="1" applyFill="1" applyBorder="1" applyAlignment="1">
      <alignment horizontal="center" vertical="center"/>
    </xf>
    <xf numFmtId="0" fontId="24" fillId="0" borderId="0" xfId="5" applyAlignment="1">
      <alignment horizontal="center" vertical="center"/>
    </xf>
    <xf numFmtId="0" fontId="24" fillId="0" borderId="0" xfId="5" applyNumberFormat="1" applyAlignment="1">
      <alignment horizontal="center" vertical="center"/>
    </xf>
    <xf numFmtId="0" fontId="23" fillId="0" borderId="0" xfId="5" applyFont="1">
      <alignment vertical="center"/>
    </xf>
    <xf numFmtId="16" fontId="23" fillId="0" borderId="0" xfId="5" applyNumberFormat="1" applyFont="1">
      <alignment vertical="center"/>
    </xf>
    <xf numFmtId="0" fontId="23" fillId="0" borderId="0" xfId="5" applyNumberFormat="1" applyFont="1">
      <alignment vertical="center"/>
    </xf>
    <xf numFmtId="167" fontId="23" fillId="0" borderId="0" xfId="5" applyNumberFormat="1" applyFont="1">
      <alignment vertical="center"/>
    </xf>
    <xf numFmtId="0" fontId="70" fillId="0" borderId="0" xfId="0" applyFont="1"/>
    <xf numFmtId="0" fontId="63" fillId="12" borderId="26" xfId="0" applyFont="1" applyFill="1" applyBorder="1" applyAlignment="1">
      <alignment horizontal="center" vertical="center" wrapText="1"/>
    </xf>
    <xf numFmtId="0" fontId="63" fillId="12" borderId="28" xfId="0" applyFont="1" applyFill="1" applyBorder="1" applyAlignment="1">
      <alignment horizontal="center" vertical="center" wrapText="1"/>
    </xf>
    <xf numFmtId="0" fontId="63" fillId="12" borderId="28" xfId="0" applyNumberFormat="1" applyFont="1" applyFill="1" applyBorder="1" applyAlignment="1">
      <alignment horizontal="center" vertical="center" wrapText="1"/>
    </xf>
    <xf numFmtId="0" fontId="72" fillId="10" borderId="34" xfId="0" applyFont="1" applyFill="1" applyBorder="1" applyAlignment="1">
      <alignment horizontal="center" vertical="center"/>
    </xf>
    <xf numFmtId="0" fontId="72" fillId="10" borderId="34" xfId="0" applyFont="1" applyFill="1" applyBorder="1" applyAlignment="1">
      <alignment horizontal="center" vertical="center" wrapText="1"/>
    </xf>
    <xf numFmtId="0" fontId="73" fillId="0" borderId="0" xfId="0" applyFont="1" applyAlignment="1">
      <alignment horizontal="center"/>
    </xf>
    <xf numFmtId="0" fontId="69" fillId="0" borderId="28" xfId="0" applyFont="1" applyFill="1" applyBorder="1" applyAlignment="1">
      <alignment horizontal="center" vertical="center"/>
    </xf>
    <xf numFmtId="0" fontId="69" fillId="0" borderId="28" xfId="0" applyFont="1" applyFill="1" applyBorder="1" applyAlignment="1">
      <alignment vertical="center"/>
    </xf>
    <xf numFmtId="169" fontId="69" fillId="0" borderId="28" xfId="0" applyNumberFormat="1" applyFont="1" applyFill="1" applyBorder="1" applyAlignment="1">
      <alignment horizontal="center" vertical="center"/>
    </xf>
    <xf numFmtId="0" fontId="69" fillId="0" borderId="28" xfId="2" applyNumberFormat="1" applyFont="1" applyFill="1" applyBorder="1" applyAlignment="1">
      <alignment horizontal="center" vertical="center"/>
    </xf>
    <xf numFmtId="167" fontId="69" fillId="0" borderId="28" xfId="2" applyNumberFormat="1" applyFont="1" applyFill="1" applyBorder="1" applyAlignment="1">
      <alignment horizontal="left" vertical="center" indent="1"/>
    </xf>
    <xf numFmtId="0" fontId="69" fillId="0" borderId="28" xfId="0" applyNumberFormat="1" applyFont="1" applyFill="1" applyBorder="1" applyAlignment="1">
      <alignment horizontal="center" vertical="center"/>
    </xf>
    <xf numFmtId="167" fontId="69" fillId="0" borderId="28" xfId="2" applyNumberFormat="1" applyFont="1" applyFill="1" applyBorder="1" applyAlignment="1">
      <alignment horizontal="left" vertical="center"/>
    </xf>
    <xf numFmtId="0" fontId="63" fillId="0" borderId="28" xfId="0" applyFont="1" applyFill="1" applyBorder="1" applyAlignment="1">
      <alignment horizontal="center" vertical="center"/>
    </xf>
    <xf numFmtId="0" fontId="63" fillId="0" borderId="28" xfId="0" applyFont="1" applyFill="1" applyBorder="1" applyAlignment="1">
      <alignment vertical="center"/>
    </xf>
    <xf numFmtId="167" fontId="74" fillId="0" borderId="28" xfId="0" applyNumberFormat="1" applyFont="1" applyFill="1" applyBorder="1" applyAlignment="1">
      <alignment horizontal="center" vertical="center"/>
    </xf>
    <xf numFmtId="0" fontId="74" fillId="0" borderId="28" xfId="2" applyNumberFormat="1" applyFont="1" applyFill="1" applyBorder="1" applyAlignment="1">
      <alignment horizontal="center" vertical="center"/>
    </xf>
    <xf numFmtId="167" fontId="69" fillId="0" borderId="28" xfId="0" applyNumberFormat="1" applyFont="1" applyFill="1" applyBorder="1" applyAlignment="1">
      <alignment horizontal="center" vertical="center"/>
    </xf>
    <xf numFmtId="0" fontId="63" fillId="0" borderId="28" xfId="0" applyFont="1" applyFill="1" applyBorder="1" applyAlignment="1">
      <alignment horizontal="left" vertical="center"/>
    </xf>
    <xf numFmtId="167" fontId="75" fillId="0" borderId="28" xfId="2" applyNumberFormat="1" applyFont="1" applyFill="1" applyBorder="1" applyAlignment="1">
      <alignment horizontal="left" vertical="center" indent="1"/>
    </xf>
    <xf numFmtId="167" fontId="75" fillId="0" borderId="28" xfId="2" applyNumberFormat="1" applyFont="1" applyFill="1" applyBorder="1" applyAlignment="1">
      <alignment horizontal="left" vertical="center"/>
    </xf>
    <xf numFmtId="167" fontId="75" fillId="0" borderId="28" xfId="0" applyNumberFormat="1" applyFont="1" applyFill="1" applyBorder="1" applyAlignment="1">
      <alignment horizontal="center" vertical="center"/>
    </xf>
    <xf numFmtId="167" fontId="75" fillId="0" borderId="28" xfId="2" applyNumberFormat="1" applyFont="1" applyFill="1" applyBorder="1" applyAlignment="1">
      <alignment horizontal="center" vertical="center"/>
    </xf>
    <xf numFmtId="0" fontId="75" fillId="0" borderId="28" xfId="2" applyNumberFormat="1" applyFont="1" applyFill="1" applyBorder="1" applyAlignment="1">
      <alignment horizontal="center" vertical="center"/>
    </xf>
    <xf numFmtId="0" fontId="63" fillId="0" borderId="28" xfId="0" applyNumberFormat="1" applyFont="1" applyFill="1" applyBorder="1" applyAlignment="1">
      <alignment horizontal="center" vertical="center"/>
    </xf>
    <xf numFmtId="0" fontId="63" fillId="0" borderId="22" xfId="0" applyFont="1" applyFill="1" applyBorder="1" applyAlignment="1">
      <alignment horizontal="center" vertical="center"/>
    </xf>
    <xf numFmtId="0" fontId="63" fillId="0" borderId="22" xfId="0" applyFont="1" applyFill="1" applyBorder="1" applyAlignment="1">
      <alignment horizontal="left" vertical="center"/>
    </xf>
    <xf numFmtId="167" fontId="75" fillId="0" borderId="22" xfId="0" applyNumberFormat="1" applyFont="1" applyFill="1" applyBorder="1" applyAlignment="1">
      <alignment horizontal="center" vertical="center"/>
    </xf>
    <xf numFmtId="167" fontId="75" fillId="0" borderId="22" xfId="2" applyNumberFormat="1" applyFont="1" applyFill="1" applyBorder="1" applyAlignment="1">
      <alignment horizontal="center" vertical="center"/>
    </xf>
    <xf numFmtId="0" fontId="75" fillId="0" borderId="22" xfId="2" applyNumberFormat="1" applyFont="1" applyFill="1" applyBorder="1" applyAlignment="1">
      <alignment horizontal="center" vertical="center"/>
    </xf>
    <xf numFmtId="167" fontId="75" fillId="0" borderId="22" xfId="2" applyNumberFormat="1" applyFont="1" applyFill="1" applyBorder="1" applyAlignment="1">
      <alignment horizontal="left" vertical="center"/>
    </xf>
    <xf numFmtId="167" fontId="64" fillId="0" borderId="28" xfId="0" applyNumberFormat="1" applyFont="1" applyFill="1" applyBorder="1" applyAlignment="1">
      <alignment horizontal="center" vertical="center"/>
    </xf>
    <xf numFmtId="43" fontId="64" fillId="0" borderId="28" xfId="2" applyFont="1" applyFill="1" applyBorder="1" applyAlignment="1">
      <alignment horizontal="left" vertical="center" indent="1"/>
    </xf>
    <xf numFmtId="1" fontId="64" fillId="0" borderId="28" xfId="2" applyNumberFormat="1" applyFont="1" applyFill="1" applyBorder="1" applyAlignment="1">
      <alignment horizontal="center" vertical="center"/>
    </xf>
    <xf numFmtId="167" fontId="0" fillId="0" borderId="0" xfId="0" applyNumberFormat="1" applyFill="1"/>
    <xf numFmtId="167" fontId="0" fillId="0" borderId="0" xfId="0" applyNumberFormat="1"/>
    <xf numFmtId="0" fontId="69" fillId="0" borderId="28" xfId="0" applyFont="1" applyFill="1" applyBorder="1" applyAlignment="1">
      <alignment horizontal="left" vertical="center"/>
    </xf>
    <xf numFmtId="0" fontId="69" fillId="0" borderId="28" xfId="2" applyNumberFormat="1" applyFont="1" applyFill="1" applyBorder="1" applyAlignment="1">
      <alignment horizontal="left" vertical="center" indent="1"/>
    </xf>
    <xf numFmtId="0" fontId="69" fillId="0" borderId="28" xfId="2" applyNumberFormat="1" applyFont="1" applyFill="1" applyBorder="1" applyAlignment="1">
      <alignment horizontal="left" vertical="center"/>
    </xf>
    <xf numFmtId="0" fontId="9" fillId="0" borderId="0" xfId="0" applyFont="1"/>
    <xf numFmtId="0" fontId="76" fillId="0" borderId="0" xfId="5" applyFont="1">
      <alignment vertical="center"/>
    </xf>
    <xf numFmtId="0" fontId="70" fillId="0" borderId="0" xfId="0" applyFont="1" applyAlignment="1">
      <alignment vertical="center"/>
    </xf>
    <xf numFmtId="0" fontId="70" fillId="0" borderId="0" xfId="0" applyFont="1" applyFill="1"/>
    <xf numFmtId="0" fontId="76" fillId="0" borderId="30" xfId="5" applyFont="1" applyBorder="1">
      <alignment vertical="center"/>
    </xf>
    <xf numFmtId="0" fontId="76" fillId="0" borderId="30" xfId="5" applyFont="1" applyBorder="1" applyAlignment="1">
      <alignment horizontal="center" vertical="center"/>
    </xf>
    <xf numFmtId="0" fontId="24" fillId="0" borderId="0" xfId="5" applyAlignment="1">
      <alignment horizontal="left" vertical="center"/>
    </xf>
    <xf numFmtId="0" fontId="20" fillId="14" borderId="30" xfId="5" applyFont="1" applyFill="1" applyBorder="1">
      <alignment vertical="center"/>
    </xf>
    <xf numFmtId="0" fontId="20" fillId="14" borderId="30" xfId="5" applyNumberFormat="1" applyFont="1" applyFill="1" applyBorder="1">
      <alignment vertical="center"/>
    </xf>
    <xf numFmtId="167" fontId="76" fillId="0" borderId="30" xfId="5" applyNumberFormat="1" applyFont="1" applyBorder="1">
      <alignment vertical="center"/>
    </xf>
    <xf numFmtId="167" fontId="76" fillId="0" borderId="30" xfId="5" applyNumberFormat="1" applyFont="1" applyBorder="1" applyAlignment="1">
      <alignment horizontal="center" vertical="center"/>
    </xf>
    <xf numFmtId="0" fontId="70" fillId="0" borderId="30" xfId="9" applyNumberFormat="1" applyFont="1" applyBorder="1" applyAlignment="1">
      <alignment horizontal="center" vertical="center"/>
    </xf>
    <xf numFmtId="0" fontId="77" fillId="0" borderId="30" xfId="0" applyNumberFormat="1" applyFont="1" applyFill="1" applyBorder="1" applyAlignment="1">
      <alignment vertical="center"/>
    </xf>
    <xf numFmtId="14" fontId="78" fillId="17" borderId="30" xfId="0" applyNumberFormat="1" applyFont="1" applyFill="1" applyBorder="1" applyAlignment="1">
      <alignment horizontal="left" vertical="center" wrapText="1"/>
    </xf>
    <xf numFmtId="0" fontId="78" fillId="17" borderId="30" xfId="0" applyFont="1" applyFill="1" applyBorder="1" applyAlignment="1">
      <alignment horizontal="center" vertical="center" wrapText="1"/>
    </xf>
    <xf numFmtId="0" fontId="79" fillId="0" borderId="0" xfId="5" applyFont="1">
      <alignment vertical="center"/>
    </xf>
    <xf numFmtId="0" fontId="78" fillId="3" borderId="30" xfId="0" applyFont="1" applyFill="1" applyBorder="1" applyAlignment="1">
      <alignment horizontal="center" vertical="center" wrapText="1"/>
    </xf>
    <xf numFmtId="0" fontId="78" fillId="3" borderId="30" xfId="0" applyNumberFormat="1" applyFont="1" applyFill="1" applyBorder="1" applyAlignment="1">
      <alignment horizontal="center" vertical="center" wrapText="1"/>
    </xf>
    <xf numFmtId="0" fontId="80" fillId="0" borderId="0" xfId="0" applyFont="1" applyFill="1" applyAlignment="1">
      <alignment vertical="center"/>
    </xf>
    <xf numFmtId="0" fontId="80" fillId="0" borderId="0" xfId="0" quotePrefix="1" applyFont="1" applyFill="1" applyAlignment="1">
      <alignment vertical="center"/>
    </xf>
    <xf numFmtId="167" fontId="80" fillId="0" borderId="0" xfId="0" applyNumberFormat="1" applyFont="1" applyFill="1" applyAlignment="1">
      <alignment horizontal="center" vertical="center"/>
    </xf>
    <xf numFmtId="0" fontId="82" fillId="0" borderId="10" xfId="0" applyFont="1" applyFill="1" applyBorder="1" applyAlignment="1">
      <alignment vertical="center"/>
    </xf>
    <xf numFmtId="167" fontId="25" fillId="7" borderId="1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82" fillId="0" borderId="0" xfId="0" applyNumberFormat="1" applyFont="1"/>
    <xf numFmtId="0" fontId="66" fillId="0" borderId="33" xfId="1101" applyFont="1" applyBorder="1" applyAlignment="1"/>
    <xf numFmtId="0" fontId="11" fillId="0" borderId="0" xfId="1101" applyFont="1" applyAlignment="1">
      <alignment horizontal="center"/>
    </xf>
    <xf numFmtId="0" fontId="11" fillId="0" borderId="0" xfId="1101" applyFont="1" applyAlignment="1"/>
    <xf numFmtId="0" fontId="71" fillId="15" borderId="0" xfId="1101" applyFont="1" applyFill="1" applyBorder="1" applyAlignment="1">
      <alignment horizontal="center" vertical="center"/>
    </xf>
    <xf numFmtId="168" fontId="63" fillId="11" borderId="30" xfId="1101" applyNumberFormat="1" applyFont="1" applyFill="1" applyBorder="1" applyAlignment="1">
      <alignment horizontal="center" vertical="center"/>
    </xf>
    <xf numFmtId="168" fontId="63" fillId="11" borderId="30" xfId="1101" applyNumberFormat="1" applyFont="1" applyFill="1" applyBorder="1" applyAlignment="1">
      <alignment horizontal="center"/>
    </xf>
    <xf numFmtId="16" fontId="63" fillId="11" borderId="30" xfId="1101" applyNumberFormat="1" applyFont="1" applyFill="1" applyBorder="1" applyAlignment="1">
      <alignment horizontal="center"/>
    </xf>
    <xf numFmtId="0" fontId="63" fillId="0" borderId="0" xfId="1101" applyFont="1" applyAlignment="1"/>
    <xf numFmtId="0" fontId="11" fillId="16" borderId="30" xfId="1101" applyFont="1" applyFill="1" applyBorder="1" applyAlignment="1">
      <alignment horizontal="center" vertical="center"/>
    </xf>
    <xf numFmtId="0" fontId="11" fillId="16" borderId="30" xfId="1101" applyFont="1" applyFill="1" applyBorder="1" applyAlignment="1">
      <alignment vertical="center"/>
    </xf>
    <xf numFmtId="0" fontId="67" fillId="16" borderId="30" xfId="1101" applyFont="1" applyFill="1" applyBorder="1" applyAlignment="1">
      <alignment horizontal="center" vertical="center"/>
    </xf>
    <xf numFmtId="0" fontId="68" fillId="0" borderId="0" xfId="1101" applyFont="1" applyAlignment="1">
      <alignment vertical="center"/>
    </xf>
    <xf numFmtId="0" fontId="11" fillId="0" borderId="0" xfId="1101" applyFont="1" applyAlignment="1">
      <alignment vertical="center"/>
    </xf>
    <xf numFmtId="0" fontId="68" fillId="16" borderId="30" xfId="1101" applyFont="1" applyFill="1" applyBorder="1" applyAlignment="1">
      <alignment horizontal="center" vertical="center"/>
    </xf>
    <xf numFmtId="0" fontId="11" fillId="16" borderId="30" xfId="1101" applyFont="1" applyFill="1" applyBorder="1" applyAlignment="1">
      <alignment horizontal="center"/>
    </xf>
    <xf numFmtId="0" fontId="68" fillId="16" borderId="30" xfId="1101" applyFont="1" applyFill="1" applyBorder="1" applyAlignment="1">
      <alignment horizontal="center"/>
    </xf>
    <xf numFmtId="0" fontId="67" fillId="16" borderId="30" xfId="1101" applyFont="1" applyFill="1" applyBorder="1" applyAlignment="1">
      <alignment horizontal="center"/>
    </xf>
    <xf numFmtId="0" fontId="68" fillId="0" borderId="0" xfId="1101" applyFont="1" applyAlignment="1"/>
    <xf numFmtId="0" fontId="68" fillId="0" borderId="0" xfId="1101" applyFont="1" applyAlignment="1">
      <alignment horizontal="center"/>
    </xf>
    <xf numFmtId="43" fontId="70" fillId="0" borderId="30" xfId="9" applyFont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 applyAlignment="1">
      <alignment vertical="center"/>
    </xf>
    <xf numFmtId="0" fontId="83" fillId="0" borderId="0" xfId="0" applyFont="1"/>
    <xf numFmtId="0" fontId="83" fillId="0" borderId="0" xfId="0" applyFont="1" applyFill="1"/>
    <xf numFmtId="0" fontId="83" fillId="0" borderId="10" xfId="0" applyFont="1" applyBorder="1"/>
    <xf numFmtId="14" fontId="84" fillId="0" borderId="0" xfId="0" applyNumberFormat="1" applyFont="1"/>
    <xf numFmtId="0" fontId="84" fillId="0" borderId="0" xfId="0" applyFont="1"/>
    <xf numFmtId="167" fontId="83" fillId="0" borderId="10" xfId="6" applyNumberFormat="1" applyFont="1" applyFill="1" applyBorder="1" applyAlignment="1">
      <alignment horizontal="center" vertical="center"/>
    </xf>
    <xf numFmtId="0" fontId="83" fillId="0" borderId="10" xfId="7" quotePrefix="1" applyFont="1" applyFill="1" applyBorder="1" applyAlignment="1">
      <alignment horizontal="center" vertical="center" wrapText="1"/>
    </xf>
    <xf numFmtId="167" fontId="83" fillId="0" borderId="0" xfId="0" applyNumberFormat="1" applyFont="1"/>
    <xf numFmtId="167" fontId="83" fillId="0" borderId="10" xfId="0" applyNumberFormat="1" applyFont="1" applyBorder="1" applyAlignment="1">
      <alignment horizontal="center" vertical="center"/>
    </xf>
    <xf numFmtId="0" fontId="83" fillId="0" borderId="10" xfId="0" applyFont="1" applyFill="1" applyBorder="1" applyAlignment="1">
      <alignment horizontal="left" vertical="center"/>
    </xf>
    <xf numFmtId="0" fontId="83" fillId="0" borderId="10" xfId="0" applyFont="1" applyBorder="1" applyAlignment="1">
      <alignment vertical="center"/>
    </xf>
    <xf numFmtId="0" fontId="83" fillId="0" borderId="10" xfId="0" applyFont="1" applyBorder="1" applyAlignment="1">
      <alignment horizontal="left" vertical="center"/>
    </xf>
    <xf numFmtId="0" fontId="83" fillId="0" borderId="10" xfId="0" applyNumberFormat="1" applyFont="1" applyBorder="1" applyAlignment="1">
      <alignment horizontal="center" vertical="center"/>
    </xf>
    <xf numFmtId="167" fontId="85" fillId="0" borderId="10" xfId="0" applyNumberFormat="1" applyFont="1" applyBorder="1" applyAlignment="1">
      <alignment horizontal="center" vertical="center"/>
    </xf>
    <xf numFmtId="0" fontId="85" fillId="0" borderId="10" xfId="0" applyFont="1" applyBorder="1" applyAlignment="1">
      <alignment vertical="center"/>
    </xf>
    <xf numFmtId="167" fontId="84" fillId="0" borderId="10" xfId="0" applyNumberFormat="1" applyFont="1" applyBorder="1" applyAlignment="1">
      <alignment horizontal="center" vertical="center"/>
    </xf>
    <xf numFmtId="0" fontId="84" fillId="0" borderId="10" xfId="0" applyFont="1" applyBorder="1" applyAlignment="1">
      <alignment vertical="center"/>
    </xf>
    <xf numFmtId="0" fontId="84" fillId="0" borderId="10" xfId="0" applyFont="1" applyBorder="1" applyAlignment="1">
      <alignment horizontal="left" vertical="center"/>
    </xf>
    <xf numFmtId="0" fontId="77" fillId="0" borderId="0" xfId="0" applyFont="1"/>
    <xf numFmtId="167" fontId="83" fillId="0" borderId="10" xfId="0" applyNumberFormat="1" applyFont="1" applyBorder="1" applyAlignment="1">
      <alignment horizontal="center"/>
    </xf>
    <xf numFmtId="0" fontId="83" fillId="0" borderId="10" xfId="0" applyNumberFormat="1" applyFont="1" applyBorder="1" applyAlignment="1">
      <alignment horizontal="center"/>
    </xf>
    <xf numFmtId="0" fontId="87" fillId="0" borderId="10" xfId="0" applyFont="1" applyFill="1" applyBorder="1" applyAlignment="1">
      <alignment vertical="center"/>
    </xf>
    <xf numFmtId="0" fontId="21" fillId="0" borderId="0" xfId="0" applyNumberFormat="1" applyFont="1" applyFill="1"/>
    <xf numFmtId="167" fontId="21" fillId="0" borderId="0" xfId="0" applyNumberFormat="1" applyFont="1" applyFill="1"/>
    <xf numFmtId="0" fontId="21" fillId="0" borderId="0" xfId="0" applyNumberFormat="1" applyFont="1" applyAlignment="1">
      <alignment wrapText="1"/>
    </xf>
    <xf numFmtId="167" fontId="21" fillId="0" borderId="0" xfId="0" applyNumberFormat="1" applyFont="1" applyAlignment="1">
      <alignment wrapText="1"/>
    </xf>
    <xf numFmtId="0" fontId="86" fillId="0" borderId="0" xfId="0" applyNumberFormat="1" applyFont="1" applyAlignment="1">
      <alignment vertical="center"/>
    </xf>
    <xf numFmtId="167" fontId="86" fillId="0" borderId="0" xfId="0" applyNumberFormat="1" applyFont="1" applyAlignment="1">
      <alignment vertical="center"/>
    </xf>
    <xf numFmtId="167" fontId="86" fillId="0" borderId="0" xfId="0" applyNumberFormat="1" applyFont="1"/>
    <xf numFmtId="0" fontId="21" fillId="0" borderId="0" xfId="0" applyNumberFormat="1" applyFont="1"/>
    <xf numFmtId="167" fontId="21" fillId="0" borderId="0" xfId="0" applyNumberFormat="1" applyFont="1"/>
    <xf numFmtId="0" fontId="86" fillId="0" borderId="0" xfId="0" applyNumberFormat="1" applyFont="1"/>
    <xf numFmtId="167" fontId="88" fillId="0" borderId="10" xfId="6" applyNumberFormat="1" applyFont="1" applyFill="1" applyBorder="1" applyAlignment="1">
      <alignment horizontal="center" vertical="center"/>
    </xf>
    <xf numFmtId="167" fontId="89" fillId="0" borderId="10" xfId="6" applyNumberFormat="1" applyFont="1" applyFill="1" applyBorder="1" applyAlignment="1">
      <alignment horizontal="center" vertical="center"/>
    </xf>
    <xf numFmtId="167" fontId="82" fillId="0" borderId="10" xfId="6" applyNumberFormat="1" applyFont="1" applyFill="1" applyBorder="1" applyAlignment="1">
      <alignment horizontal="center" vertical="center"/>
    </xf>
    <xf numFmtId="0" fontId="83" fillId="0" borderId="10" xfId="0" applyFont="1" applyBorder="1" applyAlignment="1">
      <alignment horizontal="center" vertical="center"/>
    </xf>
    <xf numFmtId="0" fontId="83" fillId="0" borderId="10" xfId="7" quotePrefix="1" applyFont="1" applyFill="1" applyBorder="1" applyAlignment="1">
      <alignment horizontal="center" vertical="center"/>
    </xf>
    <xf numFmtId="167" fontId="83" fillId="0" borderId="10" xfId="6" applyNumberFormat="1" applyFont="1" applyFill="1" applyBorder="1" applyAlignment="1">
      <alignment vertical="center"/>
    </xf>
    <xf numFmtId="0" fontId="83" fillId="0" borderId="10" xfId="3" applyNumberFormat="1" applyFont="1" applyBorder="1" applyAlignment="1">
      <alignment horizontal="center"/>
    </xf>
    <xf numFmtId="0" fontId="20" fillId="0" borderId="10" xfId="0" applyFont="1" applyBorder="1" applyAlignment="1">
      <alignment vertical="center"/>
    </xf>
    <xf numFmtId="164" fontId="20" fillId="0" borderId="10" xfId="3" applyFont="1" applyBorder="1" applyAlignment="1">
      <alignment horizontal="center" vertical="center"/>
    </xf>
    <xf numFmtId="0" fontId="23" fillId="0" borderId="0" xfId="0" applyNumberFormat="1" applyFont="1" applyAlignment="1">
      <alignment horizontal="center"/>
    </xf>
    <xf numFmtId="0" fontId="88" fillId="0" borderId="10" xfId="7" quotePrefix="1" applyFont="1" applyFill="1" applyBorder="1" applyAlignment="1">
      <alignment horizontal="center" vertical="center" wrapText="1"/>
    </xf>
    <xf numFmtId="0" fontId="89" fillId="0" borderId="10" xfId="7" quotePrefix="1" applyFont="1" applyFill="1" applyBorder="1" applyAlignment="1">
      <alignment horizontal="center" vertical="center" wrapText="1"/>
    </xf>
    <xf numFmtId="0" fontId="82" fillId="0" borderId="10" xfId="7" quotePrefix="1" applyFont="1" applyFill="1" applyBorder="1" applyAlignment="1">
      <alignment horizontal="center" vertical="center" wrapText="1"/>
    </xf>
    <xf numFmtId="0" fontId="88" fillId="0" borderId="10" xfId="7" quotePrefix="1" applyFont="1" applyFill="1" applyBorder="1" applyAlignment="1">
      <alignment horizontal="center" vertical="center"/>
    </xf>
    <xf numFmtId="0" fontId="84" fillId="0" borderId="10" xfId="0" applyFont="1" applyBorder="1"/>
    <xf numFmtId="0" fontId="88" fillId="0" borderId="10" xfId="0" applyFont="1" applyBorder="1" applyAlignment="1">
      <alignment vertical="center"/>
    </xf>
    <xf numFmtId="0" fontId="89" fillId="0" borderId="10" xfId="0" applyFont="1" applyBorder="1" applyAlignment="1">
      <alignment vertical="center"/>
    </xf>
    <xf numFmtId="0" fontId="88" fillId="0" borderId="10" xfId="0" applyFont="1" applyFill="1" applyBorder="1" applyAlignment="1">
      <alignment vertical="center"/>
    </xf>
    <xf numFmtId="0" fontId="89" fillId="0" borderId="10" xfId="0" applyFont="1" applyFill="1" applyBorder="1" applyAlignment="1">
      <alignment vertical="center"/>
    </xf>
    <xf numFmtId="0" fontId="88" fillId="0" borderId="10" xfId="0" applyFont="1" applyBorder="1" applyAlignment="1">
      <alignment horizontal="left" vertical="center"/>
    </xf>
    <xf numFmtId="0" fontId="89" fillId="0" borderId="10" xfId="0" applyFont="1" applyBorder="1" applyAlignment="1">
      <alignment horizontal="left" vertical="center"/>
    </xf>
    <xf numFmtId="0" fontId="82" fillId="0" borderId="10" xfId="0" applyFont="1" applyBorder="1" applyAlignment="1">
      <alignment horizontal="left" vertical="center"/>
    </xf>
    <xf numFmtId="167" fontId="85" fillId="0" borderId="10" xfId="0" applyNumberFormat="1" applyFont="1" applyBorder="1" applyAlignment="1">
      <alignment horizontal="left" vertical="center"/>
    </xf>
    <xf numFmtId="16" fontId="86" fillId="0" borderId="0" xfId="0" applyNumberFormat="1" applyFont="1" applyAlignment="1">
      <alignment vertical="center"/>
    </xf>
    <xf numFmtId="0" fontId="21" fillId="0" borderId="0" xfId="0" applyFont="1"/>
    <xf numFmtId="0" fontId="84" fillId="0" borderId="10" xfId="0" applyFont="1" applyFill="1" applyBorder="1" applyAlignment="1">
      <alignment vertical="center"/>
    </xf>
    <xf numFmtId="0" fontId="77" fillId="0" borderId="10" xfId="0" applyFont="1" applyBorder="1"/>
    <xf numFmtId="164" fontId="77" fillId="0" borderId="10" xfId="3" applyFont="1" applyBorder="1"/>
    <xf numFmtId="0" fontId="86" fillId="0" borderId="0" xfId="0" applyFont="1"/>
    <xf numFmtId="14" fontId="77" fillId="0" borderId="30" xfId="0" applyNumberFormat="1" applyFont="1" applyBorder="1" applyAlignment="1">
      <alignment horizontal="left" vertical="center"/>
    </xf>
    <xf numFmtId="0" fontId="83" fillId="0" borderId="30" xfId="5" applyFont="1" applyBorder="1">
      <alignment vertical="center"/>
    </xf>
    <xf numFmtId="0" fontId="83" fillId="0" borderId="30" xfId="5" applyFont="1" applyBorder="1" applyAlignment="1">
      <alignment horizontal="center" vertical="center"/>
    </xf>
    <xf numFmtId="0" fontId="83" fillId="0" borderId="0" xfId="5" applyFont="1">
      <alignment vertical="center"/>
    </xf>
    <xf numFmtId="0" fontId="77" fillId="0" borderId="30" xfId="0" applyNumberFormat="1" applyFont="1" applyBorder="1" applyAlignment="1">
      <alignment horizontal="center" vertical="center"/>
    </xf>
    <xf numFmtId="0" fontId="77" fillId="0" borderId="30" xfId="0" applyFont="1" applyBorder="1" applyAlignment="1">
      <alignment horizontal="center" vertical="center"/>
    </xf>
    <xf numFmtId="0" fontId="77" fillId="0" borderId="30" xfId="0" applyFont="1" applyBorder="1" applyAlignment="1">
      <alignment vertical="center"/>
    </xf>
    <xf numFmtId="0" fontId="77" fillId="0" borderId="0" xfId="0" applyFont="1" applyAlignment="1">
      <alignment vertical="center"/>
    </xf>
    <xf numFmtId="0" fontId="83" fillId="0" borderId="30" xfId="0" applyFont="1" applyBorder="1" applyAlignment="1">
      <alignment horizontal="center" vertical="center"/>
    </xf>
    <xf numFmtId="0" fontId="83" fillId="0" borderId="0" xfId="5" applyFont="1" applyBorder="1">
      <alignment vertical="center"/>
    </xf>
    <xf numFmtId="0" fontId="77" fillId="0" borderId="30" xfId="0" applyFont="1" applyFill="1" applyBorder="1"/>
    <xf numFmtId="0" fontId="83" fillId="0" borderId="0" xfId="5" applyFont="1" applyAlignment="1">
      <alignment horizontal="center" vertical="center"/>
    </xf>
    <xf numFmtId="0" fontId="87" fillId="0" borderId="0" xfId="5" applyNumberFormat="1" applyFont="1" applyAlignment="1">
      <alignment horizontal="center" vertical="center"/>
    </xf>
    <xf numFmtId="0" fontId="87" fillId="0" borderId="0" xfId="5" applyFont="1" applyAlignment="1">
      <alignment horizontal="center" vertical="center"/>
    </xf>
    <xf numFmtId="0" fontId="87" fillId="0" borderId="0" xfId="5" applyFont="1">
      <alignment vertical="center"/>
    </xf>
    <xf numFmtId="0" fontId="83" fillId="0" borderId="0" xfId="5" applyNumberFormat="1" applyFont="1" applyAlignment="1">
      <alignment horizontal="center" vertical="center"/>
    </xf>
    <xf numFmtId="0" fontId="83" fillId="0" borderId="35" xfId="5" applyFont="1" applyBorder="1">
      <alignment vertical="center"/>
    </xf>
    <xf numFmtId="14" fontId="83" fillId="0" borderId="30" xfId="5" applyNumberFormat="1" applyFont="1" applyBorder="1">
      <alignment vertical="center"/>
    </xf>
    <xf numFmtId="16" fontId="83" fillId="0" borderId="30" xfId="5" applyNumberFormat="1" applyFont="1" applyBorder="1">
      <alignment vertical="center"/>
    </xf>
    <xf numFmtId="14" fontId="83" fillId="0" borderId="30" xfId="5" applyNumberFormat="1" applyFont="1" applyBorder="1" applyAlignment="1">
      <alignment horizontal="left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19" fillId="0" borderId="2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8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6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7" fillId="0" borderId="10" xfId="0" applyFont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0" xfId="0" applyBorder="1" applyAlignment="1">
      <alignment horizontal="center" wrapText="1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3" fillId="2" borderId="1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top"/>
    </xf>
    <xf numFmtId="0" fontId="3" fillId="2" borderId="2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left" vertical="top"/>
    </xf>
    <xf numFmtId="0" fontId="3" fillId="2" borderId="5" xfId="0" applyFont="1" applyFill="1" applyBorder="1" applyAlignment="1">
      <alignment horizontal="left" vertical="top"/>
    </xf>
    <xf numFmtId="0" fontId="8" fillId="2" borderId="1" xfId="0" applyFont="1" applyFill="1" applyBorder="1" applyAlignment="1">
      <alignment horizontal="left" vertical="top"/>
    </xf>
    <xf numFmtId="0" fontId="8" fillId="2" borderId="2" xfId="0" applyFont="1" applyFill="1" applyBorder="1" applyAlignment="1">
      <alignment horizontal="left" vertical="top"/>
    </xf>
    <xf numFmtId="0" fontId="8" fillId="2" borderId="3" xfId="0" applyFont="1" applyFill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8" fillId="2" borderId="5" xfId="0" applyFont="1" applyFill="1" applyBorder="1" applyAlignment="1">
      <alignment horizontal="left" vertical="top"/>
    </xf>
    <xf numFmtId="0" fontId="8" fillId="2" borderId="6" xfId="0" applyFont="1" applyFill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12" fillId="0" borderId="10" xfId="0" applyFont="1" applyBorder="1" applyAlignment="1">
      <alignment horizontal="left" vertical="top"/>
    </xf>
    <xf numFmtId="0" fontId="81" fillId="0" borderId="0" xfId="0" applyFont="1" applyFill="1" applyAlignment="1">
      <alignment horizontal="left" vertical="center"/>
    </xf>
    <xf numFmtId="0" fontId="20" fillId="0" borderId="0" xfId="5" applyFont="1" applyAlignment="1">
      <alignment horizontal="center" vertical="center"/>
    </xf>
    <xf numFmtId="0" fontId="2" fillId="11" borderId="30" xfId="1101" applyFont="1" applyFill="1" applyBorder="1" applyAlignment="1">
      <alignment horizontal="center" vertical="center"/>
    </xf>
    <xf numFmtId="0" fontId="71" fillId="15" borderId="31" xfId="1101" applyFont="1" applyFill="1" applyBorder="1" applyAlignment="1">
      <alignment horizontal="center" vertical="center"/>
    </xf>
    <xf numFmtId="0" fontId="71" fillId="15" borderId="32" xfId="1101" applyFont="1" applyFill="1" applyBorder="1" applyAlignment="1">
      <alignment horizontal="center" vertical="center"/>
    </xf>
    <xf numFmtId="0" fontId="63" fillId="7" borderId="20" xfId="0" applyFont="1" applyFill="1" applyBorder="1" applyAlignment="1">
      <alignment horizontal="center" vertical="center"/>
    </xf>
    <xf numFmtId="0" fontId="63" fillId="7" borderId="21" xfId="0" applyFont="1" applyFill="1" applyBorder="1" applyAlignment="1">
      <alignment horizontal="center" vertical="center"/>
    </xf>
    <xf numFmtId="0" fontId="63" fillId="12" borderId="22" xfId="0" applyFont="1" applyFill="1" applyBorder="1" applyAlignment="1">
      <alignment horizontal="center" vertical="center"/>
    </xf>
    <xf numFmtId="0" fontId="63" fillId="12" borderId="26" xfId="0" applyFont="1" applyFill="1" applyBorder="1" applyAlignment="1">
      <alignment horizontal="center" vertical="center"/>
    </xf>
    <xf numFmtId="0" fontId="63" fillId="12" borderId="23" xfId="0" applyFont="1" applyFill="1" applyBorder="1" applyAlignment="1">
      <alignment horizontal="center" vertical="center"/>
    </xf>
    <xf numFmtId="0" fontId="63" fillId="12" borderId="24" xfId="0" applyFont="1" applyFill="1" applyBorder="1" applyAlignment="1">
      <alignment horizontal="center" vertical="center"/>
    </xf>
    <xf numFmtId="0" fontId="2" fillId="4" borderId="21" xfId="0" applyFont="1" applyFill="1" applyBorder="1" applyAlignment="1">
      <alignment horizontal="center" vertical="center"/>
    </xf>
    <xf numFmtId="0" fontId="64" fillId="0" borderId="23" xfId="0" applyFont="1" applyFill="1" applyBorder="1" applyAlignment="1">
      <alignment horizontal="center" vertical="center"/>
    </xf>
    <xf numFmtId="0" fontId="64" fillId="0" borderId="25" xfId="0" applyFont="1" applyFill="1" applyBorder="1" applyAlignment="1">
      <alignment horizontal="center" vertical="center"/>
    </xf>
    <xf numFmtId="0" fontId="87" fillId="3" borderId="37" xfId="5" applyNumberFormat="1" applyFont="1" applyFill="1" applyBorder="1" applyAlignment="1">
      <alignment horizontal="center" vertical="center"/>
    </xf>
    <xf numFmtId="0" fontId="90" fillId="3" borderId="37" xfId="0" applyFont="1" applyFill="1" applyBorder="1" applyAlignment="1">
      <alignment horizontal="center" vertical="center"/>
    </xf>
    <xf numFmtId="0" fontId="87" fillId="3" borderId="37" xfId="5" applyFont="1" applyFill="1" applyBorder="1" applyAlignment="1">
      <alignment horizontal="center" vertical="center"/>
    </xf>
    <xf numFmtId="164" fontId="87" fillId="3" borderId="37" xfId="3" applyFont="1" applyFill="1" applyBorder="1" applyAlignment="1">
      <alignment horizontal="center" vertical="center"/>
    </xf>
    <xf numFmtId="14" fontId="77" fillId="0" borderId="36" xfId="0" applyNumberFormat="1" applyFont="1" applyFill="1" applyBorder="1" applyAlignment="1">
      <alignment horizontal="left" vertical="center"/>
    </xf>
    <xf numFmtId="0" fontId="77" fillId="0" borderId="36" xfId="0" applyNumberFormat="1" applyFont="1" applyFill="1" applyBorder="1" applyAlignment="1">
      <alignment horizontal="center" vertical="center"/>
    </xf>
    <xf numFmtId="0" fontId="77" fillId="0" borderId="36" xfId="0" applyFont="1" applyFill="1" applyBorder="1" applyAlignment="1">
      <alignment horizontal="center" vertical="center"/>
    </xf>
    <xf numFmtId="0" fontId="77" fillId="0" borderId="36" xfId="0" applyFont="1" applyFill="1" applyBorder="1" applyAlignment="1">
      <alignment vertical="center"/>
    </xf>
    <xf numFmtId="14" fontId="77" fillId="0" borderId="0" xfId="0" applyNumberFormat="1" applyFont="1" applyFill="1" applyBorder="1" applyAlignment="1">
      <alignment horizontal="left" vertical="center"/>
    </xf>
    <xf numFmtId="0" fontId="77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vertical="center"/>
    </xf>
    <xf numFmtId="0" fontId="87" fillId="0" borderId="0" xfId="5" applyNumberFormat="1" applyFont="1" applyFill="1" applyBorder="1" applyAlignment="1">
      <alignment horizontal="center" vertical="center"/>
    </xf>
    <xf numFmtId="0" fontId="90" fillId="0" borderId="0" xfId="0" applyFont="1" applyFill="1" applyBorder="1" applyAlignment="1">
      <alignment horizontal="center" vertical="center"/>
    </xf>
    <xf numFmtId="0" fontId="87" fillId="0" borderId="0" xfId="5" applyFont="1" applyFill="1" applyBorder="1" applyAlignment="1">
      <alignment horizontal="center" vertical="center"/>
    </xf>
    <xf numFmtId="164" fontId="87" fillId="0" borderId="0" xfId="3" applyFont="1" applyFill="1" applyBorder="1" applyAlignment="1">
      <alignment horizontal="center" vertical="center"/>
    </xf>
    <xf numFmtId="0" fontId="83" fillId="0" borderId="0" xfId="5" applyFont="1" applyFill="1" applyBorder="1">
      <alignment vertical="center"/>
    </xf>
  </cellXfs>
  <cellStyles count="1103">
    <cellStyle name="Comma" xfId="3" builtinId="3"/>
    <cellStyle name="Comma [0] 2" xfId="10"/>
    <cellStyle name="Comma [0] 3" xfId="11"/>
    <cellStyle name="Comma 10" xfId="12"/>
    <cellStyle name="Comma 104" xfId="4"/>
    <cellStyle name="Comma 105" xfId="13"/>
    <cellStyle name="Comma 11" xfId="14"/>
    <cellStyle name="Comma 11 2" xfId="15"/>
    <cellStyle name="Comma 12" xfId="16"/>
    <cellStyle name="Comma 13" xfId="17"/>
    <cellStyle name="Comma 14" xfId="18"/>
    <cellStyle name="Comma 15" xfId="19"/>
    <cellStyle name="Comma 16" xfId="20"/>
    <cellStyle name="Comma 17" xfId="21"/>
    <cellStyle name="Comma 18" xfId="22"/>
    <cellStyle name="Comma 2" xfId="2"/>
    <cellStyle name="Comma 2 2" xfId="23"/>
    <cellStyle name="Comma 2 3" xfId="24"/>
    <cellStyle name="Comma 24 2" xfId="25"/>
    <cellStyle name="Comma 29" xfId="26"/>
    <cellStyle name="Comma 294" xfId="27"/>
    <cellStyle name="Comma 3" xfId="9"/>
    <cellStyle name="Comma 3 2" xfId="28"/>
    <cellStyle name="Comma 4" xfId="29"/>
    <cellStyle name="Comma 5" xfId="30"/>
    <cellStyle name="Comma 6" xfId="31"/>
    <cellStyle name="Comma 7" xfId="32"/>
    <cellStyle name="Comma 8" xfId="33"/>
    <cellStyle name="Comma 9" xfId="34"/>
    <cellStyle name="Hyperlink 2" xfId="35"/>
    <cellStyle name="Hyperlink 3" xfId="36"/>
    <cellStyle name="Normal" xfId="0" builtinId="0"/>
    <cellStyle name="Normal 10" xfId="37"/>
    <cellStyle name="Normal 11" xfId="38"/>
    <cellStyle name="Normal 12" xfId="39"/>
    <cellStyle name="Normal 13" xfId="40"/>
    <cellStyle name="Normal 14" xfId="41"/>
    <cellStyle name="Normal 15" xfId="42"/>
    <cellStyle name="Normal 16" xfId="43"/>
    <cellStyle name="Normal 17" xfId="1100"/>
    <cellStyle name="Normal 17 2" xfId="1101"/>
    <cellStyle name="Normal 2" xfId="5"/>
    <cellStyle name="Normal 2 2" xfId="44"/>
    <cellStyle name="Normal 2 2 2" xfId="45"/>
    <cellStyle name="Normal 3" xfId="8"/>
    <cellStyle name="Normal 3 2" xfId="1102"/>
    <cellStyle name="Normal 4" xfId="46"/>
    <cellStyle name="Normal 5" xfId="47"/>
    <cellStyle name="Normal 6" xfId="48"/>
    <cellStyle name="Normal 7" xfId="49"/>
    <cellStyle name="Normal 8" xfId="50"/>
    <cellStyle name="Normal 9" xfId="51"/>
    <cellStyle name="Percent" xfId="1" builtinId="5"/>
    <cellStyle name="Percent 2" xfId="52"/>
    <cellStyle name="Percent 3" xfId="53"/>
    <cellStyle name="S0" xfId="54"/>
    <cellStyle name="S0 10" xfId="55"/>
    <cellStyle name="S0 100" xfId="56"/>
    <cellStyle name="S0 101" xfId="57"/>
    <cellStyle name="S0 102" xfId="58"/>
    <cellStyle name="S0 103" xfId="59"/>
    <cellStyle name="S0 104" xfId="60"/>
    <cellStyle name="S0 105" xfId="61"/>
    <cellStyle name="S0 106" xfId="62"/>
    <cellStyle name="S0 107" xfId="63"/>
    <cellStyle name="S0 108" xfId="64"/>
    <cellStyle name="S0 109" xfId="65"/>
    <cellStyle name="S0 11" xfId="66"/>
    <cellStyle name="S0 110" xfId="67"/>
    <cellStyle name="S0 111" xfId="68"/>
    <cellStyle name="S0 112" xfId="69"/>
    <cellStyle name="S0 113" xfId="70"/>
    <cellStyle name="S0 114" xfId="71"/>
    <cellStyle name="S0 115" xfId="72"/>
    <cellStyle name="S0 116" xfId="73"/>
    <cellStyle name="S0 117" xfId="74"/>
    <cellStyle name="S0 118" xfId="75"/>
    <cellStyle name="S0 119" xfId="76"/>
    <cellStyle name="S0 12" xfId="77"/>
    <cellStyle name="S0 120" xfId="78"/>
    <cellStyle name="S0 121" xfId="79"/>
    <cellStyle name="S0 122" xfId="80"/>
    <cellStyle name="S0 123" xfId="81"/>
    <cellStyle name="S0 124" xfId="82"/>
    <cellStyle name="S0 125" xfId="83"/>
    <cellStyle name="S0 126" xfId="84"/>
    <cellStyle name="S0 127" xfId="85"/>
    <cellStyle name="S0 128" xfId="86"/>
    <cellStyle name="S0 129" xfId="87"/>
    <cellStyle name="S0 13" xfId="88"/>
    <cellStyle name="S0 130" xfId="89"/>
    <cellStyle name="S0 131" xfId="90"/>
    <cellStyle name="S0 132" xfId="91"/>
    <cellStyle name="S0 133" xfId="92"/>
    <cellStyle name="S0 134" xfId="93"/>
    <cellStyle name="S0 135" xfId="94"/>
    <cellStyle name="S0 136" xfId="95"/>
    <cellStyle name="S0 137" xfId="96"/>
    <cellStyle name="S0 138" xfId="97"/>
    <cellStyle name="S0 139" xfId="98"/>
    <cellStyle name="S0 14" xfId="99"/>
    <cellStyle name="S0 140" xfId="100"/>
    <cellStyle name="S0 141" xfId="101"/>
    <cellStyle name="S0 142" xfId="102"/>
    <cellStyle name="S0 143" xfId="103"/>
    <cellStyle name="S0 144" xfId="104"/>
    <cellStyle name="S0 145" xfId="105"/>
    <cellStyle name="S0 146" xfId="106"/>
    <cellStyle name="S0 147" xfId="107"/>
    <cellStyle name="S0 148" xfId="108"/>
    <cellStyle name="S0 149" xfId="109"/>
    <cellStyle name="S0 15" xfId="110"/>
    <cellStyle name="S0 150" xfId="111"/>
    <cellStyle name="S0 151" xfId="112"/>
    <cellStyle name="S0 152" xfId="113"/>
    <cellStyle name="S0 153" xfId="114"/>
    <cellStyle name="S0 154" xfId="115"/>
    <cellStyle name="S0 155" xfId="116"/>
    <cellStyle name="S0 156" xfId="117"/>
    <cellStyle name="S0 157" xfId="118"/>
    <cellStyle name="S0 158" xfId="119"/>
    <cellStyle name="S0 159" xfId="120"/>
    <cellStyle name="S0 16" xfId="121"/>
    <cellStyle name="S0 160" xfId="122"/>
    <cellStyle name="S0 161" xfId="123"/>
    <cellStyle name="S0 162" xfId="124"/>
    <cellStyle name="S0 163" xfId="125"/>
    <cellStyle name="S0 164" xfId="126"/>
    <cellStyle name="S0 165" xfId="127"/>
    <cellStyle name="S0 166" xfId="128"/>
    <cellStyle name="S0 167" xfId="129"/>
    <cellStyle name="S0 168" xfId="130"/>
    <cellStyle name="S0 169" xfId="131"/>
    <cellStyle name="S0 17" xfId="132"/>
    <cellStyle name="S0 170" xfId="133"/>
    <cellStyle name="S0 171" xfId="134"/>
    <cellStyle name="S0 172" xfId="135"/>
    <cellStyle name="S0 173" xfId="136"/>
    <cellStyle name="S0 174" xfId="137"/>
    <cellStyle name="S0 175" xfId="138"/>
    <cellStyle name="S0 176" xfId="139"/>
    <cellStyle name="S0 177" xfId="140"/>
    <cellStyle name="S0 178" xfId="141"/>
    <cellStyle name="S0 179" xfId="142"/>
    <cellStyle name="S0 18" xfId="143"/>
    <cellStyle name="S0 180" xfId="144"/>
    <cellStyle name="S0 181" xfId="145"/>
    <cellStyle name="S0 182" xfId="146"/>
    <cellStyle name="S0 183" xfId="147"/>
    <cellStyle name="S0 184" xfId="148"/>
    <cellStyle name="S0 185" xfId="149"/>
    <cellStyle name="S0 186" xfId="150"/>
    <cellStyle name="S0 187" xfId="151"/>
    <cellStyle name="S0 188" xfId="152"/>
    <cellStyle name="S0 189" xfId="153"/>
    <cellStyle name="S0 19" xfId="154"/>
    <cellStyle name="S0 190" xfId="155"/>
    <cellStyle name="S0 191" xfId="156"/>
    <cellStyle name="S0 192" xfId="157"/>
    <cellStyle name="S0 193" xfId="158"/>
    <cellStyle name="S0 194" xfId="159"/>
    <cellStyle name="S0 195" xfId="160"/>
    <cellStyle name="S0 196" xfId="161"/>
    <cellStyle name="S0 197" xfId="162"/>
    <cellStyle name="S0 198" xfId="163"/>
    <cellStyle name="S0 199" xfId="164"/>
    <cellStyle name="S0 2" xfId="165"/>
    <cellStyle name="S0 20" xfId="166"/>
    <cellStyle name="S0 200" xfId="167"/>
    <cellStyle name="S0 201" xfId="168"/>
    <cellStyle name="S0 202" xfId="169"/>
    <cellStyle name="S0 203" xfId="170"/>
    <cellStyle name="S0 204" xfId="171"/>
    <cellStyle name="S0 205" xfId="172"/>
    <cellStyle name="S0 206" xfId="173"/>
    <cellStyle name="S0 207" xfId="174"/>
    <cellStyle name="S0 208" xfId="175"/>
    <cellStyle name="S0 209" xfId="176"/>
    <cellStyle name="S0 21" xfId="177"/>
    <cellStyle name="S0 210" xfId="178"/>
    <cellStyle name="S0 211" xfId="179"/>
    <cellStyle name="S0 212" xfId="180"/>
    <cellStyle name="S0 213" xfId="181"/>
    <cellStyle name="S0 214" xfId="182"/>
    <cellStyle name="S0 215" xfId="183"/>
    <cellStyle name="S0 216" xfId="184"/>
    <cellStyle name="S0 217" xfId="185"/>
    <cellStyle name="S0 218" xfId="186"/>
    <cellStyle name="S0 219" xfId="187"/>
    <cellStyle name="S0 22" xfId="188"/>
    <cellStyle name="S0 220" xfId="189"/>
    <cellStyle name="S0 221" xfId="190"/>
    <cellStyle name="S0 222" xfId="191"/>
    <cellStyle name="S0 223" xfId="192"/>
    <cellStyle name="S0 224" xfId="193"/>
    <cellStyle name="S0 225" xfId="194"/>
    <cellStyle name="S0 226" xfId="195"/>
    <cellStyle name="S0 227" xfId="196"/>
    <cellStyle name="S0 228" xfId="197"/>
    <cellStyle name="S0 229" xfId="198"/>
    <cellStyle name="S0 23" xfId="199"/>
    <cellStyle name="S0 230" xfId="200"/>
    <cellStyle name="S0 231" xfId="201"/>
    <cellStyle name="S0 232" xfId="202"/>
    <cellStyle name="S0 233" xfId="203"/>
    <cellStyle name="S0 234" xfId="204"/>
    <cellStyle name="S0 235" xfId="205"/>
    <cellStyle name="S0 236" xfId="206"/>
    <cellStyle name="S0 237" xfId="207"/>
    <cellStyle name="S0 238" xfId="208"/>
    <cellStyle name="S0 239" xfId="209"/>
    <cellStyle name="S0 24" xfId="210"/>
    <cellStyle name="S0 240" xfId="211"/>
    <cellStyle name="S0 241" xfId="212"/>
    <cellStyle name="S0 242" xfId="213"/>
    <cellStyle name="S0 243" xfId="214"/>
    <cellStyle name="S0 244" xfId="215"/>
    <cellStyle name="S0 245" xfId="216"/>
    <cellStyle name="S0 246" xfId="217"/>
    <cellStyle name="S0 247" xfId="218"/>
    <cellStyle name="S0 248" xfId="219"/>
    <cellStyle name="S0 249" xfId="220"/>
    <cellStyle name="S0 25" xfId="221"/>
    <cellStyle name="S0 250" xfId="222"/>
    <cellStyle name="S0 251" xfId="223"/>
    <cellStyle name="S0 252" xfId="224"/>
    <cellStyle name="S0 253" xfId="225"/>
    <cellStyle name="S0 254" xfId="226"/>
    <cellStyle name="S0 255" xfId="227"/>
    <cellStyle name="S0 256" xfId="228"/>
    <cellStyle name="S0 257" xfId="229"/>
    <cellStyle name="S0 258" xfId="230"/>
    <cellStyle name="S0 259" xfId="231"/>
    <cellStyle name="S0 26" xfId="232"/>
    <cellStyle name="S0 260" xfId="233"/>
    <cellStyle name="S0 261" xfId="234"/>
    <cellStyle name="S0 262" xfId="235"/>
    <cellStyle name="S0 263" xfId="236"/>
    <cellStyle name="S0 264" xfId="237"/>
    <cellStyle name="S0 265" xfId="238"/>
    <cellStyle name="S0 266" xfId="239"/>
    <cellStyle name="S0 266 2" xfId="240"/>
    <cellStyle name="S0 267" xfId="241"/>
    <cellStyle name="S0 268" xfId="242"/>
    <cellStyle name="S0 27" xfId="243"/>
    <cellStyle name="S0 28" xfId="244"/>
    <cellStyle name="S0 29" xfId="245"/>
    <cellStyle name="S0 3" xfId="246"/>
    <cellStyle name="S0 30" xfId="247"/>
    <cellStyle name="S0 31" xfId="248"/>
    <cellStyle name="S0 32" xfId="249"/>
    <cellStyle name="S0 33" xfId="250"/>
    <cellStyle name="S0 34" xfId="251"/>
    <cellStyle name="S0 35" xfId="252"/>
    <cellStyle name="S0 36" xfId="253"/>
    <cellStyle name="S0 37" xfId="254"/>
    <cellStyle name="S0 38" xfId="255"/>
    <cellStyle name="S0 39" xfId="256"/>
    <cellStyle name="S0 4" xfId="257"/>
    <cellStyle name="S0 40" xfId="258"/>
    <cellStyle name="S0 41" xfId="259"/>
    <cellStyle name="S0 42" xfId="260"/>
    <cellStyle name="S0 43" xfId="261"/>
    <cellStyle name="S0 44" xfId="262"/>
    <cellStyle name="S0 45" xfId="263"/>
    <cellStyle name="S0 46" xfId="264"/>
    <cellStyle name="S0 47" xfId="265"/>
    <cellStyle name="S0 48" xfId="266"/>
    <cellStyle name="S0 49" xfId="267"/>
    <cellStyle name="S0 5" xfId="268"/>
    <cellStyle name="S0 50" xfId="269"/>
    <cellStyle name="S0 51" xfId="270"/>
    <cellStyle name="S0 52" xfId="271"/>
    <cellStyle name="S0 53" xfId="272"/>
    <cellStyle name="S0 54" xfId="273"/>
    <cellStyle name="S0 55" xfId="274"/>
    <cellStyle name="S0 56" xfId="275"/>
    <cellStyle name="S0 57" xfId="276"/>
    <cellStyle name="S0 58" xfId="277"/>
    <cellStyle name="S0 59" xfId="278"/>
    <cellStyle name="S0 6" xfId="279"/>
    <cellStyle name="S0 60" xfId="280"/>
    <cellStyle name="S0 61" xfId="281"/>
    <cellStyle name="S0 62" xfId="282"/>
    <cellStyle name="S0 63" xfId="283"/>
    <cellStyle name="S0 64" xfId="284"/>
    <cellStyle name="S0 65" xfId="285"/>
    <cellStyle name="S0 66" xfId="286"/>
    <cellStyle name="S0 67" xfId="287"/>
    <cellStyle name="S0 68" xfId="288"/>
    <cellStyle name="S0 69" xfId="289"/>
    <cellStyle name="S0 7" xfId="290"/>
    <cellStyle name="S0 70" xfId="291"/>
    <cellStyle name="S0 71" xfId="292"/>
    <cellStyle name="S0 72" xfId="293"/>
    <cellStyle name="S0 73" xfId="294"/>
    <cellStyle name="S0 74" xfId="295"/>
    <cellStyle name="S0 75" xfId="296"/>
    <cellStyle name="S0 76" xfId="297"/>
    <cellStyle name="S0 77" xfId="298"/>
    <cellStyle name="S0 78" xfId="299"/>
    <cellStyle name="S0 79" xfId="300"/>
    <cellStyle name="S0 8" xfId="301"/>
    <cellStyle name="S0 80" xfId="302"/>
    <cellStyle name="S0 81" xfId="303"/>
    <cellStyle name="S0 82" xfId="304"/>
    <cellStyle name="S0 83" xfId="305"/>
    <cellStyle name="S0 84" xfId="306"/>
    <cellStyle name="S0 85" xfId="307"/>
    <cellStyle name="S0 86" xfId="308"/>
    <cellStyle name="S0 87" xfId="309"/>
    <cellStyle name="S0 88" xfId="310"/>
    <cellStyle name="S0 89" xfId="311"/>
    <cellStyle name="S0 9" xfId="312"/>
    <cellStyle name="S0 90" xfId="313"/>
    <cellStyle name="S0 91" xfId="314"/>
    <cellStyle name="S0 92" xfId="315"/>
    <cellStyle name="S0 93" xfId="316"/>
    <cellStyle name="S0 94" xfId="317"/>
    <cellStyle name="S0 95" xfId="318"/>
    <cellStyle name="S0 96" xfId="319"/>
    <cellStyle name="S0 97" xfId="320"/>
    <cellStyle name="S0 98" xfId="321"/>
    <cellStyle name="S0 99" xfId="322"/>
    <cellStyle name="S0_Pembelian" xfId="323"/>
    <cellStyle name="S1" xfId="324"/>
    <cellStyle name="S1 10" xfId="325"/>
    <cellStyle name="S1 100" xfId="326"/>
    <cellStyle name="S1 101" xfId="327"/>
    <cellStyle name="S1 102" xfId="328"/>
    <cellStyle name="S1 103" xfId="329"/>
    <cellStyle name="S1 104" xfId="330"/>
    <cellStyle name="S1 105" xfId="331"/>
    <cellStyle name="S1 106" xfId="332"/>
    <cellStyle name="S1 107" xfId="333"/>
    <cellStyle name="S1 108" xfId="334"/>
    <cellStyle name="S1 109" xfId="335"/>
    <cellStyle name="S1 11" xfId="336"/>
    <cellStyle name="S1 110" xfId="337"/>
    <cellStyle name="S1 111" xfId="338"/>
    <cellStyle name="S1 112" xfId="339"/>
    <cellStyle name="S1 113" xfId="340"/>
    <cellStyle name="S1 114" xfId="341"/>
    <cellStyle name="S1 115" xfId="342"/>
    <cellStyle name="S1 116" xfId="343"/>
    <cellStyle name="S1 117" xfId="344"/>
    <cellStyle name="S1 118" xfId="345"/>
    <cellStyle name="S1 119" xfId="346"/>
    <cellStyle name="S1 12" xfId="347"/>
    <cellStyle name="S1 120" xfId="348"/>
    <cellStyle name="S1 121" xfId="349"/>
    <cellStyle name="S1 122" xfId="350"/>
    <cellStyle name="S1 123" xfId="351"/>
    <cellStyle name="S1 124" xfId="352"/>
    <cellStyle name="S1 125" xfId="353"/>
    <cellStyle name="S1 126" xfId="354"/>
    <cellStyle name="S1 127" xfId="355"/>
    <cellStyle name="S1 128" xfId="356"/>
    <cellStyle name="S1 129" xfId="357"/>
    <cellStyle name="S1 13" xfId="358"/>
    <cellStyle name="S1 130" xfId="359"/>
    <cellStyle name="S1 131" xfId="360"/>
    <cellStyle name="S1 132" xfId="361"/>
    <cellStyle name="S1 133" xfId="362"/>
    <cellStyle name="S1 134" xfId="363"/>
    <cellStyle name="S1 135" xfId="364"/>
    <cellStyle name="S1 136" xfId="365"/>
    <cellStyle name="S1 137" xfId="366"/>
    <cellStyle name="S1 138" xfId="367"/>
    <cellStyle name="S1 139" xfId="368"/>
    <cellStyle name="S1 14" xfId="369"/>
    <cellStyle name="S1 140" xfId="370"/>
    <cellStyle name="S1 141" xfId="371"/>
    <cellStyle name="S1 142" xfId="372"/>
    <cellStyle name="S1 143" xfId="373"/>
    <cellStyle name="S1 144" xfId="374"/>
    <cellStyle name="S1 145" xfId="375"/>
    <cellStyle name="S1 146" xfId="376"/>
    <cellStyle name="S1 147" xfId="377"/>
    <cellStyle name="S1 148" xfId="378"/>
    <cellStyle name="S1 149" xfId="379"/>
    <cellStyle name="S1 15" xfId="380"/>
    <cellStyle name="S1 150" xfId="381"/>
    <cellStyle name="S1 151" xfId="382"/>
    <cellStyle name="S1 152" xfId="383"/>
    <cellStyle name="S1 153" xfId="384"/>
    <cellStyle name="S1 154" xfId="385"/>
    <cellStyle name="S1 155" xfId="386"/>
    <cellStyle name="S1 156" xfId="387"/>
    <cellStyle name="S1 157" xfId="388"/>
    <cellStyle name="S1 158" xfId="389"/>
    <cellStyle name="S1 159" xfId="390"/>
    <cellStyle name="S1 16" xfId="391"/>
    <cellStyle name="S1 160" xfId="392"/>
    <cellStyle name="S1 161" xfId="393"/>
    <cellStyle name="S1 162" xfId="394"/>
    <cellStyle name="S1 163" xfId="395"/>
    <cellStyle name="S1 164" xfId="396"/>
    <cellStyle name="S1 165" xfId="397"/>
    <cellStyle name="S1 166" xfId="398"/>
    <cellStyle name="S1 167" xfId="399"/>
    <cellStyle name="S1 168" xfId="400"/>
    <cellStyle name="S1 169" xfId="401"/>
    <cellStyle name="S1 17" xfId="402"/>
    <cellStyle name="S1 170" xfId="403"/>
    <cellStyle name="S1 171" xfId="404"/>
    <cellStyle name="S1 172" xfId="405"/>
    <cellStyle name="S1 173" xfId="406"/>
    <cellStyle name="S1 174" xfId="407"/>
    <cellStyle name="S1 175" xfId="408"/>
    <cellStyle name="S1 176" xfId="409"/>
    <cellStyle name="S1 177" xfId="410"/>
    <cellStyle name="S1 178" xfId="411"/>
    <cellStyle name="S1 179" xfId="412"/>
    <cellStyle name="S1 18" xfId="413"/>
    <cellStyle name="S1 180" xfId="414"/>
    <cellStyle name="S1 181" xfId="415"/>
    <cellStyle name="S1 182" xfId="416"/>
    <cellStyle name="S1 183" xfId="417"/>
    <cellStyle name="S1 184" xfId="418"/>
    <cellStyle name="S1 185" xfId="419"/>
    <cellStyle name="S1 186" xfId="420"/>
    <cellStyle name="S1 187" xfId="421"/>
    <cellStyle name="S1 188" xfId="422"/>
    <cellStyle name="S1 189" xfId="423"/>
    <cellStyle name="S1 19" xfId="424"/>
    <cellStyle name="S1 190" xfId="425"/>
    <cellStyle name="S1 191" xfId="426"/>
    <cellStyle name="S1 192" xfId="427"/>
    <cellStyle name="S1 193" xfId="428"/>
    <cellStyle name="S1 194" xfId="429"/>
    <cellStyle name="S1 195" xfId="430"/>
    <cellStyle name="S1 196" xfId="431"/>
    <cellStyle name="S1 197" xfId="432"/>
    <cellStyle name="S1 198" xfId="433"/>
    <cellStyle name="S1 199" xfId="434"/>
    <cellStyle name="S1 2" xfId="435"/>
    <cellStyle name="S1 20" xfId="436"/>
    <cellStyle name="S1 200" xfId="437"/>
    <cellStyle name="S1 201" xfId="438"/>
    <cellStyle name="S1 202" xfId="439"/>
    <cellStyle name="S1 203" xfId="440"/>
    <cellStyle name="S1 204" xfId="441"/>
    <cellStyle name="S1 205" xfId="442"/>
    <cellStyle name="S1 206" xfId="443"/>
    <cellStyle name="S1 207" xfId="444"/>
    <cellStyle name="S1 208" xfId="445"/>
    <cellStyle name="S1 209" xfId="446"/>
    <cellStyle name="S1 21" xfId="447"/>
    <cellStyle name="S1 210" xfId="448"/>
    <cellStyle name="S1 211" xfId="449"/>
    <cellStyle name="S1 212" xfId="450"/>
    <cellStyle name="S1 213" xfId="451"/>
    <cellStyle name="S1 214" xfId="452"/>
    <cellStyle name="S1 215" xfId="453"/>
    <cellStyle name="S1 216" xfId="454"/>
    <cellStyle name="S1 217" xfId="455"/>
    <cellStyle name="S1 218" xfId="456"/>
    <cellStyle name="S1 219" xfId="457"/>
    <cellStyle name="S1 22" xfId="458"/>
    <cellStyle name="S1 220" xfId="459"/>
    <cellStyle name="S1 221" xfId="460"/>
    <cellStyle name="S1 222" xfId="461"/>
    <cellStyle name="S1 223" xfId="462"/>
    <cellStyle name="S1 224" xfId="463"/>
    <cellStyle name="S1 225" xfId="464"/>
    <cellStyle name="S1 226" xfId="465"/>
    <cellStyle name="S1 227" xfId="466"/>
    <cellStyle name="S1 228" xfId="467"/>
    <cellStyle name="S1 229" xfId="468"/>
    <cellStyle name="S1 23" xfId="469"/>
    <cellStyle name="S1 230" xfId="470"/>
    <cellStyle name="S1 231" xfId="471"/>
    <cellStyle name="S1 232" xfId="472"/>
    <cellStyle name="S1 233" xfId="473"/>
    <cellStyle name="S1 234" xfId="474"/>
    <cellStyle name="S1 235" xfId="475"/>
    <cellStyle name="S1 236" xfId="476"/>
    <cellStyle name="S1 237" xfId="477"/>
    <cellStyle name="S1 238" xfId="478"/>
    <cellStyle name="S1 239" xfId="479"/>
    <cellStyle name="S1 24" xfId="480"/>
    <cellStyle name="S1 240" xfId="481"/>
    <cellStyle name="S1 241" xfId="482"/>
    <cellStyle name="S1 242" xfId="483"/>
    <cellStyle name="S1 243" xfId="484"/>
    <cellStyle name="S1 244" xfId="485"/>
    <cellStyle name="S1 245" xfId="486"/>
    <cellStyle name="S1 246" xfId="487"/>
    <cellStyle name="S1 247" xfId="488"/>
    <cellStyle name="S1 248" xfId="489"/>
    <cellStyle name="S1 249" xfId="490"/>
    <cellStyle name="S1 25" xfId="491"/>
    <cellStyle name="S1 250" xfId="492"/>
    <cellStyle name="S1 251" xfId="493"/>
    <cellStyle name="S1 252" xfId="494"/>
    <cellStyle name="S1 253" xfId="495"/>
    <cellStyle name="S1 254" xfId="496"/>
    <cellStyle name="S1 255" xfId="497"/>
    <cellStyle name="S1 256" xfId="498"/>
    <cellStyle name="S1 257" xfId="499"/>
    <cellStyle name="S1 258" xfId="500"/>
    <cellStyle name="S1 259" xfId="501"/>
    <cellStyle name="S1 26" xfId="502"/>
    <cellStyle name="S1 260" xfId="503"/>
    <cellStyle name="S1 261" xfId="504"/>
    <cellStyle name="S1 262" xfId="505"/>
    <cellStyle name="S1 263" xfId="506"/>
    <cellStyle name="S1 264" xfId="507"/>
    <cellStyle name="S1 265" xfId="508"/>
    <cellStyle name="S1 265 2" xfId="509"/>
    <cellStyle name="S1 266" xfId="510"/>
    <cellStyle name="S1 267" xfId="511"/>
    <cellStyle name="S1 27" xfId="512"/>
    <cellStyle name="S1 28" xfId="513"/>
    <cellStyle name="S1 29" xfId="514"/>
    <cellStyle name="S1 3" xfId="515"/>
    <cellStyle name="S1 30" xfId="516"/>
    <cellStyle name="S1 31" xfId="517"/>
    <cellStyle name="S1 32" xfId="518"/>
    <cellStyle name="S1 33" xfId="519"/>
    <cellStyle name="S1 34" xfId="520"/>
    <cellStyle name="S1 35" xfId="521"/>
    <cellStyle name="S1 36" xfId="522"/>
    <cellStyle name="S1 37" xfId="523"/>
    <cellStyle name="S1 38" xfId="524"/>
    <cellStyle name="S1 39" xfId="525"/>
    <cellStyle name="S1 4" xfId="526"/>
    <cellStyle name="S1 40" xfId="527"/>
    <cellStyle name="S1 41" xfId="528"/>
    <cellStyle name="S1 42" xfId="529"/>
    <cellStyle name="S1 43" xfId="530"/>
    <cellStyle name="S1 44" xfId="531"/>
    <cellStyle name="S1 45" xfId="532"/>
    <cellStyle name="S1 46" xfId="533"/>
    <cellStyle name="S1 47" xfId="534"/>
    <cellStyle name="S1 48" xfId="535"/>
    <cellStyle name="S1 49" xfId="536"/>
    <cellStyle name="S1 5" xfId="537"/>
    <cellStyle name="S1 50" xfId="538"/>
    <cellStyle name="S1 51" xfId="539"/>
    <cellStyle name="S1 52" xfId="540"/>
    <cellStyle name="S1 53" xfId="541"/>
    <cellStyle name="S1 54" xfId="542"/>
    <cellStyle name="S1 55" xfId="543"/>
    <cellStyle name="S1 56" xfId="544"/>
    <cellStyle name="S1 57" xfId="545"/>
    <cellStyle name="S1 58" xfId="546"/>
    <cellStyle name="S1 59" xfId="547"/>
    <cellStyle name="S1 6" xfId="548"/>
    <cellStyle name="S1 60" xfId="549"/>
    <cellStyle name="S1 61" xfId="550"/>
    <cellStyle name="S1 62" xfId="551"/>
    <cellStyle name="S1 63" xfId="552"/>
    <cellStyle name="S1 64" xfId="553"/>
    <cellStyle name="S1 65" xfId="554"/>
    <cellStyle name="S1 66" xfId="555"/>
    <cellStyle name="S1 67" xfId="556"/>
    <cellStyle name="S1 68" xfId="557"/>
    <cellStyle name="S1 69" xfId="558"/>
    <cellStyle name="S1 7" xfId="559"/>
    <cellStyle name="S1 70" xfId="560"/>
    <cellStyle name="S1 71" xfId="561"/>
    <cellStyle name="S1 72" xfId="562"/>
    <cellStyle name="S1 73" xfId="563"/>
    <cellStyle name="S1 74" xfId="564"/>
    <cellStyle name="S1 75" xfId="565"/>
    <cellStyle name="S1 76" xfId="566"/>
    <cellStyle name="S1 77" xfId="567"/>
    <cellStyle name="S1 78" xfId="568"/>
    <cellStyle name="S1 79" xfId="569"/>
    <cellStyle name="S1 8" xfId="570"/>
    <cellStyle name="S1 80" xfId="571"/>
    <cellStyle name="S1 81" xfId="572"/>
    <cellStyle name="S1 82" xfId="573"/>
    <cellStyle name="S1 83" xfId="574"/>
    <cellStyle name="S1 84" xfId="575"/>
    <cellStyle name="S1 85" xfId="576"/>
    <cellStyle name="S1 86" xfId="577"/>
    <cellStyle name="S1 87" xfId="578"/>
    <cellStyle name="S1 88" xfId="579"/>
    <cellStyle name="S1 89" xfId="580"/>
    <cellStyle name="S1 9" xfId="581"/>
    <cellStyle name="S1 90" xfId="582"/>
    <cellStyle name="S1 91" xfId="583"/>
    <cellStyle name="S1 92" xfId="584"/>
    <cellStyle name="S1 93" xfId="585"/>
    <cellStyle name="S1 94" xfId="586"/>
    <cellStyle name="S1 95" xfId="587"/>
    <cellStyle name="S1 96" xfId="588"/>
    <cellStyle name="S1 97" xfId="589"/>
    <cellStyle name="S1 98" xfId="590"/>
    <cellStyle name="S1 99" xfId="591"/>
    <cellStyle name="S1_Pembelian" xfId="592"/>
    <cellStyle name="S10" xfId="593"/>
    <cellStyle name="S10 10" xfId="594"/>
    <cellStyle name="S10 11" xfId="595"/>
    <cellStyle name="S10 12" xfId="596"/>
    <cellStyle name="S10 13" xfId="597"/>
    <cellStyle name="S10 13 2" xfId="598"/>
    <cellStyle name="S10 14" xfId="599"/>
    <cellStyle name="S10 15" xfId="600"/>
    <cellStyle name="S10 16" xfId="601"/>
    <cellStyle name="S10 17" xfId="602"/>
    <cellStyle name="S10 18" xfId="603"/>
    <cellStyle name="S10 19" xfId="604"/>
    <cellStyle name="S10 2" xfId="605"/>
    <cellStyle name="S10 3" xfId="606"/>
    <cellStyle name="S10 3 2" xfId="607"/>
    <cellStyle name="S10 4" xfId="608"/>
    <cellStyle name="S10 5" xfId="609"/>
    <cellStyle name="S10 6" xfId="610"/>
    <cellStyle name="S10 7" xfId="611"/>
    <cellStyle name="S10 8" xfId="612"/>
    <cellStyle name="S10 9" xfId="613"/>
    <cellStyle name="S10_Pembelian" xfId="614"/>
    <cellStyle name="S11" xfId="615"/>
    <cellStyle name="S11 10" xfId="616"/>
    <cellStyle name="S11 10 2" xfId="617"/>
    <cellStyle name="S11 11" xfId="618"/>
    <cellStyle name="S11 12" xfId="619"/>
    <cellStyle name="S11 13" xfId="620"/>
    <cellStyle name="S11 14" xfId="621"/>
    <cellStyle name="S11 14 2" xfId="622"/>
    <cellStyle name="S11 15" xfId="623"/>
    <cellStyle name="S11 16" xfId="624"/>
    <cellStyle name="S11 2" xfId="625"/>
    <cellStyle name="S11 3" xfId="626"/>
    <cellStyle name="S11 3 2" xfId="627"/>
    <cellStyle name="S11 4" xfId="628"/>
    <cellStyle name="S11 5" xfId="629"/>
    <cellStyle name="S11 6" xfId="630"/>
    <cellStyle name="S11 7" xfId="631"/>
    <cellStyle name="S11 8" xfId="632"/>
    <cellStyle name="S11 9" xfId="633"/>
    <cellStyle name="S11_Pembelian" xfId="634"/>
    <cellStyle name="S12" xfId="635"/>
    <cellStyle name="S12 10" xfId="636"/>
    <cellStyle name="S12 11" xfId="637"/>
    <cellStyle name="S12 2" xfId="638"/>
    <cellStyle name="S12 3" xfId="639"/>
    <cellStyle name="S12 4" xfId="640"/>
    <cellStyle name="S12 5" xfId="641"/>
    <cellStyle name="S12 6" xfId="642"/>
    <cellStyle name="S12 6 2" xfId="643"/>
    <cellStyle name="S12 7" xfId="644"/>
    <cellStyle name="S12 8" xfId="645"/>
    <cellStyle name="S12 9" xfId="646"/>
    <cellStyle name="S12_Pembelian" xfId="647"/>
    <cellStyle name="S13" xfId="648"/>
    <cellStyle name="S13 10" xfId="649"/>
    <cellStyle name="S13 11" xfId="650"/>
    <cellStyle name="S13 12" xfId="651"/>
    <cellStyle name="S13 2" xfId="652"/>
    <cellStyle name="S13 3" xfId="653"/>
    <cellStyle name="S13 4" xfId="654"/>
    <cellStyle name="S13 4 2" xfId="655"/>
    <cellStyle name="S13 5" xfId="656"/>
    <cellStyle name="S13 6" xfId="657"/>
    <cellStyle name="S13 7" xfId="658"/>
    <cellStyle name="S13 7 2" xfId="659"/>
    <cellStyle name="S13 8" xfId="660"/>
    <cellStyle name="S13 9" xfId="661"/>
    <cellStyle name="S13_Pembelian" xfId="662"/>
    <cellStyle name="S14" xfId="663"/>
    <cellStyle name="S14 10" xfId="664"/>
    <cellStyle name="S14 2" xfId="665"/>
    <cellStyle name="S14 3" xfId="666"/>
    <cellStyle name="S14 3 2" xfId="667"/>
    <cellStyle name="S14 4" xfId="668"/>
    <cellStyle name="S14 5" xfId="669"/>
    <cellStyle name="S14 6" xfId="670"/>
    <cellStyle name="S14 7" xfId="671"/>
    <cellStyle name="S14 8" xfId="672"/>
    <cellStyle name="S14 9" xfId="673"/>
    <cellStyle name="S14_Pembelian" xfId="674"/>
    <cellStyle name="S15" xfId="675"/>
    <cellStyle name="S15 2" xfId="676"/>
    <cellStyle name="S15 3" xfId="677"/>
    <cellStyle name="S15 3 2" xfId="678"/>
    <cellStyle name="S15 4" xfId="679"/>
    <cellStyle name="S15 4 2" xfId="680"/>
    <cellStyle name="S15 5" xfId="681"/>
    <cellStyle name="S15 6" xfId="682"/>
    <cellStyle name="S15 7" xfId="683"/>
    <cellStyle name="S15_Pembelian" xfId="684"/>
    <cellStyle name="S16" xfId="685"/>
    <cellStyle name="S16 2" xfId="686"/>
    <cellStyle name="S16 3" xfId="687"/>
    <cellStyle name="S16 4" xfId="688"/>
    <cellStyle name="S16 5" xfId="689"/>
    <cellStyle name="S16 6" xfId="690"/>
    <cellStyle name="S16_Pembelian" xfId="691"/>
    <cellStyle name="S17" xfId="692"/>
    <cellStyle name="S17 2" xfId="693"/>
    <cellStyle name="S17 3" xfId="694"/>
    <cellStyle name="S17 4" xfId="695"/>
    <cellStyle name="S17_Pembelian" xfId="696"/>
    <cellStyle name="S18" xfId="697"/>
    <cellStyle name="S18 2" xfId="698"/>
    <cellStyle name="S18 3" xfId="699"/>
    <cellStyle name="S18 4" xfId="700"/>
    <cellStyle name="S18_Pembelian" xfId="701"/>
    <cellStyle name="S2" xfId="702"/>
    <cellStyle name="S2 10" xfId="703"/>
    <cellStyle name="S2 100" xfId="704"/>
    <cellStyle name="S2 101" xfId="705"/>
    <cellStyle name="S2 102" xfId="706"/>
    <cellStyle name="S2 103" xfId="707"/>
    <cellStyle name="S2 104" xfId="708"/>
    <cellStyle name="S2 105" xfId="709"/>
    <cellStyle name="S2 106" xfId="710"/>
    <cellStyle name="S2 107" xfId="711"/>
    <cellStyle name="S2 108" xfId="712"/>
    <cellStyle name="S2 109" xfId="713"/>
    <cellStyle name="S2 11" xfId="714"/>
    <cellStyle name="S2 110" xfId="715"/>
    <cellStyle name="S2 111" xfId="716"/>
    <cellStyle name="S2 112" xfId="717"/>
    <cellStyle name="S2 113" xfId="718"/>
    <cellStyle name="S2 114" xfId="719"/>
    <cellStyle name="S2 115" xfId="720"/>
    <cellStyle name="S2 116" xfId="721"/>
    <cellStyle name="S2 117" xfId="722"/>
    <cellStyle name="S2 118" xfId="723"/>
    <cellStyle name="S2 119" xfId="724"/>
    <cellStyle name="S2 12" xfId="725"/>
    <cellStyle name="S2 120" xfId="726"/>
    <cellStyle name="S2 121" xfId="727"/>
    <cellStyle name="S2 122" xfId="728"/>
    <cellStyle name="S2 123" xfId="729"/>
    <cellStyle name="S2 124" xfId="730"/>
    <cellStyle name="S2 125" xfId="731"/>
    <cellStyle name="S2 126" xfId="732"/>
    <cellStyle name="S2 127" xfId="733"/>
    <cellStyle name="S2 128" xfId="734"/>
    <cellStyle name="S2 129" xfId="735"/>
    <cellStyle name="S2 13" xfId="736"/>
    <cellStyle name="S2 130" xfId="737"/>
    <cellStyle name="S2 131" xfId="738"/>
    <cellStyle name="S2 132" xfId="739"/>
    <cellStyle name="S2 133" xfId="740"/>
    <cellStyle name="S2 134" xfId="741"/>
    <cellStyle name="S2 135" xfId="742"/>
    <cellStyle name="S2 136" xfId="743"/>
    <cellStyle name="S2 137" xfId="744"/>
    <cellStyle name="S2 138" xfId="745"/>
    <cellStyle name="S2 139" xfId="746"/>
    <cellStyle name="S2 14" xfId="747"/>
    <cellStyle name="S2 140" xfId="748"/>
    <cellStyle name="S2 141" xfId="749"/>
    <cellStyle name="S2 142" xfId="750"/>
    <cellStyle name="S2 143" xfId="751"/>
    <cellStyle name="S2 144" xfId="752"/>
    <cellStyle name="S2 145" xfId="753"/>
    <cellStyle name="S2 146" xfId="754"/>
    <cellStyle name="S2 147" xfId="755"/>
    <cellStyle name="S2 148" xfId="756"/>
    <cellStyle name="S2 149" xfId="757"/>
    <cellStyle name="S2 15" xfId="758"/>
    <cellStyle name="S2 150" xfId="759"/>
    <cellStyle name="S2 151" xfId="760"/>
    <cellStyle name="S2 152" xfId="761"/>
    <cellStyle name="S2 153" xfId="762"/>
    <cellStyle name="S2 154" xfId="763"/>
    <cellStyle name="S2 155" xfId="764"/>
    <cellStyle name="S2 156" xfId="765"/>
    <cellStyle name="S2 157" xfId="766"/>
    <cellStyle name="S2 158" xfId="767"/>
    <cellStyle name="S2 159" xfId="768"/>
    <cellStyle name="S2 16" xfId="769"/>
    <cellStyle name="S2 160" xfId="770"/>
    <cellStyle name="S2 161" xfId="771"/>
    <cellStyle name="S2 162" xfId="772"/>
    <cellStyle name="S2 163" xfId="773"/>
    <cellStyle name="S2 164" xfId="774"/>
    <cellStyle name="S2 165" xfId="775"/>
    <cellStyle name="S2 166" xfId="776"/>
    <cellStyle name="S2 167" xfId="777"/>
    <cellStyle name="S2 168" xfId="778"/>
    <cellStyle name="S2 169" xfId="779"/>
    <cellStyle name="S2 17" xfId="780"/>
    <cellStyle name="S2 170" xfId="781"/>
    <cellStyle name="S2 171" xfId="782"/>
    <cellStyle name="S2 172" xfId="783"/>
    <cellStyle name="S2 173" xfId="784"/>
    <cellStyle name="S2 174" xfId="785"/>
    <cellStyle name="S2 175" xfId="786"/>
    <cellStyle name="S2 176" xfId="787"/>
    <cellStyle name="S2 177" xfId="788"/>
    <cellStyle name="S2 178" xfId="789"/>
    <cellStyle name="S2 179" xfId="790"/>
    <cellStyle name="S2 18" xfId="791"/>
    <cellStyle name="S2 180" xfId="792"/>
    <cellStyle name="S2 181" xfId="793"/>
    <cellStyle name="S2 182" xfId="794"/>
    <cellStyle name="S2 183" xfId="795"/>
    <cellStyle name="S2 184" xfId="796"/>
    <cellStyle name="S2 185" xfId="797"/>
    <cellStyle name="S2 186" xfId="798"/>
    <cellStyle name="S2 187" xfId="799"/>
    <cellStyle name="S2 188" xfId="800"/>
    <cellStyle name="S2 189" xfId="801"/>
    <cellStyle name="S2 19" xfId="802"/>
    <cellStyle name="S2 190" xfId="803"/>
    <cellStyle name="S2 191" xfId="804"/>
    <cellStyle name="S2 192" xfId="805"/>
    <cellStyle name="S2 193" xfId="806"/>
    <cellStyle name="S2 194" xfId="807"/>
    <cellStyle name="S2 195" xfId="808"/>
    <cellStyle name="S2 196" xfId="809"/>
    <cellStyle name="S2 197" xfId="810"/>
    <cellStyle name="S2 198" xfId="811"/>
    <cellStyle name="S2 199" xfId="812"/>
    <cellStyle name="S2 2" xfId="813"/>
    <cellStyle name="S2 20" xfId="814"/>
    <cellStyle name="S2 200" xfId="815"/>
    <cellStyle name="S2 201" xfId="816"/>
    <cellStyle name="S2 202" xfId="817"/>
    <cellStyle name="S2 203" xfId="818"/>
    <cellStyle name="S2 204" xfId="819"/>
    <cellStyle name="S2 205" xfId="820"/>
    <cellStyle name="S2 206" xfId="821"/>
    <cellStyle name="S2 207" xfId="822"/>
    <cellStyle name="S2 208" xfId="823"/>
    <cellStyle name="S2 209" xfId="824"/>
    <cellStyle name="S2 21" xfId="825"/>
    <cellStyle name="S2 210" xfId="826"/>
    <cellStyle name="S2 211" xfId="827"/>
    <cellStyle name="S2 212" xfId="828"/>
    <cellStyle name="S2 213" xfId="829"/>
    <cellStyle name="S2 214" xfId="830"/>
    <cellStyle name="S2 215" xfId="831"/>
    <cellStyle name="S2 216" xfId="832"/>
    <cellStyle name="S2 217" xfId="833"/>
    <cellStyle name="S2 218" xfId="834"/>
    <cellStyle name="S2 219" xfId="835"/>
    <cellStyle name="S2 22" xfId="836"/>
    <cellStyle name="S2 220" xfId="837"/>
    <cellStyle name="S2 221" xfId="838"/>
    <cellStyle name="S2 222" xfId="839"/>
    <cellStyle name="S2 223" xfId="840"/>
    <cellStyle name="S2 224" xfId="841"/>
    <cellStyle name="S2 225" xfId="842"/>
    <cellStyle name="S2 226" xfId="843"/>
    <cellStyle name="S2 227" xfId="844"/>
    <cellStyle name="S2 228" xfId="845"/>
    <cellStyle name="S2 229" xfId="846"/>
    <cellStyle name="S2 23" xfId="847"/>
    <cellStyle name="S2 230" xfId="848"/>
    <cellStyle name="S2 231" xfId="849"/>
    <cellStyle name="S2 232" xfId="850"/>
    <cellStyle name="S2 233" xfId="851"/>
    <cellStyle name="S2 234" xfId="852"/>
    <cellStyle name="S2 235" xfId="853"/>
    <cellStyle name="S2 236" xfId="854"/>
    <cellStyle name="S2 237" xfId="855"/>
    <cellStyle name="S2 238" xfId="856"/>
    <cellStyle name="S2 239" xfId="857"/>
    <cellStyle name="S2 24" xfId="858"/>
    <cellStyle name="S2 240" xfId="859"/>
    <cellStyle name="S2 241" xfId="860"/>
    <cellStyle name="S2 242" xfId="861"/>
    <cellStyle name="S2 243" xfId="862"/>
    <cellStyle name="S2 244" xfId="863"/>
    <cellStyle name="S2 245" xfId="864"/>
    <cellStyle name="S2 246" xfId="865"/>
    <cellStyle name="S2 247" xfId="866"/>
    <cellStyle name="S2 248" xfId="867"/>
    <cellStyle name="S2 249" xfId="868"/>
    <cellStyle name="S2 25" xfId="869"/>
    <cellStyle name="S2 250" xfId="870"/>
    <cellStyle name="S2 251" xfId="871"/>
    <cellStyle name="S2 252" xfId="872"/>
    <cellStyle name="S2 253" xfId="873"/>
    <cellStyle name="S2 254" xfId="874"/>
    <cellStyle name="S2 255" xfId="875"/>
    <cellStyle name="S2 256" xfId="876"/>
    <cellStyle name="S2 257" xfId="877"/>
    <cellStyle name="S2 258" xfId="878"/>
    <cellStyle name="S2 259" xfId="879"/>
    <cellStyle name="S2 26" xfId="880"/>
    <cellStyle name="S2 260" xfId="881"/>
    <cellStyle name="S2 261" xfId="882"/>
    <cellStyle name="S2 262" xfId="883"/>
    <cellStyle name="S2 263" xfId="884"/>
    <cellStyle name="S2 264" xfId="885"/>
    <cellStyle name="S2 265" xfId="886"/>
    <cellStyle name="S2 265 2" xfId="887"/>
    <cellStyle name="S2 266" xfId="888"/>
    <cellStyle name="S2 267" xfId="889"/>
    <cellStyle name="S2 27" xfId="890"/>
    <cellStyle name="S2 28" xfId="891"/>
    <cellStyle name="S2 29" xfId="892"/>
    <cellStyle name="S2 3" xfId="893"/>
    <cellStyle name="S2 30" xfId="894"/>
    <cellStyle name="S2 31" xfId="895"/>
    <cellStyle name="S2 32" xfId="896"/>
    <cellStyle name="S2 33" xfId="897"/>
    <cellStyle name="S2 34" xfId="898"/>
    <cellStyle name="S2 35" xfId="899"/>
    <cellStyle name="S2 36" xfId="900"/>
    <cellStyle name="S2 37" xfId="901"/>
    <cellStyle name="S2 38" xfId="902"/>
    <cellStyle name="S2 39" xfId="903"/>
    <cellStyle name="S2 4" xfId="904"/>
    <cellStyle name="S2 40" xfId="905"/>
    <cellStyle name="S2 41" xfId="906"/>
    <cellStyle name="S2 42" xfId="907"/>
    <cellStyle name="S2 43" xfId="908"/>
    <cellStyle name="S2 44" xfId="909"/>
    <cellStyle name="S2 45" xfId="910"/>
    <cellStyle name="S2 46" xfId="911"/>
    <cellStyle name="S2 47" xfId="912"/>
    <cellStyle name="S2 48" xfId="913"/>
    <cellStyle name="S2 49" xfId="914"/>
    <cellStyle name="S2 5" xfId="915"/>
    <cellStyle name="S2 50" xfId="916"/>
    <cellStyle name="S2 51" xfId="917"/>
    <cellStyle name="S2 52" xfId="918"/>
    <cellStyle name="S2 53" xfId="919"/>
    <cellStyle name="S2 54" xfId="920"/>
    <cellStyle name="S2 55" xfId="921"/>
    <cellStyle name="S2 56" xfId="922"/>
    <cellStyle name="S2 57" xfId="923"/>
    <cellStyle name="S2 58" xfId="924"/>
    <cellStyle name="S2 59" xfId="925"/>
    <cellStyle name="S2 6" xfId="926"/>
    <cellStyle name="S2 60" xfId="927"/>
    <cellStyle name="S2 61" xfId="928"/>
    <cellStyle name="S2 62" xfId="929"/>
    <cellStyle name="S2 63" xfId="930"/>
    <cellStyle name="S2 64" xfId="931"/>
    <cellStyle name="S2 65" xfId="932"/>
    <cellStyle name="S2 66" xfId="933"/>
    <cellStyle name="S2 67" xfId="934"/>
    <cellStyle name="S2 68" xfId="935"/>
    <cellStyle name="S2 69" xfId="936"/>
    <cellStyle name="S2 7" xfId="937"/>
    <cellStyle name="S2 70" xfId="938"/>
    <cellStyle name="S2 71" xfId="939"/>
    <cellStyle name="S2 72" xfId="940"/>
    <cellStyle name="S2 73" xfId="941"/>
    <cellStyle name="S2 74" xfId="942"/>
    <cellStyle name="S2 75" xfId="943"/>
    <cellStyle name="S2 76" xfId="944"/>
    <cellStyle name="S2 77" xfId="945"/>
    <cellStyle name="S2 78" xfId="946"/>
    <cellStyle name="S2 79" xfId="947"/>
    <cellStyle name="S2 8" xfId="948"/>
    <cellStyle name="S2 80" xfId="949"/>
    <cellStyle name="S2 81" xfId="950"/>
    <cellStyle name="S2 82" xfId="951"/>
    <cellStyle name="S2 83" xfId="952"/>
    <cellStyle name="S2 84" xfId="953"/>
    <cellStyle name="S2 85" xfId="954"/>
    <cellStyle name="S2 86" xfId="955"/>
    <cellStyle name="S2 87" xfId="956"/>
    <cellStyle name="S2 88" xfId="957"/>
    <cellStyle name="S2 89" xfId="958"/>
    <cellStyle name="S2 9" xfId="959"/>
    <cellStyle name="S2 90" xfId="960"/>
    <cellStyle name="S2 91" xfId="961"/>
    <cellStyle name="S2 92" xfId="962"/>
    <cellStyle name="S2 93" xfId="963"/>
    <cellStyle name="S2 94" xfId="964"/>
    <cellStyle name="S2 95" xfId="965"/>
    <cellStyle name="S2 96" xfId="966"/>
    <cellStyle name="S2 97" xfId="967"/>
    <cellStyle name="S2 98" xfId="968"/>
    <cellStyle name="S2 99" xfId="969"/>
    <cellStyle name="S2_Pembelian" xfId="970"/>
    <cellStyle name="S3" xfId="971"/>
    <cellStyle name="S3 10" xfId="972"/>
    <cellStyle name="S3 11" xfId="973"/>
    <cellStyle name="S3 2" xfId="974"/>
    <cellStyle name="S3 3" xfId="975"/>
    <cellStyle name="S3 4" xfId="976"/>
    <cellStyle name="S3 5" xfId="977"/>
    <cellStyle name="S3 6" xfId="978"/>
    <cellStyle name="S3 7" xfId="979"/>
    <cellStyle name="S3 8" xfId="980"/>
    <cellStyle name="S3 9" xfId="981"/>
    <cellStyle name="S3 9 2" xfId="982"/>
    <cellStyle name="S3_Pembelian" xfId="983"/>
    <cellStyle name="S4" xfId="984"/>
    <cellStyle name="S4 10" xfId="985"/>
    <cellStyle name="S4 11" xfId="986"/>
    <cellStyle name="S4 12" xfId="987"/>
    <cellStyle name="S4 12 2" xfId="988"/>
    <cellStyle name="S4 13" xfId="989"/>
    <cellStyle name="S4 14" xfId="990"/>
    <cellStyle name="S4 14 2" xfId="991"/>
    <cellStyle name="S4 15" xfId="992"/>
    <cellStyle name="S4 16" xfId="993"/>
    <cellStyle name="S4 19" xfId="994"/>
    <cellStyle name="S4 2" xfId="995"/>
    <cellStyle name="S4 3" xfId="996"/>
    <cellStyle name="S4 4" xfId="997"/>
    <cellStyle name="S4 5" xfId="998"/>
    <cellStyle name="S4 6" xfId="999"/>
    <cellStyle name="S4 7" xfId="1000"/>
    <cellStyle name="S4 8" xfId="1001"/>
    <cellStyle name="S4 9" xfId="1002"/>
    <cellStyle name="S4 9 2" xfId="1003"/>
    <cellStyle name="S4_Pembelian" xfId="1004"/>
    <cellStyle name="S5" xfId="1005"/>
    <cellStyle name="S5 10" xfId="1006"/>
    <cellStyle name="S5 10 2" xfId="1007"/>
    <cellStyle name="S5 11" xfId="1008"/>
    <cellStyle name="S5 12" xfId="1009"/>
    <cellStyle name="S5 13" xfId="1010"/>
    <cellStyle name="S5 19" xfId="1011"/>
    <cellStyle name="S5 2" xfId="1012"/>
    <cellStyle name="S5 2 2" xfId="1013"/>
    <cellStyle name="S5 3" xfId="1014"/>
    <cellStyle name="S5 3 2" xfId="1015"/>
    <cellStyle name="S5 4" xfId="1016"/>
    <cellStyle name="S5 5" xfId="1017"/>
    <cellStyle name="S5 6" xfId="1018"/>
    <cellStyle name="S5 7" xfId="1019"/>
    <cellStyle name="S5 8" xfId="1020"/>
    <cellStyle name="S5 9" xfId="1021"/>
    <cellStyle name="S5 9 2" xfId="1022"/>
    <cellStyle name="S5_Pembelian" xfId="1023"/>
    <cellStyle name="S6" xfId="1024"/>
    <cellStyle name="S6 10" xfId="1025"/>
    <cellStyle name="S6 11" xfId="1026"/>
    <cellStyle name="S6 11 2" xfId="1027"/>
    <cellStyle name="S6 12" xfId="1028"/>
    <cellStyle name="S6 13" xfId="1029"/>
    <cellStyle name="S6 13 2" xfId="1030"/>
    <cellStyle name="S6 14" xfId="1031"/>
    <cellStyle name="S6 15" xfId="1032"/>
    <cellStyle name="S6 16" xfId="1033"/>
    <cellStyle name="S6 17" xfId="1034"/>
    <cellStyle name="S6 18" xfId="1035"/>
    <cellStyle name="S6 2" xfId="1036"/>
    <cellStyle name="S6 3" xfId="1037"/>
    <cellStyle name="S6 4" xfId="1038"/>
    <cellStyle name="S6 5" xfId="1039"/>
    <cellStyle name="S6 6" xfId="1040"/>
    <cellStyle name="S6 7" xfId="1041"/>
    <cellStyle name="S6 8" xfId="1042"/>
    <cellStyle name="S6 9" xfId="1043"/>
    <cellStyle name="S6_Pembelian" xfId="1044"/>
    <cellStyle name="S7" xfId="1045"/>
    <cellStyle name="S7 10" xfId="1046"/>
    <cellStyle name="S7 10 2" xfId="1047"/>
    <cellStyle name="S7 11" xfId="1048"/>
    <cellStyle name="S7 12" xfId="1049"/>
    <cellStyle name="S7 12 2" xfId="1050"/>
    <cellStyle name="S7 13" xfId="1051"/>
    <cellStyle name="S7 14" xfId="1052"/>
    <cellStyle name="S7 15" xfId="1053"/>
    <cellStyle name="S7 16" xfId="1054"/>
    <cellStyle name="S7 19" xfId="7"/>
    <cellStyle name="S7 19 2" xfId="1055"/>
    <cellStyle name="S7 2" xfId="1056"/>
    <cellStyle name="S7 3" xfId="1057"/>
    <cellStyle name="S7 4" xfId="1058"/>
    <cellStyle name="S7 5" xfId="1059"/>
    <cellStyle name="S7 6" xfId="1060"/>
    <cellStyle name="S7 7" xfId="1061"/>
    <cellStyle name="S7 8" xfId="1062"/>
    <cellStyle name="S7 9" xfId="1063"/>
    <cellStyle name="S7_Pembelian" xfId="1064"/>
    <cellStyle name="S8" xfId="1065"/>
    <cellStyle name="S8 10" xfId="1066"/>
    <cellStyle name="S8 11" xfId="1067"/>
    <cellStyle name="S8 12" xfId="1068"/>
    <cellStyle name="S8 13" xfId="1069"/>
    <cellStyle name="S8 14" xfId="1070"/>
    <cellStyle name="S8 2" xfId="1071"/>
    <cellStyle name="S8 3" xfId="1072"/>
    <cellStyle name="S8 4" xfId="1073"/>
    <cellStyle name="S8 5" xfId="1074"/>
    <cellStyle name="S8 5 2" xfId="1075"/>
    <cellStyle name="S8 6" xfId="1076"/>
    <cellStyle name="S8 7" xfId="1077"/>
    <cellStyle name="S8 8" xfId="6"/>
    <cellStyle name="S8 9" xfId="1078"/>
    <cellStyle name="S8 9 2" xfId="1079"/>
    <cellStyle name="S8_Pembelian" xfId="1080"/>
    <cellStyle name="S9" xfId="1081"/>
    <cellStyle name="S9 10" xfId="1082"/>
    <cellStyle name="S9 11" xfId="1083"/>
    <cellStyle name="S9 11 2" xfId="1084"/>
    <cellStyle name="S9 12" xfId="1085"/>
    <cellStyle name="S9 13" xfId="1086"/>
    <cellStyle name="S9 14" xfId="1087"/>
    <cellStyle name="S9 15" xfId="1088"/>
    <cellStyle name="S9 16" xfId="1089"/>
    <cellStyle name="S9 17" xfId="1090"/>
    <cellStyle name="S9 2" xfId="1091"/>
    <cellStyle name="S9 3" xfId="1092"/>
    <cellStyle name="S9 4" xfId="1093"/>
    <cellStyle name="S9 5" xfId="1094"/>
    <cellStyle name="S9 6" xfId="1095"/>
    <cellStyle name="S9 7" xfId="1096"/>
    <cellStyle name="S9 8" xfId="1097"/>
    <cellStyle name="S9 9" xfId="1098"/>
    <cellStyle name="S9_Pembelian" xfId="1099"/>
  </cellStyles>
  <dxfs count="10"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33CC"/>
        <name val="Calibri"/>
        <scheme val="minor"/>
      </font>
      <numFmt numFmtId="167" formatCode="[$-409]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outline="0"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</dxfs>
  <tableStyles count="0" defaultTableStyle="TableStyleMedium2" defaultPivotStyle="PivotStyleLight16"/>
  <colors>
    <mruColors>
      <color rgb="FF0000FF"/>
      <color rgb="FFE75BC2"/>
      <color rgb="FF00A200"/>
      <color rgb="FF008000"/>
      <color rgb="FFFFFFCC"/>
      <color rgb="FF44E48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51\wahyu\1Pribadi\KPI%20EXCE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c-fin\wahyu\1Pribadi\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le3" displayName="Table3" ref="A5:G68" totalsRowShown="0" headerRowDxfId="9" dataDxfId="8" tableBorderDxfId="7" dataCellStyle="Comma [0] 2">
  <autoFilter ref="A5:G68"/>
  <tableColumns count="7">
    <tableColumn id="1" name="NO." dataDxfId="6"/>
    <tableColumn id="2" name="BULAN" dataDxfId="5"/>
    <tableColumn id="3" name="Customer" dataDxfId="4"/>
    <tableColumn id="4" name="Terima Lampiran Bonus/Transaksi Lain-Lain" dataDxfId="3"/>
    <tableColumn id="5" name="Rekap Data Bonus/Transaksi Lain-Lain" dataDxfId="2"/>
    <tableColumn id="6" name="Tercapai (Hari)" dataDxfId="1">
      <calculatedColumnFormula>+Table3[[#This Row],[Rekap Data Bonus/Transaksi Lain-Lain]]-Table3[[#This Row],[Terima Lampiran Bonus/Transaksi Lain-Lain]]</calculatedColumnFormula>
    </tableColumn>
    <tableColumn id="7" name="Ket" dataDxfId="0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zoomScaleNormal="100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344" t="s">
        <v>0</v>
      </c>
      <c r="C1" s="345"/>
      <c r="D1" s="345"/>
      <c r="E1" s="346"/>
    </row>
    <row r="2" spans="2:18" x14ac:dyDescent="0.25">
      <c r="B2" s="347"/>
      <c r="C2" s="348"/>
      <c r="D2" s="348"/>
      <c r="E2" s="349"/>
    </row>
    <row r="3" spans="2:18" x14ac:dyDescent="0.25">
      <c r="B3" s="350" t="s">
        <v>1</v>
      </c>
      <c r="C3" s="351"/>
      <c r="D3" s="352"/>
      <c r="E3" s="1" t="s">
        <v>2</v>
      </c>
    </row>
    <row r="4" spans="2:18" x14ac:dyDescent="0.25">
      <c r="B4" s="350" t="s">
        <v>3</v>
      </c>
      <c r="C4" s="351"/>
      <c r="D4" s="352"/>
      <c r="E4" s="2" t="s">
        <v>4</v>
      </c>
    </row>
    <row r="5" spans="2:18" x14ac:dyDescent="0.25">
      <c r="B5" s="350" t="s">
        <v>5</v>
      </c>
      <c r="C5" s="351"/>
      <c r="D5" s="352"/>
      <c r="E5" s="2" t="s">
        <v>6</v>
      </c>
    </row>
    <row r="6" spans="2:18" x14ac:dyDescent="0.25">
      <c r="B6" s="350" t="s">
        <v>7</v>
      </c>
      <c r="C6" s="351"/>
      <c r="D6" s="352"/>
      <c r="E6" s="3">
        <v>44075</v>
      </c>
    </row>
    <row r="7" spans="2:18" x14ac:dyDescent="0.25">
      <c r="B7" s="350" t="s">
        <v>8</v>
      </c>
      <c r="C7" s="351"/>
      <c r="D7" s="352"/>
      <c r="E7" s="4" t="s">
        <v>9</v>
      </c>
    </row>
    <row r="8" spans="2:18" x14ac:dyDescent="0.25">
      <c r="B8" s="350" t="s">
        <v>10</v>
      </c>
      <c r="C8" s="351"/>
      <c r="D8" s="352"/>
      <c r="E8" s="5">
        <v>44136</v>
      </c>
    </row>
    <row r="10" spans="2:18" x14ac:dyDescent="0.25">
      <c r="B10" s="353" t="s">
        <v>11</v>
      </c>
      <c r="C10" s="354"/>
      <c r="D10" s="354"/>
      <c r="E10" s="354"/>
      <c r="F10" s="354"/>
      <c r="G10" s="354"/>
      <c r="H10" s="357" t="s">
        <v>12</v>
      </c>
      <c r="I10" s="358"/>
      <c r="J10" s="358"/>
      <c r="K10" s="358"/>
      <c r="L10" s="359"/>
    </row>
    <row r="11" spans="2:18" x14ac:dyDescent="0.25">
      <c r="B11" s="355"/>
      <c r="C11" s="356"/>
      <c r="D11" s="356"/>
      <c r="E11" s="356"/>
      <c r="F11" s="356"/>
      <c r="G11" s="356"/>
      <c r="H11" s="360"/>
      <c r="I11" s="361"/>
      <c r="J11" s="361"/>
      <c r="K11" s="361"/>
      <c r="L11" s="362"/>
    </row>
    <row r="12" spans="2:18" x14ac:dyDescent="0.25">
      <c r="B12" s="289">
        <v>1</v>
      </c>
      <c r="C12" s="363" t="s">
        <v>13</v>
      </c>
      <c r="D12" s="363"/>
      <c r="E12" s="363"/>
      <c r="F12" s="363"/>
      <c r="G12" s="363"/>
      <c r="H12" s="281" t="s">
        <v>14</v>
      </c>
      <c r="I12" s="281"/>
      <c r="J12" s="281"/>
      <c r="K12" s="281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289"/>
      <c r="C13" s="363"/>
      <c r="D13" s="363"/>
      <c r="E13" s="363"/>
      <c r="F13" s="363"/>
      <c r="G13" s="363"/>
      <c r="H13" s="281" t="s">
        <v>20</v>
      </c>
      <c r="I13" s="281"/>
      <c r="J13" s="281"/>
      <c r="K13" s="281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289"/>
      <c r="C14" s="363"/>
      <c r="D14" s="363"/>
      <c r="E14" s="363"/>
      <c r="F14" s="363"/>
      <c r="G14" s="363"/>
      <c r="H14" s="281" t="s">
        <v>23</v>
      </c>
      <c r="I14" s="281"/>
      <c r="J14" s="281"/>
      <c r="K14" s="281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289"/>
      <c r="C15" s="363"/>
      <c r="D15" s="363"/>
      <c r="E15" s="363"/>
      <c r="F15" s="363"/>
      <c r="G15" s="363"/>
      <c r="H15" s="281" t="s">
        <v>26</v>
      </c>
      <c r="I15" s="281"/>
      <c r="J15" s="281"/>
      <c r="K15" s="281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289"/>
      <c r="C16" s="364" t="s">
        <v>28</v>
      </c>
      <c r="D16" s="364"/>
      <c r="E16" s="364"/>
      <c r="F16" s="364"/>
      <c r="G16" s="364"/>
      <c r="H16" s="281" t="s">
        <v>29</v>
      </c>
      <c r="I16" s="281"/>
      <c r="J16" s="281"/>
      <c r="K16" s="281"/>
      <c r="L16" s="281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289"/>
      <c r="C17" s="281">
        <v>1</v>
      </c>
      <c r="D17" s="293" t="s">
        <v>31</v>
      </c>
      <c r="E17" s="293"/>
      <c r="F17" s="293"/>
      <c r="G17" s="293"/>
      <c r="H17" s="26" t="s">
        <v>32</v>
      </c>
      <c r="I17" s="27">
        <v>0.6</v>
      </c>
      <c r="J17" s="281" t="s">
        <v>33</v>
      </c>
      <c r="K17" s="281"/>
      <c r="L17" s="281"/>
      <c r="N17" s="28"/>
      <c r="O17" s="29"/>
      <c r="P17" s="30"/>
      <c r="Q17" s="30"/>
      <c r="R17" s="25"/>
    </row>
    <row r="18" spans="2:25" ht="15" customHeight="1" x14ac:dyDescent="0.25">
      <c r="B18" s="289"/>
      <c r="C18" s="281"/>
      <c r="D18" s="293"/>
      <c r="E18" s="293"/>
      <c r="F18" s="293"/>
      <c r="G18" s="293"/>
      <c r="H18" s="295">
        <v>4</v>
      </c>
      <c r="I18" s="295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340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289"/>
      <c r="C19" s="281"/>
      <c r="D19" s="293"/>
      <c r="E19" s="293"/>
      <c r="F19" s="293"/>
      <c r="G19" s="293"/>
      <c r="H19" s="295"/>
      <c r="I19" s="295"/>
      <c r="J19" s="6">
        <v>4</v>
      </c>
      <c r="K19" s="6" t="s">
        <v>34</v>
      </c>
      <c r="L19" s="6">
        <v>110</v>
      </c>
      <c r="N19" s="32"/>
      <c r="O19" s="341"/>
      <c r="P19" s="33">
        <v>0.6</v>
      </c>
      <c r="Q19" s="34">
        <f>P19*Q16</f>
        <v>72.912000000000006</v>
      </c>
    </row>
    <row r="20" spans="2:25" x14ac:dyDescent="0.25">
      <c r="B20" s="289"/>
      <c r="C20" s="281"/>
      <c r="D20" s="293"/>
      <c r="E20" s="293"/>
      <c r="F20" s="293"/>
      <c r="G20" s="293"/>
      <c r="H20" s="295"/>
      <c r="I20" s="295"/>
      <c r="J20" s="6">
        <v>3</v>
      </c>
      <c r="K20" s="6" t="s">
        <v>34</v>
      </c>
      <c r="L20" s="6">
        <v>105</v>
      </c>
    </row>
    <row r="21" spans="2:25" x14ac:dyDescent="0.25">
      <c r="B21" s="289"/>
      <c r="C21" s="281"/>
      <c r="D21" s="293"/>
      <c r="E21" s="293"/>
      <c r="F21" s="293"/>
      <c r="G21" s="293"/>
      <c r="H21" s="295"/>
      <c r="I21" s="295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289"/>
      <c r="C22" s="281"/>
      <c r="D22" s="281" t="s">
        <v>37</v>
      </c>
      <c r="E22" s="281"/>
      <c r="F22" s="281"/>
      <c r="G22" s="281"/>
      <c r="H22" s="295"/>
      <c r="I22" s="295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289"/>
      <c r="C23" s="281"/>
      <c r="D23" s="281" t="s">
        <v>38</v>
      </c>
      <c r="E23" s="281"/>
      <c r="F23" s="281"/>
      <c r="G23" s="281"/>
      <c r="H23" s="295"/>
      <c r="I23" s="295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289"/>
      <c r="C24" s="281"/>
      <c r="D24" s="281"/>
      <c r="E24" s="281"/>
      <c r="F24" s="281"/>
      <c r="G24" s="281"/>
      <c r="H24" s="281" t="s">
        <v>29</v>
      </c>
      <c r="I24" s="281"/>
      <c r="J24" s="281"/>
      <c r="K24" s="281"/>
      <c r="L24" s="281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289"/>
      <c r="C25" s="281">
        <v>2</v>
      </c>
      <c r="D25" s="293" t="s">
        <v>39</v>
      </c>
      <c r="E25" s="293"/>
      <c r="F25" s="293"/>
      <c r="G25" s="293"/>
      <c r="H25" s="26" t="s">
        <v>32</v>
      </c>
      <c r="I25" s="27">
        <v>0.4</v>
      </c>
      <c r="J25" s="281" t="s">
        <v>40</v>
      </c>
      <c r="K25" s="281"/>
      <c r="L25" s="281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289"/>
      <c r="C26" s="281"/>
      <c r="D26" s="293"/>
      <c r="E26" s="293"/>
      <c r="F26" s="293"/>
      <c r="G26" s="293"/>
      <c r="H26" s="283">
        <v>9</v>
      </c>
      <c r="I26" s="295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289"/>
      <c r="C27" s="281"/>
      <c r="D27" s="281" t="s">
        <v>37</v>
      </c>
      <c r="E27" s="281"/>
      <c r="F27" s="281"/>
      <c r="G27" s="281"/>
      <c r="H27" s="284"/>
      <c r="I27" s="295"/>
      <c r="J27" s="6">
        <v>9</v>
      </c>
      <c r="K27" s="6" t="s">
        <v>41</v>
      </c>
      <c r="L27" s="6">
        <v>107</v>
      </c>
      <c r="N27" s="28"/>
      <c r="O27" s="340" t="s">
        <v>36</v>
      </c>
      <c r="P27" s="31" t="s">
        <v>17</v>
      </c>
      <c r="Q27" s="31" t="s">
        <v>35</v>
      </c>
    </row>
    <row r="28" spans="2:25" x14ac:dyDescent="0.25">
      <c r="B28" s="289"/>
      <c r="C28" s="281"/>
      <c r="D28" s="293" t="s">
        <v>42</v>
      </c>
      <c r="E28" s="293"/>
      <c r="F28" s="293"/>
      <c r="G28" s="293"/>
      <c r="H28" s="284"/>
      <c r="I28" s="295"/>
      <c r="J28" s="6">
        <v>8</v>
      </c>
      <c r="K28" s="6" t="s">
        <v>41</v>
      </c>
      <c r="L28" s="6">
        <v>105</v>
      </c>
      <c r="N28" s="32"/>
      <c r="O28" s="341"/>
      <c r="P28" s="33">
        <v>0.4</v>
      </c>
      <c r="Q28" s="34">
        <f>P28*Q25</f>
        <v>41.624000000000002</v>
      </c>
    </row>
    <row r="29" spans="2:25" x14ac:dyDescent="0.25">
      <c r="B29" s="289"/>
      <c r="C29" s="281"/>
      <c r="D29" s="293"/>
      <c r="E29" s="293"/>
      <c r="F29" s="293"/>
      <c r="G29" s="293"/>
      <c r="H29" s="284"/>
      <c r="I29" s="295"/>
      <c r="J29" s="6">
        <v>7</v>
      </c>
      <c r="K29" s="6" t="s">
        <v>41</v>
      </c>
      <c r="L29" s="6">
        <v>102</v>
      </c>
    </row>
    <row r="30" spans="2:25" x14ac:dyDescent="0.25">
      <c r="B30" s="289"/>
      <c r="C30" s="281"/>
      <c r="D30" s="293"/>
      <c r="E30" s="293"/>
      <c r="F30" s="293"/>
      <c r="G30" s="293"/>
      <c r="H30" s="284"/>
      <c r="I30" s="295"/>
      <c r="J30" s="6">
        <v>6</v>
      </c>
      <c r="K30" s="6" t="s">
        <v>41</v>
      </c>
      <c r="L30" s="6">
        <v>100</v>
      </c>
    </row>
    <row r="31" spans="2:25" x14ac:dyDescent="0.25">
      <c r="B31" s="289"/>
      <c r="C31" s="281"/>
      <c r="D31" s="293"/>
      <c r="E31" s="293"/>
      <c r="F31" s="293"/>
      <c r="G31" s="293"/>
      <c r="H31" s="284"/>
      <c r="I31" s="295"/>
      <c r="J31" s="6">
        <v>5</v>
      </c>
      <c r="K31" s="6" t="s">
        <v>41</v>
      </c>
      <c r="L31" s="6">
        <v>95</v>
      </c>
      <c r="N31" s="9"/>
      <c r="O31" s="8" t="s">
        <v>43</v>
      </c>
      <c r="P31" s="342">
        <f>Q19+Q28</f>
        <v>114.536</v>
      </c>
      <c r="Q31" s="342"/>
    </row>
    <row r="32" spans="2:25" ht="15" customHeight="1" x14ac:dyDescent="0.25">
      <c r="B32" s="289"/>
      <c r="C32" s="281"/>
      <c r="D32" s="293"/>
      <c r="E32" s="293"/>
      <c r="F32" s="293"/>
      <c r="G32" s="293"/>
      <c r="H32" s="284"/>
      <c r="I32" s="295"/>
      <c r="J32" s="6">
        <v>4</v>
      </c>
      <c r="K32" s="6" t="s">
        <v>41</v>
      </c>
      <c r="L32" s="35">
        <v>90</v>
      </c>
      <c r="O32" s="37" t="s">
        <v>44</v>
      </c>
      <c r="P32" s="342"/>
      <c r="Q32" s="342"/>
    </row>
    <row r="33" spans="2:17" x14ac:dyDescent="0.25">
      <c r="B33" s="289"/>
      <c r="C33" s="281"/>
      <c r="D33" s="293"/>
      <c r="E33" s="293"/>
      <c r="F33" s="293"/>
      <c r="G33" s="293"/>
      <c r="H33" s="285"/>
      <c r="I33" s="295"/>
      <c r="J33" s="6">
        <v>3</v>
      </c>
      <c r="K33" s="6" t="s">
        <v>41</v>
      </c>
      <c r="L33" s="35">
        <v>85</v>
      </c>
      <c r="O33" s="31" t="s">
        <v>45</v>
      </c>
      <c r="P33" s="343" t="str">
        <f>IF(P31&lt;90,"POOR",IF(P31&lt;=100,"GOOD",IF(P31&lt;=110,"Very Good",IF(P31&gt;110,"Excellent"))))</f>
        <v>Excellent</v>
      </c>
      <c r="Q33" s="343"/>
    </row>
    <row r="34" spans="2:17" x14ac:dyDescent="0.25">
      <c r="B34" s="289"/>
      <c r="C34" s="286" t="s">
        <v>46</v>
      </c>
      <c r="D34" s="287"/>
      <c r="E34" s="287"/>
      <c r="F34" s="287"/>
      <c r="G34" s="288"/>
      <c r="H34" s="296">
        <f>SUM(I18,I26)</f>
        <v>108.80000000000001</v>
      </c>
      <c r="I34" s="297"/>
      <c r="J34" s="297"/>
      <c r="K34" s="297"/>
      <c r="L34" s="298"/>
    </row>
    <row r="35" spans="2:17" x14ac:dyDescent="0.25">
      <c r="B35" s="289"/>
      <c r="C35" s="281" t="s">
        <v>47</v>
      </c>
      <c r="D35" s="281"/>
      <c r="E35" s="281"/>
      <c r="F35" s="281"/>
      <c r="G35" s="281"/>
      <c r="H35" s="281" t="s">
        <v>29</v>
      </c>
      <c r="I35" s="281"/>
      <c r="J35" s="281"/>
      <c r="K35" s="281"/>
      <c r="L35" s="281"/>
    </row>
    <row r="36" spans="2:17" ht="15" customHeight="1" x14ac:dyDescent="0.25">
      <c r="B36" s="289"/>
      <c r="C36" s="281">
        <v>1</v>
      </c>
      <c r="D36" s="293" t="s">
        <v>48</v>
      </c>
      <c r="E36" s="293"/>
      <c r="F36" s="293"/>
      <c r="G36" s="293"/>
      <c r="H36" s="26" t="s">
        <v>32</v>
      </c>
      <c r="I36" s="27">
        <v>0.25</v>
      </c>
      <c r="J36" s="281" t="s">
        <v>49</v>
      </c>
      <c r="K36" s="281"/>
      <c r="L36" s="281"/>
    </row>
    <row r="37" spans="2:17" x14ac:dyDescent="0.25">
      <c r="B37" s="289"/>
      <c r="C37" s="281"/>
      <c r="D37" s="293"/>
      <c r="E37" s="293"/>
      <c r="F37" s="293"/>
      <c r="G37" s="293"/>
      <c r="H37" s="295">
        <v>8</v>
      </c>
      <c r="I37" s="295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289"/>
      <c r="C38" s="281"/>
      <c r="D38" s="293"/>
      <c r="E38" s="293"/>
      <c r="F38" s="293"/>
      <c r="G38" s="293"/>
      <c r="H38" s="295"/>
      <c r="I38" s="295"/>
      <c r="J38" s="35">
        <v>3</v>
      </c>
      <c r="K38" s="35" t="s">
        <v>50</v>
      </c>
      <c r="L38" s="35">
        <v>110</v>
      </c>
    </row>
    <row r="39" spans="2:17" x14ac:dyDescent="0.25">
      <c r="B39" s="289"/>
      <c r="C39" s="281"/>
      <c r="D39" s="321" t="s">
        <v>37</v>
      </c>
      <c r="E39" s="322"/>
      <c r="F39" s="322"/>
      <c r="G39" s="323"/>
      <c r="H39" s="295"/>
      <c r="I39" s="295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289"/>
      <c r="C40" s="281"/>
      <c r="D40" s="293" t="s">
        <v>51</v>
      </c>
      <c r="E40" s="293"/>
      <c r="F40" s="293"/>
      <c r="G40" s="293"/>
      <c r="H40" s="295"/>
      <c r="I40" s="295"/>
      <c r="J40" s="35">
        <v>1</v>
      </c>
      <c r="K40" s="35" t="s">
        <v>50</v>
      </c>
      <c r="L40" s="35">
        <v>100</v>
      </c>
    </row>
    <row r="41" spans="2:17" x14ac:dyDescent="0.25">
      <c r="B41" s="289"/>
      <c r="C41" s="281"/>
      <c r="D41" s="293"/>
      <c r="E41" s="293"/>
      <c r="F41" s="293"/>
      <c r="G41" s="293"/>
      <c r="H41" s="295"/>
      <c r="I41" s="295"/>
      <c r="J41" s="35">
        <v>0</v>
      </c>
      <c r="K41" s="35" t="s">
        <v>50</v>
      </c>
      <c r="L41" s="35">
        <v>50</v>
      </c>
    </row>
    <row r="42" spans="2:17" x14ac:dyDescent="0.25">
      <c r="B42" s="289"/>
      <c r="C42" s="281"/>
      <c r="D42" s="293"/>
      <c r="E42" s="293"/>
      <c r="F42" s="293"/>
      <c r="G42" s="293"/>
      <c r="H42" s="281" t="s">
        <v>29</v>
      </c>
      <c r="I42" s="281"/>
      <c r="J42" s="281"/>
      <c r="K42" s="281"/>
      <c r="L42" s="281"/>
    </row>
    <row r="43" spans="2:17" ht="15" customHeight="1" x14ac:dyDescent="0.25">
      <c r="B43" s="289"/>
      <c r="C43" s="281">
        <v>2</v>
      </c>
      <c r="D43" s="302" t="s">
        <v>52</v>
      </c>
      <c r="E43" s="263"/>
      <c r="F43" s="263"/>
      <c r="G43" s="303"/>
      <c r="H43" s="26" t="s">
        <v>32</v>
      </c>
      <c r="I43" s="27">
        <v>0.3</v>
      </c>
      <c r="J43" s="281" t="s">
        <v>53</v>
      </c>
      <c r="K43" s="281"/>
      <c r="L43" s="281"/>
    </row>
    <row r="44" spans="2:17" x14ac:dyDescent="0.25">
      <c r="B44" s="289"/>
      <c r="C44" s="281"/>
      <c r="D44" s="319"/>
      <c r="E44" s="264"/>
      <c r="F44" s="264"/>
      <c r="G44" s="320"/>
      <c r="H44" s="295" t="s">
        <v>54</v>
      </c>
      <c r="I44" s="295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289"/>
      <c r="C45" s="281"/>
      <c r="D45" s="319"/>
      <c r="E45" s="264"/>
      <c r="F45" s="264"/>
      <c r="G45" s="320"/>
      <c r="H45" s="295"/>
      <c r="I45" s="295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289"/>
      <c r="C46" s="281"/>
      <c r="D46" s="304"/>
      <c r="E46" s="305"/>
      <c r="F46" s="305"/>
      <c r="G46" s="306"/>
      <c r="H46" s="295"/>
      <c r="I46" s="295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289"/>
      <c r="C47" s="281"/>
      <c r="D47" s="302" t="s">
        <v>56</v>
      </c>
      <c r="E47" s="263"/>
      <c r="F47" s="263"/>
      <c r="G47" s="303"/>
      <c r="H47" s="295"/>
      <c r="I47" s="295"/>
      <c r="J47" s="35">
        <v>3</v>
      </c>
      <c r="K47" s="35" t="s">
        <v>55</v>
      </c>
      <c r="L47" s="35">
        <v>100</v>
      </c>
    </row>
    <row r="48" spans="2:17" x14ac:dyDescent="0.25">
      <c r="B48" s="289"/>
      <c r="C48" s="281"/>
      <c r="D48" s="319"/>
      <c r="E48" s="264"/>
      <c r="F48" s="264"/>
      <c r="G48" s="320"/>
      <c r="H48" s="295"/>
      <c r="I48" s="295"/>
      <c r="J48" s="35">
        <v>4</v>
      </c>
      <c r="K48" s="35" t="s">
        <v>55</v>
      </c>
      <c r="L48" s="35">
        <v>95</v>
      </c>
    </row>
    <row r="49" spans="2:12" x14ac:dyDescent="0.25">
      <c r="B49" s="289"/>
      <c r="C49" s="281"/>
      <c r="D49" s="319"/>
      <c r="E49" s="264"/>
      <c r="F49" s="264"/>
      <c r="G49" s="320"/>
      <c r="H49" s="295"/>
      <c r="I49" s="295"/>
      <c r="J49" s="35">
        <v>5</v>
      </c>
      <c r="K49" s="35" t="s">
        <v>55</v>
      </c>
      <c r="L49" s="35">
        <v>90</v>
      </c>
    </row>
    <row r="50" spans="2:12" x14ac:dyDescent="0.25">
      <c r="B50" s="289"/>
      <c r="C50" s="281"/>
      <c r="D50" s="319"/>
      <c r="E50" s="264"/>
      <c r="F50" s="264"/>
      <c r="G50" s="320"/>
      <c r="H50" s="295"/>
      <c r="I50" s="295"/>
      <c r="J50" s="35">
        <v>6</v>
      </c>
      <c r="K50" s="35" t="s">
        <v>55</v>
      </c>
      <c r="L50" s="35">
        <v>85</v>
      </c>
    </row>
    <row r="51" spans="2:12" x14ac:dyDescent="0.25">
      <c r="B51" s="289"/>
      <c r="C51" s="281"/>
      <c r="D51" s="319"/>
      <c r="E51" s="264"/>
      <c r="F51" s="264"/>
      <c r="G51" s="320"/>
      <c r="H51" s="295"/>
      <c r="I51" s="295"/>
      <c r="J51" s="35">
        <v>7</v>
      </c>
      <c r="K51" s="35" t="s">
        <v>55</v>
      </c>
      <c r="L51" s="35">
        <v>80</v>
      </c>
    </row>
    <row r="52" spans="2:12" x14ac:dyDescent="0.25">
      <c r="B52" s="289"/>
      <c r="C52" s="281"/>
      <c r="D52" s="304"/>
      <c r="E52" s="305"/>
      <c r="F52" s="305"/>
      <c r="G52" s="306"/>
      <c r="H52" s="281" t="s">
        <v>29</v>
      </c>
      <c r="I52" s="281"/>
      <c r="J52" s="281"/>
      <c r="K52" s="281"/>
      <c r="L52" s="281"/>
    </row>
    <row r="53" spans="2:12" ht="15" customHeight="1" x14ac:dyDescent="0.25">
      <c r="B53" s="289"/>
      <c r="C53" s="281">
        <v>3</v>
      </c>
      <c r="D53" s="293" t="s">
        <v>57</v>
      </c>
      <c r="E53" s="293"/>
      <c r="F53" s="293"/>
      <c r="G53" s="293"/>
      <c r="H53" s="26" t="s">
        <v>32</v>
      </c>
      <c r="I53" s="27">
        <v>0.25</v>
      </c>
      <c r="J53" s="281" t="s">
        <v>53</v>
      </c>
      <c r="K53" s="281"/>
      <c r="L53" s="281"/>
    </row>
    <row r="54" spans="2:12" x14ac:dyDescent="0.25">
      <c r="B54" s="289"/>
      <c r="C54" s="281"/>
      <c r="D54" s="293"/>
      <c r="E54" s="293"/>
      <c r="F54" s="293"/>
      <c r="G54" s="293"/>
      <c r="H54" s="295">
        <v>5</v>
      </c>
      <c r="I54" s="295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289"/>
      <c r="C55" s="281"/>
      <c r="D55" s="293"/>
      <c r="E55" s="293"/>
      <c r="F55" s="293"/>
      <c r="G55" s="293"/>
      <c r="H55" s="295"/>
      <c r="I55" s="295"/>
      <c r="J55" s="35">
        <v>4</v>
      </c>
      <c r="K55" s="35" t="s">
        <v>58</v>
      </c>
      <c r="L55" s="35">
        <v>110</v>
      </c>
    </row>
    <row r="56" spans="2:12" x14ac:dyDescent="0.25">
      <c r="B56" s="289"/>
      <c r="C56" s="281"/>
      <c r="D56" s="293"/>
      <c r="E56" s="293"/>
      <c r="F56" s="293"/>
      <c r="G56" s="293"/>
      <c r="H56" s="295"/>
      <c r="I56" s="295"/>
      <c r="J56" s="35">
        <v>3</v>
      </c>
      <c r="K56" s="35" t="s">
        <v>58</v>
      </c>
      <c r="L56" s="35">
        <v>105</v>
      </c>
    </row>
    <row r="57" spans="2:12" x14ac:dyDescent="0.25">
      <c r="B57" s="289"/>
      <c r="C57" s="281"/>
      <c r="D57" s="256" t="s">
        <v>37</v>
      </c>
      <c r="E57" s="256"/>
      <c r="F57" s="256"/>
      <c r="G57" s="256"/>
      <c r="H57" s="295"/>
      <c r="I57" s="295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289"/>
      <c r="C58" s="281"/>
      <c r="D58" s="293" t="s">
        <v>59</v>
      </c>
      <c r="E58" s="293"/>
      <c r="F58" s="293"/>
      <c r="G58" s="293"/>
      <c r="H58" s="295"/>
      <c r="I58" s="295"/>
      <c r="J58" s="35">
        <v>1</v>
      </c>
      <c r="K58" s="35" t="s">
        <v>58</v>
      </c>
      <c r="L58" s="35">
        <v>95</v>
      </c>
    </row>
    <row r="59" spans="2:12" x14ac:dyDescent="0.25">
      <c r="B59" s="289"/>
      <c r="C59" s="281"/>
      <c r="D59" s="293"/>
      <c r="E59" s="293"/>
      <c r="F59" s="293"/>
      <c r="G59" s="293"/>
      <c r="H59" s="295"/>
      <c r="I59" s="295"/>
      <c r="J59" s="35">
        <v>0</v>
      </c>
      <c r="K59" s="35" t="s">
        <v>58</v>
      </c>
      <c r="L59" s="35">
        <v>50</v>
      </c>
    </row>
    <row r="60" spans="2:12" x14ac:dyDescent="0.25">
      <c r="B60" s="289"/>
      <c r="C60" s="281"/>
      <c r="D60" s="293"/>
      <c r="E60" s="293"/>
      <c r="F60" s="293"/>
      <c r="G60" s="293"/>
      <c r="H60" s="281" t="s">
        <v>29</v>
      </c>
      <c r="I60" s="281"/>
      <c r="J60" s="281"/>
      <c r="K60" s="281"/>
      <c r="L60" s="281"/>
    </row>
    <row r="61" spans="2:12" x14ac:dyDescent="0.25">
      <c r="B61" s="289"/>
      <c r="C61" s="281">
        <v>4</v>
      </c>
      <c r="D61" s="293" t="s">
        <v>60</v>
      </c>
      <c r="E61" s="293"/>
      <c r="F61" s="293"/>
      <c r="G61" s="293"/>
      <c r="H61" s="26" t="s">
        <v>32</v>
      </c>
      <c r="I61" s="27">
        <v>0.2</v>
      </c>
      <c r="J61" s="281" t="s">
        <v>53</v>
      </c>
      <c r="K61" s="281"/>
      <c r="L61" s="281"/>
    </row>
    <row r="62" spans="2:12" x14ac:dyDescent="0.25">
      <c r="B62" s="289"/>
      <c r="C62" s="281"/>
      <c r="D62" s="293"/>
      <c r="E62" s="293"/>
      <c r="F62" s="293"/>
      <c r="G62" s="293"/>
      <c r="H62" s="295">
        <v>9</v>
      </c>
      <c r="I62" s="295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289"/>
      <c r="C63" s="281"/>
      <c r="D63" s="281" t="s">
        <v>37</v>
      </c>
      <c r="E63" s="281"/>
      <c r="F63" s="281"/>
      <c r="G63" s="281"/>
      <c r="H63" s="295"/>
      <c r="I63" s="295"/>
      <c r="J63" s="35">
        <v>9</v>
      </c>
      <c r="K63" s="35" t="s">
        <v>58</v>
      </c>
      <c r="L63" s="35">
        <v>107</v>
      </c>
    </row>
    <row r="64" spans="2:12" x14ac:dyDescent="0.25">
      <c r="B64" s="289"/>
      <c r="C64" s="281"/>
      <c r="D64" s="293" t="s">
        <v>61</v>
      </c>
      <c r="E64" s="293"/>
      <c r="F64" s="293"/>
      <c r="G64" s="293"/>
      <c r="H64" s="295"/>
      <c r="I64" s="295"/>
      <c r="J64" s="35">
        <v>8</v>
      </c>
      <c r="K64" s="35" t="s">
        <v>58</v>
      </c>
      <c r="L64" s="35">
        <v>105</v>
      </c>
    </row>
    <row r="65" spans="2:12" x14ac:dyDescent="0.25">
      <c r="B65" s="289"/>
      <c r="C65" s="281"/>
      <c r="D65" s="293"/>
      <c r="E65" s="293"/>
      <c r="F65" s="293"/>
      <c r="G65" s="293"/>
      <c r="H65" s="295"/>
      <c r="I65" s="295"/>
      <c r="J65" s="35">
        <v>7</v>
      </c>
      <c r="K65" s="35" t="s">
        <v>58</v>
      </c>
      <c r="L65" s="35">
        <v>102</v>
      </c>
    </row>
    <row r="66" spans="2:12" x14ac:dyDescent="0.25">
      <c r="B66" s="289"/>
      <c r="C66" s="281"/>
      <c r="D66" s="293"/>
      <c r="E66" s="293"/>
      <c r="F66" s="293"/>
      <c r="G66" s="293"/>
      <c r="H66" s="295"/>
      <c r="I66" s="295"/>
      <c r="J66" s="35">
        <v>6</v>
      </c>
      <c r="K66" s="35" t="s">
        <v>58</v>
      </c>
      <c r="L66" s="35">
        <v>10</v>
      </c>
    </row>
    <row r="67" spans="2:12" x14ac:dyDescent="0.25">
      <c r="B67" s="289"/>
      <c r="C67" s="281"/>
      <c r="D67" s="293"/>
      <c r="E67" s="293"/>
      <c r="F67" s="293"/>
      <c r="G67" s="293"/>
      <c r="H67" s="295"/>
      <c r="I67" s="295"/>
      <c r="J67" s="35">
        <v>5</v>
      </c>
      <c r="K67" s="35" t="s">
        <v>58</v>
      </c>
      <c r="L67" s="35">
        <v>95</v>
      </c>
    </row>
    <row r="68" spans="2:12" x14ac:dyDescent="0.25">
      <c r="B68" s="289"/>
      <c r="C68" s="281"/>
      <c r="D68" s="293"/>
      <c r="E68" s="293"/>
      <c r="F68" s="293"/>
      <c r="G68" s="293"/>
      <c r="H68" s="295"/>
      <c r="I68" s="295"/>
      <c r="J68" s="35">
        <v>4</v>
      </c>
      <c r="K68" s="35" t="s">
        <v>58</v>
      </c>
      <c r="L68" s="35">
        <v>90</v>
      </c>
    </row>
    <row r="69" spans="2:12" x14ac:dyDescent="0.25">
      <c r="B69" s="289"/>
      <c r="C69" s="281"/>
      <c r="D69" s="293"/>
      <c r="E69" s="293"/>
      <c r="F69" s="293"/>
      <c r="G69" s="293"/>
      <c r="H69" s="295"/>
      <c r="I69" s="295"/>
      <c r="J69" s="35"/>
      <c r="K69" s="35"/>
      <c r="L69" s="35"/>
    </row>
    <row r="70" spans="2:12" x14ac:dyDescent="0.25">
      <c r="B70" s="289"/>
      <c r="C70" s="281"/>
      <c r="D70" s="293"/>
      <c r="E70" s="293"/>
      <c r="F70" s="293"/>
      <c r="G70" s="293"/>
      <c r="H70" s="295"/>
      <c r="I70" s="295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286" t="s">
        <v>62</v>
      </c>
      <c r="D71" s="287"/>
      <c r="E71" s="287"/>
      <c r="F71" s="287"/>
      <c r="G71" s="288"/>
      <c r="H71" s="296">
        <f>I37+I44+I54+I62</f>
        <v>109.55000000000001</v>
      </c>
      <c r="I71" s="297"/>
      <c r="J71" s="297"/>
      <c r="K71" s="297"/>
      <c r="L71" s="298"/>
    </row>
    <row r="72" spans="2:12" ht="15" customHeight="1" x14ac:dyDescent="0.25">
      <c r="B72" s="316">
        <v>2</v>
      </c>
      <c r="C72" s="293" t="s">
        <v>63</v>
      </c>
      <c r="D72" s="293"/>
      <c r="E72" s="293"/>
      <c r="F72" s="293"/>
      <c r="G72" s="293"/>
      <c r="H72" s="327"/>
      <c r="I72" s="327"/>
      <c r="J72" s="327"/>
      <c r="K72" s="327"/>
      <c r="L72" s="327"/>
    </row>
    <row r="73" spans="2:12" x14ac:dyDescent="0.25">
      <c r="B73" s="317"/>
      <c r="C73" s="293"/>
      <c r="D73" s="293"/>
      <c r="E73" s="293"/>
      <c r="F73" s="293"/>
      <c r="G73" s="293"/>
      <c r="H73" s="327"/>
      <c r="I73" s="327"/>
      <c r="J73" s="327"/>
      <c r="K73" s="327"/>
      <c r="L73" s="327"/>
    </row>
    <row r="74" spans="2:12" x14ac:dyDescent="0.25">
      <c r="B74" s="317"/>
      <c r="C74" s="313" t="s">
        <v>64</v>
      </c>
      <c r="D74" s="314"/>
      <c r="E74" s="314"/>
      <c r="F74" s="314"/>
      <c r="G74" s="315"/>
      <c r="H74" s="281" t="s">
        <v>29</v>
      </c>
      <c r="I74" s="281"/>
      <c r="J74" s="281"/>
      <c r="K74" s="281"/>
      <c r="L74" s="281"/>
    </row>
    <row r="75" spans="2:12" ht="15" customHeight="1" x14ac:dyDescent="0.25">
      <c r="B75" s="317"/>
      <c r="C75" s="281">
        <v>1</v>
      </c>
      <c r="D75" s="302" t="s">
        <v>65</v>
      </c>
      <c r="E75" s="263"/>
      <c r="F75" s="263"/>
      <c r="G75" s="303"/>
      <c r="H75" s="26" t="s">
        <v>32</v>
      </c>
      <c r="I75" s="27">
        <v>0.6</v>
      </c>
      <c r="J75" s="281" t="s">
        <v>40</v>
      </c>
      <c r="K75" s="281"/>
      <c r="L75" s="281"/>
    </row>
    <row r="76" spans="2:12" ht="15" customHeight="1" x14ac:dyDescent="0.25">
      <c r="B76" s="317"/>
      <c r="C76" s="281"/>
      <c r="D76" s="319"/>
      <c r="E76" s="264"/>
      <c r="F76" s="264"/>
      <c r="G76" s="320"/>
      <c r="H76" s="295">
        <v>13</v>
      </c>
      <c r="I76" s="295">
        <f>((H76*5)+100)*I75</f>
        <v>99</v>
      </c>
      <c r="J76" s="328">
        <v>5</v>
      </c>
      <c r="K76" s="331" t="s">
        <v>66</v>
      </c>
      <c r="L76" s="332"/>
    </row>
    <row r="77" spans="2:12" x14ac:dyDescent="0.25">
      <c r="B77" s="317"/>
      <c r="C77" s="281"/>
      <c r="D77" s="319"/>
      <c r="E77" s="264"/>
      <c r="F77" s="264"/>
      <c r="G77" s="320"/>
      <c r="H77" s="295"/>
      <c r="I77" s="295"/>
      <c r="J77" s="329"/>
      <c r="K77" s="333"/>
      <c r="L77" s="334"/>
    </row>
    <row r="78" spans="2:12" x14ac:dyDescent="0.25">
      <c r="B78" s="317"/>
      <c r="C78" s="281"/>
      <c r="D78" s="319"/>
      <c r="E78" s="264"/>
      <c r="F78" s="264"/>
      <c r="G78" s="320"/>
      <c r="H78" s="295"/>
      <c r="I78" s="295"/>
      <c r="J78" s="329"/>
      <c r="K78" s="333"/>
      <c r="L78" s="334"/>
    </row>
    <row r="79" spans="2:12" x14ac:dyDescent="0.25">
      <c r="B79" s="317"/>
      <c r="C79" s="281"/>
      <c r="D79" s="304"/>
      <c r="E79" s="305"/>
      <c r="F79" s="305"/>
      <c r="G79" s="306"/>
      <c r="H79" s="295"/>
      <c r="I79" s="295"/>
      <c r="J79" s="330"/>
      <c r="K79" s="335"/>
      <c r="L79" s="336"/>
    </row>
    <row r="80" spans="2:12" x14ac:dyDescent="0.25">
      <c r="B80" s="317"/>
      <c r="C80" s="281"/>
      <c r="D80" s="293" t="s">
        <v>37</v>
      </c>
      <c r="E80" s="293"/>
      <c r="F80" s="293"/>
      <c r="G80" s="293"/>
      <c r="H80" s="295"/>
      <c r="I80" s="295"/>
      <c r="J80" s="295">
        <v>100</v>
      </c>
      <c r="K80" s="337" t="s">
        <v>67</v>
      </c>
      <c r="L80" s="337"/>
    </row>
    <row r="81" spans="2:12" ht="15" customHeight="1" x14ac:dyDescent="0.25">
      <c r="B81" s="317"/>
      <c r="C81" s="281"/>
      <c r="D81" s="293" t="s">
        <v>68</v>
      </c>
      <c r="E81" s="293"/>
      <c r="F81" s="293"/>
      <c r="G81" s="293"/>
      <c r="H81" s="295"/>
      <c r="I81" s="295"/>
      <c r="J81" s="295"/>
      <c r="K81" s="337"/>
      <c r="L81" s="337"/>
    </row>
    <row r="82" spans="2:12" x14ac:dyDescent="0.25">
      <c r="B82" s="317"/>
      <c r="C82" s="281"/>
      <c r="D82" s="293"/>
      <c r="E82" s="293"/>
      <c r="F82" s="293"/>
      <c r="G82" s="293"/>
      <c r="H82" s="295"/>
      <c r="I82" s="295"/>
      <c r="J82" s="338">
        <v>-5</v>
      </c>
      <c r="K82" s="293" t="s">
        <v>69</v>
      </c>
      <c r="L82" s="293"/>
    </row>
    <row r="83" spans="2:12" x14ac:dyDescent="0.25">
      <c r="B83" s="317"/>
      <c r="C83" s="281"/>
      <c r="D83" s="293"/>
      <c r="E83" s="293"/>
      <c r="F83" s="293"/>
      <c r="G83" s="293"/>
      <c r="H83" s="295"/>
      <c r="I83" s="295"/>
      <c r="J83" s="338"/>
      <c r="K83" s="293"/>
      <c r="L83" s="293"/>
    </row>
    <row r="84" spans="2:12" x14ac:dyDescent="0.25">
      <c r="B84" s="317"/>
      <c r="C84" s="281"/>
      <c r="D84" s="293"/>
      <c r="E84" s="293"/>
      <c r="F84" s="293"/>
      <c r="G84" s="293"/>
      <c r="H84" s="295"/>
      <c r="I84" s="295"/>
      <c r="J84" s="338"/>
      <c r="K84" s="293"/>
      <c r="L84" s="293"/>
    </row>
    <row r="85" spans="2:12" x14ac:dyDescent="0.25">
      <c r="B85" s="317"/>
      <c r="C85" s="281"/>
      <c r="D85" s="293"/>
      <c r="E85" s="293"/>
      <c r="F85" s="293"/>
      <c r="G85" s="293"/>
      <c r="H85" s="295"/>
      <c r="I85" s="295"/>
      <c r="J85" s="338"/>
      <c r="K85" s="293"/>
      <c r="L85" s="293"/>
    </row>
    <row r="86" spans="2:12" x14ac:dyDescent="0.25">
      <c r="B86" s="317"/>
      <c r="C86" s="281"/>
      <c r="D86" s="293"/>
      <c r="E86" s="293"/>
      <c r="F86" s="293"/>
      <c r="G86" s="293"/>
      <c r="H86" s="281" t="s">
        <v>29</v>
      </c>
      <c r="I86" s="281"/>
      <c r="J86" s="281"/>
      <c r="K86" s="281"/>
      <c r="L86" s="281"/>
    </row>
    <row r="87" spans="2:12" x14ac:dyDescent="0.25">
      <c r="B87" s="317"/>
      <c r="C87" s="281">
        <v>2</v>
      </c>
      <c r="D87" s="293" t="s">
        <v>70</v>
      </c>
      <c r="E87" s="293"/>
      <c r="F87" s="293"/>
      <c r="G87" s="293"/>
      <c r="H87" s="26" t="s">
        <v>32</v>
      </c>
      <c r="I87" s="27">
        <v>0.4</v>
      </c>
      <c r="J87" s="281" t="s">
        <v>40</v>
      </c>
      <c r="K87" s="281"/>
      <c r="L87" s="281"/>
    </row>
    <row r="88" spans="2:12" x14ac:dyDescent="0.25">
      <c r="B88" s="317"/>
      <c r="C88" s="281"/>
      <c r="D88" s="293"/>
      <c r="E88" s="293"/>
      <c r="F88" s="293"/>
      <c r="G88" s="293"/>
      <c r="H88" s="295">
        <v>13</v>
      </c>
      <c r="I88" s="295">
        <f>110*I87</f>
        <v>44</v>
      </c>
      <c r="J88" s="281">
        <v>110</v>
      </c>
      <c r="K88" s="293" t="s">
        <v>71</v>
      </c>
      <c r="L88" s="293"/>
    </row>
    <row r="89" spans="2:12" x14ac:dyDescent="0.25">
      <c r="B89" s="317"/>
      <c r="C89" s="281"/>
      <c r="D89" s="293"/>
      <c r="E89" s="293"/>
      <c r="F89" s="293"/>
      <c r="G89" s="293"/>
      <c r="H89" s="295"/>
      <c r="I89" s="295"/>
      <c r="J89" s="281"/>
      <c r="K89" s="293"/>
      <c r="L89" s="293"/>
    </row>
    <row r="90" spans="2:12" x14ac:dyDescent="0.25">
      <c r="B90" s="317"/>
      <c r="C90" s="281"/>
      <c r="D90" s="293"/>
      <c r="E90" s="293"/>
      <c r="F90" s="293"/>
      <c r="G90" s="293"/>
      <c r="H90" s="295"/>
      <c r="I90" s="295"/>
      <c r="J90" s="256">
        <v>100</v>
      </c>
      <c r="K90" s="293" t="s">
        <v>72</v>
      </c>
      <c r="L90" s="293"/>
    </row>
    <row r="91" spans="2:12" x14ac:dyDescent="0.25">
      <c r="B91" s="317"/>
      <c r="C91" s="281"/>
      <c r="D91" s="293"/>
      <c r="E91" s="293"/>
      <c r="F91" s="293"/>
      <c r="G91" s="293"/>
      <c r="H91" s="295"/>
      <c r="I91" s="295"/>
      <c r="J91" s="256"/>
      <c r="K91" s="293"/>
      <c r="L91" s="293"/>
    </row>
    <row r="92" spans="2:12" x14ac:dyDescent="0.25">
      <c r="B92" s="317"/>
      <c r="C92" s="281"/>
      <c r="D92" s="281" t="s">
        <v>37</v>
      </c>
      <c r="E92" s="281"/>
      <c r="F92" s="281"/>
      <c r="G92" s="281"/>
      <c r="H92" s="295"/>
      <c r="I92" s="295"/>
      <c r="J92" s="339">
        <v>-5</v>
      </c>
      <c r="K92" s="293" t="s">
        <v>73</v>
      </c>
      <c r="L92" s="293"/>
    </row>
    <row r="93" spans="2:12" ht="15" customHeight="1" x14ac:dyDescent="0.25">
      <c r="B93" s="317"/>
      <c r="C93" s="281"/>
      <c r="D93" s="293" t="s">
        <v>74</v>
      </c>
      <c r="E93" s="293"/>
      <c r="F93" s="293"/>
      <c r="G93" s="293"/>
      <c r="H93" s="295"/>
      <c r="I93" s="295"/>
      <c r="J93" s="339"/>
      <c r="K93" s="293"/>
      <c r="L93" s="293"/>
    </row>
    <row r="94" spans="2:12" x14ac:dyDescent="0.25">
      <c r="B94" s="317"/>
      <c r="C94" s="281"/>
      <c r="D94" s="293"/>
      <c r="E94" s="293"/>
      <c r="F94" s="293"/>
      <c r="G94" s="293"/>
      <c r="H94" s="295"/>
      <c r="I94" s="295"/>
      <c r="J94" s="339"/>
      <c r="K94" s="293"/>
      <c r="L94" s="293"/>
    </row>
    <row r="95" spans="2:12" x14ac:dyDescent="0.25">
      <c r="B95" s="317"/>
      <c r="C95" s="286" t="s">
        <v>46</v>
      </c>
      <c r="D95" s="287"/>
      <c r="E95" s="287"/>
      <c r="F95" s="287"/>
      <c r="G95" s="288"/>
      <c r="H95" s="296">
        <f>I76+I88</f>
        <v>143</v>
      </c>
      <c r="I95" s="297"/>
      <c r="J95" s="297"/>
      <c r="K95" s="297"/>
      <c r="L95" s="298"/>
    </row>
    <row r="96" spans="2:12" x14ac:dyDescent="0.25">
      <c r="B96" s="317"/>
      <c r="C96" s="313" t="s">
        <v>47</v>
      </c>
      <c r="D96" s="314"/>
      <c r="E96" s="314"/>
      <c r="F96" s="314"/>
      <c r="G96" s="315"/>
      <c r="H96" s="281" t="s">
        <v>29</v>
      </c>
      <c r="I96" s="281"/>
      <c r="J96" s="281"/>
      <c r="K96" s="281"/>
      <c r="L96" s="281"/>
    </row>
    <row r="97" spans="2:12" x14ac:dyDescent="0.25">
      <c r="B97" s="317"/>
      <c r="C97" s="316">
        <v>1</v>
      </c>
      <c r="D97" s="293" t="s">
        <v>75</v>
      </c>
      <c r="E97" s="293"/>
      <c r="F97" s="293"/>
      <c r="G97" s="293"/>
      <c r="H97" s="26" t="s">
        <v>32</v>
      </c>
      <c r="I97" s="27">
        <v>0.4</v>
      </c>
      <c r="J97" s="281" t="s">
        <v>40</v>
      </c>
      <c r="K97" s="281"/>
      <c r="L97" s="281"/>
    </row>
    <row r="98" spans="2:12" x14ac:dyDescent="0.25">
      <c r="B98" s="317"/>
      <c r="C98" s="317"/>
      <c r="D98" s="293"/>
      <c r="E98" s="293"/>
      <c r="F98" s="293"/>
      <c r="G98" s="293"/>
      <c r="H98" s="283">
        <v>98</v>
      </c>
      <c r="I98" s="283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317"/>
      <c r="C99" s="317"/>
      <c r="D99" s="293"/>
      <c r="E99" s="293"/>
      <c r="F99" s="293"/>
      <c r="G99" s="293"/>
      <c r="H99" s="284"/>
      <c r="I99" s="284"/>
      <c r="J99" s="39">
        <v>110</v>
      </c>
      <c r="K99" s="39" t="s">
        <v>34</v>
      </c>
      <c r="L99" s="39" t="s">
        <v>77</v>
      </c>
    </row>
    <row r="100" spans="2:12" x14ac:dyDescent="0.25">
      <c r="B100" s="317"/>
      <c r="C100" s="317"/>
      <c r="D100" s="313" t="s">
        <v>37</v>
      </c>
      <c r="E100" s="314"/>
      <c r="F100" s="314"/>
      <c r="G100" s="315"/>
      <c r="H100" s="284"/>
      <c r="I100" s="284"/>
      <c r="J100" s="39">
        <v>108</v>
      </c>
      <c r="K100" s="39" t="s">
        <v>34</v>
      </c>
      <c r="L100" s="39" t="s">
        <v>78</v>
      </c>
    </row>
    <row r="101" spans="2:12" x14ac:dyDescent="0.25">
      <c r="B101" s="317"/>
      <c r="C101" s="317"/>
      <c r="D101" s="302" t="s">
        <v>79</v>
      </c>
      <c r="E101" s="263"/>
      <c r="F101" s="263"/>
      <c r="G101" s="303"/>
      <c r="H101" s="284"/>
      <c r="I101" s="284"/>
      <c r="J101" s="39">
        <v>105</v>
      </c>
      <c r="K101" s="39" t="s">
        <v>34</v>
      </c>
      <c r="L101" s="39" t="s">
        <v>80</v>
      </c>
    </row>
    <row r="102" spans="2:12" x14ac:dyDescent="0.25">
      <c r="B102" s="317"/>
      <c r="C102" s="317"/>
      <c r="D102" s="319"/>
      <c r="E102" s="264"/>
      <c r="F102" s="264"/>
      <c r="G102" s="320"/>
      <c r="H102" s="284"/>
      <c r="I102" s="284"/>
      <c r="J102" s="39">
        <v>103</v>
      </c>
      <c r="K102" s="39" t="s">
        <v>34</v>
      </c>
      <c r="L102" s="39" t="s">
        <v>81</v>
      </c>
    </row>
    <row r="103" spans="2:12" x14ac:dyDescent="0.25">
      <c r="B103" s="317"/>
      <c r="C103" s="317"/>
      <c r="D103" s="319"/>
      <c r="E103" s="264"/>
      <c r="F103" s="264"/>
      <c r="G103" s="320"/>
      <c r="H103" s="284"/>
      <c r="I103" s="284"/>
      <c r="J103" s="39">
        <v>100</v>
      </c>
      <c r="K103" s="39" t="s">
        <v>34</v>
      </c>
      <c r="L103" s="39" t="s">
        <v>82</v>
      </c>
    </row>
    <row r="104" spans="2:12" x14ac:dyDescent="0.25">
      <c r="B104" s="317"/>
      <c r="C104" s="317"/>
      <c r="D104" s="319"/>
      <c r="E104" s="264"/>
      <c r="F104" s="264"/>
      <c r="G104" s="320"/>
      <c r="H104" s="284"/>
      <c r="I104" s="284"/>
      <c r="J104" s="39">
        <v>98</v>
      </c>
      <c r="K104" s="39" t="s">
        <v>34</v>
      </c>
      <c r="L104" s="39" t="s">
        <v>83</v>
      </c>
    </row>
    <row r="105" spans="2:12" x14ac:dyDescent="0.25">
      <c r="B105" s="317"/>
      <c r="C105" s="317"/>
      <c r="D105" s="319"/>
      <c r="E105" s="264"/>
      <c r="F105" s="264"/>
      <c r="G105" s="320"/>
      <c r="H105" s="284"/>
      <c r="I105" s="284"/>
      <c r="J105" s="39">
        <v>95</v>
      </c>
      <c r="K105" s="39" t="s">
        <v>34</v>
      </c>
      <c r="L105" s="39" t="s">
        <v>84</v>
      </c>
    </row>
    <row r="106" spans="2:12" x14ac:dyDescent="0.25">
      <c r="B106" s="317"/>
      <c r="C106" s="317"/>
      <c r="D106" s="319"/>
      <c r="E106" s="264"/>
      <c r="F106" s="264"/>
      <c r="G106" s="320"/>
      <c r="H106" s="285"/>
      <c r="I106" s="285"/>
      <c r="J106" s="39">
        <v>93</v>
      </c>
      <c r="K106" s="39" t="s">
        <v>34</v>
      </c>
      <c r="L106" s="39" t="s">
        <v>85</v>
      </c>
    </row>
    <row r="107" spans="2:12" x14ac:dyDescent="0.25">
      <c r="B107" s="317"/>
      <c r="C107" s="318"/>
      <c r="D107" s="304"/>
      <c r="E107" s="305"/>
      <c r="F107" s="305"/>
      <c r="G107" s="306"/>
      <c r="H107" s="281" t="s">
        <v>29</v>
      </c>
      <c r="I107" s="281"/>
      <c r="J107" s="281"/>
      <c r="K107" s="281"/>
      <c r="L107" s="281"/>
    </row>
    <row r="108" spans="2:12" x14ac:dyDescent="0.25">
      <c r="B108" s="317"/>
      <c r="C108" s="316">
        <v>2</v>
      </c>
      <c r="D108" s="293" t="s">
        <v>86</v>
      </c>
      <c r="E108" s="293"/>
      <c r="F108" s="293"/>
      <c r="G108" s="293"/>
      <c r="H108" s="26" t="s">
        <v>32</v>
      </c>
      <c r="I108" s="27">
        <v>0.3</v>
      </c>
      <c r="J108" s="281" t="s">
        <v>40</v>
      </c>
      <c r="K108" s="281"/>
      <c r="L108" s="281"/>
    </row>
    <row r="109" spans="2:12" x14ac:dyDescent="0.25">
      <c r="B109" s="317"/>
      <c r="C109" s="317"/>
      <c r="D109" s="293"/>
      <c r="E109" s="293"/>
      <c r="F109" s="293"/>
      <c r="G109" s="293"/>
      <c r="H109" s="283">
        <v>100</v>
      </c>
      <c r="I109" s="283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317"/>
      <c r="C110" s="317"/>
      <c r="D110" s="293"/>
      <c r="E110" s="293"/>
      <c r="F110" s="293"/>
      <c r="G110" s="293"/>
      <c r="H110" s="284"/>
      <c r="I110" s="284"/>
      <c r="J110" s="39">
        <v>110</v>
      </c>
      <c r="K110" s="39" t="s">
        <v>34</v>
      </c>
      <c r="L110" s="39" t="s">
        <v>77</v>
      </c>
    </row>
    <row r="111" spans="2:12" x14ac:dyDescent="0.25">
      <c r="B111" s="317"/>
      <c r="C111" s="317"/>
      <c r="D111" s="293"/>
      <c r="E111" s="293"/>
      <c r="F111" s="293"/>
      <c r="G111" s="293"/>
      <c r="H111" s="284"/>
      <c r="I111" s="284"/>
      <c r="J111" s="39">
        <v>108</v>
      </c>
      <c r="K111" s="39" t="s">
        <v>34</v>
      </c>
      <c r="L111" s="39" t="s">
        <v>78</v>
      </c>
    </row>
    <row r="112" spans="2:12" x14ac:dyDescent="0.25">
      <c r="B112" s="317"/>
      <c r="C112" s="317"/>
      <c r="D112" s="302" t="s">
        <v>37</v>
      </c>
      <c r="E112" s="263"/>
      <c r="F112" s="263"/>
      <c r="G112" s="303"/>
      <c r="H112" s="284"/>
      <c r="I112" s="284"/>
      <c r="J112" s="39">
        <v>105</v>
      </c>
      <c r="K112" s="39" t="s">
        <v>34</v>
      </c>
      <c r="L112" s="39" t="s">
        <v>80</v>
      </c>
    </row>
    <row r="113" spans="2:12" x14ac:dyDescent="0.25">
      <c r="B113" s="317"/>
      <c r="C113" s="317"/>
      <c r="D113" s="319" t="s">
        <v>87</v>
      </c>
      <c r="E113" s="264"/>
      <c r="F113" s="264"/>
      <c r="G113" s="320"/>
      <c r="H113" s="284"/>
      <c r="I113" s="284"/>
      <c r="J113" s="39">
        <v>103</v>
      </c>
      <c r="K113" s="39" t="s">
        <v>34</v>
      </c>
      <c r="L113" s="39" t="s">
        <v>81</v>
      </c>
    </row>
    <row r="114" spans="2:12" x14ac:dyDescent="0.25">
      <c r="B114" s="317"/>
      <c r="C114" s="317"/>
      <c r="D114" s="319"/>
      <c r="E114" s="264"/>
      <c r="F114" s="264"/>
      <c r="G114" s="320"/>
      <c r="H114" s="284"/>
      <c r="I114" s="284"/>
      <c r="J114" s="39">
        <v>100</v>
      </c>
      <c r="K114" s="39" t="s">
        <v>34</v>
      </c>
      <c r="L114" s="39" t="s">
        <v>82</v>
      </c>
    </row>
    <row r="115" spans="2:12" x14ac:dyDescent="0.25">
      <c r="B115" s="317"/>
      <c r="C115" s="317"/>
      <c r="D115" s="319"/>
      <c r="E115" s="264"/>
      <c r="F115" s="264"/>
      <c r="G115" s="320"/>
      <c r="H115" s="284"/>
      <c r="I115" s="284"/>
      <c r="J115" s="39">
        <v>98</v>
      </c>
      <c r="K115" s="39" t="s">
        <v>34</v>
      </c>
      <c r="L115" s="39" t="s">
        <v>83</v>
      </c>
    </row>
    <row r="116" spans="2:12" x14ac:dyDescent="0.25">
      <c r="B116" s="317"/>
      <c r="C116" s="317"/>
      <c r="D116" s="319"/>
      <c r="E116" s="264"/>
      <c r="F116" s="264"/>
      <c r="G116" s="320"/>
      <c r="H116" s="284"/>
      <c r="I116" s="284"/>
      <c r="J116" s="39">
        <v>95</v>
      </c>
      <c r="K116" s="39" t="s">
        <v>34</v>
      </c>
      <c r="L116" s="39" t="s">
        <v>84</v>
      </c>
    </row>
    <row r="117" spans="2:12" x14ac:dyDescent="0.25">
      <c r="B117" s="317"/>
      <c r="C117" s="317"/>
      <c r="D117" s="319"/>
      <c r="E117" s="264"/>
      <c r="F117" s="264"/>
      <c r="G117" s="320"/>
      <c r="H117" s="285"/>
      <c r="I117" s="285"/>
      <c r="J117" s="39">
        <v>93</v>
      </c>
      <c r="K117" s="39" t="s">
        <v>34</v>
      </c>
      <c r="L117" s="39" t="s">
        <v>85</v>
      </c>
    </row>
    <row r="118" spans="2:12" x14ac:dyDescent="0.25">
      <c r="B118" s="317"/>
      <c r="C118" s="318"/>
      <c r="D118" s="304"/>
      <c r="E118" s="305"/>
      <c r="F118" s="305"/>
      <c r="G118" s="306"/>
      <c r="H118" s="281" t="s">
        <v>29</v>
      </c>
      <c r="I118" s="281"/>
      <c r="J118" s="281"/>
      <c r="K118" s="281"/>
      <c r="L118" s="281"/>
    </row>
    <row r="119" spans="2:12" ht="15" customHeight="1" x14ac:dyDescent="0.25">
      <c r="B119" s="317"/>
      <c r="C119" s="316">
        <v>3</v>
      </c>
      <c r="D119" s="302" t="s">
        <v>88</v>
      </c>
      <c r="E119" s="263"/>
      <c r="F119" s="263"/>
      <c r="G119" s="303"/>
      <c r="H119" s="26" t="s">
        <v>32</v>
      </c>
      <c r="I119" s="27">
        <v>0.3</v>
      </c>
      <c r="J119" s="281" t="s">
        <v>40</v>
      </c>
      <c r="K119" s="281"/>
      <c r="L119" s="281"/>
    </row>
    <row r="120" spans="2:12" x14ac:dyDescent="0.25">
      <c r="B120" s="317"/>
      <c r="C120" s="317"/>
      <c r="D120" s="319"/>
      <c r="E120" s="264"/>
      <c r="F120" s="264"/>
      <c r="G120" s="320"/>
      <c r="H120" s="283">
        <v>98</v>
      </c>
      <c r="I120" s="283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317"/>
      <c r="C121" s="317"/>
      <c r="D121" s="319"/>
      <c r="E121" s="264"/>
      <c r="F121" s="264"/>
      <c r="G121" s="320"/>
      <c r="H121" s="284"/>
      <c r="I121" s="284"/>
      <c r="J121" s="39">
        <v>110</v>
      </c>
      <c r="K121" s="39" t="s">
        <v>34</v>
      </c>
      <c r="L121" s="39" t="s">
        <v>77</v>
      </c>
    </row>
    <row r="122" spans="2:12" x14ac:dyDescent="0.25">
      <c r="B122" s="317"/>
      <c r="C122" s="317"/>
      <c r="D122" s="304"/>
      <c r="E122" s="305"/>
      <c r="F122" s="305"/>
      <c r="G122" s="306"/>
      <c r="H122" s="284"/>
      <c r="I122" s="284"/>
      <c r="J122" s="39">
        <v>108</v>
      </c>
      <c r="K122" s="39" t="s">
        <v>34</v>
      </c>
      <c r="L122" s="39" t="s">
        <v>78</v>
      </c>
    </row>
    <row r="123" spans="2:12" x14ac:dyDescent="0.25">
      <c r="B123" s="317"/>
      <c r="C123" s="317"/>
      <c r="D123" s="313" t="s">
        <v>37</v>
      </c>
      <c r="E123" s="314"/>
      <c r="F123" s="314"/>
      <c r="G123" s="315"/>
      <c r="H123" s="284"/>
      <c r="I123" s="284"/>
      <c r="J123" s="39">
        <v>105</v>
      </c>
      <c r="K123" s="39" t="s">
        <v>34</v>
      </c>
      <c r="L123" s="39" t="s">
        <v>80</v>
      </c>
    </row>
    <row r="124" spans="2:12" x14ac:dyDescent="0.25">
      <c r="B124" s="317"/>
      <c r="C124" s="317"/>
      <c r="D124" s="302" t="s">
        <v>89</v>
      </c>
      <c r="E124" s="263"/>
      <c r="F124" s="263"/>
      <c r="G124" s="303"/>
      <c r="H124" s="284"/>
      <c r="I124" s="284"/>
      <c r="J124" s="39">
        <v>103</v>
      </c>
      <c r="K124" s="39" t="s">
        <v>34</v>
      </c>
      <c r="L124" s="39" t="s">
        <v>81</v>
      </c>
    </row>
    <row r="125" spans="2:12" x14ac:dyDescent="0.25">
      <c r="B125" s="317"/>
      <c r="C125" s="317"/>
      <c r="D125" s="319"/>
      <c r="E125" s="264"/>
      <c r="F125" s="264"/>
      <c r="G125" s="320"/>
      <c r="H125" s="284"/>
      <c r="I125" s="284"/>
      <c r="J125" s="39">
        <v>100</v>
      </c>
      <c r="K125" s="39" t="s">
        <v>34</v>
      </c>
      <c r="L125" s="39" t="s">
        <v>82</v>
      </c>
    </row>
    <row r="126" spans="2:12" x14ac:dyDescent="0.25">
      <c r="B126" s="317"/>
      <c r="C126" s="317"/>
      <c r="D126" s="319"/>
      <c r="E126" s="264"/>
      <c r="F126" s="264"/>
      <c r="G126" s="320"/>
      <c r="H126" s="284"/>
      <c r="I126" s="284"/>
      <c r="J126" s="39">
        <v>98</v>
      </c>
      <c r="K126" s="39" t="s">
        <v>34</v>
      </c>
      <c r="L126" s="39" t="s">
        <v>83</v>
      </c>
    </row>
    <row r="127" spans="2:12" x14ac:dyDescent="0.25">
      <c r="B127" s="317"/>
      <c r="C127" s="317"/>
      <c r="D127" s="319"/>
      <c r="E127" s="264"/>
      <c r="F127" s="264"/>
      <c r="G127" s="320"/>
      <c r="H127" s="284"/>
      <c r="I127" s="284"/>
      <c r="J127" s="39">
        <v>95</v>
      </c>
      <c r="K127" s="39" t="s">
        <v>34</v>
      </c>
      <c r="L127" s="39" t="s">
        <v>84</v>
      </c>
    </row>
    <row r="128" spans="2:12" x14ac:dyDescent="0.25">
      <c r="B128" s="318"/>
      <c r="C128" s="318"/>
      <c r="D128" s="304"/>
      <c r="E128" s="305"/>
      <c r="F128" s="305"/>
      <c r="G128" s="306"/>
      <c r="H128" s="285"/>
      <c r="I128" s="285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286" t="s">
        <v>62</v>
      </c>
      <c r="D129" s="287"/>
      <c r="E129" s="287"/>
      <c r="F129" s="287"/>
      <c r="G129" s="288"/>
      <c r="H129" s="296">
        <f>I98+I109+I120</f>
        <v>98.6</v>
      </c>
      <c r="I129" s="297"/>
      <c r="J129" s="297"/>
      <c r="K129" s="297"/>
      <c r="L129" s="298"/>
    </row>
    <row r="130" spans="2:12" x14ac:dyDescent="0.25">
      <c r="B130" s="299">
        <v>3</v>
      </c>
      <c r="C130" s="302" t="s">
        <v>90</v>
      </c>
      <c r="D130" s="263"/>
      <c r="E130" s="263"/>
      <c r="F130" s="263"/>
      <c r="G130" s="303"/>
      <c r="H130" s="307"/>
      <c r="I130" s="308"/>
      <c r="J130" s="308"/>
      <c r="K130" s="308"/>
      <c r="L130" s="309"/>
    </row>
    <row r="131" spans="2:12" x14ac:dyDescent="0.25">
      <c r="B131" s="300"/>
      <c r="C131" s="304"/>
      <c r="D131" s="305"/>
      <c r="E131" s="305"/>
      <c r="F131" s="305"/>
      <c r="G131" s="306"/>
      <c r="H131" s="310"/>
      <c r="I131" s="311"/>
      <c r="J131" s="311"/>
      <c r="K131" s="311"/>
      <c r="L131" s="312"/>
    </row>
    <row r="132" spans="2:12" x14ac:dyDescent="0.25">
      <c r="B132" s="300"/>
      <c r="C132" s="313" t="s">
        <v>64</v>
      </c>
      <c r="D132" s="314"/>
      <c r="E132" s="314"/>
      <c r="F132" s="314"/>
      <c r="G132" s="315"/>
      <c r="H132" s="282" t="s">
        <v>29</v>
      </c>
      <c r="I132" s="282"/>
      <c r="J132" s="282"/>
      <c r="K132" s="282"/>
      <c r="L132" s="282"/>
    </row>
    <row r="133" spans="2:12" x14ac:dyDescent="0.25">
      <c r="B133" s="300"/>
      <c r="C133" s="316">
        <v>1</v>
      </c>
      <c r="D133" s="302" t="s">
        <v>91</v>
      </c>
      <c r="E133" s="263"/>
      <c r="F133" s="263"/>
      <c r="G133" s="303"/>
      <c r="H133" s="26" t="s">
        <v>32</v>
      </c>
      <c r="I133" s="27">
        <v>0.25</v>
      </c>
      <c r="J133" s="282" t="s">
        <v>40</v>
      </c>
      <c r="K133" s="282"/>
      <c r="L133" s="282"/>
    </row>
    <row r="134" spans="2:12" x14ac:dyDescent="0.25">
      <c r="B134" s="300"/>
      <c r="C134" s="317"/>
      <c r="D134" s="304"/>
      <c r="E134" s="305"/>
      <c r="F134" s="305"/>
      <c r="G134" s="306"/>
      <c r="H134" s="277"/>
      <c r="I134" s="277"/>
      <c r="J134" s="26"/>
      <c r="K134" s="26"/>
      <c r="L134" s="26"/>
    </row>
    <row r="135" spans="2:12" x14ac:dyDescent="0.25">
      <c r="B135" s="300"/>
      <c r="C135" s="317"/>
      <c r="D135" s="313" t="s">
        <v>37</v>
      </c>
      <c r="E135" s="314"/>
      <c r="F135" s="314"/>
      <c r="G135" s="315"/>
      <c r="H135" s="278"/>
      <c r="I135" s="278"/>
      <c r="J135" s="26"/>
      <c r="K135" s="26"/>
      <c r="L135" s="26"/>
    </row>
    <row r="136" spans="2:12" x14ac:dyDescent="0.25">
      <c r="B136" s="300"/>
      <c r="C136" s="318"/>
      <c r="D136" s="286"/>
      <c r="E136" s="287"/>
      <c r="F136" s="287"/>
      <c r="G136" s="288"/>
      <c r="H136" s="279"/>
      <c r="I136" s="279"/>
      <c r="J136" s="26"/>
      <c r="K136" s="26"/>
      <c r="L136" s="26"/>
    </row>
    <row r="137" spans="2:12" x14ac:dyDescent="0.25">
      <c r="B137" s="300"/>
      <c r="C137" s="313" t="s">
        <v>47</v>
      </c>
      <c r="D137" s="314"/>
      <c r="E137" s="314"/>
      <c r="F137" s="314"/>
      <c r="G137" s="315"/>
      <c r="H137" s="282" t="s">
        <v>29</v>
      </c>
      <c r="I137" s="282"/>
      <c r="J137" s="282"/>
      <c r="K137" s="282"/>
      <c r="L137" s="282"/>
    </row>
    <row r="138" spans="2:12" ht="15" customHeight="1" x14ac:dyDescent="0.25">
      <c r="B138" s="300"/>
      <c r="C138" s="316">
        <v>1</v>
      </c>
      <c r="D138" s="302" t="s">
        <v>92</v>
      </c>
      <c r="E138" s="263"/>
      <c r="F138" s="263"/>
      <c r="G138" s="303"/>
      <c r="H138" s="26" t="s">
        <v>32</v>
      </c>
      <c r="I138" s="27">
        <v>0.25</v>
      </c>
      <c r="J138" s="282" t="s">
        <v>40</v>
      </c>
      <c r="K138" s="282"/>
      <c r="L138" s="282"/>
    </row>
    <row r="139" spans="2:12" x14ac:dyDescent="0.25">
      <c r="B139" s="300"/>
      <c r="C139" s="317"/>
      <c r="D139" s="319"/>
      <c r="E139" s="264"/>
      <c r="F139" s="264"/>
      <c r="G139" s="320"/>
      <c r="H139" s="277"/>
      <c r="I139" s="277"/>
      <c r="J139" s="26"/>
      <c r="K139" s="26"/>
      <c r="L139" s="26"/>
    </row>
    <row r="140" spans="2:12" x14ac:dyDescent="0.25">
      <c r="B140" s="300"/>
      <c r="C140" s="317"/>
      <c r="D140" s="304"/>
      <c r="E140" s="305"/>
      <c r="F140" s="305"/>
      <c r="G140" s="306"/>
      <c r="H140" s="278"/>
      <c r="I140" s="278"/>
      <c r="J140" s="26"/>
      <c r="K140" s="26"/>
      <c r="L140" s="26"/>
    </row>
    <row r="141" spans="2:12" x14ac:dyDescent="0.25">
      <c r="B141" s="300"/>
      <c r="C141" s="317"/>
      <c r="D141" s="321" t="s">
        <v>37</v>
      </c>
      <c r="E141" s="322"/>
      <c r="F141" s="322"/>
      <c r="G141" s="323"/>
      <c r="H141" s="278"/>
      <c r="I141" s="278"/>
      <c r="J141" s="26"/>
      <c r="K141" s="26"/>
      <c r="L141" s="26"/>
    </row>
    <row r="142" spans="2:12" x14ac:dyDescent="0.25">
      <c r="B142" s="300"/>
      <c r="C142" s="317"/>
      <c r="D142" s="307"/>
      <c r="E142" s="308"/>
      <c r="F142" s="308"/>
      <c r="G142" s="309"/>
      <c r="H142" s="278"/>
      <c r="I142" s="278"/>
      <c r="J142" s="26"/>
      <c r="K142" s="26"/>
      <c r="L142" s="26"/>
    </row>
    <row r="143" spans="2:12" x14ac:dyDescent="0.25">
      <c r="B143" s="300"/>
      <c r="C143" s="317"/>
      <c r="D143" s="324"/>
      <c r="E143" s="325"/>
      <c r="F143" s="325"/>
      <c r="G143" s="326"/>
      <c r="H143" s="278"/>
      <c r="I143" s="278"/>
      <c r="J143" s="26"/>
      <c r="K143" s="26"/>
      <c r="L143" s="26"/>
    </row>
    <row r="144" spans="2:12" x14ac:dyDescent="0.25">
      <c r="B144" s="301"/>
      <c r="C144" s="318"/>
      <c r="D144" s="310"/>
      <c r="E144" s="311"/>
      <c r="F144" s="311"/>
      <c r="G144" s="312"/>
      <c r="H144" s="279"/>
      <c r="I144" s="279"/>
      <c r="J144" s="26"/>
      <c r="K144" s="26"/>
      <c r="L144" s="26"/>
    </row>
    <row r="145" spans="2:12" x14ac:dyDescent="0.25">
      <c r="B145" s="41"/>
      <c r="C145" s="286" t="s">
        <v>46</v>
      </c>
      <c r="D145" s="287"/>
      <c r="E145" s="287"/>
      <c r="F145" s="287"/>
      <c r="G145" s="288"/>
      <c r="H145" s="42"/>
      <c r="I145" s="42"/>
      <c r="J145" s="26"/>
      <c r="K145" s="26"/>
      <c r="L145" s="26"/>
    </row>
    <row r="146" spans="2:12" x14ac:dyDescent="0.25">
      <c r="B146" s="289">
        <v>4</v>
      </c>
      <c r="C146" s="6" t="s">
        <v>93</v>
      </c>
      <c r="D146" s="6"/>
      <c r="E146" s="6"/>
      <c r="F146" s="6"/>
      <c r="G146" s="6"/>
      <c r="H146" s="282" t="s">
        <v>29</v>
      </c>
      <c r="I146" s="282"/>
      <c r="J146" s="282"/>
      <c r="K146" s="282"/>
      <c r="L146" s="282"/>
    </row>
    <row r="147" spans="2:12" x14ac:dyDescent="0.25">
      <c r="B147" s="289"/>
      <c r="C147" s="281" t="s">
        <v>64</v>
      </c>
      <c r="D147" s="281"/>
      <c r="E147" s="281"/>
      <c r="F147" s="281"/>
      <c r="G147" s="281"/>
      <c r="H147" s="26" t="s">
        <v>32</v>
      </c>
      <c r="I147" s="27">
        <v>0.7</v>
      </c>
      <c r="J147" s="282" t="s">
        <v>40</v>
      </c>
      <c r="K147" s="282"/>
      <c r="L147" s="282"/>
    </row>
    <row r="148" spans="2:12" x14ac:dyDescent="0.25">
      <c r="B148" s="289"/>
      <c r="C148" s="281">
        <v>1</v>
      </c>
      <c r="D148" s="290" t="s">
        <v>94</v>
      </c>
      <c r="E148" s="290"/>
      <c r="F148" s="290"/>
      <c r="G148" s="290"/>
      <c r="H148" s="283">
        <f>12-E150-E156</f>
        <v>1</v>
      </c>
      <c r="I148" s="283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289"/>
      <c r="C149" s="281"/>
      <c r="D149" s="291" t="s">
        <v>96</v>
      </c>
      <c r="E149" s="291"/>
      <c r="F149" s="291"/>
      <c r="G149" s="291"/>
      <c r="H149" s="284"/>
      <c r="I149" s="284"/>
      <c r="J149" s="26">
        <v>11</v>
      </c>
      <c r="K149" s="26" t="s">
        <v>95</v>
      </c>
      <c r="L149" s="26">
        <v>155</v>
      </c>
    </row>
    <row r="150" spans="2:12" x14ac:dyDescent="0.25">
      <c r="B150" s="289"/>
      <c r="C150" s="281"/>
      <c r="D150" s="281" t="s">
        <v>97</v>
      </c>
      <c r="E150" s="292">
        <v>7</v>
      </c>
      <c r="F150" s="292"/>
      <c r="G150" s="292"/>
      <c r="H150" s="284"/>
      <c r="I150" s="284"/>
      <c r="J150" s="26">
        <v>10</v>
      </c>
      <c r="K150" s="26" t="s">
        <v>95</v>
      </c>
      <c r="L150" s="26">
        <v>150</v>
      </c>
    </row>
    <row r="151" spans="2:12" x14ac:dyDescent="0.25">
      <c r="B151" s="289"/>
      <c r="C151" s="281"/>
      <c r="D151" s="281"/>
      <c r="E151" s="292"/>
      <c r="F151" s="292"/>
      <c r="G151" s="292"/>
      <c r="H151" s="284"/>
      <c r="I151" s="284"/>
      <c r="J151" s="26">
        <v>9</v>
      </c>
      <c r="K151" s="26" t="s">
        <v>95</v>
      </c>
      <c r="L151" s="26">
        <v>145</v>
      </c>
    </row>
    <row r="152" spans="2:12" x14ac:dyDescent="0.25">
      <c r="B152" s="289"/>
      <c r="C152" s="281"/>
      <c r="D152" s="281"/>
      <c r="E152" s="292"/>
      <c r="F152" s="292"/>
      <c r="G152" s="292"/>
      <c r="H152" s="284"/>
      <c r="I152" s="284"/>
      <c r="J152" s="26">
        <v>8</v>
      </c>
      <c r="K152" s="26" t="s">
        <v>95</v>
      </c>
      <c r="L152" s="26">
        <v>140</v>
      </c>
    </row>
    <row r="153" spans="2:12" x14ac:dyDescent="0.25">
      <c r="B153" s="289"/>
      <c r="C153" s="281"/>
      <c r="D153" s="281"/>
      <c r="E153" s="292"/>
      <c r="F153" s="292"/>
      <c r="G153" s="292"/>
      <c r="H153" s="284"/>
      <c r="I153" s="284"/>
      <c r="J153" s="26">
        <v>7</v>
      </c>
      <c r="K153" s="26" t="s">
        <v>95</v>
      </c>
      <c r="L153" s="26">
        <v>135</v>
      </c>
    </row>
    <row r="154" spans="2:12" x14ac:dyDescent="0.25">
      <c r="B154" s="289"/>
      <c r="C154" s="281"/>
      <c r="D154" s="281"/>
      <c r="E154" s="292"/>
      <c r="F154" s="292"/>
      <c r="G154" s="292"/>
      <c r="H154" s="284"/>
      <c r="I154" s="284"/>
      <c r="J154" s="26">
        <v>6</v>
      </c>
      <c r="K154" s="26" t="s">
        <v>95</v>
      </c>
      <c r="L154" s="26">
        <v>130</v>
      </c>
    </row>
    <row r="155" spans="2:12" x14ac:dyDescent="0.25">
      <c r="B155" s="289"/>
      <c r="C155" s="281"/>
      <c r="D155" s="281"/>
      <c r="E155" s="292"/>
      <c r="F155" s="292"/>
      <c r="G155" s="292"/>
      <c r="H155" s="284"/>
      <c r="I155" s="284"/>
      <c r="J155" s="26">
        <v>5</v>
      </c>
      <c r="K155" s="26" t="s">
        <v>95</v>
      </c>
      <c r="L155" s="26">
        <v>125</v>
      </c>
    </row>
    <row r="156" spans="2:12" x14ac:dyDescent="0.25">
      <c r="B156" s="289"/>
      <c r="C156" s="281"/>
      <c r="D156" s="282" t="s">
        <v>95</v>
      </c>
      <c r="E156" s="289">
        <v>4</v>
      </c>
      <c r="F156" s="289"/>
      <c r="G156" s="289"/>
      <c r="H156" s="284"/>
      <c r="I156" s="284"/>
      <c r="J156" s="26">
        <v>4</v>
      </c>
      <c r="K156" s="26" t="s">
        <v>95</v>
      </c>
      <c r="L156" s="26">
        <v>120</v>
      </c>
    </row>
    <row r="157" spans="2:12" x14ac:dyDescent="0.25">
      <c r="B157" s="289"/>
      <c r="C157" s="281"/>
      <c r="D157" s="282"/>
      <c r="E157" s="289"/>
      <c r="F157" s="289"/>
      <c r="G157" s="289"/>
      <c r="H157" s="284"/>
      <c r="I157" s="284"/>
      <c r="J157" s="26">
        <v>3</v>
      </c>
      <c r="K157" s="26" t="s">
        <v>95</v>
      </c>
      <c r="L157" s="26">
        <v>115</v>
      </c>
    </row>
    <row r="158" spans="2:12" x14ac:dyDescent="0.25">
      <c r="B158" s="289"/>
      <c r="C158" s="281"/>
      <c r="D158" s="282"/>
      <c r="E158" s="289"/>
      <c r="F158" s="289"/>
      <c r="G158" s="289"/>
      <c r="H158" s="284"/>
      <c r="I158" s="284"/>
      <c r="J158" s="26">
        <v>2</v>
      </c>
      <c r="K158" s="26" t="s">
        <v>95</v>
      </c>
      <c r="L158" s="26">
        <v>110</v>
      </c>
    </row>
    <row r="159" spans="2:12" x14ac:dyDescent="0.25">
      <c r="B159" s="289"/>
      <c r="C159" s="281"/>
      <c r="D159" s="282"/>
      <c r="E159" s="289"/>
      <c r="F159" s="289"/>
      <c r="G159" s="289"/>
      <c r="H159" s="284"/>
      <c r="I159" s="284"/>
      <c r="J159" s="26">
        <v>1</v>
      </c>
      <c r="K159" s="26" t="s">
        <v>95</v>
      </c>
      <c r="L159" s="26">
        <v>105</v>
      </c>
    </row>
    <row r="160" spans="2:12" x14ac:dyDescent="0.25">
      <c r="B160" s="289"/>
      <c r="C160" s="281"/>
      <c r="D160" s="282"/>
      <c r="E160" s="289"/>
      <c r="F160" s="289"/>
      <c r="G160" s="289"/>
      <c r="H160" s="284"/>
      <c r="I160" s="284"/>
      <c r="J160" s="26">
        <v>0</v>
      </c>
      <c r="K160" s="26" t="s">
        <v>95</v>
      </c>
      <c r="L160" s="26">
        <v>100</v>
      </c>
    </row>
    <row r="161" spans="2:12" x14ac:dyDescent="0.25">
      <c r="B161" s="289"/>
      <c r="C161" s="281"/>
      <c r="D161" s="282"/>
      <c r="E161" s="289"/>
      <c r="F161" s="289"/>
      <c r="G161" s="289"/>
      <c r="H161" s="285"/>
      <c r="I161" s="285"/>
      <c r="J161" s="26">
        <v>1</v>
      </c>
      <c r="K161" s="26" t="s">
        <v>98</v>
      </c>
      <c r="L161" s="26">
        <v>-5</v>
      </c>
    </row>
    <row r="162" spans="2:12" x14ac:dyDescent="0.25">
      <c r="B162" s="289"/>
      <c r="C162" s="281"/>
      <c r="D162" s="282"/>
      <c r="E162" s="289"/>
      <c r="F162" s="289"/>
      <c r="G162" s="289"/>
      <c r="H162" s="282" t="s">
        <v>29</v>
      </c>
      <c r="I162" s="282"/>
      <c r="J162" s="282"/>
      <c r="K162" s="282"/>
      <c r="L162" s="282"/>
    </row>
    <row r="163" spans="2:12" x14ac:dyDescent="0.25">
      <c r="B163" s="289"/>
      <c r="C163" s="293">
        <v>2</v>
      </c>
      <c r="D163" s="281" t="s">
        <v>99</v>
      </c>
      <c r="E163" s="281"/>
      <c r="F163" s="281"/>
      <c r="G163" s="281"/>
      <c r="H163" s="26" t="s">
        <v>32</v>
      </c>
      <c r="I163" s="27">
        <v>0.2</v>
      </c>
      <c r="J163" s="282" t="s">
        <v>40</v>
      </c>
      <c r="K163" s="282"/>
      <c r="L163" s="282"/>
    </row>
    <row r="164" spans="2:12" ht="15" customHeight="1" x14ac:dyDescent="0.25">
      <c r="B164" s="289"/>
      <c r="C164" s="293"/>
      <c r="D164" s="281" t="s">
        <v>96</v>
      </c>
      <c r="E164" s="281"/>
      <c r="F164" s="281"/>
      <c r="G164" s="281"/>
      <c r="H164" s="277">
        <v>1</v>
      </c>
      <c r="I164" s="277">
        <f>VLOOKUP(H164,$J$164:$L$168,3,0)*I163</f>
        <v>19.5</v>
      </c>
      <c r="J164" s="43">
        <v>0</v>
      </c>
      <c r="K164" s="280" t="s">
        <v>100</v>
      </c>
      <c r="L164" s="44">
        <v>110</v>
      </c>
    </row>
    <row r="165" spans="2:12" x14ac:dyDescent="0.25">
      <c r="B165" s="289"/>
      <c r="C165" s="293"/>
      <c r="D165" s="281" t="s">
        <v>101</v>
      </c>
      <c r="E165" s="281"/>
      <c r="F165" s="281"/>
      <c r="G165" s="281"/>
      <c r="H165" s="278"/>
      <c r="I165" s="278"/>
      <c r="J165" s="43">
        <v>1</v>
      </c>
      <c r="K165" s="280"/>
      <c r="L165" s="44">
        <v>97.5</v>
      </c>
    </row>
    <row r="166" spans="2:12" x14ac:dyDescent="0.25">
      <c r="B166" s="289"/>
      <c r="C166" s="293"/>
      <c r="D166" s="281"/>
      <c r="E166" s="281"/>
      <c r="F166" s="281"/>
      <c r="G166" s="281"/>
      <c r="H166" s="278"/>
      <c r="I166" s="278"/>
      <c r="J166" s="43">
        <v>2</v>
      </c>
      <c r="K166" s="280"/>
      <c r="L166" s="45">
        <v>95</v>
      </c>
    </row>
    <row r="167" spans="2:12" x14ac:dyDescent="0.25">
      <c r="B167" s="289"/>
      <c r="C167" s="293"/>
      <c r="D167" s="281"/>
      <c r="E167" s="281"/>
      <c r="F167" s="281"/>
      <c r="G167" s="281"/>
      <c r="H167" s="278"/>
      <c r="I167" s="278"/>
      <c r="J167" s="43">
        <v>3</v>
      </c>
      <c r="K167" s="280"/>
      <c r="L167" s="45">
        <f>L166-2.5</f>
        <v>92.5</v>
      </c>
    </row>
    <row r="168" spans="2:12" x14ac:dyDescent="0.25">
      <c r="B168" s="289"/>
      <c r="C168" s="293"/>
      <c r="D168" s="281"/>
      <c r="E168" s="281"/>
      <c r="F168" s="281"/>
      <c r="G168" s="281"/>
      <c r="H168" s="279"/>
      <c r="I168" s="279"/>
      <c r="J168" s="43">
        <v>4</v>
      </c>
      <c r="K168" s="280"/>
      <c r="L168" s="45">
        <f>L167-2.5</f>
        <v>90</v>
      </c>
    </row>
    <row r="169" spans="2:12" x14ac:dyDescent="0.25">
      <c r="B169" s="289"/>
      <c r="C169" s="293"/>
      <c r="D169" s="281"/>
      <c r="E169" s="281"/>
      <c r="F169" s="281"/>
      <c r="G169" s="281"/>
      <c r="H169" s="282" t="s">
        <v>29</v>
      </c>
      <c r="I169" s="282"/>
      <c r="J169" s="282"/>
      <c r="K169" s="282"/>
      <c r="L169" s="282"/>
    </row>
    <row r="170" spans="2:12" x14ac:dyDescent="0.25">
      <c r="B170" s="289"/>
      <c r="C170" s="281">
        <v>3</v>
      </c>
      <c r="D170" s="281" t="s">
        <v>102</v>
      </c>
      <c r="E170" s="281"/>
      <c r="F170" s="281"/>
      <c r="G170" s="281"/>
      <c r="H170" s="26" t="s">
        <v>32</v>
      </c>
      <c r="I170" s="27">
        <v>0.1</v>
      </c>
      <c r="J170" s="282" t="s">
        <v>40</v>
      </c>
      <c r="K170" s="282"/>
      <c r="L170" s="282"/>
    </row>
    <row r="171" spans="2:12" ht="15" customHeight="1" x14ac:dyDescent="0.25">
      <c r="B171" s="289"/>
      <c r="C171" s="281"/>
      <c r="D171" s="281" t="s">
        <v>96</v>
      </c>
      <c r="E171" s="281"/>
      <c r="F171" s="281"/>
      <c r="G171" s="281"/>
      <c r="H171" s="283">
        <v>0</v>
      </c>
      <c r="I171" s="283">
        <f>VLOOKUP(H171,$J$171:$L$176,3,0)*I170</f>
        <v>11</v>
      </c>
      <c r="J171" s="43">
        <v>0</v>
      </c>
      <c r="K171" s="294" t="s">
        <v>103</v>
      </c>
      <c r="L171" s="44">
        <v>110</v>
      </c>
    </row>
    <row r="172" spans="2:12" x14ac:dyDescent="0.25">
      <c r="B172" s="289"/>
      <c r="C172" s="281"/>
      <c r="D172" s="281" t="s">
        <v>104</v>
      </c>
      <c r="E172" s="281"/>
      <c r="F172" s="281"/>
      <c r="G172" s="281"/>
      <c r="H172" s="284"/>
      <c r="I172" s="284"/>
      <c r="J172" s="43">
        <v>1</v>
      </c>
      <c r="K172" s="294"/>
      <c r="L172" s="44">
        <v>97.5</v>
      </c>
    </row>
    <row r="173" spans="2:12" x14ac:dyDescent="0.25">
      <c r="B173" s="289"/>
      <c r="C173" s="281"/>
      <c r="D173" s="281"/>
      <c r="E173" s="281"/>
      <c r="F173" s="281"/>
      <c r="G173" s="281"/>
      <c r="H173" s="284"/>
      <c r="I173" s="284"/>
      <c r="J173" s="43">
        <v>2</v>
      </c>
      <c r="K173" s="294"/>
      <c r="L173" s="45">
        <v>95</v>
      </c>
    </row>
    <row r="174" spans="2:12" x14ac:dyDescent="0.25">
      <c r="B174" s="289"/>
      <c r="C174" s="281"/>
      <c r="D174" s="281"/>
      <c r="E174" s="281"/>
      <c r="F174" s="281"/>
      <c r="G174" s="281"/>
      <c r="H174" s="284"/>
      <c r="I174" s="284"/>
      <c r="J174" s="43">
        <v>3</v>
      </c>
      <c r="K174" s="294"/>
      <c r="L174" s="45">
        <f>L173-2.5</f>
        <v>92.5</v>
      </c>
    </row>
    <row r="175" spans="2:12" x14ac:dyDescent="0.25">
      <c r="B175" s="289"/>
      <c r="C175" s="281"/>
      <c r="D175" s="281"/>
      <c r="E175" s="281"/>
      <c r="F175" s="281"/>
      <c r="G175" s="281"/>
      <c r="H175" s="284"/>
      <c r="I175" s="284"/>
      <c r="J175" s="43">
        <v>4</v>
      </c>
      <c r="K175" s="294"/>
      <c r="L175" s="45">
        <f>L174-2.5</f>
        <v>90</v>
      </c>
    </row>
    <row r="176" spans="2:12" x14ac:dyDescent="0.25">
      <c r="B176" s="289"/>
      <c r="C176" s="281"/>
      <c r="D176" s="281"/>
      <c r="E176" s="281"/>
      <c r="F176" s="281"/>
      <c r="G176" s="281"/>
      <c r="H176" s="285"/>
      <c r="I176" s="285"/>
      <c r="J176" s="26"/>
      <c r="K176" s="294"/>
      <c r="L176" s="26"/>
    </row>
    <row r="177" spans="2:12" x14ac:dyDescent="0.25">
      <c r="B177" s="289"/>
      <c r="C177" s="289" t="s">
        <v>46</v>
      </c>
      <c r="D177" s="289"/>
      <c r="E177" s="289"/>
      <c r="F177" s="289"/>
      <c r="G177" s="289"/>
      <c r="H177" s="295">
        <f>I148+I164+I171</f>
        <v>104</v>
      </c>
      <c r="I177" s="295"/>
      <c r="J177" s="295"/>
      <c r="K177" s="295"/>
      <c r="L177" s="295"/>
    </row>
    <row r="180" spans="2:12" x14ac:dyDescent="0.25">
      <c r="B180" s="255" t="s">
        <v>105</v>
      </c>
      <c r="C180" s="255"/>
      <c r="D180" s="255"/>
      <c r="E180" s="255"/>
      <c r="F180" s="255"/>
      <c r="G180" s="255"/>
      <c r="H180" s="255"/>
      <c r="I180" s="255"/>
      <c r="J180" s="255"/>
      <c r="K180" s="255"/>
      <c r="L180" s="255"/>
    </row>
    <row r="181" spans="2:12" x14ac:dyDescent="0.25">
      <c r="B181" s="267"/>
      <c r="C181" s="267"/>
      <c r="D181" s="267"/>
      <c r="E181" s="267"/>
      <c r="F181" s="267"/>
      <c r="G181" s="267"/>
      <c r="H181" s="267"/>
      <c r="I181" s="267"/>
      <c r="J181" s="267"/>
      <c r="K181" s="267"/>
      <c r="L181" s="267"/>
    </row>
    <row r="182" spans="2:12" x14ac:dyDescent="0.25">
      <c r="B182" s="268"/>
      <c r="C182" s="269"/>
      <c r="D182" s="269"/>
      <c r="E182" s="269"/>
      <c r="F182" s="269"/>
      <c r="G182" s="269"/>
      <c r="H182" s="269"/>
      <c r="I182" s="269"/>
      <c r="J182" s="269"/>
      <c r="K182" s="269"/>
      <c r="L182" s="270"/>
    </row>
    <row r="183" spans="2:12" x14ac:dyDescent="0.25">
      <c r="B183" s="271"/>
      <c r="C183" s="272"/>
      <c r="D183" s="272"/>
      <c r="E183" s="272"/>
      <c r="F183" s="272"/>
      <c r="G183" s="272"/>
      <c r="H183" s="272"/>
      <c r="I183" s="272"/>
      <c r="J183" s="272"/>
      <c r="K183" s="272"/>
      <c r="L183" s="273"/>
    </row>
    <row r="184" spans="2:12" x14ac:dyDescent="0.25">
      <c r="B184" s="271"/>
      <c r="C184" s="272"/>
      <c r="D184" s="272"/>
      <c r="E184" s="272"/>
      <c r="F184" s="272"/>
      <c r="G184" s="272"/>
      <c r="H184" s="272"/>
      <c r="I184" s="272"/>
      <c r="J184" s="272"/>
      <c r="K184" s="272"/>
      <c r="L184" s="273"/>
    </row>
    <row r="185" spans="2:12" x14ac:dyDescent="0.25">
      <c r="B185" s="274"/>
      <c r="C185" s="275"/>
      <c r="D185" s="275"/>
      <c r="E185" s="275"/>
      <c r="F185" s="275"/>
      <c r="G185" s="275"/>
      <c r="H185" s="275"/>
      <c r="I185" s="275"/>
      <c r="J185" s="275"/>
      <c r="K185" s="275"/>
      <c r="L185" s="276"/>
    </row>
    <row r="187" spans="2:12" x14ac:dyDescent="0.25">
      <c r="B187" s="255" t="s">
        <v>106</v>
      </c>
      <c r="C187" s="255"/>
      <c r="D187" s="255"/>
      <c r="E187" s="255"/>
      <c r="F187" s="255"/>
      <c r="G187" s="255"/>
      <c r="H187" s="255"/>
      <c r="I187" s="255"/>
      <c r="J187" s="255"/>
      <c r="K187" s="255"/>
      <c r="L187" s="255"/>
    </row>
    <row r="188" spans="2:12" x14ac:dyDescent="0.25">
      <c r="B188" s="255"/>
      <c r="C188" s="255"/>
      <c r="D188" s="255"/>
      <c r="E188" s="255"/>
      <c r="F188" s="255"/>
      <c r="G188" s="255"/>
      <c r="H188" s="255"/>
      <c r="I188" s="255"/>
      <c r="J188" s="255"/>
      <c r="K188" s="255"/>
      <c r="L188" s="255"/>
    </row>
    <row r="189" spans="2:12" x14ac:dyDescent="0.25">
      <c r="B189" s="256"/>
      <c r="C189" s="256"/>
      <c r="D189" s="256"/>
      <c r="E189" s="256"/>
      <c r="F189" s="256"/>
      <c r="G189" s="256"/>
      <c r="H189" s="256"/>
      <c r="I189" s="256"/>
      <c r="J189" s="256"/>
      <c r="K189" s="256"/>
      <c r="L189" s="256"/>
    </row>
    <row r="190" spans="2:12" x14ac:dyDescent="0.25">
      <c r="B190" s="256"/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</row>
    <row r="191" spans="2:12" x14ac:dyDescent="0.25">
      <c r="B191" s="256"/>
      <c r="C191" s="256"/>
      <c r="D191" s="256"/>
      <c r="E191" s="256"/>
      <c r="F191" s="256"/>
      <c r="G191" s="256"/>
      <c r="H191" s="256"/>
      <c r="I191" s="256"/>
      <c r="J191" s="256"/>
      <c r="K191" s="256"/>
      <c r="L191" s="256"/>
    </row>
    <row r="192" spans="2:12" x14ac:dyDescent="0.25">
      <c r="B192" s="256"/>
      <c r="C192" s="256"/>
      <c r="D192" s="256"/>
      <c r="E192" s="256"/>
      <c r="F192" s="256"/>
      <c r="G192" s="256"/>
      <c r="H192" s="256"/>
      <c r="I192" s="256"/>
      <c r="J192" s="256"/>
      <c r="K192" s="256"/>
      <c r="L192" s="256"/>
    </row>
    <row r="193" spans="2:12" x14ac:dyDescent="0.25">
      <c r="B193" s="256"/>
      <c r="C193" s="256"/>
      <c r="D193" s="256"/>
      <c r="E193" s="256"/>
      <c r="F193" s="256"/>
      <c r="G193" s="256"/>
      <c r="H193" s="256"/>
      <c r="I193" s="256"/>
      <c r="J193" s="256"/>
      <c r="K193" s="256"/>
      <c r="L193" s="256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257" t="s">
        <v>113</v>
      </c>
      <c r="C202" s="258"/>
      <c r="D202" s="47"/>
      <c r="E202" s="261" t="s">
        <v>114</v>
      </c>
      <c r="F202" s="263" t="s">
        <v>4</v>
      </c>
      <c r="G202" s="48"/>
      <c r="H202" s="48"/>
      <c r="I202" s="263" t="s">
        <v>115</v>
      </c>
      <c r="J202" s="263"/>
      <c r="K202" s="265" t="s">
        <v>6</v>
      </c>
      <c r="L202" s="49"/>
    </row>
    <row r="203" spans="2:12" x14ac:dyDescent="0.25">
      <c r="B203" s="259"/>
      <c r="C203" s="260"/>
      <c r="D203" s="50"/>
      <c r="E203" s="262"/>
      <c r="F203" s="264"/>
      <c r="G203" s="51"/>
      <c r="H203" s="51"/>
      <c r="I203" s="264"/>
      <c r="J203" s="264"/>
      <c r="K203" s="266"/>
      <c r="L203" s="52"/>
    </row>
    <row r="204" spans="2:12" x14ac:dyDescent="0.25">
      <c r="B204" s="253" t="s">
        <v>116</v>
      </c>
      <c r="C204" s="254"/>
      <c r="D204" s="53"/>
      <c r="E204" s="254" t="s">
        <v>116</v>
      </c>
      <c r="F204" s="254"/>
      <c r="G204" s="53"/>
      <c r="H204" s="53"/>
      <c r="I204" s="254" t="s">
        <v>116</v>
      </c>
      <c r="J204" s="254"/>
      <c r="K204" s="53"/>
      <c r="L204" s="54"/>
    </row>
  </sheetData>
  <mergeCells count="200"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J253"/>
  <sheetViews>
    <sheetView tabSelected="1" topLeftCell="A2" zoomScaleNormal="100" workbookViewId="0">
      <pane xSplit="3" ySplit="2" topLeftCell="D4" activePane="bottomRight" state="frozen"/>
      <selection activeCell="A2" sqref="A2"/>
      <selection pane="topRight" activeCell="L2" sqref="L2"/>
      <selection pane="bottomLeft" activeCell="A6" sqref="A6"/>
      <selection pane="bottomRight" activeCell="D4" sqref="D4"/>
    </sheetView>
  </sheetViews>
  <sheetFormatPr defaultRowHeight="20.100000000000001" customHeight="1" x14ac:dyDescent="0.25"/>
  <cols>
    <col min="1" max="1" width="3.7109375" style="56" customWidth="1"/>
    <col min="2" max="2" width="9.140625" style="56" customWidth="1"/>
    <col min="3" max="3" width="20.28515625" style="56" customWidth="1"/>
    <col min="4" max="4" width="9.140625" style="56" customWidth="1"/>
    <col min="5" max="5" width="13.85546875" style="56" customWidth="1"/>
    <col min="6" max="6" width="10.42578125" style="56" customWidth="1"/>
    <col min="7" max="7" width="20.85546875" style="56" customWidth="1"/>
    <col min="8" max="8" width="35.7109375" style="56" bestFit="1" customWidth="1"/>
    <col min="9" max="9" width="9.85546875" style="56" customWidth="1"/>
    <col min="10" max="10" width="13.140625" style="148" customWidth="1"/>
    <col min="11" max="11" width="9.140625" style="56" customWidth="1"/>
    <col min="12" max="12" width="9.140625" style="201"/>
    <col min="13" max="13" width="9.140625" style="202"/>
    <col min="14" max="15" width="9.140625" style="56"/>
    <col min="16" max="16" width="24.28515625" style="56" bestFit="1" customWidth="1"/>
    <col min="17" max="16384" width="9.140625" style="56"/>
  </cols>
  <sheetData>
    <row r="1" spans="1:17" s="55" customFormat="1" ht="20.100000000000001" customHeight="1" x14ac:dyDescent="0.25">
      <c r="A1" s="142"/>
      <c r="B1" s="142"/>
      <c r="C1" s="365"/>
      <c r="D1" s="365"/>
      <c r="E1" s="365"/>
      <c r="F1" s="142"/>
      <c r="G1" s="142"/>
      <c r="H1" s="142"/>
      <c r="I1" s="142"/>
      <c r="L1" s="194"/>
      <c r="M1" s="195"/>
    </row>
    <row r="2" spans="1:17" s="55" customFormat="1" ht="20.100000000000001" customHeight="1" x14ac:dyDescent="0.25">
      <c r="A2" s="142"/>
      <c r="B2" s="142"/>
      <c r="C2" s="142"/>
      <c r="D2" s="143"/>
      <c r="E2" s="144"/>
      <c r="F2" s="142"/>
      <c r="G2" s="142"/>
      <c r="H2" s="145"/>
      <c r="I2" s="142"/>
      <c r="L2" s="194"/>
      <c r="M2" s="195"/>
    </row>
    <row r="3" spans="1:17" s="147" customFormat="1" ht="15" x14ac:dyDescent="0.25">
      <c r="A3" s="58" t="s">
        <v>131</v>
      </c>
      <c r="B3" s="58" t="s">
        <v>116</v>
      </c>
      <c r="C3" s="58" t="s">
        <v>206</v>
      </c>
      <c r="D3" s="58" t="s">
        <v>136</v>
      </c>
      <c r="E3" s="146" t="s">
        <v>207</v>
      </c>
      <c r="F3" s="58" t="s">
        <v>208</v>
      </c>
      <c r="G3" s="58" t="s">
        <v>132</v>
      </c>
      <c r="H3" s="58" t="s">
        <v>162</v>
      </c>
      <c r="I3" s="58" t="s">
        <v>209</v>
      </c>
      <c r="J3" s="58" t="s">
        <v>133</v>
      </c>
      <c r="K3" s="58" t="s">
        <v>163</v>
      </c>
      <c r="L3" s="196"/>
      <c r="M3" s="197"/>
    </row>
    <row r="4" spans="1:17" s="170" customFormat="1" ht="20.100000000000001" customHeight="1" x14ac:dyDescent="0.25">
      <c r="A4" s="207">
        <v>1</v>
      </c>
      <c r="B4" s="204">
        <v>46083</v>
      </c>
      <c r="C4" s="214" t="s">
        <v>238</v>
      </c>
      <c r="D4" s="217" t="s">
        <v>269</v>
      </c>
      <c r="E4" s="187">
        <v>45945</v>
      </c>
      <c r="F4" s="188" t="s">
        <v>300</v>
      </c>
      <c r="G4" s="188" t="s">
        <v>227</v>
      </c>
      <c r="H4" s="219" t="s">
        <v>352</v>
      </c>
      <c r="I4" s="223" t="s">
        <v>228</v>
      </c>
      <c r="J4" s="204">
        <v>46084</v>
      </c>
      <c r="K4" s="184">
        <f>+J4-L4</f>
        <v>1</v>
      </c>
      <c r="L4" s="227">
        <v>46083</v>
      </c>
      <c r="M4" s="199"/>
      <c r="O4" s="169"/>
      <c r="P4" s="169"/>
      <c r="Q4" s="169"/>
    </row>
    <row r="5" spans="1:17" s="170" customFormat="1" ht="20.100000000000001" customHeight="1" x14ac:dyDescent="0.3">
      <c r="A5" s="207">
        <v>2</v>
      </c>
      <c r="B5" s="204">
        <v>46083</v>
      </c>
      <c r="C5" s="214" t="s">
        <v>239</v>
      </c>
      <c r="D5" s="217" t="s">
        <v>270</v>
      </c>
      <c r="E5" s="187">
        <v>46018</v>
      </c>
      <c r="F5" s="218" t="s">
        <v>301</v>
      </c>
      <c r="G5" s="188" t="s">
        <v>227</v>
      </c>
      <c r="H5" s="219" t="s">
        <v>352</v>
      </c>
      <c r="I5" s="223" t="s">
        <v>228</v>
      </c>
      <c r="J5" s="204">
        <v>46084</v>
      </c>
      <c r="K5" s="184">
        <f t="shared" ref="K5:K34" si="0">+J5-L5</f>
        <v>1</v>
      </c>
      <c r="L5" s="227">
        <v>46083</v>
      </c>
      <c r="M5" s="199"/>
      <c r="O5" s="169"/>
      <c r="P5" s="169"/>
      <c r="Q5" s="169"/>
    </row>
    <row r="6" spans="1:17" s="170" customFormat="1" ht="20.100000000000001" customHeight="1" x14ac:dyDescent="0.3">
      <c r="A6" s="207">
        <v>3</v>
      </c>
      <c r="B6" s="204">
        <v>46083</v>
      </c>
      <c r="C6" s="214" t="s">
        <v>240</v>
      </c>
      <c r="D6" s="217" t="s">
        <v>271</v>
      </c>
      <c r="E6" s="187">
        <v>46079</v>
      </c>
      <c r="F6" s="218" t="s">
        <v>302</v>
      </c>
      <c r="G6" s="218" t="s">
        <v>227</v>
      </c>
      <c r="H6" s="219" t="s">
        <v>352</v>
      </c>
      <c r="I6" s="223" t="s">
        <v>228</v>
      </c>
      <c r="J6" s="204">
        <v>46084</v>
      </c>
      <c r="K6" s="184">
        <f t="shared" si="0"/>
        <v>1</v>
      </c>
      <c r="L6" s="227">
        <v>46083</v>
      </c>
      <c r="M6" s="199"/>
      <c r="O6" s="169"/>
      <c r="P6" s="169"/>
      <c r="Q6" s="169"/>
    </row>
    <row r="7" spans="1:17" s="170" customFormat="1" ht="20.100000000000001" customHeight="1" x14ac:dyDescent="0.3">
      <c r="A7" s="207">
        <v>4</v>
      </c>
      <c r="B7" s="204">
        <v>46083</v>
      </c>
      <c r="C7" s="214" t="s">
        <v>241</v>
      </c>
      <c r="D7" s="217" t="s">
        <v>272</v>
      </c>
      <c r="E7" s="187">
        <v>46080</v>
      </c>
      <c r="F7" s="218" t="s">
        <v>303</v>
      </c>
      <c r="G7" s="218" t="s">
        <v>334</v>
      </c>
      <c r="H7" s="219" t="s">
        <v>353</v>
      </c>
      <c r="I7" s="223" t="s">
        <v>228</v>
      </c>
      <c r="J7" s="204">
        <v>46084</v>
      </c>
      <c r="K7" s="184">
        <f t="shared" si="0"/>
        <v>1</v>
      </c>
      <c r="L7" s="227">
        <v>46083</v>
      </c>
      <c r="M7" s="199"/>
      <c r="O7" s="169"/>
      <c r="P7" s="169"/>
      <c r="Q7" s="169"/>
    </row>
    <row r="8" spans="1:17" s="170" customFormat="1" ht="20.100000000000001" customHeight="1" x14ac:dyDescent="0.25">
      <c r="A8" s="207">
        <v>5</v>
      </c>
      <c r="B8" s="205">
        <v>46083</v>
      </c>
      <c r="C8" s="215" t="s">
        <v>242</v>
      </c>
      <c r="D8" s="215" t="s">
        <v>273</v>
      </c>
      <c r="E8" s="185">
        <v>46008</v>
      </c>
      <c r="F8" s="186" t="s">
        <v>304</v>
      </c>
      <c r="G8" s="186" t="s">
        <v>335</v>
      </c>
      <c r="H8" s="220" t="s">
        <v>354</v>
      </c>
      <c r="I8" s="224" t="s">
        <v>229</v>
      </c>
      <c r="J8" s="205">
        <v>46084</v>
      </c>
      <c r="K8" s="184">
        <f t="shared" si="0"/>
        <v>1</v>
      </c>
      <c r="L8" s="227">
        <v>46083</v>
      </c>
      <c r="M8" s="199"/>
      <c r="O8" s="169"/>
      <c r="P8" s="169"/>
      <c r="Q8" s="169"/>
    </row>
    <row r="9" spans="1:17" s="170" customFormat="1" ht="20.100000000000001" customHeight="1" x14ac:dyDescent="0.3">
      <c r="A9" s="207">
        <v>6</v>
      </c>
      <c r="B9" s="204">
        <v>46083</v>
      </c>
      <c r="C9" s="214" t="s">
        <v>243</v>
      </c>
      <c r="D9" s="217" t="s">
        <v>274</v>
      </c>
      <c r="E9" s="187">
        <v>45967</v>
      </c>
      <c r="F9" s="218" t="s">
        <v>305</v>
      </c>
      <c r="G9" s="218" t="s">
        <v>336</v>
      </c>
      <c r="H9" s="219" t="s">
        <v>355</v>
      </c>
      <c r="I9" s="223" t="s">
        <v>228</v>
      </c>
      <c r="J9" s="204">
        <v>46084</v>
      </c>
      <c r="K9" s="184">
        <f t="shared" si="0"/>
        <v>1</v>
      </c>
      <c r="L9" s="227">
        <v>46083</v>
      </c>
      <c r="M9" s="199"/>
      <c r="O9" s="169"/>
      <c r="P9" s="169"/>
      <c r="Q9" s="169"/>
    </row>
    <row r="10" spans="1:17" s="170" customFormat="1" ht="20.100000000000001" customHeight="1" x14ac:dyDescent="0.25">
      <c r="A10" s="207">
        <v>7</v>
      </c>
      <c r="B10" s="206">
        <v>46084</v>
      </c>
      <c r="C10" s="216" t="s">
        <v>244</v>
      </c>
      <c r="D10" s="216" t="s">
        <v>275</v>
      </c>
      <c r="E10" s="180">
        <v>45999</v>
      </c>
      <c r="F10" s="182" t="s">
        <v>306</v>
      </c>
      <c r="G10" s="182" t="s">
        <v>337</v>
      </c>
      <c r="H10" s="145" t="s">
        <v>356</v>
      </c>
      <c r="I10" s="225" t="s">
        <v>137</v>
      </c>
      <c r="J10" s="206">
        <v>46085</v>
      </c>
      <c r="K10" s="184">
        <f t="shared" si="0"/>
        <v>1</v>
      </c>
      <c r="L10" s="227">
        <v>46084</v>
      </c>
      <c r="M10" s="199"/>
      <c r="O10" s="169"/>
      <c r="P10" s="169"/>
      <c r="Q10" s="169"/>
    </row>
    <row r="11" spans="1:17" s="170" customFormat="1" ht="20.100000000000001" customHeight="1" x14ac:dyDescent="0.3">
      <c r="A11" s="207">
        <v>8</v>
      </c>
      <c r="B11" s="206">
        <v>46084</v>
      </c>
      <c r="C11" s="216" t="s">
        <v>245</v>
      </c>
      <c r="D11" s="216" t="s">
        <v>276</v>
      </c>
      <c r="E11" s="180">
        <v>45909</v>
      </c>
      <c r="F11" s="174" t="s">
        <v>307</v>
      </c>
      <c r="G11" s="174" t="s">
        <v>338</v>
      </c>
      <c r="H11" s="145" t="s">
        <v>357</v>
      </c>
      <c r="I11" s="225" t="s">
        <v>137</v>
      </c>
      <c r="J11" s="206">
        <v>46085</v>
      </c>
      <c r="K11" s="184">
        <f t="shared" si="0"/>
        <v>1</v>
      </c>
      <c r="L11" s="227">
        <v>46084</v>
      </c>
      <c r="M11" s="199"/>
      <c r="O11" s="169"/>
      <c r="P11" s="169"/>
      <c r="Q11" s="169"/>
    </row>
    <row r="12" spans="1:17" s="170" customFormat="1" ht="20.100000000000001" customHeight="1" x14ac:dyDescent="0.3">
      <c r="A12" s="207">
        <v>9</v>
      </c>
      <c r="B12" s="206">
        <v>46084</v>
      </c>
      <c r="C12" s="216" t="s">
        <v>246</v>
      </c>
      <c r="D12" s="216" t="s">
        <v>277</v>
      </c>
      <c r="E12" s="180">
        <v>45904</v>
      </c>
      <c r="F12" s="174" t="s">
        <v>308</v>
      </c>
      <c r="G12" s="174" t="s">
        <v>339</v>
      </c>
      <c r="H12" s="145" t="s">
        <v>358</v>
      </c>
      <c r="I12" s="225" t="s">
        <v>137</v>
      </c>
      <c r="J12" s="206">
        <v>46085</v>
      </c>
      <c r="K12" s="184">
        <f t="shared" si="0"/>
        <v>1</v>
      </c>
      <c r="L12" s="227">
        <v>46084</v>
      </c>
      <c r="M12" s="199"/>
      <c r="O12" s="169"/>
      <c r="P12" s="169"/>
      <c r="Q12" s="169"/>
    </row>
    <row r="13" spans="1:17" s="170" customFormat="1" ht="20.100000000000001" customHeight="1" x14ac:dyDescent="0.3">
      <c r="A13" s="207">
        <v>10</v>
      </c>
      <c r="B13" s="206">
        <v>46084</v>
      </c>
      <c r="C13" s="216" t="s">
        <v>247</v>
      </c>
      <c r="D13" s="216" t="s">
        <v>278</v>
      </c>
      <c r="E13" s="180">
        <v>45904</v>
      </c>
      <c r="F13" s="174" t="s">
        <v>309</v>
      </c>
      <c r="G13" s="174" t="s">
        <v>340</v>
      </c>
      <c r="H13" s="145" t="s">
        <v>359</v>
      </c>
      <c r="I13" s="225" t="s">
        <v>137</v>
      </c>
      <c r="J13" s="206">
        <v>46085</v>
      </c>
      <c r="K13" s="184">
        <f t="shared" si="0"/>
        <v>1</v>
      </c>
      <c r="L13" s="227">
        <v>46084</v>
      </c>
      <c r="M13" s="199"/>
      <c r="O13" s="169"/>
      <c r="P13" s="169"/>
      <c r="Q13" s="169"/>
    </row>
    <row r="14" spans="1:17" s="170" customFormat="1" ht="20.100000000000001" customHeight="1" x14ac:dyDescent="0.25">
      <c r="A14" s="207">
        <v>11</v>
      </c>
      <c r="B14" s="204">
        <v>46086</v>
      </c>
      <c r="C14" s="214" t="s">
        <v>248</v>
      </c>
      <c r="D14" s="217" t="s">
        <v>279</v>
      </c>
      <c r="E14" s="187">
        <v>46084</v>
      </c>
      <c r="F14" s="188" t="s">
        <v>310</v>
      </c>
      <c r="G14" s="188" t="s">
        <v>341</v>
      </c>
      <c r="H14" s="221" t="s">
        <v>360</v>
      </c>
      <c r="I14" s="223" t="s">
        <v>228</v>
      </c>
      <c r="J14" s="204">
        <v>46088</v>
      </c>
      <c r="K14" s="184">
        <f t="shared" si="0"/>
        <v>2</v>
      </c>
      <c r="L14" s="227">
        <v>46086</v>
      </c>
      <c r="M14" s="199"/>
      <c r="O14" s="169"/>
      <c r="P14" s="169"/>
      <c r="Q14" s="169"/>
    </row>
    <row r="15" spans="1:17" s="170" customFormat="1" ht="20.100000000000001" customHeight="1" x14ac:dyDescent="0.3">
      <c r="A15" s="207">
        <v>12</v>
      </c>
      <c r="B15" s="204">
        <v>46086</v>
      </c>
      <c r="C15" s="214" t="s">
        <v>249</v>
      </c>
      <c r="D15" s="217" t="s">
        <v>280</v>
      </c>
      <c r="E15" s="187">
        <v>45946</v>
      </c>
      <c r="F15" s="218" t="s">
        <v>311</v>
      </c>
      <c r="G15" s="218" t="s">
        <v>342</v>
      </c>
      <c r="H15" s="221" t="s">
        <v>361</v>
      </c>
      <c r="I15" s="223" t="s">
        <v>228</v>
      </c>
      <c r="J15" s="204">
        <v>46088</v>
      </c>
      <c r="K15" s="184">
        <f t="shared" si="0"/>
        <v>2</v>
      </c>
      <c r="L15" s="227">
        <v>46086</v>
      </c>
      <c r="M15" s="199"/>
      <c r="O15" s="169"/>
      <c r="P15" s="169"/>
      <c r="Q15" s="169"/>
    </row>
    <row r="16" spans="1:17" s="170" customFormat="1" ht="20.100000000000001" customHeight="1" x14ac:dyDescent="0.3">
      <c r="A16" s="207">
        <v>13</v>
      </c>
      <c r="B16" s="204">
        <v>46090</v>
      </c>
      <c r="C16" s="214" t="s">
        <v>250</v>
      </c>
      <c r="D16" s="217" t="s">
        <v>281</v>
      </c>
      <c r="E16" s="187">
        <v>45880</v>
      </c>
      <c r="F16" s="218" t="s">
        <v>312</v>
      </c>
      <c r="G16" s="218" t="s">
        <v>343</v>
      </c>
      <c r="H16" s="221" t="s">
        <v>362</v>
      </c>
      <c r="I16" s="223" t="s">
        <v>228</v>
      </c>
      <c r="J16" s="204">
        <v>46092</v>
      </c>
      <c r="K16" s="184">
        <f t="shared" si="0"/>
        <v>2</v>
      </c>
      <c r="L16" s="227">
        <v>46090</v>
      </c>
      <c r="M16" s="199"/>
      <c r="O16" s="169"/>
      <c r="P16" s="169"/>
      <c r="Q16" s="169"/>
    </row>
    <row r="17" spans="1:17" s="170" customFormat="1" ht="20.100000000000001" customHeight="1" x14ac:dyDescent="0.3">
      <c r="A17" s="207">
        <v>14</v>
      </c>
      <c r="B17" s="204">
        <v>46090</v>
      </c>
      <c r="C17" s="214" t="s">
        <v>251</v>
      </c>
      <c r="D17" s="217" t="s">
        <v>282</v>
      </c>
      <c r="E17" s="187">
        <v>46087</v>
      </c>
      <c r="F17" s="218" t="s">
        <v>313</v>
      </c>
      <c r="G17" s="218" t="s">
        <v>344</v>
      </c>
      <c r="H17" s="221" t="s">
        <v>363</v>
      </c>
      <c r="I17" s="223" t="s">
        <v>228</v>
      </c>
      <c r="J17" s="204">
        <v>46092</v>
      </c>
      <c r="K17" s="184">
        <f t="shared" si="0"/>
        <v>2</v>
      </c>
      <c r="L17" s="227">
        <v>46090</v>
      </c>
      <c r="M17" s="199"/>
      <c r="O17" s="169"/>
      <c r="P17" s="169"/>
      <c r="Q17" s="169"/>
    </row>
    <row r="18" spans="1:17" s="170" customFormat="1" ht="20.100000000000001" customHeight="1" x14ac:dyDescent="0.25">
      <c r="A18" s="207">
        <v>15</v>
      </c>
      <c r="B18" s="204">
        <v>46091</v>
      </c>
      <c r="C18" s="214" t="s">
        <v>252</v>
      </c>
      <c r="D18" s="217" t="s">
        <v>283</v>
      </c>
      <c r="E18" s="187">
        <v>46071</v>
      </c>
      <c r="F18" s="188" t="s">
        <v>314</v>
      </c>
      <c r="G18" s="188" t="s">
        <v>345</v>
      </c>
      <c r="H18" s="221" t="s">
        <v>364</v>
      </c>
      <c r="I18" s="223" t="s">
        <v>228</v>
      </c>
      <c r="J18" s="204">
        <v>46092</v>
      </c>
      <c r="K18" s="184">
        <f t="shared" si="0"/>
        <v>1</v>
      </c>
      <c r="L18" s="227">
        <v>46091</v>
      </c>
      <c r="M18" s="199"/>
      <c r="O18" s="169"/>
      <c r="P18" s="169"/>
      <c r="Q18" s="169"/>
    </row>
    <row r="19" spans="1:17" s="170" customFormat="1" ht="20.100000000000001" customHeight="1" x14ac:dyDescent="0.25">
      <c r="A19" s="207">
        <v>16</v>
      </c>
      <c r="B19" s="204">
        <v>46091</v>
      </c>
      <c r="C19" s="214" t="s">
        <v>253</v>
      </c>
      <c r="D19" s="217" t="s">
        <v>284</v>
      </c>
      <c r="E19" s="187">
        <v>45664</v>
      </c>
      <c r="F19" s="189" t="s">
        <v>315</v>
      </c>
      <c r="G19" s="189" t="s">
        <v>331</v>
      </c>
      <c r="H19" s="221" t="s">
        <v>365</v>
      </c>
      <c r="I19" s="223" t="s">
        <v>228</v>
      </c>
      <c r="J19" s="204">
        <v>46093</v>
      </c>
      <c r="K19" s="184">
        <f t="shared" si="0"/>
        <v>2</v>
      </c>
      <c r="L19" s="227">
        <v>46091</v>
      </c>
      <c r="M19" s="199"/>
      <c r="O19" s="169"/>
      <c r="P19" s="169"/>
      <c r="Q19" s="169"/>
    </row>
    <row r="20" spans="1:17" s="170" customFormat="1" ht="20.100000000000001" customHeight="1" x14ac:dyDescent="0.25">
      <c r="A20" s="207">
        <v>17</v>
      </c>
      <c r="B20" s="204">
        <v>46094</v>
      </c>
      <c r="C20" s="214" t="s">
        <v>254</v>
      </c>
      <c r="D20" s="217" t="s">
        <v>285</v>
      </c>
      <c r="E20" s="187">
        <v>46045</v>
      </c>
      <c r="F20" s="188" t="s">
        <v>316</v>
      </c>
      <c r="G20" s="188" t="s">
        <v>342</v>
      </c>
      <c r="H20" s="145" t="s">
        <v>366</v>
      </c>
      <c r="I20" s="223" t="s">
        <v>228</v>
      </c>
      <c r="J20" s="204">
        <v>46095</v>
      </c>
      <c r="K20" s="184">
        <f t="shared" si="0"/>
        <v>0</v>
      </c>
      <c r="L20" s="227">
        <v>46095</v>
      </c>
      <c r="M20" s="199"/>
      <c r="O20" s="169"/>
      <c r="P20" s="169"/>
      <c r="Q20" s="169"/>
    </row>
    <row r="21" spans="1:17" s="170" customFormat="1" ht="20.100000000000001" customHeight="1" x14ac:dyDescent="0.25">
      <c r="A21" s="207">
        <v>18</v>
      </c>
      <c r="B21" s="205">
        <v>46095</v>
      </c>
      <c r="C21" s="215" t="s">
        <v>255</v>
      </c>
      <c r="D21" s="215" t="s">
        <v>286</v>
      </c>
      <c r="E21" s="185">
        <v>46049</v>
      </c>
      <c r="F21" s="186" t="s">
        <v>317</v>
      </c>
      <c r="G21" s="186" t="s">
        <v>332</v>
      </c>
      <c r="H21" s="222" t="s">
        <v>367</v>
      </c>
      <c r="I21" s="226" t="s">
        <v>229</v>
      </c>
      <c r="J21" s="204">
        <v>46095</v>
      </c>
      <c r="K21" s="184">
        <f t="shared" si="0"/>
        <v>0</v>
      </c>
      <c r="L21" s="227">
        <v>46095</v>
      </c>
      <c r="M21" s="199"/>
      <c r="N21" s="170" t="s">
        <v>381</v>
      </c>
      <c r="O21" s="169"/>
      <c r="P21" s="169"/>
      <c r="Q21" s="169"/>
    </row>
    <row r="22" spans="1:17" s="170" customFormat="1" ht="20.100000000000001" customHeight="1" x14ac:dyDescent="0.25">
      <c r="A22" s="207">
        <v>19</v>
      </c>
      <c r="B22" s="206">
        <v>46095</v>
      </c>
      <c r="C22" s="216" t="s">
        <v>256</v>
      </c>
      <c r="D22" s="216" t="s">
        <v>287</v>
      </c>
      <c r="E22" s="180">
        <v>46078</v>
      </c>
      <c r="F22" s="182" t="s">
        <v>318</v>
      </c>
      <c r="G22" s="182" t="s">
        <v>346</v>
      </c>
      <c r="H22" s="145" t="s">
        <v>368</v>
      </c>
      <c r="I22" s="225" t="s">
        <v>137</v>
      </c>
      <c r="J22" s="206">
        <v>46095</v>
      </c>
      <c r="K22" s="184">
        <f t="shared" si="0"/>
        <v>0</v>
      </c>
      <c r="L22" s="227">
        <v>46095</v>
      </c>
      <c r="M22" s="199"/>
      <c r="N22" s="170" t="s">
        <v>381</v>
      </c>
      <c r="O22" s="169"/>
      <c r="P22" s="169"/>
      <c r="Q22" s="169"/>
    </row>
    <row r="23" spans="1:17" s="170" customFormat="1" ht="20.100000000000001" customHeight="1" x14ac:dyDescent="0.25">
      <c r="A23" s="207">
        <v>20</v>
      </c>
      <c r="B23" s="204">
        <v>46095</v>
      </c>
      <c r="C23" s="214" t="s">
        <v>257</v>
      </c>
      <c r="D23" s="217" t="s">
        <v>288</v>
      </c>
      <c r="E23" s="187">
        <v>46093</v>
      </c>
      <c r="F23" s="188" t="s">
        <v>319</v>
      </c>
      <c r="G23" s="188" t="s">
        <v>227</v>
      </c>
      <c r="H23" s="145" t="s">
        <v>369</v>
      </c>
      <c r="I23" s="223" t="s">
        <v>228</v>
      </c>
      <c r="J23" s="204">
        <v>46095</v>
      </c>
      <c r="K23" s="184">
        <f t="shared" si="0"/>
        <v>0</v>
      </c>
      <c r="L23" s="227">
        <v>46095</v>
      </c>
      <c r="M23" s="199"/>
      <c r="N23" s="170" t="s">
        <v>381</v>
      </c>
      <c r="O23" s="169"/>
      <c r="P23" s="169"/>
      <c r="Q23" s="169"/>
    </row>
    <row r="24" spans="1:17" s="170" customFormat="1" ht="20.100000000000001" customHeight="1" x14ac:dyDescent="0.3">
      <c r="A24" s="207">
        <v>21</v>
      </c>
      <c r="B24" s="204">
        <v>46095</v>
      </c>
      <c r="C24" s="214" t="s">
        <v>258</v>
      </c>
      <c r="D24" s="214" t="s">
        <v>289</v>
      </c>
      <c r="E24" s="187">
        <v>46008</v>
      </c>
      <c r="F24" s="218" t="s">
        <v>320</v>
      </c>
      <c r="G24" s="218" t="s">
        <v>347</v>
      </c>
      <c r="H24" s="145" t="s">
        <v>370</v>
      </c>
      <c r="I24" s="223" t="s">
        <v>228</v>
      </c>
      <c r="J24" s="204">
        <v>46098</v>
      </c>
      <c r="K24" s="184">
        <v>1</v>
      </c>
      <c r="L24" s="227">
        <v>46096</v>
      </c>
      <c r="M24" s="199"/>
      <c r="N24" s="170" t="s">
        <v>381</v>
      </c>
      <c r="O24" s="169"/>
      <c r="P24" s="169"/>
      <c r="Q24" s="169"/>
    </row>
    <row r="25" spans="1:17" s="170" customFormat="1" ht="20.100000000000001" customHeight="1" x14ac:dyDescent="0.25">
      <c r="A25" s="207">
        <v>22</v>
      </c>
      <c r="B25" s="205">
        <v>46098</v>
      </c>
      <c r="C25" s="215" t="s">
        <v>259</v>
      </c>
      <c r="D25" s="215" t="s">
        <v>290</v>
      </c>
      <c r="E25" s="185">
        <v>46030</v>
      </c>
      <c r="F25" s="186" t="s">
        <v>321</v>
      </c>
      <c r="G25" s="186" t="s">
        <v>348</v>
      </c>
      <c r="H25" s="222" t="s">
        <v>371</v>
      </c>
      <c r="I25" s="226" t="s">
        <v>229</v>
      </c>
      <c r="J25" s="205">
        <v>46099</v>
      </c>
      <c r="K25" s="184">
        <f t="shared" si="0"/>
        <v>1</v>
      </c>
      <c r="L25" s="227">
        <v>46098</v>
      </c>
      <c r="M25" s="199"/>
      <c r="O25" s="169"/>
      <c r="P25" s="169"/>
      <c r="Q25" s="169"/>
    </row>
    <row r="26" spans="1:17" s="170" customFormat="1" ht="20.100000000000001" customHeight="1" x14ac:dyDescent="0.25">
      <c r="A26" s="207">
        <v>23</v>
      </c>
      <c r="B26" s="206">
        <v>46098</v>
      </c>
      <c r="C26" s="216" t="s">
        <v>260</v>
      </c>
      <c r="D26" s="216" t="s">
        <v>291</v>
      </c>
      <c r="E26" s="180">
        <v>45714</v>
      </c>
      <c r="F26" s="182" t="s">
        <v>322</v>
      </c>
      <c r="G26" s="182" t="s">
        <v>349</v>
      </c>
      <c r="H26" s="145" t="s">
        <v>372</v>
      </c>
      <c r="I26" s="225" t="s">
        <v>137</v>
      </c>
      <c r="J26" s="206">
        <v>46099</v>
      </c>
      <c r="K26" s="184">
        <f t="shared" si="0"/>
        <v>1</v>
      </c>
      <c r="L26" s="227">
        <v>46098</v>
      </c>
      <c r="M26" s="199"/>
      <c r="O26" s="169"/>
      <c r="P26" s="169"/>
      <c r="Q26" s="169"/>
    </row>
    <row r="27" spans="1:17" s="170" customFormat="1" ht="20.100000000000001" customHeight="1" x14ac:dyDescent="0.25">
      <c r="A27" s="207">
        <v>24</v>
      </c>
      <c r="B27" s="205">
        <v>46099</v>
      </c>
      <c r="C27" s="215" t="s">
        <v>261</v>
      </c>
      <c r="D27" s="215" t="s">
        <v>292</v>
      </c>
      <c r="E27" s="185">
        <v>46098</v>
      </c>
      <c r="F27" s="186" t="s">
        <v>323</v>
      </c>
      <c r="G27" s="186" t="s">
        <v>348</v>
      </c>
      <c r="H27" s="222" t="s">
        <v>373</v>
      </c>
      <c r="I27" s="226" t="s">
        <v>229</v>
      </c>
      <c r="J27" s="205">
        <v>46099</v>
      </c>
      <c r="K27" s="184">
        <f t="shared" si="0"/>
        <v>0</v>
      </c>
      <c r="L27" s="227">
        <v>46099</v>
      </c>
      <c r="M27" s="199"/>
      <c r="O27" s="169"/>
      <c r="P27" s="169"/>
      <c r="Q27" s="169"/>
    </row>
    <row r="28" spans="1:17" s="170" customFormat="1" ht="20.100000000000001" customHeight="1" x14ac:dyDescent="0.25">
      <c r="A28" s="207">
        <v>25</v>
      </c>
      <c r="B28" s="206">
        <v>46099</v>
      </c>
      <c r="C28" s="216" t="s">
        <v>262</v>
      </c>
      <c r="D28" s="216" t="s">
        <v>293</v>
      </c>
      <c r="E28" s="180">
        <v>45980</v>
      </c>
      <c r="F28" s="182" t="s">
        <v>324</v>
      </c>
      <c r="G28" s="182" t="s">
        <v>350</v>
      </c>
      <c r="H28" s="145" t="s">
        <v>374</v>
      </c>
      <c r="I28" s="225" t="s">
        <v>137</v>
      </c>
      <c r="J28" s="206">
        <v>46107</v>
      </c>
      <c r="K28" s="184">
        <f t="shared" si="0"/>
        <v>0</v>
      </c>
      <c r="L28" s="227">
        <v>46107</v>
      </c>
      <c r="M28" s="199"/>
      <c r="N28" s="170" t="s">
        <v>384</v>
      </c>
      <c r="O28" s="169"/>
      <c r="P28" s="169"/>
      <c r="Q28" s="169"/>
    </row>
    <row r="29" spans="1:17" s="170" customFormat="1" ht="20.100000000000001" customHeight="1" x14ac:dyDescent="0.3">
      <c r="A29" s="207">
        <v>26</v>
      </c>
      <c r="B29" s="204">
        <v>46107</v>
      </c>
      <c r="C29" s="214" t="s">
        <v>263</v>
      </c>
      <c r="D29" s="214" t="s">
        <v>294</v>
      </c>
      <c r="E29" s="187">
        <v>46087</v>
      </c>
      <c r="F29" s="218" t="s">
        <v>325</v>
      </c>
      <c r="G29" s="218" t="s">
        <v>226</v>
      </c>
      <c r="H29" s="221" t="s">
        <v>375</v>
      </c>
      <c r="I29" s="223" t="s">
        <v>228</v>
      </c>
      <c r="J29" s="204">
        <v>46108</v>
      </c>
      <c r="K29" s="184">
        <f t="shared" si="0"/>
        <v>1</v>
      </c>
      <c r="L29" s="227">
        <v>46107</v>
      </c>
      <c r="M29" s="199"/>
      <c r="O29" s="169"/>
      <c r="P29" s="169"/>
      <c r="Q29" s="169"/>
    </row>
    <row r="30" spans="1:17" s="170" customFormat="1" ht="20.100000000000001" customHeight="1" x14ac:dyDescent="0.25">
      <c r="A30" s="207">
        <v>27</v>
      </c>
      <c r="B30" s="205">
        <v>46111</v>
      </c>
      <c r="C30" s="215" t="s">
        <v>264</v>
      </c>
      <c r="D30" s="215" t="s">
        <v>295</v>
      </c>
      <c r="E30" s="185">
        <v>45986</v>
      </c>
      <c r="F30" s="186" t="s">
        <v>326</v>
      </c>
      <c r="G30" s="186" t="s">
        <v>351</v>
      </c>
      <c r="H30" s="222" t="s">
        <v>376</v>
      </c>
      <c r="I30" s="226" t="s">
        <v>229</v>
      </c>
      <c r="J30" s="205">
        <v>46111</v>
      </c>
      <c r="K30" s="184">
        <f t="shared" si="0"/>
        <v>0</v>
      </c>
      <c r="L30" s="227">
        <v>46111</v>
      </c>
      <c r="M30" s="199"/>
      <c r="O30" s="169"/>
      <c r="P30" s="169"/>
      <c r="Q30" s="169"/>
    </row>
    <row r="31" spans="1:17" s="170" customFormat="1" ht="20.100000000000001" customHeight="1" x14ac:dyDescent="0.25">
      <c r="A31" s="207">
        <v>28</v>
      </c>
      <c r="B31" s="205">
        <v>46111</v>
      </c>
      <c r="C31" s="215" t="s">
        <v>265</v>
      </c>
      <c r="D31" s="215" t="s">
        <v>296</v>
      </c>
      <c r="E31" s="185">
        <v>44679</v>
      </c>
      <c r="F31" s="186" t="s">
        <v>327</v>
      </c>
      <c r="G31" s="186" t="s">
        <v>351</v>
      </c>
      <c r="H31" s="222" t="s">
        <v>377</v>
      </c>
      <c r="I31" s="226" t="s">
        <v>229</v>
      </c>
      <c r="J31" s="205">
        <v>46111</v>
      </c>
      <c r="K31" s="184">
        <f t="shared" si="0"/>
        <v>0</v>
      </c>
      <c r="L31" s="227">
        <v>46111</v>
      </c>
      <c r="M31" s="199"/>
      <c r="O31" s="169"/>
      <c r="P31" s="169"/>
      <c r="Q31" s="169"/>
    </row>
    <row r="32" spans="1:17" s="170" customFormat="1" ht="20.100000000000001" customHeight="1" x14ac:dyDescent="0.25">
      <c r="A32" s="207">
        <v>29</v>
      </c>
      <c r="B32" s="204">
        <v>46111</v>
      </c>
      <c r="C32" s="214" t="s">
        <v>266</v>
      </c>
      <c r="D32" s="214" t="s">
        <v>297</v>
      </c>
      <c r="E32" s="187">
        <v>46109</v>
      </c>
      <c r="F32" s="188" t="s">
        <v>328</v>
      </c>
      <c r="G32" s="188" t="s">
        <v>334</v>
      </c>
      <c r="H32" s="219" t="s">
        <v>378</v>
      </c>
      <c r="I32" s="223" t="s">
        <v>228</v>
      </c>
      <c r="J32" s="204">
        <v>46114</v>
      </c>
      <c r="K32" s="184">
        <f t="shared" si="0"/>
        <v>3</v>
      </c>
      <c r="L32" s="227">
        <v>46111</v>
      </c>
      <c r="M32" s="199"/>
      <c r="N32" s="170" t="s">
        <v>236</v>
      </c>
      <c r="O32" s="169"/>
      <c r="P32" s="169"/>
      <c r="Q32" s="169"/>
    </row>
    <row r="33" spans="1:36" s="170" customFormat="1" ht="20.100000000000001" customHeight="1" x14ac:dyDescent="0.25">
      <c r="A33" s="207">
        <v>30</v>
      </c>
      <c r="B33" s="204">
        <v>46111</v>
      </c>
      <c r="C33" s="214" t="s">
        <v>267</v>
      </c>
      <c r="D33" s="214" t="s">
        <v>298</v>
      </c>
      <c r="E33" s="187">
        <v>46108</v>
      </c>
      <c r="F33" s="188" t="s">
        <v>329</v>
      </c>
      <c r="G33" s="188" t="s">
        <v>227</v>
      </c>
      <c r="H33" s="219" t="s">
        <v>379</v>
      </c>
      <c r="I33" s="223" t="s">
        <v>228</v>
      </c>
      <c r="J33" s="204">
        <v>46114</v>
      </c>
      <c r="K33" s="184">
        <f t="shared" si="0"/>
        <v>3</v>
      </c>
      <c r="L33" s="227">
        <v>46111</v>
      </c>
      <c r="M33" s="199"/>
      <c r="N33" s="170" t="s">
        <v>236</v>
      </c>
      <c r="O33" s="169"/>
      <c r="P33" s="169"/>
      <c r="Q33" s="169"/>
    </row>
    <row r="34" spans="1:36" s="170" customFormat="1" ht="20.100000000000001" customHeight="1" x14ac:dyDescent="0.3">
      <c r="A34" s="207">
        <v>31</v>
      </c>
      <c r="B34" s="204">
        <v>46112</v>
      </c>
      <c r="C34" s="214" t="s">
        <v>268</v>
      </c>
      <c r="D34" s="214" t="s">
        <v>299</v>
      </c>
      <c r="E34" s="187">
        <v>46091</v>
      </c>
      <c r="F34" s="218" t="s">
        <v>330</v>
      </c>
      <c r="G34" s="218" t="s">
        <v>333</v>
      </c>
      <c r="H34" s="219" t="s">
        <v>380</v>
      </c>
      <c r="I34" s="223" t="s">
        <v>228</v>
      </c>
      <c r="J34" s="204">
        <v>46114</v>
      </c>
      <c r="K34" s="184">
        <f t="shared" si="0"/>
        <v>2</v>
      </c>
      <c r="L34" s="227">
        <v>46112</v>
      </c>
      <c r="M34" s="199"/>
      <c r="O34" s="169"/>
      <c r="P34" s="169"/>
      <c r="Q34" s="169"/>
    </row>
    <row r="35" spans="1:36" s="170" customFormat="1" ht="20.100000000000001" customHeight="1" x14ac:dyDescent="0.3">
      <c r="A35" s="230"/>
      <c r="B35" s="230"/>
      <c r="C35" s="230"/>
      <c r="D35" s="230"/>
      <c r="E35" s="230"/>
      <c r="F35" s="230"/>
      <c r="G35" s="230"/>
      <c r="H35" s="229" t="s">
        <v>382</v>
      </c>
      <c r="I35" s="230"/>
      <c r="J35" s="230"/>
      <c r="K35" s="231">
        <f>AVERAGE(K4:K34)</f>
        <v>1.064516129032258</v>
      </c>
      <c r="L35" s="232"/>
      <c r="M35" s="190"/>
      <c r="N35" s="190"/>
      <c r="O35" s="190"/>
      <c r="P35" s="190"/>
      <c r="Q35" s="190"/>
      <c r="R35" s="190"/>
      <c r="S35" s="190"/>
      <c r="T35" s="190"/>
      <c r="U35" s="190"/>
      <c r="V35" s="190"/>
      <c r="W35" s="190"/>
      <c r="X35" s="190"/>
      <c r="Y35" s="190"/>
      <c r="Z35" s="190"/>
      <c r="AA35" s="190"/>
      <c r="AB35" s="190"/>
      <c r="AC35" s="190"/>
      <c r="AD35" s="190"/>
      <c r="AE35" s="190"/>
      <c r="AF35" s="190"/>
      <c r="AG35" s="190"/>
      <c r="AH35" s="190"/>
      <c r="AI35" s="190"/>
      <c r="AJ35" s="190"/>
    </row>
    <row r="36" spans="1:36" s="170" customFormat="1" ht="20.100000000000001" customHeight="1" x14ac:dyDescent="0.25">
      <c r="A36"/>
      <c r="B36"/>
      <c r="C36"/>
      <c r="D36"/>
      <c r="E36"/>
      <c r="F36"/>
      <c r="G36"/>
      <c r="H36"/>
      <c r="I36"/>
      <c r="J36"/>
      <c r="K36"/>
      <c r="L36" s="228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s="170" customFormat="1" ht="20.100000000000001" customHeight="1" x14ac:dyDescent="0.25">
      <c r="A37"/>
      <c r="B37"/>
      <c r="C37"/>
      <c r="D37"/>
      <c r="E37"/>
      <c r="F37"/>
      <c r="G37"/>
      <c r="H37"/>
      <c r="I37"/>
      <c r="J37"/>
      <c r="K37"/>
      <c r="L37" s="228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s="170" customFormat="1" ht="20.100000000000001" customHeight="1" x14ac:dyDescent="0.25">
      <c r="A38"/>
      <c r="B38"/>
      <c r="C38"/>
      <c r="D38"/>
      <c r="E38"/>
      <c r="F38"/>
      <c r="G38"/>
      <c r="H38"/>
      <c r="I38"/>
      <c r="J38"/>
      <c r="K38"/>
      <c r="L38" s="22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  <row r="39" spans="1:36" s="170" customFormat="1" ht="20.100000000000001" customHeight="1" x14ac:dyDescent="0.25">
      <c r="A39"/>
      <c r="B39"/>
      <c r="C39"/>
      <c r="D39"/>
      <c r="E39"/>
      <c r="F39"/>
      <c r="G39"/>
      <c r="H39"/>
      <c r="I39"/>
      <c r="J39"/>
      <c r="K39"/>
      <c r="L39" s="228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</row>
    <row r="40" spans="1:36" s="170" customFormat="1" ht="20.100000000000001" customHeight="1" x14ac:dyDescent="0.25">
      <c r="A40"/>
      <c r="B40"/>
      <c r="C40"/>
      <c r="D40"/>
      <c r="E40"/>
      <c r="F40"/>
      <c r="G40"/>
      <c r="H40"/>
      <c r="I40"/>
      <c r="J40"/>
      <c r="K40"/>
      <c r="L40" s="228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</row>
    <row r="41" spans="1:36" s="170" customFormat="1" ht="20.100000000000001" customHeight="1" x14ac:dyDescent="0.25">
      <c r="A41"/>
      <c r="B41"/>
      <c r="C41"/>
      <c r="D41"/>
      <c r="E41"/>
      <c r="F41"/>
      <c r="G41"/>
      <c r="H41"/>
      <c r="I41"/>
      <c r="J41"/>
      <c r="K41"/>
      <c r="L41" s="228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 s="170" customFormat="1" ht="20.100000000000001" customHeight="1" x14ac:dyDescent="0.25">
      <c r="A42"/>
      <c r="B42"/>
      <c r="C42"/>
      <c r="D42"/>
      <c r="E42"/>
      <c r="F42"/>
      <c r="G42"/>
      <c r="H42"/>
      <c r="I42"/>
      <c r="J42"/>
      <c r="K42"/>
      <c r="L42" s="228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 s="170" customFormat="1" ht="20.100000000000001" customHeight="1" x14ac:dyDescent="0.25">
      <c r="A43"/>
      <c r="B43"/>
      <c r="C43"/>
      <c r="D43"/>
      <c r="E43"/>
      <c r="F43"/>
      <c r="G43"/>
      <c r="H43"/>
      <c r="I43"/>
      <c r="J43"/>
      <c r="K43"/>
      <c r="L43" s="228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 s="170" customFormat="1" ht="20.100000000000001" customHeight="1" x14ac:dyDescent="0.25">
      <c r="A44"/>
      <c r="B44"/>
      <c r="C44"/>
      <c r="D44"/>
      <c r="E44"/>
      <c r="F44"/>
      <c r="G44"/>
      <c r="H44"/>
      <c r="I44"/>
      <c r="J44"/>
      <c r="K44"/>
      <c r="L44" s="228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 s="170" customFormat="1" ht="20.100000000000001" customHeight="1" x14ac:dyDescent="0.25">
      <c r="A45"/>
      <c r="B45"/>
      <c r="C45"/>
      <c r="D45"/>
      <c r="E45"/>
      <c r="F45"/>
      <c r="G45"/>
      <c r="H45"/>
      <c r="I45"/>
      <c r="J45"/>
      <c r="K45"/>
      <c r="L45" s="228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 s="170" customFormat="1" ht="20.100000000000001" customHeight="1" x14ac:dyDescent="0.25">
      <c r="A46"/>
      <c r="B46"/>
      <c r="C46"/>
      <c r="D46"/>
      <c r="E46"/>
      <c r="F46"/>
      <c r="G46"/>
      <c r="H46"/>
      <c r="I46"/>
      <c r="J46"/>
      <c r="K46"/>
      <c r="L46" s="228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 s="170" customFormat="1" ht="20.100000000000001" customHeight="1" x14ac:dyDescent="0.25">
      <c r="A47"/>
      <c r="B47"/>
      <c r="C47"/>
      <c r="D47"/>
      <c r="E47"/>
      <c r="F47"/>
      <c r="G47"/>
      <c r="H47"/>
      <c r="I47"/>
      <c r="J47"/>
      <c r="K47"/>
      <c r="L47" s="228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 s="170" customFormat="1" ht="20.100000000000001" customHeight="1" x14ac:dyDescent="0.25">
      <c r="A48"/>
      <c r="B48"/>
      <c r="C48"/>
      <c r="D48"/>
      <c r="E48"/>
      <c r="F48"/>
      <c r="G48"/>
      <c r="H48"/>
      <c r="I48"/>
      <c r="J48"/>
      <c r="K48"/>
      <c r="L48" s="22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49" spans="1:36" s="170" customFormat="1" ht="20.100000000000001" customHeight="1" x14ac:dyDescent="0.25">
      <c r="A49"/>
      <c r="B49"/>
      <c r="C49"/>
      <c r="D49"/>
      <c r="E49"/>
      <c r="F49"/>
      <c r="G49"/>
      <c r="H49"/>
      <c r="I49"/>
      <c r="J49"/>
      <c r="K49"/>
      <c r="L49" s="228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</row>
    <row r="50" spans="1:36" s="170" customFormat="1" ht="20.100000000000001" customHeight="1" x14ac:dyDescent="0.25">
      <c r="A50"/>
      <c r="B50"/>
      <c r="C50"/>
      <c r="D50"/>
      <c r="E50"/>
      <c r="F50"/>
      <c r="G50"/>
      <c r="H50"/>
      <c r="I50"/>
      <c r="J50"/>
      <c r="K50"/>
      <c r="L50" s="228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</row>
    <row r="51" spans="1:36" s="170" customFormat="1" ht="20.100000000000001" customHeight="1" x14ac:dyDescent="0.25">
      <c r="A51"/>
      <c r="B51"/>
      <c r="C51"/>
      <c r="D51"/>
      <c r="E51"/>
      <c r="F51"/>
      <c r="G51"/>
      <c r="H51"/>
      <c r="I51"/>
      <c r="J51"/>
      <c r="K51"/>
      <c r="L51" s="228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</row>
    <row r="52" spans="1:36" s="170" customFormat="1" ht="20.100000000000001" customHeight="1" x14ac:dyDescent="0.25">
      <c r="A52"/>
      <c r="B52"/>
      <c r="C52"/>
      <c r="D52"/>
      <c r="E52"/>
      <c r="F52"/>
      <c r="G52"/>
      <c r="H52"/>
      <c r="I52"/>
      <c r="J52"/>
      <c r="K52"/>
      <c r="L52" s="228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</row>
    <row r="53" spans="1:36" s="170" customFormat="1" ht="20.100000000000001" customHeight="1" x14ac:dyDescent="0.25">
      <c r="A53"/>
      <c r="B53"/>
      <c r="C53"/>
      <c r="D53"/>
      <c r="E53"/>
      <c r="F53"/>
      <c r="G53"/>
      <c r="H53"/>
      <c r="I53"/>
      <c r="J53"/>
      <c r="K53"/>
      <c r="L53" s="228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</row>
    <row r="54" spans="1:36" s="170" customFormat="1" ht="20.100000000000001" customHeight="1" x14ac:dyDescent="0.25">
      <c r="A54"/>
      <c r="B54"/>
      <c r="C54"/>
      <c r="D54"/>
      <c r="E54"/>
      <c r="F54"/>
      <c r="G54"/>
      <c r="H54"/>
      <c r="I54"/>
      <c r="J54"/>
      <c r="K54"/>
      <c r="L54" s="228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</row>
    <row r="55" spans="1:36" s="170" customFormat="1" ht="20.100000000000001" customHeight="1" x14ac:dyDescent="0.25">
      <c r="A55"/>
      <c r="B55"/>
      <c r="C55"/>
      <c r="D55"/>
      <c r="E55"/>
      <c r="F55"/>
      <c r="G55"/>
      <c r="H55"/>
      <c r="I55"/>
      <c r="J55"/>
      <c r="K55"/>
      <c r="L55" s="228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</row>
    <row r="56" spans="1:36" s="170" customFormat="1" ht="20.100000000000001" customHeight="1" x14ac:dyDescent="0.25">
      <c r="A56"/>
      <c r="B56"/>
      <c r="C56"/>
      <c r="D56"/>
      <c r="E56"/>
      <c r="F56"/>
      <c r="G56"/>
      <c r="H56"/>
      <c r="I56"/>
      <c r="J56"/>
      <c r="K56"/>
      <c r="L56" s="228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</row>
    <row r="57" spans="1:36" s="170" customFormat="1" ht="20.100000000000001" customHeight="1" x14ac:dyDescent="0.25">
      <c r="A57"/>
      <c r="B57"/>
      <c r="C57"/>
      <c r="D57"/>
      <c r="E57"/>
      <c r="F57"/>
      <c r="G57"/>
      <c r="H57"/>
      <c r="I57"/>
      <c r="J57"/>
      <c r="K57"/>
      <c r="L57" s="228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</row>
    <row r="58" spans="1:36" s="170" customFormat="1" ht="20.100000000000001" customHeight="1" x14ac:dyDescent="0.25">
      <c r="A58"/>
      <c r="B58"/>
      <c r="C58"/>
      <c r="D58"/>
      <c r="E58"/>
      <c r="F58"/>
      <c r="G58"/>
      <c r="H58"/>
      <c r="I58"/>
      <c r="J58"/>
      <c r="K58"/>
      <c r="L58" s="22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</row>
    <row r="59" spans="1:36" s="170" customFormat="1" ht="20.100000000000001" customHeight="1" x14ac:dyDescent="0.25">
      <c r="A59"/>
      <c r="B59"/>
      <c r="C59"/>
      <c r="D59"/>
      <c r="E59"/>
      <c r="F59"/>
      <c r="G59"/>
      <c r="H59"/>
      <c r="I59"/>
      <c r="J59"/>
      <c r="K59"/>
      <c r="L59" s="228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</row>
    <row r="60" spans="1:36" s="170" customFormat="1" ht="20.100000000000001" customHeight="1" x14ac:dyDescent="0.25">
      <c r="A60"/>
      <c r="B60"/>
      <c r="C60"/>
      <c r="D60"/>
      <c r="E60"/>
      <c r="F60"/>
      <c r="G60"/>
      <c r="H60"/>
      <c r="I60"/>
      <c r="J60"/>
      <c r="K60"/>
      <c r="L60" s="228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</row>
    <row r="61" spans="1:36" s="170" customFormat="1" ht="20.100000000000001" customHeight="1" x14ac:dyDescent="0.25">
      <c r="A61"/>
      <c r="B61"/>
      <c r="C61"/>
      <c r="D61"/>
      <c r="E61"/>
      <c r="F61"/>
      <c r="G61"/>
      <c r="H61"/>
      <c r="I61"/>
      <c r="J61"/>
      <c r="K61"/>
      <c r="L61" s="228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</row>
    <row r="62" spans="1:36" s="170" customFormat="1" ht="20.100000000000001" customHeight="1" x14ac:dyDescent="0.25">
      <c r="A62"/>
      <c r="B62"/>
      <c r="C62"/>
      <c r="D62"/>
      <c r="E62"/>
      <c r="F62"/>
      <c r="G62"/>
      <c r="H62"/>
      <c r="I62"/>
      <c r="J62"/>
      <c r="K62"/>
      <c r="L62" s="228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</row>
    <row r="63" spans="1:36" s="170" customFormat="1" ht="20.100000000000001" customHeight="1" x14ac:dyDescent="0.25">
      <c r="A63"/>
      <c r="B63"/>
      <c r="C63"/>
      <c r="D63"/>
      <c r="E63"/>
      <c r="F63"/>
      <c r="G63"/>
      <c r="H63"/>
      <c r="I63"/>
      <c r="J63"/>
      <c r="K63"/>
      <c r="L63" s="228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</row>
    <row r="64" spans="1:36" s="170" customFormat="1" ht="20.100000000000001" customHeight="1" x14ac:dyDescent="0.25">
      <c r="A64"/>
      <c r="B64"/>
      <c r="C64"/>
      <c r="D64"/>
      <c r="E64"/>
      <c r="F64"/>
      <c r="G64"/>
      <c r="H64"/>
      <c r="I64"/>
      <c r="J64"/>
      <c r="K64"/>
      <c r="L64" s="228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</row>
    <row r="65" spans="1:36" s="170" customFormat="1" ht="20.100000000000001" customHeight="1" x14ac:dyDescent="0.25">
      <c r="A65"/>
      <c r="B65"/>
      <c r="C65"/>
      <c r="D65"/>
      <c r="E65"/>
      <c r="F65"/>
      <c r="G65"/>
      <c r="H65"/>
      <c r="I65"/>
      <c r="J65"/>
      <c r="K65"/>
      <c r="L65" s="228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</row>
    <row r="66" spans="1:36" s="170" customFormat="1" ht="20.100000000000001" customHeight="1" x14ac:dyDescent="0.25">
      <c r="A66"/>
      <c r="B66"/>
      <c r="C66"/>
      <c r="D66"/>
      <c r="E66"/>
      <c r="F66"/>
      <c r="G66"/>
      <c r="H66"/>
      <c r="I66"/>
      <c r="J66"/>
      <c r="K66"/>
      <c r="L66" s="228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</row>
    <row r="67" spans="1:36" s="170" customFormat="1" ht="20.100000000000001" customHeight="1" x14ac:dyDescent="0.25">
      <c r="A67"/>
      <c r="B67"/>
      <c r="C67"/>
      <c r="D67"/>
      <c r="E67"/>
      <c r="F67"/>
      <c r="G67"/>
      <c r="H67"/>
      <c r="I67"/>
      <c r="J67"/>
      <c r="K67"/>
      <c r="L67" s="228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</row>
    <row r="68" spans="1:36" s="170" customFormat="1" ht="20.100000000000001" customHeight="1" x14ac:dyDescent="0.25">
      <c r="A68"/>
      <c r="B68"/>
      <c r="C68"/>
      <c r="D68"/>
      <c r="E68"/>
      <c r="F68"/>
      <c r="G68"/>
      <c r="H68"/>
      <c r="I68"/>
      <c r="J68"/>
      <c r="K68"/>
      <c r="L68" s="22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</row>
    <row r="69" spans="1:36" s="170" customFormat="1" ht="20.100000000000001" customHeight="1" x14ac:dyDescent="0.25">
      <c r="A69"/>
      <c r="B69"/>
      <c r="C69"/>
      <c r="D69"/>
      <c r="E69"/>
      <c r="F69"/>
      <c r="G69"/>
      <c r="H69"/>
      <c r="I69"/>
      <c r="J69"/>
      <c r="K69"/>
      <c r="L69" s="228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</row>
    <row r="70" spans="1:36" s="170" customFormat="1" ht="20.100000000000001" customHeight="1" x14ac:dyDescent="0.25">
      <c r="A70"/>
      <c r="B70"/>
      <c r="C70"/>
      <c r="D70"/>
      <c r="E70"/>
      <c r="F70"/>
      <c r="G70"/>
      <c r="H70"/>
      <c r="I70"/>
      <c r="J70"/>
      <c r="K70"/>
      <c r="L70" s="228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</row>
    <row r="71" spans="1:36" s="170" customFormat="1" ht="20.100000000000001" customHeight="1" x14ac:dyDescent="0.25">
      <c r="A71"/>
      <c r="B71"/>
      <c r="C71"/>
      <c r="D71"/>
      <c r="E71"/>
      <c r="F71"/>
      <c r="G71"/>
      <c r="H71"/>
      <c r="I71"/>
      <c r="J71"/>
      <c r="K71"/>
      <c r="L71" s="228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</row>
    <row r="72" spans="1:36" s="170" customFormat="1" ht="20.100000000000001" customHeight="1" x14ac:dyDescent="0.25">
      <c r="A72"/>
      <c r="B72"/>
      <c r="C72"/>
      <c r="D72"/>
      <c r="E72"/>
      <c r="F72"/>
      <c r="G72"/>
      <c r="H72"/>
      <c r="I72"/>
      <c r="J72"/>
      <c r="K72"/>
      <c r="L72" s="228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</row>
    <row r="73" spans="1:36" s="170" customFormat="1" ht="20.100000000000001" customHeight="1" x14ac:dyDescent="0.25">
      <c r="A73"/>
      <c r="B73"/>
      <c r="C73"/>
      <c r="D73"/>
      <c r="E73"/>
      <c r="F73"/>
      <c r="G73"/>
      <c r="H73"/>
      <c r="I73"/>
      <c r="J73"/>
      <c r="K73"/>
      <c r="L73" s="228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</row>
    <row r="74" spans="1:36" s="170" customFormat="1" ht="20.100000000000001" customHeight="1" x14ac:dyDescent="0.25">
      <c r="A74"/>
      <c r="B74"/>
      <c r="C74"/>
      <c r="D74"/>
      <c r="E74"/>
      <c r="F74"/>
      <c r="G74"/>
      <c r="H74"/>
      <c r="I74"/>
      <c r="J74"/>
      <c r="K74"/>
      <c r="L74" s="228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</row>
    <row r="75" spans="1:36" s="170" customFormat="1" ht="20.100000000000001" customHeight="1" x14ac:dyDescent="0.25">
      <c r="A75"/>
      <c r="B75"/>
      <c r="C75"/>
      <c r="D75"/>
      <c r="E75"/>
      <c r="F75"/>
      <c r="G75"/>
      <c r="H75"/>
      <c r="I75"/>
      <c r="J75"/>
      <c r="K75"/>
      <c r="L75" s="228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</row>
    <row r="76" spans="1:36" s="170" customFormat="1" ht="20.100000000000001" customHeight="1" x14ac:dyDescent="0.25">
      <c r="A76"/>
      <c r="B76"/>
      <c r="C76"/>
      <c r="D76"/>
      <c r="E76"/>
      <c r="F76"/>
      <c r="G76"/>
      <c r="H76"/>
      <c r="I76"/>
      <c r="J76"/>
      <c r="K76"/>
      <c r="L76" s="228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</row>
    <row r="77" spans="1:36" s="170" customFormat="1" ht="20.100000000000001" customHeight="1" x14ac:dyDescent="0.25">
      <c r="A77"/>
      <c r="B77"/>
      <c r="C77"/>
      <c r="D77"/>
      <c r="E77"/>
      <c r="F77"/>
      <c r="G77"/>
      <c r="H77"/>
      <c r="I77"/>
      <c r="J77"/>
      <c r="K77"/>
      <c r="L77" s="228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</row>
    <row r="78" spans="1:36" s="170" customFormat="1" ht="20.100000000000001" customHeight="1" x14ac:dyDescent="0.25">
      <c r="A78"/>
      <c r="B78"/>
      <c r="C78"/>
      <c r="D78"/>
      <c r="E78"/>
      <c r="F78"/>
      <c r="G78"/>
      <c r="H78"/>
      <c r="I78"/>
      <c r="J78"/>
      <c r="K78"/>
      <c r="L78" s="22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</row>
    <row r="79" spans="1:36" s="170" customFormat="1" ht="20.100000000000001" customHeight="1" x14ac:dyDescent="0.25">
      <c r="A79"/>
      <c r="B79"/>
      <c r="C79"/>
      <c r="D79"/>
      <c r="E79"/>
      <c r="F79"/>
      <c r="G79"/>
      <c r="H79"/>
      <c r="I79"/>
      <c r="J79"/>
      <c r="K79"/>
      <c r="L79" s="228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</row>
    <row r="80" spans="1:36" s="170" customFormat="1" ht="20.100000000000001" customHeight="1" x14ac:dyDescent="0.25">
      <c r="A80"/>
      <c r="B80"/>
      <c r="C80"/>
      <c r="D80"/>
      <c r="E80"/>
      <c r="F80"/>
      <c r="G80"/>
      <c r="H80"/>
      <c r="I80"/>
      <c r="J80"/>
      <c r="K80"/>
      <c r="L80" s="228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</row>
    <row r="81" spans="1:36" s="170" customFormat="1" ht="20.100000000000001" customHeight="1" x14ac:dyDescent="0.25">
      <c r="A81"/>
      <c r="B81"/>
      <c r="C81"/>
      <c r="D81"/>
      <c r="E81"/>
      <c r="F81"/>
      <c r="G81"/>
      <c r="H81"/>
      <c r="I81"/>
      <c r="J81"/>
      <c r="K81"/>
      <c r="L81" s="228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</row>
    <row r="82" spans="1:36" s="170" customFormat="1" ht="20.100000000000001" customHeight="1" x14ac:dyDescent="0.25">
      <c r="A82"/>
      <c r="B82"/>
      <c r="C82"/>
      <c r="D82"/>
      <c r="E82"/>
      <c r="F82"/>
      <c r="G82"/>
      <c r="H82"/>
      <c r="I82"/>
      <c r="J82"/>
      <c r="K82"/>
      <c r="L82" s="228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</row>
    <row r="83" spans="1:36" s="170" customFormat="1" ht="20.100000000000001" customHeight="1" x14ac:dyDescent="0.25">
      <c r="A83"/>
      <c r="B83"/>
      <c r="C83"/>
      <c r="D83"/>
      <c r="E83"/>
      <c r="F83"/>
      <c r="G83"/>
      <c r="H83"/>
      <c r="I83"/>
      <c r="J83"/>
      <c r="K83"/>
      <c r="L83" s="228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</row>
    <row r="84" spans="1:36" s="170" customFormat="1" ht="20.100000000000001" customHeight="1" x14ac:dyDescent="0.25">
      <c r="A84"/>
      <c r="B84"/>
      <c r="C84"/>
      <c r="D84"/>
      <c r="E84"/>
      <c r="F84"/>
      <c r="G84"/>
      <c r="H84"/>
      <c r="I84"/>
      <c r="J84"/>
      <c r="K84"/>
      <c r="L84" s="228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</row>
    <row r="85" spans="1:36" s="170" customFormat="1" ht="20.100000000000001" customHeight="1" x14ac:dyDescent="0.25">
      <c r="A85"/>
      <c r="B85"/>
      <c r="C85"/>
      <c r="D85"/>
      <c r="E85"/>
      <c r="F85"/>
      <c r="G85"/>
      <c r="H85"/>
      <c r="I85"/>
      <c r="J85"/>
      <c r="K85"/>
      <c r="L85" s="228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</row>
    <row r="86" spans="1:36" s="170" customFormat="1" ht="20.100000000000001" customHeight="1" x14ac:dyDescent="0.25">
      <c r="A86"/>
      <c r="B86"/>
      <c r="C86"/>
      <c r="D86"/>
      <c r="E86"/>
      <c r="F86"/>
      <c r="G86"/>
      <c r="H86"/>
      <c r="I86"/>
      <c r="J86"/>
      <c r="K86"/>
      <c r="L86" s="228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</row>
    <row r="87" spans="1:36" s="170" customFormat="1" ht="20.100000000000001" customHeight="1" x14ac:dyDescent="0.25">
      <c r="A87"/>
      <c r="B87"/>
      <c r="C87"/>
      <c r="D87"/>
      <c r="E87"/>
      <c r="F87"/>
      <c r="G87"/>
      <c r="H87"/>
      <c r="I87"/>
      <c r="J87"/>
      <c r="K87"/>
      <c r="L87" s="228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</row>
    <row r="88" spans="1:36" s="170" customFormat="1" ht="20.100000000000001" customHeight="1" x14ac:dyDescent="0.25">
      <c r="A88" s="207"/>
      <c r="B88" s="177"/>
      <c r="C88" s="178"/>
      <c r="D88" s="178"/>
      <c r="E88" s="180"/>
      <c r="F88" s="181"/>
      <c r="G88" s="182"/>
      <c r="H88" s="182"/>
      <c r="I88" s="183"/>
      <c r="J88" s="177"/>
      <c r="K88" s="184"/>
      <c r="L88" s="198"/>
      <c r="M88" s="199"/>
      <c r="O88" s="169"/>
      <c r="P88" s="169"/>
      <c r="Q88" s="169"/>
    </row>
    <row r="89" spans="1:36" s="170" customFormat="1" ht="20.100000000000001" customHeight="1" x14ac:dyDescent="0.25">
      <c r="A89" s="207"/>
      <c r="B89" s="177"/>
      <c r="C89" s="178"/>
      <c r="D89" s="178"/>
      <c r="E89" s="180"/>
      <c r="F89" s="181"/>
      <c r="G89" s="182"/>
      <c r="H89" s="182"/>
      <c r="I89" s="183"/>
      <c r="J89" s="177"/>
      <c r="K89" s="184"/>
      <c r="L89" s="198"/>
      <c r="M89" s="199"/>
      <c r="O89" s="169"/>
      <c r="P89" s="169"/>
      <c r="Q89" s="169"/>
    </row>
    <row r="90" spans="1:36" s="170" customFormat="1" ht="20.100000000000001" customHeight="1" x14ac:dyDescent="0.25">
      <c r="A90" s="207"/>
      <c r="B90" s="177"/>
      <c r="C90" s="178"/>
      <c r="D90" s="178"/>
      <c r="E90" s="180"/>
      <c r="F90" s="181"/>
      <c r="G90" s="182"/>
      <c r="H90" s="182"/>
      <c r="I90" s="183"/>
      <c r="J90" s="177"/>
      <c r="K90" s="184"/>
      <c r="L90" s="198"/>
      <c r="M90" s="199"/>
      <c r="O90" s="169"/>
      <c r="P90" s="169"/>
      <c r="Q90" s="169"/>
    </row>
    <row r="91" spans="1:36" s="170" customFormat="1" ht="20.100000000000001" customHeight="1" x14ac:dyDescent="0.25">
      <c r="A91" s="207"/>
      <c r="B91" s="177"/>
      <c r="C91" s="178"/>
      <c r="D91" s="178"/>
      <c r="E91" s="180"/>
      <c r="F91" s="181"/>
      <c r="G91" s="182"/>
      <c r="H91" s="182"/>
      <c r="I91" s="183"/>
      <c r="J91" s="177"/>
      <c r="K91" s="184"/>
      <c r="L91" s="198"/>
      <c r="M91" s="199"/>
      <c r="O91" s="169"/>
      <c r="P91" s="169"/>
      <c r="Q91" s="169"/>
    </row>
    <row r="92" spans="1:36" s="170" customFormat="1" ht="20.100000000000001" customHeight="1" x14ac:dyDescent="0.25">
      <c r="A92" s="207"/>
      <c r="B92" s="177"/>
      <c r="C92" s="178"/>
      <c r="D92" s="178"/>
      <c r="E92" s="180"/>
      <c r="F92" s="181"/>
      <c r="G92" s="182"/>
      <c r="H92" s="182"/>
      <c r="I92" s="183"/>
      <c r="J92" s="177"/>
      <c r="K92" s="184"/>
      <c r="L92" s="198"/>
      <c r="M92" s="199"/>
      <c r="O92" s="169"/>
      <c r="P92" s="169"/>
      <c r="Q92" s="169"/>
    </row>
    <row r="93" spans="1:36" s="170" customFormat="1" ht="20.100000000000001" customHeight="1" x14ac:dyDescent="0.25">
      <c r="A93" s="207"/>
      <c r="B93" s="177"/>
      <c r="C93" s="178"/>
      <c r="D93" s="178"/>
      <c r="E93" s="180"/>
      <c r="F93" s="181"/>
      <c r="G93" s="182"/>
      <c r="H93" s="182"/>
      <c r="I93" s="183"/>
      <c r="J93" s="177"/>
      <c r="K93" s="184"/>
      <c r="L93" s="198"/>
      <c r="M93" s="199"/>
      <c r="O93" s="169"/>
      <c r="P93" s="169"/>
      <c r="Q93" s="169"/>
    </row>
    <row r="94" spans="1:36" s="170" customFormat="1" ht="20.100000000000001" customHeight="1" x14ac:dyDescent="0.25">
      <c r="A94" s="207"/>
      <c r="B94" s="177"/>
      <c r="C94" s="178"/>
      <c r="D94" s="178"/>
      <c r="E94" s="180"/>
      <c r="F94" s="181"/>
      <c r="G94" s="182"/>
      <c r="H94" s="182"/>
      <c r="I94" s="183"/>
      <c r="J94" s="177"/>
      <c r="K94" s="184"/>
      <c r="L94" s="198"/>
      <c r="M94" s="199"/>
      <c r="O94" s="169"/>
      <c r="P94" s="169"/>
      <c r="Q94" s="169"/>
    </row>
    <row r="95" spans="1:36" s="170" customFormat="1" ht="20.100000000000001" customHeight="1" x14ac:dyDescent="0.25">
      <c r="A95" s="207"/>
      <c r="B95" s="177"/>
      <c r="C95" s="178"/>
      <c r="D95" s="178"/>
      <c r="E95" s="180"/>
      <c r="F95" s="181"/>
      <c r="G95" s="182"/>
      <c r="H95" s="182"/>
      <c r="I95" s="183"/>
      <c r="J95" s="177"/>
      <c r="K95" s="184"/>
      <c r="L95" s="198"/>
      <c r="M95" s="199"/>
      <c r="O95" s="169"/>
      <c r="P95" s="169"/>
      <c r="Q95" s="169"/>
    </row>
    <row r="96" spans="1:36" s="170" customFormat="1" ht="20.100000000000001" customHeight="1" x14ac:dyDescent="0.25">
      <c r="A96" s="207"/>
      <c r="B96" s="177"/>
      <c r="C96" s="178"/>
      <c r="D96" s="178"/>
      <c r="E96" s="180"/>
      <c r="F96" s="181"/>
      <c r="G96" s="182"/>
      <c r="H96" s="182"/>
      <c r="I96" s="183"/>
      <c r="J96" s="177"/>
      <c r="K96" s="184"/>
      <c r="L96" s="198"/>
      <c r="M96" s="199"/>
      <c r="O96" s="169"/>
      <c r="P96" s="169"/>
      <c r="Q96" s="169"/>
    </row>
    <row r="97" spans="1:17" s="170" customFormat="1" ht="20.100000000000001" customHeight="1" x14ac:dyDescent="0.25">
      <c r="A97" s="207"/>
      <c r="B97" s="177"/>
      <c r="C97" s="178"/>
      <c r="D97" s="178"/>
      <c r="E97" s="180"/>
      <c r="F97" s="181"/>
      <c r="G97" s="182"/>
      <c r="H97" s="182"/>
      <c r="I97" s="183"/>
      <c r="J97" s="177"/>
      <c r="K97" s="184"/>
      <c r="L97" s="198"/>
      <c r="M97" s="199"/>
      <c r="O97" s="169"/>
      <c r="P97" s="169"/>
      <c r="Q97" s="169"/>
    </row>
    <row r="98" spans="1:17" s="170" customFormat="1" ht="20.100000000000001" customHeight="1" x14ac:dyDescent="0.25">
      <c r="A98" s="207"/>
      <c r="B98" s="177"/>
      <c r="C98" s="178"/>
      <c r="D98" s="178"/>
      <c r="E98" s="180"/>
      <c r="F98" s="181"/>
      <c r="G98" s="182"/>
      <c r="H98" s="182"/>
      <c r="I98" s="183"/>
      <c r="J98" s="177"/>
      <c r="K98" s="184"/>
      <c r="L98" s="198"/>
      <c r="M98" s="199"/>
      <c r="O98" s="169"/>
      <c r="P98" s="169"/>
      <c r="Q98" s="169"/>
    </row>
    <row r="99" spans="1:17" s="170" customFormat="1" ht="20.100000000000001" customHeight="1" x14ac:dyDescent="0.25">
      <c r="A99" s="207"/>
      <c r="B99" s="177"/>
      <c r="C99" s="178"/>
      <c r="D99" s="178"/>
      <c r="E99" s="180"/>
      <c r="F99" s="181"/>
      <c r="G99" s="182"/>
      <c r="H99" s="182"/>
      <c r="I99" s="183"/>
      <c r="J99" s="177"/>
      <c r="K99" s="184"/>
      <c r="L99" s="198"/>
      <c r="M99" s="199"/>
      <c r="O99" s="169"/>
      <c r="P99" s="169"/>
      <c r="Q99" s="169"/>
    </row>
    <row r="100" spans="1:17" s="170" customFormat="1" ht="20.100000000000001" customHeight="1" x14ac:dyDescent="0.25">
      <c r="A100" s="207"/>
      <c r="B100" s="177"/>
      <c r="C100" s="178"/>
      <c r="D100" s="178"/>
      <c r="E100" s="180"/>
      <c r="F100" s="181"/>
      <c r="G100" s="182"/>
      <c r="H100" s="182"/>
      <c r="I100" s="183"/>
      <c r="J100" s="177"/>
      <c r="K100" s="184"/>
      <c r="L100" s="198"/>
      <c r="M100" s="199"/>
      <c r="O100" s="169"/>
      <c r="P100" s="169"/>
      <c r="Q100" s="169"/>
    </row>
    <row r="101" spans="1:17" s="170" customFormat="1" ht="20.100000000000001" customHeight="1" x14ac:dyDescent="0.25">
      <c r="A101" s="207"/>
      <c r="B101" s="177"/>
      <c r="C101" s="178"/>
      <c r="D101" s="178"/>
      <c r="E101" s="180"/>
      <c r="F101" s="181"/>
      <c r="G101" s="182"/>
      <c r="H101" s="182"/>
      <c r="I101" s="183"/>
      <c r="J101" s="177"/>
      <c r="K101" s="184"/>
      <c r="L101" s="198"/>
      <c r="M101" s="199"/>
      <c r="O101" s="169"/>
      <c r="P101" s="169"/>
      <c r="Q101" s="169"/>
    </row>
    <row r="102" spans="1:17" s="170" customFormat="1" ht="20.100000000000001" customHeight="1" x14ac:dyDescent="0.25">
      <c r="A102" s="207"/>
      <c r="B102" s="177"/>
      <c r="C102" s="178"/>
      <c r="D102" s="178"/>
      <c r="E102" s="180"/>
      <c r="F102" s="181"/>
      <c r="G102" s="182"/>
      <c r="H102" s="182"/>
      <c r="I102" s="183"/>
      <c r="J102" s="177"/>
      <c r="K102" s="184"/>
      <c r="L102" s="198"/>
      <c r="M102" s="199"/>
      <c r="O102" s="169"/>
      <c r="P102" s="169"/>
      <c r="Q102" s="169"/>
    </row>
    <row r="103" spans="1:17" s="170" customFormat="1" ht="20.100000000000001" customHeight="1" x14ac:dyDescent="0.25">
      <c r="A103" s="207"/>
      <c r="B103" s="177"/>
      <c r="C103" s="178"/>
      <c r="D103" s="178"/>
      <c r="E103" s="180"/>
      <c r="F103" s="181"/>
      <c r="G103" s="182"/>
      <c r="H103" s="182"/>
      <c r="I103" s="183"/>
      <c r="J103" s="177"/>
      <c r="K103" s="184"/>
      <c r="L103" s="198"/>
      <c r="M103" s="199"/>
      <c r="O103" s="169"/>
      <c r="P103" s="169"/>
      <c r="Q103" s="169"/>
    </row>
    <row r="104" spans="1:17" s="170" customFormat="1" ht="20.100000000000001" customHeight="1" x14ac:dyDescent="0.25">
      <c r="A104" s="207"/>
      <c r="B104" s="177"/>
      <c r="C104" s="178"/>
      <c r="D104" s="178"/>
      <c r="E104" s="180"/>
      <c r="F104" s="181"/>
      <c r="G104" s="182"/>
      <c r="H104" s="182"/>
      <c r="I104" s="183"/>
      <c r="J104" s="177"/>
      <c r="K104" s="184"/>
      <c r="L104" s="198"/>
      <c r="M104" s="199"/>
      <c r="O104" s="169"/>
      <c r="P104" s="169"/>
      <c r="Q104" s="169"/>
    </row>
    <row r="105" spans="1:17" s="170" customFormat="1" ht="20.100000000000001" customHeight="1" x14ac:dyDescent="0.25">
      <c r="A105" s="207"/>
      <c r="B105" s="177"/>
      <c r="C105" s="178"/>
      <c r="D105" s="178"/>
      <c r="E105" s="180"/>
      <c r="F105" s="181"/>
      <c r="G105" s="182"/>
      <c r="H105" s="182"/>
      <c r="I105" s="183"/>
      <c r="J105" s="177"/>
      <c r="K105" s="184"/>
      <c r="L105" s="198"/>
      <c r="M105" s="199"/>
      <c r="O105" s="169"/>
      <c r="P105" s="169"/>
      <c r="Q105" s="169"/>
    </row>
    <row r="106" spans="1:17" s="170" customFormat="1" ht="20.100000000000001" customHeight="1" x14ac:dyDescent="0.25">
      <c r="A106" s="207"/>
      <c r="B106" s="177"/>
      <c r="C106" s="178"/>
      <c r="D106" s="178"/>
      <c r="E106" s="180"/>
      <c r="F106" s="181"/>
      <c r="G106" s="182"/>
      <c r="H106" s="182"/>
      <c r="I106" s="183"/>
      <c r="J106" s="177"/>
      <c r="K106" s="184"/>
      <c r="L106" s="198"/>
      <c r="M106" s="199"/>
      <c r="O106" s="169"/>
      <c r="P106" s="169"/>
      <c r="Q106" s="169"/>
    </row>
    <row r="107" spans="1:17" s="170" customFormat="1" ht="20.100000000000001" customHeight="1" x14ac:dyDescent="0.25">
      <c r="A107" s="207"/>
      <c r="B107" s="177"/>
      <c r="C107" s="178"/>
      <c r="D107" s="178"/>
      <c r="E107" s="180"/>
      <c r="F107" s="181"/>
      <c r="G107" s="182"/>
      <c r="H107" s="182"/>
      <c r="I107" s="183"/>
      <c r="J107" s="177"/>
      <c r="K107" s="184"/>
      <c r="L107" s="198"/>
      <c r="M107" s="199"/>
      <c r="O107" s="169"/>
      <c r="P107" s="169"/>
      <c r="Q107" s="169"/>
    </row>
    <row r="108" spans="1:17" s="170" customFormat="1" ht="20.100000000000001" customHeight="1" x14ac:dyDescent="0.25">
      <c r="A108" s="207"/>
      <c r="B108" s="177"/>
      <c r="C108" s="178"/>
      <c r="D108" s="178"/>
      <c r="E108" s="180"/>
      <c r="F108" s="181"/>
      <c r="G108" s="182"/>
      <c r="H108" s="182"/>
      <c r="I108" s="183"/>
      <c r="J108" s="177"/>
      <c r="K108" s="184"/>
      <c r="L108" s="198"/>
      <c r="M108" s="199"/>
      <c r="O108" s="169"/>
      <c r="P108" s="169"/>
      <c r="Q108" s="169"/>
    </row>
    <row r="109" spans="1:17" s="170" customFormat="1" ht="20.100000000000001" customHeight="1" x14ac:dyDescent="0.25">
      <c r="A109" s="207"/>
      <c r="B109" s="177"/>
      <c r="C109" s="178"/>
      <c r="D109" s="178"/>
      <c r="E109" s="180"/>
      <c r="F109" s="181"/>
      <c r="G109" s="182"/>
      <c r="H109" s="182"/>
      <c r="I109" s="183"/>
      <c r="J109" s="177"/>
      <c r="K109" s="184"/>
      <c r="L109" s="198"/>
      <c r="M109" s="199"/>
      <c r="O109" s="169"/>
      <c r="P109" s="169"/>
      <c r="Q109" s="169"/>
    </row>
    <row r="110" spans="1:17" s="170" customFormat="1" ht="20.100000000000001" customHeight="1" x14ac:dyDescent="0.25">
      <c r="A110" s="207"/>
      <c r="B110" s="177"/>
      <c r="C110" s="178"/>
      <c r="D110" s="178"/>
      <c r="E110" s="180"/>
      <c r="F110" s="181"/>
      <c r="G110" s="182"/>
      <c r="H110" s="182"/>
      <c r="I110" s="183"/>
      <c r="J110" s="177"/>
      <c r="K110" s="184"/>
      <c r="L110" s="198"/>
      <c r="M110" s="199"/>
      <c r="O110" s="169"/>
      <c r="P110" s="169"/>
      <c r="Q110" s="169"/>
    </row>
    <row r="111" spans="1:17" s="170" customFormat="1" ht="20.100000000000001" customHeight="1" x14ac:dyDescent="0.25">
      <c r="A111" s="207"/>
      <c r="B111" s="177"/>
      <c r="C111" s="178"/>
      <c r="D111" s="178"/>
      <c r="E111" s="180"/>
      <c r="F111" s="181"/>
      <c r="G111" s="182"/>
      <c r="H111" s="182"/>
      <c r="I111" s="183"/>
      <c r="J111" s="177"/>
      <c r="K111" s="184"/>
      <c r="L111" s="198"/>
      <c r="M111" s="199"/>
      <c r="O111" s="169"/>
      <c r="P111" s="169"/>
      <c r="Q111" s="169"/>
    </row>
    <row r="112" spans="1:17" s="170" customFormat="1" ht="20.100000000000001" customHeight="1" x14ac:dyDescent="0.25">
      <c r="A112" s="207"/>
      <c r="B112" s="177"/>
      <c r="C112" s="178"/>
      <c r="D112" s="178"/>
      <c r="E112" s="180"/>
      <c r="F112" s="181"/>
      <c r="G112" s="182"/>
      <c r="H112" s="182"/>
      <c r="I112" s="183"/>
      <c r="J112" s="177"/>
      <c r="K112" s="184"/>
      <c r="L112" s="198"/>
      <c r="M112" s="199"/>
      <c r="O112" s="169"/>
      <c r="P112" s="169"/>
      <c r="Q112" s="169"/>
    </row>
    <row r="113" spans="1:17" s="170" customFormat="1" ht="20.100000000000001" customHeight="1" x14ac:dyDescent="0.25">
      <c r="A113" s="207"/>
      <c r="B113" s="177"/>
      <c r="C113" s="178"/>
      <c r="D113" s="178"/>
      <c r="E113" s="180"/>
      <c r="F113" s="181"/>
      <c r="G113" s="182"/>
      <c r="H113" s="182"/>
      <c r="I113" s="183"/>
      <c r="J113" s="177"/>
      <c r="K113" s="184"/>
      <c r="L113" s="198"/>
      <c r="M113" s="199"/>
      <c r="O113" s="169"/>
      <c r="P113" s="169"/>
      <c r="Q113" s="169"/>
    </row>
    <row r="114" spans="1:17" s="170" customFormat="1" ht="20.100000000000001" customHeight="1" x14ac:dyDescent="0.25">
      <c r="A114" s="207"/>
      <c r="B114" s="177"/>
      <c r="C114" s="178"/>
      <c r="D114" s="178"/>
      <c r="E114" s="180"/>
      <c r="F114" s="181"/>
      <c r="G114" s="182"/>
      <c r="H114" s="182"/>
      <c r="I114" s="183"/>
      <c r="J114" s="177"/>
      <c r="K114" s="184"/>
      <c r="L114" s="198"/>
      <c r="M114" s="199"/>
      <c r="O114" s="169"/>
      <c r="P114" s="169"/>
      <c r="Q114" s="169"/>
    </row>
    <row r="115" spans="1:17" s="170" customFormat="1" ht="20.100000000000001" customHeight="1" x14ac:dyDescent="0.25">
      <c r="A115" s="207"/>
      <c r="B115" s="177"/>
      <c r="C115" s="178"/>
      <c r="D115" s="178"/>
      <c r="E115" s="180"/>
      <c r="F115" s="181"/>
      <c r="G115" s="182"/>
      <c r="H115" s="182"/>
      <c r="I115" s="183"/>
      <c r="J115" s="177"/>
      <c r="K115" s="184"/>
      <c r="L115" s="198"/>
      <c r="M115" s="199"/>
      <c r="O115" s="169"/>
      <c r="P115" s="169"/>
      <c r="Q115" s="169"/>
    </row>
    <row r="116" spans="1:17" s="170" customFormat="1" ht="20.100000000000001" customHeight="1" x14ac:dyDescent="0.25">
      <c r="A116" s="207"/>
      <c r="B116" s="177"/>
      <c r="C116" s="178"/>
      <c r="D116" s="178"/>
      <c r="E116" s="180"/>
      <c r="F116" s="181"/>
      <c r="G116" s="182"/>
      <c r="H116" s="182"/>
      <c r="I116" s="183"/>
      <c r="J116" s="177"/>
      <c r="K116" s="184"/>
      <c r="L116" s="198"/>
      <c r="M116" s="199"/>
      <c r="O116" s="169"/>
      <c r="P116" s="169"/>
      <c r="Q116" s="169"/>
    </row>
    <row r="117" spans="1:17" s="170" customFormat="1" ht="20.100000000000001" customHeight="1" x14ac:dyDescent="0.25">
      <c r="A117" s="207"/>
      <c r="B117" s="177"/>
      <c r="C117" s="178"/>
      <c r="D117" s="178"/>
      <c r="E117" s="180"/>
      <c r="F117" s="181"/>
      <c r="G117" s="182"/>
      <c r="H117" s="182"/>
      <c r="I117" s="183"/>
      <c r="J117" s="177"/>
      <c r="K117" s="184"/>
      <c r="L117" s="198"/>
      <c r="M117" s="199"/>
      <c r="O117" s="169"/>
      <c r="P117" s="169"/>
      <c r="Q117" s="169"/>
    </row>
    <row r="118" spans="1:17" s="170" customFormat="1" ht="20.100000000000001" customHeight="1" x14ac:dyDescent="0.25">
      <c r="A118" s="207"/>
      <c r="B118" s="177"/>
      <c r="C118" s="178"/>
      <c r="D118" s="178"/>
      <c r="E118" s="180"/>
      <c r="F118" s="181"/>
      <c r="G118" s="182"/>
      <c r="H118" s="182"/>
      <c r="I118" s="183"/>
      <c r="J118" s="177"/>
      <c r="K118" s="184"/>
      <c r="L118" s="198"/>
      <c r="M118" s="199"/>
      <c r="O118" s="169"/>
      <c r="P118" s="169"/>
      <c r="Q118" s="169"/>
    </row>
    <row r="119" spans="1:17" s="170" customFormat="1" ht="20.100000000000001" customHeight="1" x14ac:dyDescent="0.25">
      <c r="A119" s="207"/>
      <c r="B119" s="177"/>
      <c r="C119" s="178"/>
      <c r="D119" s="178"/>
      <c r="E119" s="180"/>
      <c r="F119" s="181"/>
      <c r="G119" s="182"/>
      <c r="H119" s="182"/>
      <c r="I119" s="183"/>
      <c r="J119" s="177"/>
      <c r="K119" s="184"/>
      <c r="L119" s="198"/>
      <c r="M119" s="199"/>
      <c r="O119" s="169"/>
      <c r="P119" s="169"/>
      <c r="Q119" s="169"/>
    </row>
    <row r="120" spans="1:17" s="170" customFormat="1" ht="20.100000000000001" customHeight="1" x14ac:dyDescent="0.25">
      <c r="A120" s="207"/>
      <c r="B120" s="177"/>
      <c r="C120" s="178"/>
      <c r="D120" s="178"/>
      <c r="E120" s="180"/>
      <c r="F120" s="181"/>
      <c r="G120" s="182"/>
      <c r="H120" s="182"/>
      <c r="I120" s="183"/>
      <c r="J120" s="177"/>
      <c r="K120" s="184"/>
      <c r="L120" s="198"/>
      <c r="M120" s="199"/>
      <c r="O120" s="169"/>
      <c r="P120" s="169"/>
      <c r="Q120" s="169"/>
    </row>
    <row r="121" spans="1:17" s="170" customFormat="1" ht="20.100000000000001" customHeight="1" x14ac:dyDescent="0.25">
      <c r="A121" s="207"/>
      <c r="B121" s="177"/>
      <c r="C121" s="178"/>
      <c r="D121" s="178"/>
      <c r="E121" s="180"/>
      <c r="F121" s="181"/>
      <c r="G121" s="182"/>
      <c r="H121" s="182"/>
      <c r="I121" s="183"/>
      <c r="J121" s="177"/>
      <c r="K121" s="184"/>
      <c r="L121" s="198"/>
      <c r="M121" s="199"/>
      <c r="O121" s="169"/>
      <c r="P121" s="169"/>
      <c r="Q121" s="169"/>
    </row>
    <row r="122" spans="1:17" s="170" customFormat="1" ht="20.100000000000001" customHeight="1" x14ac:dyDescent="0.25">
      <c r="A122" s="207"/>
      <c r="B122" s="177"/>
      <c r="C122" s="178"/>
      <c r="D122" s="178"/>
      <c r="E122" s="180"/>
      <c r="F122" s="181"/>
      <c r="G122" s="182"/>
      <c r="H122" s="182"/>
      <c r="I122" s="183"/>
      <c r="J122" s="177"/>
      <c r="K122" s="184"/>
      <c r="L122" s="198"/>
      <c r="M122" s="199"/>
      <c r="O122" s="169"/>
      <c r="P122" s="169"/>
      <c r="Q122" s="169"/>
    </row>
    <row r="123" spans="1:17" s="170" customFormat="1" ht="20.100000000000001" customHeight="1" x14ac:dyDescent="0.25">
      <c r="A123" s="207"/>
      <c r="B123" s="177"/>
      <c r="C123" s="178"/>
      <c r="D123" s="178"/>
      <c r="E123" s="180"/>
      <c r="F123" s="181"/>
      <c r="G123" s="182"/>
      <c r="H123" s="182"/>
      <c r="I123" s="183"/>
      <c r="J123" s="177"/>
      <c r="K123" s="184"/>
      <c r="L123" s="198"/>
      <c r="M123" s="199"/>
      <c r="O123" s="169"/>
      <c r="P123" s="169"/>
      <c r="Q123" s="169"/>
    </row>
    <row r="124" spans="1:17" s="170" customFormat="1" ht="20.100000000000001" customHeight="1" x14ac:dyDescent="0.25">
      <c r="A124" s="207"/>
      <c r="B124" s="177"/>
      <c r="C124" s="178"/>
      <c r="D124" s="178"/>
      <c r="E124" s="180"/>
      <c r="F124" s="181"/>
      <c r="G124" s="182"/>
      <c r="H124" s="182"/>
      <c r="I124" s="183"/>
      <c r="J124" s="177"/>
      <c r="K124" s="184"/>
      <c r="L124" s="198"/>
      <c r="M124" s="199"/>
      <c r="O124" s="169"/>
      <c r="P124" s="169"/>
      <c r="Q124" s="169"/>
    </row>
    <row r="125" spans="1:17" s="170" customFormat="1" ht="20.100000000000001" customHeight="1" x14ac:dyDescent="0.25">
      <c r="A125" s="207"/>
      <c r="B125" s="177"/>
      <c r="C125" s="178"/>
      <c r="D125" s="178"/>
      <c r="E125" s="180"/>
      <c r="F125" s="181"/>
      <c r="G125" s="182"/>
      <c r="H125" s="182"/>
      <c r="I125" s="183"/>
      <c r="J125" s="177"/>
      <c r="K125" s="184"/>
      <c r="L125" s="198"/>
      <c r="M125" s="199"/>
      <c r="O125" s="169"/>
      <c r="P125" s="169"/>
      <c r="Q125" s="169"/>
    </row>
    <row r="126" spans="1:17" s="170" customFormat="1" ht="20.100000000000001" customHeight="1" x14ac:dyDescent="0.25">
      <c r="A126" s="207"/>
      <c r="B126" s="177"/>
      <c r="C126" s="178"/>
      <c r="D126" s="178"/>
      <c r="E126" s="180"/>
      <c r="F126" s="181"/>
      <c r="G126" s="182"/>
      <c r="H126" s="182"/>
      <c r="I126" s="183"/>
      <c r="J126" s="177"/>
      <c r="K126" s="184"/>
      <c r="L126" s="198"/>
      <c r="M126" s="199"/>
      <c r="O126" s="169"/>
      <c r="P126" s="169"/>
      <c r="Q126" s="169"/>
    </row>
    <row r="127" spans="1:17" s="170" customFormat="1" ht="20.100000000000001" customHeight="1" x14ac:dyDescent="0.25">
      <c r="A127" s="207"/>
      <c r="B127" s="177"/>
      <c r="C127" s="178"/>
      <c r="D127" s="178"/>
      <c r="E127" s="180"/>
      <c r="F127" s="181"/>
      <c r="G127" s="182"/>
      <c r="H127" s="182"/>
      <c r="I127" s="183"/>
      <c r="J127" s="177"/>
      <c r="K127" s="184"/>
      <c r="L127" s="198"/>
      <c r="M127" s="199"/>
      <c r="O127" s="169"/>
      <c r="P127" s="169"/>
      <c r="Q127" s="169"/>
    </row>
    <row r="128" spans="1:17" s="170" customFormat="1" ht="20.100000000000001" customHeight="1" x14ac:dyDescent="0.25">
      <c r="A128" s="207"/>
      <c r="B128" s="177"/>
      <c r="C128" s="178"/>
      <c r="D128" s="178"/>
      <c r="E128" s="180"/>
      <c r="F128" s="181"/>
      <c r="G128" s="182"/>
      <c r="H128" s="182"/>
      <c r="I128" s="183"/>
      <c r="J128" s="177"/>
      <c r="K128" s="184"/>
      <c r="L128" s="198"/>
      <c r="M128" s="199"/>
      <c r="O128" s="169"/>
      <c r="P128" s="169"/>
      <c r="Q128" s="169"/>
    </row>
    <row r="129" spans="1:17" s="170" customFormat="1" ht="20.100000000000001" customHeight="1" x14ac:dyDescent="0.25">
      <c r="A129" s="207"/>
      <c r="B129" s="177"/>
      <c r="C129" s="178"/>
      <c r="D129" s="178"/>
      <c r="E129" s="180"/>
      <c r="F129" s="181"/>
      <c r="G129" s="182"/>
      <c r="H129" s="182"/>
      <c r="I129" s="183"/>
      <c r="J129" s="177"/>
      <c r="K129" s="184"/>
      <c r="L129" s="198"/>
      <c r="M129" s="199"/>
      <c r="O129" s="169"/>
      <c r="P129" s="169"/>
      <c r="Q129" s="169"/>
    </row>
    <row r="130" spans="1:17" s="170" customFormat="1" ht="20.100000000000001" customHeight="1" x14ac:dyDescent="0.25">
      <c r="A130" s="207"/>
      <c r="B130" s="177"/>
      <c r="C130" s="178"/>
      <c r="D130" s="178"/>
      <c r="E130" s="180"/>
      <c r="F130" s="181"/>
      <c r="G130" s="182"/>
      <c r="H130" s="182"/>
      <c r="I130" s="183"/>
      <c r="J130" s="177"/>
      <c r="K130" s="184"/>
      <c r="L130" s="198"/>
      <c r="M130" s="199"/>
      <c r="O130" s="169"/>
      <c r="P130" s="169"/>
      <c r="Q130" s="169"/>
    </row>
    <row r="131" spans="1:17" s="170" customFormat="1" ht="20.100000000000001" customHeight="1" x14ac:dyDescent="0.25">
      <c r="A131" s="207"/>
      <c r="B131" s="177"/>
      <c r="C131" s="178"/>
      <c r="D131" s="178"/>
      <c r="E131" s="180"/>
      <c r="F131" s="181"/>
      <c r="G131" s="182"/>
      <c r="H131" s="182"/>
      <c r="I131" s="183"/>
      <c r="J131" s="177"/>
      <c r="K131" s="184"/>
      <c r="L131" s="198"/>
      <c r="M131" s="199"/>
      <c r="O131" s="169"/>
      <c r="P131" s="169"/>
      <c r="Q131" s="169"/>
    </row>
    <row r="132" spans="1:17" s="170" customFormat="1" ht="20.100000000000001" customHeight="1" x14ac:dyDescent="0.25">
      <c r="A132" s="207"/>
      <c r="B132" s="177"/>
      <c r="C132" s="178"/>
      <c r="D132" s="178"/>
      <c r="E132" s="180"/>
      <c r="F132" s="181"/>
      <c r="G132" s="182"/>
      <c r="H132" s="182"/>
      <c r="I132" s="183"/>
      <c r="J132" s="177"/>
      <c r="K132" s="184"/>
      <c r="L132" s="198"/>
      <c r="M132" s="199"/>
      <c r="O132" s="169"/>
      <c r="P132" s="169"/>
      <c r="Q132" s="169"/>
    </row>
    <row r="133" spans="1:17" s="170" customFormat="1" ht="20.100000000000001" customHeight="1" x14ac:dyDescent="0.25">
      <c r="A133" s="207"/>
      <c r="B133" s="177"/>
      <c r="C133" s="178"/>
      <c r="D133" s="178"/>
      <c r="E133" s="180"/>
      <c r="F133" s="181"/>
      <c r="G133" s="182"/>
      <c r="H133" s="182"/>
      <c r="I133" s="183"/>
      <c r="J133" s="177"/>
      <c r="K133" s="184"/>
      <c r="L133" s="198"/>
      <c r="M133" s="199"/>
      <c r="O133" s="169"/>
      <c r="P133" s="169"/>
      <c r="Q133" s="169"/>
    </row>
    <row r="134" spans="1:17" s="170" customFormat="1" ht="20.100000000000001" customHeight="1" x14ac:dyDescent="0.25">
      <c r="A134" s="207"/>
      <c r="B134" s="177"/>
      <c r="C134" s="178"/>
      <c r="D134" s="178"/>
      <c r="E134" s="180"/>
      <c r="F134" s="181"/>
      <c r="G134" s="182"/>
      <c r="H134" s="182"/>
      <c r="I134" s="183"/>
      <c r="J134" s="177"/>
      <c r="K134" s="184"/>
      <c r="L134" s="198"/>
      <c r="M134" s="199"/>
      <c r="O134" s="169"/>
      <c r="P134" s="169"/>
      <c r="Q134" s="169"/>
    </row>
    <row r="135" spans="1:17" s="170" customFormat="1" ht="20.100000000000001" customHeight="1" x14ac:dyDescent="0.25">
      <c r="A135" s="207"/>
      <c r="B135" s="177"/>
      <c r="C135" s="178"/>
      <c r="D135" s="178"/>
      <c r="E135" s="180"/>
      <c r="F135" s="181"/>
      <c r="G135" s="182"/>
      <c r="H135" s="182"/>
      <c r="I135" s="183"/>
      <c r="J135" s="177"/>
      <c r="K135" s="184"/>
      <c r="L135" s="198"/>
      <c r="M135" s="199"/>
      <c r="O135" s="169"/>
      <c r="P135" s="169"/>
      <c r="Q135" s="169"/>
    </row>
    <row r="136" spans="1:17" s="170" customFormat="1" ht="20.100000000000001" customHeight="1" x14ac:dyDescent="0.25">
      <c r="A136" s="207"/>
      <c r="B136" s="177"/>
      <c r="C136" s="178"/>
      <c r="D136" s="178"/>
      <c r="E136" s="180"/>
      <c r="F136" s="181"/>
      <c r="G136" s="182"/>
      <c r="H136" s="182"/>
      <c r="I136" s="183"/>
      <c r="J136" s="177"/>
      <c r="K136" s="184"/>
      <c r="L136" s="198"/>
      <c r="M136" s="199"/>
      <c r="O136" s="169"/>
      <c r="P136" s="169"/>
      <c r="Q136" s="169"/>
    </row>
    <row r="137" spans="1:17" s="170" customFormat="1" ht="20.100000000000001" customHeight="1" x14ac:dyDescent="0.25">
      <c r="A137" s="207"/>
      <c r="B137" s="177"/>
      <c r="C137" s="178"/>
      <c r="D137" s="178"/>
      <c r="E137" s="180"/>
      <c r="F137" s="181"/>
      <c r="G137" s="182"/>
      <c r="H137" s="182"/>
      <c r="I137" s="183"/>
      <c r="J137" s="177"/>
      <c r="K137" s="184"/>
      <c r="L137" s="198"/>
      <c r="M137" s="199"/>
      <c r="O137" s="169"/>
      <c r="P137" s="169"/>
      <c r="Q137" s="169"/>
    </row>
    <row r="138" spans="1:17" s="170" customFormat="1" ht="20.100000000000001" customHeight="1" x14ac:dyDescent="0.25">
      <c r="A138" s="207"/>
      <c r="B138" s="177"/>
      <c r="C138" s="178"/>
      <c r="D138" s="178"/>
      <c r="E138" s="180"/>
      <c r="F138" s="181"/>
      <c r="G138" s="182"/>
      <c r="H138" s="182"/>
      <c r="I138" s="183"/>
      <c r="J138" s="177"/>
      <c r="K138" s="184"/>
      <c r="L138" s="198"/>
      <c r="M138" s="199"/>
      <c r="O138" s="169"/>
      <c r="P138" s="169"/>
      <c r="Q138" s="169"/>
    </row>
    <row r="139" spans="1:17" s="170" customFormat="1" ht="20.100000000000001" customHeight="1" x14ac:dyDescent="0.25">
      <c r="A139" s="207"/>
      <c r="B139" s="177"/>
      <c r="C139" s="178"/>
      <c r="D139" s="178"/>
      <c r="E139" s="180"/>
      <c r="F139" s="181"/>
      <c r="G139" s="182"/>
      <c r="H139" s="182"/>
      <c r="I139" s="183"/>
      <c r="J139" s="177"/>
      <c r="K139" s="184"/>
      <c r="L139" s="198"/>
      <c r="M139" s="199"/>
      <c r="O139" s="169"/>
      <c r="P139" s="169"/>
      <c r="Q139" s="169"/>
    </row>
    <row r="140" spans="1:17" s="170" customFormat="1" ht="20.100000000000001" customHeight="1" x14ac:dyDescent="0.25">
      <c r="A140" s="207"/>
      <c r="B140" s="177"/>
      <c r="C140" s="178"/>
      <c r="D140" s="178"/>
      <c r="E140" s="180"/>
      <c r="F140" s="181"/>
      <c r="G140" s="182"/>
      <c r="H140" s="182"/>
      <c r="I140" s="183"/>
      <c r="J140" s="177"/>
      <c r="K140" s="184"/>
      <c r="L140" s="198"/>
      <c r="M140" s="199"/>
      <c r="O140" s="169"/>
      <c r="P140" s="169"/>
      <c r="Q140" s="169"/>
    </row>
    <row r="141" spans="1:17" s="170" customFormat="1" ht="20.100000000000001" customHeight="1" x14ac:dyDescent="0.25">
      <c r="A141" s="207"/>
      <c r="B141" s="177"/>
      <c r="C141" s="178"/>
      <c r="D141" s="178"/>
      <c r="E141" s="180"/>
      <c r="F141" s="181"/>
      <c r="G141" s="182"/>
      <c r="H141" s="182"/>
      <c r="I141" s="183"/>
      <c r="J141" s="177"/>
      <c r="K141" s="184"/>
      <c r="L141" s="198"/>
      <c r="M141" s="199"/>
      <c r="O141" s="169"/>
      <c r="P141" s="169"/>
      <c r="Q141" s="169"/>
    </row>
    <row r="142" spans="1:17" s="170" customFormat="1" ht="20.100000000000001" customHeight="1" x14ac:dyDescent="0.25">
      <c r="A142" s="207"/>
      <c r="B142" s="177"/>
      <c r="C142" s="178"/>
      <c r="D142" s="178"/>
      <c r="E142" s="180"/>
      <c r="F142" s="181"/>
      <c r="G142" s="182"/>
      <c r="H142" s="182"/>
      <c r="I142" s="183"/>
      <c r="J142" s="177"/>
      <c r="K142" s="184"/>
      <c r="L142" s="198"/>
      <c r="M142" s="199"/>
      <c r="O142" s="169"/>
      <c r="P142" s="169"/>
      <c r="Q142" s="169"/>
    </row>
    <row r="143" spans="1:17" s="170" customFormat="1" ht="20.100000000000001" customHeight="1" x14ac:dyDescent="0.25">
      <c r="A143" s="207"/>
      <c r="B143" s="177"/>
      <c r="C143" s="178"/>
      <c r="D143" s="178"/>
      <c r="E143" s="180"/>
      <c r="F143" s="181"/>
      <c r="G143" s="182"/>
      <c r="H143" s="182"/>
      <c r="I143" s="183"/>
      <c r="J143" s="177"/>
      <c r="K143" s="184"/>
      <c r="L143" s="198"/>
      <c r="M143" s="199"/>
      <c r="O143" s="169"/>
      <c r="P143" s="169"/>
      <c r="Q143" s="169"/>
    </row>
    <row r="144" spans="1:17" s="170" customFormat="1" ht="20.100000000000001" customHeight="1" x14ac:dyDescent="0.25">
      <c r="A144" s="207"/>
      <c r="B144" s="177"/>
      <c r="C144" s="178"/>
      <c r="D144" s="178"/>
      <c r="E144" s="180"/>
      <c r="F144" s="181"/>
      <c r="G144" s="182"/>
      <c r="H144" s="182"/>
      <c r="I144" s="183"/>
      <c r="J144" s="177"/>
      <c r="K144" s="184"/>
      <c r="L144" s="198"/>
      <c r="M144" s="199"/>
      <c r="O144" s="169"/>
      <c r="P144" s="169"/>
      <c r="Q144" s="169"/>
    </row>
    <row r="145" spans="1:17" s="170" customFormat="1" ht="20.100000000000001" customHeight="1" x14ac:dyDescent="0.25">
      <c r="A145" s="207"/>
      <c r="B145" s="177"/>
      <c r="C145" s="178"/>
      <c r="D145" s="178"/>
      <c r="E145" s="180"/>
      <c r="F145" s="181"/>
      <c r="G145" s="182"/>
      <c r="H145" s="182"/>
      <c r="I145" s="183"/>
      <c r="J145" s="177"/>
      <c r="K145" s="184"/>
      <c r="L145" s="198"/>
      <c r="M145" s="199"/>
      <c r="O145" s="169"/>
      <c r="P145" s="169"/>
      <c r="Q145" s="169"/>
    </row>
    <row r="146" spans="1:17" s="170" customFormat="1" ht="20.100000000000001" customHeight="1" x14ac:dyDescent="0.25">
      <c r="A146" s="207"/>
      <c r="B146" s="177"/>
      <c r="C146" s="178"/>
      <c r="D146" s="178"/>
      <c r="E146" s="180"/>
      <c r="F146" s="181"/>
      <c r="G146" s="182"/>
      <c r="H146" s="182"/>
      <c r="I146" s="183"/>
      <c r="J146" s="177"/>
      <c r="K146" s="184"/>
      <c r="L146" s="198"/>
      <c r="M146" s="199"/>
      <c r="O146" s="169"/>
      <c r="P146" s="169"/>
      <c r="Q146" s="169"/>
    </row>
    <row r="147" spans="1:17" s="170" customFormat="1" ht="20.100000000000001" customHeight="1" x14ac:dyDescent="0.25">
      <c r="A147" s="207"/>
      <c r="B147" s="177"/>
      <c r="C147" s="178"/>
      <c r="D147" s="178"/>
      <c r="E147" s="180"/>
      <c r="F147" s="181"/>
      <c r="G147" s="182"/>
      <c r="H147" s="182"/>
      <c r="I147" s="183"/>
      <c r="J147" s="177"/>
      <c r="K147" s="184"/>
      <c r="L147" s="198"/>
      <c r="M147" s="199"/>
      <c r="O147" s="169"/>
      <c r="P147" s="169"/>
      <c r="Q147" s="169"/>
    </row>
    <row r="148" spans="1:17" s="170" customFormat="1" ht="20.100000000000001" customHeight="1" x14ac:dyDescent="0.25">
      <c r="A148" s="207"/>
      <c r="B148" s="177"/>
      <c r="C148" s="178"/>
      <c r="D148" s="178"/>
      <c r="E148" s="180"/>
      <c r="F148" s="181"/>
      <c r="G148" s="182"/>
      <c r="H148" s="182"/>
      <c r="I148" s="183"/>
      <c r="J148" s="177"/>
      <c r="K148" s="184"/>
      <c r="L148" s="198"/>
      <c r="M148" s="199"/>
      <c r="O148" s="169"/>
      <c r="P148" s="169"/>
      <c r="Q148" s="169"/>
    </row>
    <row r="149" spans="1:17" s="170" customFormat="1" ht="20.100000000000001" customHeight="1" x14ac:dyDescent="0.25">
      <c r="A149" s="207"/>
      <c r="B149" s="177"/>
      <c r="C149" s="178"/>
      <c r="D149" s="178"/>
      <c r="E149" s="180"/>
      <c r="F149" s="181"/>
      <c r="G149" s="182"/>
      <c r="H149" s="182"/>
      <c r="I149" s="183"/>
      <c r="J149" s="177"/>
      <c r="K149" s="184"/>
      <c r="L149" s="198"/>
      <c r="M149" s="199"/>
      <c r="O149" s="169"/>
      <c r="P149" s="169"/>
      <c r="Q149" s="169"/>
    </row>
    <row r="150" spans="1:17" s="170" customFormat="1" ht="20.100000000000001" customHeight="1" x14ac:dyDescent="0.25">
      <c r="A150" s="207"/>
      <c r="B150" s="177"/>
      <c r="C150" s="178"/>
      <c r="D150" s="178"/>
      <c r="E150" s="180"/>
      <c r="F150" s="181"/>
      <c r="G150" s="182"/>
      <c r="H150" s="182"/>
      <c r="I150" s="183"/>
      <c r="J150" s="177"/>
      <c r="K150" s="184"/>
      <c r="L150" s="198"/>
      <c r="M150" s="199"/>
      <c r="O150" s="169"/>
      <c r="P150" s="169"/>
      <c r="Q150" s="169"/>
    </row>
    <row r="151" spans="1:17" s="170" customFormat="1" ht="20.100000000000001" customHeight="1" x14ac:dyDescent="0.25">
      <c r="A151" s="207"/>
      <c r="B151" s="177"/>
      <c r="C151" s="178"/>
      <c r="D151" s="178"/>
      <c r="E151" s="180"/>
      <c r="F151" s="181"/>
      <c r="G151" s="182"/>
      <c r="H151" s="182"/>
      <c r="I151" s="183"/>
      <c r="J151" s="177"/>
      <c r="K151" s="184"/>
      <c r="L151" s="198"/>
      <c r="M151" s="199"/>
      <c r="O151" s="169"/>
      <c r="P151" s="169"/>
      <c r="Q151" s="169"/>
    </row>
    <row r="152" spans="1:17" s="170" customFormat="1" ht="20.100000000000001" customHeight="1" x14ac:dyDescent="0.25">
      <c r="A152" s="207"/>
      <c r="B152" s="177"/>
      <c r="C152" s="178"/>
      <c r="D152" s="178"/>
      <c r="E152" s="180"/>
      <c r="F152" s="181"/>
      <c r="G152" s="182"/>
      <c r="H152" s="182"/>
      <c r="I152" s="183"/>
      <c r="J152" s="177"/>
      <c r="K152" s="184"/>
      <c r="L152" s="198"/>
      <c r="M152" s="199"/>
      <c r="O152" s="169"/>
      <c r="P152" s="169"/>
      <c r="Q152" s="169"/>
    </row>
    <row r="153" spans="1:17" s="170" customFormat="1" ht="20.100000000000001" customHeight="1" x14ac:dyDescent="0.25">
      <c r="A153" s="207"/>
      <c r="B153" s="177"/>
      <c r="C153" s="178"/>
      <c r="D153" s="178"/>
      <c r="E153" s="180"/>
      <c r="F153" s="181"/>
      <c r="G153" s="182"/>
      <c r="H153" s="182"/>
      <c r="I153" s="183"/>
      <c r="J153" s="177"/>
      <c r="K153" s="184"/>
      <c r="L153" s="198"/>
      <c r="M153" s="199"/>
      <c r="O153" s="169"/>
      <c r="P153" s="169"/>
      <c r="Q153" s="169"/>
    </row>
    <row r="154" spans="1:17" s="170" customFormat="1" ht="20.100000000000001" customHeight="1" x14ac:dyDescent="0.25">
      <c r="A154" s="207"/>
      <c r="B154" s="177"/>
      <c r="C154" s="178"/>
      <c r="D154" s="178"/>
      <c r="E154" s="180"/>
      <c r="F154" s="181"/>
      <c r="G154" s="182"/>
      <c r="H154" s="182"/>
      <c r="I154" s="183"/>
      <c r="J154" s="177"/>
      <c r="K154" s="184"/>
      <c r="L154" s="198"/>
      <c r="M154" s="199"/>
      <c r="O154" s="169"/>
      <c r="P154" s="169"/>
      <c r="Q154" s="169"/>
    </row>
    <row r="155" spans="1:17" s="170" customFormat="1" ht="20.100000000000001" customHeight="1" x14ac:dyDescent="0.25">
      <c r="A155" s="207"/>
      <c r="B155" s="177"/>
      <c r="C155" s="178"/>
      <c r="D155" s="178"/>
      <c r="E155" s="180"/>
      <c r="F155" s="181"/>
      <c r="G155" s="182"/>
      <c r="H155" s="182"/>
      <c r="I155" s="183"/>
      <c r="J155" s="177"/>
      <c r="K155" s="184"/>
      <c r="L155" s="198"/>
      <c r="M155" s="199"/>
      <c r="O155" s="169"/>
      <c r="P155" s="169"/>
      <c r="Q155" s="169"/>
    </row>
    <row r="156" spans="1:17" s="170" customFormat="1" ht="20.100000000000001" customHeight="1" x14ac:dyDescent="0.25">
      <c r="A156" s="207"/>
      <c r="B156" s="177"/>
      <c r="C156" s="178"/>
      <c r="D156" s="178"/>
      <c r="E156" s="180"/>
      <c r="F156" s="181"/>
      <c r="G156" s="182"/>
      <c r="H156" s="182"/>
      <c r="I156" s="183"/>
      <c r="J156" s="177"/>
      <c r="K156" s="184"/>
      <c r="L156" s="198"/>
      <c r="M156" s="199"/>
      <c r="O156" s="169"/>
      <c r="P156" s="169"/>
      <c r="Q156" s="169"/>
    </row>
    <row r="157" spans="1:17" s="170" customFormat="1" ht="20.100000000000001" customHeight="1" x14ac:dyDescent="0.25">
      <c r="A157" s="207"/>
      <c r="B157" s="177"/>
      <c r="C157" s="178"/>
      <c r="D157" s="178"/>
      <c r="E157" s="180"/>
      <c r="F157" s="181"/>
      <c r="G157" s="182"/>
      <c r="H157" s="182"/>
      <c r="I157" s="183"/>
      <c r="J157" s="177"/>
      <c r="K157" s="184"/>
      <c r="L157" s="198"/>
      <c r="M157" s="199"/>
      <c r="O157" s="169"/>
      <c r="P157" s="169"/>
      <c r="Q157" s="169"/>
    </row>
    <row r="158" spans="1:17" s="170" customFormat="1" ht="20.100000000000001" customHeight="1" x14ac:dyDescent="0.25">
      <c r="A158" s="207"/>
      <c r="B158" s="177"/>
      <c r="C158" s="178"/>
      <c r="D158" s="178"/>
      <c r="E158" s="180"/>
      <c r="F158" s="181"/>
      <c r="G158" s="182"/>
      <c r="H158" s="182"/>
      <c r="I158" s="183"/>
      <c r="J158" s="177"/>
      <c r="K158" s="184"/>
      <c r="L158" s="198"/>
      <c r="M158" s="199"/>
      <c r="O158" s="169"/>
      <c r="P158" s="169"/>
      <c r="Q158" s="169"/>
    </row>
    <row r="159" spans="1:17" s="170" customFormat="1" ht="20.100000000000001" customHeight="1" x14ac:dyDescent="0.25">
      <c r="A159" s="207"/>
      <c r="B159" s="177"/>
      <c r="C159" s="178"/>
      <c r="D159" s="178"/>
      <c r="E159" s="180"/>
      <c r="F159" s="181"/>
      <c r="G159" s="182"/>
      <c r="H159" s="182"/>
      <c r="I159" s="183"/>
      <c r="J159" s="177"/>
      <c r="K159" s="184"/>
      <c r="L159" s="198"/>
      <c r="M159" s="199"/>
      <c r="O159" s="169"/>
      <c r="P159" s="169"/>
      <c r="Q159" s="169"/>
    </row>
    <row r="160" spans="1:17" s="170" customFormat="1" ht="20.100000000000001" customHeight="1" x14ac:dyDescent="0.25">
      <c r="A160" s="207"/>
      <c r="B160" s="177"/>
      <c r="C160" s="178"/>
      <c r="D160" s="178"/>
      <c r="E160" s="180"/>
      <c r="F160" s="181"/>
      <c r="G160" s="182"/>
      <c r="H160" s="182"/>
      <c r="I160" s="183"/>
      <c r="J160" s="177"/>
      <c r="K160" s="184"/>
      <c r="L160" s="198"/>
      <c r="M160" s="199"/>
      <c r="O160" s="169"/>
      <c r="P160" s="169"/>
      <c r="Q160" s="169"/>
    </row>
    <row r="161" spans="1:17" s="170" customFormat="1" ht="20.100000000000001" customHeight="1" x14ac:dyDescent="0.25">
      <c r="A161" s="207"/>
      <c r="B161" s="177"/>
      <c r="C161" s="178"/>
      <c r="D161" s="178"/>
      <c r="E161" s="180"/>
      <c r="F161" s="181"/>
      <c r="G161" s="182"/>
      <c r="H161" s="182"/>
      <c r="I161" s="183"/>
      <c r="J161" s="177"/>
      <c r="K161" s="184"/>
      <c r="L161" s="198"/>
      <c r="M161" s="199"/>
      <c r="O161" s="169"/>
      <c r="P161" s="169"/>
      <c r="Q161" s="169"/>
    </row>
    <row r="162" spans="1:17" s="170" customFormat="1" ht="20.100000000000001" customHeight="1" x14ac:dyDescent="0.25">
      <c r="A162" s="207"/>
      <c r="B162" s="177"/>
      <c r="C162" s="178"/>
      <c r="D162" s="178"/>
      <c r="E162" s="180"/>
      <c r="F162" s="181"/>
      <c r="G162" s="182"/>
      <c r="H162" s="182"/>
      <c r="I162" s="183"/>
      <c r="J162" s="177"/>
      <c r="K162" s="184"/>
      <c r="L162" s="198"/>
      <c r="M162" s="199"/>
      <c r="O162" s="169"/>
      <c r="P162" s="169"/>
      <c r="Q162" s="169"/>
    </row>
    <row r="163" spans="1:17" s="170" customFormat="1" ht="20.100000000000001" customHeight="1" x14ac:dyDescent="0.25">
      <c r="A163" s="207"/>
      <c r="B163" s="177"/>
      <c r="C163" s="178"/>
      <c r="D163" s="178"/>
      <c r="E163" s="180"/>
      <c r="F163" s="181"/>
      <c r="G163" s="182"/>
      <c r="H163" s="182"/>
      <c r="I163" s="183"/>
      <c r="J163" s="177"/>
      <c r="K163" s="184"/>
      <c r="L163" s="198"/>
      <c r="M163" s="199"/>
      <c r="O163" s="169"/>
      <c r="P163" s="169"/>
      <c r="Q163" s="169"/>
    </row>
    <row r="164" spans="1:17" s="170" customFormat="1" ht="20.100000000000001" customHeight="1" x14ac:dyDescent="0.25">
      <c r="A164" s="207"/>
      <c r="B164" s="177"/>
      <c r="C164" s="178"/>
      <c r="D164" s="178"/>
      <c r="E164" s="180"/>
      <c r="F164" s="181"/>
      <c r="G164" s="182"/>
      <c r="H164" s="182"/>
      <c r="I164" s="183"/>
      <c r="J164" s="177"/>
      <c r="K164" s="184"/>
      <c r="L164" s="198"/>
      <c r="M164" s="199"/>
      <c r="O164" s="169"/>
      <c r="P164" s="169"/>
      <c r="Q164" s="169"/>
    </row>
    <row r="165" spans="1:17" s="170" customFormat="1" ht="20.100000000000001" customHeight="1" x14ac:dyDescent="0.25">
      <c r="A165" s="207"/>
      <c r="B165" s="177"/>
      <c r="C165" s="178"/>
      <c r="D165" s="178"/>
      <c r="E165" s="180"/>
      <c r="F165" s="181"/>
      <c r="G165" s="182"/>
      <c r="H165" s="182"/>
      <c r="I165" s="183"/>
      <c r="J165" s="177"/>
      <c r="K165" s="184"/>
      <c r="L165" s="198"/>
      <c r="M165" s="199"/>
      <c r="O165" s="169"/>
      <c r="P165" s="169"/>
      <c r="Q165" s="169"/>
    </row>
    <row r="166" spans="1:17" s="170" customFormat="1" ht="20.100000000000001" customHeight="1" x14ac:dyDescent="0.25">
      <c r="A166" s="207"/>
      <c r="B166" s="177"/>
      <c r="C166" s="178"/>
      <c r="D166" s="178"/>
      <c r="E166" s="180"/>
      <c r="F166" s="181"/>
      <c r="G166" s="182"/>
      <c r="H166" s="182"/>
      <c r="I166" s="183"/>
      <c r="J166" s="177"/>
      <c r="K166" s="184"/>
      <c r="L166" s="198"/>
      <c r="M166" s="199"/>
      <c r="O166" s="169"/>
      <c r="P166" s="169"/>
      <c r="Q166" s="169"/>
    </row>
    <row r="167" spans="1:17" s="170" customFormat="1" ht="20.100000000000001" customHeight="1" x14ac:dyDescent="0.25">
      <c r="A167" s="207"/>
      <c r="B167" s="177"/>
      <c r="C167" s="178"/>
      <c r="D167" s="178"/>
      <c r="E167" s="180"/>
      <c r="F167" s="181"/>
      <c r="G167" s="182"/>
      <c r="H167" s="182"/>
      <c r="I167" s="183"/>
      <c r="J167" s="177"/>
      <c r="K167" s="184"/>
      <c r="L167" s="198"/>
      <c r="M167" s="199"/>
      <c r="O167" s="169"/>
      <c r="P167" s="169"/>
      <c r="Q167" s="169"/>
    </row>
    <row r="168" spans="1:17" s="170" customFormat="1" ht="20.100000000000001" customHeight="1" x14ac:dyDescent="0.25">
      <c r="A168" s="207"/>
      <c r="B168" s="177"/>
      <c r="C168" s="178"/>
      <c r="D168" s="178"/>
      <c r="E168" s="180"/>
      <c r="F168" s="181"/>
      <c r="G168" s="182"/>
      <c r="H168" s="182"/>
      <c r="I168" s="183"/>
      <c r="J168" s="177"/>
      <c r="K168" s="184"/>
      <c r="L168" s="198"/>
      <c r="M168" s="199"/>
      <c r="O168" s="169"/>
      <c r="P168" s="169"/>
      <c r="Q168" s="169"/>
    </row>
    <row r="169" spans="1:17" s="170" customFormat="1" ht="20.100000000000001" customHeight="1" x14ac:dyDescent="0.25">
      <c r="A169" s="207"/>
      <c r="B169" s="177"/>
      <c r="C169" s="178"/>
      <c r="D169" s="178"/>
      <c r="E169" s="180"/>
      <c r="F169" s="181"/>
      <c r="G169" s="182"/>
      <c r="H169" s="182"/>
      <c r="I169" s="183"/>
      <c r="J169" s="177"/>
      <c r="K169" s="184"/>
      <c r="L169" s="198"/>
      <c r="M169" s="199"/>
      <c r="O169" s="169"/>
      <c r="P169" s="169"/>
      <c r="Q169" s="169"/>
    </row>
    <row r="170" spans="1:17" s="170" customFormat="1" ht="20.100000000000001" customHeight="1" x14ac:dyDescent="0.25">
      <c r="A170" s="207"/>
      <c r="B170" s="177"/>
      <c r="C170" s="178"/>
      <c r="D170" s="178"/>
      <c r="E170" s="180"/>
      <c r="F170" s="181"/>
      <c r="G170" s="182"/>
      <c r="H170" s="182"/>
      <c r="I170" s="183"/>
      <c r="J170" s="177"/>
      <c r="K170" s="184"/>
      <c r="L170" s="198"/>
      <c r="M170" s="199"/>
      <c r="O170" s="169"/>
      <c r="P170" s="169"/>
      <c r="Q170" s="169"/>
    </row>
    <row r="171" spans="1:17" s="170" customFormat="1" ht="20.100000000000001" customHeight="1" x14ac:dyDescent="0.25">
      <c r="A171" s="207"/>
      <c r="B171" s="177"/>
      <c r="C171" s="178"/>
      <c r="D171" s="178"/>
      <c r="E171" s="180"/>
      <c r="F171" s="181"/>
      <c r="G171" s="182"/>
      <c r="H171" s="182"/>
      <c r="I171" s="183"/>
      <c r="J171" s="177"/>
      <c r="K171" s="184"/>
      <c r="L171" s="198"/>
      <c r="M171" s="199"/>
      <c r="O171" s="169"/>
      <c r="P171" s="169"/>
      <c r="Q171" s="169"/>
    </row>
    <row r="172" spans="1:17" s="170" customFormat="1" ht="20.100000000000001" customHeight="1" x14ac:dyDescent="0.25">
      <c r="A172" s="207"/>
      <c r="B172" s="177"/>
      <c r="C172" s="178"/>
      <c r="D172" s="178"/>
      <c r="E172" s="180"/>
      <c r="F172" s="181"/>
      <c r="G172" s="182"/>
      <c r="H172" s="182"/>
      <c r="I172" s="183"/>
      <c r="J172" s="177"/>
      <c r="K172" s="184"/>
      <c r="L172" s="198"/>
      <c r="M172" s="199"/>
      <c r="O172" s="169"/>
      <c r="P172" s="169"/>
      <c r="Q172" s="169"/>
    </row>
    <row r="173" spans="1:17" s="170" customFormat="1" ht="20.100000000000001" customHeight="1" x14ac:dyDescent="0.25">
      <c r="A173" s="207"/>
      <c r="B173" s="177"/>
      <c r="C173" s="178"/>
      <c r="D173" s="178"/>
      <c r="E173" s="180"/>
      <c r="F173" s="181"/>
      <c r="G173" s="182"/>
      <c r="H173" s="182"/>
      <c r="I173" s="183"/>
      <c r="J173" s="177"/>
      <c r="K173" s="184"/>
      <c r="L173" s="198"/>
      <c r="M173" s="199"/>
      <c r="O173" s="169"/>
      <c r="P173" s="169"/>
      <c r="Q173" s="169"/>
    </row>
    <row r="174" spans="1:17" s="170" customFormat="1" ht="20.100000000000001" customHeight="1" x14ac:dyDescent="0.25">
      <c r="A174" s="207"/>
      <c r="B174" s="177"/>
      <c r="C174" s="178"/>
      <c r="D174" s="178"/>
      <c r="E174" s="180"/>
      <c r="F174" s="181"/>
      <c r="G174" s="182"/>
      <c r="H174" s="182"/>
      <c r="I174" s="183"/>
      <c r="J174" s="177"/>
      <c r="K174" s="184"/>
      <c r="L174" s="198"/>
      <c r="M174" s="199"/>
      <c r="O174" s="169"/>
      <c r="P174" s="169"/>
      <c r="Q174" s="169"/>
    </row>
    <row r="175" spans="1:17" s="170" customFormat="1" ht="20.100000000000001" customHeight="1" x14ac:dyDescent="0.25">
      <c r="A175" s="207"/>
      <c r="B175" s="177"/>
      <c r="C175" s="178"/>
      <c r="D175" s="178"/>
      <c r="E175" s="180"/>
      <c r="F175" s="181"/>
      <c r="G175" s="182"/>
      <c r="H175" s="182"/>
      <c r="I175" s="183"/>
      <c r="J175" s="177"/>
      <c r="K175" s="184"/>
      <c r="L175" s="198"/>
      <c r="M175" s="199"/>
      <c r="O175" s="169"/>
      <c r="P175" s="169"/>
      <c r="Q175" s="169"/>
    </row>
    <row r="176" spans="1:17" s="170" customFormat="1" ht="20.100000000000001" customHeight="1" x14ac:dyDescent="0.25">
      <c r="A176" s="207"/>
      <c r="B176" s="177"/>
      <c r="C176" s="178"/>
      <c r="D176" s="178"/>
      <c r="E176" s="180"/>
      <c r="F176" s="181"/>
      <c r="G176" s="182"/>
      <c r="H176" s="182"/>
      <c r="I176" s="183"/>
      <c r="J176" s="177"/>
      <c r="K176" s="184"/>
      <c r="L176" s="198"/>
      <c r="M176" s="199"/>
      <c r="O176" s="169"/>
      <c r="P176" s="169"/>
      <c r="Q176" s="169"/>
    </row>
    <row r="177" spans="1:17" s="170" customFormat="1" ht="20.100000000000001" customHeight="1" x14ac:dyDescent="0.25">
      <c r="A177" s="207"/>
      <c r="B177" s="177"/>
      <c r="C177" s="178"/>
      <c r="D177" s="178"/>
      <c r="E177" s="180"/>
      <c r="F177" s="181"/>
      <c r="G177" s="182"/>
      <c r="H177" s="182"/>
      <c r="I177" s="183"/>
      <c r="J177" s="177"/>
      <c r="K177" s="184"/>
      <c r="L177" s="198"/>
      <c r="M177" s="199"/>
      <c r="O177" s="169"/>
      <c r="P177" s="169"/>
      <c r="Q177" s="169"/>
    </row>
    <row r="178" spans="1:17" s="170" customFormat="1" ht="20.100000000000001" customHeight="1" x14ac:dyDescent="0.25">
      <c r="A178" s="207"/>
      <c r="B178" s="177"/>
      <c r="C178" s="178"/>
      <c r="D178" s="178"/>
      <c r="E178" s="180"/>
      <c r="F178" s="181"/>
      <c r="G178" s="182"/>
      <c r="H178" s="182"/>
      <c r="I178" s="183"/>
      <c r="J178" s="177"/>
      <c r="K178" s="184"/>
      <c r="L178" s="198"/>
      <c r="M178" s="199"/>
      <c r="O178" s="169"/>
      <c r="P178" s="169"/>
      <c r="Q178" s="169"/>
    </row>
    <row r="179" spans="1:17" s="170" customFormat="1" ht="20.100000000000001" customHeight="1" x14ac:dyDescent="0.25">
      <c r="A179" s="207"/>
      <c r="B179" s="177"/>
      <c r="C179" s="178"/>
      <c r="D179" s="178"/>
      <c r="E179" s="180"/>
      <c r="F179" s="181"/>
      <c r="G179" s="182"/>
      <c r="H179" s="182"/>
      <c r="I179" s="183"/>
      <c r="J179" s="177"/>
      <c r="K179" s="184"/>
      <c r="L179" s="198"/>
      <c r="M179" s="199"/>
      <c r="O179" s="169"/>
      <c r="P179" s="169"/>
      <c r="Q179" s="169"/>
    </row>
    <row r="180" spans="1:17" s="170" customFormat="1" ht="20.100000000000001" customHeight="1" x14ac:dyDescent="0.25">
      <c r="A180" s="207"/>
      <c r="B180" s="177"/>
      <c r="C180" s="178"/>
      <c r="D180" s="178"/>
      <c r="E180" s="180"/>
      <c r="F180" s="181"/>
      <c r="G180" s="182"/>
      <c r="H180" s="182"/>
      <c r="I180" s="183"/>
      <c r="J180" s="177"/>
      <c r="K180" s="184"/>
      <c r="L180" s="198"/>
      <c r="M180" s="199"/>
      <c r="O180" s="169"/>
      <c r="P180" s="169"/>
      <c r="Q180" s="169"/>
    </row>
    <row r="181" spans="1:17" s="170" customFormat="1" ht="20.100000000000001" customHeight="1" x14ac:dyDescent="0.25">
      <c r="A181" s="207"/>
      <c r="B181" s="177"/>
      <c r="C181" s="178"/>
      <c r="D181" s="178"/>
      <c r="E181" s="180"/>
      <c r="F181" s="181"/>
      <c r="G181" s="182"/>
      <c r="H181" s="182"/>
      <c r="I181" s="183"/>
      <c r="J181" s="177"/>
      <c r="K181" s="184"/>
      <c r="L181" s="198"/>
      <c r="M181" s="199"/>
      <c r="O181" s="169"/>
      <c r="P181" s="169"/>
      <c r="Q181" s="169"/>
    </row>
    <row r="182" spans="1:17" s="170" customFormat="1" ht="20.100000000000001" customHeight="1" x14ac:dyDescent="0.25">
      <c r="A182" s="207"/>
      <c r="B182" s="177"/>
      <c r="C182" s="178"/>
      <c r="D182" s="178"/>
      <c r="E182" s="180"/>
      <c r="F182" s="181"/>
      <c r="G182" s="182"/>
      <c r="H182" s="182"/>
      <c r="I182" s="183"/>
      <c r="J182" s="177"/>
      <c r="K182" s="184"/>
      <c r="L182" s="198"/>
      <c r="M182" s="199"/>
      <c r="O182" s="169"/>
      <c r="P182" s="169"/>
      <c r="Q182" s="169"/>
    </row>
    <row r="183" spans="1:17" s="170" customFormat="1" ht="20.100000000000001" customHeight="1" x14ac:dyDescent="0.25">
      <c r="A183" s="207"/>
      <c r="B183" s="177"/>
      <c r="C183" s="178"/>
      <c r="D183" s="178"/>
      <c r="E183" s="180"/>
      <c r="F183" s="181"/>
      <c r="G183" s="182"/>
      <c r="H183" s="182"/>
      <c r="I183" s="183"/>
      <c r="J183" s="177"/>
      <c r="K183" s="184"/>
      <c r="L183" s="198"/>
      <c r="M183" s="199"/>
      <c r="O183" s="169"/>
      <c r="P183" s="169"/>
      <c r="Q183" s="169"/>
    </row>
    <row r="184" spans="1:17" s="170" customFormat="1" ht="20.100000000000001" customHeight="1" x14ac:dyDescent="0.25">
      <c r="A184" s="207"/>
      <c r="B184" s="177"/>
      <c r="C184" s="178"/>
      <c r="D184" s="178"/>
      <c r="E184" s="180"/>
      <c r="F184" s="181"/>
      <c r="G184" s="182"/>
      <c r="H184" s="182"/>
      <c r="I184" s="183"/>
      <c r="J184" s="177"/>
      <c r="K184" s="184"/>
      <c r="L184" s="198"/>
      <c r="M184" s="199"/>
      <c r="O184" s="169"/>
      <c r="P184" s="169"/>
      <c r="Q184" s="169"/>
    </row>
    <row r="185" spans="1:17" s="170" customFormat="1" ht="20.100000000000001" customHeight="1" x14ac:dyDescent="0.25">
      <c r="A185" s="207"/>
      <c r="B185" s="177"/>
      <c r="C185" s="178"/>
      <c r="D185" s="178"/>
      <c r="E185" s="180"/>
      <c r="F185" s="181"/>
      <c r="G185" s="182"/>
      <c r="H185" s="182"/>
      <c r="I185" s="183"/>
      <c r="J185" s="177"/>
      <c r="K185" s="184"/>
      <c r="L185" s="198"/>
      <c r="M185" s="199"/>
      <c r="O185" s="169"/>
      <c r="P185" s="169"/>
      <c r="Q185" s="169"/>
    </row>
    <row r="186" spans="1:17" s="170" customFormat="1" ht="20.100000000000001" customHeight="1" x14ac:dyDescent="0.25">
      <c r="A186" s="207"/>
      <c r="B186" s="177"/>
      <c r="C186" s="178"/>
      <c r="D186" s="178"/>
      <c r="E186" s="180"/>
      <c r="F186" s="181"/>
      <c r="G186" s="182"/>
      <c r="H186" s="182"/>
      <c r="I186" s="183"/>
      <c r="J186" s="177"/>
      <c r="K186" s="184"/>
      <c r="L186" s="198"/>
      <c r="M186" s="199"/>
      <c r="O186" s="169"/>
      <c r="P186" s="169"/>
      <c r="Q186" s="169"/>
    </row>
    <row r="187" spans="1:17" s="170" customFormat="1" ht="20.100000000000001" customHeight="1" x14ac:dyDescent="0.25">
      <c r="A187" s="207"/>
      <c r="B187" s="177"/>
      <c r="C187" s="178"/>
      <c r="D187" s="178"/>
      <c r="E187" s="180"/>
      <c r="F187" s="181"/>
      <c r="G187" s="182"/>
      <c r="H187" s="182"/>
      <c r="I187" s="183"/>
      <c r="J187" s="177"/>
      <c r="K187" s="184"/>
      <c r="L187" s="198"/>
      <c r="M187" s="199"/>
      <c r="O187" s="169"/>
      <c r="P187" s="169"/>
      <c r="Q187" s="169"/>
    </row>
    <row r="188" spans="1:17" s="170" customFormat="1" ht="20.100000000000001" customHeight="1" x14ac:dyDescent="0.25">
      <c r="A188" s="207"/>
      <c r="B188" s="177"/>
      <c r="C188" s="178"/>
      <c r="D188" s="178"/>
      <c r="E188" s="180"/>
      <c r="F188" s="181"/>
      <c r="G188" s="182"/>
      <c r="H188" s="182"/>
      <c r="I188" s="183"/>
      <c r="J188" s="177"/>
      <c r="K188" s="184"/>
      <c r="L188" s="198"/>
      <c r="M188" s="199"/>
      <c r="O188" s="169"/>
      <c r="P188" s="169"/>
      <c r="Q188" s="169"/>
    </row>
    <row r="189" spans="1:17" s="170" customFormat="1" ht="20.100000000000001" customHeight="1" x14ac:dyDescent="0.25">
      <c r="A189" s="207"/>
      <c r="B189" s="177"/>
      <c r="C189" s="178"/>
      <c r="D189" s="178"/>
      <c r="E189" s="180"/>
      <c r="F189" s="181"/>
      <c r="G189" s="182"/>
      <c r="H189" s="182"/>
      <c r="I189" s="183"/>
      <c r="J189" s="177"/>
      <c r="K189" s="184"/>
      <c r="L189" s="198"/>
      <c r="M189" s="199"/>
      <c r="O189" s="169"/>
      <c r="P189" s="169"/>
      <c r="Q189" s="169"/>
    </row>
    <row r="190" spans="1:17" s="170" customFormat="1" ht="20.100000000000001" customHeight="1" x14ac:dyDescent="0.25">
      <c r="A190" s="207"/>
      <c r="B190" s="177"/>
      <c r="C190" s="178"/>
      <c r="D190" s="178"/>
      <c r="E190" s="180"/>
      <c r="F190" s="181"/>
      <c r="G190" s="182"/>
      <c r="H190" s="182"/>
      <c r="I190" s="183"/>
      <c r="J190" s="177"/>
      <c r="K190" s="184"/>
      <c r="L190" s="198"/>
      <c r="M190" s="199"/>
      <c r="O190" s="169"/>
      <c r="P190" s="169"/>
      <c r="Q190" s="169"/>
    </row>
    <row r="191" spans="1:17" s="170" customFormat="1" ht="20.100000000000001" customHeight="1" x14ac:dyDescent="0.25">
      <c r="A191" s="207"/>
      <c r="B191" s="177"/>
      <c r="C191" s="178"/>
      <c r="D191" s="178"/>
      <c r="E191" s="180"/>
      <c r="F191" s="181"/>
      <c r="G191" s="182"/>
      <c r="H191" s="182"/>
      <c r="I191" s="183"/>
      <c r="J191" s="177"/>
      <c r="K191" s="184"/>
      <c r="L191" s="198"/>
      <c r="M191" s="199"/>
      <c r="O191" s="169"/>
      <c r="P191" s="169"/>
      <c r="Q191" s="169"/>
    </row>
    <row r="192" spans="1:17" s="170" customFormat="1" ht="20.100000000000001" customHeight="1" x14ac:dyDescent="0.25">
      <c r="A192" s="207"/>
      <c r="B192" s="177"/>
      <c r="C192" s="178"/>
      <c r="D192" s="178"/>
      <c r="E192" s="180"/>
      <c r="F192" s="181"/>
      <c r="G192" s="182"/>
      <c r="H192" s="182"/>
      <c r="I192" s="183"/>
      <c r="J192" s="177"/>
      <c r="K192" s="184"/>
      <c r="L192" s="198"/>
      <c r="M192" s="199"/>
      <c r="O192" s="169"/>
      <c r="P192" s="169"/>
      <c r="Q192" s="169"/>
    </row>
    <row r="193" spans="1:36" s="170" customFormat="1" ht="20.100000000000001" customHeight="1" x14ac:dyDescent="0.25">
      <c r="A193" s="207"/>
      <c r="B193" s="177"/>
      <c r="C193" s="178"/>
      <c r="D193" s="178"/>
      <c r="E193" s="180"/>
      <c r="F193" s="181"/>
      <c r="G193" s="182"/>
      <c r="H193" s="182"/>
      <c r="I193" s="183"/>
      <c r="J193" s="177"/>
      <c r="K193" s="184"/>
      <c r="L193" s="198"/>
      <c r="M193" s="199"/>
      <c r="O193" s="169"/>
      <c r="P193" s="169"/>
      <c r="Q193" s="169"/>
    </row>
    <row r="194" spans="1:36" s="170" customFormat="1" ht="20.100000000000001" customHeight="1" x14ac:dyDescent="0.25">
      <c r="A194" s="207"/>
      <c r="B194" s="177"/>
      <c r="C194" s="178"/>
      <c r="D194" s="178"/>
      <c r="E194" s="180"/>
      <c r="F194" s="181"/>
      <c r="G194" s="182"/>
      <c r="H194" s="182"/>
      <c r="I194" s="183"/>
      <c r="J194" s="177"/>
      <c r="K194" s="184"/>
      <c r="L194" s="198"/>
      <c r="M194" s="199"/>
      <c r="O194" s="169"/>
      <c r="P194" s="169"/>
      <c r="Q194" s="169"/>
    </row>
    <row r="195" spans="1:36" s="170" customFormat="1" ht="20.100000000000001" customHeight="1" x14ac:dyDescent="0.25">
      <c r="A195" s="207"/>
      <c r="B195" s="177"/>
      <c r="C195" s="178"/>
      <c r="D195" s="178"/>
      <c r="E195" s="180"/>
      <c r="F195" s="181"/>
      <c r="G195" s="182"/>
      <c r="H195" s="182"/>
      <c r="I195" s="183"/>
      <c r="J195" s="177"/>
      <c r="K195" s="184"/>
      <c r="L195" s="198"/>
      <c r="M195" s="199"/>
      <c r="O195" s="169"/>
      <c r="P195" s="169"/>
      <c r="Q195" s="169"/>
    </row>
    <row r="196" spans="1:36" s="170" customFormat="1" ht="20.100000000000001" customHeight="1" x14ac:dyDescent="0.25">
      <c r="A196" s="207"/>
      <c r="B196" s="177"/>
      <c r="C196" s="178"/>
      <c r="D196" s="178"/>
      <c r="E196" s="180"/>
      <c r="F196" s="181"/>
      <c r="G196" s="182"/>
      <c r="H196" s="182"/>
      <c r="I196" s="183"/>
      <c r="J196" s="177"/>
      <c r="K196" s="184"/>
      <c r="L196" s="198"/>
      <c r="M196" s="199"/>
      <c r="O196" s="169"/>
      <c r="P196" s="169"/>
      <c r="Q196" s="169"/>
    </row>
    <row r="197" spans="1:36" s="170" customFormat="1" ht="20.100000000000001" customHeight="1" x14ac:dyDescent="0.25">
      <c r="A197" s="207"/>
      <c r="B197" s="177"/>
      <c r="C197" s="178"/>
      <c r="D197" s="178"/>
      <c r="E197" s="180"/>
      <c r="F197" s="181"/>
      <c r="G197" s="182"/>
      <c r="H197" s="182"/>
      <c r="I197" s="183"/>
      <c r="J197" s="177"/>
      <c r="K197" s="184"/>
      <c r="L197" s="198"/>
      <c r="M197" s="199"/>
      <c r="O197" s="169"/>
      <c r="P197" s="169"/>
      <c r="Q197" s="169"/>
    </row>
    <row r="198" spans="1:36" s="170" customFormat="1" ht="20.100000000000001" customHeight="1" x14ac:dyDescent="0.25">
      <c r="A198" s="207"/>
      <c r="B198" s="177"/>
      <c r="C198" s="178"/>
      <c r="D198" s="178"/>
      <c r="E198" s="180"/>
      <c r="F198" s="181"/>
      <c r="G198" s="182"/>
      <c r="H198" s="182"/>
      <c r="I198" s="183"/>
      <c r="J198" s="177"/>
      <c r="K198" s="184"/>
      <c r="L198" s="198"/>
      <c r="M198" s="199"/>
      <c r="O198" s="169"/>
      <c r="P198" s="169"/>
      <c r="Q198" s="169"/>
    </row>
    <row r="199" spans="1:36" s="170" customFormat="1" ht="20.100000000000001" customHeight="1" x14ac:dyDescent="0.25">
      <c r="A199" s="207"/>
      <c r="B199" s="177"/>
      <c r="C199" s="178"/>
      <c r="D199" s="178"/>
      <c r="E199" s="180"/>
      <c r="F199" s="181"/>
      <c r="G199" s="182"/>
      <c r="H199" s="182"/>
      <c r="I199" s="183"/>
      <c r="J199" s="177"/>
      <c r="K199" s="184"/>
      <c r="L199" s="198"/>
      <c r="M199" s="199"/>
      <c r="O199" s="169"/>
      <c r="P199" s="169"/>
      <c r="Q199" s="169"/>
    </row>
    <row r="200" spans="1:36" s="170" customFormat="1" ht="20.100000000000001" customHeight="1" x14ac:dyDescent="0.25">
      <c r="A200" s="207"/>
      <c r="B200" s="177"/>
      <c r="C200" s="178"/>
      <c r="D200" s="178"/>
      <c r="E200" s="180"/>
      <c r="F200" s="181"/>
      <c r="G200" s="182"/>
      <c r="H200" s="182"/>
      <c r="I200" s="183"/>
      <c r="J200" s="177"/>
      <c r="K200" s="184"/>
      <c r="L200" s="198"/>
      <c r="M200" s="199"/>
      <c r="O200" s="169"/>
      <c r="P200" s="169"/>
      <c r="Q200" s="169"/>
    </row>
    <row r="201" spans="1:36" s="170" customFormat="1" ht="20.100000000000001" customHeight="1" x14ac:dyDescent="0.25">
      <c r="A201" s="207"/>
      <c r="B201" s="177"/>
      <c r="C201" s="178"/>
      <c r="D201" s="178"/>
      <c r="E201" s="180"/>
      <c r="F201" s="181"/>
      <c r="G201" s="182"/>
      <c r="H201" s="182"/>
      <c r="I201" s="183"/>
      <c r="J201" s="177"/>
      <c r="K201" s="184"/>
      <c r="L201" s="198"/>
      <c r="M201" s="199"/>
      <c r="O201" s="169"/>
      <c r="P201" s="169"/>
      <c r="Q201" s="169"/>
    </row>
    <row r="202" spans="1:36" s="170" customFormat="1" ht="20.100000000000001" customHeight="1" x14ac:dyDescent="0.25">
      <c r="A202" s="207"/>
      <c r="B202" s="177"/>
      <c r="C202" s="178"/>
      <c r="D202" s="178"/>
      <c r="E202" s="180"/>
      <c r="F202" s="181"/>
      <c r="G202" s="182"/>
      <c r="H202" s="182"/>
      <c r="I202" s="183"/>
      <c r="J202" s="177"/>
      <c r="K202" s="184"/>
      <c r="L202" s="198"/>
      <c r="M202" s="199"/>
      <c r="O202" s="169"/>
      <c r="P202" s="169"/>
      <c r="Q202" s="169"/>
    </row>
    <row r="203" spans="1:36" s="170" customFormat="1" ht="20.100000000000001" customHeight="1" x14ac:dyDescent="0.25">
      <c r="A203" s="207"/>
      <c r="B203" s="177"/>
      <c r="C203" s="178"/>
      <c r="D203" s="178"/>
      <c r="E203" s="180"/>
      <c r="F203" s="181"/>
      <c r="G203" s="182"/>
      <c r="H203" s="182"/>
      <c r="I203" s="183"/>
      <c r="J203" s="177"/>
      <c r="K203" s="184"/>
      <c r="L203" s="198"/>
      <c r="M203" s="199"/>
      <c r="O203" s="169"/>
      <c r="P203" s="169"/>
      <c r="Q203" s="169"/>
    </row>
    <row r="204" spans="1:36" s="170" customFormat="1" ht="20.100000000000001" customHeight="1" x14ac:dyDescent="0.25">
      <c r="A204" s="207"/>
      <c r="B204" s="177"/>
      <c r="C204" s="178"/>
      <c r="D204" s="178"/>
      <c r="E204" s="180"/>
      <c r="F204" s="181"/>
      <c r="G204" s="182"/>
      <c r="H204" s="182"/>
      <c r="I204" s="183"/>
      <c r="J204" s="177"/>
      <c r="K204" s="184"/>
      <c r="L204" s="198"/>
      <c r="M204" s="199"/>
      <c r="O204" s="169"/>
      <c r="P204" s="169"/>
      <c r="Q204" s="169"/>
    </row>
    <row r="205" spans="1:36" s="171" customFormat="1" ht="20.100000000000001" customHeight="1" x14ac:dyDescent="0.25">
      <c r="A205" s="207"/>
      <c r="B205" s="177"/>
      <c r="C205" s="178"/>
      <c r="D205" s="178"/>
      <c r="E205" s="180"/>
      <c r="F205" s="181"/>
      <c r="G205" s="182"/>
      <c r="H205" s="182"/>
      <c r="I205" s="183"/>
      <c r="J205" s="177"/>
      <c r="K205" s="184"/>
      <c r="L205" s="198"/>
      <c r="M205" s="199"/>
      <c r="O205" s="170"/>
      <c r="P205" s="170"/>
      <c r="Q205" s="170"/>
    </row>
    <row r="206" spans="1:36" s="169" customFormat="1" ht="20.100000000000001" customHeight="1" x14ac:dyDescent="0.25">
      <c r="A206" s="207"/>
      <c r="B206" s="177"/>
      <c r="C206" s="178"/>
      <c r="D206" s="178"/>
      <c r="E206" s="180"/>
      <c r="F206" s="181"/>
      <c r="G206" s="182"/>
      <c r="H206" s="182"/>
      <c r="I206" s="183"/>
      <c r="J206" s="177"/>
      <c r="K206" s="184"/>
      <c r="L206" s="198"/>
      <c r="M206" s="199"/>
      <c r="O206" s="170"/>
      <c r="P206" s="170"/>
      <c r="Q206" s="170"/>
    </row>
    <row r="207" spans="1:36" s="169" customFormat="1" ht="20.100000000000001" customHeight="1" x14ac:dyDescent="0.25">
      <c r="A207" s="207"/>
      <c r="B207" s="177"/>
      <c r="C207" s="178"/>
      <c r="D207" s="178"/>
      <c r="E207" s="180"/>
      <c r="F207" s="181"/>
      <c r="G207" s="182"/>
      <c r="H207" s="182"/>
      <c r="I207" s="183"/>
      <c r="J207" s="177"/>
      <c r="K207" s="184"/>
      <c r="L207" s="198"/>
      <c r="M207" s="199"/>
      <c r="O207" s="170"/>
      <c r="P207" s="170"/>
      <c r="Q207" s="170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</row>
    <row r="208" spans="1:36" s="171" customFormat="1" ht="20.100000000000001" customHeight="1" x14ac:dyDescent="0.25">
      <c r="A208" s="207"/>
      <c r="B208" s="177"/>
      <c r="C208" s="178"/>
      <c r="D208" s="178"/>
      <c r="E208" s="180"/>
      <c r="F208" s="181"/>
      <c r="G208" s="182"/>
      <c r="H208" s="182"/>
      <c r="I208" s="183"/>
      <c r="J208" s="177"/>
      <c r="K208" s="184"/>
      <c r="L208" s="198"/>
      <c r="M208" s="199"/>
      <c r="N208" s="170"/>
      <c r="R208" s="170"/>
      <c r="S208" s="170"/>
      <c r="T208" s="170"/>
      <c r="U208" s="170"/>
      <c r="V208" s="170"/>
      <c r="W208" s="170"/>
      <c r="X208" s="170"/>
      <c r="Y208" s="170"/>
      <c r="Z208" s="170"/>
      <c r="AA208" s="170"/>
      <c r="AB208" s="170"/>
      <c r="AC208" s="170"/>
      <c r="AD208" s="170"/>
      <c r="AE208" s="170"/>
      <c r="AF208" s="170"/>
      <c r="AG208" s="170"/>
      <c r="AH208" s="170"/>
      <c r="AI208" s="170"/>
      <c r="AJ208" s="170"/>
    </row>
    <row r="209" spans="1:36" s="170" customFormat="1" ht="20.100000000000001" customHeight="1" x14ac:dyDescent="0.3">
      <c r="A209" s="207"/>
      <c r="B209" s="177"/>
      <c r="C209" s="178"/>
      <c r="D209" s="178"/>
      <c r="E209" s="180"/>
      <c r="F209" s="181"/>
      <c r="G209" s="182"/>
      <c r="H209" s="182"/>
      <c r="I209" s="183"/>
      <c r="J209" s="177"/>
      <c r="K209" s="184"/>
      <c r="L209" s="198"/>
      <c r="M209" s="199"/>
      <c r="O209" s="172"/>
      <c r="P209" s="172"/>
      <c r="Q209" s="172"/>
      <c r="W209" s="169"/>
      <c r="X209" s="169"/>
      <c r="Y209" s="169"/>
      <c r="Z209" s="169"/>
      <c r="AA209" s="169"/>
      <c r="AB209" s="169"/>
      <c r="AC209" s="169"/>
      <c r="AD209" s="169"/>
      <c r="AE209" s="169"/>
      <c r="AF209" s="169"/>
      <c r="AG209" s="169"/>
      <c r="AH209" s="169"/>
      <c r="AI209" s="169"/>
      <c r="AJ209" s="169"/>
    </row>
    <row r="210" spans="1:36" s="169" customFormat="1" ht="20.100000000000001" customHeight="1" x14ac:dyDescent="0.3">
      <c r="A210" s="207"/>
      <c r="B210" s="177"/>
      <c r="C210" s="178"/>
      <c r="D210" s="178"/>
      <c r="E210" s="180"/>
      <c r="F210" s="181"/>
      <c r="G210" s="182"/>
      <c r="H210" s="182"/>
      <c r="I210" s="183"/>
      <c r="J210" s="177"/>
      <c r="K210" s="184"/>
      <c r="L210" s="198"/>
      <c r="M210" s="199"/>
      <c r="N210" s="170"/>
      <c r="O210" s="172"/>
      <c r="P210" s="172"/>
      <c r="Q210" s="172"/>
      <c r="R210" s="170"/>
      <c r="S210" s="170"/>
      <c r="T210" s="170"/>
      <c r="U210" s="170"/>
      <c r="V210" s="170"/>
    </row>
    <row r="211" spans="1:36" s="169" customFormat="1" ht="20.100000000000001" customHeight="1" x14ac:dyDescent="0.3">
      <c r="A211" s="207"/>
      <c r="B211" s="177"/>
      <c r="C211" s="178"/>
      <c r="D211" s="178"/>
      <c r="E211" s="180"/>
      <c r="F211" s="181"/>
      <c r="G211" s="182"/>
      <c r="H211" s="182"/>
      <c r="I211" s="183"/>
      <c r="J211" s="177"/>
      <c r="K211" s="184"/>
      <c r="L211" s="198"/>
      <c r="M211" s="199"/>
      <c r="N211" s="170"/>
      <c r="O211" s="172"/>
      <c r="P211" s="172"/>
      <c r="Q211" s="173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170"/>
    </row>
    <row r="212" spans="1:36" s="169" customFormat="1" ht="20.100000000000001" customHeight="1" x14ac:dyDescent="0.3">
      <c r="A212" s="207"/>
      <c r="B212" s="177"/>
      <c r="C212" s="178"/>
      <c r="D212" s="178"/>
      <c r="E212" s="180"/>
      <c r="F212" s="181"/>
      <c r="G212" s="182"/>
      <c r="H212" s="182"/>
      <c r="I212" s="183"/>
      <c r="J212" s="177"/>
      <c r="K212" s="184"/>
      <c r="L212" s="198"/>
      <c r="M212" s="199"/>
      <c r="N212" s="171"/>
      <c r="O212" s="172"/>
      <c r="P212" s="172"/>
      <c r="Q212" s="172"/>
      <c r="R212" s="171"/>
      <c r="S212" s="171"/>
      <c r="T212" s="171"/>
      <c r="U212" s="171"/>
      <c r="V212" s="171"/>
      <c r="W212" s="170"/>
      <c r="X212" s="170"/>
      <c r="Y212" s="170"/>
      <c r="Z212" s="170"/>
      <c r="AA212" s="170"/>
      <c r="AB212" s="170"/>
      <c r="AC212" s="170"/>
      <c r="AD212" s="170"/>
      <c r="AE212" s="170"/>
      <c r="AF212" s="170"/>
      <c r="AG212" s="170"/>
      <c r="AH212" s="170"/>
      <c r="AI212" s="170"/>
      <c r="AJ212" s="170"/>
    </row>
    <row r="213" spans="1:36" s="169" customFormat="1" ht="20.100000000000001" customHeight="1" x14ac:dyDescent="0.25">
      <c r="A213" s="207"/>
      <c r="B213" s="177"/>
      <c r="C213" s="178"/>
      <c r="D213" s="178"/>
      <c r="E213" s="180"/>
      <c r="F213" s="181"/>
      <c r="G213" s="182"/>
      <c r="H213" s="182"/>
      <c r="I213" s="183"/>
      <c r="J213" s="177"/>
      <c r="K213" s="184"/>
      <c r="L213" s="198"/>
      <c r="M213" s="199"/>
      <c r="N213" s="170"/>
      <c r="O213" s="171"/>
      <c r="P213" s="171"/>
      <c r="Q213" s="171"/>
      <c r="R213" s="170"/>
      <c r="S213" s="170"/>
      <c r="T213" s="170"/>
      <c r="U213" s="170"/>
      <c r="V213" s="170"/>
      <c r="W213" s="170"/>
      <c r="X213" s="170"/>
      <c r="Y213" s="170"/>
      <c r="Z213" s="170"/>
      <c r="AA213" s="170"/>
      <c r="AB213" s="170"/>
      <c r="AC213" s="170"/>
      <c r="AD213" s="170"/>
      <c r="AE213" s="170"/>
      <c r="AF213" s="170"/>
      <c r="AG213" s="170"/>
      <c r="AH213" s="170"/>
      <c r="AI213" s="170"/>
      <c r="AJ213" s="170"/>
    </row>
    <row r="214" spans="1:36" s="169" customFormat="1" ht="20.100000000000001" customHeight="1" x14ac:dyDescent="0.25">
      <c r="A214" s="207"/>
      <c r="B214" s="177"/>
      <c r="C214" s="178"/>
      <c r="D214" s="178"/>
      <c r="E214" s="180"/>
      <c r="F214" s="181"/>
      <c r="G214" s="182"/>
      <c r="H214" s="182"/>
      <c r="I214" s="183"/>
      <c r="J214" s="177"/>
      <c r="K214" s="184"/>
      <c r="L214" s="198"/>
      <c r="M214" s="199"/>
      <c r="W214" s="170"/>
      <c r="X214" s="170"/>
      <c r="Y214" s="170"/>
      <c r="Z214" s="170"/>
      <c r="AA214" s="170"/>
      <c r="AB214" s="170"/>
      <c r="AC214" s="170"/>
      <c r="AD214" s="170"/>
      <c r="AE214" s="170"/>
      <c r="AF214" s="170"/>
      <c r="AG214" s="170"/>
      <c r="AH214" s="170"/>
      <c r="AI214" s="170"/>
      <c r="AJ214" s="170"/>
    </row>
    <row r="215" spans="1:36" s="169" customFormat="1" ht="20.100000000000001" customHeight="1" x14ac:dyDescent="0.25">
      <c r="A215" s="207"/>
      <c r="B215" s="177"/>
      <c r="C215" s="208"/>
      <c r="D215" s="208"/>
      <c r="E215" s="180"/>
      <c r="F215" s="181"/>
      <c r="G215" s="182"/>
      <c r="H215" s="182"/>
      <c r="I215" s="183"/>
      <c r="J215" s="177"/>
      <c r="K215" s="184"/>
      <c r="L215" s="198"/>
      <c r="M215" s="199"/>
      <c r="W215" s="170"/>
      <c r="X215" s="170"/>
      <c r="Y215" s="170"/>
      <c r="Z215" s="170"/>
      <c r="AA215" s="170"/>
      <c r="AB215" s="170"/>
      <c r="AC215" s="170"/>
      <c r="AD215" s="170"/>
      <c r="AE215" s="170"/>
      <c r="AF215" s="170"/>
      <c r="AG215" s="170"/>
      <c r="AH215" s="170"/>
      <c r="AI215" s="170"/>
      <c r="AJ215" s="170"/>
    </row>
    <row r="216" spans="1:36" s="169" customFormat="1" ht="20.100000000000001" customHeight="1" x14ac:dyDescent="0.3">
      <c r="A216" s="207"/>
      <c r="B216" s="177"/>
      <c r="C216" s="178"/>
      <c r="D216" s="178"/>
      <c r="E216" s="180"/>
      <c r="F216" s="181"/>
      <c r="G216" s="182"/>
      <c r="H216" s="182"/>
      <c r="I216" s="183"/>
      <c r="J216" s="177"/>
      <c r="K216" s="184"/>
      <c r="L216" s="198"/>
      <c r="M216" s="199"/>
      <c r="O216" s="172"/>
      <c r="P216" s="172"/>
      <c r="Q216" s="172"/>
      <c r="W216" s="170"/>
      <c r="X216" s="170"/>
      <c r="Y216" s="170"/>
      <c r="Z216" s="170"/>
      <c r="AA216" s="170"/>
      <c r="AB216" s="170"/>
      <c r="AC216" s="170"/>
      <c r="AD216" s="170"/>
      <c r="AE216" s="170"/>
      <c r="AF216" s="170"/>
      <c r="AG216" s="170"/>
      <c r="AH216" s="170"/>
      <c r="AI216" s="170"/>
      <c r="AJ216" s="170"/>
    </row>
    <row r="217" spans="1:36" s="169" customFormat="1" ht="20.100000000000001" customHeight="1" x14ac:dyDescent="0.3">
      <c r="A217" s="207"/>
      <c r="B217" s="177"/>
      <c r="C217" s="178"/>
      <c r="D217" s="208"/>
      <c r="E217" s="180"/>
      <c r="F217" s="181"/>
      <c r="G217" s="182"/>
      <c r="H217" s="182"/>
      <c r="I217" s="183"/>
      <c r="J217" s="177"/>
      <c r="K217" s="184"/>
      <c r="L217" s="198"/>
      <c r="M217" s="199"/>
      <c r="O217" s="175"/>
      <c r="P217" s="176"/>
      <c r="Q217" s="176"/>
    </row>
    <row r="218" spans="1:36" s="169" customFormat="1" ht="20.100000000000001" customHeight="1" x14ac:dyDescent="0.25">
      <c r="A218" s="207"/>
      <c r="B218" s="177"/>
      <c r="C218" s="178"/>
      <c r="D218" s="178"/>
      <c r="E218" s="180"/>
      <c r="F218" s="181"/>
      <c r="G218" s="182"/>
      <c r="H218" s="182"/>
      <c r="I218" s="183"/>
      <c r="J218" s="177"/>
      <c r="K218" s="184"/>
      <c r="L218" s="198"/>
      <c r="M218" s="199"/>
      <c r="O218" s="170"/>
      <c r="P218" s="170"/>
      <c r="Q218" s="170"/>
    </row>
    <row r="219" spans="1:36" s="169" customFormat="1" ht="20.100000000000001" customHeight="1" x14ac:dyDescent="0.25">
      <c r="A219" s="207"/>
      <c r="B219" s="209"/>
      <c r="C219" s="178"/>
      <c r="D219" s="178"/>
      <c r="E219" s="180"/>
      <c r="F219" s="181"/>
      <c r="G219" s="182"/>
      <c r="H219" s="182"/>
      <c r="I219" s="183"/>
      <c r="J219" s="177"/>
      <c r="K219" s="184"/>
      <c r="L219" s="198"/>
      <c r="M219" s="199"/>
      <c r="O219" s="171"/>
      <c r="P219" s="171"/>
      <c r="Q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</row>
    <row r="220" spans="1:36" s="169" customFormat="1" ht="20.100000000000001" customHeight="1" x14ac:dyDescent="0.25">
      <c r="A220" s="207"/>
      <c r="B220" s="177"/>
      <c r="C220" s="178"/>
      <c r="D220" s="178"/>
      <c r="E220" s="180"/>
      <c r="F220" s="181"/>
      <c r="G220" s="182"/>
      <c r="H220" s="182"/>
      <c r="I220" s="183"/>
      <c r="J220" s="177"/>
      <c r="K220" s="184"/>
      <c r="L220" s="198"/>
      <c r="M220" s="199"/>
      <c r="O220" s="170"/>
      <c r="P220" s="170"/>
      <c r="Q220" s="170"/>
      <c r="W220" s="170"/>
      <c r="X220" s="170"/>
      <c r="Y220" s="170"/>
      <c r="Z220" s="170"/>
      <c r="AA220" s="170"/>
      <c r="AB220" s="170"/>
      <c r="AC220" s="170"/>
      <c r="AD220" s="170"/>
      <c r="AE220" s="170"/>
      <c r="AF220" s="170"/>
      <c r="AG220" s="170"/>
      <c r="AH220" s="170"/>
      <c r="AI220" s="170"/>
      <c r="AJ220" s="170"/>
    </row>
    <row r="221" spans="1:36" s="169" customFormat="1" ht="20.100000000000001" customHeight="1" x14ac:dyDescent="0.3">
      <c r="A221" s="207"/>
      <c r="B221" s="177"/>
      <c r="C221" s="178"/>
      <c r="D221" s="178"/>
      <c r="E221" s="180"/>
      <c r="F221" s="181"/>
      <c r="G221" s="182"/>
      <c r="H221" s="182"/>
      <c r="I221" s="183"/>
      <c r="J221" s="177"/>
      <c r="K221" s="184"/>
      <c r="L221" s="198"/>
      <c r="M221" s="199"/>
      <c r="O221" s="172"/>
      <c r="P221" s="172"/>
      <c r="Q221" s="172"/>
    </row>
    <row r="222" spans="1:36" s="169" customFormat="1" ht="20.100000000000001" customHeight="1" x14ac:dyDescent="0.25">
      <c r="A222" s="207"/>
      <c r="B222" s="177"/>
      <c r="C222" s="178"/>
      <c r="D222" s="178"/>
      <c r="E222" s="180"/>
      <c r="F222" s="181"/>
      <c r="G222" s="182"/>
      <c r="H222" s="182"/>
      <c r="I222" s="183"/>
      <c r="J222" s="177"/>
      <c r="K222" s="184"/>
      <c r="L222" s="198"/>
      <c r="M222" s="199"/>
      <c r="N222" s="170"/>
      <c r="O222" s="170"/>
      <c r="P222" s="170"/>
      <c r="Q222" s="170"/>
      <c r="R222" s="170"/>
      <c r="S222" s="170"/>
      <c r="T222" s="170"/>
      <c r="U222" s="170"/>
      <c r="V222" s="170"/>
    </row>
    <row r="223" spans="1:36" s="169" customFormat="1" ht="20.100000000000001" customHeight="1" x14ac:dyDescent="0.25">
      <c r="A223" s="207"/>
      <c r="B223" s="177"/>
      <c r="C223" s="178"/>
      <c r="D223" s="178"/>
      <c r="E223" s="180"/>
      <c r="F223" s="181"/>
      <c r="G223" s="182"/>
      <c r="H223" s="182"/>
      <c r="I223" s="183"/>
      <c r="J223" s="177"/>
      <c r="K223" s="184"/>
      <c r="L223" s="198"/>
      <c r="M223" s="199"/>
      <c r="O223" s="171"/>
      <c r="P223" s="171"/>
      <c r="Q223" s="171"/>
    </row>
    <row r="224" spans="1:36" s="169" customFormat="1" ht="20.100000000000001" customHeight="1" x14ac:dyDescent="0.3">
      <c r="A224" s="207"/>
      <c r="B224" s="177"/>
      <c r="C224" s="178"/>
      <c r="D224" s="208"/>
      <c r="E224" s="191"/>
      <c r="F224" s="174"/>
      <c r="G224" s="174"/>
      <c r="H224" s="174"/>
      <c r="I224" s="174"/>
      <c r="J224" s="191"/>
      <c r="K224" s="210"/>
      <c r="L224" s="198"/>
      <c r="M224" s="200"/>
      <c r="N224" s="190"/>
      <c r="R224" s="190"/>
      <c r="S224" s="190"/>
      <c r="T224" s="190"/>
      <c r="U224" s="190"/>
      <c r="V224" s="190"/>
    </row>
    <row r="225" spans="1:36" s="169" customFormat="1" ht="20.100000000000001" customHeight="1" x14ac:dyDescent="0.3">
      <c r="A225" s="207"/>
      <c r="B225" s="177"/>
      <c r="C225" s="178"/>
      <c r="D225" s="178"/>
      <c r="E225" s="191"/>
      <c r="F225" s="174"/>
      <c r="G225" s="174"/>
      <c r="H225" s="174"/>
      <c r="I225" s="174"/>
      <c r="J225" s="191"/>
      <c r="K225" s="192"/>
      <c r="L225" s="198"/>
      <c r="M225" s="200"/>
      <c r="N225" s="172"/>
      <c r="O225" s="170"/>
      <c r="P225" s="170"/>
      <c r="Q225" s="170"/>
      <c r="R225" s="172"/>
      <c r="S225" s="172"/>
      <c r="T225" s="172"/>
      <c r="U225" s="172"/>
      <c r="V225" s="172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170"/>
    </row>
    <row r="226" spans="1:36" s="169" customFormat="1" ht="20.100000000000001" customHeight="1" x14ac:dyDescent="0.3">
      <c r="A226" s="207"/>
      <c r="B226" s="177"/>
      <c r="C226" s="178"/>
      <c r="D226" s="208"/>
      <c r="E226" s="191"/>
      <c r="F226" s="174"/>
      <c r="G226" s="174"/>
      <c r="H226" s="174"/>
      <c r="I226" s="174"/>
      <c r="J226" s="191"/>
      <c r="K226" s="192"/>
      <c r="L226" s="198"/>
      <c r="M226" s="200"/>
      <c r="N226" s="172"/>
      <c r="R226" s="172"/>
      <c r="S226" s="172"/>
      <c r="T226" s="172"/>
      <c r="U226" s="172"/>
      <c r="V226" s="172"/>
    </row>
    <row r="227" spans="1:36" s="169" customFormat="1" ht="20.100000000000001" customHeight="1" x14ac:dyDescent="0.3">
      <c r="A227" s="207"/>
      <c r="B227" s="177"/>
      <c r="C227" s="178"/>
      <c r="D227" s="208"/>
      <c r="E227" s="191"/>
      <c r="F227" s="174"/>
      <c r="G227" s="174"/>
      <c r="H227" s="174"/>
      <c r="I227" s="174"/>
      <c r="J227" s="191"/>
      <c r="K227" s="192"/>
      <c r="L227" s="198"/>
      <c r="M227" s="200"/>
      <c r="N227" s="172"/>
      <c r="R227" s="172"/>
      <c r="S227" s="172"/>
      <c r="T227" s="172"/>
      <c r="U227" s="172"/>
      <c r="V227" s="172"/>
    </row>
    <row r="228" spans="1:36" s="169" customFormat="1" ht="20.100000000000001" customHeight="1" x14ac:dyDescent="0.3">
      <c r="A228" s="207"/>
      <c r="B228" s="177"/>
      <c r="C228" s="178"/>
      <c r="D228" s="208"/>
      <c r="E228" s="191"/>
      <c r="F228" s="174"/>
      <c r="G228" s="174"/>
      <c r="H228" s="174"/>
      <c r="I228" s="174"/>
      <c r="J228" s="191"/>
      <c r="K228" s="192"/>
      <c r="L228" s="198"/>
      <c r="M228" s="200"/>
      <c r="N228" s="172"/>
      <c r="R228" s="172"/>
      <c r="S228" s="172"/>
      <c r="T228" s="172"/>
      <c r="U228" s="172"/>
      <c r="V228" s="172"/>
    </row>
    <row r="229" spans="1:36" s="169" customFormat="1" ht="20.100000000000001" customHeight="1" x14ac:dyDescent="0.25">
      <c r="A229" s="211"/>
      <c r="B229" s="211"/>
      <c r="C229" s="211"/>
      <c r="D229" s="211"/>
      <c r="E229" s="211"/>
      <c r="F229" s="211"/>
      <c r="G229" s="211"/>
      <c r="H229" s="193"/>
      <c r="I229" s="211"/>
      <c r="J229" s="211"/>
      <c r="K229" s="212"/>
      <c r="L229" s="201"/>
      <c r="M229" s="202"/>
      <c r="N229"/>
      <c r="O229"/>
      <c r="P229"/>
      <c r="Q229"/>
      <c r="R229"/>
      <c r="S229"/>
      <c r="T229"/>
      <c r="U229"/>
      <c r="V229"/>
    </row>
    <row r="230" spans="1:36" s="169" customFormat="1" ht="20.100000000000001" customHeight="1" x14ac:dyDescent="0.25">
      <c r="A230" s="56"/>
      <c r="B230" s="56"/>
      <c r="C230" s="56"/>
      <c r="D230" s="56"/>
      <c r="E230" s="56"/>
      <c r="F230" s="56"/>
      <c r="G230" s="56"/>
      <c r="H230" s="56"/>
      <c r="I230" s="56"/>
      <c r="J230" s="56"/>
      <c r="K230" s="213"/>
      <c r="L230" s="201"/>
      <c r="M230" s="202"/>
      <c r="N230"/>
      <c r="O230"/>
      <c r="P230"/>
      <c r="Q230"/>
      <c r="R230"/>
      <c r="S230"/>
      <c r="T230"/>
      <c r="U230"/>
      <c r="V230"/>
    </row>
    <row r="231" spans="1:36" s="169" customFormat="1" ht="20.100000000000001" customHeight="1" x14ac:dyDescent="0.25">
      <c r="A231" s="56"/>
      <c r="B231" s="56"/>
      <c r="C231" s="56"/>
      <c r="D231" s="56"/>
      <c r="E231" s="56"/>
      <c r="F231" s="56"/>
      <c r="G231" s="56"/>
      <c r="H231" s="56"/>
      <c r="I231" s="56"/>
      <c r="J231" s="56"/>
      <c r="K231" s="56"/>
      <c r="L231" s="201"/>
      <c r="M231" s="202"/>
      <c r="N231"/>
      <c r="O231"/>
      <c r="P231"/>
      <c r="Q231"/>
      <c r="R231"/>
      <c r="S231"/>
      <c r="T231"/>
      <c r="U231"/>
      <c r="V231"/>
    </row>
    <row r="232" spans="1:36" s="169" customFormat="1" ht="20.100000000000001" customHeight="1" x14ac:dyDescent="0.25">
      <c r="A232" s="56"/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201"/>
      <c r="M232" s="202"/>
      <c r="N232"/>
      <c r="O232"/>
      <c r="P232"/>
      <c r="Q232"/>
      <c r="R232"/>
      <c r="S232"/>
      <c r="T232"/>
      <c r="U232"/>
      <c r="V232"/>
    </row>
    <row r="233" spans="1:36" s="169" customFormat="1" ht="20.100000000000001" customHeight="1" x14ac:dyDescent="0.25">
      <c r="A233" s="56"/>
      <c r="B233" s="56"/>
      <c r="C233" s="56"/>
      <c r="D233" s="56"/>
      <c r="E233" s="56"/>
      <c r="F233" s="56"/>
      <c r="G233" s="56"/>
      <c r="H233" s="56"/>
      <c r="I233" s="56"/>
      <c r="J233" s="56"/>
      <c r="K233" s="56"/>
      <c r="L233" s="201"/>
      <c r="M233" s="202"/>
      <c r="N233"/>
      <c r="O233"/>
      <c r="P233"/>
      <c r="Q233"/>
      <c r="R233"/>
      <c r="S233"/>
      <c r="T233"/>
      <c r="U233"/>
      <c r="V233"/>
      <c r="W233" s="170"/>
      <c r="X233" s="170"/>
      <c r="Y233" s="170"/>
      <c r="Z233" s="170"/>
      <c r="AA233" s="170"/>
      <c r="AB233" s="170"/>
      <c r="AC233" s="170"/>
      <c r="AD233" s="170"/>
      <c r="AE233" s="170"/>
      <c r="AF233" s="170"/>
      <c r="AG233" s="170"/>
      <c r="AH233" s="170"/>
      <c r="AI233" s="170"/>
      <c r="AJ233" s="170"/>
    </row>
    <row r="234" spans="1:36" s="169" customFormat="1" ht="20.100000000000001" customHeight="1" x14ac:dyDescent="0.25">
      <c r="A234" s="56"/>
      <c r="B234" s="56"/>
      <c r="C234" s="56"/>
      <c r="D234" s="56"/>
      <c r="E234" s="56"/>
      <c r="F234" s="56"/>
      <c r="G234" s="56"/>
      <c r="H234" s="56"/>
      <c r="I234" s="56"/>
      <c r="J234" s="56"/>
      <c r="K234" s="56"/>
      <c r="L234" s="201"/>
      <c r="M234" s="202"/>
      <c r="N234"/>
      <c r="O234"/>
      <c r="P234"/>
      <c r="Q234"/>
      <c r="R234"/>
      <c r="S234"/>
      <c r="T234"/>
      <c r="U234"/>
      <c r="V234"/>
    </row>
    <row r="235" spans="1:36" s="169" customFormat="1" ht="20.100000000000001" customHeight="1" x14ac:dyDescent="0.25">
      <c r="A235" s="56"/>
      <c r="B235" s="56"/>
      <c r="C235" s="56"/>
      <c r="D235" s="56"/>
      <c r="E235" s="56"/>
      <c r="F235" s="56"/>
      <c r="G235" s="56"/>
      <c r="H235" s="56"/>
      <c r="I235" s="56"/>
      <c r="J235" s="56"/>
      <c r="K235" s="56"/>
      <c r="L235" s="201"/>
      <c r="M235" s="202"/>
      <c r="N235"/>
      <c r="O235"/>
      <c r="P235"/>
      <c r="Q235"/>
      <c r="R235"/>
      <c r="S235"/>
      <c r="T235"/>
      <c r="U235"/>
      <c r="V235"/>
    </row>
    <row r="236" spans="1:36" s="169" customFormat="1" ht="20.100000000000001" customHeight="1" x14ac:dyDescent="0.25">
      <c r="A236" s="56"/>
      <c r="B236" s="56"/>
      <c r="C236" s="56"/>
      <c r="D236" s="56"/>
      <c r="E236" s="56"/>
      <c r="F236" s="56"/>
      <c r="G236" s="56"/>
      <c r="H236" s="56"/>
      <c r="I236" s="56"/>
      <c r="J236" s="56"/>
      <c r="K236" s="56"/>
      <c r="L236" s="201"/>
      <c r="M236" s="202"/>
      <c r="N236"/>
      <c r="O236"/>
      <c r="P236"/>
      <c r="Q236"/>
      <c r="R236"/>
      <c r="S236"/>
      <c r="T236"/>
      <c r="U236"/>
      <c r="V236"/>
    </row>
    <row r="237" spans="1:36" s="169" customFormat="1" ht="20.100000000000001" customHeight="1" x14ac:dyDescent="0.25">
      <c r="A237" s="56"/>
      <c r="B237" s="56"/>
      <c r="C237" s="56"/>
      <c r="D237" s="56"/>
      <c r="E237" s="56"/>
      <c r="F237" s="56"/>
      <c r="G237" s="56"/>
      <c r="H237" s="56"/>
      <c r="I237" s="56"/>
      <c r="J237" s="56"/>
      <c r="K237" s="56"/>
      <c r="L237" s="201"/>
      <c r="M237" s="202"/>
      <c r="N237"/>
      <c r="O237"/>
      <c r="P237"/>
      <c r="Q237"/>
      <c r="R237"/>
      <c r="S237"/>
      <c r="T237"/>
      <c r="U237"/>
      <c r="V237"/>
    </row>
    <row r="238" spans="1:36" s="169" customFormat="1" ht="20.100000000000001" customHeight="1" x14ac:dyDescent="0.25">
      <c r="A238" s="56"/>
      <c r="B238" s="56"/>
      <c r="C238" s="56"/>
      <c r="D238" s="56"/>
      <c r="E238" s="56"/>
      <c r="F238" s="56"/>
      <c r="G238" s="56"/>
      <c r="H238" s="56"/>
      <c r="I238" s="56"/>
      <c r="J238" s="56"/>
      <c r="K238" s="56"/>
      <c r="L238" s="201"/>
      <c r="M238" s="202"/>
      <c r="N238"/>
      <c r="O238"/>
      <c r="P238"/>
      <c r="Q238"/>
      <c r="R238"/>
      <c r="S238"/>
      <c r="T238"/>
      <c r="U238"/>
      <c r="V238"/>
    </row>
    <row r="239" spans="1:36" s="169" customFormat="1" ht="20.100000000000001" customHeight="1" x14ac:dyDescent="0.25">
      <c r="A239" s="56"/>
      <c r="B239" s="56"/>
      <c r="C239" s="56"/>
      <c r="D239" s="56"/>
      <c r="E239" s="56"/>
      <c r="F239" s="56"/>
      <c r="G239" s="56"/>
      <c r="H239" s="56"/>
      <c r="I239" s="56"/>
      <c r="J239" s="56"/>
      <c r="K239" s="56"/>
      <c r="L239" s="201"/>
      <c r="M239" s="202"/>
      <c r="N239"/>
      <c r="O239"/>
      <c r="P239"/>
      <c r="Q239"/>
      <c r="R239"/>
      <c r="S239"/>
      <c r="T239"/>
      <c r="U239"/>
      <c r="V239"/>
    </row>
    <row r="240" spans="1:36" s="169" customFormat="1" ht="20.100000000000001" customHeight="1" x14ac:dyDescent="0.25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201"/>
      <c r="M240" s="202"/>
      <c r="N240"/>
      <c r="O240"/>
      <c r="P240"/>
      <c r="Q240"/>
      <c r="R240"/>
      <c r="S240"/>
      <c r="T240"/>
      <c r="U240"/>
      <c r="V240"/>
      <c r="W240" s="170"/>
      <c r="X240" s="170"/>
      <c r="Y240" s="170"/>
      <c r="Z240" s="170"/>
      <c r="AA240" s="170"/>
      <c r="AB240" s="170"/>
      <c r="AC240" s="170"/>
      <c r="AD240" s="170"/>
      <c r="AE240" s="170"/>
      <c r="AF240" s="170"/>
      <c r="AG240" s="170"/>
      <c r="AH240" s="170"/>
      <c r="AI240" s="170"/>
      <c r="AJ240" s="170"/>
    </row>
    <row r="241" spans="1:36" s="169" customFormat="1" ht="20.100000000000001" customHeight="1" x14ac:dyDescent="0.25">
      <c r="A241" s="56"/>
      <c r="B241" s="56"/>
      <c r="C241" s="56"/>
      <c r="D241" s="56"/>
      <c r="E241" s="56"/>
      <c r="F241" s="56"/>
      <c r="G241" s="56"/>
      <c r="H241" s="56"/>
      <c r="I241" s="56"/>
      <c r="J241" s="56"/>
      <c r="K241" s="56"/>
      <c r="L241" s="201"/>
      <c r="M241" s="202"/>
      <c r="N241"/>
      <c r="O241"/>
      <c r="P241"/>
      <c r="Q241"/>
      <c r="R241"/>
      <c r="S241"/>
      <c r="T241"/>
      <c r="U241"/>
      <c r="V241"/>
      <c r="W241" s="170"/>
      <c r="X241" s="170"/>
      <c r="Y241" s="170"/>
      <c r="Z241" s="170"/>
      <c r="AA241" s="170"/>
      <c r="AB241" s="170"/>
      <c r="AC241" s="170"/>
      <c r="AD241" s="170"/>
      <c r="AE241" s="170"/>
      <c r="AF241" s="170"/>
      <c r="AG241" s="170"/>
      <c r="AH241" s="170"/>
      <c r="AI241" s="170"/>
      <c r="AJ241" s="170"/>
    </row>
    <row r="242" spans="1:36" s="169" customFormat="1" ht="20.100000000000001" customHeight="1" x14ac:dyDescent="0.25">
      <c r="A242" s="56"/>
      <c r="B242" s="56"/>
      <c r="C242" s="56"/>
      <c r="D242" s="56"/>
      <c r="E242" s="56"/>
      <c r="F242" s="56"/>
      <c r="G242" s="56"/>
      <c r="H242" s="56"/>
      <c r="I242" s="56"/>
      <c r="J242" s="56"/>
      <c r="K242" s="56"/>
      <c r="L242" s="201"/>
      <c r="M242" s="202"/>
      <c r="N242"/>
      <c r="O242"/>
      <c r="P242"/>
      <c r="Q242"/>
      <c r="R242"/>
      <c r="S242"/>
      <c r="T242"/>
      <c r="U242"/>
      <c r="V242"/>
    </row>
    <row r="243" spans="1:36" s="176" customFormat="1" ht="20.100000000000001" customHeight="1" x14ac:dyDescent="0.3">
      <c r="A243" s="56"/>
      <c r="B243" s="56"/>
      <c r="C243" s="56"/>
      <c r="D243" s="56"/>
      <c r="E243" s="56"/>
      <c r="F243" s="56"/>
      <c r="G243" s="56"/>
      <c r="H243" s="56"/>
      <c r="I243" s="56"/>
      <c r="J243" s="56"/>
      <c r="K243" s="56"/>
      <c r="L243" s="201"/>
      <c r="M243" s="202"/>
      <c r="N243"/>
      <c r="O243"/>
      <c r="P243"/>
      <c r="Q243"/>
      <c r="R243"/>
      <c r="S243"/>
      <c r="T243"/>
      <c r="U243"/>
      <c r="V243"/>
      <c r="W243" s="190"/>
      <c r="X243" s="190"/>
      <c r="Y243" s="190"/>
      <c r="Z243" s="190"/>
      <c r="AA243" s="190"/>
      <c r="AB243" s="190"/>
      <c r="AC243" s="190"/>
      <c r="AD243" s="190"/>
      <c r="AE243" s="190"/>
      <c r="AF243" s="190"/>
      <c r="AG243" s="190"/>
      <c r="AH243" s="190"/>
      <c r="AI243" s="190"/>
      <c r="AJ243" s="190"/>
    </row>
    <row r="244" spans="1:36" s="172" customFormat="1" ht="20.100000000000001" customHeight="1" x14ac:dyDescent="0.3">
      <c r="A244" s="56"/>
      <c r="B244" s="56"/>
      <c r="C244" s="56"/>
      <c r="D244" s="56"/>
      <c r="E244" s="56"/>
      <c r="F244" s="56"/>
      <c r="G244" s="56"/>
      <c r="H244" s="56"/>
      <c r="I244" s="56"/>
      <c r="J244" s="56"/>
      <c r="K244" s="56"/>
      <c r="L244" s="201"/>
      <c r="M244" s="202"/>
      <c r="N244"/>
      <c r="O244"/>
      <c r="P244"/>
      <c r="Q244"/>
      <c r="R244"/>
      <c r="S244"/>
      <c r="T244"/>
      <c r="U244"/>
      <c r="V244"/>
    </row>
    <row r="245" spans="1:36" s="172" customFormat="1" ht="20.100000000000001" customHeight="1" x14ac:dyDescent="0.3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201"/>
      <c r="M245" s="202"/>
      <c r="N245"/>
      <c r="O245"/>
      <c r="P245"/>
      <c r="Q245"/>
      <c r="R245"/>
      <c r="S245"/>
      <c r="T245"/>
      <c r="U245"/>
      <c r="V245"/>
    </row>
    <row r="246" spans="1:36" s="172" customFormat="1" ht="20.100000000000001" customHeight="1" x14ac:dyDescent="0.3">
      <c r="A246" s="56"/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201"/>
      <c r="M246" s="202"/>
      <c r="N246"/>
      <c r="O246"/>
      <c r="P246"/>
      <c r="Q246"/>
      <c r="R246"/>
      <c r="S246"/>
      <c r="T246"/>
      <c r="U246"/>
      <c r="V246"/>
    </row>
    <row r="247" spans="1:36" s="172" customFormat="1" ht="20.100000000000001" customHeight="1" x14ac:dyDescent="0.3">
      <c r="A247" s="56"/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201"/>
      <c r="M247" s="202"/>
      <c r="N247"/>
      <c r="O247"/>
      <c r="P247"/>
      <c r="Q247"/>
      <c r="R247"/>
      <c r="S247"/>
      <c r="T247"/>
      <c r="U247"/>
      <c r="V247"/>
    </row>
    <row r="248" spans="1:36" s="172" customFormat="1" ht="20.100000000000001" customHeight="1" x14ac:dyDescent="0.3">
      <c r="A248" s="56"/>
      <c r="B248" s="56"/>
      <c r="C248" s="56"/>
      <c r="D248" s="56"/>
      <c r="E248" s="56"/>
      <c r="F248" s="56"/>
      <c r="G248" s="56"/>
      <c r="H248" s="56"/>
      <c r="I248" s="56"/>
      <c r="J248" s="56"/>
      <c r="K248" s="56"/>
      <c r="L248" s="201"/>
      <c r="M248" s="202"/>
      <c r="N248"/>
      <c r="O248"/>
      <c r="P248"/>
      <c r="Q248"/>
      <c r="R248"/>
      <c r="S248"/>
      <c r="T248"/>
      <c r="U248"/>
      <c r="V248"/>
    </row>
    <row r="249" spans="1:36" s="172" customFormat="1" ht="20.100000000000001" customHeight="1" x14ac:dyDescent="0.3">
      <c r="A249" s="56"/>
      <c r="B249" s="56"/>
      <c r="C249" s="56"/>
      <c r="D249" s="56"/>
      <c r="E249" s="56"/>
      <c r="F249" s="56"/>
      <c r="G249" s="56"/>
      <c r="H249" s="56"/>
      <c r="I249" s="56"/>
      <c r="J249" s="56"/>
      <c r="K249" s="56"/>
      <c r="L249" s="201"/>
      <c r="M249" s="202"/>
      <c r="N249"/>
      <c r="O249"/>
      <c r="P249"/>
      <c r="Q249"/>
      <c r="R249"/>
      <c r="S249"/>
      <c r="T249"/>
      <c r="U249"/>
      <c r="V249"/>
    </row>
    <row r="250" spans="1:36" s="172" customFormat="1" ht="20.100000000000001" customHeight="1" x14ac:dyDescent="0.3">
      <c r="J250" s="179"/>
      <c r="L250" s="203"/>
      <c r="M250" s="200"/>
    </row>
    <row r="251" spans="1:36" s="172" customFormat="1" ht="20.100000000000001" customHeight="1" x14ac:dyDescent="0.3">
      <c r="J251" s="179"/>
      <c r="L251" s="203"/>
      <c r="M251" s="200"/>
    </row>
    <row r="252" spans="1:36" s="172" customFormat="1" ht="20.100000000000001" customHeight="1" x14ac:dyDescent="0.3">
      <c r="J252" s="179"/>
      <c r="L252" s="203"/>
      <c r="M252" s="200"/>
    </row>
    <row r="253" spans="1:36" s="172" customFormat="1" ht="20.100000000000001" customHeight="1" x14ac:dyDescent="0.3">
      <c r="J253" s="179"/>
      <c r="L253" s="203"/>
      <c r="M253" s="200"/>
    </row>
  </sheetData>
  <mergeCells count="1">
    <mergeCell ref="C1:E1"/>
  </mergeCells>
  <pageMargins left="0.7" right="0.7" top="0.75" bottom="0.75" header="0.3" footer="0.3"/>
  <pageSetup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A200"/>
  </sheetPr>
  <dimension ref="A1:O33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24" sqref="L24"/>
    </sheetView>
  </sheetViews>
  <sheetFormatPr defaultColWidth="11.42578125" defaultRowHeight="14.25" x14ac:dyDescent="0.25"/>
  <cols>
    <col min="1" max="1" width="9.7109375" style="130" bestFit="1" customWidth="1"/>
    <col min="2" max="2" width="32.7109375" style="57" customWidth="1"/>
    <col min="3" max="3" width="9.5703125" style="78" customWidth="1"/>
    <col min="4" max="4" width="7.5703125" style="57" customWidth="1"/>
    <col min="5" max="5" width="8.85546875" style="57" customWidth="1"/>
    <col min="6" max="6" width="10" style="57" customWidth="1"/>
    <col min="7" max="7" width="9.7109375" style="57" customWidth="1"/>
    <col min="8" max="8" width="13.85546875" style="57" customWidth="1"/>
    <col min="9" max="9" width="6.5703125" style="57" customWidth="1"/>
    <col min="10" max="10" width="12" style="79" bestFit="1" customWidth="1"/>
    <col min="11" max="11" width="12.5703125" style="78" bestFit="1" customWidth="1"/>
    <col min="12" max="12" width="15.140625" style="78" bestFit="1" customWidth="1"/>
    <col min="13" max="13" width="9.7109375" style="78" bestFit="1" customWidth="1"/>
    <col min="14" max="14" width="4.85546875" style="57" customWidth="1"/>
    <col min="15" max="16384" width="11.42578125" style="57"/>
  </cols>
  <sheetData>
    <row r="1" spans="1:15" s="139" customFormat="1" ht="36" x14ac:dyDescent="0.25">
      <c r="A1" s="137" t="s">
        <v>116</v>
      </c>
      <c r="B1" s="138" t="s">
        <v>117</v>
      </c>
      <c r="C1" s="138" t="s">
        <v>118</v>
      </c>
      <c r="D1" s="138" t="s">
        <v>119</v>
      </c>
      <c r="E1" s="138" t="s">
        <v>120</v>
      </c>
      <c r="F1" s="138" t="s">
        <v>121</v>
      </c>
      <c r="G1" s="138" t="s">
        <v>135</v>
      </c>
      <c r="H1" s="138" t="s">
        <v>122</v>
      </c>
      <c r="J1" s="140" t="s">
        <v>116</v>
      </c>
      <c r="K1" s="141" t="s">
        <v>123</v>
      </c>
      <c r="L1" s="140" t="s">
        <v>124</v>
      </c>
      <c r="M1" s="140" t="s">
        <v>135</v>
      </c>
      <c r="N1" s="126"/>
    </row>
    <row r="2" spans="1:15" s="236" customFormat="1" ht="12.95" customHeight="1" x14ac:dyDescent="0.25">
      <c r="A2" s="233">
        <v>46083</v>
      </c>
      <c r="B2" s="234" t="s">
        <v>475</v>
      </c>
      <c r="C2" s="235">
        <v>2</v>
      </c>
      <c r="D2" s="234">
        <v>14.27</v>
      </c>
      <c r="E2" s="234">
        <v>14.31</v>
      </c>
      <c r="F2" s="234">
        <v>2</v>
      </c>
      <c r="G2" s="234">
        <v>1</v>
      </c>
      <c r="H2" s="234"/>
      <c r="J2" s="233">
        <v>46083</v>
      </c>
      <c r="K2" s="237" t="s">
        <v>125</v>
      </c>
      <c r="L2" s="238">
        <v>15.31</v>
      </c>
      <c r="M2" s="238">
        <v>3</v>
      </c>
      <c r="N2" s="170"/>
    </row>
    <row r="3" spans="1:15" s="236" customFormat="1" ht="12.95" customHeight="1" x14ac:dyDescent="0.25">
      <c r="A3" s="233">
        <v>46084</v>
      </c>
      <c r="B3" s="234" t="s">
        <v>479</v>
      </c>
      <c r="C3" s="235">
        <v>1</v>
      </c>
      <c r="D3" s="234">
        <v>13.02</v>
      </c>
      <c r="E3" s="234">
        <v>13.04</v>
      </c>
      <c r="F3" s="234">
        <v>2</v>
      </c>
      <c r="G3" s="234">
        <v>1</v>
      </c>
      <c r="H3" s="234"/>
      <c r="J3" s="233">
        <v>46084</v>
      </c>
      <c r="K3" s="237" t="s">
        <v>125</v>
      </c>
      <c r="L3" s="238">
        <v>15.55</v>
      </c>
      <c r="M3" s="238">
        <v>3</v>
      </c>
      <c r="N3" s="240"/>
    </row>
    <row r="4" spans="1:15" s="236" customFormat="1" ht="12.95" customHeight="1" x14ac:dyDescent="0.3">
      <c r="A4" s="233">
        <v>46084</v>
      </c>
      <c r="B4" s="136" t="s">
        <v>386</v>
      </c>
      <c r="C4" s="238">
        <v>2</v>
      </c>
      <c r="D4" s="243">
        <v>8.27</v>
      </c>
      <c r="E4" s="239">
        <v>8.33</v>
      </c>
      <c r="F4" s="234">
        <v>3</v>
      </c>
      <c r="G4" s="234">
        <v>1</v>
      </c>
      <c r="H4" s="239"/>
      <c r="I4" s="242"/>
      <c r="J4" s="233">
        <v>46085</v>
      </c>
      <c r="K4" s="237" t="s">
        <v>125</v>
      </c>
      <c r="L4" s="238">
        <v>15.25</v>
      </c>
      <c r="M4" s="241">
        <v>2</v>
      </c>
      <c r="N4" s="240"/>
    </row>
    <row r="5" spans="1:15" s="236" customFormat="1" ht="12.95" customHeight="1" x14ac:dyDescent="0.25">
      <c r="A5" s="233">
        <v>46085</v>
      </c>
      <c r="B5" s="234" t="s">
        <v>484</v>
      </c>
      <c r="C5" s="235">
        <v>1</v>
      </c>
      <c r="D5" s="234">
        <v>16.02</v>
      </c>
      <c r="E5" s="234">
        <v>7.53</v>
      </c>
      <c r="F5" s="234">
        <v>3</v>
      </c>
      <c r="G5" s="234">
        <v>1</v>
      </c>
      <c r="H5" s="234"/>
      <c r="J5" s="233">
        <v>46086</v>
      </c>
      <c r="K5" s="237" t="s">
        <v>125</v>
      </c>
      <c r="L5" s="238">
        <v>15.34</v>
      </c>
      <c r="M5" s="238">
        <v>3</v>
      </c>
      <c r="N5" s="240"/>
    </row>
    <row r="6" spans="1:15" s="236" customFormat="1" ht="12.95" customHeight="1" x14ac:dyDescent="0.25">
      <c r="A6" s="233">
        <v>46086</v>
      </c>
      <c r="B6" s="234" t="s">
        <v>231</v>
      </c>
      <c r="C6" s="235">
        <v>3</v>
      </c>
      <c r="D6" s="234">
        <v>9.2100000000000009</v>
      </c>
      <c r="E6" s="234">
        <v>9.27</v>
      </c>
      <c r="F6" s="234">
        <v>3</v>
      </c>
      <c r="G6" s="234">
        <v>1</v>
      </c>
      <c r="H6" s="239"/>
      <c r="J6" s="233">
        <v>46087</v>
      </c>
      <c r="K6" s="237" t="s">
        <v>125</v>
      </c>
      <c r="L6" s="241">
        <v>15.03</v>
      </c>
      <c r="M6" s="241">
        <v>2</v>
      </c>
      <c r="N6" s="240"/>
    </row>
    <row r="7" spans="1:15" s="236" customFormat="1" ht="12.95" customHeight="1" x14ac:dyDescent="0.25">
      <c r="A7" s="233">
        <v>46087</v>
      </c>
      <c r="B7" s="234" t="s">
        <v>521</v>
      </c>
      <c r="C7" s="235">
        <v>2</v>
      </c>
      <c r="D7" s="234">
        <v>13.3</v>
      </c>
      <c r="E7" s="234">
        <v>13.34</v>
      </c>
      <c r="F7" s="234">
        <v>2</v>
      </c>
      <c r="G7" s="234">
        <v>1</v>
      </c>
      <c r="H7" s="234"/>
      <c r="I7" s="242"/>
      <c r="J7" s="233">
        <v>46088</v>
      </c>
      <c r="K7" s="237" t="s">
        <v>125</v>
      </c>
      <c r="L7" s="241">
        <v>14.59</v>
      </c>
      <c r="M7" s="238">
        <v>1</v>
      </c>
      <c r="N7" s="240"/>
    </row>
    <row r="8" spans="1:15" s="236" customFormat="1" ht="12.95" customHeight="1" x14ac:dyDescent="0.25">
      <c r="A8" s="233">
        <v>46087</v>
      </c>
      <c r="B8" s="234" t="s">
        <v>485</v>
      </c>
      <c r="C8" s="235">
        <v>1</v>
      </c>
      <c r="D8" s="234">
        <v>8.09</v>
      </c>
      <c r="E8" s="234">
        <v>8.11</v>
      </c>
      <c r="F8" s="234">
        <v>2</v>
      </c>
      <c r="G8" s="234">
        <v>1</v>
      </c>
      <c r="H8" s="234"/>
      <c r="I8" s="249"/>
      <c r="J8" s="233">
        <v>46090</v>
      </c>
      <c r="K8" s="237" t="s">
        <v>125</v>
      </c>
      <c r="L8" s="241">
        <v>15.16</v>
      </c>
      <c r="M8" s="241">
        <v>2</v>
      </c>
      <c r="N8" s="240"/>
    </row>
    <row r="9" spans="1:15" s="236" customFormat="1" ht="12.95" customHeight="1" x14ac:dyDescent="0.25">
      <c r="A9" s="233">
        <v>46090</v>
      </c>
      <c r="B9" s="234" t="s">
        <v>506</v>
      </c>
      <c r="C9" s="235">
        <v>1</v>
      </c>
      <c r="D9" s="234">
        <v>14.29</v>
      </c>
      <c r="E9" s="234">
        <v>14.31</v>
      </c>
      <c r="F9" s="234">
        <v>2</v>
      </c>
      <c r="G9" s="234">
        <v>1</v>
      </c>
      <c r="H9" s="234"/>
      <c r="I9" s="249"/>
      <c r="J9" s="233">
        <v>46091</v>
      </c>
      <c r="K9" s="237" t="s">
        <v>125</v>
      </c>
      <c r="L9" s="238">
        <v>15.13</v>
      </c>
      <c r="M9" s="241">
        <v>2</v>
      </c>
      <c r="N9" s="170"/>
    </row>
    <row r="10" spans="1:15" s="236" customFormat="1" ht="12.95" customHeight="1" x14ac:dyDescent="0.25">
      <c r="A10" s="233">
        <v>46090</v>
      </c>
      <c r="B10" s="234" t="s">
        <v>507</v>
      </c>
      <c r="C10" s="235">
        <v>1</v>
      </c>
      <c r="D10" s="234">
        <v>9.0299999999999994</v>
      </c>
      <c r="E10" s="234">
        <v>9.07</v>
      </c>
      <c r="F10" s="234">
        <v>2</v>
      </c>
      <c r="G10" s="234">
        <v>1</v>
      </c>
      <c r="H10" s="234"/>
      <c r="I10" s="249"/>
      <c r="J10" s="233">
        <v>46092</v>
      </c>
      <c r="K10" s="237" t="s">
        <v>125</v>
      </c>
      <c r="L10" s="238">
        <v>15.26</v>
      </c>
      <c r="M10" s="241">
        <v>2</v>
      </c>
      <c r="N10" s="240"/>
    </row>
    <row r="11" spans="1:15" s="236" customFormat="1" ht="12.95" customHeight="1" x14ac:dyDescent="0.25">
      <c r="A11" s="233">
        <v>46090</v>
      </c>
      <c r="B11" s="234" t="s">
        <v>508</v>
      </c>
      <c r="C11" s="235">
        <v>1</v>
      </c>
      <c r="D11" s="234">
        <v>9.0299999999999994</v>
      </c>
      <c r="E11" s="234">
        <v>9.07</v>
      </c>
      <c r="F11" s="234">
        <v>2</v>
      </c>
      <c r="G11" s="234">
        <v>1</v>
      </c>
      <c r="H11" s="234"/>
      <c r="I11" s="249"/>
      <c r="J11" s="233">
        <v>46093</v>
      </c>
      <c r="K11" s="237" t="s">
        <v>125</v>
      </c>
      <c r="L11" s="238">
        <v>15.25</v>
      </c>
      <c r="M11" s="241">
        <v>2</v>
      </c>
      <c r="N11" s="240"/>
    </row>
    <row r="12" spans="1:15" s="236" customFormat="1" ht="12.95" customHeight="1" x14ac:dyDescent="0.25">
      <c r="A12" s="233">
        <v>46091</v>
      </c>
      <c r="B12" s="234" t="s">
        <v>387</v>
      </c>
      <c r="C12" s="235">
        <v>1</v>
      </c>
      <c r="D12" s="234">
        <v>9.1300000000000008</v>
      </c>
      <c r="E12" s="234">
        <v>9.16</v>
      </c>
      <c r="F12" s="234">
        <v>3</v>
      </c>
      <c r="G12" s="234">
        <v>1</v>
      </c>
      <c r="H12" s="234"/>
      <c r="I12" s="249"/>
      <c r="J12" s="233">
        <v>46094</v>
      </c>
      <c r="K12" s="237" t="s">
        <v>125</v>
      </c>
      <c r="L12" s="238">
        <v>15.27</v>
      </c>
      <c r="M12" s="241">
        <v>2</v>
      </c>
      <c r="N12" s="240"/>
    </row>
    <row r="13" spans="1:15" s="236" customFormat="1" ht="12.95" customHeight="1" x14ac:dyDescent="0.25">
      <c r="A13" s="233">
        <v>46092</v>
      </c>
      <c r="B13" s="234" t="s">
        <v>443</v>
      </c>
      <c r="C13" s="235">
        <v>1</v>
      </c>
      <c r="D13" s="234">
        <v>8.24</v>
      </c>
      <c r="E13" s="234">
        <v>10.15</v>
      </c>
      <c r="F13" s="234">
        <v>3</v>
      </c>
      <c r="G13" s="234">
        <v>1</v>
      </c>
      <c r="H13" s="234"/>
      <c r="I13" s="242"/>
      <c r="J13" s="233">
        <v>46095</v>
      </c>
      <c r="K13" s="237" t="s">
        <v>125</v>
      </c>
      <c r="L13" s="238">
        <v>14.41</v>
      </c>
      <c r="M13" s="238">
        <v>1</v>
      </c>
      <c r="N13" s="240"/>
    </row>
    <row r="14" spans="1:15" s="236" customFormat="1" ht="12.95" customHeight="1" x14ac:dyDescent="0.25">
      <c r="A14" s="233">
        <v>46092</v>
      </c>
      <c r="B14" s="234" t="s">
        <v>444</v>
      </c>
      <c r="C14" s="235">
        <v>1</v>
      </c>
      <c r="D14" s="234">
        <v>8.24</v>
      </c>
      <c r="E14" s="234">
        <v>10.15</v>
      </c>
      <c r="F14" s="234">
        <v>3</v>
      </c>
      <c r="G14" s="234">
        <v>1</v>
      </c>
      <c r="H14" s="234"/>
      <c r="J14" s="233">
        <v>46097</v>
      </c>
      <c r="K14" s="237" t="s">
        <v>125</v>
      </c>
      <c r="L14" s="238">
        <v>15.14</v>
      </c>
      <c r="M14" s="241">
        <v>2</v>
      </c>
      <c r="N14" s="240"/>
    </row>
    <row r="15" spans="1:15" s="236" customFormat="1" ht="12.95" customHeight="1" x14ac:dyDescent="0.25">
      <c r="A15" s="233">
        <v>46092</v>
      </c>
      <c r="B15" s="234" t="s">
        <v>445</v>
      </c>
      <c r="C15" s="235">
        <v>1</v>
      </c>
      <c r="D15" s="234">
        <v>8.24</v>
      </c>
      <c r="E15" s="234">
        <v>10.15</v>
      </c>
      <c r="F15" s="234">
        <v>3</v>
      </c>
      <c r="G15" s="234">
        <v>1</v>
      </c>
      <c r="H15" s="234"/>
      <c r="J15" s="233">
        <v>46098</v>
      </c>
      <c r="K15" s="237" t="s">
        <v>125</v>
      </c>
      <c r="L15" s="238">
        <v>14.59</v>
      </c>
      <c r="M15" s="238">
        <v>1</v>
      </c>
    </row>
    <row r="16" spans="1:15" s="236" customFormat="1" ht="12.95" customHeight="1" x14ac:dyDescent="0.25">
      <c r="A16" s="233">
        <v>46092</v>
      </c>
      <c r="B16" s="234" t="s">
        <v>446</v>
      </c>
      <c r="C16" s="235">
        <v>1</v>
      </c>
      <c r="D16" s="234">
        <v>8.24</v>
      </c>
      <c r="E16" s="234">
        <v>10.15</v>
      </c>
      <c r="F16" s="234">
        <v>3</v>
      </c>
      <c r="G16" s="234">
        <v>1</v>
      </c>
      <c r="H16" s="234"/>
      <c r="J16" s="233">
        <v>46099</v>
      </c>
      <c r="K16" s="237" t="s">
        <v>125</v>
      </c>
      <c r="L16" s="238">
        <v>12.42</v>
      </c>
      <c r="M16" s="238">
        <v>1</v>
      </c>
      <c r="O16" s="236" t="s">
        <v>383</v>
      </c>
    </row>
    <row r="17" spans="1:15" s="236" customFormat="1" ht="12.95" customHeight="1" x14ac:dyDescent="0.25">
      <c r="A17" s="233">
        <v>46092</v>
      </c>
      <c r="B17" s="234" t="s">
        <v>447</v>
      </c>
      <c r="C17" s="235">
        <v>1</v>
      </c>
      <c r="D17" s="234">
        <v>8.24</v>
      </c>
      <c r="E17" s="234">
        <v>10.15</v>
      </c>
      <c r="F17" s="234">
        <v>3</v>
      </c>
      <c r="G17" s="234">
        <v>1</v>
      </c>
      <c r="H17" s="234"/>
      <c r="I17" s="242"/>
      <c r="J17" s="233">
        <v>46107</v>
      </c>
      <c r="K17" s="237" t="s">
        <v>125</v>
      </c>
      <c r="L17" s="238">
        <v>15.11</v>
      </c>
      <c r="M17" s="241">
        <v>2</v>
      </c>
      <c r="N17" s="240"/>
    </row>
    <row r="18" spans="1:15" s="236" customFormat="1" ht="12.95" customHeight="1" x14ac:dyDescent="0.25">
      <c r="A18" s="233">
        <v>46092</v>
      </c>
      <c r="B18" s="234" t="s">
        <v>448</v>
      </c>
      <c r="C18" s="235">
        <v>1</v>
      </c>
      <c r="D18" s="234">
        <v>8.24</v>
      </c>
      <c r="E18" s="234">
        <v>10.15</v>
      </c>
      <c r="F18" s="234">
        <v>3</v>
      </c>
      <c r="G18" s="234">
        <v>1</v>
      </c>
      <c r="H18" s="234"/>
      <c r="I18" s="242"/>
      <c r="J18" s="233">
        <v>46108</v>
      </c>
      <c r="K18" s="237" t="s">
        <v>125</v>
      </c>
      <c r="L18" s="238">
        <v>16.03</v>
      </c>
      <c r="M18" s="238">
        <v>4</v>
      </c>
      <c r="N18" s="240"/>
    </row>
    <row r="19" spans="1:15" s="236" customFormat="1" ht="12.95" customHeight="1" x14ac:dyDescent="0.25">
      <c r="A19" s="233">
        <v>46092</v>
      </c>
      <c r="B19" s="234" t="s">
        <v>449</v>
      </c>
      <c r="C19" s="235">
        <v>1</v>
      </c>
      <c r="D19" s="234">
        <v>8.24</v>
      </c>
      <c r="E19" s="234">
        <v>10.15</v>
      </c>
      <c r="F19" s="234">
        <v>3</v>
      </c>
      <c r="G19" s="234">
        <v>1</v>
      </c>
      <c r="H19" s="234"/>
      <c r="I19" s="242"/>
      <c r="J19" s="233">
        <v>46109</v>
      </c>
      <c r="K19" s="237" t="s">
        <v>125</v>
      </c>
      <c r="L19" s="238">
        <v>14.53</v>
      </c>
      <c r="M19" s="238">
        <v>1</v>
      </c>
      <c r="N19" s="170"/>
    </row>
    <row r="20" spans="1:15" s="236" customFormat="1" ht="12.95" customHeight="1" x14ac:dyDescent="0.25">
      <c r="A20" s="233">
        <v>46092</v>
      </c>
      <c r="B20" s="234" t="s">
        <v>450</v>
      </c>
      <c r="C20" s="235">
        <v>1</v>
      </c>
      <c r="D20" s="234">
        <v>8.24</v>
      </c>
      <c r="E20" s="234">
        <v>10.15</v>
      </c>
      <c r="F20" s="234">
        <v>3</v>
      </c>
      <c r="G20" s="234">
        <v>1</v>
      </c>
      <c r="H20" s="234"/>
      <c r="I20" s="242"/>
      <c r="J20" s="233">
        <v>46111</v>
      </c>
      <c r="K20" s="237" t="s">
        <v>125</v>
      </c>
      <c r="L20" s="238">
        <v>15.58</v>
      </c>
      <c r="M20" s="238">
        <v>3</v>
      </c>
      <c r="N20" s="170"/>
    </row>
    <row r="21" spans="1:15" s="236" customFormat="1" ht="12.95" customHeight="1" x14ac:dyDescent="0.25">
      <c r="A21" s="233">
        <v>46092</v>
      </c>
      <c r="B21" s="234" t="s">
        <v>451</v>
      </c>
      <c r="C21" s="235">
        <v>1</v>
      </c>
      <c r="D21" s="234">
        <v>8.24</v>
      </c>
      <c r="E21" s="234">
        <v>10.15</v>
      </c>
      <c r="F21" s="234">
        <v>3</v>
      </c>
      <c r="G21" s="234">
        <v>1</v>
      </c>
      <c r="H21" s="234"/>
      <c r="I21" s="242"/>
      <c r="J21" s="233">
        <v>46112</v>
      </c>
      <c r="K21" s="237" t="s">
        <v>125</v>
      </c>
      <c r="L21" s="238">
        <v>16.100000000000001</v>
      </c>
      <c r="M21" s="238">
        <v>3</v>
      </c>
      <c r="N21" s="170"/>
      <c r="O21" s="236" t="s">
        <v>385</v>
      </c>
    </row>
    <row r="22" spans="1:15" s="236" customFormat="1" ht="12.95" customHeight="1" x14ac:dyDescent="0.25">
      <c r="A22" s="233">
        <v>46092</v>
      </c>
      <c r="B22" s="234" t="s">
        <v>454</v>
      </c>
      <c r="C22" s="235">
        <v>1</v>
      </c>
      <c r="D22" s="234">
        <v>8.24</v>
      </c>
      <c r="E22" s="234">
        <v>10.15</v>
      </c>
      <c r="F22" s="234">
        <v>3</v>
      </c>
      <c r="G22" s="234">
        <v>1</v>
      </c>
      <c r="H22" s="234"/>
      <c r="I22" s="242"/>
      <c r="J22" s="379"/>
      <c r="K22" s="380"/>
      <c r="L22" s="381" t="s">
        <v>165</v>
      </c>
      <c r="M22" s="382">
        <f>AVERAGE(M2:M21)</f>
        <v>2.1</v>
      </c>
      <c r="N22" s="170"/>
    </row>
    <row r="23" spans="1:15" s="236" customFormat="1" ht="12.95" customHeight="1" x14ac:dyDescent="0.25">
      <c r="A23" s="233">
        <v>46092</v>
      </c>
      <c r="B23" s="234" t="s">
        <v>453</v>
      </c>
      <c r="C23" s="235">
        <v>1</v>
      </c>
      <c r="D23" s="234">
        <v>8.24</v>
      </c>
      <c r="E23" s="234">
        <v>10.15</v>
      </c>
      <c r="F23" s="234">
        <v>3</v>
      </c>
      <c r="G23" s="234">
        <v>1</v>
      </c>
      <c r="H23" s="234"/>
      <c r="I23" s="242"/>
      <c r="J23" s="383"/>
      <c r="K23" s="384"/>
      <c r="L23" s="385"/>
      <c r="M23" s="385"/>
      <c r="N23" s="386"/>
    </row>
    <row r="24" spans="1:15" s="236" customFormat="1" ht="12.95" customHeight="1" x14ac:dyDescent="0.25">
      <c r="A24" s="233">
        <v>46092</v>
      </c>
      <c r="B24" s="234" t="s">
        <v>452</v>
      </c>
      <c r="C24" s="235">
        <v>1</v>
      </c>
      <c r="D24" s="234">
        <v>8.24</v>
      </c>
      <c r="E24" s="234">
        <v>10.15</v>
      </c>
      <c r="F24" s="234">
        <v>3</v>
      </c>
      <c r="G24" s="234">
        <v>1</v>
      </c>
      <c r="H24" s="234"/>
      <c r="J24" s="387"/>
      <c r="K24" s="388"/>
      <c r="L24" s="389"/>
      <c r="M24" s="389"/>
      <c r="N24" s="390"/>
    </row>
    <row r="25" spans="1:15" s="236" customFormat="1" ht="12.95" customHeight="1" x14ac:dyDescent="0.25">
      <c r="A25" s="233">
        <v>46092</v>
      </c>
      <c r="B25" s="234" t="s">
        <v>455</v>
      </c>
      <c r="C25" s="235">
        <v>1</v>
      </c>
      <c r="D25" s="234">
        <v>8.24</v>
      </c>
      <c r="E25" s="234">
        <v>10.15</v>
      </c>
      <c r="F25" s="234">
        <v>3</v>
      </c>
      <c r="G25" s="234">
        <v>1</v>
      </c>
      <c r="H25" s="234"/>
      <c r="J25" s="387"/>
      <c r="K25" s="388"/>
      <c r="L25" s="389"/>
      <c r="M25" s="389"/>
      <c r="N25" s="390"/>
    </row>
    <row r="26" spans="1:15" s="236" customFormat="1" ht="12.95" customHeight="1" x14ac:dyDescent="0.25">
      <c r="A26" s="233">
        <v>46092</v>
      </c>
      <c r="B26" s="234" t="s">
        <v>456</v>
      </c>
      <c r="C26" s="235">
        <v>1</v>
      </c>
      <c r="D26" s="234">
        <v>8.24</v>
      </c>
      <c r="E26" s="234">
        <v>10.15</v>
      </c>
      <c r="F26" s="234">
        <v>3</v>
      </c>
      <c r="G26" s="234">
        <v>1</v>
      </c>
      <c r="H26" s="234"/>
      <c r="J26" s="387"/>
      <c r="K26" s="388"/>
      <c r="L26" s="389"/>
      <c r="M26" s="389"/>
      <c r="N26" s="390"/>
    </row>
    <row r="27" spans="1:15" s="236" customFormat="1" ht="12.95" customHeight="1" x14ac:dyDescent="0.25">
      <c r="A27" s="233">
        <v>46092</v>
      </c>
      <c r="B27" s="234" t="s">
        <v>457</v>
      </c>
      <c r="C27" s="235">
        <v>1</v>
      </c>
      <c r="D27" s="234">
        <v>8.24</v>
      </c>
      <c r="E27" s="234">
        <v>10.15</v>
      </c>
      <c r="F27" s="234">
        <v>3</v>
      </c>
      <c r="G27" s="234">
        <v>1</v>
      </c>
      <c r="H27" s="234"/>
      <c r="J27" s="387"/>
      <c r="K27" s="388"/>
      <c r="L27" s="389"/>
      <c r="M27" s="389"/>
      <c r="N27" s="390"/>
    </row>
    <row r="28" spans="1:15" s="236" customFormat="1" ht="12.95" customHeight="1" x14ac:dyDescent="0.25">
      <c r="A28" s="233">
        <v>46092</v>
      </c>
      <c r="B28" s="234" t="s">
        <v>459</v>
      </c>
      <c r="C28" s="235">
        <v>1</v>
      </c>
      <c r="D28" s="234">
        <v>8.24</v>
      </c>
      <c r="E28" s="234">
        <v>10.15</v>
      </c>
      <c r="F28" s="234">
        <v>3</v>
      </c>
      <c r="G28" s="234">
        <v>1</v>
      </c>
      <c r="H28" s="234"/>
      <c r="J28" s="387"/>
      <c r="K28" s="388"/>
      <c r="L28" s="389"/>
      <c r="M28" s="389"/>
      <c r="N28" s="390"/>
    </row>
    <row r="29" spans="1:15" s="236" customFormat="1" ht="12.95" customHeight="1" x14ac:dyDescent="0.25">
      <c r="A29" s="233">
        <v>46092</v>
      </c>
      <c r="B29" s="234" t="s">
        <v>458</v>
      </c>
      <c r="C29" s="235">
        <v>1</v>
      </c>
      <c r="D29" s="234">
        <v>8.24</v>
      </c>
      <c r="E29" s="234">
        <v>10.15</v>
      </c>
      <c r="F29" s="234">
        <v>3</v>
      </c>
      <c r="G29" s="234">
        <v>1</v>
      </c>
      <c r="H29" s="234"/>
      <c r="J29" s="387"/>
      <c r="K29" s="388"/>
      <c r="L29" s="389"/>
      <c r="M29" s="389"/>
      <c r="N29" s="390"/>
    </row>
    <row r="30" spans="1:15" s="236" customFormat="1" ht="12.95" customHeight="1" x14ac:dyDescent="0.25">
      <c r="A30" s="233">
        <v>46092</v>
      </c>
      <c r="B30" s="234" t="s">
        <v>460</v>
      </c>
      <c r="C30" s="235">
        <v>1</v>
      </c>
      <c r="D30" s="234">
        <v>8.24</v>
      </c>
      <c r="E30" s="234">
        <v>10.15</v>
      </c>
      <c r="F30" s="234">
        <v>3</v>
      </c>
      <c r="G30" s="234">
        <v>1</v>
      </c>
      <c r="H30" s="234"/>
      <c r="J30" s="387"/>
      <c r="K30" s="388"/>
      <c r="L30" s="389"/>
      <c r="M30" s="389"/>
      <c r="N30" s="390"/>
    </row>
    <row r="31" spans="1:15" s="236" customFormat="1" ht="12.95" customHeight="1" x14ac:dyDescent="0.25">
      <c r="A31" s="233">
        <v>46092</v>
      </c>
      <c r="B31" s="234" t="s">
        <v>461</v>
      </c>
      <c r="C31" s="235">
        <v>1</v>
      </c>
      <c r="D31" s="234">
        <v>8.24</v>
      </c>
      <c r="E31" s="234">
        <v>10.15</v>
      </c>
      <c r="F31" s="234">
        <v>3</v>
      </c>
      <c r="G31" s="234">
        <v>1</v>
      </c>
      <c r="H31" s="234"/>
      <c r="J31" s="391"/>
      <c r="K31" s="392"/>
      <c r="L31" s="393"/>
      <c r="M31" s="394"/>
      <c r="N31" s="390"/>
    </row>
    <row r="32" spans="1:15" s="236" customFormat="1" ht="12.95" customHeight="1" x14ac:dyDescent="0.25">
      <c r="A32" s="233">
        <v>46092</v>
      </c>
      <c r="B32" s="234" t="s">
        <v>462</v>
      </c>
      <c r="C32" s="235">
        <v>1</v>
      </c>
      <c r="D32" s="234">
        <v>8.24</v>
      </c>
      <c r="E32" s="234">
        <v>10.15</v>
      </c>
      <c r="F32" s="234">
        <v>3</v>
      </c>
      <c r="G32" s="234">
        <v>1</v>
      </c>
      <c r="H32" s="234"/>
      <c r="J32" s="395"/>
      <c r="K32" s="395"/>
      <c r="L32" s="395"/>
      <c r="M32" s="395"/>
      <c r="N32" s="395"/>
    </row>
    <row r="33" spans="1:14" s="236" customFormat="1" ht="12.95" customHeight="1" x14ac:dyDescent="0.25">
      <c r="A33" s="233">
        <v>46092</v>
      </c>
      <c r="B33" s="234" t="s">
        <v>463</v>
      </c>
      <c r="C33" s="235">
        <v>1</v>
      </c>
      <c r="D33" s="234">
        <v>8.24</v>
      </c>
      <c r="E33" s="234">
        <v>10.15</v>
      </c>
      <c r="F33" s="234">
        <v>3</v>
      </c>
      <c r="G33" s="234">
        <v>1</v>
      </c>
      <c r="H33" s="234"/>
    </row>
    <row r="34" spans="1:14" s="236" customFormat="1" ht="12.95" customHeight="1" x14ac:dyDescent="0.25">
      <c r="A34" s="233">
        <v>46092</v>
      </c>
      <c r="B34" s="234" t="s">
        <v>464</v>
      </c>
      <c r="C34" s="235">
        <v>1</v>
      </c>
      <c r="D34" s="234">
        <v>8.24</v>
      </c>
      <c r="E34" s="234">
        <v>10.15</v>
      </c>
      <c r="F34" s="234">
        <v>3</v>
      </c>
      <c r="G34" s="234">
        <v>1</v>
      </c>
      <c r="H34" s="234"/>
    </row>
    <row r="35" spans="1:14" s="236" customFormat="1" ht="12.95" customHeight="1" x14ac:dyDescent="0.25">
      <c r="A35" s="233">
        <v>46092</v>
      </c>
      <c r="B35" s="234" t="s">
        <v>465</v>
      </c>
      <c r="C35" s="235">
        <v>1</v>
      </c>
      <c r="D35" s="234">
        <v>8.24</v>
      </c>
      <c r="E35" s="234">
        <v>10.15</v>
      </c>
      <c r="F35" s="234">
        <v>3</v>
      </c>
      <c r="G35" s="234">
        <v>1</v>
      </c>
      <c r="H35" s="234"/>
    </row>
    <row r="36" spans="1:14" s="236" customFormat="1" ht="12.95" customHeight="1" x14ac:dyDescent="0.25">
      <c r="A36" s="233">
        <v>46092</v>
      </c>
      <c r="B36" s="234" t="s">
        <v>466</v>
      </c>
      <c r="C36" s="235">
        <v>1</v>
      </c>
      <c r="D36" s="234">
        <v>8.24</v>
      </c>
      <c r="E36" s="234">
        <v>10.15</v>
      </c>
      <c r="F36" s="234">
        <v>3</v>
      </c>
      <c r="G36" s="234">
        <v>1</v>
      </c>
      <c r="H36" s="234"/>
    </row>
    <row r="37" spans="1:14" s="236" customFormat="1" ht="12.95" customHeight="1" x14ac:dyDescent="0.25">
      <c r="A37" s="233">
        <v>46092</v>
      </c>
      <c r="B37" s="234" t="s">
        <v>467</v>
      </c>
      <c r="C37" s="235">
        <v>1</v>
      </c>
      <c r="D37" s="234">
        <v>8.24</v>
      </c>
      <c r="E37" s="234">
        <v>10.15</v>
      </c>
      <c r="F37" s="234">
        <v>3</v>
      </c>
      <c r="G37" s="234">
        <v>1</v>
      </c>
      <c r="H37" s="234"/>
    </row>
    <row r="38" spans="1:14" s="236" customFormat="1" ht="12.95" customHeight="1" x14ac:dyDescent="0.25">
      <c r="A38" s="233">
        <v>46092</v>
      </c>
      <c r="B38" s="234" t="s">
        <v>468</v>
      </c>
      <c r="C38" s="235">
        <v>1</v>
      </c>
      <c r="D38" s="234">
        <v>8.24</v>
      </c>
      <c r="E38" s="234">
        <v>10.15</v>
      </c>
      <c r="F38" s="234">
        <v>3</v>
      </c>
      <c r="G38" s="234">
        <v>1</v>
      </c>
      <c r="H38" s="234"/>
    </row>
    <row r="39" spans="1:14" s="236" customFormat="1" ht="12.95" customHeight="1" x14ac:dyDescent="0.25">
      <c r="A39" s="233">
        <v>46092</v>
      </c>
      <c r="B39" s="234" t="s">
        <v>469</v>
      </c>
      <c r="C39" s="235">
        <v>1</v>
      </c>
      <c r="D39" s="234">
        <v>8.24</v>
      </c>
      <c r="E39" s="234">
        <v>10.15</v>
      </c>
      <c r="F39" s="234">
        <v>3</v>
      </c>
      <c r="G39" s="234">
        <v>1</v>
      </c>
      <c r="H39" s="234"/>
      <c r="J39" s="245"/>
      <c r="K39" s="246"/>
      <c r="L39" s="246"/>
      <c r="M39" s="246"/>
      <c r="N39" s="240"/>
    </row>
    <row r="40" spans="1:14" s="247" customFormat="1" ht="13.5" x14ac:dyDescent="0.25">
      <c r="A40" s="233">
        <v>46092</v>
      </c>
      <c r="B40" s="234" t="s">
        <v>470</v>
      </c>
      <c r="C40" s="235">
        <v>1</v>
      </c>
      <c r="D40" s="234">
        <v>8.24</v>
      </c>
      <c r="E40" s="234">
        <v>10.15</v>
      </c>
      <c r="F40" s="234">
        <v>3</v>
      </c>
      <c r="G40" s="234">
        <v>1</v>
      </c>
      <c r="H40" s="234"/>
      <c r="I40" s="236"/>
      <c r="J40" s="236"/>
      <c r="K40" s="236"/>
      <c r="L40" s="236"/>
      <c r="M40" s="236"/>
    </row>
    <row r="41" spans="1:14" s="236" customFormat="1" ht="13.5" x14ac:dyDescent="0.25">
      <c r="A41" s="233">
        <v>46092</v>
      </c>
      <c r="B41" s="234" t="s">
        <v>471</v>
      </c>
      <c r="C41" s="235">
        <v>1</v>
      </c>
      <c r="D41" s="234">
        <v>8.24</v>
      </c>
      <c r="E41" s="234">
        <v>10.15</v>
      </c>
      <c r="F41" s="234">
        <v>3</v>
      </c>
      <c r="G41" s="234">
        <v>1</v>
      </c>
      <c r="H41" s="234"/>
      <c r="J41" s="248"/>
      <c r="K41" s="244"/>
      <c r="L41" s="244"/>
      <c r="M41" s="244"/>
    </row>
    <row r="42" spans="1:14" s="236" customFormat="1" ht="13.5" x14ac:dyDescent="0.25">
      <c r="A42" s="233">
        <v>46092</v>
      </c>
      <c r="B42" s="234" t="s">
        <v>473</v>
      </c>
      <c r="C42" s="235">
        <v>1</v>
      </c>
      <c r="D42" s="234">
        <v>8.24</v>
      </c>
      <c r="E42" s="234">
        <v>10.15</v>
      </c>
      <c r="F42" s="234">
        <v>3</v>
      </c>
      <c r="G42" s="234">
        <v>1</v>
      </c>
      <c r="H42" s="234"/>
    </row>
    <row r="43" spans="1:14" s="236" customFormat="1" ht="13.5" x14ac:dyDescent="0.25">
      <c r="A43" s="233">
        <v>46092</v>
      </c>
      <c r="B43" s="234" t="s">
        <v>472</v>
      </c>
      <c r="C43" s="235">
        <v>1</v>
      </c>
      <c r="D43" s="234">
        <v>8.24</v>
      </c>
      <c r="E43" s="234">
        <v>10.15</v>
      </c>
      <c r="F43" s="234">
        <v>3</v>
      </c>
      <c r="G43" s="234">
        <v>1</v>
      </c>
      <c r="H43" s="234"/>
    </row>
    <row r="44" spans="1:14" s="236" customFormat="1" ht="13.5" x14ac:dyDescent="0.25">
      <c r="A44" s="233">
        <v>46092</v>
      </c>
      <c r="B44" s="234" t="s">
        <v>388</v>
      </c>
      <c r="C44" s="235">
        <v>1</v>
      </c>
      <c r="D44" s="234">
        <v>7.45</v>
      </c>
      <c r="E44" s="234">
        <v>7.48</v>
      </c>
      <c r="F44" s="234">
        <v>3</v>
      </c>
      <c r="G44" s="234">
        <v>1</v>
      </c>
      <c r="H44" s="234"/>
    </row>
    <row r="45" spans="1:14" s="236" customFormat="1" ht="13.5" x14ac:dyDescent="0.25">
      <c r="A45" s="233">
        <v>46093</v>
      </c>
      <c r="B45" s="234" t="s">
        <v>391</v>
      </c>
      <c r="C45" s="235">
        <v>4</v>
      </c>
      <c r="D45" s="234">
        <v>13.19</v>
      </c>
      <c r="E45" s="234">
        <v>13.28</v>
      </c>
      <c r="F45" s="234">
        <v>2</v>
      </c>
      <c r="G45" s="234">
        <v>1</v>
      </c>
      <c r="H45" s="234"/>
      <c r="I45" s="242"/>
      <c r="J45" s="248"/>
      <c r="K45" s="244"/>
      <c r="L45" s="244"/>
      <c r="M45" s="244"/>
    </row>
    <row r="46" spans="1:14" s="236" customFormat="1" ht="13.5" x14ac:dyDescent="0.25">
      <c r="A46" s="233">
        <v>46093</v>
      </c>
      <c r="B46" s="234" t="s">
        <v>389</v>
      </c>
      <c r="C46" s="235">
        <v>1</v>
      </c>
      <c r="D46" s="234">
        <v>11.52</v>
      </c>
      <c r="E46" s="239">
        <v>11.04</v>
      </c>
      <c r="F46" s="234">
        <v>2</v>
      </c>
      <c r="G46" s="234">
        <v>1</v>
      </c>
      <c r="H46" s="239"/>
      <c r="I46" s="242"/>
      <c r="J46" s="248"/>
      <c r="K46" s="244"/>
      <c r="L46" s="244"/>
      <c r="M46" s="244"/>
    </row>
    <row r="47" spans="1:14" s="236" customFormat="1" ht="12.95" customHeight="1" x14ac:dyDescent="0.25">
      <c r="A47" s="233">
        <v>46093</v>
      </c>
      <c r="B47" s="234" t="s">
        <v>390</v>
      </c>
      <c r="C47" s="235">
        <v>1</v>
      </c>
      <c r="D47" s="234">
        <v>11.52</v>
      </c>
      <c r="E47" s="239">
        <v>11.04</v>
      </c>
      <c r="F47" s="234">
        <v>2</v>
      </c>
      <c r="G47" s="234">
        <v>1</v>
      </c>
      <c r="H47" s="234"/>
    </row>
    <row r="48" spans="1:14" s="236" customFormat="1" ht="13.5" x14ac:dyDescent="0.25">
      <c r="A48" s="233">
        <v>46093</v>
      </c>
      <c r="B48" s="234" t="s">
        <v>520</v>
      </c>
      <c r="C48" s="235">
        <v>3</v>
      </c>
      <c r="D48" s="234">
        <v>13.3</v>
      </c>
      <c r="E48" s="234">
        <v>13.39</v>
      </c>
      <c r="F48" s="234">
        <v>3</v>
      </c>
      <c r="G48" s="234">
        <v>1</v>
      </c>
      <c r="H48" s="234"/>
      <c r="I48" s="242"/>
      <c r="J48" s="248"/>
      <c r="K48" s="244"/>
      <c r="L48" s="244"/>
      <c r="M48" s="244"/>
    </row>
    <row r="49" spans="1:13" s="236" customFormat="1" ht="13.5" x14ac:dyDescent="0.25">
      <c r="A49" s="252">
        <v>46093</v>
      </c>
      <c r="B49" s="234" t="s">
        <v>519</v>
      </c>
      <c r="C49" s="235">
        <v>1</v>
      </c>
      <c r="D49" s="234">
        <v>16.43</v>
      </c>
      <c r="E49" s="234">
        <v>7.53</v>
      </c>
      <c r="F49" s="234">
        <v>3</v>
      </c>
      <c r="G49" s="234">
        <v>1</v>
      </c>
      <c r="H49" s="250"/>
      <c r="J49" s="248"/>
      <c r="K49" s="244"/>
      <c r="L49" s="244"/>
      <c r="M49" s="244"/>
    </row>
    <row r="50" spans="1:13" s="236" customFormat="1" ht="13.5" x14ac:dyDescent="0.25">
      <c r="A50" s="233">
        <v>46093</v>
      </c>
      <c r="B50" s="234" t="s">
        <v>518</v>
      </c>
      <c r="C50" s="235">
        <v>3</v>
      </c>
      <c r="D50" s="234">
        <v>17.32</v>
      </c>
      <c r="E50" s="234">
        <v>7.45</v>
      </c>
      <c r="F50" s="234">
        <v>3</v>
      </c>
      <c r="G50" s="234">
        <v>1</v>
      </c>
      <c r="H50" s="234"/>
      <c r="I50" s="242"/>
      <c r="J50" s="248"/>
      <c r="K50" s="244"/>
      <c r="L50" s="244"/>
      <c r="M50" s="244"/>
    </row>
    <row r="51" spans="1:13" s="236" customFormat="1" ht="13.5" x14ac:dyDescent="0.25">
      <c r="A51" s="233">
        <v>46094</v>
      </c>
      <c r="B51" s="234" t="s">
        <v>522</v>
      </c>
      <c r="C51" s="235">
        <v>2</v>
      </c>
      <c r="D51" s="234">
        <v>15.32</v>
      </c>
      <c r="E51" s="234">
        <v>15.36</v>
      </c>
      <c r="F51" s="234">
        <v>2</v>
      </c>
      <c r="G51" s="234">
        <v>1</v>
      </c>
      <c r="H51" s="234"/>
      <c r="I51" s="242"/>
      <c r="J51" s="248"/>
      <c r="K51" s="244"/>
      <c r="L51" s="244"/>
      <c r="M51" s="244"/>
    </row>
    <row r="52" spans="1:13" s="236" customFormat="1" ht="13.5" x14ac:dyDescent="0.25">
      <c r="A52" s="233">
        <v>46094</v>
      </c>
      <c r="B52" s="234" t="s">
        <v>516</v>
      </c>
      <c r="C52" s="235">
        <v>2</v>
      </c>
      <c r="D52" s="234">
        <v>15.37</v>
      </c>
      <c r="E52" s="234">
        <v>15.43</v>
      </c>
      <c r="F52" s="234">
        <v>3</v>
      </c>
      <c r="G52" s="234">
        <v>1</v>
      </c>
      <c r="H52" s="234"/>
      <c r="I52" s="242"/>
      <c r="J52" s="248"/>
      <c r="K52" s="244"/>
      <c r="L52" s="244"/>
      <c r="M52" s="244"/>
    </row>
    <row r="53" spans="1:13" s="236" customFormat="1" ht="13.5" x14ac:dyDescent="0.25">
      <c r="A53" s="233">
        <v>46095</v>
      </c>
      <c r="B53" s="234" t="s">
        <v>424</v>
      </c>
      <c r="C53" s="235">
        <v>1</v>
      </c>
      <c r="D53" s="234">
        <v>16.52</v>
      </c>
      <c r="E53" s="234">
        <v>7.5</v>
      </c>
      <c r="F53" s="234">
        <v>2</v>
      </c>
      <c r="G53" s="234">
        <v>1</v>
      </c>
      <c r="H53" s="234"/>
      <c r="I53" s="242"/>
      <c r="J53" s="248"/>
      <c r="K53" s="244"/>
      <c r="L53" s="244"/>
      <c r="M53" s="244"/>
    </row>
    <row r="54" spans="1:13" s="236" customFormat="1" ht="13.5" x14ac:dyDescent="0.25">
      <c r="A54" s="233">
        <v>46097</v>
      </c>
      <c r="B54" s="234" t="s">
        <v>514</v>
      </c>
      <c r="C54" s="235">
        <v>3</v>
      </c>
      <c r="D54" s="234">
        <v>16.3</v>
      </c>
      <c r="E54" s="234">
        <v>8.3800000000000008</v>
      </c>
      <c r="F54" s="234">
        <v>3</v>
      </c>
      <c r="G54" s="234">
        <v>1</v>
      </c>
      <c r="H54" s="234"/>
      <c r="J54" s="248"/>
      <c r="K54" s="244"/>
      <c r="L54" s="244"/>
      <c r="M54" s="244"/>
    </row>
    <row r="55" spans="1:13" s="236" customFormat="1" ht="13.5" x14ac:dyDescent="0.25">
      <c r="A55" s="233">
        <v>46097</v>
      </c>
      <c r="B55" s="234" t="s">
        <v>515</v>
      </c>
      <c r="C55" s="235">
        <v>2</v>
      </c>
      <c r="D55" s="234">
        <v>16.3</v>
      </c>
      <c r="E55" s="234">
        <v>8.3800000000000008</v>
      </c>
      <c r="F55" s="234">
        <v>3</v>
      </c>
      <c r="G55" s="234">
        <v>1</v>
      </c>
      <c r="H55" s="234"/>
      <c r="J55" s="248"/>
      <c r="K55" s="244"/>
      <c r="L55" s="244"/>
      <c r="M55" s="244"/>
    </row>
    <row r="56" spans="1:13" s="236" customFormat="1" ht="13.5" x14ac:dyDescent="0.25">
      <c r="A56" s="233">
        <v>46098</v>
      </c>
      <c r="B56" s="234" t="s">
        <v>442</v>
      </c>
      <c r="C56" s="235">
        <v>3</v>
      </c>
      <c r="D56" s="234">
        <v>16.3</v>
      </c>
      <c r="E56" s="234">
        <v>8.3800000000000008</v>
      </c>
      <c r="F56" s="234">
        <v>3</v>
      </c>
      <c r="G56" s="234">
        <v>1</v>
      </c>
      <c r="H56" s="234"/>
      <c r="I56" s="242"/>
      <c r="J56" s="248"/>
      <c r="K56" s="244"/>
      <c r="L56" s="244"/>
      <c r="M56" s="244"/>
    </row>
    <row r="57" spans="1:13" s="236" customFormat="1" ht="13.5" x14ac:dyDescent="0.25">
      <c r="A57" s="233">
        <v>46098</v>
      </c>
      <c r="B57" s="234" t="s">
        <v>513</v>
      </c>
      <c r="C57" s="235">
        <v>3</v>
      </c>
      <c r="D57" s="234">
        <v>15.09</v>
      </c>
      <c r="E57" s="234">
        <v>15.18</v>
      </c>
      <c r="F57" s="234">
        <v>3</v>
      </c>
      <c r="G57" s="234">
        <v>1</v>
      </c>
      <c r="H57" s="234"/>
      <c r="J57" s="248"/>
      <c r="K57" s="244"/>
      <c r="L57" s="244"/>
      <c r="M57" s="244"/>
    </row>
    <row r="58" spans="1:13" s="236" customFormat="1" ht="13.5" x14ac:dyDescent="0.25">
      <c r="A58" s="233">
        <v>46099</v>
      </c>
      <c r="B58" s="136" t="s">
        <v>235</v>
      </c>
      <c r="C58" s="235">
        <v>1</v>
      </c>
      <c r="D58" s="234">
        <v>14.05</v>
      </c>
      <c r="E58" s="239">
        <v>14.08</v>
      </c>
      <c r="F58" s="234">
        <v>3</v>
      </c>
      <c r="G58" s="234">
        <v>1</v>
      </c>
      <c r="H58" s="239"/>
      <c r="I58" s="242"/>
    </row>
    <row r="59" spans="1:13" s="236" customFormat="1" ht="13.5" x14ac:dyDescent="0.3">
      <c r="A59" s="233">
        <v>46107</v>
      </c>
      <c r="B59" s="136" t="s">
        <v>235</v>
      </c>
      <c r="C59" s="235">
        <v>1</v>
      </c>
      <c r="D59" s="243">
        <v>9.41</v>
      </c>
      <c r="E59" s="239">
        <v>9.43</v>
      </c>
      <c r="F59" s="234">
        <v>2</v>
      </c>
      <c r="G59" s="234">
        <v>1</v>
      </c>
      <c r="H59" s="239"/>
      <c r="I59" s="242"/>
      <c r="J59" s="248"/>
      <c r="K59" s="244"/>
      <c r="L59" s="244"/>
      <c r="M59" s="244"/>
    </row>
    <row r="60" spans="1:13" s="236" customFormat="1" ht="13.5" x14ac:dyDescent="0.25">
      <c r="A60" s="233">
        <v>46108</v>
      </c>
      <c r="B60" s="234" t="s">
        <v>476</v>
      </c>
      <c r="C60" s="235">
        <v>1</v>
      </c>
      <c r="D60" s="234">
        <v>8.5</v>
      </c>
      <c r="E60" s="234">
        <v>8.5299999999999994</v>
      </c>
      <c r="F60" s="234">
        <v>3</v>
      </c>
      <c r="G60" s="234">
        <v>1</v>
      </c>
      <c r="H60" s="234"/>
    </row>
    <row r="61" spans="1:13" s="236" customFormat="1" ht="13.5" x14ac:dyDescent="0.25">
      <c r="A61" s="233">
        <v>46109</v>
      </c>
      <c r="B61" s="234" t="s">
        <v>232</v>
      </c>
      <c r="C61" s="235">
        <v>3</v>
      </c>
      <c r="D61" s="234">
        <v>15.27</v>
      </c>
      <c r="E61" s="234">
        <v>15.5</v>
      </c>
      <c r="F61" s="234">
        <v>2</v>
      </c>
      <c r="G61" s="234">
        <v>1</v>
      </c>
      <c r="H61" s="239"/>
      <c r="J61" s="248"/>
      <c r="K61" s="244"/>
      <c r="L61" s="244"/>
      <c r="M61" s="244"/>
    </row>
    <row r="62" spans="1:13" s="236" customFormat="1" ht="13.5" x14ac:dyDescent="0.25">
      <c r="A62" s="233">
        <v>46109</v>
      </c>
      <c r="B62" s="136" t="s">
        <v>211</v>
      </c>
      <c r="C62" s="235">
        <v>3</v>
      </c>
      <c r="D62" s="234">
        <v>15.27</v>
      </c>
      <c r="E62" s="234">
        <v>15.5</v>
      </c>
      <c r="F62" s="234">
        <v>2</v>
      </c>
      <c r="G62" s="234">
        <v>1</v>
      </c>
      <c r="H62" s="234"/>
    </row>
    <row r="63" spans="1:13" s="236" customFormat="1" ht="13.5" x14ac:dyDescent="0.25">
      <c r="A63" s="233">
        <v>46109</v>
      </c>
      <c r="B63" s="234" t="s">
        <v>213</v>
      </c>
      <c r="C63" s="235">
        <v>3</v>
      </c>
      <c r="D63" s="234">
        <v>15.27</v>
      </c>
      <c r="E63" s="234">
        <v>15.5</v>
      </c>
      <c r="F63" s="234">
        <v>2</v>
      </c>
      <c r="G63" s="234">
        <v>1</v>
      </c>
      <c r="H63" s="239"/>
    </row>
    <row r="64" spans="1:13" s="236" customFormat="1" ht="13.5" x14ac:dyDescent="0.25">
      <c r="A64" s="233">
        <v>46109</v>
      </c>
      <c r="B64" s="234" t="s">
        <v>523</v>
      </c>
      <c r="C64" s="235">
        <v>3</v>
      </c>
      <c r="D64" s="234">
        <v>15.27</v>
      </c>
      <c r="E64" s="234">
        <v>15.5</v>
      </c>
      <c r="F64" s="234">
        <v>2</v>
      </c>
      <c r="G64" s="234">
        <v>1</v>
      </c>
      <c r="H64" s="239"/>
      <c r="I64" s="242"/>
      <c r="J64" s="248"/>
      <c r="K64" s="244"/>
      <c r="L64" s="244"/>
      <c r="M64" s="244"/>
    </row>
    <row r="65" spans="1:13" s="236" customFormat="1" ht="13.5" x14ac:dyDescent="0.25">
      <c r="A65" s="233">
        <v>46109</v>
      </c>
      <c r="B65" s="234" t="s">
        <v>477</v>
      </c>
      <c r="C65" s="235">
        <v>1</v>
      </c>
      <c r="D65" s="234">
        <v>8.3699999999999992</v>
      </c>
      <c r="E65" s="234">
        <v>9</v>
      </c>
      <c r="F65" s="234">
        <v>3</v>
      </c>
      <c r="G65" s="234">
        <v>1</v>
      </c>
      <c r="H65" s="234"/>
      <c r="J65" s="248"/>
      <c r="K65" s="244"/>
      <c r="L65" s="244"/>
      <c r="M65" s="244"/>
    </row>
    <row r="66" spans="1:13" s="236" customFormat="1" ht="13.5" x14ac:dyDescent="0.25">
      <c r="A66" s="233">
        <v>46109</v>
      </c>
      <c r="B66" s="136" t="s">
        <v>234</v>
      </c>
      <c r="C66" s="235">
        <v>1</v>
      </c>
      <c r="D66" s="234">
        <v>8.41</v>
      </c>
      <c r="E66" s="239">
        <v>8.44</v>
      </c>
      <c r="F66" s="234">
        <v>3</v>
      </c>
      <c r="G66" s="234">
        <v>1</v>
      </c>
      <c r="H66" s="239"/>
      <c r="I66" s="242"/>
      <c r="J66" s="248"/>
      <c r="K66" s="244"/>
      <c r="L66" s="244"/>
      <c r="M66" s="244"/>
    </row>
    <row r="67" spans="1:13" s="236" customFormat="1" ht="13.5" x14ac:dyDescent="0.25">
      <c r="A67" s="233">
        <v>46109</v>
      </c>
      <c r="B67" s="234" t="s">
        <v>509</v>
      </c>
      <c r="C67" s="235">
        <v>3</v>
      </c>
      <c r="D67" s="251">
        <v>46109</v>
      </c>
      <c r="E67" s="251">
        <v>46119</v>
      </c>
      <c r="F67" s="234" t="s">
        <v>510</v>
      </c>
      <c r="G67" s="234">
        <v>5</v>
      </c>
      <c r="H67" s="234"/>
      <c r="I67" s="242"/>
      <c r="J67" s="248"/>
      <c r="K67" s="244"/>
      <c r="L67" s="244"/>
      <c r="M67" s="244"/>
    </row>
    <row r="68" spans="1:13" s="236" customFormat="1" ht="13.5" x14ac:dyDescent="0.25">
      <c r="A68" s="233">
        <v>46109</v>
      </c>
      <c r="B68" s="234" t="s">
        <v>511</v>
      </c>
      <c r="C68" s="235">
        <v>3</v>
      </c>
      <c r="D68" s="251">
        <v>46109</v>
      </c>
      <c r="E68" s="251">
        <v>46119</v>
      </c>
      <c r="F68" s="234" t="s">
        <v>510</v>
      </c>
      <c r="G68" s="234">
        <v>5</v>
      </c>
      <c r="H68" s="234"/>
      <c r="J68" s="248"/>
      <c r="K68" s="244"/>
      <c r="L68" s="244"/>
      <c r="M68" s="244"/>
    </row>
    <row r="69" spans="1:13" s="236" customFormat="1" ht="13.5" x14ac:dyDescent="0.25">
      <c r="A69" s="233">
        <v>46109</v>
      </c>
      <c r="B69" s="234" t="s">
        <v>512</v>
      </c>
      <c r="C69" s="235">
        <v>3</v>
      </c>
      <c r="D69" s="251">
        <v>46109</v>
      </c>
      <c r="E69" s="251">
        <v>46119</v>
      </c>
      <c r="F69" s="234" t="s">
        <v>510</v>
      </c>
      <c r="G69" s="234">
        <v>5</v>
      </c>
      <c r="H69" s="234"/>
      <c r="J69" s="248"/>
      <c r="K69" s="244"/>
      <c r="L69" s="244"/>
      <c r="M69" s="244"/>
    </row>
    <row r="70" spans="1:13" s="236" customFormat="1" ht="13.5" x14ac:dyDescent="0.25">
      <c r="A70" s="233">
        <v>46109</v>
      </c>
      <c r="B70" s="234" t="s">
        <v>478</v>
      </c>
      <c r="C70" s="235">
        <v>2</v>
      </c>
      <c r="D70" s="251">
        <v>46109</v>
      </c>
      <c r="E70" s="251">
        <v>46119</v>
      </c>
      <c r="F70" s="234" t="s">
        <v>510</v>
      </c>
      <c r="G70" s="234">
        <v>5</v>
      </c>
      <c r="H70" s="234"/>
      <c r="J70" s="248"/>
      <c r="K70" s="244"/>
      <c r="L70" s="244"/>
      <c r="M70" s="244"/>
    </row>
    <row r="71" spans="1:13" s="236" customFormat="1" ht="13.5" x14ac:dyDescent="0.25">
      <c r="A71" s="233">
        <v>46111</v>
      </c>
      <c r="B71" s="234" t="s">
        <v>480</v>
      </c>
      <c r="C71" s="235">
        <v>1</v>
      </c>
      <c r="D71" s="234">
        <v>10.33</v>
      </c>
      <c r="E71" s="234">
        <v>10.35</v>
      </c>
      <c r="F71" s="234">
        <v>2</v>
      </c>
      <c r="G71" s="234">
        <v>1</v>
      </c>
      <c r="H71" s="234"/>
      <c r="J71" s="248"/>
      <c r="K71" s="244"/>
      <c r="L71" s="244"/>
      <c r="M71" s="244"/>
    </row>
    <row r="72" spans="1:13" s="236" customFormat="1" ht="13.5" x14ac:dyDescent="0.25">
      <c r="A72" s="233">
        <v>46111</v>
      </c>
      <c r="B72" s="234" t="s">
        <v>481</v>
      </c>
      <c r="C72" s="235">
        <v>1</v>
      </c>
      <c r="D72" s="234">
        <v>10</v>
      </c>
      <c r="E72" s="234">
        <v>10.08</v>
      </c>
      <c r="F72" s="234">
        <v>3</v>
      </c>
      <c r="G72" s="234">
        <v>1</v>
      </c>
      <c r="H72" s="234"/>
      <c r="J72" s="248"/>
      <c r="K72" s="244"/>
      <c r="L72" s="244"/>
      <c r="M72" s="244"/>
    </row>
    <row r="73" spans="1:13" s="236" customFormat="1" ht="13.5" x14ac:dyDescent="0.25">
      <c r="A73" s="233">
        <v>46111</v>
      </c>
      <c r="B73" s="234" t="s">
        <v>482</v>
      </c>
      <c r="C73" s="235">
        <v>1</v>
      </c>
      <c r="D73" s="234">
        <v>10</v>
      </c>
      <c r="E73" s="234">
        <v>10.08</v>
      </c>
      <c r="F73" s="234">
        <v>3</v>
      </c>
      <c r="G73" s="234">
        <v>1</v>
      </c>
      <c r="H73" s="234"/>
      <c r="J73" s="248"/>
      <c r="K73" s="244"/>
      <c r="L73" s="244"/>
      <c r="M73" s="244"/>
    </row>
    <row r="74" spans="1:13" s="236" customFormat="1" ht="13.5" x14ac:dyDescent="0.25">
      <c r="A74" s="233">
        <v>46111</v>
      </c>
      <c r="B74" s="234" t="s">
        <v>483</v>
      </c>
      <c r="C74" s="235">
        <v>1</v>
      </c>
      <c r="D74" s="234">
        <v>10</v>
      </c>
      <c r="E74" s="234">
        <v>10.08</v>
      </c>
      <c r="F74" s="234">
        <v>3</v>
      </c>
      <c r="G74" s="234">
        <v>1</v>
      </c>
      <c r="H74" s="234"/>
      <c r="J74" s="248"/>
      <c r="K74" s="244"/>
      <c r="L74" s="244"/>
      <c r="M74" s="244"/>
    </row>
    <row r="75" spans="1:13" s="236" customFormat="1" ht="13.5" x14ac:dyDescent="0.25">
      <c r="A75" s="233">
        <v>46095</v>
      </c>
      <c r="B75" s="234" t="s">
        <v>392</v>
      </c>
      <c r="C75" s="235"/>
      <c r="D75" s="234"/>
      <c r="E75" s="234"/>
      <c r="F75" s="234"/>
      <c r="G75" s="234"/>
      <c r="H75" s="234"/>
      <c r="J75" s="248"/>
      <c r="K75" s="244"/>
      <c r="L75" s="244"/>
      <c r="M75" s="244"/>
    </row>
    <row r="76" spans="1:13" s="236" customFormat="1" ht="13.5" x14ac:dyDescent="0.25">
      <c r="A76" s="233">
        <v>46095</v>
      </c>
      <c r="B76" s="234" t="s">
        <v>393</v>
      </c>
      <c r="C76" s="235"/>
      <c r="D76" s="234"/>
      <c r="E76" s="234"/>
      <c r="F76" s="234"/>
      <c r="G76" s="234"/>
      <c r="H76" s="234"/>
      <c r="J76" s="248"/>
      <c r="K76" s="244"/>
      <c r="L76" s="244"/>
      <c r="M76" s="244"/>
    </row>
    <row r="77" spans="1:13" s="236" customFormat="1" ht="13.5" x14ac:dyDescent="0.25">
      <c r="A77" s="233">
        <v>46095</v>
      </c>
      <c r="B77" s="234" t="s">
        <v>394</v>
      </c>
      <c r="C77" s="235"/>
      <c r="D77" s="234"/>
      <c r="E77" s="234"/>
      <c r="F77" s="234"/>
      <c r="G77" s="234"/>
      <c r="H77" s="234"/>
      <c r="J77" s="248"/>
      <c r="K77" s="244"/>
      <c r="L77" s="244"/>
      <c r="M77" s="244"/>
    </row>
    <row r="78" spans="1:13" s="236" customFormat="1" ht="13.5" x14ac:dyDescent="0.25">
      <c r="A78" s="233">
        <v>46095</v>
      </c>
      <c r="B78" s="234" t="s">
        <v>395</v>
      </c>
      <c r="C78" s="235"/>
      <c r="D78" s="234"/>
      <c r="E78" s="234"/>
      <c r="F78" s="234"/>
      <c r="G78" s="234"/>
      <c r="H78" s="234"/>
      <c r="J78" s="248"/>
      <c r="K78" s="244"/>
      <c r="L78" s="244"/>
      <c r="M78" s="244"/>
    </row>
    <row r="79" spans="1:13" s="236" customFormat="1" ht="13.5" x14ac:dyDescent="0.25">
      <c r="A79" s="233">
        <v>46095</v>
      </c>
      <c r="B79" s="234" t="s">
        <v>396</v>
      </c>
      <c r="C79" s="235"/>
      <c r="D79" s="234"/>
      <c r="E79" s="234"/>
      <c r="F79" s="234"/>
      <c r="G79" s="234"/>
      <c r="H79" s="234"/>
      <c r="J79" s="248"/>
      <c r="K79" s="244"/>
      <c r="L79" s="244"/>
      <c r="M79" s="244"/>
    </row>
    <row r="80" spans="1:13" s="236" customFormat="1" ht="13.5" x14ac:dyDescent="0.25">
      <c r="A80" s="233">
        <v>46095</v>
      </c>
      <c r="B80" s="234" t="s">
        <v>397</v>
      </c>
      <c r="C80" s="235"/>
      <c r="D80" s="234"/>
      <c r="E80" s="234"/>
      <c r="F80" s="234"/>
      <c r="G80" s="234"/>
      <c r="H80" s="234"/>
      <c r="J80" s="248"/>
      <c r="K80" s="244"/>
      <c r="L80" s="244"/>
      <c r="M80" s="244"/>
    </row>
    <row r="81" spans="1:13" s="236" customFormat="1" ht="13.5" x14ac:dyDescent="0.25">
      <c r="A81" s="233">
        <v>46095</v>
      </c>
      <c r="B81" s="234" t="s">
        <v>398</v>
      </c>
      <c r="C81" s="235"/>
      <c r="D81" s="234"/>
      <c r="E81" s="234"/>
      <c r="F81" s="234"/>
      <c r="G81" s="234"/>
      <c r="H81" s="234"/>
      <c r="J81" s="248"/>
      <c r="K81" s="244"/>
      <c r="L81" s="244"/>
      <c r="M81" s="244"/>
    </row>
    <row r="82" spans="1:13" s="236" customFormat="1" ht="13.5" x14ac:dyDescent="0.25">
      <c r="A82" s="233">
        <v>46095</v>
      </c>
      <c r="B82" s="234" t="s">
        <v>399</v>
      </c>
      <c r="C82" s="235"/>
      <c r="D82" s="234"/>
      <c r="E82" s="234"/>
      <c r="F82" s="234"/>
      <c r="G82" s="234"/>
      <c r="H82" s="234"/>
      <c r="J82" s="248"/>
      <c r="K82" s="244"/>
      <c r="L82" s="244"/>
      <c r="M82" s="244"/>
    </row>
    <row r="83" spans="1:13" s="236" customFormat="1" ht="13.5" x14ac:dyDescent="0.25">
      <c r="A83" s="233">
        <v>46095</v>
      </c>
      <c r="B83" s="234" t="s">
        <v>400</v>
      </c>
      <c r="C83" s="235"/>
      <c r="D83" s="234"/>
      <c r="E83" s="234"/>
      <c r="F83" s="234"/>
      <c r="G83" s="234"/>
      <c r="H83" s="234"/>
      <c r="J83" s="248"/>
      <c r="K83" s="244"/>
      <c r="L83" s="244"/>
      <c r="M83" s="244"/>
    </row>
    <row r="84" spans="1:13" s="236" customFormat="1" ht="13.5" x14ac:dyDescent="0.25">
      <c r="A84" s="233">
        <v>46095</v>
      </c>
      <c r="B84" s="234" t="s">
        <v>401</v>
      </c>
      <c r="C84" s="235"/>
      <c r="D84" s="234"/>
      <c r="E84" s="234"/>
      <c r="F84" s="234"/>
      <c r="G84" s="234"/>
      <c r="H84" s="234"/>
    </row>
    <row r="85" spans="1:13" s="236" customFormat="1" ht="13.5" x14ac:dyDescent="0.25">
      <c r="A85" s="233">
        <v>46095</v>
      </c>
      <c r="B85" s="234" t="s">
        <v>402</v>
      </c>
      <c r="C85" s="235"/>
      <c r="D85" s="234"/>
      <c r="E85" s="234"/>
      <c r="F85" s="234"/>
      <c r="G85" s="234"/>
      <c r="H85" s="234"/>
    </row>
    <row r="86" spans="1:13" s="236" customFormat="1" ht="13.5" x14ac:dyDescent="0.25">
      <c r="A86" s="233">
        <v>46095</v>
      </c>
      <c r="B86" s="234" t="s">
        <v>403</v>
      </c>
      <c r="C86" s="235"/>
      <c r="D86" s="234"/>
      <c r="E86" s="234"/>
      <c r="F86" s="234"/>
      <c r="G86" s="234"/>
      <c r="H86" s="234"/>
    </row>
    <row r="87" spans="1:13" s="236" customFormat="1" ht="13.5" x14ac:dyDescent="0.25">
      <c r="A87" s="233">
        <v>46095</v>
      </c>
      <c r="B87" s="234" t="s">
        <v>404</v>
      </c>
      <c r="C87" s="235"/>
      <c r="D87" s="234"/>
      <c r="E87" s="234"/>
      <c r="F87" s="234"/>
      <c r="G87" s="234"/>
      <c r="H87" s="234"/>
    </row>
    <row r="88" spans="1:13" s="236" customFormat="1" ht="13.5" x14ac:dyDescent="0.25">
      <c r="A88" s="233">
        <v>46095</v>
      </c>
      <c r="B88" s="234" t="s">
        <v>405</v>
      </c>
      <c r="C88" s="235"/>
      <c r="D88" s="234"/>
      <c r="E88" s="234"/>
      <c r="F88" s="234"/>
      <c r="G88" s="234"/>
      <c r="H88" s="234"/>
      <c r="J88" s="248"/>
      <c r="K88" s="244"/>
      <c r="L88" s="244"/>
      <c r="M88" s="244"/>
    </row>
    <row r="89" spans="1:13" s="236" customFormat="1" ht="13.5" x14ac:dyDescent="0.25">
      <c r="A89" s="233">
        <v>46095</v>
      </c>
      <c r="B89" s="234" t="s">
        <v>406</v>
      </c>
      <c r="C89" s="235"/>
      <c r="D89" s="234"/>
      <c r="E89" s="234"/>
      <c r="F89" s="234"/>
      <c r="G89" s="234"/>
      <c r="H89" s="234"/>
      <c r="J89" s="248"/>
      <c r="K89" s="244"/>
      <c r="L89" s="244"/>
      <c r="M89" s="244"/>
    </row>
    <row r="90" spans="1:13" s="236" customFormat="1" ht="13.5" x14ac:dyDescent="0.25">
      <c r="A90" s="233">
        <v>46095</v>
      </c>
      <c r="B90" s="234" t="s">
        <v>407</v>
      </c>
      <c r="C90" s="235"/>
      <c r="D90" s="234"/>
      <c r="E90" s="234"/>
      <c r="F90" s="234"/>
      <c r="G90" s="234"/>
      <c r="H90" s="234"/>
      <c r="J90" s="248"/>
      <c r="K90" s="244"/>
      <c r="L90" s="244"/>
      <c r="M90" s="244"/>
    </row>
    <row r="91" spans="1:13" s="236" customFormat="1" ht="13.5" x14ac:dyDescent="0.25">
      <c r="A91" s="233">
        <v>46095</v>
      </c>
      <c r="B91" s="234" t="s">
        <v>408</v>
      </c>
      <c r="C91" s="235"/>
      <c r="D91" s="234"/>
      <c r="E91" s="234"/>
      <c r="F91" s="234"/>
      <c r="G91" s="234"/>
      <c r="H91" s="234"/>
      <c r="J91" s="248"/>
      <c r="K91" s="244"/>
      <c r="L91" s="244"/>
      <c r="M91" s="244"/>
    </row>
    <row r="92" spans="1:13" s="236" customFormat="1" ht="13.5" x14ac:dyDescent="0.25">
      <c r="A92" s="233">
        <v>46095</v>
      </c>
      <c r="B92" s="234" t="s">
        <v>409</v>
      </c>
      <c r="C92" s="235"/>
      <c r="D92" s="234"/>
      <c r="E92" s="234"/>
      <c r="F92" s="234"/>
      <c r="G92" s="234"/>
      <c r="H92" s="234"/>
      <c r="J92" s="248"/>
      <c r="K92" s="244"/>
      <c r="L92" s="244"/>
      <c r="M92" s="244"/>
    </row>
    <row r="93" spans="1:13" s="236" customFormat="1" ht="13.5" x14ac:dyDescent="0.25">
      <c r="A93" s="233">
        <v>46095</v>
      </c>
      <c r="B93" s="234" t="s">
        <v>410</v>
      </c>
      <c r="C93" s="235"/>
      <c r="D93" s="234"/>
      <c r="E93" s="234"/>
      <c r="F93" s="234"/>
      <c r="G93" s="234"/>
      <c r="H93" s="234"/>
      <c r="J93" s="248"/>
      <c r="K93" s="244"/>
      <c r="L93" s="244"/>
      <c r="M93" s="244"/>
    </row>
    <row r="94" spans="1:13" s="236" customFormat="1" ht="13.5" x14ac:dyDescent="0.25">
      <c r="A94" s="233">
        <v>46095</v>
      </c>
      <c r="B94" s="234" t="s">
        <v>411</v>
      </c>
      <c r="C94" s="235"/>
      <c r="D94" s="234"/>
      <c r="E94" s="234"/>
      <c r="F94" s="234"/>
      <c r="G94" s="234"/>
      <c r="H94" s="234"/>
      <c r="J94" s="248"/>
      <c r="K94" s="244"/>
      <c r="L94" s="244"/>
      <c r="M94" s="244"/>
    </row>
    <row r="95" spans="1:13" s="236" customFormat="1" ht="13.5" x14ac:dyDescent="0.25">
      <c r="A95" s="233">
        <v>46095</v>
      </c>
      <c r="B95" s="234" t="s">
        <v>412</v>
      </c>
      <c r="C95" s="235"/>
      <c r="D95" s="234"/>
      <c r="E95" s="234"/>
      <c r="F95" s="234"/>
      <c r="G95" s="234"/>
      <c r="H95" s="234"/>
      <c r="J95" s="248"/>
      <c r="K95" s="244"/>
      <c r="L95" s="244"/>
      <c r="M95" s="244"/>
    </row>
    <row r="96" spans="1:13" s="236" customFormat="1" ht="13.5" x14ac:dyDescent="0.25">
      <c r="A96" s="233">
        <v>46095</v>
      </c>
      <c r="B96" s="234" t="s">
        <v>413</v>
      </c>
      <c r="C96" s="235"/>
      <c r="D96" s="234"/>
      <c r="E96" s="234"/>
      <c r="F96" s="234"/>
      <c r="G96" s="234"/>
      <c r="H96" s="234"/>
      <c r="J96" s="248"/>
      <c r="K96" s="244"/>
      <c r="L96" s="244"/>
      <c r="M96" s="244"/>
    </row>
    <row r="97" spans="1:13" s="236" customFormat="1" ht="13.5" x14ac:dyDescent="0.25">
      <c r="A97" s="233">
        <v>46095</v>
      </c>
      <c r="B97" s="234" t="s">
        <v>414</v>
      </c>
      <c r="C97" s="235"/>
      <c r="D97" s="234"/>
      <c r="E97" s="234"/>
      <c r="F97" s="234"/>
      <c r="G97" s="234"/>
      <c r="H97" s="234"/>
      <c r="J97" s="248"/>
      <c r="K97" s="244"/>
      <c r="L97" s="244"/>
      <c r="M97" s="244"/>
    </row>
    <row r="98" spans="1:13" s="236" customFormat="1" ht="13.5" x14ac:dyDescent="0.25">
      <c r="A98" s="233">
        <v>46095</v>
      </c>
      <c r="B98" s="234" t="s">
        <v>415</v>
      </c>
      <c r="C98" s="235"/>
      <c r="D98" s="234"/>
      <c r="E98" s="234"/>
      <c r="F98" s="234"/>
      <c r="G98" s="234"/>
      <c r="H98" s="234"/>
      <c r="J98" s="248"/>
      <c r="K98" s="244"/>
      <c r="L98" s="244"/>
      <c r="M98" s="244"/>
    </row>
    <row r="99" spans="1:13" s="236" customFormat="1" ht="13.5" x14ac:dyDescent="0.25">
      <c r="A99" s="233">
        <v>46095</v>
      </c>
      <c r="B99" s="234" t="s">
        <v>416</v>
      </c>
      <c r="C99" s="235"/>
      <c r="D99" s="234"/>
      <c r="E99" s="234"/>
      <c r="F99" s="234"/>
      <c r="G99" s="234"/>
      <c r="H99" s="234"/>
      <c r="J99" s="248"/>
      <c r="K99" s="244"/>
      <c r="L99" s="244"/>
      <c r="M99" s="244"/>
    </row>
    <row r="100" spans="1:13" s="236" customFormat="1" ht="13.5" x14ac:dyDescent="0.25">
      <c r="A100" s="233">
        <v>46095</v>
      </c>
      <c r="B100" s="234" t="s">
        <v>417</v>
      </c>
      <c r="C100" s="235"/>
      <c r="D100" s="234"/>
      <c r="E100" s="234"/>
      <c r="F100" s="234"/>
      <c r="G100" s="234"/>
      <c r="H100" s="234"/>
      <c r="J100" s="248"/>
      <c r="K100" s="244"/>
      <c r="L100" s="244"/>
      <c r="M100" s="244"/>
    </row>
    <row r="101" spans="1:13" s="236" customFormat="1" ht="13.5" x14ac:dyDescent="0.25">
      <c r="A101" s="233">
        <v>46095</v>
      </c>
      <c r="B101" s="234" t="s">
        <v>418</v>
      </c>
      <c r="C101" s="235"/>
      <c r="D101" s="234"/>
      <c r="E101" s="234"/>
      <c r="F101" s="234"/>
      <c r="G101" s="234"/>
      <c r="H101" s="234"/>
      <c r="J101" s="248"/>
      <c r="K101" s="244"/>
      <c r="L101" s="244"/>
      <c r="M101" s="244"/>
    </row>
    <row r="102" spans="1:13" s="236" customFormat="1" ht="13.5" x14ac:dyDescent="0.25">
      <c r="A102" s="233">
        <v>46095</v>
      </c>
      <c r="B102" s="234" t="s">
        <v>419</v>
      </c>
      <c r="C102" s="235"/>
      <c r="D102" s="234"/>
      <c r="E102" s="234"/>
      <c r="F102" s="234"/>
      <c r="G102" s="234"/>
      <c r="H102" s="234"/>
      <c r="J102" s="248"/>
      <c r="K102" s="244"/>
      <c r="L102" s="244"/>
      <c r="M102" s="244"/>
    </row>
    <row r="103" spans="1:13" s="236" customFormat="1" ht="13.5" x14ac:dyDescent="0.25">
      <c r="A103" s="233">
        <v>46095</v>
      </c>
      <c r="B103" s="234" t="s">
        <v>420</v>
      </c>
      <c r="C103" s="235"/>
      <c r="D103" s="234"/>
      <c r="E103" s="234"/>
      <c r="F103" s="234"/>
      <c r="G103" s="234"/>
      <c r="H103" s="234"/>
      <c r="J103" s="248"/>
      <c r="K103" s="244"/>
      <c r="L103" s="244"/>
      <c r="M103" s="244"/>
    </row>
    <row r="104" spans="1:13" s="236" customFormat="1" ht="13.5" x14ac:dyDescent="0.25">
      <c r="A104" s="233">
        <v>46095</v>
      </c>
      <c r="B104" s="234" t="s">
        <v>421</v>
      </c>
      <c r="C104" s="235"/>
      <c r="D104" s="234"/>
      <c r="E104" s="234"/>
      <c r="F104" s="234"/>
      <c r="G104" s="234"/>
      <c r="H104" s="234"/>
      <c r="J104" s="248"/>
      <c r="K104" s="244"/>
      <c r="L104" s="244"/>
      <c r="M104" s="244"/>
    </row>
    <row r="105" spans="1:13" s="236" customFormat="1" ht="13.5" x14ac:dyDescent="0.25">
      <c r="A105" s="233">
        <v>46095</v>
      </c>
      <c r="B105" s="234" t="s">
        <v>422</v>
      </c>
      <c r="C105" s="235"/>
      <c r="D105" s="234"/>
      <c r="E105" s="234"/>
      <c r="F105" s="234"/>
      <c r="G105" s="234"/>
      <c r="H105" s="234"/>
      <c r="J105" s="248"/>
      <c r="K105" s="244"/>
      <c r="L105" s="244"/>
      <c r="M105" s="244"/>
    </row>
    <row r="106" spans="1:13" s="236" customFormat="1" ht="13.5" x14ac:dyDescent="0.25">
      <c r="A106" s="233">
        <v>46095</v>
      </c>
      <c r="B106" s="234" t="s">
        <v>423</v>
      </c>
      <c r="C106" s="235"/>
      <c r="D106" s="234"/>
      <c r="E106" s="234"/>
      <c r="F106" s="234"/>
      <c r="G106" s="234"/>
      <c r="H106" s="234"/>
      <c r="J106" s="248"/>
      <c r="K106" s="244"/>
      <c r="L106" s="244"/>
      <c r="M106" s="244"/>
    </row>
    <row r="107" spans="1:13" s="236" customFormat="1" ht="13.5" x14ac:dyDescent="0.25">
      <c r="A107" s="233">
        <v>46095</v>
      </c>
      <c r="B107" s="234" t="s">
        <v>425</v>
      </c>
      <c r="C107" s="235"/>
      <c r="D107" s="234"/>
      <c r="E107" s="234"/>
      <c r="F107" s="234"/>
      <c r="G107" s="234"/>
      <c r="H107" s="234"/>
      <c r="J107" s="248"/>
      <c r="K107" s="244"/>
      <c r="L107" s="244"/>
      <c r="M107" s="244"/>
    </row>
    <row r="108" spans="1:13" s="236" customFormat="1" ht="13.5" x14ac:dyDescent="0.25">
      <c r="A108" s="233">
        <v>46095</v>
      </c>
      <c r="B108" s="234" t="s">
        <v>426</v>
      </c>
      <c r="C108" s="235"/>
      <c r="D108" s="234"/>
      <c r="E108" s="234"/>
      <c r="F108" s="234"/>
      <c r="G108" s="234"/>
      <c r="H108" s="234"/>
    </row>
    <row r="109" spans="1:13" s="236" customFormat="1" ht="13.5" x14ac:dyDescent="0.25">
      <c r="A109" s="233">
        <v>46095</v>
      </c>
      <c r="B109" s="234" t="s">
        <v>427</v>
      </c>
      <c r="C109" s="235"/>
      <c r="D109" s="234"/>
      <c r="E109" s="234"/>
      <c r="F109" s="234"/>
      <c r="G109" s="234"/>
      <c r="H109" s="234"/>
    </row>
    <row r="110" spans="1:13" s="236" customFormat="1" ht="13.5" x14ac:dyDescent="0.25">
      <c r="A110" s="233">
        <v>46095</v>
      </c>
      <c r="B110" s="234" t="s">
        <v>428</v>
      </c>
      <c r="C110" s="235"/>
      <c r="D110" s="234"/>
      <c r="E110" s="234"/>
      <c r="F110" s="234"/>
      <c r="G110" s="234"/>
      <c r="H110" s="234"/>
      <c r="J110" s="248"/>
      <c r="K110" s="244"/>
      <c r="L110" s="244"/>
      <c r="M110" s="244"/>
    </row>
    <row r="111" spans="1:13" s="236" customFormat="1" ht="13.5" x14ac:dyDescent="0.25">
      <c r="A111" s="233">
        <v>46095</v>
      </c>
      <c r="B111" s="234" t="s">
        <v>429</v>
      </c>
      <c r="C111" s="235"/>
      <c r="D111" s="234"/>
      <c r="E111" s="234"/>
      <c r="F111" s="234"/>
      <c r="G111" s="234"/>
      <c r="H111" s="234"/>
      <c r="J111" s="248"/>
      <c r="K111" s="244"/>
      <c r="L111" s="244"/>
      <c r="M111" s="244"/>
    </row>
    <row r="112" spans="1:13" s="236" customFormat="1" ht="13.5" x14ac:dyDescent="0.25">
      <c r="A112" s="233">
        <v>46095</v>
      </c>
      <c r="B112" s="234" t="s">
        <v>430</v>
      </c>
      <c r="C112" s="235"/>
      <c r="D112" s="234"/>
      <c r="E112" s="234"/>
      <c r="F112" s="234"/>
      <c r="G112" s="234"/>
      <c r="H112" s="234"/>
      <c r="J112" s="248"/>
      <c r="K112" s="244"/>
      <c r="L112" s="244"/>
      <c r="M112" s="244"/>
    </row>
    <row r="113" spans="1:13" s="236" customFormat="1" ht="13.5" x14ac:dyDescent="0.25">
      <c r="A113" s="233">
        <v>46095</v>
      </c>
      <c r="B113" s="234" t="s">
        <v>431</v>
      </c>
      <c r="C113" s="235"/>
      <c r="D113" s="234"/>
      <c r="E113" s="234"/>
      <c r="F113" s="234"/>
      <c r="G113" s="234"/>
      <c r="H113" s="234"/>
    </row>
    <row r="114" spans="1:13" s="236" customFormat="1" ht="13.5" x14ac:dyDescent="0.25">
      <c r="A114" s="233">
        <v>46095</v>
      </c>
      <c r="B114" s="234" t="s">
        <v>432</v>
      </c>
      <c r="C114" s="235"/>
      <c r="D114" s="234"/>
      <c r="E114" s="234"/>
      <c r="F114" s="234"/>
      <c r="G114" s="234"/>
      <c r="H114" s="234"/>
    </row>
    <row r="115" spans="1:13" s="236" customFormat="1" ht="13.5" x14ac:dyDescent="0.25">
      <c r="A115" s="233">
        <v>46095</v>
      </c>
      <c r="B115" s="234" t="s">
        <v>433</v>
      </c>
      <c r="C115" s="235"/>
      <c r="D115" s="234"/>
      <c r="E115" s="234"/>
      <c r="F115" s="234"/>
      <c r="G115" s="234"/>
      <c r="H115" s="234"/>
    </row>
    <row r="116" spans="1:13" s="236" customFormat="1" ht="13.5" x14ac:dyDescent="0.25">
      <c r="A116" s="233">
        <v>46095</v>
      </c>
      <c r="B116" s="234" t="s">
        <v>434</v>
      </c>
      <c r="C116" s="235"/>
      <c r="D116" s="234"/>
      <c r="E116" s="234"/>
      <c r="F116" s="234"/>
      <c r="G116" s="234"/>
      <c r="H116" s="234"/>
    </row>
    <row r="117" spans="1:13" s="236" customFormat="1" ht="13.5" x14ac:dyDescent="0.25">
      <c r="A117" s="233">
        <v>46095</v>
      </c>
      <c r="B117" s="234" t="s">
        <v>435</v>
      </c>
      <c r="C117" s="235"/>
      <c r="D117" s="234"/>
      <c r="E117" s="234"/>
      <c r="F117" s="234"/>
      <c r="G117" s="234"/>
      <c r="H117" s="234"/>
      <c r="J117" s="248"/>
      <c r="K117" s="244"/>
      <c r="L117" s="244"/>
      <c r="M117" s="244"/>
    </row>
    <row r="118" spans="1:13" s="236" customFormat="1" ht="13.5" x14ac:dyDescent="0.25">
      <c r="A118" s="233">
        <v>46095</v>
      </c>
      <c r="B118" s="234" t="s">
        <v>436</v>
      </c>
      <c r="C118" s="235"/>
      <c r="D118" s="234"/>
      <c r="E118" s="234"/>
      <c r="F118" s="234"/>
      <c r="G118" s="234"/>
      <c r="H118" s="234"/>
    </row>
    <row r="119" spans="1:13" s="236" customFormat="1" ht="13.5" x14ac:dyDescent="0.25">
      <c r="A119" s="233">
        <v>46095</v>
      </c>
      <c r="B119" s="234" t="s">
        <v>437</v>
      </c>
      <c r="C119" s="235"/>
      <c r="D119" s="234"/>
      <c r="E119" s="234"/>
      <c r="F119" s="234"/>
      <c r="G119" s="234"/>
      <c r="H119" s="234"/>
    </row>
    <row r="120" spans="1:13" s="236" customFormat="1" ht="13.5" x14ac:dyDescent="0.25">
      <c r="A120" s="233">
        <v>46095</v>
      </c>
      <c r="B120" s="234" t="s">
        <v>438</v>
      </c>
      <c r="C120" s="235"/>
      <c r="D120" s="234"/>
      <c r="E120" s="234"/>
      <c r="F120" s="234"/>
      <c r="G120" s="234"/>
      <c r="H120" s="234"/>
    </row>
    <row r="121" spans="1:13" s="236" customFormat="1" ht="13.5" x14ac:dyDescent="0.25">
      <c r="A121" s="233">
        <v>46095</v>
      </c>
      <c r="B121" s="234" t="s">
        <v>439</v>
      </c>
      <c r="C121" s="235"/>
      <c r="D121" s="234"/>
      <c r="E121" s="234"/>
      <c r="F121" s="234"/>
      <c r="G121" s="234"/>
      <c r="H121" s="234"/>
    </row>
    <row r="122" spans="1:13" s="236" customFormat="1" ht="13.5" x14ac:dyDescent="0.25">
      <c r="A122" s="233">
        <v>46095</v>
      </c>
      <c r="B122" s="234" t="s">
        <v>440</v>
      </c>
      <c r="C122" s="235"/>
      <c r="D122" s="234"/>
      <c r="E122" s="234"/>
      <c r="F122" s="234"/>
      <c r="G122" s="234"/>
      <c r="H122" s="234"/>
    </row>
    <row r="123" spans="1:13" s="236" customFormat="1" ht="13.5" x14ac:dyDescent="0.25">
      <c r="A123" s="233">
        <v>46095</v>
      </c>
      <c r="B123" s="234" t="s">
        <v>441</v>
      </c>
      <c r="C123" s="235"/>
      <c r="D123" s="234"/>
      <c r="E123" s="234"/>
      <c r="F123" s="234"/>
      <c r="G123" s="234"/>
      <c r="H123" s="234"/>
    </row>
    <row r="124" spans="1:13" s="236" customFormat="1" ht="13.5" x14ac:dyDescent="0.25">
      <c r="A124" s="233">
        <v>46083</v>
      </c>
      <c r="B124" s="234" t="s">
        <v>474</v>
      </c>
      <c r="C124" s="235"/>
      <c r="D124" s="234"/>
      <c r="E124" s="234"/>
      <c r="F124" s="234"/>
      <c r="G124" s="234"/>
      <c r="H124" s="234"/>
    </row>
    <row r="125" spans="1:13" s="236" customFormat="1" ht="13.5" x14ac:dyDescent="0.25">
      <c r="A125" s="250">
        <v>46095</v>
      </c>
      <c r="B125" s="234" t="s">
        <v>486</v>
      </c>
      <c r="C125" s="235"/>
      <c r="D125" s="234"/>
      <c r="E125" s="234"/>
      <c r="F125" s="234"/>
      <c r="G125" s="234"/>
      <c r="H125" s="250" t="s">
        <v>517</v>
      </c>
    </row>
    <row r="126" spans="1:13" s="236" customFormat="1" ht="13.5" x14ac:dyDescent="0.25">
      <c r="A126" s="250">
        <v>46095</v>
      </c>
      <c r="B126" s="234" t="s">
        <v>487</v>
      </c>
      <c r="C126" s="235"/>
      <c r="D126" s="234"/>
      <c r="E126" s="234"/>
      <c r="F126" s="234"/>
      <c r="G126" s="234"/>
      <c r="H126" s="250" t="s">
        <v>517</v>
      </c>
    </row>
    <row r="127" spans="1:13" s="236" customFormat="1" ht="13.5" x14ac:dyDescent="0.25">
      <c r="A127" s="250">
        <v>46095</v>
      </c>
      <c r="B127" s="234" t="s">
        <v>488</v>
      </c>
      <c r="C127" s="235"/>
      <c r="D127" s="234"/>
      <c r="E127" s="234"/>
      <c r="F127" s="234"/>
      <c r="G127" s="234"/>
      <c r="H127" s="250" t="s">
        <v>517</v>
      </c>
    </row>
    <row r="128" spans="1:13" s="236" customFormat="1" ht="13.5" x14ac:dyDescent="0.25">
      <c r="A128" s="250">
        <v>46095</v>
      </c>
      <c r="B128" s="234" t="s">
        <v>489</v>
      </c>
      <c r="C128" s="235"/>
      <c r="D128" s="234"/>
      <c r="E128" s="234"/>
      <c r="F128" s="234"/>
      <c r="G128" s="234"/>
      <c r="H128" s="250" t="s">
        <v>517</v>
      </c>
      <c r="J128" s="248"/>
      <c r="K128" s="244"/>
      <c r="L128" s="244"/>
      <c r="M128" s="244"/>
    </row>
    <row r="129" spans="1:13" s="236" customFormat="1" ht="13.5" x14ac:dyDescent="0.25">
      <c r="A129" s="250">
        <v>46095</v>
      </c>
      <c r="B129" s="234" t="s">
        <v>490</v>
      </c>
      <c r="C129" s="235"/>
      <c r="D129" s="234"/>
      <c r="E129" s="234"/>
      <c r="F129" s="234"/>
      <c r="G129" s="234"/>
      <c r="H129" s="250" t="s">
        <v>517</v>
      </c>
      <c r="J129" s="248"/>
      <c r="K129" s="244"/>
      <c r="L129" s="244"/>
      <c r="M129" s="244"/>
    </row>
    <row r="130" spans="1:13" s="236" customFormat="1" ht="13.5" x14ac:dyDescent="0.25">
      <c r="A130" s="250">
        <v>46095</v>
      </c>
      <c r="B130" s="234" t="s">
        <v>491</v>
      </c>
      <c r="C130" s="235"/>
      <c r="D130" s="234"/>
      <c r="E130" s="234"/>
      <c r="F130" s="234"/>
      <c r="G130" s="234"/>
      <c r="H130" s="250" t="s">
        <v>517</v>
      </c>
      <c r="J130" s="248"/>
      <c r="K130" s="244"/>
      <c r="L130" s="244"/>
      <c r="M130" s="244"/>
    </row>
    <row r="131" spans="1:13" s="236" customFormat="1" ht="13.5" x14ac:dyDescent="0.25">
      <c r="A131" s="250">
        <v>46095</v>
      </c>
      <c r="B131" s="234" t="s">
        <v>492</v>
      </c>
      <c r="C131" s="235"/>
      <c r="D131" s="234"/>
      <c r="E131" s="234"/>
      <c r="F131" s="234"/>
      <c r="G131" s="234"/>
      <c r="H131" s="250" t="s">
        <v>517</v>
      </c>
      <c r="J131" s="248"/>
      <c r="K131" s="244"/>
      <c r="L131" s="244"/>
      <c r="M131" s="244"/>
    </row>
    <row r="132" spans="1:13" s="236" customFormat="1" ht="13.5" x14ac:dyDescent="0.25">
      <c r="A132" s="250">
        <v>46095</v>
      </c>
      <c r="B132" s="234" t="s">
        <v>493</v>
      </c>
      <c r="C132" s="235"/>
      <c r="D132" s="234"/>
      <c r="E132" s="234"/>
      <c r="F132" s="234"/>
      <c r="G132" s="234"/>
      <c r="H132" s="250" t="s">
        <v>517</v>
      </c>
      <c r="J132" s="248"/>
      <c r="K132" s="244"/>
      <c r="L132" s="244"/>
      <c r="M132" s="244"/>
    </row>
    <row r="133" spans="1:13" s="236" customFormat="1" ht="13.5" x14ac:dyDescent="0.25">
      <c r="A133" s="250">
        <v>46095</v>
      </c>
      <c r="B133" s="234" t="s">
        <v>494</v>
      </c>
      <c r="C133" s="235"/>
      <c r="D133" s="234"/>
      <c r="E133" s="234"/>
      <c r="F133" s="234"/>
      <c r="G133" s="234"/>
      <c r="H133" s="250" t="s">
        <v>517</v>
      </c>
      <c r="J133" s="248"/>
      <c r="K133" s="244"/>
      <c r="L133" s="244"/>
      <c r="M133" s="244"/>
    </row>
    <row r="134" spans="1:13" s="236" customFormat="1" ht="13.5" x14ac:dyDescent="0.25">
      <c r="A134" s="250">
        <v>46095</v>
      </c>
      <c r="B134" s="234" t="s">
        <v>495</v>
      </c>
      <c r="C134" s="235"/>
      <c r="D134" s="234"/>
      <c r="E134" s="234"/>
      <c r="F134" s="234"/>
      <c r="G134" s="234"/>
      <c r="H134" s="250" t="s">
        <v>517</v>
      </c>
      <c r="J134" s="248"/>
      <c r="K134" s="244"/>
      <c r="L134" s="244"/>
      <c r="M134" s="244"/>
    </row>
    <row r="135" spans="1:13" s="236" customFormat="1" ht="13.5" x14ac:dyDescent="0.25">
      <c r="A135" s="250">
        <v>46095</v>
      </c>
      <c r="B135" s="234" t="s">
        <v>496</v>
      </c>
      <c r="C135" s="235"/>
      <c r="D135" s="234"/>
      <c r="E135" s="234"/>
      <c r="F135" s="234"/>
      <c r="G135" s="234"/>
      <c r="H135" s="250" t="s">
        <v>517</v>
      </c>
    </row>
    <row r="136" spans="1:13" s="236" customFormat="1" ht="13.5" x14ac:dyDescent="0.25">
      <c r="A136" s="250">
        <v>46095</v>
      </c>
      <c r="B136" s="234" t="s">
        <v>497</v>
      </c>
      <c r="C136" s="235"/>
      <c r="D136" s="234"/>
      <c r="E136" s="234"/>
      <c r="F136" s="234"/>
      <c r="G136" s="234"/>
      <c r="H136" s="250" t="s">
        <v>517</v>
      </c>
      <c r="J136" s="248"/>
      <c r="K136" s="244"/>
      <c r="L136" s="244"/>
      <c r="M136" s="244"/>
    </row>
    <row r="137" spans="1:13" s="236" customFormat="1" ht="13.5" x14ac:dyDescent="0.25">
      <c r="A137" s="250">
        <v>46095</v>
      </c>
      <c r="B137" s="234" t="s">
        <v>498</v>
      </c>
      <c r="C137" s="235"/>
      <c r="D137" s="234"/>
      <c r="E137" s="234"/>
      <c r="F137" s="234"/>
      <c r="G137" s="234"/>
      <c r="H137" s="250" t="s">
        <v>517</v>
      </c>
      <c r="J137" s="248"/>
      <c r="K137" s="244"/>
      <c r="L137" s="244"/>
      <c r="M137" s="244"/>
    </row>
    <row r="138" spans="1:13" s="236" customFormat="1" ht="13.5" x14ac:dyDescent="0.25">
      <c r="A138" s="250">
        <v>46095</v>
      </c>
      <c r="B138" s="234" t="s">
        <v>499</v>
      </c>
      <c r="C138" s="235"/>
      <c r="D138" s="234"/>
      <c r="E138" s="234"/>
      <c r="F138" s="234"/>
      <c r="G138" s="234"/>
      <c r="H138" s="250" t="s">
        <v>517</v>
      </c>
      <c r="J138" s="248"/>
      <c r="K138" s="244"/>
      <c r="L138" s="244"/>
      <c r="M138" s="244"/>
    </row>
    <row r="139" spans="1:13" s="236" customFormat="1" ht="13.5" x14ac:dyDescent="0.25">
      <c r="A139" s="250">
        <v>46095</v>
      </c>
      <c r="B139" s="234" t="s">
        <v>500</v>
      </c>
      <c r="C139" s="235"/>
      <c r="D139" s="234"/>
      <c r="E139" s="234"/>
      <c r="F139" s="234"/>
      <c r="G139" s="234"/>
      <c r="H139" s="250" t="s">
        <v>517</v>
      </c>
      <c r="J139" s="248"/>
      <c r="K139" s="244"/>
      <c r="L139" s="244"/>
      <c r="M139" s="244"/>
    </row>
    <row r="140" spans="1:13" s="236" customFormat="1" ht="13.5" x14ac:dyDescent="0.25">
      <c r="A140" s="250">
        <v>46095</v>
      </c>
      <c r="B140" s="234" t="s">
        <v>501</v>
      </c>
      <c r="C140" s="235"/>
      <c r="D140" s="234"/>
      <c r="E140" s="234"/>
      <c r="F140" s="234"/>
      <c r="G140" s="234"/>
      <c r="H140" s="250" t="s">
        <v>517</v>
      </c>
      <c r="J140" s="248"/>
      <c r="K140" s="244"/>
      <c r="L140" s="244"/>
      <c r="M140" s="244"/>
    </row>
    <row r="141" spans="1:13" s="236" customFormat="1" ht="13.5" x14ac:dyDescent="0.25">
      <c r="A141" s="250">
        <v>46095</v>
      </c>
      <c r="B141" s="234" t="s">
        <v>502</v>
      </c>
      <c r="C141" s="235"/>
      <c r="D141" s="234"/>
      <c r="E141" s="234"/>
      <c r="F141" s="234"/>
      <c r="G141" s="234"/>
      <c r="H141" s="250" t="s">
        <v>517</v>
      </c>
      <c r="J141" s="248"/>
      <c r="K141" s="244"/>
      <c r="L141" s="244"/>
      <c r="M141" s="244"/>
    </row>
    <row r="142" spans="1:13" s="236" customFormat="1" ht="13.5" x14ac:dyDescent="0.25">
      <c r="A142" s="250">
        <v>46095</v>
      </c>
      <c r="B142" s="234" t="s">
        <v>503</v>
      </c>
      <c r="C142" s="235"/>
      <c r="D142" s="234"/>
      <c r="E142" s="234"/>
      <c r="F142" s="234"/>
      <c r="G142" s="234"/>
      <c r="H142" s="250" t="s">
        <v>517</v>
      </c>
      <c r="J142" s="248"/>
      <c r="K142" s="244"/>
      <c r="L142" s="244"/>
      <c r="M142" s="244"/>
    </row>
    <row r="143" spans="1:13" s="236" customFormat="1" ht="13.5" x14ac:dyDescent="0.25">
      <c r="A143" s="250">
        <v>46095</v>
      </c>
      <c r="B143" s="234" t="s">
        <v>504</v>
      </c>
      <c r="C143" s="235"/>
      <c r="D143" s="234"/>
      <c r="E143" s="234"/>
      <c r="F143" s="234"/>
      <c r="G143" s="234"/>
      <c r="H143" s="250" t="s">
        <v>517</v>
      </c>
      <c r="J143" s="248"/>
      <c r="K143" s="244"/>
      <c r="L143" s="244"/>
      <c r="M143" s="244"/>
    </row>
    <row r="144" spans="1:13" s="236" customFormat="1" ht="13.5" x14ac:dyDescent="0.25">
      <c r="A144" s="250">
        <v>46095</v>
      </c>
      <c r="B144" s="234" t="s">
        <v>505</v>
      </c>
      <c r="C144" s="235"/>
      <c r="D144" s="234"/>
      <c r="E144" s="234"/>
      <c r="F144" s="234"/>
      <c r="G144" s="234"/>
      <c r="H144" s="250" t="s">
        <v>517</v>
      </c>
      <c r="J144" s="248"/>
      <c r="K144" s="244"/>
      <c r="L144" s="244"/>
      <c r="M144" s="244"/>
    </row>
    <row r="145" spans="1:13" s="236" customFormat="1" ht="15" x14ac:dyDescent="0.25">
      <c r="A145"/>
      <c r="B145"/>
      <c r="C145"/>
      <c r="D145"/>
      <c r="E145"/>
      <c r="F145"/>
      <c r="G145"/>
      <c r="H145"/>
      <c r="I145"/>
      <c r="J145" s="248"/>
      <c r="K145" s="244"/>
      <c r="L145" s="244"/>
      <c r="M145" s="244"/>
    </row>
    <row r="146" spans="1:13" s="236" customFormat="1" ht="15" x14ac:dyDescent="0.25">
      <c r="A146"/>
      <c r="B146"/>
      <c r="C146"/>
      <c r="D146"/>
      <c r="E146"/>
      <c r="F146"/>
      <c r="G146"/>
      <c r="H146"/>
      <c r="I146"/>
      <c r="J146" s="248"/>
      <c r="K146" s="244"/>
      <c r="L146" s="244"/>
      <c r="M146" s="244"/>
    </row>
    <row r="147" spans="1:13" s="236" customFormat="1" ht="15" x14ac:dyDescent="0.25">
      <c r="A147"/>
      <c r="B147"/>
      <c r="C147"/>
      <c r="D147"/>
      <c r="E147"/>
      <c r="F147"/>
      <c r="G147"/>
      <c r="H147"/>
      <c r="I147"/>
      <c r="J147" s="248"/>
      <c r="K147" s="244"/>
      <c r="L147" s="244"/>
      <c r="M147" s="244"/>
    </row>
    <row r="148" spans="1:13" s="236" customFormat="1" ht="15" x14ac:dyDescent="0.25">
      <c r="A148"/>
      <c r="B148"/>
      <c r="C148"/>
      <c r="D148"/>
      <c r="E148"/>
      <c r="F148"/>
      <c r="G148"/>
      <c r="H148"/>
      <c r="I148"/>
      <c r="J148" s="248"/>
      <c r="K148" s="244"/>
      <c r="L148" s="244"/>
      <c r="M148" s="244"/>
    </row>
    <row r="149" spans="1:13" s="236" customFormat="1" ht="15" x14ac:dyDescent="0.25">
      <c r="A149"/>
      <c r="B149"/>
      <c r="C149"/>
      <c r="D149"/>
      <c r="E149"/>
      <c r="F149"/>
      <c r="G149"/>
      <c r="H149"/>
      <c r="I149"/>
      <c r="J149" s="248"/>
      <c r="K149" s="244"/>
      <c r="L149" s="244"/>
      <c r="M149" s="244"/>
    </row>
    <row r="150" spans="1:13" s="236" customFormat="1" ht="15" x14ac:dyDescent="0.25">
      <c r="A150"/>
      <c r="B150"/>
      <c r="C150"/>
      <c r="D150"/>
      <c r="E150"/>
      <c r="F150"/>
      <c r="G150"/>
      <c r="H150"/>
      <c r="I150"/>
      <c r="J150" s="248"/>
      <c r="K150" s="244"/>
      <c r="L150" s="244"/>
      <c r="M150" s="244"/>
    </row>
    <row r="151" spans="1:13" s="236" customFormat="1" ht="15" x14ac:dyDescent="0.25">
      <c r="A151"/>
      <c r="B151"/>
      <c r="C151"/>
      <c r="D151"/>
      <c r="E151"/>
      <c r="F151"/>
      <c r="G151"/>
      <c r="H151"/>
      <c r="I151"/>
      <c r="J151" s="248"/>
      <c r="K151" s="244"/>
      <c r="L151" s="244"/>
      <c r="M151" s="244"/>
    </row>
    <row r="152" spans="1:13" s="236" customFormat="1" ht="15" x14ac:dyDescent="0.25">
      <c r="A152"/>
      <c r="B152"/>
      <c r="C152"/>
      <c r="D152"/>
      <c r="E152"/>
      <c r="F152"/>
      <c r="G152"/>
      <c r="H152"/>
      <c r="I152"/>
      <c r="J152" s="248"/>
      <c r="K152" s="244"/>
      <c r="L152" s="244"/>
      <c r="M152" s="244"/>
    </row>
    <row r="153" spans="1:13" s="236" customFormat="1" ht="15" x14ac:dyDescent="0.25">
      <c r="A153"/>
      <c r="B153"/>
      <c r="C153"/>
      <c r="D153"/>
      <c r="E153"/>
      <c r="F153"/>
      <c r="G153"/>
      <c r="H153"/>
      <c r="I153"/>
      <c r="J153" s="248"/>
      <c r="K153" s="244"/>
      <c r="L153" s="244"/>
      <c r="M153" s="244"/>
    </row>
    <row r="154" spans="1:13" s="236" customFormat="1" ht="15" x14ac:dyDescent="0.25">
      <c r="A154"/>
      <c r="B154"/>
      <c r="C154"/>
      <c r="D154"/>
      <c r="E154"/>
      <c r="F154"/>
      <c r="G154"/>
      <c r="H154"/>
      <c r="I154"/>
      <c r="J154" s="248"/>
      <c r="K154" s="244"/>
      <c r="L154" s="244"/>
      <c r="M154" s="244"/>
    </row>
    <row r="155" spans="1:13" s="236" customFormat="1" ht="15" x14ac:dyDescent="0.25">
      <c r="A155"/>
      <c r="B155"/>
      <c r="C155"/>
      <c r="D155"/>
      <c r="E155"/>
      <c r="F155"/>
      <c r="G155"/>
      <c r="H155"/>
      <c r="I155"/>
      <c r="J155" s="248"/>
      <c r="K155" s="244"/>
      <c r="L155" s="244"/>
      <c r="M155" s="244"/>
    </row>
    <row r="156" spans="1:13" s="236" customFormat="1" ht="15" x14ac:dyDescent="0.25">
      <c r="A156"/>
      <c r="B156"/>
      <c r="C156"/>
      <c r="D156"/>
      <c r="E156"/>
      <c r="F156"/>
      <c r="G156"/>
      <c r="H156"/>
      <c r="I156"/>
      <c r="J156" s="248"/>
      <c r="K156" s="244"/>
      <c r="L156" s="244"/>
      <c r="M156" s="244"/>
    </row>
    <row r="157" spans="1:13" s="236" customFormat="1" ht="15" x14ac:dyDescent="0.25">
      <c r="A157"/>
      <c r="B157"/>
      <c r="C157"/>
      <c r="D157"/>
      <c r="E157"/>
      <c r="F157"/>
      <c r="G157"/>
      <c r="H157"/>
      <c r="I157"/>
      <c r="J157" s="248"/>
      <c r="K157" s="244"/>
      <c r="L157" s="244"/>
      <c r="M157" s="244"/>
    </row>
    <row r="158" spans="1:13" s="236" customFormat="1" ht="15" x14ac:dyDescent="0.25">
      <c r="A158"/>
      <c r="B158"/>
      <c r="C158"/>
      <c r="D158"/>
      <c r="E158"/>
      <c r="F158"/>
      <c r="G158"/>
      <c r="H158"/>
      <c r="I158"/>
      <c r="J158" s="248"/>
      <c r="K158" s="244"/>
      <c r="L158" s="244"/>
      <c r="M158" s="244"/>
    </row>
    <row r="159" spans="1:13" s="236" customFormat="1" ht="15" x14ac:dyDescent="0.25">
      <c r="A159"/>
      <c r="B159"/>
      <c r="C159"/>
      <c r="D159"/>
      <c r="E159"/>
      <c r="F159"/>
      <c r="G159"/>
      <c r="H159"/>
      <c r="I159"/>
      <c r="J159" s="248"/>
      <c r="K159" s="244"/>
      <c r="L159" s="244"/>
      <c r="M159" s="244"/>
    </row>
    <row r="160" spans="1:13" s="236" customFormat="1" ht="15" x14ac:dyDescent="0.25">
      <c r="A160"/>
      <c r="B160"/>
      <c r="C160"/>
      <c r="D160"/>
      <c r="E160"/>
      <c r="F160"/>
      <c r="G160"/>
      <c r="H160"/>
      <c r="I160"/>
      <c r="J160" s="248"/>
      <c r="K160" s="244"/>
      <c r="L160" s="244"/>
      <c r="M160" s="244"/>
    </row>
    <row r="161" spans="1:13" s="236" customFormat="1" ht="15" x14ac:dyDescent="0.25">
      <c r="A161"/>
      <c r="B161"/>
      <c r="C161"/>
      <c r="D161"/>
      <c r="E161"/>
      <c r="F161"/>
      <c r="G161"/>
      <c r="H161"/>
      <c r="I161"/>
      <c r="J161" s="248"/>
      <c r="K161" s="244"/>
      <c r="L161" s="244"/>
      <c r="M161" s="244"/>
    </row>
    <row r="162" spans="1:13" s="236" customFormat="1" ht="15" x14ac:dyDescent="0.25">
      <c r="A162"/>
      <c r="B162"/>
      <c r="C162"/>
      <c r="D162"/>
      <c r="E162"/>
      <c r="F162"/>
      <c r="G162"/>
      <c r="H162"/>
      <c r="I162"/>
      <c r="J162" s="248"/>
      <c r="K162" s="244"/>
      <c r="L162" s="244"/>
      <c r="M162" s="244"/>
    </row>
    <row r="163" spans="1:13" s="236" customFormat="1" ht="15" x14ac:dyDescent="0.25">
      <c r="A163"/>
      <c r="B163"/>
      <c r="C163"/>
      <c r="D163"/>
      <c r="E163"/>
      <c r="F163"/>
      <c r="G163"/>
      <c r="H163"/>
      <c r="I163"/>
      <c r="J163" s="248"/>
      <c r="K163" s="244"/>
      <c r="L163" s="244"/>
      <c r="M163" s="244"/>
    </row>
    <row r="164" spans="1:13" s="236" customFormat="1" ht="15" x14ac:dyDescent="0.25">
      <c r="A164"/>
      <c r="B164"/>
      <c r="C164"/>
      <c r="D164"/>
      <c r="E164"/>
      <c r="F164"/>
      <c r="G164"/>
      <c r="H164"/>
      <c r="I164"/>
      <c r="J164" s="248"/>
      <c r="K164" s="244"/>
      <c r="L164" s="244"/>
      <c r="M164" s="244"/>
    </row>
    <row r="165" spans="1:13" s="236" customFormat="1" ht="15" x14ac:dyDescent="0.25">
      <c r="A165"/>
      <c r="B165"/>
      <c r="C165"/>
      <c r="D165"/>
      <c r="E165"/>
      <c r="F165"/>
      <c r="G165"/>
      <c r="H165"/>
      <c r="I165"/>
      <c r="J165" s="248"/>
      <c r="K165" s="244"/>
      <c r="L165" s="244"/>
      <c r="M165" s="244"/>
    </row>
    <row r="166" spans="1:13" s="236" customFormat="1" ht="15" x14ac:dyDescent="0.25">
      <c r="A166"/>
      <c r="B166"/>
      <c r="C166"/>
      <c r="D166"/>
      <c r="E166"/>
      <c r="F166"/>
      <c r="G166"/>
      <c r="H166"/>
      <c r="I166"/>
      <c r="J166" s="248"/>
      <c r="K166" s="244"/>
      <c r="L166" s="244"/>
      <c r="M166" s="244"/>
    </row>
    <row r="167" spans="1:13" s="236" customFormat="1" ht="15" x14ac:dyDescent="0.25">
      <c r="A167"/>
      <c r="B167"/>
      <c r="C167"/>
      <c r="D167"/>
      <c r="E167"/>
      <c r="F167"/>
      <c r="G167"/>
      <c r="H167"/>
      <c r="I167"/>
      <c r="J167" s="248"/>
      <c r="K167" s="244"/>
      <c r="L167" s="244"/>
      <c r="M167" s="244"/>
    </row>
    <row r="168" spans="1:13" s="236" customFormat="1" ht="15" x14ac:dyDescent="0.25">
      <c r="A168"/>
      <c r="B168"/>
      <c r="C168"/>
      <c r="D168"/>
      <c r="E168"/>
      <c r="F168"/>
      <c r="G168"/>
      <c r="H168"/>
      <c r="I168"/>
      <c r="J168" s="248"/>
      <c r="K168" s="244"/>
      <c r="L168" s="244"/>
      <c r="M168" s="244"/>
    </row>
    <row r="169" spans="1:13" s="236" customFormat="1" ht="15" x14ac:dyDescent="0.25">
      <c r="A169"/>
      <c r="B169"/>
      <c r="C169"/>
      <c r="D169"/>
      <c r="E169"/>
      <c r="F169"/>
      <c r="G169"/>
      <c r="H169"/>
      <c r="I169"/>
      <c r="J169" s="248"/>
      <c r="K169" s="244"/>
      <c r="L169" s="244"/>
      <c r="M169" s="244"/>
    </row>
    <row r="170" spans="1:13" s="236" customFormat="1" ht="15" x14ac:dyDescent="0.25">
      <c r="A170"/>
      <c r="B170"/>
      <c r="C170"/>
      <c r="D170"/>
      <c r="E170"/>
      <c r="F170"/>
      <c r="G170"/>
      <c r="H170"/>
      <c r="I170"/>
      <c r="J170" s="248"/>
      <c r="K170" s="244"/>
      <c r="L170" s="244"/>
      <c r="M170" s="244"/>
    </row>
    <row r="171" spans="1:13" s="236" customFormat="1" ht="15" x14ac:dyDescent="0.25">
      <c r="A171"/>
      <c r="B171"/>
      <c r="C171"/>
      <c r="D171"/>
      <c r="E171"/>
      <c r="F171"/>
      <c r="G171"/>
      <c r="H171"/>
      <c r="I171"/>
      <c r="J171" s="248"/>
      <c r="K171" s="244"/>
      <c r="L171" s="244"/>
      <c r="M171" s="244"/>
    </row>
    <row r="172" spans="1:13" s="236" customFormat="1" ht="15" x14ac:dyDescent="0.25">
      <c r="A172"/>
      <c r="B172"/>
      <c r="C172"/>
      <c r="D172"/>
      <c r="E172"/>
      <c r="F172"/>
      <c r="G172"/>
      <c r="H172"/>
      <c r="I172"/>
      <c r="J172" s="248"/>
      <c r="K172" s="244"/>
      <c r="L172" s="244"/>
      <c r="M172" s="244"/>
    </row>
    <row r="173" spans="1:13" s="236" customFormat="1" ht="15" x14ac:dyDescent="0.25">
      <c r="A173"/>
      <c r="B173"/>
      <c r="C173"/>
      <c r="D173"/>
      <c r="E173"/>
      <c r="F173"/>
      <c r="G173"/>
      <c r="H173"/>
      <c r="I173"/>
      <c r="J173" s="248"/>
      <c r="K173" s="244"/>
      <c r="L173" s="244"/>
      <c r="M173" s="244"/>
    </row>
    <row r="174" spans="1:13" s="236" customFormat="1" ht="15" x14ac:dyDescent="0.25">
      <c r="A174"/>
      <c r="B174"/>
      <c r="C174"/>
      <c r="D174"/>
      <c r="E174"/>
      <c r="F174"/>
      <c r="G174"/>
      <c r="H174"/>
      <c r="I174"/>
      <c r="J174" s="248"/>
      <c r="K174" s="244"/>
      <c r="L174" s="244"/>
      <c r="M174" s="244"/>
    </row>
    <row r="175" spans="1:13" s="236" customFormat="1" ht="15" x14ac:dyDescent="0.25">
      <c r="A175"/>
      <c r="B175"/>
      <c r="C175"/>
      <c r="D175"/>
      <c r="E175"/>
      <c r="F175"/>
      <c r="G175"/>
      <c r="H175"/>
      <c r="I175"/>
      <c r="J175" s="248"/>
      <c r="K175" s="244"/>
      <c r="L175" s="244"/>
      <c r="M175" s="244"/>
    </row>
    <row r="176" spans="1:13" s="236" customFormat="1" ht="15" x14ac:dyDescent="0.25">
      <c r="A176"/>
      <c r="B176"/>
      <c r="C176"/>
      <c r="D176"/>
      <c r="E176"/>
      <c r="F176"/>
      <c r="G176"/>
      <c r="H176"/>
      <c r="I176"/>
      <c r="J176" s="248"/>
      <c r="K176" s="244"/>
      <c r="L176" s="244"/>
      <c r="M176" s="244"/>
    </row>
    <row r="177" spans="1:13" s="236" customFormat="1" ht="15" x14ac:dyDescent="0.25">
      <c r="A177"/>
      <c r="B177"/>
      <c r="C177"/>
      <c r="D177"/>
      <c r="E177"/>
      <c r="F177"/>
      <c r="G177"/>
      <c r="H177"/>
      <c r="I177"/>
      <c r="J177" s="248"/>
      <c r="K177" s="244"/>
      <c r="L177" s="244"/>
      <c r="M177" s="244"/>
    </row>
    <row r="178" spans="1:13" s="236" customFormat="1" ht="15" x14ac:dyDescent="0.25">
      <c r="A178"/>
      <c r="B178"/>
      <c r="C178"/>
      <c r="D178"/>
      <c r="E178"/>
      <c r="F178"/>
      <c r="G178"/>
      <c r="H178"/>
      <c r="I178"/>
      <c r="J178" s="248"/>
      <c r="K178" s="244"/>
      <c r="L178" s="244"/>
      <c r="M178" s="244"/>
    </row>
    <row r="179" spans="1:13" s="236" customFormat="1" ht="15" x14ac:dyDescent="0.25">
      <c r="A179"/>
      <c r="B179"/>
      <c r="C179"/>
      <c r="D179"/>
      <c r="E179"/>
      <c r="F179"/>
      <c r="G179"/>
      <c r="H179"/>
      <c r="I179"/>
      <c r="J179" s="248"/>
      <c r="K179" s="244"/>
      <c r="L179" s="244"/>
      <c r="M179" s="244"/>
    </row>
    <row r="180" spans="1:13" s="236" customFormat="1" ht="15" x14ac:dyDescent="0.25">
      <c r="A180"/>
      <c r="B180"/>
      <c r="C180"/>
      <c r="D180"/>
      <c r="E180"/>
      <c r="F180"/>
      <c r="G180"/>
      <c r="H180"/>
      <c r="I180"/>
      <c r="J180" s="248"/>
      <c r="K180" s="244"/>
      <c r="L180" s="244"/>
      <c r="M180" s="244"/>
    </row>
    <row r="181" spans="1:13" s="236" customFormat="1" ht="15" x14ac:dyDescent="0.25">
      <c r="A181"/>
      <c r="B181"/>
      <c r="C181"/>
      <c r="D181"/>
      <c r="E181"/>
      <c r="F181"/>
      <c r="G181"/>
      <c r="H181"/>
      <c r="I181"/>
      <c r="J181" s="248"/>
      <c r="K181" s="244"/>
      <c r="L181" s="244"/>
      <c r="M181" s="244"/>
    </row>
    <row r="182" spans="1:13" s="236" customFormat="1" ht="15" x14ac:dyDescent="0.25">
      <c r="A182"/>
      <c r="B182"/>
      <c r="C182"/>
      <c r="D182"/>
      <c r="E182"/>
      <c r="F182"/>
      <c r="G182"/>
      <c r="H182"/>
      <c r="I182"/>
      <c r="J182" s="248"/>
      <c r="K182" s="244"/>
      <c r="L182" s="244"/>
      <c r="M182" s="244"/>
    </row>
    <row r="183" spans="1:13" s="236" customFormat="1" ht="15" x14ac:dyDescent="0.25">
      <c r="A183"/>
      <c r="B183"/>
      <c r="C183"/>
      <c r="D183"/>
      <c r="E183"/>
      <c r="F183"/>
      <c r="G183"/>
      <c r="H183"/>
      <c r="I183"/>
      <c r="J183" s="248"/>
      <c r="K183" s="244"/>
      <c r="L183" s="244"/>
      <c r="M183" s="244"/>
    </row>
    <row r="184" spans="1:13" s="236" customFormat="1" ht="15" x14ac:dyDescent="0.25">
      <c r="A184"/>
      <c r="B184"/>
      <c r="C184"/>
      <c r="D184"/>
      <c r="E184"/>
      <c r="F184"/>
      <c r="G184"/>
      <c r="H184"/>
      <c r="I184"/>
      <c r="J184" s="248"/>
      <c r="K184" s="244"/>
      <c r="L184" s="244"/>
      <c r="M184" s="244"/>
    </row>
    <row r="185" spans="1:13" s="236" customFormat="1" ht="15" x14ac:dyDescent="0.25">
      <c r="A185"/>
      <c r="B185"/>
      <c r="C185"/>
      <c r="D185"/>
      <c r="E185"/>
      <c r="F185"/>
      <c r="G185"/>
      <c r="H185"/>
      <c r="I185"/>
      <c r="J185" s="248"/>
      <c r="K185" s="244"/>
      <c r="L185" s="244"/>
      <c r="M185" s="244"/>
    </row>
    <row r="186" spans="1:13" s="236" customFormat="1" ht="15" x14ac:dyDescent="0.25">
      <c r="A186"/>
      <c r="B186"/>
      <c r="C186"/>
      <c r="D186"/>
      <c r="E186"/>
      <c r="F186"/>
      <c r="G186"/>
      <c r="H186"/>
      <c r="I186"/>
      <c r="J186" s="248"/>
      <c r="K186" s="244"/>
      <c r="L186" s="244"/>
      <c r="M186" s="244"/>
    </row>
    <row r="187" spans="1:13" s="236" customFormat="1" ht="15" x14ac:dyDescent="0.25">
      <c r="A187"/>
      <c r="B187"/>
      <c r="C187"/>
      <c r="D187"/>
      <c r="E187"/>
      <c r="F187"/>
      <c r="G187"/>
      <c r="H187"/>
      <c r="I187"/>
      <c r="J187" s="248"/>
      <c r="K187" s="244"/>
      <c r="L187" s="244"/>
      <c r="M187" s="244"/>
    </row>
    <row r="188" spans="1:13" s="236" customFormat="1" ht="15" x14ac:dyDescent="0.25">
      <c r="A188"/>
      <c r="B188"/>
      <c r="C188"/>
      <c r="D188"/>
      <c r="E188"/>
      <c r="F188"/>
      <c r="G188"/>
      <c r="H188"/>
      <c r="I188"/>
      <c r="J188" s="248"/>
      <c r="K188" s="244"/>
      <c r="L188" s="244"/>
      <c r="M188" s="244"/>
    </row>
    <row r="189" spans="1:13" s="236" customFormat="1" ht="15" x14ac:dyDescent="0.25">
      <c r="A189"/>
      <c r="B189"/>
      <c r="C189"/>
      <c r="D189"/>
      <c r="E189"/>
      <c r="F189"/>
      <c r="G189"/>
      <c r="H189"/>
      <c r="I189"/>
      <c r="J189" s="248"/>
      <c r="K189" s="244"/>
      <c r="L189" s="244"/>
      <c r="M189" s="244"/>
    </row>
    <row r="190" spans="1:13" s="236" customFormat="1" ht="15" x14ac:dyDescent="0.25">
      <c r="A190"/>
      <c r="B190"/>
      <c r="C190"/>
      <c r="D190"/>
      <c r="E190"/>
      <c r="F190"/>
      <c r="G190"/>
      <c r="H190"/>
      <c r="I190"/>
      <c r="J190" s="248"/>
      <c r="K190" s="244"/>
      <c r="L190" s="244"/>
      <c r="M190" s="244"/>
    </row>
    <row r="191" spans="1:13" s="236" customFormat="1" ht="15" x14ac:dyDescent="0.25">
      <c r="A191"/>
      <c r="B191"/>
      <c r="C191"/>
      <c r="D191"/>
      <c r="E191"/>
      <c r="F191"/>
      <c r="G191"/>
      <c r="H191"/>
      <c r="I191"/>
      <c r="J191" s="248"/>
      <c r="K191" s="244"/>
      <c r="L191" s="244"/>
      <c r="M191" s="244"/>
    </row>
    <row r="192" spans="1:13" s="236" customFormat="1" ht="15" x14ac:dyDescent="0.25">
      <c r="A192"/>
      <c r="B192"/>
      <c r="C192"/>
      <c r="D192"/>
      <c r="E192"/>
      <c r="F192"/>
      <c r="G192"/>
      <c r="H192"/>
      <c r="I192"/>
      <c r="J192" s="248"/>
      <c r="K192" s="244"/>
      <c r="L192" s="244"/>
      <c r="M192" s="244"/>
    </row>
    <row r="193" spans="1:13" s="236" customFormat="1" ht="15" x14ac:dyDescent="0.25">
      <c r="A193"/>
      <c r="B193"/>
      <c r="C193"/>
      <c r="D193"/>
      <c r="E193"/>
      <c r="F193"/>
      <c r="G193"/>
      <c r="H193"/>
      <c r="I193"/>
      <c r="J193" s="248"/>
      <c r="K193" s="244"/>
      <c r="L193" s="244"/>
      <c r="M193" s="244"/>
    </row>
    <row r="194" spans="1:13" s="236" customFormat="1" ht="15" x14ac:dyDescent="0.25">
      <c r="A194"/>
      <c r="B194"/>
      <c r="C194"/>
      <c r="D194"/>
      <c r="E194"/>
      <c r="F194"/>
      <c r="G194"/>
      <c r="H194"/>
      <c r="I194"/>
      <c r="J194" s="248"/>
      <c r="K194" s="244"/>
      <c r="L194" s="244"/>
      <c r="M194" s="244"/>
    </row>
    <row r="195" spans="1:13" s="236" customFormat="1" ht="15" x14ac:dyDescent="0.25">
      <c r="A195"/>
      <c r="B195"/>
      <c r="C195"/>
      <c r="D195"/>
      <c r="E195"/>
      <c r="F195"/>
      <c r="G195"/>
      <c r="H195"/>
      <c r="I195"/>
      <c r="J195" s="248"/>
      <c r="K195" s="244"/>
      <c r="L195" s="244"/>
      <c r="M195" s="244"/>
    </row>
    <row r="196" spans="1:13" s="236" customFormat="1" ht="15" x14ac:dyDescent="0.25">
      <c r="A196"/>
      <c r="B196"/>
      <c r="C196"/>
      <c r="D196"/>
      <c r="E196"/>
      <c r="F196"/>
      <c r="G196"/>
      <c r="H196"/>
      <c r="I196"/>
      <c r="J196" s="248"/>
      <c r="K196" s="244"/>
      <c r="L196" s="244"/>
      <c r="M196" s="244"/>
    </row>
    <row r="197" spans="1:13" s="236" customFormat="1" ht="13.5" x14ac:dyDescent="0.25">
      <c r="J197" s="248"/>
      <c r="K197" s="244"/>
      <c r="L197" s="244"/>
      <c r="M197" s="244"/>
    </row>
    <row r="198" spans="1:13" s="236" customFormat="1" ht="13.5" x14ac:dyDescent="0.25">
      <c r="J198" s="248"/>
      <c r="K198" s="244"/>
      <c r="L198" s="244"/>
      <c r="M198" s="244"/>
    </row>
    <row r="199" spans="1:13" s="236" customFormat="1" ht="13.5" x14ac:dyDescent="0.25">
      <c r="J199" s="248"/>
      <c r="K199" s="244"/>
      <c r="L199" s="244"/>
      <c r="M199" s="244"/>
    </row>
    <row r="200" spans="1:13" s="236" customFormat="1" ht="13.5" x14ac:dyDescent="0.25">
      <c r="J200" s="248"/>
      <c r="K200" s="244"/>
      <c r="L200" s="244"/>
      <c r="M200" s="244"/>
    </row>
    <row r="201" spans="1:13" s="236" customFormat="1" ht="13.5" x14ac:dyDescent="0.25">
      <c r="J201" s="248"/>
      <c r="K201" s="244"/>
      <c r="L201" s="244"/>
      <c r="M201" s="244"/>
    </row>
    <row r="202" spans="1:13" s="236" customFormat="1" ht="13.5" x14ac:dyDescent="0.25">
      <c r="J202" s="248"/>
      <c r="K202" s="244"/>
      <c r="L202" s="244"/>
      <c r="M202" s="244"/>
    </row>
    <row r="203" spans="1:13" x14ac:dyDescent="0.25">
      <c r="A203" s="57"/>
    </row>
    <row r="204" spans="1:13" x14ac:dyDescent="0.25">
      <c r="A204" s="57"/>
    </row>
    <row r="303" spans="3:3" x14ac:dyDescent="0.25">
      <c r="C303" s="57"/>
    </row>
    <row r="304" spans="3:3" x14ac:dyDescent="0.25">
      <c r="C304" s="57"/>
    </row>
    <row r="305" spans="3:3" x14ac:dyDescent="0.25">
      <c r="C305" s="57"/>
    </row>
    <row r="306" spans="3:3" x14ac:dyDescent="0.25">
      <c r="C306" s="57"/>
    </row>
    <row r="307" spans="3:3" x14ac:dyDescent="0.25">
      <c r="C307" s="57"/>
    </row>
    <row r="308" spans="3:3" x14ac:dyDescent="0.25">
      <c r="C308" s="57"/>
    </row>
    <row r="309" spans="3:3" x14ac:dyDescent="0.25">
      <c r="C309" s="57"/>
    </row>
    <row r="310" spans="3:3" x14ac:dyDescent="0.25">
      <c r="C310" s="57"/>
    </row>
    <row r="311" spans="3:3" x14ac:dyDescent="0.25">
      <c r="C311" s="57"/>
    </row>
    <row r="312" spans="3:3" x14ac:dyDescent="0.25">
      <c r="C312" s="57"/>
    </row>
    <row r="313" spans="3:3" x14ac:dyDescent="0.25">
      <c r="C313" s="57"/>
    </row>
    <row r="314" spans="3:3" x14ac:dyDescent="0.25">
      <c r="C314" s="57"/>
    </row>
    <row r="315" spans="3:3" x14ac:dyDescent="0.25">
      <c r="C315" s="57"/>
    </row>
    <row r="316" spans="3:3" x14ac:dyDescent="0.25">
      <c r="C316" s="57"/>
    </row>
    <row r="317" spans="3:3" x14ac:dyDescent="0.25">
      <c r="C317" s="57"/>
    </row>
    <row r="318" spans="3:3" x14ac:dyDescent="0.25">
      <c r="C318" s="57"/>
    </row>
    <row r="319" spans="3:3" x14ac:dyDescent="0.25">
      <c r="C319" s="57"/>
    </row>
    <row r="320" spans="3:3" x14ac:dyDescent="0.25">
      <c r="C320" s="57"/>
    </row>
    <row r="321" spans="3:3" x14ac:dyDescent="0.25">
      <c r="C321" s="57"/>
    </row>
    <row r="322" spans="3:3" x14ac:dyDescent="0.25">
      <c r="C322" s="57"/>
    </row>
    <row r="323" spans="3:3" x14ac:dyDescent="0.25">
      <c r="C323" s="57"/>
    </row>
    <row r="324" spans="3:3" x14ac:dyDescent="0.25">
      <c r="C324" s="57"/>
    </row>
    <row r="325" spans="3:3" x14ac:dyDescent="0.25">
      <c r="C325" s="57"/>
    </row>
    <row r="326" spans="3:3" x14ac:dyDescent="0.25">
      <c r="C326" s="57"/>
    </row>
    <row r="327" spans="3:3" x14ac:dyDescent="0.25">
      <c r="C327" s="57"/>
    </row>
    <row r="328" spans="3:3" x14ac:dyDescent="0.25">
      <c r="C328" s="57"/>
    </row>
    <row r="329" spans="3:3" x14ac:dyDescent="0.25">
      <c r="C329" s="57"/>
    </row>
    <row r="330" spans="3:3" x14ac:dyDescent="0.25">
      <c r="C330" s="57"/>
    </row>
  </sheetData>
  <autoFilter ref="A1:N142"/>
  <sortState ref="A2:I74">
    <sortCondition ref="A2:A74"/>
  </sortState>
  <pageMargins left="0.7" right="0.7" top="0.75" bottom="0.75" header="0.3" footer="0.3"/>
  <pageSetup orientation="portrait" horizontalDpi="120" verticalDpi="7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24"/>
  <sheetViews>
    <sheetView workbookViewId="0">
      <selection sqref="A1:D1"/>
    </sheetView>
  </sheetViews>
  <sheetFormatPr defaultColWidth="11.42578125" defaultRowHeight="15" x14ac:dyDescent="0.25"/>
  <cols>
    <col min="1" max="1" width="14.42578125" style="80" bestFit="1" customWidth="1"/>
    <col min="2" max="2" width="15.28515625" style="80" bestFit="1" customWidth="1"/>
    <col min="3" max="3" width="22" style="80" bestFit="1" customWidth="1"/>
    <col min="4" max="4" width="14.5703125" style="82" bestFit="1" customWidth="1"/>
    <col min="5" max="16384" width="11.42578125" style="80"/>
  </cols>
  <sheetData>
    <row r="1" spans="1:5" x14ac:dyDescent="0.25">
      <c r="A1" s="366" t="s">
        <v>126</v>
      </c>
      <c r="B1" s="366"/>
      <c r="C1" s="366"/>
      <c r="D1" s="366"/>
    </row>
    <row r="2" spans="1:5" x14ac:dyDescent="0.25">
      <c r="A2" s="81"/>
      <c r="C2" s="81"/>
    </row>
    <row r="3" spans="1:5" ht="15" customHeight="1" x14ac:dyDescent="0.25">
      <c r="A3" s="131" t="s">
        <v>127</v>
      </c>
      <c r="B3" s="131" t="s">
        <v>128</v>
      </c>
      <c r="C3" s="131" t="s">
        <v>129</v>
      </c>
      <c r="D3" s="132" t="s">
        <v>130</v>
      </c>
    </row>
    <row r="4" spans="1:5" s="125" customFormat="1" ht="15" customHeight="1" x14ac:dyDescent="0.25">
      <c r="A4" s="134">
        <v>46084</v>
      </c>
      <c r="B4" s="129">
        <v>1</v>
      </c>
      <c r="C4" s="134">
        <v>46084</v>
      </c>
      <c r="D4" s="135">
        <f>+C4-A4</f>
        <v>0</v>
      </c>
    </row>
    <row r="5" spans="1:5" s="125" customFormat="1" ht="15" customHeight="1" x14ac:dyDescent="0.25">
      <c r="A5" s="134">
        <v>46085</v>
      </c>
      <c r="B5" s="129">
        <v>2</v>
      </c>
      <c r="C5" s="134">
        <v>46085</v>
      </c>
      <c r="D5" s="135">
        <f t="shared" ref="D5:D16" si="0">+C5-A5</f>
        <v>0</v>
      </c>
    </row>
    <row r="6" spans="1:5" s="125" customFormat="1" ht="15" customHeight="1" x14ac:dyDescent="0.25">
      <c r="A6" s="134">
        <v>46086</v>
      </c>
      <c r="B6" s="129">
        <v>4</v>
      </c>
      <c r="C6" s="134">
        <v>46086</v>
      </c>
      <c r="D6" s="135">
        <f t="shared" si="0"/>
        <v>0</v>
      </c>
    </row>
    <row r="7" spans="1:5" s="125" customFormat="1" ht="15" customHeight="1" x14ac:dyDescent="0.25">
      <c r="A7" s="134">
        <v>46088</v>
      </c>
      <c r="B7" s="129">
        <v>1</v>
      </c>
      <c r="C7" s="134">
        <v>46088</v>
      </c>
      <c r="D7" s="135">
        <f t="shared" si="0"/>
        <v>0</v>
      </c>
    </row>
    <row r="8" spans="1:5" s="125" customFormat="1" ht="15" customHeight="1" x14ac:dyDescent="0.25">
      <c r="A8" s="134">
        <v>46088</v>
      </c>
      <c r="B8" s="129">
        <v>16</v>
      </c>
      <c r="C8" s="134">
        <v>46090</v>
      </c>
      <c r="D8" s="135">
        <f t="shared" si="0"/>
        <v>2</v>
      </c>
      <c r="E8" s="125" t="s">
        <v>225</v>
      </c>
    </row>
    <row r="9" spans="1:5" s="125" customFormat="1" ht="15" customHeight="1" x14ac:dyDescent="0.25">
      <c r="A9" s="134">
        <v>46090</v>
      </c>
      <c r="B9" s="129">
        <v>20</v>
      </c>
      <c r="C9" s="134">
        <v>46091</v>
      </c>
      <c r="D9" s="135">
        <f t="shared" si="0"/>
        <v>1</v>
      </c>
    </row>
    <row r="10" spans="1:5" s="125" customFormat="1" ht="15" customHeight="1" x14ac:dyDescent="0.25">
      <c r="A10" s="134">
        <v>46092</v>
      </c>
      <c r="B10" s="129">
        <v>3</v>
      </c>
      <c r="C10" s="134">
        <v>46092</v>
      </c>
      <c r="D10" s="135">
        <f t="shared" si="0"/>
        <v>0</v>
      </c>
      <c r="E10" s="125" t="s">
        <v>233</v>
      </c>
    </row>
    <row r="11" spans="1:5" s="125" customFormat="1" ht="15" customHeight="1" x14ac:dyDescent="0.25">
      <c r="A11" s="134">
        <v>46092</v>
      </c>
      <c r="B11" s="129">
        <v>11</v>
      </c>
      <c r="C11" s="134">
        <v>46092</v>
      </c>
      <c r="D11" s="135">
        <f t="shared" si="0"/>
        <v>0</v>
      </c>
    </row>
    <row r="12" spans="1:5" s="125" customFormat="1" ht="15" customHeight="1" x14ac:dyDescent="0.25">
      <c r="A12" s="134">
        <v>46098</v>
      </c>
      <c r="B12" s="129">
        <v>4</v>
      </c>
      <c r="C12" s="134">
        <v>46098</v>
      </c>
      <c r="D12" s="135">
        <f>+C12-A12</f>
        <v>0</v>
      </c>
    </row>
    <row r="13" spans="1:5" s="125" customFormat="1" ht="15" customHeight="1" x14ac:dyDescent="0.25">
      <c r="A13" s="134">
        <v>46107</v>
      </c>
      <c r="B13" s="129">
        <v>9</v>
      </c>
      <c r="C13" s="134">
        <v>46107</v>
      </c>
      <c r="D13" s="135">
        <f t="shared" si="0"/>
        <v>0</v>
      </c>
    </row>
    <row r="14" spans="1:5" s="125" customFormat="1" ht="15" customHeight="1" x14ac:dyDescent="0.25">
      <c r="A14" s="134">
        <v>46109</v>
      </c>
      <c r="B14" s="129">
        <v>3</v>
      </c>
      <c r="C14" s="134">
        <v>46109</v>
      </c>
      <c r="D14" s="135">
        <f t="shared" si="0"/>
        <v>0</v>
      </c>
    </row>
    <row r="15" spans="1:5" s="125" customFormat="1" ht="15" customHeight="1" x14ac:dyDescent="0.25">
      <c r="A15" s="134">
        <v>46109</v>
      </c>
      <c r="B15" s="129">
        <v>11</v>
      </c>
      <c r="C15" s="134">
        <v>46112</v>
      </c>
      <c r="D15" s="135">
        <f t="shared" si="0"/>
        <v>3</v>
      </c>
      <c r="E15" s="125" t="s">
        <v>236</v>
      </c>
    </row>
    <row r="16" spans="1:5" s="125" customFormat="1" ht="15" customHeight="1" x14ac:dyDescent="0.25">
      <c r="A16" s="134">
        <v>46112</v>
      </c>
      <c r="B16" s="129">
        <v>3</v>
      </c>
      <c r="C16" s="134">
        <v>46112</v>
      </c>
      <c r="D16" s="135">
        <f t="shared" si="0"/>
        <v>0</v>
      </c>
    </row>
    <row r="17" spans="1:4" s="125" customFormat="1" ht="12" x14ac:dyDescent="0.25">
      <c r="A17" s="134"/>
      <c r="B17" s="129"/>
      <c r="C17" s="134"/>
      <c r="D17" s="135"/>
    </row>
    <row r="18" spans="1:4" s="125" customFormat="1" ht="12" x14ac:dyDescent="0.25">
      <c r="A18" s="133"/>
      <c r="B18" s="128"/>
      <c r="C18" s="128" t="s">
        <v>164</v>
      </c>
      <c r="D18" s="168">
        <f>AVERAGE(D4:D16)</f>
        <v>0.46153846153846156</v>
      </c>
    </row>
    <row r="19" spans="1:4" x14ac:dyDescent="0.25">
      <c r="A19" s="83"/>
    </row>
    <row r="20" spans="1:4" x14ac:dyDescent="0.25">
      <c r="A20" s="83"/>
    </row>
    <row r="21" spans="1:4" x14ac:dyDescent="0.25">
      <c r="A21" s="83"/>
      <c r="D21" s="80"/>
    </row>
    <row r="22" spans="1:4" x14ac:dyDescent="0.25">
      <c r="A22" s="83"/>
      <c r="D22" s="80"/>
    </row>
    <row r="23" spans="1:4" x14ac:dyDescent="0.25">
      <c r="A23" s="83"/>
      <c r="D23" s="80"/>
    </row>
    <row r="24" spans="1:4" x14ac:dyDescent="0.25">
      <c r="A24" s="83"/>
      <c r="D24" s="80"/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E75BC2"/>
  </sheetPr>
  <dimension ref="A1:AF15"/>
  <sheetViews>
    <sheetView workbookViewId="0">
      <pane xSplit="17" ySplit="3" topLeftCell="R4" activePane="bottomRight" state="frozen"/>
      <selection pane="topRight" activeCell="R1" sqref="R1"/>
      <selection pane="bottomLeft" activeCell="A4" sqref="A4"/>
      <selection pane="bottomRight" activeCell="R15" sqref="R15"/>
    </sheetView>
  </sheetViews>
  <sheetFormatPr defaultRowHeight="12.75" x14ac:dyDescent="0.2"/>
  <cols>
    <col min="1" max="1" width="4.85546875" style="150" bestFit="1" customWidth="1"/>
    <col min="2" max="2" width="28.5703125" style="151" customWidth="1"/>
    <col min="3" max="4" width="7.5703125" style="167" hidden="1" customWidth="1"/>
    <col min="5" max="5" width="7" style="167" hidden="1" customWidth="1"/>
    <col min="6" max="7" width="5.7109375" style="167" hidden="1" customWidth="1"/>
    <col min="8" max="17" width="6.7109375" style="167" hidden="1" customWidth="1"/>
    <col min="18" max="18" width="6.7109375" style="167" customWidth="1"/>
    <col min="19" max="20" width="5.85546875" style="167" customWidth="1"/>
    <col min="21" max="24" width="5.85546875" style="150" customWidth="1"/>
    <col min="25" max="29" width="5.85546875" style="151" customWidth="1"/>
    <col min="30" max="31" width="6.140625" style="151" customWidth="1"/>
    <col min="32" max="16384" width="9.140625" style="151"/>
  </cols>
  <sheetData>
    <row r="1" spans="1:32" ht="18.75" x14ac:dyDescent="0.3">
      <c r="A1" s="149" t="s">
        <v>214</v>
      </c>
      <c r="B1" s="149"/>
      <c r="C1" s="149"/>
      <c r="D1" s="149"/>
      <c r="E1" s="149"/>
      <c r="F1" s="149"/>
      <c r="G1" s="149"/>
      <c r="H1" s="149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</row>
    <row r="2" spans="1:32" ht="15" customHeight="1" x14ac:dyDescent="0.2">
      <c r="A2" s="367" t="s">
        <v>150</v>
      </c>
      <c r="B2" s="367" t="s">
        <v>151</v>
      </c>
      <c r="C2" s="368">
        <v>2025</v>
      </c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69"/>
      <c r="S2" s="369"/>
      <c r="T2" s="369"/>
      <c r="U2" s="369"/>
      <c r="V2" s="369"/>
      <c r="W2" s="369"/>
      <c r="X2" s="369"/>
      <c r="Y2" s="369"/>
      <c r="Z2" s="369"/>
      <c r="AA2" s="369"/>
      <c r="AB2" s="369"/>
      <c r="AC2" s="369"/>
      <c r="AD2" s="152"/>
      <c r="AE2" s="152"/>
    </row>
    <row r="3" spans="1:32" s="156" customFormat="1" ht="15" customHeight="1" x14ac:dyDescent="0.2">
      <c r="A3" s="367"/>
      <c r="B3" s="367"/>
      <c r="C3" s="153">
        <v>45696</v>
      </c>
      <c r="D3" s="154">
        <v>45699</v>
      </c>
      <c r="E3" s="154">
        <v>45700</v>
      </c>
      <c r="F3" s="154">
        <v>45701</v>
      </c>
      <c r="G3" s="154">
        <v>45702</v>
      </c>
      <c r="H3" s="154">
        <v>45703</v>
      </c>
      <c r="I3" s="154">
        <v>45705</v>
      </c>
      <c r="J3" s="154">
        <v>45706</v>
      </c>
      <c r="K3" s="154">
        <v>45707</v>
      </c>
      <c r="L3" s="154">
        <v>45708</v>
      </c>
      <c r="M3" s="154">
        <v>45709</v>
      </c>
      <c r="N3" s="154">
        <v>45710</v>
      </c>
      <c r="O3" s="154">
        <v>45712</v>
      </c>
      <c r="P3" s="154">
        <v>45713</v>
      </c>
      <c r="Q3" s="154">
        <v>45714</v>
      </c>
      <c r="R3" s="154">
        <v>46084</v>
      </c>
      <c r="S3" s="155">
        <v>46085</v>
      </c>
      <c r="T3" s="155">
        <v>46086</v>
      </c>
      <c r="U3" s="155">
        <v>46086</v>
      </c>
      <c r="V3" s="155">
        <v>46088</v>
      </c>
      <c r="W3" s="155">
        <v>46091</v>
      </c>
      <c r="X3" s="155">
        <v>46092</v>
      </c>
      <c r="Y3" s="155">
        <v>46093</v>
      </c>
      <c r="Z3" s="155">
        <v>46095</v>
      </c>
      <c r="AA3" s="155">
        <v>46099</v>
      </c>
      <c r="AB3" s="155">
        <v>46101</v>
      </c>
      <c r="AC3" s="155">
        <v>46106</v>
      </c>
      <c r="AD3" s="155">
        <v>46109</v>
      </c>
      <c r="AE3" s="155">
        <v>46112</v>
      </c>
    </row>
    <row r="4" spans="1:32" s="161" customFormat="1" ht="15" customHeight="1" x14ac:dyDescent="0.25">
      <c r="A4" s="157">
        <v>1</v>
      </c>
      <c r="B4" s="158" t="s">
        <v>152</v>
      </c>
      <c r="C4" s="159" t="s">
        <v>153</v>
      </c>
      <c r="D4" s="159"/>
      <c r="E4" s="159"/>
      <c r="F4" s="159" t="s">
        <v>153</v>
      </c>
      <c r="G4" s="159"/>
      <c r="H4" s="159"/>
      <c r="I4" s="159" t="s">
        <v>153</v>
      </c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 t="s">
        <v>153</v>
      </c>
      <c r="V4" s="159" t="s">
        <v>153</v>
      </c>
      <c r="W4" s="159"/>
      <c r="X4" s="159"/>
      <c r="Y4" s="159" t="s">
        <v>153</v>
      </c>
      <c r="Z4" s="159"/>
      <c r="AA4" s="159"/>
      <c r="AB4" s="159"/>
      <c r="AC4" s="159" t="s">
        <v>153</v>
      </c>
      <c r="AD4" s="159" t="s">
        <v>153</v>
      </c>
      <c r="AE4" s="159"/>
      <c r="AF4" s="160"/>
    </row>
    <row r="5" spans="1:32" s="161" customFormat="1" ht="15" customHeight="1" x14ac:dyDescent="0.25">
      <c r="A5" s="157">
        <v>2</v>
      </c>
      <c r="B5" s="158" t="s">
        <v>154</v>
      </c>
      <c r="C5" s="159" t="s">
        <v>153</v>
      </c>
      <c r="D5" s="159" t="s">
        <v>153</v>
      </c>
      <c r="E5" s="159"/>
      <c r="F5" s="159"/>
      <c r="G5" s="159"/>
      <c r="H5" s="159" t="s">
        <v>153</v>
      </c>
      <c r="I5" s="159"/>
      <c r="J5" s="159" t="s">
        <v>153</v>
      </c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 t="s">
        <v>153</v>
      </c>
      <c r="W5" s="159"/>
      <c r="X5" s="159"/>
      <c r="Y5" s="159"/>
      <c r="Z5" s="159"/>
      <c r="AA5" s="159"/>
      <c r="AB5" s="159"/>
      <c r="AC5" s="159"/>
      <c r="AD5" s="159"/>
      <c r="AE5" s="159"/>
      <c r="AF5" s="160"/>
    </row>
    <row r="6" spans="1:32" s="161" customFormat="1" ht="15" customHeight="1" x14ac:dyDescent="0.25">
      <c r="A6" s="157">
        <v>3</v>
      </c>
      <c r="B6" s="158" t="s">
        <v>155</v>
      </c>
      <c r="C6" s="159" t="s">
        <v>153</v>
      </c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59"/>
      <c r="W6" s="159"/>
      <c r="X6" s="159"/>
      <c r="Y6" s="159"/>
      <c r="Z6" s="159"/>
      <c r="AA6" s="159"/>
      <c r="AB6" s="159"/>
      <c r="AC6" s="159"/>
      <c r="AD6" s="159" t="s">
        <v>153</v>
      </c>
      <c r="AE6" s="159"/>
      <c r="AF6" s="160"/>
    </row>
    <row r="7" spans="1:32" s="161" customFormat="1" ht="15" customHeight="1" x14ac:dyDescent="0.25">
      <c r="A7" s="157">
        <v>4</v>
      </c>
      <c r="B7" s="158" t="s">
        <v>224</v>
      </c>
      <c r="C7" s="159" t="s">
        <v>153</v>
      </c>
      <c r="D7" s="159" t="s">
        <v>153</v>
      </c>
      <c r="E7" s="159" t="s">
        <v>153</v>
      </c>
      <c r="F7" s="159"/>
      <c r="G7" s="159"/>
      <c r="H7" s="159"/>
      <c r="I7" s="159"/>
      <c r="J7" s="159"/>
      <c r="K7" s="159" t="s">
        <v>153</v>
      </c>
      <c r="L7" s="159"/>
      <c r="M7" s="159"/>
      <c r="N7" s="159"/>
      <c r="O7" s="159"/>
      <c r="P7" s="159"/>
      <c r="Q7" s="159"/>
      <c r="R7" s="159" t="s">
        <v>153</v>
      </c>
      <c r="S7" s="159" t="s">
        <v>153</v>
      </c>
      <c r="T7" s="159" t="s">
        <v>153</v>
      </c>
      <c r="U7" s="159" t="s">
        <v>153</v>
      </c>
      <c r="V7" s="159" t="s">
        <v>153</v>
      </c>
      <c r="W7" s="159" t="s">
        <v>153</v>
      </c>
      <c r="X7" s="159" t="s">
        <v>153</v>
      </c>
      <c r="Y7" s="159" t="s">
        <v>153</v>
      </c>
      <c r="Z7" s="159"/>
      <c r="AA7" s="159"/>
      <c r="AB7" s="159"/>
      <c r="AC7" s="159"/>
      <c r="AD7" s="159"/>
      <c r="AE7" s="159"/>
      <c r="AF7" s="160"/>
    </row>
    <row r="8" spans="1:32" s="161" customFormat="1" ht="15" customHeight="1" x14ac:dyDescent="0.25">
      <c r="A8" s="157">
        <v>5</v>
      </c>
      <c r="B8" s="158" t="s">
        <v>137</v>
      </c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59"/>
      <c r="S8" s="159" t="s">
        <v>153</v>
      </c>
      <c r="T8" s="159" t="s">
        <v>153</v>
      </c>
      <c r="U8" s="159"/>
      <c r="V8" s="159"/>
      <c r="W8" s="159"/>
      <c r="X8" s="159" t="s">
        <v>153</v>
      </c>
      <c r="Y8" s="159" t="s">
        <v>153</v>
      </c>
      <c r="Z8" s="159"/>
      <c r="AA8" s="159" t="s">
        <v>153</v>
      </c>
      <c r="AB8" s="159"/>
      <c r="AC8" s="159"/>
      <c r="AD8" s="159"/>
      <c r="AE8" s="159" t="s">
        <v>153</v>
      </c>
      <c r="AF8" s="160"/>
    </row>
    <row r="9" spans="1:32" s="161" customFormat="1" ht="15" customHeight="1" x14ac:dyDescent="0.25">
      <c r="A9" s="157">
        <v>6</v>
      </c>
      <c r="B9" s="158" t="s">
        <v>156</v>
      </c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59"/>
      <c r="S9" s="159" t="s">
        <v>153</v>
      </c>
      <c r="T9" s="159"/>
      <c r="U9" s="159" t="s">
        <v>153</v>
      </c>
      <c r="V9" s="159"/>
      <c r="W9" s="159"/>
      <c r="X9" s="159" t="s">
        <v>153</v>
      </c>
      <c r="Y9" s="159"/>
      <c r="Z9" s="159" t="s">
        <v>153</v>
      </c>
      <c r="AA9" s="159" t="s">
        <v>153</v>
      </c>
      <c r="AB9" s="159"/>
      <c r="AC9" s="159"/>
      <c r="AD9" s="159" t="s">
        <v>153</v>
      </c>
      <c r="AE9" s="159"/>
      <c r="AF9" s="160"/>
    </row>
    <row r="10" spans="1:32" s="161" customFormat="1" ht="15" customHeight="1" x14ac:dyDescent="0.25">
      <c r="A10" s="157">
        <v>7</v>
      </c>
      <c r="B10" s="158" t="s">
        <v>157</v>
      </c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59"/>
      <c r="S10" s="159" t="s">
        <v>153</v>
      </c>
      <c r="T10" s="159"/>
      <c r="U10" s="159" t="s">
        <v>153</v>
      </c>
      <c r="V10" s="159"/>
      <c r="W10" s="159"/>
      <c r="X10" s="159" t="s">
        <v>153</v>
      </c>
      <c r="Y10" s="159"/>
      <c r="Z10" s="159" t="s">
        <v>153</v>
      </c>
      <c r="AA10" s="159" t="s">
        <v>153</v>
      </c>
      <c r="AB10" s="159"/>
      <c r="AC10" s="159"/>
      <c r="AD10" s="159" t="s">
        <v>153</v>
      </c>
      <c r="AE10" s="159"/>
      <c r="AF10" s="160"/>
    </row>
    <row r="11" spans="1:32" s="161" customFormat="1" ht="15" customHeight="1" x14ac:dyDescent="0.25">
      <c r="A11" s="157">
        <v>8</v>
      </c>
      <c r="B11" s="158" t="s">
        <v>158</v>
      </c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60"/>
    </row>
    <row r="12" spans="1:32" s="161" customFormat="1" ht="15" customHeight="1" x14ac:dyDescent="0.25">
      <c r="A12" s="157">
        <v>9</v>
      </c>
      <c r="B12" s="158" t="s">
        <v>159</v>
      </c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59" t="s">
        <v>153</v>
      </c>
      <c r="S12" s="159"/>
      <c r="T12" s="159"/>
      <c r="U12" s="159"/>
      <c r="V12" s="159"/>
      <c r="W12" s="159"/>
      <c r="X12" s="159" t="s">
        <v>153</v>
      </c>
      <c r="Y12" s="159"/>
      <c r="Z12" s="159"/>
      <c r="AA12" s="159"/>
      <c r="AB12" s="159" t="s">
        <v>153</v>
      </c>
      <c r="AC12" s="159"/>
      <c r="AD12" s="159"/>
      <c r="AE12" s="159"/>
      <c r="AF12" s="160"/>
    </row>
    <row r="13" spans="1:32" s="161" customFormat="1" ht="15" customHeight="1" x14ac:dyDescent="0.25">
      <c r="A13" s="157">
        <v>10</v>
      </c>
      <c r="B13" s="158" t="s">
        <v>160</v>
      </c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59" t="s">
        <v>153</v>
      </c>
      <c r="S13" s="159"/>
      <c r="T13" s="159" t="s">
        <v>153</v>
      </c>
      <c r="U13" s="159"/>
      <c r="V13" s="159"/>
      <c r="W13" s="159"/>
      <c r="X13" s="159" t="s">
        <v>153</v>
      </c>
      <c r="Y13" s="159"/>
      <c r="Z13" s="159"/>
      <c r="AA13" s="159"/>
      <c r="AB13" s="159" t="s">
        <v>153</v>
      </c>
      <c r="AC13" s="159"/>
      <c r="AD13" s="159"/>
      <c r="AE13" s="159" t="s">
        <v>153</v>
      </c>
      <c r="AF13" s="160"/>
    </row>
    <row r="14" spans="1:32" s="161" customFormat="1" ht="15" customHeight="1" x14ac:dyDescent="0.25">
      <c r="A14" s="157">
        <v>11</v>
      </c>
      <c r="B14" s="158" t="s">
        <v>161</v>
      </c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59" t="s">
        <v>153</v>
      </c>
      <c r="S14" s="159"/>
      <c r="T14" s="159" t="s">
        <v>153</v>
      </c>
      <c r="U14" s="159"/>
      <c r="V14" s="159"/>
      <c r="W14" s="159"/>
      <c r="X14" s="159" t="s">
        <v>153</v>
      </c>
      <c r="Y14" s="159"/>
      <c r="Z14" s="159"/>
      <c r="AA14" s="159"/>
      <c r="AB14" s="159" t="s">
        <v>153</v>
      </c>
      <c r="AC14" s="159"/>
      <c r="AD14" s="159"/>
      <c r="AE14" s="159" t="s">
        <v>153</v>
      </c>
      <c r="AF14" s="160"/>
    </row>
    <row r="15" spans="1:32" ht="15" customHeight="1" x14ac:dyDescent="0.2">
      <c r="A15" s="163">
        <v>12</v>
      </c>
      <c r="B15" s="158" t="s">
        <v>205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5"/>
      <c r="S15" s="165"/>
      <c r="T15" s="165"/>
      <c r="U15" s="165"/>
      <c r="V15" s="165"/>
      <c r="W15" s="159" t="s">
        <v>153</v>
      </c>
      <c r="X15" s="165"/>
      <c r="Y15" s="165"/>
      <c r="Z15" s="165"/>
      <c r="AA15" s="165"/>
      <c r="AB15" s="165"/>
      <c r="AC15" s="159"/>
      <c r="AD15" s="165"/>
      <c r="AE15" s="159"/>
      <c r="AF15" s="166"/>
    </row>
  </sheetData>
  <mergeCells count="3">
    <mergeCell ref="A2:A3"/>
    <mergeCell ref="B2:B3"/>
    <mergeCell ref="C2:AC2"/>
  </mergeCells>
  <pageMargins left="0.7" right="0.7" top="0.75" bottom="0.75" header="0.3" footer="0.3"/>
  <pageSetup orientation="portrait" horizontalDpi="120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2:H37"/>
  <sheetViews>
    <sheetView workbookViewId="0">
      <selection activeCell="H17" sqref="H17"/>
    </sheetView>
  </sheetViews>
  <sheetFormatPr defaultRowHeight="15" x14ac:dyDescent="0.25"/>
  <cols>
    <col min="1" max="1" width="5" customWidth="1"/>
    <col min="2" max="2" width="7" bestFit="1" customWidth="1"/>
    <col min="3" max="3" width="14.140625" customWidth="1"/>
    <col min="4" max="4" width="13.42578125" customWidth="1"/>
    <col min="5" max="5" width="13.42578125" style="59" customWidth="1"/>
    <col min="6" max="6" width="7.7109375" customWidth="1"/>
    <col min="7" max="7" width="3.7109375" bestFit="1" customWidth="1"/>
    <col min="8" max="8" width="21.5703125" bestFit="1" customWidth="1"/>
  </cols>
  <sheetData>
    <row r="2" spans="2:8" x14ac:dyDescent="0.25">
      <c r="B2" t="s">
        <v>139</v>
      </c>
      <c r="C2" s="60" t="s">
        <v>140</v>
      </c>
      <c r="D2" s="60"/>
      <c r="E2" s="61"/>
      <c r="F2" s="60"/>
      <c r="G2" s="60"/>
    </row>
    <row r="3" spans="2:8" ht="15.75" thickBot="1" x14ac:dyDescent="0.3">
      <c r="B3" s="370" t="s">
        <v>141</v>
      </c>
      <c r="C3" s="371"/>
      <c r="D3" s="371"/>
      <c r="E3" s="371"/>
      <c r="F3" s="371"/>
      <c r="G3" s="371"/>
    </row>
    <row r="4" spans="2:8" ht="15.75" thickBot="1" x14ac:dyDescent="0.3">
      <c r="B4" s="372" t="s">
        <v>142</v>
      </c>
      <c r="C4" s="374" t="s">
        <v>143</v>
      </c>
      <c r="D4" s="375"/>
      <c r="E4" s="375"/>
      <c r="F4" s="375"/>
      <c r="G4" s="375"/>
    </row>
    <row r="5" spans="2:8" ht="48.75" thickBot="1" x14ac:dyDescent="0.3">
      <c r="B5" s="373"/>
      <c r="C5" s="85" t="s">
        <v>145</v>
      </c>
      <c r="D5" s="86" t="s">
        <v>167</v>
      </c>
      <c r="E5" s="87" t="s">
        <v>147</v>
      </c>
      <c r="F5" s="85" t="s">
        <v>166</v>
      </c>
      <c r="G5" s="85" t="s">
        <v>148</v>
      </c>
    </row>
    <row r="6" spans="2:8" ht="15.75" thickBot="1" x14ac:dyDescent="0.3">
      <c r="B6" s="67"/>
      <c r="C6" s="62"/>
      <c r="D6" s="62"/>
      <c r="E6" s="68"/>
      <c r="F6" s="69"/>
      <c r="G6" s="62"/>
    </row>
    <row r="7" spans="2:8" ht="15.75" thickBot="1" x14ac:dyDescent="0.3">
      <c r="B7" s="63">
        <v>2025</v>
      </c>
      <c r="C7" s="64"/>
      <c r="D7" s="64"/>
      <c r="E7" s="65"/>
      <c r="F7" s="66"/>
      <c r="G7" s="64"/>
    </row>
    <row r="8" spans="2:8" s="84" customFormat="1" ht="15" customHeight="1" thickBot="1" x14ac:dyDescent="0.25">
      <c r="B8" s="67">
        <v>10</v>
      </c>
      <c r="C8" s="62">
        <v>45933</v>
      </c>
      <c r="D8" s="62">
        <v>45938</v>
      </c>
      <c r="E8" s="62">
        <v>45938</v>
      </c>
      <c r="F8" s="69">
        <v>7</v>
      </c>
      <c r="G8" s="62"/>
      <c r="H8" s="84" t="s">
        <v>168</v>
      </c>
    </row>
    <row r="9" spans="2:8" s="84" customFormat="1" ht="15" customHeight="1" thickBot="1" x14ac:dyDescent="0.25">
      <c r="B9" s="70">
        <v>11</v>
      </c>
      <c r="C9" s="64">
        <v>45964</v>
      </c>
      <c r="D9" s="64">
        <v>45972</v>
      </c>
      <c r="E9" s="64">
        <v>45972</v>
      </c>
      <c r="F9" s="66">
        <v>9</v>
      </c>
      <c r="G9" s="64"/>
      <c r="H9" s="84" t="s">
        <v>210</v>
      </c>
    </row>
    <row r="10" spans="2:8" s="84" customFormat="1" ht="15" customHeight="1" thickBot="1" x14ac:dyDescent="0.25">
      <c r="B10" s="67">
        <v>12</v>
      </c>
      <c r="C10" s="62">
        <v>45994</v>
      </c>
      <c r="D10" s="62">
        <v>46002</v>
      </c>
      <c r="E10" s="62">
        <v>46002</v>
      </c>
      <c r="F10" s="69">
        <v>10</v>
      </c>
      <c r="G10" s="62"/>
      <c r="H10" s="84" t="s">
        <v>212</v>
      </c>
    </row>
    <row r="11" spans="2:8" s="84" customFormat="1" ht="15" customHeight="1" thickBot="1" x14ac:dyDescent="0.25">
      <c r="B11" s="63">
        <v>2026</v>
      </c>
      <c r="C11" s="64"/>
      <c r="D11" s="64"/>
      <c r="E11" s="64"/>
      <c r="F11" s="73"/>
      <c r="G11" s="64"/>
    </row>
    <row r="12" spans="2:8" s="84" customFormat="1" ht="15" customHeight="1" thickBot="1" x14ac:dyDescent="0.25">
      <c r="B12" s="67">
        <v>1</v>
      </c>
      <c r="C12" s="62">
        <v>46025</v>
      </c>
      <c r="D12" s="62">
        <v>46032</v>
      </c>
      <c r="E12" s="62">
        <v>46032</v>
      </c>
      <c r="F12" s="72">
        <v>8</v>
      </c>
      <c r="G12" s="62"/>
      <c r="H12" s="84" t="s">
        <v>215</v>
      </c>
    </row>
    <row r="13" spans="2:8" s="84" customFormat="1" ht="15" customHeight="1" thickBot="1" x14ac:dyDescent="0.25">
      <c r="B13" s="70">
        <v>2</v>
      </c>
      <c r="C13" s="64">
        <v>46056</v>
      </c>
      <c r="D13" s="64">
        <v>46064</v>
      </c>
      <c r="E13" s="64">
        <v>46064</v>
      </c>
      <c r="F13" s="66">
        <v>9</v>
      </c>
      <c r="G13" s="64"/>
      <c r="H13" s="84" t="s">
        <v>230</v>
      </c>
    </row>
    <row r="14" spans="2:8" s="84" customFormat="1" ht="15" customHeight="1" thickBot="1" x14ac:dyDescent="0.25">
      <c r="B14" s="67">
        <v>3</v>
      </c>
      <c r="C14" s="62">
        <v>46084</v>
      </c>
      <c r="D14" s="62">
        <v>46091</v>
      </c>
      <c r="E14" s="62">
        <v>46091</v>
      </c>
      <c r="F14" s="72">
        <v>8</v>
      </c>
      <c r="G14" s="62"/>
      <c r="H14" s="84" t="s">
        <v>237</v>
      </c>
    </row>
    <row r="15" spans="2:8" s="84" customFormat="1" ht="15" customHeight="1" thickBot="1" x14ac:dyDescent="0.25">
      <c r="B15" s="70"/>
      <c r="C15" s="64"/>
      <c r="D15" s="64"/>
      <c r="E15" s="64"/>
      <c r="F15" s="73"/>
      <c r="G15" s="64"/>
    </row>
    <row r="16" spans="2:8" s="84" customFormat="1" ht="15" customHeight="1" thickBot="1" x14ac:dyDescent="0.25">
      <c r="B16" s="67"/>
      <c r="C16" s="62"/>
      <c r="D16" s="62"/>
      <c r="E16" s="62"/>
      <c r="F16" s="69"/>
      <c r="G16" s="62"/>
    </row>
    <row r="17" spans="2:7" s="84" customFormat="1" ht="15" customHeight="1" thickBot="1" x14ac:dyDescent="0.25">
      <c r="B17" s="70"/>
      <c r="C17" s="64"/>
      <c r="D17" s="64"/>
      <c r="E17" s="71"/>
      <c r="F17" s="66"/>
      <c r="G17" s="64"/>
    </row>
    <row r="18" spans="2:7" s="84" customFormat="1" ht="15" customHeight="1" thickBot="1" x14ac:dyDescent="0.25">
      <c r="B18" s="67"/>
      <c r="C18" s="62"/>
      <c r="D18" s="62"/>
      <c r="E18" s="68"/>
      <c r="F18" s="69"/>
      <c r="G18" s="62"/>
    </row>
    <row r="19" spans="2:7" s="84" customFormat="1" ht="15" customHeight="1" thickBot="1" x14ac:dyDescent="0.25">
      <c r="B19" s="70"/>
      <c r="C19" s="64"/>
      <c r="D19" s="64"/>
      <c r="E19" s="71"/>
      <c r="F19" s="66"/>
      <c r="G19" s="64"/>
    </row>
    <row r="20" spans="2:7" ht="15.75" thickBot="1" x14ac:dyDescent="0.3">
      <c r="B20" s="74" t="s">
        <v>134</v>
      </c>
      <c r="C20" s="75" t="s">
        <v>149</v>
      </c>
      <c r="D20" s="75"/>
      <c r="E20" s="76"/>
      <c r="F20" s="77">
        <f>AVERAGE(F8:F19)</f>
        <v>8.5</v>
      </c>
      <c r="G20" s="75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</sheetData>
  <mergeCells count="3">
    <mergeCell ref="B3:G3"/>
    <mergeCell ref="B4:B5"/>
    <mergeCell ref="C4:G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98"/>
  <sheetViews>
    <sheetView workbookViewId="0">
      <pane xSplit="3" ySplit="5" topLeftCell="D33" activePane="bottomRight" state="frozen"/>
      <selection pane="topRight" activeCell="E1" sqref="E1"/>
      <selection pane="bottomLeft" activeCell="A6" sqref="A6"/>
      <selection pane="bottomRight" activeCell="D41" sqref="D41"/>
    </sheetView>
  </sheetViews>
  <sheetFormatPr defaultRowHeight="15" x14ac:dyDescent="0.25"/>
  <cols>
    <col min="1" max="1" width="5.85546875" customWidth="1"/>
    <col min="2" max="2" width="10.5703125" customWidth="1"/>
    <col min="3" max="3" width="26.5703125" customWidth="1"/>
    <col min="4" max="4" width="51.85546875" bestFit="1" customWidth="1"/>
    <col min="5" max="5" width="30.28515625" customWidth="1"/>
    <col min="6" max="6" width="13.7109375" customWidth="1"/>
    <col min="7" max="7" width="32.42578125" bestFit="1" customWidth="1"/>
  </cols>
  <sheetData>
    <row r="1" spans="1:7" ht="15" customHeight="1" x14ac:dyDescent="0.25"/>
    <row r="2" spans="1:7" ht="15" customHeight="1" x14ac:dyDescent="0.25">
      <c r="B2" t="s">
        <v>139</v>
      </c>
      <c r="C2" s="124" t="s">
        <v>169</v>
      </c>
      <c r="D2" s="60"/>
    </row>
    <row r="3" spans="1:7" ht="15" customHeight="1" x14ac:dyDescent="0.25">
      <c r="C3" s="60"/>
      <c r="D3" s="60"/>
    </row>
    <row r="4" spans="1:7" ht="15" customHeight="1" thickBot="1" x14ac:dyDescent="0.3">
      <c r="A4" s="376" t="s">
        <v>141</v>
      </c>
      <c r="B4" s="376"/>
      <c r="C4" s="376"/>
      <c r="D4" s="376"/>
      <c r="E4" s="376"/>
      <c r="F4" s="376"/>
      <c r="G4" s="376"/>
    </row>
    <row r="5" spans="1:7" s="90" customFormat="1" ht="15" customHeight="1" thickBot="1" x14ac:dyDescent="0.3">
      <c r="A5" s="88" t="s">
        <v>170</v>
      </c>
      <c r="B5" s="88" t="s">
        <v>142</v>
      </c>
      <c r="C5" s="88" t="s">
        <v>171</v>
      </c>
      <c r="D5" s="89" t="s">
        <v>203</v>
      </c>
      <c r="E5" s="89" t="s">
        <v>172</v>
      </c>
      <c r="F5" s="89" t="s">
        <v>146</v>
      </c>
      <c r="G5" s="89" t="s">
        <v>144</v>
      </c>
    </row>
    <row r="6" spans="1:7" s="55" customFormat="1" ht="15" customHeight="1" thickBot="1" x14ac:dyDescent="0.3">
      <c r="A6" s="91">
        <v>1</v>
      </c>
      <c r="B6" s="91" t="s">
        <v>173</v>
      </c>
      <c r="C6" s="92" t="s">
        <v>174</v>
      </c>
      <c r="D6" s="93">
        <v>45658</v>
      </c>
      <c r="E6" s="93">
        <v>45658</v>
      </c>
      <c r="F6" s="94">
        <v>0</v>
      </c>
      <c r="G6" s="95"/>
    </row>
    <row r="7" spans="1:7" s="55" customFormat="1" ht="15" customHeight="1" thickBot="1" x14ac:dyDescent="0.3">
      <c r="A7" s="91"/>
      <c r="B7" s="91"/>
      <c r="C7" s="92" t="s">
        <v>175</v>
      </c>
      <c r="D7" s="93">
        <v>45688</v>
      </c>
      <c r="E7" s="93">
        <v>45688</v>
      </c>
      <c r="F7" s="96">
        <v>0</v>
      </c>
      <c r="G7" s="91"/>
    </row>
    <row r="8" spans="1:7" s="55" customFormat="1" ht="15" customHeight="1" thickBot="1" x14ac:dyDescent="0.3">
      <c r="A8" s="91"/>
      <c r="B8" s="91"/>
      <c r="C8" s="92" t="s">
        <v>175</v>
      </c>
      <c r="D8" s="93">
        <v>45688</v>
      </c>
      <c r="E8" s="93">
        <v>45688</v>
      </c>
      <c r="F8" s="94">
        <v>0</v>
      </c>
      <c r="G8" s="95"/>
    </row>
    <row r="9" spans="1:7" s="55" customFormat="1" ht="15" customHeight="1" thickBot="1" x14ac:dyDescent="0.3">
      <c r="A9" s="91"/>
      <c r="B9" s="91"/>
      <c r="C9" s="92" t="s">
        <v>176</v>
      </c>
      <c r="D9" s="93">
        <v>45660</v>
      </c>
      <c r="E9" s="93">
        <v>45660</v>
      </c>
      <c r="F9" s="94">
        <v>0</v>
      </c>
      <c r="G9" s="97"/>
    </row>
    <row r="10" spans="1:7" s="55" customFormat="1" ht="15" customHeight="1" thickBot="1" x14ac:dyDescent="0.3">
      <c r="A10" s="98"/>
      <c r="B10" s="98"/>
      <c r="C10" s="99"/>
      <c r="D10" s="100"/>
      <c r="E10" s="100"/>
      <c r="F10" s="101"/>
      <c r="G10" s="98"/>
    </row>
    <row r="11" spans="1:7" s="55" customFormat="1" ht="15" customHeight="1" thickBot="1" x14ac:dyDescent="0.3">
      <c r="A11" s="91">
        <v>2</v>
      </c>
      <c r="B11" s="91" t="s">
        <v>177</v>
      </c>
      <c r="C11" s="92" t="s">
        <v>178</v>
      </c>
      <c r="D11" s="102">
        <v>45693</v>
      </c>
      <c r="E11" s="102">
        <v>45693</v>
      </c>
      <c r="F11" s="94">
        <v>0</v>
      </c>
      <c r="G11" s="95"/>
    </row>
    <row r="12" spans="1:7" s="55" customFormat="1" ht="15" customHeight="1" thickBot="1" x14ac:dyDescent="0.3">
      <c r="A12" s="98"/>
      <c r="B12" s="98"/>
      <c r="C12" s="99"/>
      <c r="D12" s="100"/>
      <c r="E12" s="100"/>
      <c r="F12" s="101"/>
      <c r="G12" s="103"/>
    </row>
    <row r="13" spans="1:7" s="55" customFormat="1" ht="15" customHeight="1" thickBot="1" x14ac:dyDescent="0.3">
      <c r="B13" s="98"/>
      <c r="C13" s="99"/>
      <c r="D13" s="100"/>
      <c r="E13" s="100"/>
      <c r="F13" s="101"/>
      <c r="G13" s="104"/>
    </row>
    <row r="14" spans="1:7" s="55" customFormat="1" ht="15" customHeight="1" thickBot="1" x14ac:dyDescent="0.3">
      <c r="A14" s="98">
        <v>3</v>
      </c>
      <c r="B14" s="98" t="s">
        <v>179</v>
      </c>
      <c r="C14" s="99" t="s">
        <v>180</v>
      </c>
      <c r="D14" s="102">
        <v>45717</v>
      </c>
      <c r="E14" s="102">
        <v>45717</v>
      </c>
      <c r="F14" s="94">
        <v>0</v>
      </c>
      <c r="G14" s="105"/>
    </row>
    <row r="15" spans="1:7" s="55" customFormat="1" ht="15" customHeight="1" thickBot="1" x14ac:dyDescent="0.3">
      <c r="A15" s="98"/>
      <c r="B15" s="98"/>
      <c r="C15" s="99" t="s">
        <v>181</v>
      </c>
      <c r="D15" s="102">
        <v>45717</v>
      </c>
      <c r="E15" s="102">
        <v>45717</v>
      </c>
      <c r="F15" s="94">
        <v>0</v>
      </c>
      <c r="G15" s="98"/>
    </row>
    <row r="16" spans="1:7" s="55" customFormat="1" ht="15" customHeight="1" thickBot="1" x14ac:dyDescent="0.3">
      <c r="A16" s="98"/>
      <c r="B16" s="98"/>
      <c r="C16" s="99" t="s">
        <v>182</v>
      </c>
      <c r="D16" s="102">
        <v>45717</v>
      </c>
      <c r="E16" s="102">
        <v>45717</v>
      </c>
      <c r="F16" s="94">
        <v>0</v>
      </c>
      <c r="G16" s="98"/>
    </row>
    <row r="17" spans="1:7" s="55" customFormat="1" ht="15" customHeight="1" thickBot="1" x14ac:dyDescent="0.3">
      <c r="A17" s="98"/>
      <c r="B17" s="98"/>
      <c r="C17" s="99" t="s">
        <v>183</v>
      </c>
      <c r="D17" s="102">
        <v>45717</v>
      </c>
      <c r="E17" s="102">
        <v>45717</v>
      </c>
      <c r="F17" s="94">
        <v>0</v>
      </c>
      <c r="G17" s="98"/>
    </row>
    <row r="18" spans="1:7" s="55" customFormat="1" ht="15" customHeight="1" thickBot="1" x14ac:dyDescent="0.3">
      <c r="A18" s="98"/>
      <c r="B18" s="98"/>
      <c r="C18" s="99" t="s">
        <v>184</v>
      </c>
      <c r="D18" s="102">
        <v>45717</v>
      </c>
      <c r="E18" s="102">
        <v>45717</v>
      </c>
      <c r="F18" s="94">
        <v>0</v>
      </c>
      <c r="G18" s="98"/>
    </row>
    <row r="19" spans="1:7" s="55" customFormat="1" ht="15" customHeight="1" thickBot="1" x14ac:dyDescent="0.3">
      <c r="A19" s="98"/>
      <c r="B19" s="98"/>
      <c r="C19" s="99" t="s">
        <v>185</v>
      </c>
      <c r="D19" s="102">
        <v>45717</v>
      </c>
      <c r="E19" s="102">
        <v>45717</v>
      </c>
      <c r="F19" s="94">
        <v>0</v>
      </c>
      <c r="G19" s="104"/>
    </row>
    <row r="20" spans="1:7" s="55" customFormat="1" ht="15" customHeight="1" thickBot="1" x14ac:dyDescent="0.3">
      <c r="A20" s="98"/>
      <c r="B20" s="98"/>
      <c r="C20" s="99" t="s">
        <v>186</v>
      </c>
      <c r="D20" s="102">
        <v>45717</v>
      </c>
      <c r="E20" s="102">
        <v>45717</v>
      </c>
      <c r="F20" s="94">
        <v>0</v>
      </c>
      <c r="G20" s="104"/>
    </row>
    <row r="21" spans="1:7" s="55" customFormat="1" ht="15" customHeight="1" thickBot="1" x14ac:dyDescent="0.3">
      <c r="A21" s="98"/>
      <c r="B21" s="98"/>
      <c r="C21" s="99" t="s">
        <v>138</v>
      </c>
      <c r="D21" s="102">
        <v>45717</v>
      </c>
      <c r="E21" s="102">
        <v>45717</v>
      </c>
      <c r="F21" s="94">
        <v>0</v>
      </c>
      <c r="G21" s="104"/>
    </row>
    <row r="22" spans="1:7" s="55" customFormat="1" ht="15" customHeight="1" thickBot="1" x14ac:dyDescent="0.3">
      <c r="A22" s="98"/>
      <c r="B22" s="98"/>
      <c r="C22" s="99" t="s">
        <v>187</v>
      </c>
      <c r="D22" s="102">
        <v>45717</v>
      </c>
      <c r="E22" s="102">
        <v>45717</v>
      </c>
      <c r="F22" s="94">
        <v>0</v>
      </c>
      <c r="G22" s="104"/>
    </row>
    <row r="23" spans="1:7" s="55" customFormat="1" ht="15" customHeight="1" thickBot="1" x14ac:dyDescent="0.3">
      <c r="A23" s="98"/>
      <c r="B23" s="98"/>
      <c r="C23" s="99" t="s">
        <v>188</v>
      </c>
      <c r="D23" s="102">
        <v>45717</v>
      </c>
      <c r="E23" s="102">
        <v>45717</v>
      </c>
      <c r="F23" s="94">
        <v>0</v>
      </c>
      <c r="G23" s="104"/>
    </row>
    <row r="24" spans="1:7" s="55" customFormat="1" ht="15" customHeight="1" thickBot="1" x14ac:dyDescent="0.3">
      <c r="A24" s="98"/>
      <c r="B24" s="98"/>
      <c r="C24" s="99" t="s">
        <v>189</v>
      </c>
      <c r="D24" s="102">
        <v>45717</v>
      </c>
      <c r="E24" s="102">
        <v>45717</v>
      </c>
      <c r="F24" s="94">
        <v>0</v>
      </c>
      <c r="G24" s="104"/>
    </row>
    <row r="25" spans="1:7" s="55" customFormat="1" ht="15" customHeight="1" thickBot="1" x14ac:dyDescent="0.3">
      <c r="A25" s="98"/>
      <c r="B25" s="98"/>
      <c r="C25" s="99"/>
      <c r="D25" s="100"/>
      <c r="E25" s="100"/>
      <c r="F25" s="101"/>
      <c r="G25" s="104"/>
    </row>
    <row r="26" spans="1:7" s="55" customFormat="1" ht="15" customHeight="1" thickBot="1" x14ac:dyDescent="0.3">
      <c r="A26" s="98">
        <v>4</v>
      </c>
      <c r="B26" s="98" t="s">
        <v>190</v>
      </c>
      <c r="C26" s="99" t="s">
        <v>175</v>
      </c>
      <c r="D26" s="102">
        <v>45777</v>
      </c>
      <c r="E26" s="102">
        <v>45777</v>
      </c>
      <c r="F26" s="94">
        <v>0</v>
      </c>
      <c r="G26" s="104"/>
    </row>
    <row r="27" spans="1:7" s="55" customFormat="1" ht="15" customHeight="1" thickBot="1" x14ac:dyDescent="0.3">
      <c r="A27" s="98"/>
      <c r="B27" s="98"/>
      <c r="C27" s="99" t="s">
        <v>175</v>
      </c>
      <c r="D27" s="102">
        <v>45777</v>
      </c>
      <c r="E27" s="102">
        <v>45777</v>
      </c>
      <c r="F27" s="94">
        <v>0</v>
      </c>
      <c r="G27" s="104"/>
    </row>
    <row r="28" spans="1:7" s="55" customFormat="1" ht="15" customHeight="1" thickBot="1" x14ac:dyDescent="0.3">
      <c r="A28" s="98"/>
      <c r="B28" s="98"/>
      <c r="C28" s="99"/>
      <c r="D28" s="100"/>
      <c r="E28" s="100"/>
      <c r="F28" s="101"/>
      <c r="G28" s="104"/>
    </row>
    <row r="29" spans="1:7" s="55" customFormat="1" ht="15" customHeight="1" thickBot="1" x14ac:dyDescent="0.3">
      <c r="A29" s="91">
        <v>5</v>
      </c>
      <c r="B29" s="91" t="s">
        <v>191</v>
      </c>
      <c r="C29" s="92" t="s">
        <v>192</v>
      </c>
      <c r="D29" s="102">
        <v>45824</v>
      </c>
      <c r="E29" s="102">
        <v>45824</v>
      </c>
      <c r="F29" s="94">
        <v>0</v>
      </c>
      <c r="G29" s="95"/>
    </row>
    <row r="30" spans="1:7" s="55" customFormat="1" ht="15" customHeight="1" thickBot="1" x14ac:dyDescent="0.3">
      <c r="A30" s="98"/>
      <c r="B30" s="98"/>
      <c r="C30" s="99"/>
      <c r="D30" s="100"/>
      <c r="E30" s="100"/>
      <c r="F30" s="101"/>
      <c r="G30" s="104"/>
    </row>
    <row r="31" spans="1:7" s="55" customFormat="1" ht="15" customHeight="1" thickBot="1" x14ac:dyDescent="0.3">
      <c r="A31" s="91">
        <v>6</v>
      </c>
      <c r="B31" s="91" t="s">
        <v>193</v>
      </c>
      <c r="C31" s="121" t="s">
        <v>196</v>
      </c>
      <c r="D31" s="102">
        <v>45909</v>
      </c>
      <c r="E31" s="102">
        <v>45909</v>
      </c>
      <c r="F31" s="94">
        <v>0</v>
      </c>
      <c r="G31" s="123" t="s">
        <v>197</v>
      </c>
    </row>
    <row r="32" spans="1:7" s="55" customFormat="1" ht="15" customHeight="1" thickBot="1" x14ac:dyDescent="0.3">
      <c r="A32" s="98"/>
      <c r="B32" s="98"/>
      <c r="C32" s="121" t="s">
        <v>194</v>
      </c>
      <c r="D32" s="102">
        <v>45919</v>
      </c>
      <c r="E32" s="102">
        <v>45919</v>
      </c>
      <c r="F32" s="94">
        <v>0</v>
      </c>
      <c r="G32" s="122" t="s">
        <v>198</v>
      </c>
    </row>
    <row r="33" spans="1:8" s="55" customFormat="1" ht="15" customHeight="1" thickBot="1" x14ac:dyDescent="0.3">
      <c r="A33" s="91"/>
      <c r="B33" s="91"/>
      <c r="C33" s="121" t="s">
        <v>194</v>
      </c>
      <c r="D33" s="102">
        <v>45919</v>
      </c>
      <c r="E33" s="102">
        <v>45919</v>
      </c>
      <c r="F33" s="94">
        <v>0</v>
      </c>
      <c r="G33" s="122" t="s">
        <v>198</v>
      </c>
    </row>
    <row r="34" spans="1:8" s="55" customFormat="1" ht="15" customHeight="1" thickBot="1" x14ac:dyDescent="0.3">
      <c r="A34" s="91"/>
      <c r="B34" s="91"/>
      <c r="C34" s="121" t="s">
        <v>195</v>
      </c>
      <c r="D34" s="102">
        <v>45930</v>
      </c>
      <c r="E34" s="102">
        <v>45930</v>
      </c>
      <c r="F34" s="94">
        <v>0</v>
      </c>
      <c r="G34" s="122" t="s">
        <v>198</v>
      </c>
    </row>
    <row r="35" spans="1:8" s="55" customFormat="1" ht="15" customHeight="1" thickBot="1" x14ac:dyDescent="0.3">
      <c r="A35" s="91"/>
      <c r="B35" s="91"/>
    </row>
    <row r="36" spans="1:8" s="55" customFormat="1" ht="15" customHeight="1" thickBot="1" x14ac:dyDescent="0.3">
      <c r="A36" s="91">
        <v>7</v>
      </c>
      <c r="B36" s="91" t="s">
        <v>199</v>
      </c>
      <c r="C36" s="121" t="s">
        <v>200</v>
      </c>
      <c r="D36" s="102">
        <v>45957</v>
      </c>
      <c r="E36" s="102">
        <v>45957</v>
      </c>
      <c r="F36" s="94">
        <v>0</v>
      </c>
      <c r="G36" s="97" t="s">
        <v>202</v>
      </c>
      <c r="H36" s="127" t="s">
        <v>204</v>
      </c>
    </row>
    <row r="37" spans="1:8" s="55" customFormat="1" ht="15" customHeight="1" thickBot="1" x14ac:dyDescent="0.3">
      <c r="A37" s="91"/>
      <c r="B37" s="91"/>
      <c r="C37" s="121" t="s">
        <v>201</v>
      </c>
      <c r="D37" s="102">
        <v>45957</v>
      </c>
      <c r="E37" s="102">
        <v>45957</v>
      </c>
      <c r="F37" s="94">
        <v>0</v>
      </c>
      <c r="G37" s="97" t="s">
        <v>202</v>
      </c>
    </row>
    <row r="38" spans="1:8" s="55" customFormat="1" ht="15" customHeight="1" thickBot="1" x14ac:dyDescent="0.3">
      <c r="A38" s="91"/>
      <c r="B38" s="91"/>
      <c r="C38" s="121" t="s">
        <v>187</v>
      </c>
      <c r="D38" s="102">
        <v>45957</v>
      </c>
      <c r="E38" s="102">
        <v>45957</v>
      </c>
      <c r="F38" s="94">
        <v>0</v>
      </c>
      <c r="G38" s="97" t="s">
        <v>202</v>
      </c>
    </row>
    <row r="39" spans="1:8" s="55" customFormat="1" ht="15" customHeight="1" thickBot="1" x14ac:dyDescent="0.3">
      <c r="A39" s="98"/>
      <c r="B39" s="98"/>
      <c r="C39" s="103"/>
      <c r="D39" s="106"/>
      <c r="E39" s="106"/>
      <c r="F39" s="101"/>
      <c r="G39" s="105"/>
    </row>
    <row r="40" spans="1:8" s="55" customFormat="1" ht="15" customHeight="1" thickBot="1" x14ac:dyDescent="0.3">
      <c r="A40" s="98">
        <v>8</v>
      </c>
      <c r="B40" s="98" t="s">
        <v>223</v>
      </c>
      <c r="C40" s="103" t="s">
        <v>222</v>
      </c>
      <c r="D40" s="106" t="s">
        <v>221</v>
      </c>
      <c r="E40" s="106"/>
      <c r="F40" s="101"/>
      <c r="G40" s="97" t="s">
        <v>220</v>
      </c>
    </row>
    <row r="41" spans="1:8" s="55" customFormat="1" ht="15" customHeight="1" thickBot="1" x14ac:dyDescent="0.3">
      <c r="A41" s="98"/>
      <c r="B41" s="98"/>
      <c r="C41" s="103" t="s">
        <v>219</v>
      </c>
      <c r="D41" s="106"/>
      <c r="E41" s="106"/>
      <c r="F41" s="94">
        <v>0</v>
      </c>
      <c r="G41" s="97" t="s">
        <v>218</v>
      </c>
    </row>
    <row r="42" spans="1:8" s="55" customFormat="1" ht="15" customHeight="1" thickBot="1" x14ac:dyDescent="0.3">
      <c r="A42" s="98"/>
      <c r="B42" s="98"/>
      <c r="C42" s="103" t="s">
        <v>217</v>
      </c>
      <c r="D42" s="106"/>
      <c r="E42" s="106"/>
      <c r="F42" s="94">
        <v>0</v>
      </c>
      <c r="G42" s="97" t="s">
        <v>216</v>
      </c>
    </row>
    <row r="43" spans="1:8" s="55" customFormat="1" ht="15" customHeight="1" thickBot="1" x14ac:dyDescent="0.3">
      <c r="A43" s="98"/>
      <c r="B43" s="98"/>
      <c r="C43" s="103"/>
      <c r="D43" s="106"/>
      <c r="E43" s="106"/>
      <c r="F43" s="101"/>
      <c r="G43" s="105"/>
    </row>
    <row r="44" spans="1:8" s="55" customFormat="1" ht="15" customHeight="1" thickBot="1" x14ac:dyDescent="0.3">
      <c r="A44" s="98"/>
      <c r="B44" s="98"/>
      <c r="C44" s="98"/>
      <c r="D44" s="106"/>
      <c r="E44" s="107"/>
      <c r="F44" s="108"/>
      <c r="G44" s="105"/>
    </row>
    <row r="45" spans="1:8" s="55" customFormat="1" ht="15" customHeight="1" thickBot="1" x14ac:dyDescent="0.3">
      <c r="A45" s="98"/>
      <c r="B45" s="98"/>
      <c r="C45" s="103"/>
      <c r="D45" s="106"/>
      <c r="E45" s="106"/>
      <c r="F45" s="108"/>
      <c r="G45" s="105"/>
    </row>
    <row r="46" spans="1:8" s="55" customFormat="1" ht="15" customHeight="1" thickBot="1" x14ac:dyDescent="0.3">
      <c r="A46" s="98"/>
      <c r="B46" s="98"/>
      <c r="C46" s="98"/>
      <c r="D46" s="106"/>
      <c r="E46" s="107"/>
      <c r="F46" s="108"/>
      <c r="G46" s="105"/>
    </row>
    <row r="47" spans="1:8" s="55" customFormat="1" ht="15" customHeight="1" thickBot="1" x14ac:dyDescent="0.3">
      <c r="A47" s="98"/>
      <c r="B47" s="98"/>
      <c r="C47" s="98"/>
      <c r="D47" s="106"/>
      <c r="E47" s="107"/>
      <c r="F47" s="108"/>
      <c r="G47" s="105"/>
    </row>
    <row r="48" spans="1:8" s="55" customFormat="1" ht="15" customHeight="1" thickBot="1" x14ac:dyDescent="0.3">
      <c r="A48" s="98"/>
      <c r="B48" s="98"/>
      <c r="C48" s="98"/>
      <c r="D48" s="106"/>
      <c r="E48" s="107"/>
      <c r="F48" s="108"/>
      <c r="G48" s="105"/>
    </row>
    <row r="49" spans="1:7" s="55" customFormat="1" ht="15" customHeight="1" thickBot="1" x14ac:dyDescent="0.3">
      <c r="A49" s="98"/>
      <c r="B49" s="98"/>
      <c r="C49" s="98"/>
      <c r="D49" s="106"/>
      <c r="E49" s="107"/>
      <c r="F49" s="108"/>
      <c r="G49" s="105"/>
    </row>
    <row r="50" spans="1:7" s="55" customFormat="1" ht="15" customHeight="1" thickBot="1" x14ac:dyDescent="0.3">
      <c r="A50" s="98"/>
      <c r="B50" s="98"/>
      <c r="C50" s="98"/>
      <c r="D50" s="106"/>
      <c r="E50" s="107"/>
      <c r="F50" s="108"/>
      <c r="G50" s="105"/>
    </row>
    <row r="51" spans="1:7" s="55" customFormat="1" ht="15" customHeight="1" thickBot="1" x14ac:dyDescent="0.3">
      <c r="A51" s="98"/>
      <c r="B51" s="98"/>
      <c r="C51" s="98"/>
      <c r="D51" s="106"/>
      <c r="E51" s="107"/>
      <c r="F51" s="108"/>
      <c r="G51" s="105"/>
    </row>
    <row r="52" spans="1:7" s="55" customFormat="1" ht="15" customHeight="1" thickBot="1" x14ac:dyDescent="0.3">
      <c r="A52" s="98"/>
      <c r="B52" s="98"/>
      <c r="C52" s="98"/>
      <c r="D52" s="106"/>
      <c r="E52" s="107"/>
      <c r="F52" s="108"/>
      <c r="G52" s="105"/>
    </row>
    <row r="53" spans="1:7" s="55" customFormat="1" ht="15" customHeight="1" thickBot="1" x14ac:dyDescent="0.3">
      <c r="A53" s="98"/>
      <c r="B53" s="98"/>
      <c r="C53" s="98"/>
      <c r="D53" s="106"/>
      <c r="E53" s="107"/>
      <c r="F53" s="108"/>
      <c r="G53" s="105"/>
    </row>
    <row r="54" spans="1:7" s="55" customFormat="1" ht="15" customHeight="1" thickBot="1" x14ac:dyDescent="0.3">
      <c r="A54" s="98"/>
      <c r="B54" s="98"/>
      <c r="C54" s="98"/>
      <c r="D54" s="106"/>
      <c r="E54" s="107"/>
      <c r="F54" s="108"/>
      <c r="G54" s="105"/>
    </row>
    <row r="55" spans="1:7" s="55" customFormat="1" ht="15" customHeight="1" thickBot="1" x14ac:dyDescent="0.3">
      <c r="A55" s="98"/>
      <c r="B55" s="98"/>
      <c r="C55" s="98"/>
      <c r="D55" s="106"/>
      <c r="E55" s="107"/>
      <c r="F55" s="108"/>
      <c r="G55" s="105"/>
    </row>
    <row r="56" spans="1:7" s="55" customFormat="1" ht="15" customHeight="1" thickBot="1" x14ac:dyDescent="0.3">
      <c r="A56" s="98"/>
      <c r="B56" s="98"/>
      <c r="C56" s="98"/>
      <c r="D56" s="106"/>
      <c r="E56" s="107"/>
      <c r="F56" s="108"/>
      <c r="G56" s="105"/>
    </row>
    <row r="57" spans="1:7" s="55" customFormat="1" ht="15" customHeight="1" thickBot="1" x14ac:dyDescent="0.3">
      <c r="A57" s="98"/>
      <c r="B57" s="98"/>
      <c r="C57" s="98"/>
      <c r="D57" s="106"/>
      <c r="E57" s="107"/>
      <c r="F57" s="108"/>
      <c r="G57" s="105"/>
    </row>
    <row r="58" spans="1:7" s="55" customFormat="1" ht="15" customHeight="1" thickBot="1" x14ac:dyDescent="0.3">
      <c r="A58" s="98"/>
      <c r="B58" s="98"/>
      <c r="C58" s="98"/>
      <c r="D58" s="106"/>
      <c r="E58" s="107"/>
      <c r="F58" s="108"/>
      <c r="G58" s="105"/>
    </row>
    <row r="59" spans="1:7" s="55" customFormat="1" ht="15" customHeight="1" thickBot="1" x14ac:dyDescent="0.3">
      <c r="A59" s="98"/>
      <c r="B59" s="98"/>
      <c r="C59" s="98"/>
      <c r="D59" s="106"/>
      <c r="E59" s="107"/>
      <c r="F59" s="108"/>
      <c r="G59" s="105"/>
    </row>
    <row r="60" spans="1:7" s="55" customFormat="1" ht="15" customHeight="1" thickBot="1" x14ac:dyDescent="0.3">
      <c r="A60" s="98"/>
      <c r="B60" s="98"/>
      <c r="C60" s="98"/>
      <c r="D60" s="106"/>
      <c r="E60" s="107"/>
      <c r="F60" s="108"/>
      <c r="G60" s="105"/>
    </row>
    <row r="61" spans="1:7" s="55" customFormat="1" ht="15" customHeight="1" thickBot="1" x14ac:dyDescent="0.3">
      <c r="A61" s="98"/>
      <c r="B61" s="98"/>
      <c r="C61" s="98"/>
      <c r="D61" s="106"/>
      <c r="E61" s="107"/>
      <c r="F61" s="108"/>
      <c r="G61" s="105"/>
    </row>
    <row r="62" spans="1:7" s="55" customFormat="1" ht="15" customHeight="1" thickBot="1" x14ac:dyDescent="0.3">
      <c r="A62" s="98"/>
      <c r="B62" s="98"/>
      <c r="C62" s="98"/>
      <c r="D62" s="106"/>
      <c r="E62" s="107"/>
      <c r="F62" s="108"/>
      <c r="G62" s="105"/>
    </row>
    <row r="63" spans="1:7" s="55" customFormat="1" ht="15" customHeight="1" thickBot="1" x14ac:dyDescent="0.3">
      <c r="A63" s="98"/>
      <c r="B63" s="98"/>
      <c r="C63" s="98"/>
      <c r="D63" s="106"/>
      <c r="E63" s="107"/>
      <c r="F63" s="108"/>
      <c r="G63" s="105"/>
    </row>
    <row r="64" spans="1:7" s="55" customFormat="1" ht="15" customHeight="1" thickBot="1" x14ac:dyDescent="0.3">
      <c r="A64" s="98"/>
      <c r="B64" s="98"/>
      <c r="C64" s="98"/>
      <c r="D64" s="106"/>
      <c r="E64" s="107"/>
      <c r="F64" s="108"/>
      <c r="G64" s="105"/>
    </row>
    <row r="65" spans="1:7" s="55" customFormat="1" ht="15" customHeight="1" thickBot="1" x14ac:dyDescent="0.3">
      <c r="A65" s="98"/>
      <c r="B65" s="98"/>
      <c r="C65" s="98"/>
      <c r="D65" s="106"/>
      <c r="E65" s="107"/>
      <c r="F65" s="108"/>
      <c r="G65" s="105"/>
    </row>
    <row r="66" spans="1:7" s="55" customFormat="1" ht="15" customHeight="1" thickBot="1" x14ac:dyDescent="0.3">
      <c r="A66" s="98"/>
      <c r="B66" s="98"/>
      <c r="C66" s="98"/>
      <c r="D66" s="106"/>
      <c r="E66" s="107"/>
      <c r="F66" s="108"/>
      <c r="G66" s="105"/>
    </row>
    <row r="67" spans="1:7" s="55" customFormat="1" ht="15" customHeight="1" thickBot="1" x14ac:dyDescent="0.3">
      <c r="A67" s="98"/>
      <c r="B67" s="98"/>
      <c r="C67" s="103"/>
      <c r="D67" s="98"/>
      <c r="E67" s="98"/>
      <c r="F67" s="109"/>
      <c r="G67" s="98"/>
    </row>
    <row r="68" spans="1:7" s="55" customFormat="1" ht="15" customHeight="1" thickBot="1" x14ac:dyDescent="0.3">
      <c r="A68" s="110"/>
      <c r="B68" s="110"/>
      <c r="C68" s="111"/>
      <c r="D68" s="112"/>
      <c r="E68" s="113"/>
      <c r="F68" s="114"/>
      <c r="G68" s="115"/>
    </row>
    <row r="69" spans="1:7" s="55" customFormat="1" ht="15" customHeight="1" thickBot="1" x14ac:dyDescent="0.3">
      <c r="A69" s="116"/>
      <c r="B69" s="377"/>
      <c r="C69" s="378"/>
      <c r="D69" s="116"/>
      <c r="E69" s="117"/>
      <c r="F69" s="118"/>
      <c r="G69" s="117"/>
    </row>
    <row r="70" spans="1:7" s="55" customFormat="1" ht="15" customHeight="1" x14ac:dyDescent="0.25">
      <c r="D70" s="119"/>
    </row>
    <row r="71" spans="1:7" s="55" customFormat="1" ht="15" customHeight="1" x14ac:dyDescent="0.25">
      <c r="D71" s="119"/>
    </row>
    <row r="72" spans="1:7" s="55" customFormat="1" ht="15" customHeight="1" x14ac:dyDescent="0.25">
      <c r="D72" s="119"/>
    </row>
    <row r="73" spans="1:7" s="55" customFormat="1" ht="15" customHeight="1" x14ac:dyDescent="0.25">
      <c r="D73" s="119"/>
    </row>
    <row r="74" spans="1:7" s="55" customFormat="1" ht="15" customHeight="1" x14ac:dyDescent="0.25">
      <c r="A74"/>
      <c r="B74"/>
      <c r="C74"/>
      <c r="D74" s="120"/>
      <c r="E74"/>
      <c r="F74"/>
      <c r="G74"/>
    </row>
    <row r="75" spans="1:7" ht="15" customHeight="1" x14ac:dyDescent="0.25"/>
    <row r="76" spans="1:7" ht="15" customHeight="1" x14ac:dyDescent="0.25"/>
    <row r="77" spans="1:7" ht="15" customHeight="1" x14ac:dyDescent="0.25"/>
    <row r="78" spans="1:7" ht="15" customHeight="1" x14ac:dyDescent="0.25"/>
    <row r="79" spans="1:7" ht="15" customHeight="1" x14ac:dyDescent="0.25"/>
    <row r="80" spans="1:7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</sheetData>
  <mergeCells count="2">
    <mergeCell ref="A4:G4"/>
    <mergeCell ref="B69:C69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KPI</vt:lpstr>
      <vt:lpstr>Retur</vt:lpstr>
      <vt:lpstr>PL</vt:lpstr>
      <vt:lpstr>Program</vt:lpstr>
      <vt:lpstr>BACK UP</vt:lpstr>
      <vt:lpstr>Olah Data Penjualan</vt:lpstr>
      <vt:lpstr>BONUS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Putri Qutisyah Sari</cp:lastModifiedBy>
  <cp:lastPrinted>2021-06-10T08:57:10Z</cp:lastPrinted>
  <dcterms:created xsi:type="dcterms:W3CDTF">2021-06-05T03:16:25Z</dcterms:created>
  <dcterms:modified xsi:type="dcterms:W3CDTF">2026-04-10T01:07:27Z</dcterms:modified>
</cp:coreProperties>
</file>