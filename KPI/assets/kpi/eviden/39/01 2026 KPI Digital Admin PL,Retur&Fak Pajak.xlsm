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0" windowWidth="20115" windowHeight="6300" firstSheet="1" activeTab="2"/>
  </bookViews>
  <sheets>
    <sheet name="KPI" sheetId="4" state="hidden" r:id="rId1"/>
    <sheet name="Dashboard" sheetId="68" r:id="rId2"/>
    <sheet name="Detail" sheetId="67" r:id="rId3"/>
    <sheet name="PL" sheetId="88" r:id="rId4"/>
    <sheet name="BACK UP" sheetId="89" r:id="rId5"/>
    <sheet name="Retur" sheetId="91" r:id="rId6"/>
    <sheet name="Program" sheetId="90" r:id="rId7"/>
    <sheet name="Olah Data Penjualan" sheetId="92" r:id="rId8"/>
    <sheet name="BONUS" sheetId="93" r:id="rId9"/>
  </sheets>
  <externalReferences>
    <externalReference r:id="rId10"/>
    <externalReference r:id="rId11"/>
  </externalReferences>
  <definedNames>
    <definedName name="_xlnm._FilterDatabase" localSheetId="3" hidden="1">PL!$A$1:$N$19</definedName>
    <definedName name="_xlnm._FilterDatabase" localSheetId="5" hidden="1">Retur!#REF!</definedName>
    <definedName name="_xlnm.Print_Area" localSheetId="2">Detail!$A$4:$I$69,Detail!$B$70:$I$174</definedName>
    <definedName name="Progresit">'[1]PROGRES TUGAS IT 2020'!$B$3:$L$215</definedName>
    <definedName name="sortsummary" localSheetId="8">#REF!</definedName>
    <definedName name="sortsummary" localSheetId="7">#REF!</definedName>
    <definedName name="sortsummary">#REF!</definedName>
    <definedName name="WAHYUARIFPRASETYO" localSheetId="2">Detail!$U$21:$Y$44</definedName>
  </definedNames>
  <calcPr calcId="144525"/>
</workbook>
</file>

<file path=xl/calcChain.xml><?xml version="1.0" encoding="utf-8"?>
<calcChain xmlns="http://schemas.openxmlformats.org/spreadsheetml/2006/main">
  <c r="E19" i="67" l="1"/>
  <c r="F20" i="92" l="1"/>
  <c r="K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D20" i="90"/>
  <c r="G33" i="88"/>
  <c r="M27" i="88"/>
  <c r="H397" i="67" l="1"/>
  <c r="H634" i="67" l="1"/>
  <c r="H635" i="67" s="1"/>
  <c r="H636" i="67" s="1"/>
  <c r="H637" i="67" s="1"/>
  <c r="H638" i="67" s="1"/>
  <c r="H639" i="67" s="1"/>
  <c r="H640" i="67" s="1"/>
  <c r="H641" i="67" s="1"/>
  <c r="E312" i="67" l="1"/>
  <c r="E104" i="67" l="1"/>
  <c r="E267" i="67" l="1"/>
  <c r="E472" i="67" l="1"/>
  <c r="W37" i="67"/>
  <c r="J14" i="68" s="1"/>
  <c r="W29" i="67"/>
  <c r="J4" i="68" s="1"/>
  <c r="V37" i="67"/>
  <c r="I14" i="68" s="1"/>
  <c r="V29" i="67"/>
  <c r="I4" i="68" s="1"/>
  <c r="L196" i="67"/>
  <c r="L195" i="67"/>
  <c r="E277" i="67"/>
  <c r="L194" i="67" s="1"/>
  <c r="L193" i="67"/>
  <c r="E257" i="67"/>
  <c r="L192" i="67" s="1"/>
  <c r="E247" i="67"/>
  <c r="L191" i="67" s="1"/>
  <c r="H223" i="67"/>
  <c r="H224" i="67" s="1"/>
  <c r="H225" i="67" s="1"/>
  <c r="H226" i="67" s="1"/>
  <c r="H227" i="67" s="1"/>
  <c r="H228" i="67" s="1"/>
  <c r="H229" i="67" s="1"/>
  <c r="H230" i="67" s="1"/>
  <c r="H231" i="67" s="1"/>
  <c r="E223" i="67"/>
  <c r="L186" i="67" s="1"/>
  <c r="H213" i="67"/>
  <c r="H214" i="67" s="1"/>
  <c r="H215" i="67" s="1"/>
  <c r="H216" i="67" s="1"/>
  <c r="H217" i="67" s="1"/>
  <c r="H218" i="67" s="1"/>
  <c r="H219" i="67" s="1"/>
  <c r="H220" i="67" s="1"/>
  <c r="H221" i="67" s="1"/>
  <c r="E213" i="67"/>
  <c r="L185" i="67" s="1"/>
  <c r="E203" i="67"/>
  <c r="L184" i="67" s="1"/>
  <c r="E193" i="67"/>
  <c r="L183" i="67" s="1"/>
  <c r="E182" i="67"/>
  <c r="L182" i="67" s="1"/>
  <c r="E237" i="67" l="1"/>
  <c r="L190" i="67" s="1"/>
  <c r="M190" i="67" s="1"/>
  <c r="X37" i="67" s="1"/>
  <c r="M182" i="67"/>
  <c r="X29" i="67" s="1"/>
  <c r="Y37" i="67" l="1"/>
  <c r="L14" i="68" s="1"/>
  <c r="K14" i="68"/>
  <c r="Y29" i="67"/>
  <c r="L4" i="68" s="1"/>
  <c r="K4" i="68"/>
  <c r="E94" i="67" l="1"/>
  <c r="E29" i="67"/>
  <c r="E406" i="67" l="1"/>
  <c r="H417" i="67" l="1"/>
  <c r="H407" i="67"/>
  <c r="H313" i="67"/>
  <c r="H314" i="67" s="1"/>
  <c r="E366" i="67"/>
  <c r="E322" i="67" l="1"/>
  <c r="F717" i="67" l="1"/>
  <c r="F718" i="67" s="1"/>
  <c r="F719" i="67" s="1"/>
  <c r="F720" i="67" s="1"/>
  <c r="F707" i="67"/>
  <c r="F708" i="67" s="1"/>
  <c r="F709" i="67" s="1"/>
  <c r="F710" i="67" s="1"/>
  <c r="F687" i="67"/>
  <c r="F688" i="67" s="1"/>
  <c r="F689" i="67" s="1"/>
  <c r="H937" i="67" l="1"/>
  <c r="H938" i="67" s="1"/>
  <c r="H939" i="67" s="1"/>
  <c r="H940" i="67" s="1"/>
  <c r="H941" i="67" s="1"/>
  <c r="H942" i="67" s="1"/>
  <c r="H943" i="67" s="1"/>
  <c r="H944" i="67" s="1"/>
  <c r="H945" i="67" s="1"/>
  <c r="E937" i="67"/>
  <c r="H927" i="67"/>
  <c r="H928" i="67" s="1"/>
  <c r="H929" i="67" s="1"/>
  <c r="H930" i="67" s="1"/>
  <c r="H931" i="67" s="1"/>
  <c r="H932" i="67" s="1"/>
  <c r="H933" i="67" s="1"/>
  <c r="H934" i="67" s="1"/>
  <c r="H935" i="67" s="1"/>
  <c r="E927" i="67"/>
  <c r="H917" i="67"/>
  <c r="H918" i="67" s="1"/>
  <c r="H919" i="67" s="1"/>
  <c r="H920" i="67" s="1"/>
  <c r="H921" i="67" s="1"/>
  <c r="H922" i="67" s="1"/>
  <c r="H923" i="67" s="1"/>
  <c r="H924" i="67" s="1"/>
  <c r="H925" i="67" s="1"/>
  <c r="E917" i="67"/>
  <c r="H907" i="67"/>
  <c r="H908" i="67" s="1"/>
  <c r="H909" i="67" s="1"/>
  <c r="H910" i="67" s="1"/>
  <c r="H911" i="67" s="1"/>
  <c r="H912" i="67" s="1"/>
  <c r="H913" i="67" s="1"/>
  <c r="H914" i="67" s="1"/>
  <c r="H915" i="67" s="1"/>
  <c r="E907" i="67"/>
  <c r="H897" i="67"/>
  <c r="H898" i="67" s="1"/>
  <c r="H899" i="67" s="1"/>
  <c r="H900" i="67" s="1"/>
  <c r="H901" i="67" s="1"/>
  <c r="H902" i="67" s="1"/>
  <c r="H903" i="67" s="1"/>
  <c r="H904" i="67" s="1"/>
  <c r="H905" i="67" s="1"/>
  <c r="E897" i="67"/>
  <c r="H887" i="67"/>
  <c r="H888" i="67" s="1"/>
  <c r="H889" i="67" s="1"/>
  <c r="H890" i="67" s="1"/>
  <c r="H891" i="67" s="1"/>
  <c r="H892" i="67" s="1"/>
  <c r="H893" i="67" s="1"/>
  <c r="H894" i="67" s="1"/>
  <c r="H895" i="67" s="1"/>
  <c r="E887" i="67"/>
  <c r="E877" i="67"/>
  <c r="E867" i="67"/>
  <c r="E857" i="67"/>
  <c r="E847" i="67"/>
  <c r="H833" i="67"/>
  <c r="H834" i="67" s="1"/>
  <c r="H835" i="67" s="1"/>
  <c r="H836" i="67" s="1"/>
  <c r="H837" i="67" s="1"/>
  <c r="H838" i="67" s="1"/>
  <c r="H839" i="67" s="1"/>
  <c r="H840" i="67" s="1"/>
  <c r="H841" i="67" s="1"/>
  <c r="E833" i="67"/>
  <c r="H823" i="67"/>
  <c r="H824" i="67" s="1"/>
  <c r="H825" i="67" s="1"/>
  <c r="H826" i="67" s="1"/>
  <c r="H827" i="67" s="1"/>
  <c r="H828" i="67" s="1"/>
  <c r="H829" i="67" s="1"/>
  <c r="H830" i="67" s="1"/>
  <c r="H831" i="67" s="1"/>
  <c r="E823" i="67"/>
  <c r="E813" i="67"/>
  <c r="E803" i="67"/>
  <c r="H793" i="67"/>
  <c r="H794" i="67" s="1"/>
  <c r="H795" i="67" s="1"/>
  <c r="H796" i="67" s="1"/>
  <c r="H797" i="67" s="1"/>
  <c r="H798" i="67" s="1"/>
  <c r="H799" i="67" s="1"/>
  <c r="E793" i="67"/>
  <c r="H777" i="67"/>
  <c r="H778" i="67" s="1"/>
  <c r="H779" i="67" s="1"/>
  <c r="H780" i="67" s="1"/>
  <c r="H781" i="67" s="1"/>
  <c r="H782" i="67" s="1"/>
  <c r="H783" i="67" s="1"/>
  <c r="H784" i="67" s="1"/>
  <c r="H785" i="67" s="1"/>
  <c r="E777" i="67"/>
  <c r="H767" i="67"/>
  <c r="H768" i="67" s="1"/>
  <c r="H769" i="67" s="1"/>
  <c r="H770" i="67" s="1"/>
  <c r="H771" i="67" s="1"/>
  <c r="H772" i="67" s="1"/>
  <c r="H773" i="67" s="1"/>
  <c r="H774" i="67" s="1"/>
  <c r="H775" i="67" s="1"/>
  <c r="E767" i="67"/>
  <c r="H757" i="67"/>
  <c r="H758" i="67" s="1"/>
  <c r="H759" i="67" s="1"/>
  <c r="H760" i="67" s="1"/>
  <c r="H761" i="67" s="1"/>
  <c r="H762" i="67" s="1"/>
  <c r="H763" i="67" s="1"/>
  <c r="H764" i="67" s="1"/>
  <c r="H765" i="67" s="1"/>
  <c r="E757" i="67"/>
  <c r="H747" i="67"/>
  <c r="H748" i="67" s="1"/>
  <c r="H749" i="67" s="1"/>
  <c r="H750" i="67" s="1"/>
  <c r="H751" i="67" s="1"/>
  <c r="H752" i="67" s="1"/>
  <c r="H753" i="67" s="1"/>
  <c r="H754" i="67" s="1"/>
  <c r="H755" i="67" s="1"/>
  <c r="E747" i="67"/>
  <c r="H737" i="67"/>
  <c r="H738" i="67" s="1"/>
  <c r="H739" i="67" s="1"/>
  <c r="H740" i="67" s="1"/>
  <c r="H741" i="67" s="1"/>
  <c r="H742" i="67" s="1"/>
  <c r="H743" i="67" s="1"/>
  <c r="H744" i="67" s="1"/>
  <c r="H745" i="67" s="1"/>
  <c r="E737" i="67"/>
  <c r="H727" i="67"/>
  <c r="H728" i="67" s="1"/>
  <c r="H729" i="67" s="1"/>
  <c r="H730" i="67" s="1"/>
  <c r="H731" i="67" s="1"/>
  <c r="H732" i="67" s="1"/>
  <c r="H733" i="67" s="1"/>
  <c r="H734" i="67" s="1"/>
  <c r="H735" i="67" s="1"/>
  <c r="E727" i="67"/>
  <c r="E717" i="67"/>
  <c r="E707" i="67"/>
  <c r="E697" i="67"/>
  <c r="E687" i="67"/>
  <c r="H673" i="67"/>
  <c r="H674" i="67" s="1"/>
  <c r="H675" i="67" s="1"/>
  <c r="H676" i="67" s="1"/>
  <c r="H677" i="67" s="1"/>
  <c r="H678" i="67" s="1"/>
  <c r="H679" i="67" s="1"/>
  <c r="H680" i="67" s="1"/>
  <c r="H681" i="67" s="1"/>
  <c r="E673" i="67"/>
  <c r="H663" i="67"/>
  <c r="H664" i="67" s="1"/>
  <c r="H665" i="67" s="1"/>
  <c r="H666" i="67" s="1"/>
  <c r="H667" i="67" s="1"/>
  <c r="H668" i="67" s="1"/>
  <c r="H669" i="67" s="1"/>
  <c r="H670" i="67" s="1"/>
  <c r="H671" i="67" s="1"/>
  <c r="E663" i="67"/>
  <c r="H653" i="67"/>
  <c r="H654" i="67" s="1"/>
  <c r="H655" i="67" s="1"/>
  <c r="H656" i="67" s="1"/>
  <c r="H657" i="67" s="1"/>
  <c r="H658" i="67" s="1"/>
  <c r="H659" i="67" s="1"/>
  <c r="H660" i="67" s="1"/>
  <c r="H661" i="67" s="1"/>
  <c r="E653" i="67"/>
  <c r="H643" i="67"/>
  <c r="H644" i="67" s="1"/>
  <c r="H645" i="67" s="1"/>
  <c r="H646" i="67" s="1"/>
  <c r="E643" i="67"/>
  <c r="E633" i="67"/>
  <c r="H617" i="67"/>
  <c r="H618" i="67" s="1"/>
  <c r="H619" i="67" s="1"/>
  <c r="H620" i="67" s="1"/>
  <c r="H621" i="67" s="1"/>
  <c r="H622" i="67" s="1"/>
  <c r="H623" i="67" s="1"/>
  <c r="H624" i="67" s="1"/>
  <c r="H625" i="67" s="1"/>
  <c r="E617" i="67"/>
  <c r="H607" i="67"/>
  <c r="H608" i="67" s="1"/>
  <c r="H609" i="67" s="1"/>
  <c r="H610" i="67" s="1"/>
  <c r="H611" i="67" s="1"/>
  <c r="H612" i="67" s="1"/>
  <c r="H613" i="67" s="1"/>
  <c r="H614" i="67" s="1"/>
  <c r="H615" i="67" s="1"/>
  <c r="E607" i="67"/>
  <c r="H597" i="67"/>
  <c r="H598" i="67" s="1"/>
  <c r="H599" i="67" s="1"/>
  <c r="H600" i="67" s="1"/>
  <c r="H601" i="67" s="1"/>
  <c r="H602" i="67" s="1"/>
  <c r="H603" i="67" s="1"/>
  <c r="H604" i="67" s="1"/>
  <c r="H605" i="67" s="1"/>
  <c r="E597" i="67"/>
  <c r="H587" i="67"/>
  <c r="H588" i="67" s="1"/>
  <c r="H589" i="67" s="1"/>
  <c r="H590" i="67" s="1"/>
  <c r="H591" i="67" s="1"/>
  <c r="H592" i="67" s="1"/>
  <c r="H593" i="67" s="1"/>
  <c r="H594" i="67" s="1"/>
  <c r="H595" i="67" s="1"/>
  <c r="E587" i="67"/>
  <c r="H577" i="67"/>
  <c r="H578" i="67" s="1"/>
  <c r="H579" i="67" s="1"/>
  <c r="H580" i="67" s="1"/>
  <c r="H581" i="67" s="1"/>
  <c r="H582" i="67" s="1"/>
  <c r="H583" i="67" s="1"/>
  <c r="H584" i="67" s="1"/>
  <c r="H585" i="67" s="1"/>
  <c r="E577" i="67"/>
  <c r="H567" i="67"/>
  <c r="H568" i="67" s="1"/>
  <c r="H569" i="67" s="1"/>
  <c r="H570" i="67" s="1"/>
  <c r="H571" i="67" s="1"/>
  <c r="H572" i="67" s="1"/>
  <c r="H573" i="67" s="1"/>
  <c r="H574" i="67" s="1"/>
  <c r="H575" i="67" s="1"/>
  <c r="E567" i="67"/>
  <c r="H557" i="67"/>
  <c r="H558" i="67" s="1"/>
  <c r="H559" i="67" s="1"/>
  <c r="H560" i="67" s="1"/>
  <c r="H561" i="67" s="1"/>
  <c r="H562" i="67" s="1"/>
  <c r="H563" i="67" s="1"/>
  <c r="H564" i="67" s="1"/>
  <c r="H565" i="67" s="1"/>
  <c r="E557" i="67"/>
  <c r="E547" i="67"/>
  <c r="E537" i="67"/>
  <c r="E527" i="67"/>
  <c r="H513" i="67"/>
  <c r="H514" i="67" s="1"/>
  <c r="H515" i="67" s="1"/>
  <c r="H516" i="67" s="1"/>
  <c r="H517" i="67" s="1"/>
  <c r="H518" i="67" s="1"/>
  <c r="H519" i="67" s="1"/>
  <c r="H520" i="67" s="1"/>
  <c r="H521" i="67" s="1"/>
  <c r="E513" i="67"/>
  <c r="H503" i="67"/>
  <c r="H504" i="67" s="1"/>
  <c r="H505" i="67" s="1"/>
  <c r="H506" i="67" s="1"/>
  <c r="H507" i="67" s="1"/>
  <c r="H508" i="67" s="1"/>
  <c r="H509" i="67" s="1"/>
  <c r="H510" i="67" s="1"/>
  <c r="H511" i="67" s="1"/>
  <c r="E503" i="67"/>
  <c r="H493" i="67"/>
  <c r="H494" i="67" s="1"/>
  <c r="H495" i="67" s="1"/>
  <c r="H496" i="67" s="1"/>
  <c r="H497" i="67" s="1"/>
  <c r="H498" i="67" s="1"/>
  <c r="H499" i="67" s="1"/>
  <c r="H500" i="67" s="1"/>
  <c r="H501" i="67" s="1"/>
  <c r="E493" i="67"/>
  <c r="E483" i="67"/>
  <c r="H456" i="67"/>
  <c r="H457" i="67" s="1"/>
  <c r="H458" i="67" s="1"/>
  <c r="H459" i="67" s="1"/>
  <c r="H460" i="67" s="1"/>
  <c r="H461" i="67" s="1"/>
  <c r="H462" i="67" s="1"/>
  <c r="H463" i="67" s="1"/>
  <c r="H464" i="67" s="1"/>
  <c r="E456" i="67"/>
  <c r="H446" i="67"/>
  <c r="H447" i="67" s="1"/>
  <c r="H448" i="67" s="1"/>
  <c r="H449" i="67" s="1"/>
  <c r="H450" i="67" s="1"/>
  <c r="H451" i="67" s="1"/>
  <c r="H452" i="67" s="1"/>
  <c r="H453" i="67" s="1"/>
  <c r="H454" i="67" s="1"/>
  <c r="E446" i="67"/>
  <c r="H436" i="67"/>
  <c r="H437" i="67" s="1"/>
  <c r="H438" i="67" s="1"/>
  <c r="H439" i="67" s="1"/>
  <c r="H440" i="67" s="1"/>
  <c r="H441" i="67" s="1"/>
  <c r="H442" i="67" s="1"/>
  <c r="H443" i="67" s="1"/>
  <c r="H444" i="67" s="1"/>
  <c r="E436" i="67"/>
  <c r="E426" i="67"/>
  <c r="E416" i="67"/>
  <c r="E396" i="67"/>
  <c r="E386" i="67"/>
  <c r="E376" i="67"/>
  <c r="H352" i="67"/>
  <c r="H353" i="67" s="1"/>
  <c r="H354" i="67" s="1"/>
  <c r="H355" i="67" s="1"/>
  <c r="H356" i="67" s="1"/>
  <c r="H357" i="67" s="1"/>
  <c r="H358" i="67" s="1"/>
  <c r="H359" i="67" s="1"/>
  <c r="H360" i="67" s="1"/>
  <c r="E352" i="67"/>
  <c r="H342" i="67"/>
  <c r="H343" i="67" s="1"/>
  <c r="H344" i="67" s="1"/>
  <c r="H345" i="67" s="1"/>
  <c r="H346" i="67" s="1"/>
  <c r="H347" i="67" s="1"/>
  <c r="H348" i="67" s="1"/>
  <c r="H349" i="67" s="1"/>
  <c r="H350" i="67" s="1"/>
  <c r="E342" i="67"/>
  <c r="H332" i="67"/>
  <c r="H333" i="67" s="1"/>
  <c r="H334" i="67" s="1"/>
  <c r="H335" i="67" s="1"/>
  <c r="H336" i="67" s="1"/>
  <c r="H337" i="67" s="1"/>
  <c r="H338" i="67" s="1"/>
  <c r="H339" i="67" s="1"/>
  <c r="H340" i="67" s="1"/>
  <c r="E332" i="67"/>
  <c r="H166" i="67"/>
  <c r="H167" i="67" s="1"/>
  <c r="H168" i="67" s="1"/>
  <c r="H169" i="67" s="1"/>
  <c r="H170" i="67" s="1"/>
  <c r="H171" i="67" s="1"/>
  <c r="H172" i="67" s="1"/>
  <c r="H173" i="67" s="1"/>
  <c r="H174" i="67" s="1"/>
  <c r="E166" i="67"/>
  <c r="E155" i="67"/>
  <c r="H144" i="67"/>
  <c r="E144" i="67" s="1"/>
  <c r="E134" i="67"/>
  <c r="H124" i="67"/>
  <c r="E124" i="67" s="1"/>
  <c r="E114" i="67"/>
  <c r="E84" i="67"/>
  <c r="E74" i="67"/>
  <c r="H59" i="67"/>
  <c r="H60" i="67" s="1"/>
  <c r="H61" i="67" s="1"/>
  <c r="H62" i="67" s="1"/>
  <c r="H63" i="67" s="1"/>
  <c r="H64" i="67" s="1"/>
  <c r="H65" i="67" s="1"/>
  <c r="H66" i="67" s="1"/>
  <c r="H67" i="67" s="1"/>
  <c r="E59" i="67"/>
  <c r="E49" i="67"/>
  <c r="E39" i="67"/>
  <c r="K20" i="68" l="1"/>
  <c r="G10" i="68"/>
  <c r="G9" i="68"/>
  <c r="G8" i="68"/>
  <c r="G7" i="68"/>
  <c r="G6" i="68"/>
  <c r="G5" i="68"/>
  <c r="G4" i="68"/>
  <c r="W966" i="67"/>
  <c r="V966" i="67"/>
  <c r="W964" i="67"/>
  <c r="V963" i="67" s="1"/>
  <c r="L853" i="67"/>
  <c r="L852" i="67"/>
  <c r="L851" i="67"/>
  <c r="L850" i="67"/>
  <c r="L849" i="67"/>
  <c r="L848" i="67"/>
  <c r="L847" i="67"/>
  <c r="L846" i="67"/>
  <c r="L845" i="67"/>
  <c r="L844" i="67"/>
  <c r="L840" i="67"/>
  <c r="L839" i="67"/>
  <c r="L838" i="67"/>
  <c r="L837" i="67"/>
  <c r="L836" i="67"/>
  <c r="L693" i="67"/>
  <c r="L692" i="67"/>
  <c r="L691" i="67"/>
  <c r="L690" i="67"/>
  <c r="L689" i="67"/>
  <c r="L688" i="67"/>
  <c r="L687" i="67"/>
  <c r="L686" i="67"/>
  <c r="L685" i="67"/>
  <c r="L684" i="67"/>
  <c r="L680" i="67"/>
  <c r="L679" i="67"/>
  <c r="L678" i="67"/>
  <c r="L677" i="67"/>
  <c r="L676" i="67"/>
  <c r="L532" i="67"/>
  <c r="L531" i="67"/>
  <c r="L530" i="67"/>
  <c r="L529" i="67"/>
  <c r="L528" i="67"/>
  <c r="L527" i="67"/>
  <c r="L526" i="67"/>
  <c r="L525" i="67"/>
  <c r="L524" i="67"/>
  <c r="L523" i="67"/>
  <c r="L473" i="67"/>
  <c r="L472" i="67"/>
  <c r="L471" i="67"/>
  <c r="L470" i="67"/>
  <c r="L469" i="67"/>
  <c r="L323" i="67"/>
  <c r="L322" i="67"/>
  <c r="L321" i="67"/>
  <c r="L320" i="67"/>
  <c r="L319" i="67"/>
  <c r="L318" i="67"/>
  <c r="L317" i="67"/>
  <c r="L316" i="67"/>
  <c r="L312" i="67"/>
  <c r="L311" i="67"/>
  <c r="L310" i="67"/>
  <c r="L325" i="67"/>
  <c r="L324" i="67"/>
  <c r="L309" i="67"/>
  <c r="L308" i="67"/>
  <c r="L36" i="67"/>
  <c r="L35" i="67"/>
  <c r="L34" i="67"/>
  <c r="L33" i="67"/>
  <c r="L32" i="67"/>
  <c r="L31" i="67"/>
  <c r="L30" i="67"/>
  <c r="L29" i="67"/>
  <c r="L28" i="67"/>
  <c r="L27" i="67"/>
  <c r="L23" i="67"/>
  <c r="L22" i="67"/>
  <c r="W41" i="67"/>
  <c r="V41" i="67"/>
  <c r="L21" i="67"/>
  <c r="W40" i="67"/>
  <c r="J17" i="68" s="1"/>
  <c r="V40" i="67"/>
  <c r="I17" i="68" s="1"/>
  <c r="W39" i="67"/>
  <c r="J16" i="68" s="1"/>
  <c r="V39" i="67"/>
  <c r="I16" i="68" s="1"/>
  <c r="W38" i="67"/>
  <c r="J15" i="68" s="1"/>
  <c r="V38" i="67"/>
  <c r="I15" i="68" s="1"/>
  <c r="W36" i="67"/>
  <c r="V36" i="67"/>
  <c r="I13" i="68" s="1"/>
  <c r="W33" i="67"/>
  <c r="V33" i="67"/>
  <c r="W32" i="67"/>
  <c r="J7" i="68" s="1"/>
  <c r="V32" i="67"/>
  <c r="I7" i="68" s="1"/>
  <c r="W31" i="67"/>
  <c r="J6" i="68" s="1"/>
  <c r="V31" i="67"/>
  <c r="I6" i="68" s="1"/>
  <c r="W30" i="67"/>
  <c r="J5" i="68" s="1"/>
  <c r="V30" i="67"/>
  <c r="I5" i="68" s="1"/>
  <c r="L20" i="67"/>
  <c r="W28" i="67"/>
  <c r="V28" i="67"/>
  <c r="I3" i="68" s="1"/>
  <c r="W26" i="67"/>
  <c r="W25" i="67"/>
  <c r="W24" i="67"/>
  <c r="W23" i="67"/>
  <c r="W22" i="67"/>
  <c r="W21" i="67"/>
  <c r="U37" i="67" s="1"/>
  <c r="J3" i="68" l="1"/>
  <c r="W34" i="67"/>
  <c r="J13" i="68"/>
  <c r="W42" i="67"/>
  <c r="V962" i="67"/>
  <c r="W961" i="67" s="1"/>
  <c r="U29" i="67"/>
  <c r="V965" i="67"/>
  <c r="M676" i="67"/>
  <c r="X32" i="67" s="1"/>
  <c r="K7" i="68" s="1"/>
  <c r="M27" i="67"/>
  <c r="X36" i="67" s="1"/>
  <c r="M523" i="67"/>
  <c r="X39" i="67" s="1"/>
  <c r="K16" i="68" s="1"/>
  <c r="M836" i="67"/>
  <c r="X33" i="67" s="1"/>
  <c r="M316" i="67"/>
  <c r="X38" i="67" s="1"/>
  <c r="K15" i="68" s="1"/>
  <c r="M684" i="67"/>
  <c r="X40" i="67" s="1"/>
  <c r="K17" i="68" s="1"/>
  <c r="L19" i="67"/>
  <c r="M19" i="67" s="1"/>
  <c r="X28" i="67" s="1"/>
  <c r="U21" i="67"/>
  <c r="U26" i="67"/>
  <c r="U39" i="67"/>
  <c r="U41" i="67"/>
  <c r="U35" i="67"/>
  <c r="U23" i="67"/>
  <c r="U32" i="67"/>
  <c r="U33" i="67"/>
  <c r="U22" i="67"/>
  <c r="U28" i="67"/>
  <c r="U36" i="67"/>
  <c r="U24" i="67"/>
  <c r="U30" i="67"/>
  <c r="U34" i="67"/>
  <c r="U38" i="67"/>
  <c r="U42" i="67"/>
  <c r="M469" i="67"/>
  <c r="X31" i="67" s="1"/>
  <c r="K6" i="68" s="1"/>
  <c r="J8" i="68"/>
  <c r="U25" i="67"/>
  <c r="U27" i="67"/>
  <c r="U31" i="67"/>
  <c r="J18" i="68"/>
  <c r="U40" i="67"/>
  <c r="M308" i="67"/>
  <c r="X30" i="67" s="1"/>
  <c r="K5" i="68" s="1"/>
  <c r="M844" i="67"/>
  <c r="X41" i="67" s="1"/>
  <c r="K13" i="68" l="1"/>
  <c r="K18" i="68" s="1"/>
  <c r="X42" i="67"/>
  <c r="Y38" i="67"/>
  <c r="Y39" i="67"/>
  <c r="L16" i="68" s="1"/>
  <c r="Y32" i="67"/>
  <c r="L7" i="68" s="1"/>
  <c r="Y36" i="67"/>
  <c r="L13" i="68" s="1"/>
  <c r="Y40" i="67"/>
  <c r="L17" i="68" s="1"/>
  <c r="Y31" i="67"/>
  <c r="L6" i="68" s="1"/>
  <c r="Y33" i="67"/>
  <c r="Y30" i="67"/>
  <c r="L5" i="68" s="1"/>
  <c r="Y41" i="67"/>
  <c r="K3" i="68"/>
  <c r="K8" i="68" s="1"/>
  <c r="X34" i="67"/>
  <c r="Y28" i="67"/>
  <c r="Y34" i="67" l="1"/>
  <c r="L15" i="68"/>
  <c r="L18" i="68" s="1"/>
  <c r="L20" i="68" s="1"/>
  <c r="Y42" i="67"/>
  <c r="L3" i="68"/>
  <c r="L8" i="68" s="1"/>
  <c r="L10" i="68" s="1"/>
  <c r="G13" i="68" l="1"/>
  <c r="F15" i="68" s="1"/>
  <c r="L174" i="4" l="1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H34" i="4" l="1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<sst xmlns="http://schemas.openxmlformats.org/spreadsheetml/2006/main" count="4521" uniqueCount="571">
  <si>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</si>
  <si>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</si>
  <si>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</si>
  <si>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</si>
  <si>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</si>
  <si>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</si>
  <si>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</si>
  <si>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</si>
  <si>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</si>
  <si>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</si>
  <si>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</si>
  <si>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</si>
  <si>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</si>
  <si>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</si>
  <si>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</si>
  <si>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</si>
  <si>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</si>
  <si>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</si>
  <si>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</si>
  <si>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</si>
  <si>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</si>
  <si>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</si>
  <si>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</si>
  <si>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</si>
  <si>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</si>
  <si>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</si>
  <si>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</si>
  <si>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</si>
  <si>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</si>
  <si>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</si>
  <si>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</si>
  <si>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</si>
  <si>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</si>
  <si>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</si>
  <si>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</si>
  <si>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</si>
  <si>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</si>
  <si>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</si>
  <si>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</si>
  <si>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</si>
  <si>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</si>
  <si>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</si>
  <si>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</si>
  <si>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</si>
  <si>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</si>
  <si>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</si>
  <si>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</si>
  <si>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</si>
  <si>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</si>
  <si>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</si>
  <si>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</si>
  <si>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</si>
  <si>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</si>
  <si>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</si>
  <si>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</si>
  <si>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</si>
  <si>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</si>
  <si>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</si>
  <si>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</si>
  <si>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</si>
  <si>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</si>
  <si>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</si>
  <si>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</si>
  <si>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</si>
  <si>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</si>
  <si>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</si>
  <si>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</si>
  <si>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</si>
  <si>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</si>
  <si>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</si>
  <si>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</si>
  <si>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</si>
  <si>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</si>
  <si>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</si>
  <si>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</si>
  <si>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</si>
  <si>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</si>
  <si>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</si>
  <si>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</si>
  <si>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</si>
  <si>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</si>
  <si>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</si>
  <si>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</si>
  <si>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</si>
  <si>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</si>
  <si>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</si>
  <si>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</si>
  <si>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</si>
  <si>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</si>
  <si>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</si>
  <si>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</si>
  <si>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</si>
  <si>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</si>
  <si>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</si>
  <si>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</si>
  <si>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</si>
  <si>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</si>
  <si>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</si>
  <si>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</si>
  <si>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</si>
  <si>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</si>
  <si>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</si>
  <si>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</si>
  <si>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</si>
  <si>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</si>
  <si>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</si>
  <si>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</si>
  <si>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</si>
  <si>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</si>
  <si>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</si>
  <si>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</si>
  <si>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</si>
  <si>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</si>
  <si>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</si>
  <si>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</si>
  <si>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</si>
  <si>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</si>
  <si>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</si>
  <si>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</si>
  <si>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</si>
  <si>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</si>
  <si>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</si>
  <si>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</si>
  <si>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</si>
  <si>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</si>
  <si>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</si>
  <si>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</si>
  <si>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</si>
  <si>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</si>
  <si>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</si>
  <si>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</si>
  <si>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</si>
  <si>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</si>
  <si>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</si>
  <si>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</si>
  <si>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5</t>
  </si>
  <si>
    <t>:</t>
  </si>
  <si>
    <t xml:space="preserve">Karyawan : </t>
  </si>
  <si>
    <t xml:space="preserve">Level Manager berikutnya : </t>
  </si>
  <si>
    <t>Bagian / Departement</t>
  </si>
  <si>
    <t>3 sd 5</t>
  </si>
  <si>
    <t>6 sd 8</t>
  </si>
  <si>
    <t>9 sd 10</t>
  </si>
  <si>
    <t>&lt; 1</t>
  </si>
  <si>
    <t>&gt;10 Revisi SOP lama</t>
  </si>
  <si>
    <t>Absensi</t>
  </si>
  <si>
    <t>100% hadir</t>
  </si>
  <si>
    <t>&lt; 2X tdk hadir dg ijin</t>
  </si>
  <si>
    <t>1-2 X tdk hadir</t>
  </si>
  <si>
    <t>3-4 X tdk hadir</t>
  </si>
  <si>
    <t>&gt; 4X tdk hadir</t>
  </si>
  <si>
    <t>100% Tepat Waktu</t>
  </si>
  <si>
    <t>1 - 2 X terlambat</t>
  </si>
  <si>
    <t>3 - 4 X terlambat</t>
  </si>
  <si>
    <t>&gt;4 X terlambat</t>
  </si>
  <si>
    <t>100% taat</t>
  </si>
  <si>
    <t>ada pelanggaran</t>
  </si>
  <si>
    <t>&gt;H+2</t>
  </si>
  <si>
    <t>&gt;H+3</t>
  </si>
  <si>
    <t>&gt;H+8</t>
  </si>
  <si>
    <t>&gt;H+7</t>
  </si>
  <si>
    <t>0 Salah</t>
  </si>
  <si>
    <t>1 - 2 Salah</t>
  </si>
  <si>
    <t>&gt; 2 Salah</t>
  </si>
  <si>
    <t>\</t>
  </si>
  <si>
    <t>Control Price List</t>
  </si>
  <si>
    <t>Controll Pricelist</t>
  </si>
  <si>
    <t>Back Up data di Kiuserver, Minimal 2 kali dalam 1 Minggu</t>
  </si>
  <si>
    <t>&gt;8 kali/bulan</t>
  </si>
  <si>
    <t>8 kali/bulan</t>
  </si>
  <si>
    <t>7 kali/bulan</t>
  </si>
  <si>
    <t>&lt;7 kali/bulan</t>
  </si>
  <si>
    <t>Hadir Briefing tepat waktu</t>
  </si>
  <si>
    <t>1 - 2x Terlambat</t>
  </si>
  <si>
    <t>2 - 4x terlambat</t>
  </si>
  <si>
    <t>&gt;4x</t>
  </si>
  <si>
    <t xml:space="preserve">Menjalankan SOP ijin tidak masuk </t>
  </si>
  <si>
    <t>Tidak pernah absen briefing</t>
  </si>
  <si>
    <t>Tidak pernah absen senam sabtu</t>
  </si>
  <si>
    <t>&lt;2x tidak hadir dengan ijin</t>
  </si>
  <si>
    <t>3-4 tdk hadir</t>
  </si>
  <si>
    <t>4-5x tidak hadir</t>
  </si>
  <si>
    <t>&gt;5x tidak hadir</t>
  </si>
  <si>
    <t>H+0 15.00 tanpa koreksi</t>
  </si>
  <si>
    <t>H+0 16.00 tanpa koreksi</t>
  </si>
  <si>
    <t>H+1 tanpa koreksi</t>
  </si>
  <si>
    <t>dg koreksi tiap point -5</t>
  </si>
  <si>
    <t>Administrasi Retur Penjualan</t>
  </si>
  <si>
    <t>Update Administrasi Retur Penjualan Max H+1</t>
  </si>
  <si>
    <t>H+0 tanpa koreksi</t>
  </si>
  <si>
    <t>H+2 tanpa koreksi</t>
  </si>
  <si>
    <t>H+3 tanpa koreksi</t>
  </si>
  <si>
    <t>&gt;H+3 tanpa koreksi</t>
  </si>
  <si>
    <t>Analisa Retur Penjualan berdasarkan klasifikasi tiap jenis retur. Meminta bukti Retur kepada SC ybs makasimal H+1</t>
  </si>
  <si>
    <t>H+0 analisa, bukti tepat dan lengkap</t>
  </si>
  <si>
    <t>H+0 koreksi analisa atau bukti tidak lengkap</t>
  </si>
  <si>
    <t>H+1 analisa, bukti tepat dan lengkap</t>
  </si>
  <si>
    <t>H+1 koreksi analisa atau bukti tidak lengkap</t>
  </si>
  <si>
    <t xml:space="preserve">Menulis Barang Yang di retur pada Form Retur Penjualan. Max H+1 </t>
  </si>
  <si>
    <t>Meminta Persetujuan Retur kepada Kadep Keuangan Dan Kadep Sales serta Approved Direktur. Max H+1</t>
  </si>
  <si>
    <t>Input Retur Penjualan Tersebut pada Excel dan mendistribusikan form retur penjualan ke bagian terkait. Max H+1</t>
  </si>
  <si>
    <t>&gt;H+2 tanpa koreksi</t>
  </si>
  <si>
    <t>H+0 tanpa komplain</t>
  </si>
  <si>
    <t>H+1 tanpa komplain</t>
  </si>
  <si>
    <t>H+2 tanpa komplain</t>
  </si>
  <si>
    <t>&gt;H+2 tanpa komplain</t>
  </si>
  <si>
    <t>dg komplain tiap point -5</t>
  </si>
  <si>
    <t>Ahmad Syaiti</t>
  </si>
  <si>
    <t>H+0 15.30 tanpa koreksi</t>
  </si>
  <si>
    <t>Cek Harga Penjualan 2 kali (Sebelum tutup Penjualan dan setelah tutup Penjualan) dan Melaporkan data barang yang dijual dibawah harga pricelist kepada direktur H+0 Maks Jam 15.00 WIB</t>
  </si>
  <si>
    <t>Vita Ari Puspita</t>
  </si>
  <si>
    <t>Verifikasi Pencairan Bonus</t>
  </si>
  <si>
    <t>Cek Kesesuaian Harga Penjualan dengan Price List Max H+0 jam 15.00 Tanpa Koreksi</t>
  </si>
  <si>
    <t>H+0 &lt;15.00 tanpa koreksi</t>
  </si>
  <si>
    <t>Cek Pelunasan Piutang &amp; Harga</t>
  </si>
  <si>
    <t>Nama Barang</t>
  </si>
  <si>
    <t>Jumlah Item</t>
  </si>
  <si>
    <t>Terima info</t>
  </si>
  <si>
    <t>Harga Update</t>
  </si>
  <si>
    <t>Durasi per barang (menit)</t>
  </si>
  <si>
    <t>Note</t>
  </si>
  <si>
    <t>Cek Pertama</t>
  </si>
  <si>
    <t>Selesai Cek harga s/d laporan</t>
  </si>
  <si>
    <t>√</t>
  </si>
  <si>
    <t>Cek Program</t>
  </si>
  <si>
    <t>Tanggal Terima</t>
  </si>
  <si>
    <t>Jumlah Program</t>
  </si>
  <si>
    <t>Program ke Admin Stok</t>
  </si>
  <si>
    <t>Durasi max H+0</t>
  </si>
  <si>
    <t>No</t>
  </si>
  <si>
    <t>Nama Toko</t>
  </si>
  <si>
    <t>Tgl Distribusi</t>
  </si>
  <si>
    <t>Rata2</t>
  </si>
  <si>
    <t>Point</t>
  </si>
  <si>
    <t>No Retur</t>
  </si>
  <si>
    <t>Retur</t>
  </si>
  <si>
    <t>Merdeka Tani/Sugiono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</si>
  <si>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</si>
  <si>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</si>
  <si>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</si>
  <si>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</si>
  <si>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</si>
  <si>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</si>
  <si>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</si>
  <si>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</si>
  <si>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</si>
  <si>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</si>
  <si>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Selesai cek price list H+0 15.30</t>
  </si>
  <si>
    <t>Back Up &lt; 7 Kali</t>
  </si>
  <si>
    <t>Selesai jurnal H+1 13.00, Back Up kurang dari 7 kali</t>
  </si>
  <si>
    <t>Dewi Sundari</t>
  </si>
  <si>
    <t>Admin PL &amp; Faktur Pajak / Keuangan</t>
  </si>
  <si>
    <t>OKT</t>
  </si>
  <si>
    <t xml:space="preserve">Administrasi Data Penjualan Tax untuk eFaktur </t>
  </si>
  <si>
    <t>H+8 tanpa koreksi</t>
  </si>
  <si>
    <t>H+10 tanpa koreksi</t>
  </si>
  <si>
    <t>H+11 tanpa koreksi</t>
  </si>
  <si>
    <t>H+12 tanpa koreksi</t>
  </si>
  <si>
    <t xml:space="preserve">Input data tambahan dari Pembelian atas bonus / transksi lain- lain yang perlu diterbitkan Faktur Pajaknya. Max H+1 setelah dapat informasi dr Purchasing </t>
  </si>
  <si>
    <t>H+4 tanpa koreksi</t>
  </si>
  <si>
    <t>H+5 tanpa koreksi</t>
  </si>
  <si>
    <t>&gt;H+5 tanpa koreksi</t>
  </si>
  <si>
    <t>Susun data sesuai Draft yang diperlukan untuk keperluan Upload Efaktur Max H+1 setelah data dari adm penjualan diolah</t>
  </si>
  <si>
    <t xml:space="preserve">HOW : </t>
  </si>
  <si>
    <t>Ambil &amp; Mengolah data penjualan dari admin Penjualan Max Tgl 20 bulan berikutnya</t>
  </si>
  <si>
    <t>Tahun 2025</t>
  </si>
  <si>
    <t>BULAN</t>
  </si>
  <si>
    <t>Dewi</t>
  </si>
  <si>
    <t>Ket</t>
  </si>
  <si>
    <t>Mengolah Data Penjualan</t>
  </si>
  <si>
    <t>Tercapai (Hari)</t>
  </si>
  <si>
    <t>Penyerahan data Kpd Adm. Pajak U/ Efaktur</t>
  </si>
  <si>
    <t>KET</t>
  </si>
  <si>
    <t>Tgl 20 Tiap Bulan</t>
  </si>
  <si>
    <t>Back Up data Retur di Kiuserver, Minimal 2 kali dalam 1 Minggu</t>
  </si>
  <si>
    <t xml:space="preserve">NO. </t>
  </si>
  <si>
    <t>NAMA FILE</t>
  </si>
  <si>
    <t>Alamat Email &amp; Kirim Faktur Pajak</t>
  </si>
  <si>
    <t>P</t>
  </si>
  <si>
    <t>Kartu NPWP/ KTP Asli</t>
  </si>
  <si>
    <t>Kwitansi Bermaterai</t>
  </si>
  <si>
    <t>Format Faktur Pajak 2025</t>
  </si>
  <si>
    <t>PL Cek Harga</t>
  </si>
  <si>
    <t>Pricelist New sekali 1</t>
  </si>
  <si>
    <t>Rumus Barang QTY FIXXXX</t>
  </si>
  <si>
    <t>Expotan</t>
  </si>
  <si>
    <t>Cek Harga 2025 - SMT 2</t>
  </si>
  <si>
    <t>Daftar ACC Harga 2025</t>
  </si>
  <si>
    <t>KET.  LPB &amp; SPR</t>
  </si>
  <si>
    <t>Durasi H+</t>
  </si>
  <si>
    <t>Rata-Rata</t>
  </si>
  <si>
    <t>Rata- Rata</t>
  </si>
  <si>
    <t>Tercapai (H+)</t>
  </si>
  <si>
    <t>Selesai Rekap  Data Penj. u/Upload E Faktur</t>
  </si>
  <si>
    <t>5 Okt libur</t>
  </si>
  <si>
    <t>Input data tambahan dari Pembelian atas bonus / transksi lain- lain yang perlu diterbitkan Faktur Pajaknya</t>
  </si>
  <si>
    <t>NO.</t>
  </si>
  <si>
    <t>Customer</t>
  </si>
  <si>
    <t>Rekap Data Bonus/Transaksi Lain-Lain</t>
  </si>
  <si>
    <t>Januari 2025</t>
  </si>
  <si>
    <t>Yudianto Sastrodiarjo</t>
  </si>
  <si>
    <t>CV. Sarana Tani Makmur</t>
  </si>
  <si>
    <t>PT. Mitra Indotani Abadi</t>
  </si>
  <si>
    <t>Februari 2025</t>
  </si>
  <si>
    <t>Dedik Susianto</t>
  </si>
  <si>
    <t>Maret 2025</t>
  </si>
  <si>
    <t>Sedulur Tani/Eko Galih</t>
  </si>
  <si>
    <t>Tani Sukses/Muklis, H</t>
  </si>
  <si>
    <t>Podo Tani/Supri</t>
  </si>
  <si>
    <t>Koko Tani</t>
  </si>
  <si>
    <t>Mujahidin Delapan, UD</t>
  </si>
  <si>
    <t>Prima Tani/Candra Sanjaya</t>
  </si>
  <si>
    <t>Kumpul Tani/Hendro</t>
  </si>
  <si>
    <t>Al Badar/Badar, H</t>
  </si>
  <si>
    <t>Sugeng Makmur, Toko</t>
  </si>
  <si>
    <t>Enggal Unggul</t>
  </si>
  <si>
    <t>April</t>
  </si>
  <si>
    <t>Juni</t>
  </si>
  <si>
    <t>Ghufron</t>
  </si>
  <si>
    <t>September</t>
  </si>
  <si>
    <t>Perli Heru Basuki</t>
  </si>
  <si>
    <t>Willyadi</t>
  </si>
  <si>
    <t>Petrokimia Kayaku, PT</t>
  </si>
  <si>
    <t>Jasa Pembuatan Sarana Promosi Film, Iklan</t>
  </si>
  <si>
    <t>Jual Kendraan</t>
  </si>
  <si>
    <t>Oktober</t>
  </si>
  <si>
    <t>Bumi Jaya, UD/Farida</t>
  </si>
  <si>
    <t>Serba Hasil/Ansori</t>
  </si>
  <si>
    <t>Insentif Program PT. Agri Makmur Pertiwi</t>
  </si>
  <si>
    <t>Terima Lampiran Bonus/Transaksi Lain-Lain</t>
  </si>
  <si>
    <t>geser November</t>
  </si>
  <si>
    <t>blm ada master</t>
  </si>
  <si>
    <t>Rata  - Rata</t>
  </si>
  <si>
    <t>PL Khusus</t>
  </si>
  <si>
    <t>No LPB</t>
  </si>
  <si>
    <t>Tgl Fak Retur</t>
  </si>
  <si>
    <t>No. Faktur</t>
  </si>
  <si>
    <t>Kategori</t>
  </si>
  <si>
    <t>2 Nov libur</t>
  </si>
  <si>
    <t>Camix Gold</t>
  </si>
  <si>
    <t>Braunxone</t>
  </si>
  <si>
    <t>B25011323</t>
  </si>
  <si>
    <t>D25011159</t>
  </si>
  <si>
    <t>E23005063</t>
  </si>
  <si>
    <t>Online Shop Shopee</t>
  </si>
  <si>
    <t>Subur Makmur, UD</t>
  </si>
  <si>
    <t>CV. Surya Agro Pradhana</t>
  </si>
  <si>
    <t>Arinda/KIU</t>
  </si>
  <si>
    <t>Revisi Nota</t>
  </si>
  <si>
    <t>Replacement</t>
  </si>
  <si>
    <t>Retur Intern</t>
  </si>
  <si>
    <t>Rata-rata</t>
  </si>
  <si>
    <t>7 Des libur</t>
  </si>
  <si>
    <t>sd M+3 tanpa komplain</t>
  </si>
  <si>
    <t>sd M+6 tanpa komplain</t>
  </si>
  <si>
    <t>sd M+9 tanpa komplain</t>
  </si>
  <si>
    <t>sd M+12 tanpa komplain</t>
  </si>
  <si>
    <t>&gt; M+12 tanpa komplain</t>
  </si>
  <si>
    <t>Update data Price List M+9 (dari saat respon sd Update di data Excel &amp; Program Zahir) Tanpa Komplain</t>
  </si>
  <si>
    <t>&lt; H+7 tanpa koreksi</t>
  </si>
  <si>
    <t>H+7 tanpa koreksi</t>
  </si>
  <si>
    <t>&gt; H+12 tanpa koreksi</t>
  </si>
  <si>
    <t xml:space="preserve">Rekap data Penjualan Pajak untuk eFaktur Max Tgl 10 Bulan berikutnya </t>
  </si>
  <si>
    <t>Ambil &amp; Mengolah data penjualan dari admin Penjualan Max Tgl 10 bulan berikutnya</t>
  </si>
  <si>
    <t xml:space="preserve">Menyerahkan data Penjualan yang sudah rapi kepada admin pajak untuk segera proses efaktur. Max H+10 bulan berikutnya </t>
  </si>
  <si>
    <t>H+0 &lt; 30 M</t>
  </si>
  <si>
    <t>H+0 - 1 J</t>
  </si>
  <si>
    <t>H+0 - 1.5 J</t>
  </si>
  <si>
    <t>H+0 - 2 J</t>
  </si>
  <si>
    <t>H+0 - 3 J</t>
  </si>
  <si>
    <t>&gt; H+0 - 3 J</t>
  </si>
  <si>
    <t>Menerima Bukti Kitir Retur Penjualan dari Sales Counter untuk di Cek di Bagian Penjualan H+0 1.5 J</t>
  </si>
  <si>
    <t>Crosscheck Barang Yang Diretur dengan Admin Gudang (Saat Ini Info sudah dari WA) sebagai dasar Pembuatan LPB Retur. Max H+0 1.5 J</t>
  </si>
  <si>
    <t>Papandayan</t>
  </si>
  <si>
    <t>Timun Saemi 20 gr</t>
  </si>
  <si>
    <t>new</t>
  </si>
  <si>
    <t>Suportan</t>
  </si>
  <si>
    <t>Bastnate 200 SL 12 X 1 ltr</t>
  </si>
  <si>
    <t>perubahan program saja</t>
  </si>
  <si>
    <t>Antracol</t>
  </si>
  <si>
    <t>Liding</t>
  </si>
  <si>
    <t>Popzole</t>
  </si>
  <si>
    <t>Herole</t>
  </si>
  <si>
    <t>Colam</t>
  </si>
  <si>
    <t>New</t>
  </si>
  <si>
    <t>Spyker</t>
  </si>
  <si>
    <t>Starquat</t>
  </si>
  <si>
    <t>Blewah Blaster</t>
  </si>
  <si>
    <t>Ever Green Asam Amino 40 X 250 ml</t>
  </si>
  <si>
    <t>pupuk magnewish Granule 10 kg,</t>
  </si>
  <si>
    <t>Jagung DK 9209C 20 X 1 kg</t>
  </si>
  <si>
    <t>Tomat Fortuna</t>
  </si>
  <si>
    <t>Rayaxone</t>
  </si>
  <si>
    <t>EM -4</t>
  </si>
  <si>
    <t>Jagung Panglima</t>
  </si>
  <si>
    <t>Madrid</t>
  </si>
  <si>
    <t>Jagung Manis Exsotic</t>
  </si>
  <si>
    <t>Ga Plus</t>
  </si>
  <si>
    <t>Novlect</t>
  </si>
  <si>
    <t>Gunting Gland 7" Lady Pruner 05-219 12 X 1 pcs</t>
  </si>
  <si>
    <t>Sepatu Boots MDN ukuran 39</t>
  </si>
  <si>
    <t>Sepatu Boots MDN ukuran 40</t>
  </si>
  <si>
    <t>Sepatu Boots Yu Bang ukuran 41</t>
  </si>
  <si>
    <t>Sepatu Boots Yu Bang ukuran 42</t>
  </si>
  <si>
    <t>Sepatu Boots Yu Bang ukuran 43</t>
  </si>
  <si>
    <t>Rata- rata</t>
  </si>
  <si>
    <t>Backup data di Kiuserver 2026</t>
  </si>
  <si>
    <t>Mia</t>
  </si>
  <si>
    <t>11 minggu</t>
  </si>
  <si>
    <t>mia 1</t>
  </si>
  <si>
    <t>mia 3</t>
  </si>
  <si>
    <t>R26000001</t>
  </si>
  <si>
    <t>R000001</t>
  </si>
  <si>
    <t>A25002327</t>
  </si>
  <si>
    <t>LPB (29/12/25 14.51) + SPR (29/12/2025 14.40)</t>
  </si>
  <si>
    <t>R26000002</t>
  </si>
  <si>
    <t>R000002</t>
  </si>
  <si>
    <t>T24000345</t>
  </si>
  <si>
    <t>Hafid/Karisma</t>
  </si>
  <si>
    <t>LPB (29/12/25 15.17) + SPR (29/12/2025 14.41)</t>
  </si>
  <si>
    <t>R26000003</t>
  </si>
  <si>
    <t>001</t>
  </si>
  <si>
    <t>D25016280</t>
  </si>
  <si>
    <t>Rahayu Tani</t>
  </si>
  <si>
    <t>LPB (30/12/25 10.23) + SPR (30/12/2025 10.07)</t>
  </si>
  <si>
    <t>R26000004</t>
  </si>
  <si>
    <t>002</t>
  </si>
  <si>
    <t>D25006599</t>
  </si>
  <si>
    <t>LPB (31/12/25 11.19) + SPR (31/12/2025 10.55 )</t>
  </si>
  <si>
    <t>Tgl 01/01/26 libur</t>
  </si>
  <si>
    <t>R26000005</t>
  </si>
  <si>
    <t>003</t>
  </si>
  <si>
    <t>R26000007</t>
  </si>
  <si>
    <t>R000003</t>
  </si>
  <si>
    <t>B25015918</t>
  </si>
  <si>
    <t>R26000006</t>
  </si>
  <si>
    <t>004</t>
  </si>
  <si>
    <t>LPB (31/12/25 15.55) + SPR (31/12/2025 15.51 )</t>
  </si>
  <si>
    <t>R26000008</t>
  </si>
  <si>
    <t>R000004</t>
  </si>
  <si>
    <t>D26000208</t>
  </si>
  <si>
    <t>Akbar Tani, UD</t>
  </si>
  <si>
    <t>LPB (05/01/26 11.25) + TT Supir (05/01/2026 11.00)</t>
  </si>
  <si>
    <t>R26000009</t>
  </si>
  <si>
    <t>R000005</t>
  </si>
  <si>
    <t>A25002336</t>
  </si>
  <si>
    <t>LPB (06/01/26 11.03) + SPR (06/01/2026 11.00 )</t>
  </si>
  <si>
    <t>RA2600004</t>
  </si>
  <si>
    <t>R000006</t>
  </si>
  <si>
    <t>T25000750</t>
  </si>
  <si>
    <t>Maju Jaya/Azwar</t>
  </si>
  <si>
    <t>LPB (07/01/26 09.31) + SPR (07/01/2026 09.17 )</t>
  </si>
  <si>
    <t>RA2600006</t>
  </si>
  <si>
    <t>R000007</t>
  </si>
  <si>
    <t>R25000117</t>
  </si>
  <si>
    <t>LPB (08/01/26 15.47) + TT (08/01/2026 15.32 )</t>
  </si>
  <si>
    <t>RA2600001B</t>
  </si>
  <si>
    <t>R000008</t>
  </si>
  <si>
    <t>R25000119</t>
  </si>
  <si>
    <t>R26000010</t>
  </si>
  <si>
    <t>R000009</t>
  </si>
  <si>
    <t>A26000059</t>
  </si>
  <si>
    <t>Online Shop Tik tok</t>
  </si>
  <si>
    <t>LPB (09/01/26 15.44) + TT (09/01/2026 15.25 )</t>
  </si>
  <si>
    <t>RA2600010</t>
  </si>
  <si>
    <t>R000010</t>
  </si>
  <si>
    <t>T25000349</t>
  </si>
  <si>
    <t>Baru Rejo/Haris</t>
  </si>
  <si>
    <t>LPB (13/01/26 10.11) + SPR (13/01/2026 09.51 )</t>
  </si>
  <si>
    <t>R26000011</t>
  </si>
  <si>
    <t>R000011</t>
  </si>
  <si>
    <t>A26000028</t>
  </si>
  <si>
    <t>LPB (14/01/26 10.35) + SPR (14/01/2026 09.29 )</t>
  </si>
  <si>
    <t>16 libur ( acc lama )</t>
  </si>
  <si>
    <t>RA2600011</t>
  </si>
  <si>
    <t>R000012</t>
  </si>
  <si>
    <t>T25001322</t>
  </si>
  <si>
    <t>Panen Jaya/Nesrawati</t>
  </si>
  <si>
    <t>LPB (17/01/26 08.51) + SPR (17/01/2026 08. 39)</t>
  </si>
  <si>
    <t>R26000001B</t>
  </si>
  <si>
    <t>005</t>
  </si>
  <si>
    <t>LPB (20/01/26 09.47) + SPR (20/01/2026 09.29)</t>
  </si>
  <si>
    <t>R26000012</t>
  </si>
  <si>
    <t>006</t>
  </si>
  <si>
    <t>B25014962</t>
  </si>
  <si>
    <t>Puma Tani</t>
  </si>
  <si>
    <t>LPB (21/01/26 14.29) + SPR (21/01/2026 13.51)</t>
  </si>
  <si>
    <t>R26000002B</t>
  </si>
  <si>
    <t>R000013</t>
  </si>
  <si>
    <t>Z24002205</t>
  </si>
  <si>
    <t>LPB (21/01/26 09.02) + SPR (21/01/2026 08.48)</t>
  </si>
  <si>
    <t>RA2600002B</t>
  </si>
  <si>
    <t>R000014</t>
  </si>
  <si>
    <t>R25000135</t>
  </si>
  <si>
    <t>LPB (23/01/26 14.29) + TT (23/01/2026 14.25)</t>
  </si>
  <si>
    <t>R26000013</t>
  </si>
  <si>
    <t>R000015</t>
  </si>
  <si>
    <t>B26001039</t>
  </si>
  <si>
    <t>Karisma Bumi Indah/Fedo</t>
  </si>
  <si>
    <t>LPB (23/01/26 15.53) + TT Supir (23/01/2026 15.44)</t>
  </si>
  <si>
    <t>RA2600014</t>
  </si>
  <si>
    <t>R000016</t>
  </si>
  <si>
    <t>T25001540</t>
  </si>
  <si>
    <t>Tani Agung Abadi/Totok</t>
  </si>
  <si>
    <t>LPB (27/01/26 08.47) + SPR (27/01/2026 08.34)</t>
  </si>
  <si>
    <t>RA2600015</t>
  </si>
  <si>
    <t>R000017</t>
  </si>
  <si>
    <t>T25001266</t>
  </si>
  <si>
    <t>Arkha Jaya Makmur/Atma</t>
  </si>
  <si>
    <t>LPB (27/01/26 11.25) + SPR (27/01/2026 11.19)</t>
  </si>
  <si>
    <t>R26000014</t>
  </si>
  <si>
    <t>007</t>
  </si>
  <si>
    <t>D25014246</t>
  </si>
  <si>
    <t>Tani Subur/Susma</t>
  </si>
  <si>
    <t>LPB (27/01/26 11.31) + SPR (27/01/2026 11.19)</t>
  </si>
  <si>
    <t>RA2600016</t>
  </si>
  <si>
    <t>R000018</t>
  </si>
  <si>
    <t>T25001578</t>
  </si>
  <si>
    <t>Sahabat Tani/Abdul Rohman</t>
  </si>
  <si>
    <t>LPB (28/01/26 10.26) + SPR (28/01/2026 09.40)</t>
  </si>
  <si>
    <t>RA2600005B</t>
  </si>
  <si>
    <t>R000019</t>
  </si>
  <si>
    <t>T25001684</t>
  </si>
  <si>
    <t>LPB (28/01/26 10.22) + SPR (28/01/2026 09.42)</t>
  </si>
  <si>
    <t>R26000015</t>
  </si>
  <si>
    <t>R000020</t>
  </si>
  <si>
    <t>A26000147</t>
  </si>
  <si>
    <t>LPB (28/01/26 10.20) + SPR (28/01/2026 09.42)</t>
  </si>
  <si>
    <t>R26000016</t>
  </si>
  <si>
    <t>R000021</t>
  </si>
  <si>
    <t>A26000155</t>
  </si>
  <si>
    <t>LPB (29/01/26 10.09) + SPR (29/01/2026 09.31)</t>
  </si>
  <si>
    <t>RA2600007B</t>
  </si>
  <si>
    <t>R000022</t>
  </si>
  <si>
    <t>T25001403</t>
  </si>
  <si>
    <t>Djago Tani/Edi</t>
  </si>
  <si>
    <t>LPB (30/01/26 10.56) + SPR (30/01/2026 09.48)</t>
  </si>
  <si>
    <t>Proses Approve P. Ibnu Lama, ternyata no Hp kembali ke no awal, awalnya ganti nomer</t>
  </si>
  <si>
    <t>RA2600017</t>
  </si>
  <si>
    <t>R000023</t>
  </si>
  <si>
    <t>LPB (30/01/26 10.56) + SPR (30/01/2026 10.14)</t>
  </si>
  <si>
    <t>R26000003B</t>
  </si>
  <si>
    <t>008</t>
  </si>
  <si>
    <t>D25015607</t>
  </si>
  <si>
    <t>Cahaya Tani/Yuda</t>
  </si>
  <si>
    <t>LPB (31/01/26 13.14) + SPR (31/01/2026 11.10)</t>
  </si>
  <si>
    <t>Replcement</t>
  </si>
  <si>
    <t>01/02/2026 Minggu</t>
  </si>
  <si>
    <t>R26000017</t>
  </si>
  <si>
    <t>009</t>
  </si>
  <si>
    <t>D25014916</t>
  </si>
  <si>
    <t>Pinggan Tani</t>
  </si>
  <si>
    <t>LPB (31/01/26 13.26) + SPR (31/01/2026 11.08)</t>
  </si>
  <si>
    <t>RA2600018</t>
  </si>
  <si>
    <t>R000024</t>
  </si>
  <si>
    <t>T25001414</t>
  </si>
  <si>
    <t>LPB (31/01/26 13.18) + SPR (31/01/2026 11.08)</t>
  </si>
  <si>
    <t>RA2600019</t>
  </si>
  <si>
    <t>R000025</t>
  </si>
  <si>
    <t>T25001479</t>
  </si>
  <si>
    <t>LPB (31/01/26 13.22) + SPR (31/01/2026 11.09)</t>
  </si>
  <si>
    <t>1 &amp; 4 Januari libur</t>
  </si>
  <si>
    <t>Mesin Cuci Sharp</t>
  </si>
  <si>
    <t>Tani Maju, TK / Samsuni</t>
  </si>
  <si>
    <t>Jasa Perantara dan/atau Keagenan</t>
  </si>
  <si>
    <t>Bina Guna Kimia, PT</t>
  </si>
  <si>
    <t>Donasi Extravaganza 2025</t>
  </si>
  <si>
    <t>pending</t>
  </si>
  <si>
    <t xml:space="preserve">Agromanna Jaya Lestari, PT </t>
  </si>
  <si>
    <t>Desember</t>
  </si>
  <si>
    <t>Backup data di Kiuserver minimal 2 kali dalam 1 minggu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</si>
</sst>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d\-mmm"/>
    <numFmt numFmtId="168" formatCode="[$-409]d\-mmm\-yy;@"/>
    <numFmt numFmtId="169" formatCode="[$-409]d\-mmm;@"/>
    <numFmt numFmtId="170" formatCode="[$-409]dd\-mmm\-yy;@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b/>
      <sz val="8"/>
      <color theme="1"/>
      <name val="Arial"/>
      <family val="2"/>
    </font>
    <font>
      <sz val="8"/>
      <color rgb="FF000000"/>
      <name val="Tahoma"/>
      <family val="2"/>
    </font>
    <font>
      <sz val="9"/>
      <color rgb="FF000000"/>
      <name val="Tahoma"/>
      <family val="2"/>
    </font>
    <font>
      <sz val="11"/>
      <name val="Arial"/>
      <family val="2"/>
    </font>
    <font>
      <sz val="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9"/>
      <color rgb="FF000000"/>
      <name val="Segoe UI"/>
      <family val="2"/>
    </font>
    <font>
      <b/>
      <i/>
      <sz val="16"/>
      <color indexed="18"/>
      <name val="Tahoma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indexed="8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indexed="8"/>
      <name val="Tahoma"/>
      <family val="2"/>
    </font>
    <font>
      <sz val="8"/>
      <color indexed="8"/>
      <name val="Arial"/>
      <family val="2"/>
    </font>
    <font>
      <sz val="8"/>
      <color rgb="FF000000"/>
      <name val="Wingdings"/>
      <charset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9"/>
      <color indexed="16"/>
      <name val="Arial"/>
      <family val="2"/>
    </font>
    <font>
      <b/>
      <sz val="16"/>
      <color rgb="FF1079AE"/>
      <name val="Segoe UI"/>
      <family val="2"/>
    </font>
    <font>
      <b/>
      <sz val="18"/>
      <color rgb="FF0000A0"/>
      <name val="Arial"/>
      <family val="2"/>
    </font>
    <font>
      <b/>
      <sz val="8"/>
      <color rgb="FF000000"/>
      <name val="Tahoma"/>
      <family val="2"/>
    </font>
    <font>
      <b/>
      <sz val="8"/>
      <color indexed="8"/>
      <name val="Tahoma"/>
      <family val="2"/>
    </font>
    <font>
      <b/>
      <sz val="13"/>
      <color rgb="FF000000"/>
      <name val="Segoe UI"/>
      <family val="2"/>
    </font>
    <font>
      <b/>
      <sz val="8"/>
      <color rgb="FF800000"/>
      <name val="Segoe UI"/>
      <family val="2"/>
    </font>
    <font>
      <b/>
      <sz val="11"/>
      <color rgb="FF1079AE"/>
      <name val="Segoe UI"/>
      <family val="2"/>
    </font>
    <font>
      <b/>
      <sz val="9"/>
      <color rgb="FF1079AE"/>
      <name val="Segoe UI"/>
      <family val="2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Wingdings 2"/>
      <family val="1"/>
      <charset val="2"/>
    </font>
    <font>
      <sz val="10"/>
      <color theme="1"/>
      <name val="Wingdings 2"/>
      <family val="1"/>
      <charset val="2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9"/>
      <color rgb="FF0033CC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Khmer UI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"/>
      <color rgb="FF0000FF"/>
      <name val="Arial"/>
      <family val="2"/>
    </font>
    <font>
      <sz val="8"/>
      <color rgb="FFFF0000"/>
      <name val="Arial"/>
      <family val="2"/>
    </font>
    <font>
      <sz val="8"/>
      <name val="Khmer UI"/>
      <family val="2"/>
    </font>
    <font>
      <sz val="8"/>
      <color rgb="FF0000FF"/>
      <name val="Khmer UI"/>
      <family val="2"/>
    </font>
    <font>
      <sz val="8"/>
      <color theme="0"/>
      <name val="Khmer UI"/>
      <family val="2"/>
    </font>
    <font>
      <sz val="9"/>
      <color theme="0"/>
      <name val="Khmer UI"/>
      <family val="2"/>
    </font>
    <font>
      <sz val="9"/>
      <name val="Khmer UI"/>
      <family val="2"/>
    </font>
    <font>
      <sz val="9"/>
      <color rgb="FF0000FF"/>
      <name val="Khmer UI"/>
      <family val="2"/>
    </font>
    <font>
      <sz val="9"/>
      <color rgb="FFFF0000"/>
      <name val="Khmer UI"/>
      <family val="2"/>
    </font>
    <font>
      <sz val="8"/>
      <color rgb="FFFF0000"/>
      <name val="Khmer UI"/>
      <family val="2"/>
    </font>
    <font>
      <b/>
      <sz val="9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ck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110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4" fillId="0" borderId="0">
      <alignment vertical="center"/>
    </xf>
    <xf numFmtId="0" fontId="37" fillId="0" borderId="0">
      <alignment horizontal="left" vertical="top"/>
    </xf>
    <xf numFmtId="0" fontId="38" fillId="0" borderId="0">
      <alignment horizontal="left" vertical="top"/>
    </xf>
    <xf numFmtId="0" fontId="39" fillId="0" borderId="0">
      <alignment vertical="center"/>
    </xf>
    <xf numFmtId="43" fontId="34" fillId="0" borderId="0" applyFont="0" applyFill="0" applyBorder="0" applyAlignment="0" applyProtection="0"/>
    <xf numFmtId="41" fontId="31" fillId="0" borderId="0" applyFont="0" applyFill="0" applyBorder="0" applyAlignment="0" applyProtection="0"/>
    <xf numFmtId="41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40" fillId="0" borderId="0"/>
    <xf numFmtId="0" fontId="40" fillId="0" borderId="0"/>
    <xf numFmtId="0" fontId="21" fillId="0" borderId="0"/>
    <xf numFmtId="0" fontId="1" fillId="0" borderId="0"/>
    <xf numFmtId="0" fontId="42" fillId="9" borderId="0"/>
    <xf numFmtId="0" fontId="21" fillId="0" borderId="0"/>
    <xf numFmtId="168" fontId="1" fillId="0" borderId="0"/>
    <xf numFmtId="168" fontId="1" fillId="0" borderId="0"/>
    <xf numFmtId="168" fontId="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43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center" vertical="top"/>
    </xf>
    <xf numFmtId="0" fontId="40" fillId="0" borderId="0">
      <alignment horizontal="center" vertical="top"/>
    </xf>
    <xf numFmtId="0" fontId="40" fillId="0" borderId="0">
      <alignment horizontal="left" vertical="top"/>
    </xf>
    <xf numFmtId="0" fontId="44" fillId="0" borderId="0">
      <alignment horizontal="left" vertical="top"/>
    </xf>
    <xf numFmtId="0" fontId="45" fillId="0" borderId="0">
      <alignment horizontal="left" vertical="top"/>
    </xf>
    <xf numFmtId="0" fontId="40" fillId="10" borderId="0">
      <alignment horizontal="center" vertical="top"/>
    </xf>
    <xf numFmtId="0" fontId="43" fillId="0" borderId="0">
      <alignment horizontal="left" vertical="top"/>
    </xf>
    <xf numFmtId="0" fontId="43" fillId="0" borderId="0">
      <alignment horizontal="left" vertical="top"/>
    </xf>
    <xf numFmtId="0" fontId="46" fillId="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7" fillId="0" borderId="0">
      <alignment horizontal="left" vertical="top"/>
    </xf>
    <xf numFmtId="0" fontId="43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center" vertical="top"/>
    </xf>
    <xf numFmtId="0" fontId="40" fillId="0" borderId="0">
      <alignment horizontal="center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49" fillId="0" borderId="0">
      <alignment horizontal="left" vertical="top"/>
    </xf>
    <xf numFmtId="0" fontId="40" fillId="10" borderId="0">
      <alignment horizontal="center" vertical="top"/>
    </xf>
    <xf numFmtId="0" fontId="43" fillId="0" borderId="0">
      <alignment horizontal="left" vertical="top"/>
    </xf>
    <xf numFmtId="0" fontId="43" fillId="0" borderId="0">
      <alignment horizontal="left" vertical="top"/>
    </xf>
    <xf numFmtId="0" fontId="46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50" fillId="0" borderId="0">
      <alignment horizontal="left" vertical="top"/>
    </xf>
    <xf numFmtId="0" fontId="51" fillId="0" borderId="0">
      <alignment horizontal="left" vertical="top"/>
    </xf>
    <xf numFmtId="0" fontId="48" fillId="0" borderId="0">
      <alignment horizontal="left" vertical="top"/>
    </xf>
    <xf numFmtId="0" fontId="52" fillId="0" borderId="0">
      <alignment horizontal="left" vertical="top"/>
    </xf>
    <xf numFmtId="0" fontId="37" fillId="0" borderId="0">
      <alignment horizontal="left" vertical="top"/>
    </xf>
    <xf numFmtId="0" fontId="40" fillId="10" borderId="0">
      <alignment horizontal="left" vertical="top"/>
    </xf>
    <xf numFmtId="0" fontId="53" fillId="0" borderId="0">
      <alignment horizontal="left" vertical="top"/>
    </xf>
    <xf numFmtId="0" fontId="54" fillId="0" borderId="0">
      <alignment horizontal="right" vertical="top"/>
    </xf>
    <xf numFmtId="0" fontId="55" fillId="0" borderId="0">
      <alignment horizontal="right" vertical="center"/>
    </xf>
    <xf numFmtId="0" fontId="43" fillId="0" borderId="0">
      <alignment horizontal="right" vertical="top"/>
    </xf>
    <xf numFmtId="0" fontId="43" fillId="0" borderId="0">
      <alignment horizontal="left" vertical="top"/>
    </xf>
    <xf numFmtId="168" fontId="37" fillId="0" borderId="0">
      <alignment horizontal="left" vertical="top"/>
    </xf>
    <xf numFmtId="0" fontId="52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37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0" borderId="0">
      <alignment horizontal="left" vertical="top"/>
    </xf>
    <xf numFmtId="0" fontId="40" fillId="0" borderId="0">
      <alignment horizontal="right" vertical="top"/>
    </xf>
    <xf numFmtId="0" fontId="48" fillId="0" borderId="0">
      <alignment horizontal="right" vertical="top"/>
    </xf>
    <xf numFmtId="0" fontId="56" fillId="0" borderId="0">
      <alignment horizontal="left" vertical="top"/>
    </xf>
    <xf numFmtId="0" fontId="51" fillId="0" borderId="0">
      <alignment horizontal="left" vertical="top"/>
    </xf>
    <xf numFmtId="0" fontId="40" fillId="10" borderId="0">
      <alignment horizontal="left" vertical="top"/>
    </xf>
    <xf numFmtId="0" fontId="53" fillId="0" borderId="0">
      <alignment horizontal="left" vertical="top"/>
    </xf>
    <xf numFmtId="0" fontId="54" fillId="0" borderId="0">
      <alignment horizontal="left" vertical="top"/>
    </xf>
    <xf numFmtId="0" fontId="53" fillId="0" borderId="0">
      <alignment horizontal="right" vertical="top"/>
    </xf>
    <xf numFmtId="0" fontId="43" fillId="0" borderId="0">
      <alignment horizontal="left" vertical="top"/>
    </xf>
    <xf numFmtId="0" fontId="51" fillId="0" borderId="0">
      <alignment horizontal="left" vertical="top"/>
    </xf>
    <xf numFmtId="0" fontId="43" fillId="0" borderId="0">
      <alignment horizontal="right" vertical="top"/>
    </xf>
    <xf numFmtId="0" fontId="51" fillId="0" borderId="0">
      <alignment horizontal="right" vertical="top"/>
    </xf>
    <xf numFmtId="168" fontId="43" fillId="0" borderId="0">
      <alignment horizontal="righ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37" fillId="0" borderId="0">
      <alignment horizontal="left" vertical="top"/>
    </xf>
    <xf numFmtId="0" fontId="40" fillId="0" borderId="0">
      <alignment horizontal="righ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48" fillId="0" borderId="0">
      <alignment horizontal="right" vertical="top"/>
    </xf>
    <xf numFmtId="0" fontId="54" fillId="0" borderId="0">
      <alignment horizontal="right" vertical="top"/>
    </xf>
    <xf numFmtId="0" fontId="52" fillId="0" borderId="0">
      <alignment horizontal="left" vertical="top"/>
    </xf>
    <xf numFmtId="0" fontId="57" fillId="0" borderId="0">
      <alignment horizontal="right" vertical="top"/>
    </xf>
    <xf numFmtId="0" fontId="51" fillId="0" borderId="0">
      <alignment horizontal="right" vertical="top"/>
    </xf>
    <xf numFmtId="0" fontId="37" fillId="0" borderId="0">
      <alignment horizontal="left" vertical="top"/>
    </xf>
    <xf numFmtId="168" fontId="43" fillId="0" borderId="0">
      <alignment horizontal="righ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54" fillId="0" borderId="0">
      <alignment horizontal="left" vertical="top"/>
    </xf>
    <xf numFmtId="0" fontId="54" fillId="0" borderId="0">
      <alignment horizontal="right" vertical="top"/>
    </xf>
    <xf numFmtId="0" fontId="40" fillId="0" borderId="0">
      <alignment horizontal="right" vertical="top"/>
    </xf>
    <xf numFmtId="0" fontId="53" fillId="0" borderId="0">
      <alignment horizontal="right" vertical="top"/>
    </xf>
    <xf numFmtId="0" fontId="43" fillId="0" borderId="0">
      <alignment horizontal="right" vertical="top"/>
    </xf>
    <xf numFmtId="0" fontId="51" fillId="0" borderId="0">
      <alignment horizontal="right" vertical="top"/>
    </xf>
    <xf numFmtId="0" fontId="51" fillId="0" borderId="0">
      <alignment horizontal="left" vertical="top"/>
    </xf>
    <xf numFmtId="0" fontId="57" fillId="0" borderId="0">
      <alignment horizontal="right" vertical="top"/>
    </xf>
    <xf numFmtId="0" fontId="58" fillId="0" borderId="0">
      <alignment horizontal="left" vertical="center"/>
    </xf>
    <xf numFmtId="0" fontId="55" fillId="0" borderId="0">
      <alignment horizontal="left" vertical="center"/>
    </xf>
    <xf numFmtId="0" fontId="43" fillId="0" borderId="0">
      <alignment horizontal="left" vertical="top"/>
    </xf>
    <xf numFmtId="168" fontId="43" fillId="0" borderId="0">
      <alignment horizontal="left" vertical="top"/>
    </xf>
    <xf numFmtId="0" fontId="40" fillId="0" borderId="0">
      <alignment horizontal="left" vertical="top"/>
    </xf>
    <xf numFmtId="0" fontId="54" fillId="0" borderId="0">
      <alignment horizontal="left" vertical="top"/>
    </xf>
    <xf numFmtId="0" fontId="40" fillId="0" borderId="0">
      <alignment horizontal="left" vertical="top"/>
    </xf>
    <xf numFmtId="0" fontId="53" fillId="0" borderId="0">
      <alignment horizontal="right" vertical="top"/>
    </xf>
    <xf numFmtId="0" fontId="59" fillId="0" borderId="0">
      <alignment horizontal="left" vertical="top"/>
    </xf>
    <xf numFmtId="0" fontId="43" fillId="0" borderId="0">
      <alignment horizontal="right" vertical="top"/>
    </xf>
    <xf numFmtId="0" fontId="58" fillId="0" borderId="0">
      <alignment horizontal="left" vertical="center"/>
    </xf>
    <xf numFmtId="0" fontId="37" fillId="0" borderId="0">
      <alignment horizontal="left" vertical="top"/>
    </xf>
    <xf numFmtId="0" fontId="51" fillId="0" borderId="0">
      <alignment horizontal="right" vertical="top"/>
    </xf>
    <xf numFmtId="0" fontId="54" fillId="0" borderId="0">
      <alignment horizontal="right" vertical="top"/>
    </xf>
    <xf numFmtId="0" fontId="57" fillId="0" borderId="0">
      <alignment horizontal="left" vertical="top"/>
    </xf>
    <xf numFmtId="0" fontId="43" fillId="0" borderId="0">
      <alignment horizontal="left" vertical="top"/>
    </xf>
    <xf numFmtId="168" fontId="37" fillId="0" borderId="0">
      <alignment horizontal="left" vertical="top"/>
    </xf>
    <xf numFmtId="0" fontId="60" fillId="0" borderId="0">
      <alignment horizontal="left" vertical="top"/>
    </xf>
    <xf numFmtId="0" fontId="40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left" vertical="top"/>
    </xf>
    <xf numFmtId="0" fontId="46" fillId="0" borderId="0">
      <alignment horizontal="left" vertical="top"/>
    </xf>
    <xf numFmtId="0" fontId="55" fillId="0" borderId="0">
      <alignment horizontal="center" vertical="center"/>
    </xf>
    <xf numFmtId="0" fontId="37" fillId="0" borderId="0">
      <alignment horizontal="left" vertical="top"/>
    </xf>
    <xf numFmtId="0" fontId="54" fillId="0" borderId="0">
      <alignment horizontal="right" vertical="top"/>
    </xf>
    <xf numFmtId="0" fontId="55" fillId="0" borderId="0">
      <alignment horizontal="left" vertical="center"/>
    </xf>
    <xf numFmtId="0" fontId="56" fillId="0" borderId="0">
      <alignment horizontal="left" vertical="top"/>
    </xf>
    <xf numFmtId="0" fontId="61" fillId="0" borderId="0">
      <alignment horizontal="right" vertical="top"/>
    </xf>
    <xf numFmtId="0" fontId="43" fillId="0" borderId="0">
      <alignment horizontal="right" vertical="top"/>
    </xf>
    <xf numFmtId="0" fontId="61" fillId="0" borderId="0">
      <alignment horizontal="right" vertical="top"/>
    </xf>
    <xf numFmtId="0" fontId="37" fillId="0" borderId="0">
      <alignment horizontal="left" vertical="top"/>
    </xf>
    <xf numFmtId="0" fontId="61" fillId="0" borderId="0">
      <alignment horizontal="left" vertical="top"/>
    </xf>
    <xf numFmtId="0" fontId="43" fillId="0" borderId="0">
      <alignment horizontal="left" vertical="top"/>
    </xf>
    <xf numFmtId="0" fontId="54" fillId="0" borderId="0">
      <alignment horizontal="left" vertical="top"/>
    </xf>
    <xf numFmtId="0" fontId="55" fillId="0" borderId="0">
      <alignment horizontal="center" vertical="center"/>
    </xf>
    <xf numFmtId="168" fontId="43" fillId="0" borderId="0">
      <alignment horizontal="left" vertical="top"/>
    </xf>
    <xf numFmtId="0" fontId="57" fillId="0" borderId="0">
      <alignment horizontal="left" vertical="top"/>
    </xf>
    <xf numFmtId="0" fontId="61" fillId="0" borderId="0">
      <alignment horizontal="left" vertical="top"/>
    </xf>
    <xf numFmtId="0" fontId="43" fillId="0" borderId="0">
      <alignment horizontal="left" vertical="top"/>
    </xf>
    <xf numFmtId="0" fontId="61" fillId="0" borderId="0">
      <alignment horizontal="left" vertical="top"/>
    </xf>
    <xf numFmtId="0" fontId="61" fillId="0" borderId="0">
      <alignment horizontal="right" vertical="top"/>
    </xf>
    <xf numFmtId="0" fontId="37" fillId="0" borderId="0">
      <alignment horizontal="left" vertical="top"/>
    </xf>
    <xf numFmtId="168" fontId="37" fillId="0" borderId="0">
      <alignment horizontal="left" vertical="top"/>
    </xf>
    <xf numFmtId="0" fontId="56" fillId="0" borderId="0">
      <alignment horizontal="left" vertical="top"/>
    </xf>
    <xf numFmtId="0" fontId="54" fillId="0" borderId="0">
      <alignment horizontal="left" vertical="top"/>
    </xf>
    <xf numFmtId="0" fontId="52" fillId="0" borderId="0">
      <alignment horizontal="left" vertical="top"/>
    </xf>
    <xf numFmtId="0" fontId="54" fillId="0" borderId="0">
      <alignment horizontal="right" vertical="top"/>
    </xf>
    <xf numFmtId="168" fontId="54" fillId="0" borderId="0">
      <alignment horizontal="right" vertical="top"/>
    </xf>
    <xf numFmtId="0" fontId="62" fillId="0" borderId="0">
      <alignment horizontal="right" vertical="top"/>
    </xf>
    <xf numFmtId="0" fontId="60" fillId="0" borderId="0">
      <alignment horizontal="left" vertical="top"/>
    </xf>
    <xf numFmtId="0" fontId="54" fillId="0" borderId="0">
      <alignment horizontal="left" vertical="top"/>
    </xf>
    <xf numFmtId="0" fontId="43" fillId="0" borderId="0">
      <alignment horizontal="left" vertical="top"/>
    </xf>
    <xf numFmtId="168" fontId="54" fillId="0" borderId="0">
      <alignment horizontal="left" vertical="top"/>
    </xf>
    <xf numFmtId="0" fontId="62" fillId="0" borderId="0">
      <alignment horizontal="left" vertical="top"/>
    </xf>
    <xf numFmtId="0" fontId="43" fillId="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center" vertical="top"/>
    </xf>
    <xf numFmtId="0" fontId="40" fillId="0" borderId="0">
      <alignment horizontal="center" vertical="top"/>
    </xf>
    <xf numFmtId="0" fontId="40" fillId="0" borderId="0">
      <alignment horizontal="left" vertical="top"/>
    </xf>
    <xf numFmtId="0" fontId="63" fillId="0" borderId="0">
      <alignment horizontal="left" vertical="top"/>
    </xf>
    <xf numFmtId="0" fontId="64" fillId="0" borderId="0">
      <alignment horizontal="left" vertical="top"/>
    </xf>
    <xf numFmtId="0" fontId="40" fillId="10" borderId="0">
      <alignment horizontal="center" vertical="top"/>
    </xf>
    <xf numFmtId="0" fontId="43" fillId="0" borderId="0">
      <alignment horizontal="right" vertical="top"/>
    </xf>
    <xf numFmtId="0" fontId="43" fillId="0" borderId="0">
      <alignment horizontal="right" vertical="top"/>
    </xf>
    <xf numFmtId="0" fontId="46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65" fillId="0" borderId="0">
      <alignment horizontal="left" vertical="top"/>
    </xf>
    <xf numFmtId="0" fontId="66" fillId="0" borderId="0">
      <alignment horizontal="center" vertical="top"/>
    </xf>
    <xf numFmtId="0" fontId="67" fillId="0" borderId="0">
      <alignment horizontal="left" vertical="top"/>
    </xf>
    <xf numFmtId="168" fontId="68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68" fillId="0" borderId="0">
      <alignment horizontal="left" vertical="top"/>
    </xf>
    <xf numFmtId="0" fontId="40" fillId="10" borderId="0">
      <alignment horizontal="left" vertical="top"/>
    </xf>
    <xf numFmtId="0" fontId="67" fillId="0" borderId="0">
      <alignment horizontal="center" vertical="top"/>
    </xf>
    <xf numFmtId="0" fontId="69" fillId="0" borderId="0">
      <alignment horizontal="left" vertical="top"/>
    </xf>
    <xf numFmtId="0" fontId="70" fillId="0" borderId="0">
      <alignment horizontal="center" vertical="top"/>
    </xf>
    <xf numFmtId="0" fontId="40" fillId="10" borderId="0">
      <alignment horizontal="left" vertical="top"/>
    </xf>
    <xf numFmtId="0" fontId="60" fillId="0" borderId="0">
      <alignment horizontal="left" vertical="top"/>
    </xf>
    <xf numFmtId="0" fontId="40" fillId="10" borderId="0">
      <alignment horizontal="left" vertical="top"/>
    </xf>
    <xf numFmtId="0" fontId="49" fillId="0" borderId="0">
      <alignment horizontal="center" vertical="top"/>
    </xf>
    <xf numFmtId="0" fontId="70" fillId="0" borderId="0">
      <alignment horizontal="center" vertical="top"/>
    </xf>
    <xf numFmtId="0" fontId="37" fillId="0" borderId="0">
      <alignment horizontal="right" vertical="top"/>
    </xf>
    <xf numFmtId="0" fontId="40" fillId="10" borderId="0">
      <alignment horizontal="left" vertical="top"/>
    </xf>
    <xf numFmtId="0" fontId="49" fillId="0" borderId="0">
      <alignment horizontal="left" vertical="top"/>
    </xf>
    <xf numFmtId="168" fontId="37" fillId="0" borderId="0">
      <alignment horizontal="right" vertical="top"/>
    </xf>
    <xf numFmtId="0" fontId="37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37" fillId="0" borderId="0">
      <alignment horizontal="left" vertical="top"/>
    </xf>
    <xf numFmtId="0" fontId="37" fillId="0" borderId="0">
      <alignment horizontal="left" vertical="top"/>
    </xf>
    <xf numFmtId="0" fontId="56" fillId="0" borderId="0">
      <alignment horizontal="right" vertical="top"/>
    </xf>
    <xf numFmtId="0" fontId="37" fillId="10" borderId="0">
      <alignment horizontal="left" vertical="top"/>
    </xf>
    <xf numFmtId="0" fontId="40" fillId="10" borderId="0">
      <alignment horizontal="left" vertical="top"/>
    </xf>
    <xf numFmtId="0" fontId="64" fillId="0" borderId="0">
      <alignment horizontal="center" vertical="top"/>
    </xf>
    <xf numFmtId="0" fontId="37" fillId="10" borderId="0">
      <alignment horizontal="left" vertical="top"/>
    </xf>
    <xf numFmtId="0" fontId="43" fillId="0" borderId="0">
      <alignment horizontal="right" vertical="top"/>
    </xf>
    <xf numFmtId="168" fontId="37" fillId="0" borderId="0">
      <alignment horizontal="left" vertical="top"/>
    </xf>
    <xf numFmtId="0" fontId="37" fillId="0" borderId="0">
      <alignment horizontal="left" vertical="top"/>
    </xf>
    <xf numFmtId="0" fontId="71" fillId="0" borderId="0">
      <alignment horizontal="center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1" fillId="0" borderId="0">
      <alignment horizontal="left" vertical="top"/>
    </xf>
    <xf numFmtId="0" fontId="37" fillId="0" borderId="0">
      <alignment horizontal="left" vertical="top"/>
    </xf>
    <xf numFmtId="0" fontId="56" fillId="0" borderId="0">
      <alignment horizontal="left" vertical="top"/>
    </xf>
    <xf numFmtId="0" fontId="61" fillId="0" borderId="0">
      <alignment horizontal="left" vertical="center"/>
    </xf>
    <xf numFmtId="0" fontId="48" fillId="0" borderId="0">
      <alignment horizontal="right" vertical="top"/>
    </xf>
    <xf numFmtId="0" fontId="1" fillId="0" borderId="0">
      <alignment horizontal="right" vertical="top"/>
    </xf>
    <xf numFmtId="0" fontId="37" fillId="0" borderId="0">
      <alignment horizontal="right" vertical="top"/>
    </xf>
    <xf numFmtId="0" fontId="37" fillId="0" borderId="0">
      <alignment horizontal="left" vertical="top"/>
    </xf>
    <xf numFmtId="0" fontId="40" fillId="10" borderId="0">
      <alignment horizontal="right" vertical="top"/>
    </xf>
    <xf numFmtId="0" fontId="54" fillId="0" borderId="0">
      <alignment horizontal="left" vertical="top"/>
    </xf>
    <xf numFmtId="0" fontId="54" fillId="0" borderId="0">
      <alignment horizontal="center" vertical="center"/>
    </xf>
    <xf numFmtId="0" fontId="61" fillId="0" borderId="0">
      <alignment horizontal="left" vertical="center"/>
    </xf>
    <xf numFmtId="0" fontId="72" fillId="0" borderId="0">
      <alignment horizontal="center" vertical="top"/>
    </xf>
    <xf numFmtId="168" fontId="37" fillId="0" borderId="0">
      <alignment horizontal="left" vertical="top"/>
    </xf>
    <xf numFmtId="0" fontId="37" fillId="0" borderId="0">
      <alignment horizontal="righ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right" vertical="top"/>
    </xf>
    <xf numFmtId="0" fontId="40" fillId="10" borderId="0">
      <alignment horizontal="right" vertical="top"/>
    </xf>
    <xf numFmtId="0" fontId="40" fillId="0" borderId="0">
      <alignment horizontal="left" vertical="top"/>
    </xf>
    <xf numFmtId="0" fontId="40" fillId="0" borderId="0">
      <alignment horizontal="right" vertical="top"/>
    </xf>
    <xf numFmtId="0" fontId="56" fillId="0" borderId="0">
      <alignment horizontal="left" vertical="top"/>
    </xf>
    <xf numFmtId="0" fontId="61" fillId="0" borderId="0">
      <alignment horizontal="left" vertical="center"/>
    </xf>
    <xf numFmtId="0" fontId="37" fillId="0" borderId="0">
      <alignment horizontal="left" vertical="top"/>
    </xf>
    <xf numFmtId="0" fontId="37" fillId="0" borderId="0">
      <alignment horizontal="left" vertical="top"/>
    </xf>
    <xf numFmtId="0" fontId="37" fillId="0" borderId="0">
      <alignment horizontal="right" vertical="top"/>
    </xf>
    <xf numFmtId="0" fontId="40" fillId="10" borderId="0">
      <alignment horizontal="left" vertical="top"/>
    </xf>
    <xf numFmtId="0" fontId="54" fillId="0" borderId="0">
      <alignment horizontal="left" vertical="top"/>
    </xf>
    <xf numFmtId="0" fontId="55" fillId="0" borderId="0">
      <alignment horizontal="left" vertical="center"/>
    </xf>
    <xf numFmtId="0" fontId="61" fillId="0" borderId="0">
      <alignment horizontal="left" vertical="center"/>
    </xf>
    <xf numFmtId="0" fontId="73" fillId="0" borderId="0">
      <alignment horizontal="left" vertical="top"/>
    </xf>
    <xf numFmtId="168" fontId="37" fillId="0" borderId="0">
      <alignment horizontal="right" vertical="top"/>
    </xf>
    <xf numFmtId="0" fontId="37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0" borderId="0">
      <alignment horizontal="righ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56" fillId="0" borderId="0">
      <alignment horizontal="right" vertical="top"/>
    </xf>
    <xf numFmtId="0" fontId="61" fillId="0" borderId="0">
      <alignment horizontal="right" vertical="center"/>
    </xf>
    <xf numFmtId="0" fontId="55" fillId="0" borderId="0">
      <alignment horizontal="left" vertical="center"/>
    </xf>
    <xf numFmtId="0" fontId="61" fillId="0" borderId="0">
      <alignment horizontal="right" vertical="center"/>
    </xf>
    <xf numFmtId="0" fontId="61" fillId="0" borderId="0">
      <alignment horizontal="left" vertical="top"/>
    </xf>
    <xf numFmtId="0" fontId="55" fillId="0" borderId="0">
      <alignment horizontal="right" vertical="center"/>
    </xf>
    <xf numFmtId="168" fontId="37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37" fillId="0" borderId="0">
      <alignment horizontal="righ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40" fillId="10" borderId="0">
      <alignment horizontal="left" vertical="top"/>
    </xf>
    <xf numFmtId="0" fontId="54" fillId="0" borderId="0">
      <alignment horizontal="right" vertical="top"/>
    </xf>
    <xf numFmtId="0" fontId="56" fillId="0" borderId="0">
      <alignment horizontal="left" vertical="top"/>
    </xf>
    <xf numFmtId="0" fontId="51" fillId="0" borderId="0">
      <alignment horizontal="left" vertical="top"/>
    </xf>
    <xf numFmtId="0" fontId="37" fillId="0" borderId="0">
      <alignment horizontal="left" vertical="top"/>
    </xf>
    <xf numFmtId="0" fontId="40" fillId="10" borderId="0">
      <alignment horizontal="right" vertical="top"/>
    </xf>
    <xf numFmtId="0" fontId="53" fillId="0" borderId="0">
      <alignment horizontal="left" vertical="top"/>
    </xf>
    <xf numFmtId="0" fontId="43" fillId="0" borderId="0">
      <alignment horizontal="left" vertical="top"/>
    </xf>
    <xf numFmtId="0" fontId="55" fillId="0" borderId="0">
      <alignment horizontal="center" vertical="center"/>
    </xf>
    <xf numFmtId="0" fontId="51" fillId="0" borderId="0">
      <alignment horizontal="left" vertical="top"/>
    </xf>
    <xf numFmtId="0" fontId="61" fillId="0" borderId="0">
      <alignment horizontal="right" vertical="top"/>
    </xf>
    <xf numFmtId="0" fontId="37" fillId="0" borderId="0">
      <alignment horizontal="right" vertical="top"/>
    </xf>
    <xf numFmtId="168" fontId="43" fillId="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righ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57" fillId="0" borderId="0">
      <alignment horizontal="left" vertical="top"/>
    </xf>
    <xf numFmtId="0" fontId="76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</cellStyleXfs>
  <cellXfs count="655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6" xfId="0" applyBorder="1"/>
    <xf numFmtId="0" fontId="0" fillId="0" borderId="20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0" borderId="24" xfId="0" applyBorder="1" applyAlignment="1"/>
    <xf numFmtId="0" fontId="0" fillId="0" borderId="25" xfId="0" applyBorder="1" applyAlignment="1"/>
    <xf numFmtId="0" fontId="0" fillId="0" borderId="42" xfId="0" applyBorder="1" applyAlignment="1"/>
    <xf numFmtId="0" fontId="0" fillId="0" borderId="37" xfId="0" applyBorder="1" applyAlignment="1"/>
    <xf numFmtId="0" fontId="0" fillId="0" borderId="38" xfId="0" applyBorder="1"/>
    <xf numFmtId="0" fontId="0" fillId="4" borderId="0" xfId="0" applyFill="1"/>
    <xf numFmtId="0" fontId="0" fillId="4" borderId="0" xfId="0" quotePrefix="1" applyFill="1"/>
    <xf numFmtId="0" fontId="6" fillId="0" borderId="0" xfId="0" applyFont="1" applyBorder="1" applyAlignment="1">
      <alignment horizontal="left" vertical="center"/>
    </xf>
    <xf numFmtId="17" fontId="9" fillId="0" borderId="0" xfId="0" applyNumberFormat="1" applyFont="1" applyBorder="1" applyAlignment="1">
      <alignment horizontal="left" vertical="top"/>
    </xf>
    <xf numFmtId="0" fontId="0" fillId="0" borderId="0" xfId="0" quotePrefix="1" applyFill="1"/>
    <xf numFmtId="0" fontId="22" fillId="3" borderId="0" xfId="0" quotePrefix="1" applyFont="1" applyFill="1"/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6" xfId="0" applyFont="1" applyBorder="1"/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/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15" xfId="0" applyFill="1" applyBorder="1"/>
    <xf numFmtId="0" fontId="0" fillId="4" borderId="27" xfId="0" applyFill="1" applyBorder="1" applyAlignment="1">
      <alignment horizontal="left" vertical="center"/>
    </xf>
    <xf numFmtId="0" fontId="0" fillId="4" borderId="10" xfId="0" applyFill="1" applyBorder="1"/>
    <xf numFmtId="0" fontId="0" fillId="4" borderId="24" xfId="0" applyFill="1" applyBorder="1" applyAlignment="1">
      <alignment horizontal="left" vertical="center"/>
    </xf>
    <xf numFmtId="0" fontId="0" fillId="4" borderId="25" xfId="0" applyFill="1" applyBorder="1"/>
    <xf numFmtId="0" fontId="0" fillId="0" borderId="20" xfId="0" applyBorder="1" applyAlignment="1">
      <alignment horizontal="left" vertical="center"/>
    </xf>
    <xf numFmtId="0" fontId="2" fillId="2" borderId="55" xfId="0" applyFont="1" applyFill="1" applyBorder="1" applyAlignment="1"/>
    <xf numFmtId="0" fontId="2" fillId="2" borderId="41" xfId="0" applyFont="1" applyFill="1" applyBorder="1" applyAlignment="1"/>
    <xf numFmtId="0" fontId="2" fillId="2" borderId="33" xfId="0" applyFont="1" applyFill="1" applyBorder="1" applyAlignment="1"/>
    <xf numFmtId="0" fontId="2" fillId="2" borderId="34" xfId="0" applyFont="1" applyFill="1" applyBorder="1" applyAlignment="1"/>
    <xf numFmtId="0" fontId="0" fillId="2" borderId="0" xfId="0" applyFill="1"/>
    <xf numFmtId="0" fontId="0" fillId="2" borderId="0" xfId="0" quotePrefix="1" applyFill="1"/>
    <xf numFmtId="0" fontId="0" fillId="0" borderId="0" xfId="0" applyFill="1"/>
    <xf numFmtId="0" fontId="13" fillId="0" borderId="57" xfId="0" applyFont="1" applyBorder="1" applyAlignment="1">
      <alignment horizontal="left" indent="1"/>
    </xf>
    <xf numFmtId="9" fontId="0" fillId="0" borderId="25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/>
    </xf>
    <xf numFmtId="9" fontId="4" fillId="0" borderId="17" xfId="0" applyNumberFormat="1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6" fillId="0" borderId="64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5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13" fillId="0" borderId="57" xfId="0" applyFont="1" applyFill="1" applyBorder="1" applyAlignment="1">
      <alignment horizontal="left" indent="1"/>
    </xf>
    <xf numFmtId="0" fontId="13" fillId="0" borderId="58" xfId="0" applyFont="1" applyFill="1" applyBorder="1" applyAlignment="1">
      <alignment horizontal="left" indent="1"/>
    </xf>
    <xf numFmtId="9" fontId="4" fillId="0" borderId="17" xfId="0" applyNumberFormat="1" applyFont="1" applyFill="1" applyBorder="1" applyAlignment="1">
      <alignment horizontal="center"/>
    </xf>
    <xf numFmtId="9" fontId="0" fillId="0" borderId="25" xfId="0" applyNumberFormat="1" applyFill="1" applyBorder="1" applyAlignment="1">
      <alignment horizontal="center"/>
    </xf>
    <xf numFmtId="166" fontId="0" fillId="0" borderId="26" xfId="0" applyNumberFormat="1" applyFill="1" applyBorder="1" applyAlignment="1">
      <alignment horizontal="center"/>
    </xf>
    <xf numFmtId="9" fontId="0" fillId="0" borderId="60" xfId="1" applyFont="1" applyFill="1" applyBorder="1" applyAlignment="1">
      <alignment horizontal="center" vertical="center"/>
    </xf>
    <xf numFmtId="1" fontId="0" fillId="0" borderId="60" xfId="3" applyNumberFormat="1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top"/>
    </xf>
    <xf numFmtId="0" fontId="3" fillId="0" borderId="0" xfId="0" applyFont="1" applyBorder="1"/>
    <xf numFmtId="0" fontId="2" fillId="6" borderId="55" xfId="0" applyFont="1" applyFill="1" applyBorder="1" applyAlignment="1"/>
    <xf numFmtId="0" fontId="2" fillId="6" borderId="41" xfId="0" applyFont="1" applyFill="1" applyBorder="1" applyAlignment="1"/>
    <xf numFmtId="0" fontId="2" fillId="6" borderId="33" xfId="0" applyFont="1" applyFill="1" applyBorder="1" applyAlignment="1"/>
    <xf numFmtId="0" fontId="2" fillId="6" borderId="34" xfId="0" applyFont="1" applyFill="1" applyBorder="1" applyAlignment="1"/>
    <xf numFmtId="0" fontId="20" fillId="0" borderId="0" xfId="0" applyFont="1" applyAlignment="1">
      <alignment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/>
    <xf numFmtId="0" fontId="0" fillId="0" borderId="0" xfId="0" quotePrefix="1"/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166" fontId="0" fillId="2" borderId="0" xfId="0" quotePrefix="1" applyNumberFormat="1" applyFill="1"/>
    <xf numFmtId="1" fontId="4" fillId="0" borderId="17" xfId="0" applyNumberFormat="1" applyFont="1" applyFill="1" applyBorder="1" applyAlignment="1">
      <alignment horizontal="center"/>
    </xf>
    <xf numFmtId="0" fontId="0" fillId="5" borderId="10" xfId="0" applyFill="1" applyBorder="1" applyAlignment="1">
      <alignment vertical="top"/>
    </xf>
    <xf numFmtId="0" fontId="0" fillId="5" borderId="10" xfId="0" applyFill="1" applyBorder="1" applyAlignment="1">
      <alignment horizontal="center" vertical="top"/>
    </xf>
    <xf numFmtId="0" fontId="0" fillId="3" borderId="10" xfId="0" applyFill="1" applyBorder="1"/>
    <xf numFmtId="0" fontId="4" fillId="5" borderId="10" xfId="0" applyFont="1" applyFill="1" applyBorder="1" applyAlignment="1">
      <alignment vertical="top"/>
    </xf>
    <xf numFmtId="0" fontId="4" fillId="3" borderId="10" xfId="0" applyFont="1" applyFill="1" applyBorder="1" applyAlignment="1">
      <alignment vertical="top"/>
    </xf>
    <xf numFmtId="9" fontId="3" fillId="0" borderId="15" xfId="0" applyNumberFormat="1" applyFont="1" applyBorder="1" applyAlignment="1">
      <alignment horizontal="left" vertical="top"/>
    </xf>
    <xf numFmtId="9" fontId="3" fillId="0" borderId="10" xfId="0" applyNumberFormat="1" applyFont="1" applyBorder="1" applyAlignment="1">
      <alignment horizontal="left" vertical="top"/>
    </xf>
    <xf numFmtId="16" fontId="3" fillId="0" borderId="10" xfId="0" applyNumberFormat="1" applyFont="1" applyBorder="1" applyAlignment="1">
      <alignment horizontal="left" vertical="top"/>
    </xf>
    <xf numFmtId="0" fontId="26" fillId="0" borderId="0" xfId="0" applyFont="1" applyBorder="1"/>
    <xf numFmtId="0" fontId="26" fillId="0" borderId="0" xfId="0" quotePrefix="1" applyFont="1" applyFill="1" applyBorder="1"/>
    <xf numFmtId="0" fontId="26" fillId="0" borderId="0" xfId="0" applyFont="1" applyFill="1" applyBorder="1"/>
    <xf numFmtId="0" fontId="27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17" fontId="29" fillId="0" borderId="0" xfId="0" applyNumberFormat="1" applyFont="1" applyFill="1" applyBorder="1" applyAlignment="1">
      <alignment horizontal="left" vertical="top"/>
    </xf>
    <xf numFmtId="0" fontId="27" fillId="0" borderId="0" xfId="0" applyFont="1" applyFill="1" applyBorder="1" applyAlignment="1">
      <alignment horizontal="left" vertical="top"/>
    </xf>
    <xf numFmtId="0" fontId="30" fillId="0" borderId="0" xfId="0" applyFont="1" applyFill="1" applyBorder="1" applyAlignment="1">
      <alignment horizontal="left" indent="1"/>
    </xf>
    <xf numFmtId="165" fontId="26" fillId="0" borderId="0" xfId="2" applyNumberFormat="1" applyFont="1" applyFill="1" applyBorder="1" applyAlignment="1">
      <alignment horizontal="center"/>
    </xf>
    <xf numFmtId="9" fontId="30" fillId="0" borderId="0" xfId="0" applyNumberFormat="1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/>
    </xf>
    <xf numFmtId="9" fontId="30" fillId="0" borderId="0" xfId="0" applyNumberFormat="1" applyFont="1" applyFill="1" applyBorder="1" applyAlignment="1">
      <alignment horizontal="left" indent="1"/>
    </xf>
    <xf numFmtId="0" fontId="26" fillId="0" borderId="0" xfId="1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 vertical="top"/>
    </xf>
    <xf numFmtId="0" fontId="3" fillId="0" borderId="29" xfId="0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left" vertical="top"/>
    </xf>
    <xf numFmtId="0" fontId="3" fillId="0" borderId="10" xfId="0" applyFont="1" applyBorder="1" applyAlignment="1">
      <alignment horizontal="left" vertical="top" wrapText="1"/>
    </xf>
    <xf numFmtId="0" fontId="23" fillId="0" borderId="10" xfId="0" applyFont="1" applyBorder="1" applyAlignment="1">
      <alignment horizontal="left" vertical="top"/>
    </xf>
    <xf numFmtId="0" fontId="0" fillId="0" borderId="54" xfId="0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32" fillId="0" borderId="0" xfId="0" applyFont="1"/>
    <xf numFmtId="0" fontId="32" fillId="0" borderId="0" xfId="0" quotePrefix="1" applyFont="1" applyFill="1"/>
    <xf numFmtId="0" fontId="32" fillId="0" borderId="0" xfId="0" quotePrefix="1" applyFont="1" applyFill="1" applyBorder="1"/>
    <xf numFmtId="0" fontId="32" fillId="0" borderId="0" xfId="0" applyFont="1" applyBorder="1"/>
    <xf numFmtId="0" fontId="32" fillId="0" borderId="0" xfId="0" applyFont="1" applyFill="1" applyBorder="1"/>
    <xf numFmtId="0" fontId="32" fillId="0" borderId="0" xfId="0" applyFont="1" applyFill="1"/>
    <xf numFmtId="0" fontId="24" fillId="0" borderId="0" xfId="0" applyFont="1" applyFill="1" applyBorder="1" applyAlignment="1">
      <alignment horizontal="center" vertical="center" wrapText="1"/>
    </xf>
    <xf numFmtId="165" fontId="32" fillId="0" borderId="0" xfId="2" applyNumberFormat="1" applyFont="1" applyFill="1" applyBorder="1" applyAlignment="1">
      <alignment horizontal="center"/>
    </xf>
    <xf numFmtId="165" fontId="24" fillId="0" borderId="0" xfId="0" applyNumberFormat="1" applyFont="1" applyFill="1" applyBorder="1" applyAlignment="1">
      <alignment horizontal="right"/>
    </xf>
    <xf numFmtId="9" fontId="23" fillId="0" borderId="10" xfId="0" applyNumberFormat="1" applyFont="1" applyBorder="1" applyAlignment="1">
      <alignment horizontal="left" vertical="top"/>
    </xf>
    <xf numFmtId="0" fontId="27" fillId="0" borderId="0" xfId="0" applyNumberFormat="1" applyFont="1" applyFill="1" applyBorder="1" applyAlignment="1">
      <alignment horizontal="left" vertical="top"/>
    </xf>
    <xf numFmtId="0" fontId="26" fillId="0" borderId="0" xfId="0" quotePrefix="1" applyNumberFormat="1" applyFont="1" applyFill="1" applyBorder="1"/>
    <xf numFmtId="0" fontId="26" fillId="0" borderId="0" xfId="0" applyFont="1" applyFill="1" applyBorder="1" applyAlignment="1">
      <alignment horizontal="center" vertical="center"/>
    </xf>
    <xf numFmtId="0" fontId="26" fillId="0" borderId="0" xfId="1" applyNumberFormat="1" applyFont="1" applyFill="1" applyBorder="1" applyAlignment="1">
      <alignment horizontal="center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left" indent="1"/>
    </xf>
    <xf numFmtId="0" fontId="26" fillId="0" borderId="0" xfId="0" applyNumberFormat="1" applyFont="1" applyFill="1" applyBorder="1" applyAlignment="1">
      <alignment horizontal="center"/>
    </xf>
    <xf numFmtId="0" fontId="30" fillId="0" borderId="0" xfId="0" applyNumberFormat="1" applyFont="1" applyFill="1" applyBorder="1" applyAlignment="1">
      <alignment horizontal="left" indent="1"/>
    </xf>
    <xf numFmtId="0" fontId="0" fillId="0" borderId="51" xfId="0" applyFill="1" applyBorder="1"/>
    <xf numFmtId="0" fontId="0" fillId="0" borderId="36" xfId="0" applyBorder="1"/>
    <xf numFmtId="0" fontId="33" fillId="0" borderId="27" xfId="0" applyFont="1" applyBorder="1" applyAlignment="1">
      <alignment horizontal="center" vertical="center"/>
    </xf>
    <xf numFmtId="2" fontId="33" fillId="0" borderId="15" xfId="0" applyNumberFormat="1" applyFont="1" applyBorder="1" applyAlignment="1">
      <alignment horizontal="left" vertical="top"/>
    </xf>
    <xf numFmtId="0" fontId="33" fillId="0" borderId="28" xfId="0" applyFont="1" applyBorder="1"/>
    <xf numFmtId="0" fontId="33" fillId="0" borderId="10" xfId="0" applyFont="1" applyBorder="1" applyAlignment="1">
      <alignment horizontal="left" vertical="top"/>
    </xf>
    <xf numFmtId="9" fontId="33" fillId="0" borderId="10" xfId="0" applyNumberFormat="1" applyFont="1" applyBorder="1" applyAlignment="1">
      <alignment horizontal="left" vertical="top"/>
    </xf>
    <xf numFmtId="0" fontId="33" fillId="0" borderId="29" xfId="0" applyFont="1" applyBorder="1" applyAlignment="1">
      <alignment horizontal="center" vertical="center"/>
    </xf>
    <xf numFmtId="1" fontId="0" fillId="0" borderId="11" xfId="1" applyNumberFormat="1" applyFont="1" applyBorder="1" applyAlignment="1">
      <alignment horizontal="center"/>
    </xf>
    <xf numFmtId="1" fontId="4" fillId="0" borderId="17" xfId="0" applyNumberFormat="1" applyFont="1" applyBorder="1" applyAlignment="1">
      <alignment horizontal="center"/>
    </xf>
    <xf numFmtId="2" fontId="0" fillId="0" borderId="60" xfId="3" applyNumberFormat="1" applyFont="1" applyFill="1" applyBorder="1" applyAlignment="1">
      <alignment horizontal="center"/>
    </xf>
    <xf numFmtId="2" fontId="4" fillId="0" borderId="17" xfId="0" applyNumberFormat="1" applyFont="1" applyFill="1" applyBorder="1" applyAlignment="1">
      <alignment horizontal="center"/>
    </xf>
    <xf numFmtId="2" fontId="4" fillId="0" borderId="23" xfId="0" applyNumberFormat="1" applyFont="1" applyBorder="1" applyAlignment="1">
      <alignment horizontal="center"/>
    </xf>
    <xf numFmtId="43" fontId="0" fillId="0" borderId="56" xfId="2" applyNumberFormat="1" applyFont="1" applyBorder="1" applyAlignment="1">
      <alignment horizontal="center"/>
    </xf>
    <xf numFmtId="43" fontId="4" fillId="0" borderId="36" xfId="0" applyNumberFormat="1" applyFont="1" applyBorder="1" applyAlignment="1">
      <alignment horizontal="right"/>
    </xf>
    <xf numFmtId="43" fontId="4" fillId="0" borderId="23" xfId="0" applyNumberFormat="1" applyFont="1" applyBorder="1" applyAlignment="1">
      <alignment horizontal="center"/>
    </xf>
    <xf numFmtId="0" fontId="34" fillId="0" borderId="0" xfId="5">
      <alignment vertical="center"/>
    </xf>
    <xf numFmtId="0" fontId="36" fillId="8" borderId="10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/>
    </xf>
    <xf numFmtId="9" fontId="3" fillId="0" borderId="15" xfId="0" applyNumberFormat="1" applyFont="1" applyFill="1" applyBorder="1" applyAlignment="1">
      <alignment horizontal="left" vertical="top"/>
    </xf>
    <xf numFmtId="0" fontId="3" fillId="0" borderId="30" xfId="0" applyFont="1" applyFill="1" applyBorder="1"/>
    <xf numFmtId="0" fontId="3" fillId="0" borderId="27" xfId="0" applyFont="1" applyFill="1" applyBorder="1" applyAlignment="1">
      <alignment horizontal="center" vertical="center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0" fillId="0" borderId="0" xfId="0" applyNumberFormat="1"/>
    <xf numFmtId="0" fontId="3" fillId="2" borderId="0" xfId="0" quotePrefix="1" applyFont="1" applyFill="1"/>
    <xf numFmtId="0" fontId="0" fillId="2" borderId="0" xfId="0" quotePrefix="1" applyFont="1" applyFill="1"/>
    <xf numFmtId="0" fontId="13" fillId="0" borderId="59" xfId="0" applyFont="1" applyFill="1" applyBorder="1" applyAlignment="1">
      <alignment horizontal="left" indent="1"/>
    </xf>
    <xf numFmtId="0" fontId="4" fillId="0" borderId="50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 wrapText="1"/>
    </xf>
    <xf numFmtId="0" fontId="4" fillId="0" borderId="32" xfId="0" applyFont="1" applyFill="1" applyBorder="1" applyAlignment="1">
      <alignment horizontal="center" vertical="center" wrapText="1"/>
    </xf>
    <xf numFmtId="1" fontId="0" fillId="0" borderId="11" xfId="1" applyNumberFormat="1" applyFont="1" applyFill="1" applyBorder="1" applyAlignment="1">
      <alignment horizontal="center"/>
    </xf>
    <xf numFmtId="43" fontId="0" fillId="0" borderId="56" xfId="2" applyNumberFormat="1" applyFont="1" applyFill="1" applyBorder="1" applyAlignment="1">
      <alignment horizontal="center"/>
    </xf>
    <xf numFmtId="0" fontId="18" fillId="0" borderId="0" xfId="0" applyFont="1"/>
    <xf numFmtId="0" fontId="18" fillId="0" borderId="0" xfId="0" applyNumberFormat="1" applyFont="1"/>
    <xf numFmtId="168" fontId="74" fillId="13" borderId="85" xfId="2" applyNumberFormat="1" applyFont="1" applyFill="1" applyBorder="1" applyAlignment="1">
      <alignment horizontal="center" vertical="center"/>
    </xf>
    <xf numFmtId="0" fontId="74" fillId="5" borderId="85" xfId="0" applyFont="1" applyFill="1" applyBorder="1" applyAlignment="1">
      <alignment horizontal="center" vertical="center"/>
    </xf>
    <xf numFmtId="168" fontId="74" fillId="14" borderId="85" xfId="2" applyNumberFormat="1" applyFont="1" applyFill="1" applyBorder="1" applyAlignment="1">
      <alignment horizontal="center" vertical="center"/>
    </xf>
    <xf numFmtId="0" fontId="74" fillId="14" borderId="86" xfId="2" applyNumberFormat="1" applyFont="1" applyFill="1" applyBorder="1" applyAlignment="1">
      <alignment horizontal="center" vertical="center"/>
    </xf>
    <xf numFmtId="0" fontId="74" fillId="14" borderId="85" xfId="2" applyNumberFormat="1" applyFont="1" applyFill="1" applyBorder="1" applyAlignment="1">
      <alignment horizontal="center" vertical="center"/>
    </xf>
    <xf numFmtId="0" fontId="74" fillId="13" borderId="85" xfId="0" applyFont="1" applyFill="1" applyBorder="1" applyAlignment="1">
      <alignment horizontal="center" vertical="center"/>
    </xf>
    <xf numFmtId="0" fontId="74" fillId="13" borderId="80" xfId="2" applyNumberFormat="1" applyFont="1" applyFill="1" applyBorder="1" applyAlignment="1">
      <alignment horizontal="center" vertical="center"/>
    </xf>
    <xf numFmtId="0" fontId="74" fillId="13" borderId="85" xfId="2" applyNumberFormat="1" applyFont="1" applyFill="1" applyBorder="1" applyAlignment="1">
      <alignment horizontal="center" vertical="center"/>
    </xf>
    <xf numFmtId="0" fontId="74" fillId="14" borderId="85" xfId="0" applyFont="1" applyFill="1" applyBorder="1" applyAlignment="1">
      <alignment horizontal="center" vertical="center"/>
    </xf>
    <xf numFmtId="0" fontId="74" fillId="14" borderId="80" xfId="2" applyNumberFormat="1" applyFont="1" applyFill="1" applyBorder="1" applyAlignment="1">
      <alignment horizontal="center" vertical="center"/>
    </xf>
    <xf numFmtId="0" fontId="74" fillId="13" borderId="85" xfId="3" applyNumberFormat="1" applyFont="1" applyFill="1" applyBorder="1" applyAlignment="1">
      <alignment horizontal="center" vertical="center"/>
    </xf>
    <xf numFmtId="0" fontId="74" fillId="14" borderId="85" xfId="3" applyNumberFormat="1" applyFont="1" applyFill="1" applyBorder="1" applyAlignment="1">
      <alignment horizontal="center" vertical="center"/>
    </xf>
    <xf numFmtId="0" fontId="75" fillId="7" borderId="85" xfId="0" applyFont="1" applyFill="1" applyBorder="1" applyAlignment="1">
      <alignment horizontal="center" vertical="center"/>
    </xf>
    <xf numFmtId="168" fontId="75" fillId="7" borderId="85" xfId="2" applyNumberFormat="1" applyFont="1" applyFill="1" applyBorder="1" applyAlignment="1">
      <alignment horizontal="center" vertical="center"/>
    </xf>
    <xf numFmtId="0" fontId="75" fillId="7" borderId="84" xfId="2" applyNumberFormat="1" applyFont="1" applyFill="1" applyBorder="1" applyAlignment="1">
      <alignment horizontal="center" vertical="center"/>
    </xf>
    <xf numFmtId="164" fontId="75" fillId="7" borderId="85" xfId="3" applyFont="1" applyFill="1" applyBorder="1" applyAlignment="1">
      <alignment horizontal="center" vertical="center"/>
    </xf>
    <xf numFmtId="0" fontId="24" fillId="0" borderId="0" xfId="5" applyFont="1">
      <alignment vertical="center"/>
    </xf>
    <xf numFmtId="0" fontId="34" fillId="0" borderId="0" xfId="5" applyAlignment="1">
      <alignment horizontal="center" vertical="center"/>
    </xf>
    <xf numFmtId="0" fontId="4" fillId="3" borderId="87" xfId="0" applyFont="1" applyFill="1" applyBorder="1" applyAlignment="1">
      <alignment horizontal="center" vertical="center"/>
    </xf>
    <xf numFmtId="164" fontId="24" fillId="3" borderId="87" xfId="3" applyFont="1" applyFill="1" applyBorder="1" applyAlignment="1">
      <alignment horizontal="center" vertical="center"/>
    </xf>
    <xf numFmtId="0" fontId="24" fillId="3" borderId="87" xfId="5" applyNumberFormat="1" applyFont="1" applyFill="1" applyBorder="1" applyAlignment="1">
      <alignment horizontal="center" vertical="center"/>
    </xf>
    <xf numFmtId="0" fontId="24" fillId="3" borderId="87" xfId="5" applyFont="1" applyFill="1" applyBorder="1" applyAlignment="1">
      <alignment horizontal="center" vertical="center"/>
    </xf>
    <xf numFmtId="0" fontId="34" fillId="0" borderId="0" xfId="5" applyNumberFormat="1" applyAlignment="1">
      <alignment horizontal="center" vertical="center"/>
    </xf>
    <xf numFmtId="0" fontId="32" fillId="0" borderId="0" xfId="5" applyFont="1">
      <alignment vertical="center"/>
    </xf>
    <xf numFmtId="16" fontId="32" fillId="0" borderId="0" xfId="5" applyNumberFormat="1" applyFont="1">
      <alignment vertical="center"/>
    </xf>
    <xf numFmtId="0" fontId="32" fillId="0" borderId="0" xfId="5" applyNumberFormat="1" applyFont="1">
      <alignment vertical="center"/>
    </xf>
    <xf numFmtId="168" fontId="32" fillId="0" borderId="0" xfId="5" applyNumberFormat="1" applyFont="1">
      <alignment vertical="center"/>
    </xf>
    <xf numFmtId="0" fontId="81" fillId="0" borderId="0" xfId="0" applyFont="1"/>
    <xf numFmtId="0" fontId="74" fillId="13" borderId="83" xfId="0" applyFont="1" applyFill="1" applyBorder="1" applyAlignment="1">
      <alignment horizontal="center" vertical="center" wrapText="1"/>
    </xf>
    <xf numFmtId="0" fontId="74" fillId="13" borderId="85" xfId="0" applyFont="1" applyFill="1" applyBorder="1" applyAlignment="1">
      <alignment horizontal="center" vertical="center" wrapText="1"/>
    </xf>
    <xf numFmtId="0" fontId="74" fillId="13" borderId="85" xfId="0" applyNumberFormat="1" applyFont="1" applyFill="1" applyBorder="1" applyAlignment="1">
      <alignment horizontal="center" vertical="center" wrapText="1"/>
    </xf>
    <xf numFmtId="0" fontId="83" fillId="11" borderId="91" xfId="0" applyFont="1" applyFill="1" applyBorder="1" applyAlignment="1">
      <alignment horizontal="center" vertical="center"/>
    </xf>
    <xf numFmtId="0" fontId="83" fillId="11" borderId="91" xfId="0" applyFont="1" applyFill="1" applyBorder="1" applyAlignment="1">
      <alignment horizontal="center" vertical="center" wrapText="1"/>
    </xf>
    <xf numFmtId="0" fontId="84" fillId="0" borderId="0" xfId="0" applyFont="1" applyAlignment="1">
      <alignment horizontal="center"/>
    </xf>
    <xf numFmtId="0" fontId="80" fillId="0" borderId="85" xfId="0" applyFont="1" applyFill="1" applyBorder="1" applyAlignment="1">
      <alignment horizontal="center" vertical="center"/>
    </xf>
    <xf numFmtId="0" fontId="80" fillId="0" borderId="85" xfId="0" applyFont="1" applyFill="1" applyBorder="1" applyAlignment="1">
      <alignment vertical="center"/>
    </xf>
    <xf numFmtId="170" fontId="80" fillId="0" borderId="85" xfId="0" applyNumberFormat="1" applyFont="1" applyFill="1" applyBorder="1" applyAlignment="1">
      <alignment horizontal="center" vertical="center"/>
    </xf>
    <xf numFmtId="0" fontId="80" fillId="0" borderId="85" xfId="2" applyNumberFormat="1" applyFont="1" applyFill="1" applyBorder="1" applyAlignment="1">
      <alignment horizontal="center" vertical="center"/>
    </xf>
    <xf numFmtId="168" fontId="80" fillId="0" borderId="85" xfId="2" applyNumberFormat="1" applyFont="1" applyFill="1" applyBorder="1" applyAlignment="1">
      <alignment horizontal="left" vertical="center" indent="1"/>
    </xf>
    <xf numFmtId="0" fontId="80" fillId="0" borderId="85" xfId="0" applyNumberFormat="1" applyFont="1" applyFill="1" applyBorder="1" applyAlignment="1">
      <alignment horizontal="center" vertical="center"/>
    </xf>
    <xf numFmtId="168" fontId="80" fillId="0" borderId="85" xfId="2" applyNumberFormat="1" applyFont="1" applyFill="1" applyBorder="1" applyAlignment="1">
      <alignment horizontal="left" vertical="center"/>
    </xf>
    <xf numFmtId="0" fontId="74" fillId="0" borderId="85" xfId="0" applyFont="1" applyFill="1" applyBorder="1" applyAlignment="1">
      <alignment horizontal="center" vertical="center"/>
    </xf>
    <xf numFmtId="0" fontId="74" fillId="0" borderId="85" xfId="0" applyFont="1" applyFill="1" applyBorder="1" applyAlignment="1">
      <alignment vertical="center"/>
    </xf>
    <xf numFmtId="168" fontId="85" fillId="0" borderId="85" xfId="0" applyNumberFormat="1" applyFont="1" applyFill="1" applyBorder="1" applyAlignment="1">
      <alignment horizontal="center" vertical="center"/>
    </xf>
    <xf numFmtId="0" fontId="85" fillId="0" borderId="85" xfId="2" applyNumberFormat="1" applyFont="1" applyFill="1" applyBorder="1" applyAlignment="1">
      <alignment horizontal="center" vertical="center"/>
    </xf>
    <xf numFmtId="168" fontId="80" fillId="0" borderId="85" xfId="0" applyNumberFormat="1" applyFont="1" applyFill="1" applyBorder="1" applyAlignment="1">
      <alignment horizontal="center" vertical="center"/>
    </xf>
    <xf numFmtId="0" fontId="74" fillId="0" borderId="85" xfId="0" applyFont="1" applyFill="1" applyBorder="1" applyAlignment="1">
      <alignment horizontal="left" vertical="center"/>
    </xf>
    <xf numFmtId="168" fontId="86" fillId="0" borderId="85" xfId="2" applyNumberFormat="1" applyFont="1" applyFill="1" applyBorder="1" applyAlignment="1">
      <alignment horizontal="left" vertical="center" indent="1"/>
    </xf>
    <xf numFmtId="168" fontId="86" fillId="0" borderId="85" xfId="2" applyNumberFormat="1" applyFont="1" applyFill="1" applyBorder="1" applyAlignment="1">
      <alignment horizontal="left" vertical="center"/>
    </xf>
    <xf numFmtId="168" fontId="86" fillId="0" borderId="85" xfId="0" applyNumberFormat="1" applyFont="1" applyFill="1" applyBorder="1" applyAlignment="1">
      <alignment horizontal="center" vertical="center"/>
    </xf>
    <xf numFmtId="168" fontId="86" fillId="0" borderId="85" xfId="2" applyNumberFormat="1" applyFont="1" applyFill="1" applyBorder="1" applyAlignment="1">
      <alignment horizontal="center" vertical="center"/>
    </xf>
    <xf numFmtId="0" fontId="86" fillId="0" borderId="85" xfId="2" applyNumberFormat="1" applyFont="1" applyFill="1" applyBorder="1" applyAlignment="1">
      <alignment horizontal="center" vertical="center"/>
    </xf>
    <xf numFmtId="0" fontId="74" fillId="0" borderId="85" xfId="0" applyNumberFormat="1" applyFont="1" applyFill="1" applyBorder="1" applyAlignment="1">
      <alignment horizontal="center" vertical="center"/>
    </xf>
    <xf numFmtId="0" fontId="74" fillId="0" borderId="79" xfId="0" applyFont="1" applyFill="1" applyBorder="1" applyAlignment="1">
      <alignment horizontal="center" vertical="center"/>
    </xf>
    <xf numFmtId="0" fontId="74" fillId="0" borderId="79" xfId="0" applyFont="1" applyFill="1" applyBorder="1" applyAlignment="1">
      <alignment horizontal="left" vertical="center"/>
    </xf>
    <xf numFmtId="168" fontId="86" fillId="0" borderId="79" xfId="0" applyNumberFormat="1" applyFont="1" applyFill="1" applyBorder="1" applyAlignment="1">
      <alignment horizontal="center" vertical="center"/>
    </xf>
    <xf numFmtId="168" fontId="86" fillId="0" borderId="79" xfId="2" applyNumberFormat="1" applyFont="1" applyFill="1" applyBorder="1" applyAlignment="1">
      <alignment horizontal="center" vertical="center"/>
    </xf>
    <xf numFmtId="0" fontId="86" fillId="0" borderId="79" xfId="2" applyNumberFormat="1" applyFont="1" applyFill="1" applyBorder="1" applyAlignment="1">
      <alignment horizontal="center" vertical="center"/>
    </xf>
    <xf numFmtId="168" fontId="86" fillId="0" borderId="79" xfId="2" applyNumberFormat="1" applyFont="1" applyFill="1" applyBorder="1" applyAlignment="1">
      <alignment horizontal="left" vertical="center"/>
    </xf>
    <xf numFmtId="168" fontId="75" fillId="0" borderId="85" xfId="0" applyNumberFormat="1" applyFont="1" applyFill="1" applyBorder="1" applyAlignment="1">
      <alignment horizontal="center" vertical="center"/>
    </xf>
    <xf numFmtId="43" fontId="75" fillId="0" borderId="85" xfId="2" applyFont="1" applyFill="1" applyBorder="1" applyAlignment="1">
      <alignment horizontal="left" vertical="center" indent="1"/>
    </xf>
    <xf numFmtId="1" fontId="75" fillId="0" borderId="85" xfId="2" applyNumberFormat="1" applyFont="1" applyFill="1" applyBorder="1" applyAlignment="1">
      <alignment horizontal="center" vertical="center"/>
    </xf>
    <xf numFmtId="168" fontId="0" fillId="0" borderId="0" xfId="0" applyNumberFormat="1" applyFill="1"/>
    <xf numFmtId="168" fontId="0" fillId="0" borderId="0" xfId="0" applyNumberFormat="1"/>
    <xf numFmtId="0" fontId="80" fillId="0" borderId="85" xfId="0" applyFont="1" applyFill="1" applyBorder="1" applyAlignment="1">
      <alignment horizontal="left" vertical="center"/>
    </xf>
    <xf numFmtId="0" fontId="80" fillId="0" borderId="85" xfId="2" applyNumberFormat="1" applyFont="1" applyFill="1" applyBorder="1" applyAlignment="1">
      <alignment horizontal="left" vertical="center" indent="1"/>
    </xf>
    <xf numFmtId="0" fontId="80" fillId="0" borderId="85" xfId="2" applyNumberFormat="1" applyFont="1" applyFill="1" applyBorder="1" applyAlignment="1">
      <alignment horizontal="left" vertical="center"/>
    </xf>
    <xf numFmtId="0" fontId="11" fillId="0" borderId="0" xfId="0" applyFont="1"/>
    <xf numFmtId="0" fontId="87" fillId="0" borderId="0" xfId="5" applyFont="1">
      <alignment vertical="center"/>
    </xf>
    <xf numFmtId="0" fontId="81" fillId="0" borderId="0" xfId="0" applyFont="1" applyAlignment="1">
      <alignment vertical="center"/>
    </xf>
    <xf numFmtId="0" fontId="81" fillId="0" borderId="87" xfId="0" applyNumberFormat="1" applyFont="1" applyBorder="1" applyAlignment="1">
      <alignment horizontal="center" vertical="center"/>
    </xf>
    <xf numFmtId="0" fontId="81" fillId="0" borderId="87" xfId="0" applyFont="1" applyBorder="1" applyAlignment="1">
      <alignment horizontal="center" vertical="center"/>
    </xf>
    <xf numFmtId="0" fontId="87" fillId="0" borderId="0" xfId="0" applyFont="1" applyAlignment="1">
      <alignment vertical="center"/>
    </xf>
    <xf numFmtId="0" fontId="87" fillId="0" borderId="87" xfId="0" applyFont="1" applyBorder="1" applyAlignment="1">
      <alignment horizontal="center" vertical="center"/>
    </xf>
    <xf numFmtId="0" fontId="81" fillId="0" borderId="0" xfId="0" applyFont="1" applyFill="1"/>
    <xf numFmtId="1" fontId="81" fillId="0" borderId="87" xfId="0" applyNumberFormat="1" applyFont="1" applyBorder="1" applyAlignment="1">
      <alignment horizontal="center" vertical="center"/>
    </xf>
    <xf numFmtId="0" fontId="87" fillId="0" borderId="87" xfId="5" applyFont="1" applyBorder="1">
      <alignment vertical="center"/>
    </xf>
    <xf numFmtId="0" fontId="87" fillId="0" borderId="87" xfId="5" applyFont="1" applyBorder="1" applyAlignment="1">
      <alignment horizontal="center" vertical="center"/>
    </xf>
    <xf numFmtId="0" fontId="81" fillId="0" borderId="87" xfId="0" applyFont="1" applyBorder="1" applyAlignment="1">
      <alignment vertical="center"/>
    </xf>
    <xf numFmtId="167" fontId="87" fillId="0" borderId="87" xfId="0" applyNumberFormat="1" applyFont="1" applyBorder="1" applyAlignment="1">
      <alignment vertical="center"/>
    </xf>
    <xf numFmtId="0" fontId="81" fillId="0" borderId="87" xfId="0" applyFont="1" applyFill="1" applyBorder="1"/>
    <xf numFmtId="14" fontId="81" fillId="0" borderId="87" xfId="0" applyNumberFormat="1" applyFont="1" applyBorder="1" applyAlignment="1">
      <alignment horizontal="left" vertical="center"/>
    </xf>
    <xf numFmtId="0" fontId="34" fillId="0" borderId="0" xfId="5" applyAlignment="1">
      <alignment horizontal="left" vertical="center"/>
    </xf>
    <xf numFmtId="0" fontId="24" fillId="15" borderId="87" xfId="5" applyFont="1" applyFill="1" applyBorder="1">
      <alignment vertical="center"/>
    </xf>
    <xf numFmtId="0" fontId="24" fillId="15" borderId="87" xfId="5" applyNumberFormat="1" applyFont="1" applyFill="1" applyBorder="1">
      <alignment vertical="center"/>
    </xf>
    <xf numFmtId="168" fontId="87" fillId="0" borderId="87" xfId="5" applyNumberFormat="1" applyFont="1" applyBorder="1">
      <alignment vertical="center"/>
    </xf>
    <xf numFmtId="168" fontId="87" fillId="0" borderId="87" xfId="5" applyNumberFormat="1" applyFont="1" applyBorder="1" applyAlignment="1">
      <alignment horizontal="center" vertical="center"/>
    </xf>
    <xf numFmtId="0" fontId="81" fillId="0" borderId="87" xfId="9" applyNumberFormat="1" applyFont="1" applyBorder="1" applyAlignment="1">
      <alignment horizontal="center" vertical="center"/>
    </xf>
    <xf numFmtId="0" fontId="81" fillId="0" borderId="87" xfId="0" quotePrefix="1" applyFont="1" applyBorder="1" applyAlignment="1">
      <alignment vertical="center"/>
    </xf>
    <xf numFmtId="0" fontId="34" fillId="0" borderId="87" xfId="5" applyBorder="1" applyAlignment="1">
      <alignment horizontal="left" vertical="center"/>
    </xf>
    <xf numFmtId="0" fontId="34" fillId="0" borderId="87" xfId="5" applyBorder="1">
      <alignment vertical="center"/>
    </xf>
    <xf numFmtId="0" fontId="34" fillId="0" borderId="87" xfId="5" applyBorder="1" applyAlignment="1">
      <alignment horizontal="center" vertical="center"/>
    </xf>
    <xf numFmtId="0" fontId="88" fillId="0" borderId="87" xfId="0" applyNumberFormat="1" applyFont="1" applyFill="1" applyBorder="1" applyAlignment="1">
      <alignment vertical="center"/>
    </xf>
    <xf numFmtId="14" fontId="89" fillId="18" borderId="87" xfId="0" applyNumberFormat="1" applyFont="1" applyFill="1" applyBorder="1" applyAlignment="1">
      <alignment horizontal="left" vertical="center" wrapText="1"/>
    </xf>
    <xf numFmtId="0" fontId="89" fillId="18" borderId="87" xfId="0" applyFont="1" applyFill="1" applyBorder="1" applyAlignment="1">
      <alignment horizontal="center" vertical="center" wrapText="1"/>
    </xf>
    <xf numFmtId="0" fontId="90" fillId="0" borderId="0" xfId="5" applyFont="1">
      <alignment vertical="center"/>
    </xf>
    <xf numFmtId="0" fontId="89" fillId="3" borderId="87" xfId="0" applyFont="1" applyFill="1" applyBorder="1" applyAlignment="1">
      <alignment horizontal="center" vertical="center" wrapText="1"/>
    </xf>
    <xf numFmtId="0" fontId="89" fillId="3" borderId="87" xfId="0" applyNumberFormat="1" applyFont="1" applyFill="1" applyBorder="1" applyAlignment="1">
      <alignment horizontal="center" vertical="center" wrapText="1"/>
    </xf>
    <xf numFmtId="0" fontId="80" fillId="15" borderId="87" xfId="5" applyFont="1" applyFill="1" applyBorder="1" applyAlignment="1">
      <alignment horizontal="left" vertical="center"/>
    </xf>
    <xf numFmtId="0" fontId="80" fillId="15" borderId="87" xfId="5" applyFont="1" applyFill="1" applyBorder="1">
      <alignment vertical="center"/>
    </xf>
    <xf numFmtId="0" fontId="80" fillId="15" borderId="87" xfId="5" applyFont="1" applyFill="1" applyBorder="1" applyAlignment="1">
      <alignment horizontal="center" vertical="center"/>
    </xf>
    <xf numFmtId="0" fontId="80" fillId="0" borderId="0" xfId="5" applyFont="1">
      <alignment vertical="center"/>
    </xf>
    <xf numFmtId="0" fontId="35" fillId="0" borderId="0" xfId="5" applyFont="1">
      <alignment vertical="center"/>
    </xf>
    <xf numFmtId="164" fontId="80" fillId="15" borderId="87" xfId="3" applyFont="1" applyFill="1" applyBorder="1" applyAlignment="1">
      <alignment vertical="center"/>
    </xf>
    <xf numFmtId="0" fontId="91" fillId="0" borderId="0" xfId="0" applyFont="1" applyFill="1" applyAlignment="1">
      <alignment vertical="center"/>
    </xf>
    <xf numFmtId="0" fontId="91" fillId="0" borderId="0" xfId="0" quotePrefix="1" applyFont="1" applyFill="1" applyAlignment="1">
      <alignment vertical="center"/>
    </xf>
    <xf numFmtId="168" fontId="91" fillId="0" borderId="0" xfId="0" applyNumberFormat="1" applyFont="1" applyFill="1" applyAlignment="1">
      <alignment horizontal="center" vertical="center"/>
    </xf>
    <xf numFmtId="0" fontId="93" fillId="0" borderId="10" xfId="0" applyFont="1" applyFill="1" applyBorder="1" applyAlignment="1">
      <alignment vertical="center"/>
    </xf>
    <xf numFmtId="168" fontId="36" fillId="8" borderId="1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8" fontId="93" fillId="0" borderId="0" xfId="0" applyNumberFormat="1" applyFont="1"/>
    <xf numFmtId="168" fontId="94" fillId="0" borderId="10" xfId="6" applyNumberFormat="1" applyFont="1" applyFill="1" applyBorder="1" applyAlignment="1">
      <alignment horizontal="center" vertical="center"/>
    </xf>
    <xf numFmtId="168" fontId="95" fillId="0" borderId="10" xfId="6" applyNumberFormat="1" applyFont="1" applyFill="1" applyBorder="1" applyAlignment="1">
      <alignment horizontal="center" vertical="center"/>
    </xf>
    <xf numFmtId="168" fontId="93" fillId="0" borderId="10" xfId="6" applyNumberFormat="1" applyFont="1" applyFill="1" applyBorder="1" applyAlignment="1">
      <alignment horizontal="center" vertical="center"/>
    </xf>
    <xf numFmtId="0" fontId="94" fillId="0" borderId="10" xfId="7" quotePrefix="1" applyFont="1" applyFill="1" applyBorder="1" applyAlignment="1">
      <alignment horizontal="center" vertical="center" wrapText="1"/>
    </xf>
    <xf numFmtId="0" fontId="95" fillId="0" borderId="10" xfId="7" quotePrefix="1" applyFont="1" applyFill="1" applyBorder="1" applyAlignment="1">
      <alignment horizontal="center" vertical="center" wrapText="1"/>
    </xf>
    <xf numFmtId="0" fontId="93" fillId="0" borderId="10" xfId="7" quotePrefix="1" applyFont="1" applyFill="1" applyBorder="1" applyAlignment="1">
      <alignment horizontal="center" vertical="center" wrapText="1"/>
    </xf>
    <xf numFmtId="168" fontId="94" fillId="0" borderId="10" xfId="0" applyNumberFormat="1" applyFont="1" applyBorder="1" applyAlignment="1">
      <alignment horizontal="center" vertical="center"/>
    </xf>
    <xf numFmtId="168" fontId="95" fillId="0" borderId="10" xfId="0" applyNumberFormat="1" applyFont="1" applyBorder="1" applyAlignment="1">
      <alignment horizontal="center" vertical="center"/>
    </xf>
    <xf numFmtId="168" fontId="93" fillId="0" borderId="10" xfId="0" applyNumberFormat="1" applyFont="1" applyBorder="1" applyAlignment="1">
      <alignment horizontal="center" vertical="center"/>
    </xf>
    <xf numFmtId="0" fontId="94" fillId="0" borderId="10" xfId="0" applyFont="1" applyFill="1" applyBorder="1" applyAlignment="1">
      <alignment horizontal="left" vertical="center"/>
    </xf>
    <xf numFmtId="0" fontId="95" fillId="0" borderId="10" xfId="0" applyFont="1" applyFill="1" applyBorder="1" applyAlignment="1">
      <alignment horizontal="left" vertical="center"/>
    </xf>
    <xf numFmtId="0" fontId="93" fillId="0" borderId="10" xfId="0" applyFont="1" applyFill="1" applyBorder="1" applyAlignment="1">
      <alignment horizontal="left" vertical="center"/>
    </xf>
    <xf numFmtId="0" fontId="94" fillId="0" borderId="10" xfId="0" applyFont="1" applyBorder="1" applyAlignment="1">
      <alignment vertical="center"/>
    </xf>
    <xf numFmtId="0" fontId="95" fillId="0" borderId="10" xfId="0" applyFont="1" applyBorder="1" applyAlignment="1">
      <alignment vertical="center"/>
    </xf>
    <xf numFmtId="0" fontId="93" fillId="0" borderId="10" xfId="0" applyFont="1" applyBorder="1" applyAlignment="1">
      <alignment vertical="center"/>
    </xf>
    <xf numFmtId="0" fontId="94" fillId="0" borderId="10" xfId="0" applyFont="1" applyBorder="1" applyAlignment="1">
      <alignment horizontal="left" vertical="center"/>
    </xf>
    <xf numFmtId="0" fontId="95" fillId="0" borderId="10" xfId="0" applyFont="1" applyBorder="1" applyAlignment="1">
      <alignment horizontal="left" vertical="center"/>
    </xf>
    <xf numFmtId="0" fontId="93" fillId="0" borderId="10" xfId="0" applyFont="1" applyBorder="1" applyAlignment="1">
      <alignment horizontal="left" vertical="center"/>
    </xf>
    <xf numFmtId="0" fontId="32" fillId="0" borderId="0" xfId="0" applyFont="1" applyAlignment="1">
      <alignment vertical="center"/>
    </xf>
    <xf numFmtId="0" fontId="93" fillId="0" borderId="10" xfId="0" applyFont="1" applyBorder="1" applyAlignment="1">
      <alignment horizontal="center" vertical="center"/>
    </xf>
    <xf numFmtId="0" fontId="93" fillId="0" borderId="10" xfId="0" applyNumberFormat="1" applyFont="1" applyBorder="1" applyAlignment="1">
      <alignment horizontal="center" vertical="center"/>
    </xf>
    <xf numFmtId="0" fontId="33" fillId="0" borderId="15" xfId="0" applyFont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0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0" fontId="4" fillId="0" borderId="6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horizontal="center" vertical="center" wrapText="1"/>
    </xf>
    <xf numFmtId="0" fontId="5" fillId="7" borderId="58" xfId="0" applyFont="1" applyFill="1" applyBorder="1" applyAlignment="1">
      <alignment horizontal="center" vertical="center" wrapText="1"/>
    </xf>
    <xf numFmtId="0" fontId="5" fillId="7" borderId="63" xfId="0" applyFont="1" applyFill="1" applyBorder="1" applyAlignment="1">
      <alignment horizontal="center" vertical="center" wrapText="1"/>
    </xf>
    <xf numFmtId="0" fontId="4" fillId="0" borderId="76" xfId="0" quotePrefix="1" applyFont="1" applyBorder="1" applyAlignment="1">
      <alignment horizontal="center" vertical="center"/>
    </xf>
    <xf numFmtId="0" fontId="4" fillId="0" borderId="71" xfId="0" quotePrefix="1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28" xfId="0" applyNumberFormat="1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17" fontId="9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28" xfId="0" applyFont="1" applyBorder="1" applyAlignment="1">
      <alignment horizontal="left" vertical="top"/>
    </xf>
    <xf numFmtId="17" fontId="9" fillId="0" borderId="25" xfId="0" applyNumberFormat="1" applyFont="1" applyBorder="1" applyAlignment="1">
      <alignment horizontal="left" vertical="top"/>
    </xf>
    <xf numFmtId="17" fontId="9" fillId="0" borderId="26" xfId="0" applyNumberFormat="1" applyFont="1" applyBorder="1" applyAlignment="1">
      <alignment horizontal="left" vertical="top"/>
    </xf>
    <xf numFmtId="0" fontId="24" fillId="5" borderId="22" xfId="0" applyFont="1" applyFill="1" applyBorder="1" applyAlignment="1">
      <alignment horizontal="center"/>
    </xf>
    <xf numFmtId="0" fontId="24" fillId="5" borderId="23" xfId="0" applyFont="1" applyFill="1" applyBorder="1" applyAlignment="1">
      <alignment horizontal="center"/>
    </xf>
    <xf numFmtId="9" fontId="24" fillId="5" borderId="25" xfId="0" applyNumberFormat="1" applyFont="1" applyFill="1" applyBorder="1" applyAlignment="1">
      <alignment horizontal="center"/>
    </xf>
    <xf numFmtId="0" fontId="24" fillId="5" borderId="25" xfId="0" applyFont="1" applyFill="1" applyBorder="1" applyAlignment="1">
      <alignment horizontal="center"/>
    </xf>
    <xf numFmtId="0" fontId="24" fillId="5" borderId="26" xfId="0" applyFont="1" applyFill="1" applyBorder="1" applyAlignment="1">
      <alignment horizont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8" fillId="0" borderId="10" xfId="0" applyNumberFormat="1" applyFont="1" applyBorder="1" applyAlignment="1">
      <alignment horizontal="left" vertical="top"/>
    </xf>
    <xf numFmtId="17" fontId="8" fillId="0" borderId="28" xfId="0" applyNumberFormat="1" applyFont="1" applyBorder="1" applyAlignment="1">
      <alignment horizontal="left" vertical="top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4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3" fillId="4" borderId="43" xfId="0" applyFont="1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2" fontId="0" fillId="0" borderId="44" xfId="0" applyNumberFormat="1" applyBorder="1" applyAlignment="1">
      <alignment horizontal="left" vertical="top" wrapText="1"/>
    </xf>
    <xf numFmtId="0" fontId="0" fillId="0" borderId="47" xfId="0" applyBorder="1" applyAlignment="1">
      <alignment horizontal="center" vertical="center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24" fillId="5" borderId="69" xfId="0" applyFont="1" applyFill="1" applyBorder="1" applyAlignment="1">
      <alignment horizontal="center"/>
    </xf>
    <xf numFmtId="0" fontId="24" fillId="5" borderId="70" xfId="0" applyFont="1" applyFill="1" applyBorder="1" applyAlignment="1">
      <alignment horizontal="center"/>
    </xf>
    <xf numFmtId="0" fontId="24" fillId="5" borderId="71" xfId="0" applyFont="1" applyFill="1" applyBorder="1" applyAlignment="1">
      <alignment horizontal="center"/>
    </xf>
    <xf numFmtId="9" fontId="24" fillId="5" borderId="66" xfId="0" applyNumberFormat="1" applyFont="1" applyFill="1" applyBorder="1" applyAlignment="1">
      <alignment horizontal="center"/>
    </xf>
    <xf numFmtId="9" fontId="24" fillId="5" borderId="67" xfId="0" applyNumberFormat="1" applyFont="1" applyFill="1" applyBorder="1" applyAlignment="1">
      <alignment horizontal="center"/>
    </xf>
    <xf numFmtId="9" fontId="24" fillId="5" borderId="68" xfId="0" applyNumberFormat="1" applyFont="1" applyFill="1" applyBorder="1" applyAlignment="1">
      <alignment horizontal="center"/>
    </xf>
    <xf numFmtId="0" fontId="0" fillId="0" borderId="53" xfId="0" applyFill="1" applyBorder="1" applyAlignment="1">
      <alignment horizontal="left" vertical="top" wrapText="1"/>
    </xf>
    <xf numFmtId="0" fontId="0" fillId="0" borderId="61" xfId="0" applyFill="1" applyBorder="1" applyAlignment="1">
      <alignment horizontal="center" vertical="center"/>
    </xf>
    <xf numFmtId="0" fontId="0" fillId="0" borderId="75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9" fontId="0" fillId="0" borderId="31" xfId="0" applyNumberFormat="1" applyFill="1" applyBorder="1" applyAlignment="1">
      <alignment horizontal="center" vertical="center"/>
    </xf>
    <xf numFmtId="9" fontId="0" fillId="0" borderId="52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9" fontId="0" fillId="0" borderId="44" xfId="0" applyNumberFormat="1" applyBorder="1" applyAlignment="1">
      <alignment horizontal="left" vertical="top" wrapText="1"/>
    </xf>
    <xf numFmtId="9" fontId="0" fillId="0" borderId="54" xfId="0" applyNumberFormat="1" applyBorder="1" applyAlignment="1">
      <alignment horizontal="left" vertical="top" wrapText="1"/>
    </xf>
    <xf numFmtId="0" fontId="23" fillId="4" borderId="16" xfId="0" applyFont="1" applyFill="1" applyBorder="1" applyAlignment="1">
      <alignment horizontal="center" vertical="center"/>
    </xf>
    <xf numFmtId="0" fontId="23" fillId="4" borderId="17" xfId="0" applyFont="1" applyFill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center"/>
    </xf>
    <xf numFmtId="0" fontId="92" fillId="0" borderId="0" xfId="0" applyFont="1" applyFill="1" applyAlignment="1">
      <alignment horizontal="left" vertical="center"/>
    </xf>
    <xf numFmtId="0" fontId="24" fillId="0" borderId="0" xfId="5" applyFont="1" applyAlignment="1">
      <alignment horizontal="center" vertical="center"/>
    </xf>
    <xf numFmtId="0" fontId="74" fillId="8" borderId="77" xfId="0" applyFont="1" applyFill="1" applyBorder="1" applyAlignment="1">
      <alignment horizontal="center" vertical="center"/>
    </xf>
    <xf numFmtId="0" fontId="74" fillId="8" borderId="78" xfId="0" applyFont="1" applyFill="1" applyBorder="1" applyAlignment="1">
      <alignment horizontal="center" vertical="center"/>
    </xf>
    <xf numFmtId="0" fontId="74" fillId="13" borderId="79" xfId="0" applyFont="1" applyFill="1" applyBorder="1" applyAlignment="1">
      <alignment horizontal="center" vertical="center"/>
    </xf>
    <xf numFmtId="0" fontId="74" fillId="13" borderId="83" xfId="0" applyFont="1" applyFill="1" applyBorder="1" applyAlignment="1">
      <alignment horizontal="center" vertical="center"/>
    </xf>
    <xf numFmtId="0" fontId="74" fillId="13" borderId="80" xfId="0" applyFont="1" applyFill="1" applyBorder="1" applyAlignment="1">
      <alignment horizontal="center" vertical="center"/>
    </xf>
    <xf numFmtId="0" fontId="74" fillId="13" borderId="81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75" fillId="0" borderId="80" xfId="0" applyFont="1" applyFill="1" applyBorder="1" applyAlignment="1">
      <alignment horizontal="center" vertical="center"/>
    </xf>
    <xf numFmtId="0" fontId="75" fillId="0" borderId="82" xfId="0" applyFont="1" applyFill="1" applyBorder="1" applyAlignment="1">
      <alignment horizontal="center" vertical="center"/>
    </xf>
    <xf numFmtId="0" fontId="87" fillId="0" borderId="0" xfId="5" applyFont="1" applyBorder="1">
      <alignment vertical="center"/>
    </xf>
    <xf numFmtId="0" fontId="24" fillId="0" borderId="87" xfId="5" applyFont="1" applyBorder="1" applyAlignment="1">
      <alignment horizontal="left" vertical="center"/>
    </xf>
    <xf numFmtId="0" fontId="24" fillId="0" borderId="87" xfId="5" applyFont="1" applyBorder="1">
      <alignment vertical="center"/>
    </xf>
    <xf numFmtId="0" fontId="24" fillId="0" borderId="87" xfId="5" applyFont="1" applyBorder="1" applyAlignment="1">
      <alignment horizontal="center" vertical="center"/>
    </xf>
    <xf numFmtId="0" fontId="77" fillId="0" borderId="90" xfId="1101" applyFont="1" applyBorder="1" applyAlignment="1"/>
    <xf numFmtId="0" fontId="13" fillId="0" borderId="0" xfId="1101" applyFont="1" applyAlignment="1">
      <alignment horizontal="center"/>
    </xf>
    <xf numFmtId="0" fontId="13" fillId="0" borderId="0" xfId="1101" applyFont="1" applyAlignment="1"/>
    <xf numFmtId="0" fontId="4" fillId="12" borderId="87" xfId="1101" applyFont="1" applyFill="1" applyBorder="1" applyAlignment="1">
      <alignment horizontal="center" vertical="center"/>
    </xf>
    <xf numFmtId="0" fontId="82" fillId="16" borderId="88" xfId="1101" applyFont="1" applyFill="1" applyBorder="1" applyAlignment="1">
      <alignment horizontal="center" vertical="center"/>
    </xf>
    <xf numFmtId="0" fontId="82" fillId="16" borderId="89" xfId="1101" applyFont="1" applyFill="1" applyBorder="1" applyAlignment="1">
      <alignment horizontal="center" vertical="center"/>
    </xf>
    <xf numFmtId="0" fontId="82" fillId="16" borderId="0" xfId="1101" applyFont="1" applyFill="1" applyBorder="1" applyAlignment="1">
      <alignment horizontal="center" vertical="center"/>
    </xf>
    <xf numFmtId="169" fontId="74" fillId="12" borderId="87" xfId="1101" applyNumberFormat="1" applyFont="1" applyFill="1" applyBorder="1" applyAlignment="1">
      <alignment horizontal="center" vertical="center"/>
    </xf>
    <xf numFmtId="169" fontId="74" fillId="12" borderId="87" xfId="1101" applyNumberFormat="1" applyFont="1" applyFill="1" applyBorder="1" applyAlignment="1">
      <alignment horizontal="center"/>
    </xf>
    <xf numFmtId="16" fontId="74" fillId="12" borderId="87" xfId="1101" applyNumberFormat="1" applyFont="1" applyFill="1" applyBorder="1" applyAlignment="1">
      <alignment horizontal="center"/>
    </xf>
    <xf numFmtId="0" fontId="74" fillId="0" borderId="0" xfId="1101" applyFont="1" applyAlignment="1"/>
    <xf numFmtId="0" fontId="13" fillId="17" borderId="87" xfId="1101" applyFont="1" applyFill="1" applyBorder="1" applyAlignment="1">
      <alignment horizontal="center" vertical="center"/>
    </xf>
    <xf numFmtId="0" fontId="13" fillId="17" borderId="87" xfId="1101" applyFont="1" applyFill="1" applyBorder="1" applyAlignment="1">
      <alignment vertical="center"/>
    </xf>
    <xf numFmtId="0" fontId="78" fillId="17" borderId="87" xfId="1101" applyFont="1" applyFill="1" applyBorder="1" applyAlignment="1">
      <alignment horizontal="center" vertical="center"/>
    </xf>
    <xf numFmtId="0" fontId="79" fillId="0" borderId="0" xfId="1101" applyFont="1" applyAlignment="1">
      <alignment vertical="center"/>
    </xf>
    <xf numFmtId="0" fontId="13" fillId="0" borderId="0" xfId="1101" applyFont="1" applyAlignment="1">
      <alignment vertical="center"/>
    </xf>
    <xf numFmtId="0" fontId="79" fillId="17" borderId="87" xfId="1101" applyFont="1" applyFill="1" applyBorder="1" applyAlignment="1">
      <alignment horizontal="center" vertical="center"/>
    </xf>
    <xf numFmtId="0" fontId="13" fillId="17" borderId="87" xfId="1101" applyFont="1" applyFill="1" applyBorder="1" applyAlignment="1">
      <alignment horizontal="center"/>
    </xf>
    <xf numFmtId="0" fontId="79" fillId="17" borderId="87" xfId="1101" applyFont="1" applyFill="1" applyBorder="1" applyAlignment="1">
      <alignment horizontal="center"/>
    </xf>
    <xf numFmtId="0" fontId="78" fillId="17" borderId="87" xfId="1101" applyFont="1" applyFill="1" applyBorder="1" applyAlignment="1">
      <alignment horizontal="center"/>
    </xf>
    <xf numFmtId="0" fontId="79" fillId="0" borderId="0" xfId="1101" applyFont="1" applyAlignment="1"/>
    <xf numFmtId="0" fontId="79" fillId="0" borderId="0" xfId="1101" applyFont="1" applyAlignment="1">
      <alignment horizontal="center"/>
    </xf>
    <xf numFmtId="0" fontId="80" fillId="0" borderId="87" xfId="5" applyFont="1" applyBorder="1">
      <alignment vertical="center"/>
    </xf>
    <xf numFmtId="43" fontId="74" fillId="0" borderId="87" xfId="9" applyFont="1" applyBorder="1" applyAlignment="1">
      <alignment vertical="center"/>
    </xf>
    <xf numFmtId="0" fontId="26" fillId="0" borderId="0" xfId="0" applyFont="1" applyFill="1"/>
    <xf numFmtId="0" fontId="26" fillId="0" borderId="0" xfId="0" applyFont="1" applyAlignment="1">
      <alignment wrapText="1"/>
    </xf>
    <xf numFmtId="0" fontId="96" fillId="0" borderId="10" xfId="0" applyFont="1" applyBorder="1" applyAlignment="1">
      <alignment horizontal="center" vertical="center"/>
    </xf>
    <xf numFmtId="168" fontId="97" fillId="0" borderId="10" xfId="6" applyNumberFormat="1" applyFont="1" applyFill="1" applyBorder="1" applyAlignment="1">
      <alignment horizontal="center" vertical="center"/>
    </xf>
    <xf numFmtId="0" fontId="97" fillId="0" borderId="10" xfId="7" quotePrefix="1" applyFont="1" applyFill="1" applyBorder="1" applyAlignment="1">
      <alignment horizontal="center" vertical="center" wrapText="1"/>
    </xf>
    <xf numFmtId="168" fontId="97" fillId="0" borderId="10" xfId="0" applyNumberFormat="1" applyFont="1" applyBorder="1" applyAlignment="1">
      <alignment horizontal="center" vertical="center"/>
    </xf>
    <xf numFmtId="0" fontId="97" fillId="0" borderId="10" xfId="0" applyFont="1" applyFill="1" applyBorder="1" applyAlignment="1">
      <alignment horizontal="left" vertical="center"/>
    </xf>
    <xf numFmtId="0" fontId="97" fillId="0" borderId="10" xfId="0" applyFont="1" applyBorder="1" applyAlignment="1">
      <alignment vertical="center"/>
    </xf>
    <xf numFmtId="0" fontId="97" fillId="0" borderId="10" xfId="0" applyFont="1" applyBorder="1" applyAlignment="1">
      <alignment horizontal="left" vertical="center"/>
    </xf>
    <xf numFmtId="0" fontId="97" fillId="0" borderId="0" xfId="0" applyFont="1" applyAlignment="1">
      <alignment vertical="center"/>
    </xf>
    <xf numFmtId="0" fontId="98" fillId="0" borderId="0" xfId="0" applyFont="1" applyAlignment="1">
      <alignment vertical="center"/>
    </xf>
    <xf numFmtId="0" fontId="99" fillId="0" borderId="0" xfId="0" applyFont="1" applyAlignment="1">
      <alignment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vertical="center"/>
    </xf>
    <xf numFmtId="0" fontId="102" fillId="0" borderId="0" xfId="0" applyFont="1" applyAlignment="1">
      <alignment vertical="center"/>
    </xf>
    <xf numFmtId="168" fontId="96" fillId="0" borderId="10" xfId="6" applyNumberFormat="1" applyFont="1" applyFill="1" applyBorder="1" applyAlignment="1">
      <alignment horizontal="center" vertical="center"/>
    </xf>
    <xf numFmtId="0" fontId="96" fillId="0" borderId="10" xfId="7" quotePrefix="1" applyFont="1" applyFill="1" applyBorder="1" applyAlignment="1">
      <alignment horizontal="center" vertical="center" wrapText="1"/>
    </xf>
    <xf numFmtId="168" fontId="96" fillId="0" borderId="10" xfId="0" applyNumberFormat="1" applyFont="1" applyBorder="1" applyAlignment="1">
      <alignment horizontal="center" vertical="center"/>
    </xf>
    <xf numFmtId="0" fontId="96" fillId="0" borderId="10" xfId="0" applyFont="1" applyFill="1" applyBorder="1" applyAlignment="1">
      <alignment horizontal="left" vertical="center"/>
    </xf>
    <xf numFmtId="0" fontId="96" fillId="0" borderId="10" xfId="0" applyFont="1" applyBorder="1" applyAlignment="1">
      <alignment vertical="center"/>
    </xf>
    <xf numFmtId="0" fontId="96" fillId="0" borderId="10" xfId="0" applyFont="1" applyBorder="1" applyAlignment="1">
      <alignment horizontal="left" vertical="center"/>
    </xf>
    <xf numFmtId="0" fontId="96" fillId="0" borderId="0" xfId="0" applyFont="1" applyAlignment="1">
      <alignment vertical="center"/>
    </xf>
    <xf numFmtId="168" fontId="103" fillId="0" borderId="10" xfId="6" applyNumberFormat="1" applyFont="1" applyFill="1" applyBorder="1" applyAlignment="1">
      <alignment horizontal="center" vertical="center"/>
    </xf>
    <xf numFmtId="0" fontId="103" fillId="0" borderId="10" xfId="7" quotePrefix="1" applyFont="1" applyFill="1" applyBorder="1" applyAlignment="1">
      <alignment horizontal="center" vertical="center" wrapText="1"/>
    </xf>
    <xf numFmtId="168" fontId="103" fillId="0" borderId="10" xfId="0" applyNumberFormat="1" applyFont="1" applyBorder="1" applyAlignment="1">
      <alignment horizontal="center" vertical="center"/>
    </xf>
    <xf numFmtId="0" fontId="103" fillId="0" borderId="10" xfId="0" applyFont="1" applyFill="1" applyBorder="1" applyAlignment="1">
      <alignment horizontal="left" vertical="center"/>
    </xf>
    <xf numFmtId="0" fontId="103" fillId="0" borderId="10" xfId="0" applyNumberFormat="1" applyFont="1" applyBorder="1" applyAlignment="1">
      <alignment vertical="center"/>
    </xf>
    <xf numFmtId="0" fontId="103" fillId="0" borderId="10" xfId="0" applyFont="1" applyBorder="1" applyAlignment="1">
      <alignment vertical="center"/>
    </xf>
    <xf numFmtId="0" fontId="103" fillId="0" borderId="10" xfId="0" applyFont="1" applyBorder="1" applyAlignment="1">
      <alignment horizontal="left" vertical="center"/>
    </xf>
    <xf numFmtId="164" fontId="98" fillId="0" borderId="0" xfId="3" applyFont="1" applyAlignment="1">
      <alignment vertical="center"/>
    </xf>
    <xf numFmtId="16" fontId="99" fillId="0" borderId="0" xfId="0" applyNumberFormat="1" applyFont="1" applyAlignment="1">
      <alignment vertical="center"/>
    </xf>
    <xf numFmtId="0" fontId="97" fillId="0" borderId="10" xfId="0" applyNumberFormat="1" applyFont="1" applyBorder="1" applyAlignment="1">
      <alignment vertical="center"/>
    </xf>
    <xf numFmtId="0" fontId="3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03" fillId="0" borderId="0" xfId="0" applyFont="1" applyAlignment="1">
      <alignment vertical="center"/>
    </xf>
    <xf numFmtId="0" fontId="0" fillId="0" borderId="10" xfId="0" applyBorder="1" applyAlignment="1">
      <alignment vertical="center"/>
    </xf>
    <xf numFmtId="0" fontId="104" fillId="0" borderId="10" xfId="0" applyFont="1" applyBorder="1" applyAlignment="1">
      <alignment vertical="center"/>
    </xf>
    <xf numFmtId="164" fontId="104" fillId="0" borderId="10" xfId="3" applyFont="1" applyBorder="1" applyAlignment="1">
      <alignment vertical="center"/>
    </xf>
    <xf numFmtId="164" fontId="26" fillId="0" borderId="0" xfId="3" applyFont="1" applyAlignment="1">
      <alignment vertical="center"/>
    </xf>
    <xf numFmtId="164" fontId="26" fillId="0" borderId="0" xfId="3" applyFont="1"/>
    <xf numFmtId="0" fontId="26" fillId="0" borderId="0" xfId="0" applyFont="1"/>
    <xf numFmtId="0" fontId="33" fillId="0" borderId="0" xfId="0" applyFont="1"/>
  </cellXfs>
  <cellStyles count="1103">
    <cellStyle name="Comma" xfId="3" builtinId="3"/>
    <cellStyle name="Comma [0] 2" xfId="10"/>
    <cellStyle name="Comma [0] 3" xfId="11"/>
    <cellStyle name="Comma 10" xfId="12"/>
    <cellStyle name="Comma 104" xfId="4"/>
    <cellStyle name="Comma 105" xfId="13"/>
    <cellStyle name="Comma 11" xfId="14"/>
    <cellStyle name="Comma 11 2" xfId="15"/>
    <cellStyle name="Comma 12" xfId="16"/>
    <cellStyle name="Comma 13" xfId="17"/>
    <cellStyle name="Comma 14" xfId="18"/>
    <cellStyle name="Comma 15" xfId="19"/>
    <cellStyle name="Comma 16" xfId="20"/>
    <cellStyle name="Comma 17" xfId="21"/>
    <cellStyle name="Comma 18" xfId="22"/>
    <cellStyle name="Comma 2" xfId="2"/>
    <cellStyle name="Comma 2 2" xfId="23"/>
    <cellStyle name="Comma 2 3" xfId="24"/>
    <cellStyle name="Comma 24 2" xfId="25"/>
    <cellStyle name="Comma 29" xfId="26"/>
    <cellStyle name="Comma 294" xfId="27"/>
    <cellStyle name="Comma 3" xfId="9"/>
    <cellStyle name="Comma 3 2" xfId="28"/>
    <cellStyle name="Comma 4" xfId="29"/>
    <cellStyle name="Comma 5" xfId="30"/>
    <cellStyle name="Comma 6" xfId="31"/>
    <cellStyle name="Comma 7" xfId="32"/>
    <cellStyle name="Comma 8" xfId="33"/>
    <cellStyle name="Comma 9" xfId="34"/>
    <cellStyle name="Hyperlink 2" xfId="35"/>
    <cellStyle name="Hyperlink 3" xfId="36"/>
    <cellStyle name="Normal" xfId="0" builtinId="0"/>
    <cellStyle name="Normal 10" xfId="37"/>
    <cellStyle name="Normal 11" xfId="38"/>
    <cellStyle name="Normal 12" xfId="39"/>
    <cellStyle name="Normal 13" xfId="40"/>
    <cellStyle name="Normal 14" xfId="41"/>
    <cellStyle name="Normal 15" xfId="42"/>
    <cellStyle name="Normal 16" xfId="43"/>
    <cellStyle name="Normal 17" xfId="1100"/>
    <cellStyle name="Normal 17 2" xfId="1101"/>
    <cellStyle name="Normal 2" xfId="5"/>
    <cellStyle name="Normal 2 2" xfId="44"/>
    <cellStyle name="Normal 2 2 2" xfId="45"/>
    <cellStyle name="Normal 3" xfId="8"/>
    <cellStyle name="Normal 3 2" xfId="1102"/>
    <cellStyle name="Normal 4" xfId="46"/>
    <cellStyle name="Normal 5" xfId="47"/>
    <cellStyle name="Normal 6" xfId="48"/>
    <cellStyle name="Normal 7" xfId="49"/>
    <cellStyle name="Normal 8" xfId="50"/>
    <cellStyle name="Normal 9" xfId="51"/>
    <cellStyle name="Percent" xfId="1" builtinId="5"/>
    <cellStyle name="Percent 2" xfId="52"/>
    <cellStyle name="Percent 3" xfId="53"/>
    <cellStyle name="S0" xfId="54"/>
    <cellStyle name="S0 10" xfId="55"/>
    <cellStyle name="S0 100" xfId="56"/>
    <cellStyle name="S0 101" xfId="57"/>
    <cellStyle name="S0 102" xfId="58"/>
    <cellStyle name="S0 103" xfId="59"/>
    <cellStyle name="S0 104" xfId="60"/>
    <cellStyle name="S0 105" xfId="61"/>
    <cellStyle name="S0 106" xfId="62"/>
    <cellStyle name="S0 107" xfId="63"/>
    <cellStyle name="S0 108" xfId="64"/>
    <cellStyle name="S0 109" xfId="65"/>
    <cellStyle name="S0 11" xfId="66"/>
    <cellStyle name="S0 110" xfId="67"/>
    <cellStyle name="S0 111" xfId="68"/>
    <cellStyle name="S0 112" xfId="69"/>
    <cellStyle name="S0 113" xfId="70"/>
    <cellStyle name="S0 114" xfId="71"/>
    <cellStyle name="S0 115" xfId="72"/>
    <cellStyle name="S0 116" xfId="73"/>
    <cellStyle name="S0 117" xfId="74"/>
    <cellStyle name="S0 118" xfId="75"/>
    <cellStyle name="S0 119" xfId="76"/>
    <cellStyle name="S0 12" xfId="77"/>
    <cellStyle name="S0 120" xfId="78"/>
    <cellStyle name="S0 121" xfId="79"/>
    <cellStyle name="S0 122" xfId="80"/>
    <cellStyle name="S0 123" xfId="81"/>
    <cellStyle name="S0 124" xfId="82"/>
    <cellStyle name="S0 125" xfId="83"/>
    <cellStyle name="S0 126" xfId="84"/>
    <cellStyle name="S0 127" xfId="85"/>
    <cellStyle name="S0 128" xfId="86"/>
    <cellStyle name="S0 129" xfId="87"/>
    <cellStyle name="S0 13" xfId="88"/>
    <cellStyle name="S0 130" xfId="89"/>
    <cellStyle name="S0 131" xfId="90"/>
    <cellStyle name="S0 132" xfId="91"/>
    <cellStyle name="S0 133" xfId="92"/>
    <cellStyle name="S0 134" xfId="93"/>
    <cellStyle name="S0 135" xfId="94"/>
    <cellStyle name="S0 136" xfId="95"/>
    <cellStyle name="S0 137" xfId="96"/>
    <cellStyle name="S0 138" xfId="97"/>
    <cellStyle name="S0 139" xfId="98"/>
    <cellStyle name="S0 14" xfId="99"/>
    <cellStyle name="S0 140" xfId="100"/>
    <cellStyle name="S0 141" xfId="101"/>
    <cellStyle name="S0 142" xfId="102"/>
    <cellStyle name="S0 143" xfId="103"/>
    <cellStyle name="S0 144" xfId="104"/>
    <cellStyle name="S0 145" xfId="105"/>
    <cellStyle name="S0 146" xfId="106"/>
    <cellStyle name="S0 147" xfId="107"/>
    <cellStyle name="S0 148" xfId="108"/>
    <cellStyle name="S0 149" xfId="109"/>
    <cellStyle name="S0 15" xfId="110"/>
    <cellStyle name="S0 150" xfId="111"/>
    <cellStyle name="S0 151" xfId="112"/>
    <cellStyle name="S0 152" xfId="113"/>
    <cellStyle name="S0 153" xfId="114"/>
    <cellStyle name="S0 154" xfId="115"/>
    <cellStyle name="S0 155" xfId="116"/>
    <cellStyle name="S0 156" xfId="117"/>
    <cellStyle name="S0 157" xfId="118"/>
    <cellStyle name="S0 158" xfId="119"/>
    <cellStyle name="S0 159" xfId="120"/>
    <cellStyle name="S0 16" xfId="121"/>
    <cellStyle name="S0 160" xfId="122"/>
    <cellStyle name="S0 161" xfId="123"/>
    <cellStyle name="S0 162" xfId="124"/>
    <cellStyle name="S0 163" xfId="125"/>
    <cellStyle name="S0 164" xfId="126"/>
    <cellStyle name="S0 165" xfId="127"/>
    <cellStyle name="S0 166" xfId="128"/>
    <cellStyle name="S0 167" xfId="129"/>
    <cellStyle name="S0 168" xfId="130"/>
    <cellStyle name="S0 169" xfId="131"/>
    <cellStyle name="S0 17" xfId="132"/>
    <cellStyle name="S0 170" xfId="133"/>
    <cellStyle name="S0 171" xfId="134"/>
    <cellStyle name="S0 172" xfId="135"/>
    <cellStyle name="S0 173" xfId="136"/>
    <cellStyle name="S0 174" xfId="137"/>
    <cellStyle name="S0 175" xfId="138"/>
    <cellStyle name="S0 176" xfId="139"/>
    <cellStyle name="S0 177" xfId="140"/>
    <cellStyle name="S0 178" xfId="141"/>
    <cellStyle name="S0 179" xfId="142"/>
    <cellStyle name="S0 18" xfId="143"/>
    <cellStyle name="S0 180" xfId="144"/>
    <cellStyle name="S0 181" xfId="145"/>
    <cellStyle name="S0 182" xfId="146"/>
    <cellStyle name="S0 183" xfId="147"/>
    <cellStyle name="S0 184" xfId="148"/>
    <cellStyle name="S0 185" xfId="149"/>
    <cellStyle name="S0 186" xfId="150"/>
    <cellStyle name="S0 187" xfId="151"/>
    <cellStyle name="S0 188" xfId="152"/>
    <cellStyle name="S0 189" xfId="153"/>
    <cellStyle name="S0 19" xfId="154"/>
    <cellStyle name="S0 190" xfId="155"/>
    <cellStyle name="S0 191" xfId="156"/>
    <cellStyle name="S0 192" xfId="157"/>
    <cellStyle name="S0 193" xfId="158"/>
    <cellStyle name="S0 194" xfId="159"/>
    <cellStyle name="S0 195" xfId="160"/>
    <cellStyle name="S0 196" xfId="161"/>
    <cellStyle name="S0 197" xfId="162"/>
    <cellStyle name="S0 198" xfId="163"/>
    <cellStyle name="S0 199" xfId="164"/>
    <cellStyle name="S0 2" xfId="165"/>
    <cellStyle name="S0 20" xfId="166"/>
    <cellStyle name="S0 200" xfId="167"/>
    <cellStyle name="S0 201" xfId="168"/>
    <cellStyle name="S0 202" xfId="169"/>
    <cellStyle name="S0 203" xfId="170"/>
    <cellStyle name="S0 204" xfId="171"/>
    <cellStyle name="S0 205" xfId="172"/>
    <cellStyle name="S0 206" xfId="173"/>
    <cellStyle name="S0 207" xfId="174"/>
    <cellStyle name="S0 208" xfId="175"/>
    <cellStyle name="S0 209" xfId="176"/>
    <cellStyle name="S0 21" xfId="177"/>
    <cellStyle name="S0 210" xfId="178"/>
    <cellStyle name="S0 211" xfId="179"/>
    <cellStyle name="S0 212" xfId="180"/>
    <cellStyle name="S0 213" xfId="181"/>
    <cellStyle name="S0 214" xfId="182"/>
    <cellStyle name="S0 215" xfId="183"/>
    <cellStyle name="S0 216" xfId="184"/>
    <cellStyle name="S0 217" xfId="185"/>
    <cellStyle name="S0 218" xfId="186"/>
    <cellStyle name="S0 219" xfId="187"/>
    <cellStyle name="S0 22" xfId="188"/>
    <cellStyle name="S0 220" xfId="189"/>
    <cellStyle name="S0 221" xfId="190"/>
    <cellStyle name="S0 222" xfId="191"/>
    <cellStyle name="S0 223" xfId="192"/>
    <cellStyle name="S0 224" xfId="193"/>
    <cellStyle name="S0 225" xfId="194"/>
    <cellStyle name="S0 226" xfId="195"/>
    <cellStyle name="S0 227" xfId="196"/>
    <cellStyle name="S0 228" xfId="197"/>
    <cellStyle name="S0 229" xfId="198"/>
    <cellStyle name="S0 23" xfId="199"/>
    <cellStyle name="S0 230" xfId="200"/>
    <cellStyle name="S0 231" xfId="201"/>
    <cellStyle name="S0 232" xfId="202"/>
    <cellStyle name="S0 233" xfId="203"/>
    <cellStyle name="S0 234" xfId="204"/>
    <cellStyle name="S0 235" xfId="205"/>
    <cellStyle name="S0 236" xfId="206"/>
    <cellStyle name="S0 237" xfId="207"/>
    <cellStyle name="S0 238" xfId="208"/>
    <cellStyle name="S0 239" xfId="209"/>
    <cellStyle name="S0 24" xfId="210"/>
    <cellStyle name="S0 240" xfId="211"/>
    <cellStyle name="S0 241" xfId="212"/>
    <cellStyle name="S0 242" xfId="213"/>
    <cellStyle name="S0 243" xfId="214"/>
    <cellStyle name="S0 244" xfId="215"/>
    <cellStyle name="S0 245" xfId="216"/>
    <cellStyle name="S0 246" xfId="217"/>
    <cellStyle name="S0 247" xfId="218"/>
    <cellStyle name="S0 248" xfId="219"/>
    <cellStyle name="S0 249" xfId="220"/>
    <cellStyle name="S0 25" xfId="221"/>
    <cellStyle name="S0 250" xfId="222"/>
    <cellStyle name="S0 251" xfId="223"/>
    <cellStyle name="S0 252" xfId="224"/>
    <cellStyle name="S0 253" xfId="225"/>
    <cellStyle name="S0 254" xfId="226"/>
    <cellStyle name="S0 255" xfId="227"/>
    <cellStyle name="S0 256" xfId="228"/>
    <cellStyle name="S0 257" xfId="229"/>
    <cellStyle name="S0 258" xfId="230"/>
    <cellStyle name="S0 259" xfId="231"/>
    <cellStyle name="S0 26" xfId="232"/>
    <cellStyle name="S0 260" xfId="233"/>
    <cellStyle name="S0 261" xfId="234"/>
    <cellStyle name="S0 262" xfId="235"/>
    <cellStyle name="S0 263" xfId="236"/>
    <cellStyle name="S0 264" xfId="237"/>
    <cellStyle name="S0 265" xfId="238"/>
    <cellStyle name="S0 266" xfId="239"/>
    <cellStyle name="S0 266 2" xfId="240"/>
    <cellStyle name="S0 267" xfId="241"/>
    <cellStyle name="S0 268" xfId="242"/>
    <cellStyle name="S0 27" xfId="243"/>
    <cellStyle name="S0 28" xfId="244"/>
    <cellStyle name="S0 29" xfId="245"/>
    <cellStyle name="S0 3" xfId="246"/>
    <cellStyle name="S0 30" xfId="247"/>
    <cellStyle name="S0 31" xfId="248"/>
    <cellStyle name="S0 32" xfId="249"/>
    <cellStyle name="S0 33" xfId="250"/>
    <cellStyle name="S0 34" xfId="251"/>
    <cellStyle name="S0 35" xfId="252"/>
    <cellStyle name="S0 36" xfId="253"/>
    <cellStyle name="S0 37" xfId="254"/>
    <cellStyle name="S0 38" xfId="255"/>
    <cellStyle name="S0 39" xfId="256"/>
    <cellStyle name="S0 4" xfId="257"/>
    <cellStyle name="S0 40" xfId="258"/>
    <cellStyle name="S0 41" xfId="259"/>
    <cellStyle name="S0 42" xfId="260"/>
    <cellStyle name="S0 43" xfId="261"/>
    <cellStyle name="S0 44" xfId="262"/>
    <cellStyle name="S0 45" xfId="263"/>
    <cellStyle name="S0 46" xfId="264"/>
    <cellStyle name="S0 47" xfId="265"/>
    <cellStyle name="S0 48" xfId="266"/>
    <cellStyle name="S0 49" xfId="267"/>
    <cellStyle name="S0 5" xfId="268"/>
    <cellStyle name="S0 50" xfId="269"/>
    <cellStyle name="S0 51" xfId="270"/>
    <cellStyle name="S0 52" xfId="271"/>
    <cellStyle name="S0 53" xfId="272"/>
    <cellStyle name="S0 54" xfId="273"/>
    <cellStyle name="S0 55" xfId="274"/>
    <cellStyle name="S0 56" xfId="275"/>
    <cellStyle name="S0 57" xfId="276"/>
    <cellStyle name="S0 58" xfId="277"/>
    <cellStyle name="S0 59" xfId="278"/>
    <cellStyle name="S0 6" xfId="279"/>
    <cellStyle name="S0 60" xfId="280"/>
    <cellStyle name="S0 61" xfId="281"/>
    <cellStyle name="S0 62" xfId="282"/>
    <cellStyle name="S0 63" xfId="283"/>
    <cellStyle name="S0 64" xfId="284"/>
    <cellStyle name="S0 65" xfId="285"/>
    <cellStyle name="S0 66" xfId="286"/>
    <cellStyle name="S0 67" xfId="287"/>
    <cellStyle name="S0 68" xfId="288"/>
    <cellStyle name="S0 69" xfId="289"/>
    <cellStyle name="S0 7" xfId="290"/>
    <cellStyle name="S0 70" xfId="291"/>
    <cellStyle name="S0 71" xfId="292"/>
    <cellStyle name="S0 72" xfId="293"/>
    <cellStyle name="S0 73" xfId="294"/>
    <cellStyle name="S0 74" xfId="295"/>
    <cellStyle name="S0 75" xfId="296"/>
    <cellStyle name="S0 76" xfId="297"/>
    <cellStyle name="S0 77" xfId="298"/>
    <cellStyle name="S0 78" xfId="299"/>
    <cellStyle name="S0 79" xfId="300"/>
    <cellStyle name="S0 8" xfId="301"/>
    <cellStyle name="S0 80" xfId="302"/>
    <cellStyle name="S0 81" xfId="303"/>
    <cellStyle name="S0 82" xfId="304"/>
    <cellStyle name="S0 83" xfId="305"/>
    <cellStyle name="S0 84" xfId="306"/>
    <cellStyle name="S0 85" xfId="307"/>
    <cellStyle name="S0 86" xfId="308"/>
    <cellStyle name="S0 87" xfId="309"/>
    <cellStyle name="S0 88" xfId="310"/>
    <cellStyle name="S0 89" xfId="311"/>
    <cellStyle name="S0 9" xfId="312"/>
    <cellStyle name="S0 90" xfId="313"/>
    <cellStyle name="S0 91" xfId="314"/>
    <cellStyle name="S0 92" xfId="315"/>
    <cellStyle name="S0 93" xfId="316"/>
    <cellStyle name="S0 94" xfId="317"/>
    <cellStyle name="S0 95" xfId="318"/>
    <cellStyle name="S0 96" xfId="319"/>
    <cellStyle name="S0 97" xfId="320"/>
    <cellStyle name="S0 98" xfId="321"/>
    <cellStyle name="S0 99" xfId="322"/>
    <cellStyle name="S0_Pembelian" xfId="323"/>
    <cellStyle name="S1" xfId="324"/>
    <cellStyle name="S1 10" xfId="325"/>
    <cellStyle name="S1 100" xfId="326"/>
    <cellStyle name="S1 101" xfId="327"/>
    <cellStyle name="S1 102" xfId="328"/>
    <cellStyle name="S1 103" xfId="329"/>
    <cellStyle name="S1 104" xfId="330"/>
    <cellStyle name="S1 105" xfId="331"/>
    <cellStyle name="S1 106" xfId="332"/>
    <cellStyle name="S1 107" xfId="333"/>
    <cellStyle name="S1 108" xfId="334"/>
    <cellStyle name="S1 109" xfId="335"/>
    <cellStyle name="S1 11" xfId="336"/>
    <cellStyle name="S1 110" xfId="337"/>
    <cellStyle name="S1 111" xfId="338"/>
    <cellStyle name="S1 112" xfId="339"/>
    <cellStyle name="S1 113" xfId="340"/>
    <cellStyle name="S1 114" xfId="341"/>
    <cellStyle name="S1 115" xfId="342"/>
    <cellStyle name="S1 116" xfId="343"/>
    <cellStyle name="S1 117" xfId="344"/>
    <cellStyle name="S1 118" xfId="345"/>
    <cellStyle name="S1 119" xfId="346"/>
    <cellStyle name="S1 12" xfId="347"/>
    <cellStyle name="S1 120" xfId="348"/>
    <cellStyle name="S1 121" xfId="349"/>
    <cellStyle name="S1 122" xfId="350"/>
    <cellStyle name="S1 123" xfId="351"/>
    <cellStyle name="S1 124" xfId="352"/>
    <cellStyle name="S1 125" xfId="353"/>
    <cellStyle name="S1 126" xfId="354"/>
    <cellStyle name="S1 127" xfId="355"/>
    <cellStyle name="S1 128" xfId="356"/>
    <cellStyle name="S1 129" xfId="357"/>
    <cellStyle name="S1 13" xfId="358"/>
    <cellStyle name="S1 130" xfId="359"/>
    <cellStyle name="S1 131" xfId="360"/>
    <cellStyle name="S1 132" xfId="361"/>
    <cellStyle name="S1 133" xfId="362"/>
    <cellStyle name="S1 134" xfId="363"/>
    <cellStyle name="S1 135" xfId="364"/>
    <cellStyle name="S1 136" xfId="365"/>
    <cellStyle name="S1 137" xfId="366"/>
    <cellStyle name="S1 138" xfId="367"/>
    <cellStyle name="S1 139" xfId="368"/>
    <cellStyle name="S1 14" xfId="369"/>
    <cellStyle name="S1 140" xfId="370"/>
    <cellStyle name="S1 141" xfId="371"/>
    <cellStyle name="S1 142" xfId="372"/>
    <cellStyle name="S1 143" xfId="373"/>
    <cellStyle name="S1 144" xfId="374"/>
    <cellStyle name="S1 145" xfId="375"/>
    <cellStyle name="S1 146" xfId="376"/>
    <cellStyle name="S1 147" xfId="377"/>
    <cellStyle name="S1 148" xfId="378"/>
    <cellStyle name="S1 149" xfId="379"/>
    <cellStyle name="S1 15" xfId="380"/>
    <cellStyle name="S1 150" xfId="381"/>
    <cellStyle name="S1 151" xfId="382"/>
    <cellStyle name="S1 152" xfId="383"/>
    <cellStyle name="S1 153" xfId="384"/>
    <cellStyle name="S1 154" xfId="385"/>
    <cellStyle name="S1 155" xfId="386"/>
    <cellStyle name="S1 156" xfId="387"/>
    <cellStyle name="S1 157" xfId="388"/>
    <cellStyle name="S1 158" xfId="389"/>
    <cellStyle name="S1 159" xfId="390"/>
    <cellStyle name="S1 16" xfId="391"/>
    <cellStyle name="S1 160" xfId="392"/>
    <cellStyle name="S1 161" xfId="393"/>
    <cellStyle name="S1 162" xfId="394"/>
    <cellStyle name="S1 163" xfId="395"/>
    <cellStyle name="S1 164" xfId="396"/>
    <cellStyle name="S1 165" xfId="397"/>
    <cellStyle name="S1 166" xfId="398"/>
    <cellStyle name="S1 167" xfId="399"/>
    <cellStyle name="S1 168" xfId="400"/>
    <cellStyle name="S1 169" xfId="401"/>
    <cellStyle name="S1 17" xfId="402"/>
    <cellStyle name="S1 170" xfId="403"/>
    <cellStyle name="S1 171" xfId="404"/>
    <cellStyle name="S1 172" xfId="405"/>
    <cellStyle name="S1 173" xfId="406"/>
    <cellStyle name="S1 174" xfId="407"/>
    <cellStyle name="S1 175" xfId="408"/>
    <cellStyle name="S1 176" xfId="409"/>
    <cellStyle name="S1 177" xfId="410"/>
    <cellStyle name="S1 178" xfId="411"/>
    <cellStyle name="S1 179" xfId="412"/>
    <cellStyle name="S1 18" xfId="413"/>
    <cellStyle name="S1 180" xfId="414"/>
    <cellStyle name="S1 181" xfId="415"/>
    <cellStyle name="S1 182" xfId="416"/>
    <cellStyle name="S1 183" xfId="417"/>
    <cellStyle name="S1 184" xfId="418"/>
    <cellStyle name="S1 185" xfId="419"/>
    <cellStyle name="S1 186" xfId="420"/>
    <cellStyle name="S1 187" xfId="421"/>
    <cellStyle name="S1 188" xfId="422"/>
    <cellStyle name="S1 189" xfId="423"/>
    <cellStyle name="S1 19" xfId="424"/>
    <cellStyle name="S1 190" xfId="425"/>
    <cellStyle name="S1 191" xfId="426"/>
    <cellStyle name="S1 192" xfId="427"/>
    <cellStyle name="S1 193" xfId="428"/>
    <cellStyle name="S1 194" xfId="429"/>
    <cellStyle name="S1 195" xfId="430"/>
    <cellStyle name="S1 196" xfId="431"/>
    <cellStyle name="S1 197" xfId="432"/>
    <cellStyle name="S1 198" xfId="433"/>
    <cellStyle name="S1 199" xfId="434"/>
    <cellStyle name="S1 2" xfId="435"/>
    <cellStyle name="S1 20" xfId="436"/>
    <cellStyle name="S1 200" xfId="437"/>
    <cellStyle name="S1 201" xfId="438"/>
    <cellStyle name="S1 202" xfId="439"/>
    <cellStyle name="S1 203" xfId="440"/>
    <cellStyle name="S1 204" xfId="441"/>
    <cellStyle name="S1 205" xfId="442"/>
    <cellStyle name="S1 206" xfId="443"/>
    <cellStyle name="S1 207" xfId="444"/>
    <cellStyle name="S1 208" xfId="445"/>
    <cellStyle name="S1 209" xfId="446"/>
    <cellStyle name="S1 21" xfId="447"/>
    <cellStyle name="S1 210" xfId="448"/>
    <cellStyle name="S1 211" xfId="449"/>
    <cellStyle name="S1 212" xfId="450"/>
    <cellStyle name="S1 213" xfId="451"/>
    <cellStyle name="S1 214" xfId="452"/>
    <cellStyle name="S1 215" xfId="453"/>
    <cellStyle name="S1 216" xfId="454"/>
    <cellStyle name="S1 217" xfId="455"/>
    <cellStyle name="S1 218" xfId="456"/>
    <cellStyle name="S1 219" xfId="457"/>
    <cellStyle name="S1 22" xfId="458"/>
    <cellStyle name="S1 220" xfId="459"/>
    <cellStyle name="S1 221" xfId="460"/>
    <cellStyle name="S1 222" xfId="461"/>
    <cellStyle name="S1 223" xfId="462"/>
    <cellStyle name="S1 224" xfId="463"/>
    <cellStyle name="S1 225" xfId="464"/>
    <cellStyle name="S1 226" xfId="465"/>
    <cellStyle name="S1 227" xfId="466"/>
    <cellStyle name="S1 228" xfId="467"/>
    <cellStyle name="S1 229" xfId="468"/>
    <cellStyle name="S1 23" xfId="469"/>
    <cellStyle name="S1 230" xfId="470"/>
    <cellStyle name="S1 231" xfId="471"/>
    <cellStyle name="S1 232" xfId="472"/>
    <cellStyle name="S1 233" xfId="473"/>
    <cellStyle name="S1 234" xfId="474"/>
    <cellStyle name="S1 235" xfId="475"/>
    <cellStyle name="S1 236" xfId="476"/>
    <cellStyle name="S1 237" xfId="477"/>
    <cellStyle name="S1 238" xfId="478"/>
    <cellStyle name="S1 239" xfId="479"/>
    <cellStyle name="S1 24" xfId="480"/>
    <cellStyle name="S1 240" xfId="481"/>
    <cellStyle name="S1 241" xfId="482"/>
    <cellStyle name="S1 242" xfId="483"/>
    <cellStyle name="S1 243" xfId="484"/>
    <cellStyle name="S1 244" xfId="485"/>
    <cellStyle name="S1 245" xfId="486"/>
    <cellStyle name="S1 246" xfId="487"/>
    <cellStyle name="S1 247" xfId="488"/>
    <cellStyle name="S1 248" xfId="489"/>
    <cellStyle name="S1 249" xfId="490"/>
    <cellStyle name="S1 25" xfId="491"/>
    <cellStyle name="S1 250" xfId="492"/>
    <cellStyle name="S1 251" xfId="493"/>
    <cellStyle name="S1 252" xfId="494"/>
    <cellStyle name="S1 253" xfId="495"/>
    <cellStyle name="S1 254" xfId="496"/>
    <cellStyle name="S1 255" xfId="497"/>
    <cellStyle name="S1 256" xfId="498"/>
    <cellStyle name="S1 257" xfId="499"/>
    <cellStyle name="S1 258" xfId="500"/>
    <cellStyle name="S1 259" xfId="501"/>
    <cellStyle name="S1 26" xfId="502"/>
    <cellStyle name="S1 260" xfId="503"/>
    <cellStyle name="S1 261" xfId="504"/>
    <cellStyle name="S1 262" xfId="505"/>
    <cellStyle name="S1 263" xfId="506"/>
    <cellStyle name="S1 264" xfId="507"/>
    <cellStyle name="S1 265" xfId="508"/>
    <cellStyle name="S1 265 2" xfId="509"/>
    <cellStyle name="S1 266" xfId="510"/>
    <cellStyle name="S1 267" xfId="511"/>
    <cellStyle name="S1 27" xfId="512"/>
    <cellStyle name="S1 28" xfId="513"/>
    <cellStyle name="S1 29" xfId="514"/>
    <cellStyle name="S1 3" xfId="515"/>
    <cellStyle name="S1 30" xfId="516"/>
    <cellStyle name="S1 31" xfId="517"/>
    <cellStyle name="S1 32" xfId="518"/>
    <cellStyle name="S1 33" xfId="519"/>
    <cellStyle name="S1 34" xfId="520"/>
    <cellStyle name="S1 35" xfId="521"/>
    <cellStyle name="S1 36" xfId="522"/>
    <cellStyle name="S1 37" xfId="523"/>
    <cellStyle name="S1 38" xfId="524"/>
    <cellStyle name="S1 39" xfId="525"/>
    <cellStyle name="S1 4" xfId="526"/>
    <cellStyle name="S1 40" xfId="527"/>
    <cellStyle name="S1 41" xfId="528"/>
    <cellStyle name="S1 42" xfId="529"/>
    <cellStyle name="S1 43" xfId="530"/>
    <cellStyle name="S1 44" xfId="531"/>
    <cellStyle name="S1 45" xfId="532"/>
    <cellStyle name="S1 46" xfId="533"/>
    <cellStyle name="S1 47" xfId="534"/>
    <cellStyle name="S1 48" xfId="535"/>
    <cellStyle name="S1 49" xfId="536"/>
    <cellStyle name="S1 5" xfId="537"/>
    <cellStyle name="S1 50" xfId="538"/>
    <cellStyle name="S1 51" xfId="539"/>
    <cellStyle name="S1 52" xfId="540"/>
    <cellStyle name="S1 53" xfId="541"/>
    <cellStyle name="S1 54" xfId="542"/>
    <cellStyle name="S1 55" xfId="543"/>
    <cellStyle name="S1 56" xfId="544"/>
    <cellStyle name="S1 57" xfId="545"/>
    <cellStyle name="S1 58" xfId="546"/>
    <cellStyle name="S1 59" xfId="547"/>
    <cellStyle name="S1 6" xfId="548"/>
    <cellStyle name="S1 60" xfId="549"/>
    <cellStyle name="S1 61" xfId="550"/>
    <cellStyle name="S1 62" xfId="551"/>
    <cellStyle name="S1 63" xfId="552"/>
    <cellStyle name="S1 64" xfId="553"/>
    <cellStyle name="S1 65" xfId="554"/>
    <cellStyle name="S1 66" xfId="555"/>
    <cellStyle name="S1 67" xfId="556"/>
    <cellStyle name="S1 68" xfId="557"/>
    <cellStyle name="S1 69" xfId="558"/>
    <cellStyle name="S1 7" xfId="559"/>
    <cellStyle name="S1 70" xfId="560"/>
    <cellStyle name="S1 71" xfId="561"/>
    <cellStyle name="S1 72" xfId="562"/>
    <cellStyle name="S1 73" xfId="563"/>
    <cellStyle name="S1 74" xfId="564"/>
    <cellStyle name="S1 75" xfId="565"/>
    <cellStyle name="S1 76" xfId="566"/>
    <cellStyle name="S1 77" xfId="567"/>
    <cellStyle name="S1 78" xfId="568"/>
    <cellStyle name="S1 79" xfId="569"/>
    <cellStyle name="S1 8" xfId="570"/>
    <cellStyle name="S1 80" xfId="571"/>
    <cellStyle name="S1 81" xfId="572"/>
    <cellStyle name="S1 82" xfId="573"/>
    <cellStyle name="S1 83" xfId="574"/>
    <cellStyle name="S1 84" xfId="575"/>
    <cellStyle name="S1 85" xfId="576"/>
    <cellStyle name="S1 86" xfId="577"/>
    <cellStyle name="S1 87" xfId="578"/>
    <cellStyle name="S1 88" xfId="579"/>
    <cellStyle name="S1 89" xfId="580"/>
    <cellStyle name="S1 9" xfId="581"/>
    <cellStyle name="S1 90" xfId="582"/>
    <cellStyle name="S1 91" xfId="583"/>
    <cellStyle name="S1 92" xfId="584"/>
    <cellStyle name="S1 93" xfId="585"/>
    <cellStyle name="S1 94" xfId="586"/>
    <cellStyle name="S1 95" xfId="587"/>
    <cellStyle name="S1 96" xfId="588"/>
    <cellStyle name="S1 97" xfId="589"/>
    <cellStyle name="S1 98" xfId="590"/>
    <cellStyle name="S1 99" xfId="591"/>
    <cellStyle name="S1_Pembelian" xfId="592"/>
    <cellStyle name="S10" xfId="593"/>
    <cellStyle name="S10 10" xfId="594"/>
    <cellStyle name="S10 11" xfId="595"/>
    <cellStyle name="S10 12" xfId="596"/>
    <cellStyle name="S10 13" xfId="597"/>
    <cellStyle name="S10 13 2" xfId="598"/>
    <cellStyle name="S10 14" xfId="599"/>
    <cellStyle name="S10 15" xfId="600"/>
    <cellStyle name="S10 16" xfId="601"/>
    <cellStyle name="S10 17" xfId="602"/>
    <cellStyle name="S10 18" xfId="603"/>
    <cellStyle name="S10 19" xfId="604"/>
    <cellStyle name="S10 2" xfId="605"/>
    <cellStyle name="S10 3" xfId="606"/>
    <cellStyle name="S10 3 2" xfId="607"/>
    <cellStyle name="S10 4" xfId="608"/>
    <cellStyle name="S10 5" xfId="609"/>
    <cellStyle name="S10 6" xfId="610"/>
    <cellStyle name="S10 7" xfId="611"/>
    <cellStyle name="S10 8" xfId="612"/>
    <cellStyle name="S10 9" xfId="613"/>
    <cellStyle name="S10_Pembelian" xfId="614"/>
    <cellStyle name="S11" xfId="615"/>
    <cellStyle name="S11 10" xfId="616"/>
    <cellStyle name="S11 10 2" xfId="617"/>
    <cellStyle name="S11 11" xfId="618"/>
    <cellStyle name="S11 12" xfId="619"/>
    <cellStyle name="S11 13" xfId="620"/>
    <cellStyle name="S11 14" xfId="621"/>
    <cellStyle name="S11 14 2" xfId="622"/>
    <cellStyle name="S11 15" xfId="623"/>
    <cellStyle name="S11 16" xfId="624"/>
    <cellStyle name="S11 2" xfId="625"/>
    <cellStyle name="S11 3" xfId="626"/>
    <cellStyle name="S11 3 2" xfId="627"/>
    <cellStyle name="S11 4" xfId="628"/>
    <cellStyle name="S11 5" xfId="629"/>
    <cellStyle name="S11 6" xfId="630"/>
    <cellStyle name="S11 7" xfId="631"/>
    <cellStyle name="S11 8" xfId="632"/>
    <cellStyle name="S11 9" xfId="633"/>
    <cellStyle name="S11_Pembelian" xfId="634"/>
    <cellStyle name="S12" xfId="635"/>
    <cellStyle name="S12 10" xfId="636"/>
    <cellStyle name="S12 11" xfId="637"/>
    <cellStyle name="S12 2" xfId="638"/>
    <cellStyle name="S12 3" xfId="639"/>
    <cellStyle name="S12 4" xfId="640"/>
    <cellStyle name="S12 5" xfId="641"/>
    <cellStyle name="S12 6" xfId="642"/>
    <cellStyle name="S12 6 2" xfId="643"/>
    <cellStyle name="S12 7" xfId="644"/>
    <cellStyle name="S12 8" xfId="645"/>
    <cellStyle name="S12 9" xfId="646"/>
    <cellStyle name="S12_Pembelian" xfId="647"/>
    <cellStyle name="S13" xfId="648"/>
    <cellStyle name="S13 10" xfId="649"/>
    <cellStyle name="S13 11" xfId="650"/>
    <cellStyle name="S13 12" xfId="651"/>
    <cellStyle name="S13 2" xfId="652"/>
    <cellStyle name="S13 3" xfId="653"/>
    <cellStyle name="S13 4" xfId="654"/>
    <cellStyle name="S13 4 2" xfId="655"/>
    <cellStyle name="S13 5" xfId="656"/>
    <cellStyle name="S13 6" xfId="657"/>
    <cellStyle name="S13 7" xfId="658"/>
    <cellStyle name="S13 7 2" xfId="659"/>
    <cellStyle name="S13 8" xfId="660"/>
    <cellStyle name="S13 9" xfId="661"/>
    <cellStyle name="S13_Pembelian" xfId="662"/>
    <cellStyle name="S14" xfId="663"/>
    <cellStyle name="S14 10" xfId="664"/>
    <cellStyle name="S14 2" xfId="665"/>
    <cellStyle name="S14 3" xfId="666"/>
    <cellStyle name="S14 3 2" xfId="667"/>
    <cellStyle name="S14 4" xfId="668"/>
    <cellStyle name="S14 5" xfId="669"/>
    <cellStyle name="S14 6" xfId="670"/>
    <cellStyle name="S14 7" xfId="671"/>
    <cellStyle name="S14 8" xfId="672"/>
    <cellStyle name="S14 9" xfId="673"/>
    <cellStyle name="S14_Pembelian" xfId="674"/>
    <cellStyle name="S15" xfId="675"/>
    <cellStyle name="S15 2" xfId="676"/>
    <cellStyle name="S15 3" xfId="677"/>
    <cellStyle name="S15 3 2" xfId="678"/>
    <cellStyle name="S15 4" xfId="679"/>
    <cellStyle name="S15 4 2" xfId="680"/>
    <cellStyle name="S15 5" xfId="681"/>
    <cellStyle name="S15 6" xfId="682"/>
    <cellStyle name="S15 7" xfId="683"/>
    <cellStyle name="S15_Pembelian" xfId="684"/>
    <cellStyle name="S16" xfId="685"/>
    <cellStyle name="S16 2" xfId="686"/>
    <cellStyle name="S16 3" xfId="687"/>
    <cellStyle name="S16 4" xfId="688"/>
    <cellStyle name="S16 5" xfId="689"/>
    <cellStyle name="S16 6" xfId="690"/>
    <cellStyle name="S16_Pembelian" xfId="691"/>
    <cellStyle name="S17" xfId="692"/>
    <cellStyle name="S17 2" xfId="693"/>
    <cellStyle name="S17 3" xfId="694"/>
    <cellStyle name="S17 4" xfId="695"/>
    <cellStyle name="S17_Pembelian" xfId="696"/>
    <cellStyle name="S18" xfId="697"/>
    <cellStyle name="S18 2" xfId="698"/>
    <cellStyle name="S18 3" xfId="699"/>
    <cellStyle name="S18 4" xfId="700"/>
    <cellStyle name="S18_Pembelian" xfId="701"/>
    <cellStyle name="S2" xfId="702"/>
    <cellStyle name="S2 10" xfId="703"/>
    <cellStyle name="S2 100" xfId="704"/>
    <cellStyle name="S2 101" xfId="705"/>
    <cellStyle name="S2 102" xfId="706"/>
    <cellStyle name="S2 103" xfId="707"/>
    <cellStyle name="S2 104" xfId="708"/>
    <cellStyle name="S2 105" xfId="709"/>
    <cellStyle name="S2 106" xfId="710"/>
    <cellStyle name="S2 107" xfId="711"/>
    <cellStyle name="S2 108" xfId="712"/>
    <cellStyle name="S2 109" xfId="713"/>
    <cellStyle name="S2 11" xfId="714"/>
    <cellStyle name="S2 110" xfId="715"/>
    <cellStyle name="S2 111" xfId="716"/>
    <cellStyle name="S2 112" xfId="717"/>
    <cellStyle name="S2 113" xfId="718"/>
    <cellStyle name="S2 114" xfId="719"/>
    <cellStyle name="S2 115" xfId="720"/>
    <cellStyle name="S2 116" xfId="721"/>
    <cellStyle name="S2 117" xfId="722"/>
    <cellStyle name="S2 118" xfId="723"/>
    <cellStyle name="S2 119" xfId="724"/>
    <cellStyle name="S2 12" xfId="725"/>
    <cellStyle name="S2 120" xfId="726"/>
    <cellStyle name="S2 121" xfId="727"/>
    <cellStyle name="S2 122" xfId="728"/>
    <cellStyle name="S2 123" xfId="729"/>
    <cellStyle name="S2 124" xfId="730"/>
    <cellStyle name="S2 125" xfId="731"/>
    <cellStyle name="S2 126" xfId="732"/>
    <cellStyle name="S2 127" xfId="733"/>
    <cellStyle name="S2 128" xfId="734"/>
    <cellStyle name="S2 129" xfId="735"/>
    <cellStyle name="S2 13" xfId="736"/>
    <cellStyle name="S2 130" xfId="737"/>
    <cellStyle name="S2 131" xfId="738"/>
    <cellStyle name="S2 132" xfId="739"/>
    <cellStyle name="S2 133" xfId="740"/>
    <cellStyle name="S2 134" xfId="741"/>
    <cellStyle name="S2 135" xfId="742"/>
    <cellStyle name="S2 136" xfId="743"/>
    <cellStyle name="S2 137" xfId="744"/>
    <cellStyle name="S2 138" xfId="745"/>
    <cellStyle name="S2 139" xfId="746"/>
    <cellStyle name="S2 14" xfId="747"/>
    <cellStyle name="S2 140" xfId="748"/>
    <cellStyle name="S2 141" xfId="749"/>
    <cellStyle name="S2 142" xfId="750"/>
    <cellStyle name="S2 143" xfId="751"/>
    <cellStyle name="S2 144" xfId="752"/>
    <cellStyle name="S2 145" xfId="753"/>
    <cellStyle name="S2 146" xfId="754"/>
    <cellStyle name="S2 147" xfId="755"/>
    <cellStyle name="S2 148" xfId="756"/>
    <cellStyle name="S2 149" xfId="757"/>
    <cellStyle name="S2 15" xfId="758"/>
    <cellStyle name="S2 150" xfId="759"/>
    <cellStyle name="S2 151" xfId="760"/>
    <cellStyle name="S2 152" xfId="761"/>
    <cellStyle name="S2 153" xfId="762"/>
    <cellStyle name="S2 154" xfId="763"/>
    <cellStyle name="S2 155" xfId="764"/>
    <cellStyle name="S2 156" xfId="765"/>
    <cellStyle name="S2 157" xfId="766"/>
    <cellStyle name="S2 158" xfId="767"/>
    <cellStyle name="S2 159" xfId="768"/>
    <cellStyle name="S2 16" xfId="769"/>
    <cellStyle name="S2 160" xfId="770"/>
    <cellStyle name="S2 161" xfId="771"/>
    <cellStyle name="S2 162" xfId="772"/>
    <cellStyle name="S2 163" xfId="773"/>
    <cellStyle name="S2 164" xfId="774"/>
    <cellStyle name="S2 165" xfId="775"/>
    <cellStyle name="S2 166" xfId="776"/>
    <cellStyle name="S2 167" xfId="777"/>
    <cellStyle name="S2 168" xfId="778"/>
    <cellStyle name="S2 169" xfId="779"/>
    <cellStyle name="S2 17" xfId="780"/>
    <cellStyle name="S2 170" xfId="781"/>
    <cellStyle name="S2 171" xfId="782"/>
    <cellStyle name="S2 172" xfId="783"/>
    <cellStyle name="S2 173" xfId="784"/>
    <cellStyle name="S2 174" xfId="785"/>
    <cellStyle name="S2 175" xfId="786"/>
    <cellStyle name="S2 176" xfId="787"/>
    <cellStyle name="S2 177" xfId="788"/>
    <cellStyle name="S2 178" xfId="789"/>
    <cellStyle name="S2 179" xfId="790"/>
    <cellStyle name="S2 18" xfId="791"/>
    <cellStyle name="S2 180" xfId="792"/>
    <cellStyle name="S2 181" xfId="793"/>
    <cellStyle name="S2 182" xfId="794"/>
    <cellStyle name="S2 183" xfId="795"/>
    <cellStyle name="S2 184" xfId="796"/>
    <cellStyle name="S2 185" xfId="797"/>
    <cellStyle name="S2 186" xfId="798"/>
    <cellStyle name="S2 187" xfId="799"/>
    <cellStyle name="S2 188" xfId="800"/>
    <cellStyle name="S2 189" xfId="801"/>
    <cellStyle name="S2 19" xfId="802"/>
    <cellStyle name="S2 190" xfId="803"/>
    <cellStyle name="S2 191" xfId="804"/>
    <cellStyle name="S2 192" xfId="805"/>
    <cellStyle name="S2 193" xfId="806"/>
    <cellStyle name="S2 194" xfId="807"/>
    <cellStyle name="S2 195" xfId="808"/>
    <cellStyle name="S2 196" xfId="809"/>
    <cellStyle name="S2 197" xfId="810"/>
    <cellStyle name="S2 198" xfId="811"/>
    <cellStyle name="S2 199" xfId="812"/>
    <cellStyle name="S2 2" xfId="813"/>
    <cellStyle name="S2 20" xfId="814"/>
    <cellStyle name="S2 200" xfId="815"/>
    <cellStyle name="S2 201" xfId="816"/>
    <cellStyle name="S2 202" xfId="817"/>
    <cellStyle name="S2 203" xfId="818"/>
    <cellStyle name="S2 204" xfId="819"/>
    <cellStyle name="S2 205" xfId="820"/>
    <cellStyle name="S2 206" xfId="821"/>
    <cellStyle name="S2 207" xfId="822"/>
    <cellStyle name="S2 208" xfId="823"/>
    <cellStyle name="S2 209" xfId="824"/>
    <cellStyle name="S2 21" xfId="825"/>
    <cellStyle name="S2 210" xfId="826"/>
    <cellStyle name="S2 211" xfId="827"/>
    <cellStyle name="S2 212" xfId="828"/>
    <cellStyle name="S2 213" xfId="829"/>
    <cellStyle name="S2 214" xfId="830"/>
    <cellStyle name="S2 215" xfId="831"/>
    <cellStyle name="S2 216" xfId="832"/>
    <cellStyle name="S2 217" xfId="833"/>
    <cellStyle name="S2 218" xfId="834"/>
    <cellStyle name="S2 219" xfId="835"/>
    <cellStyle name="S2 22" xfId="836"/>
    <cellStyle name="S2 220" xfId="837"/>
    <cellStyle name="S2 221" xfId="838"/>
    <cellStyle name="S2 222" xfId="839"/>
    <cellStyle name="S2 223" xfId="840"/>
    <cellStyle name="S2 224" xfId="841"/>
    <cellStyle name="S2 225" xfId="842"/>
    <cellStyle name="S2 226" xfId="843"/>
    <cellStyle name="S2 227" xfId="844"/>
    <cellStyle name="S2 228" xfId="845"/>
    <cellStyle name="S2 229" xfId="846"/>
    <cellStyle name="S2 23" xfId="847"/>
    <cellStyle name="S2 230" xfId="848"/>
    <cellStyle name="S2 231" xfId="849"/>
    <cellStyle name="S2 232" xfId="850"/>
    <cellStyle name="S2 233" xfId="851"/>
    <cellStyle name="S2 234" xfId="852"/>
    <cellStyle name="S2 235" xfId="853"/>
    <cellStyle name="S2 236" xfId="854"/>
    <cellStyle name="S2 237" xfId="855"/>
    <cellStyle name="S2 238" xfId="856"/>
    <cellStyle name="S2 239" xfId="857"/>
    <cellStyle name="S2 24" xfId="858"/>
    <cellStyle name="S2 240" xfId="859"/>
    <cellStyle name="S2 241" xfId="860"/>
    <cellStyle name="S2 242" xfId="861"/>
    <cellStyle name="S2 243" xfId="862"/>
    <cellStyle name="S2 244" xfId="863"/>
    <cellStyle name="S2 245" xfId="864"/>
    <cellStyle name="S2 246" xfId="865"/>
    <cellStyle name="S2 247" xfId="866"/>
    <cellStyle name="S2 248" xfId="867"/>
    <cellStyle name="S2 249" xfId="868"/>
    <cellStyle name="S2 25" xfId="869"/>
    <cellStyle name="S2 250" xfId="870"/>
    <cellStyle name="S2 251" xfId="871"/>
    <cellStyle name="S2 252" xfId="872"/>
    <cellStyle name="S2 253" xfId="873"/>
    <cellStyle name="S2 254" xfId="874"/>
    <cellStyle name="S2 255" xfId="875"/>
    <cellStyle name="S2 256" xfId="876"/>
    <cellStyle name="S2 257" xfId="877"/>
    <cellStyle name="S2 258" xfId="878"/>
    <cellStyle name="S2 259" xfId="879"/>
    <cellStyle name="S2 26" xfId="880"/>
    <cellStyle name="S2 260" xfId="881"/>
    <cellStyle name="S2 261" xfId="882"/>
    <cellStyle name="S2 262" xfId="883"/>
    <cellStyle name="S2 263" xfId="884"/>
    <cellStyle name="S2 264" xfId="885"/>
    <cellStyle name="S2 265" xfId="886"/>
    <cellStyle name="S2 265 2" xfId="887"/>
    <cellStyle name="S2 266" xfId="888"/>
    <cellStyle name="S2 267" xfId="889"/>
    <cellStyle name="S2 27" xfId="890"/>
    <cellStyle name="S2 28" xfId="891"/>
    <cellStyle name="S2 29" xfId="892"/>
    <cellStyle name="S2 3" xfId="893"/>
    <cellStyle name="S2 30" xfId="894"/>
    <cellStyle name="S2 31" xfId="895"/>
    <cellStyle name="S2 32" xfId="896"/>
    <cellStyle name="S2 33" xfId="897"/>
    <cellStyle name="S2 34" xfId="898"/>
    <cellStyle name="S2 35" xfId="899"/>
    <cellStyle name="S2 36" xfId="900"/>
    <cellStyle name="S2 37" xfId="901"/>
    <cellStyle name="S2 38" xfId="902"/>
    <cellStyle name="S2 39" xfId="903"/>
    <cellStyle name="S2 4" xfId="904"/>
    <cellStyle name="S2 40" xfId="905"/>
    <cellStyle name="S2 41" xfId="906"/>
    <cellStyle name="S2 42" xfId="907"/>
    <cellStyle name="S2 43" xfId="908"/>
    <cellStyle name="S2 44" xfId="909"/>
    <cellStyle name="S2 45" xfId="910"/>
    <cellStyle name="S2 46" xfId="911"/>
    <cellStyle name="S2 47" xfId="912"/>
    <cellStyle name="S2 48" xfId="913"/>
    <cellStyle name="S2 49" xfId="914"/>
    <cellStyle name="S2 5" xfId="915"/>
    <cellStyle name="S2 50" xfId="916"/>
    <cellStyle name="S2 51" xfId="917"/>
    <cellStyle name="S2 52" xfId="918"/>
    <cellStyle name="S2 53" xfId="919"/>
    <cellStyle name="S2 54" xfId="920"/>
    <cellStyle name="S2 55" xfId="921"/>
    <cellStyle name="S2 56" xfId="922"/>
    <cellStyle name="S2 57" xfId="923"/>
    <cellStyle name="S2 58" xfId="924"/>
    <cellStyle name="S2 59" xfId="925"/>
    <cellStyle name="S2 6" xfId="926"/>
    <cellStyle name="S2 60" xfId="927"/>
    <cellStyle name="S2 61" xfId="928"/>
    <cellStyle name="S2 62" xfId="929"/>
    <cellStyle name="S2 63" xfId="930"/>
    <cellStyle name="S2 64" xfId="931"/>
    <cellStyle name="S2 65" xfId="932"/>
    <cellStyle name="S2 66" xfId="933"/>
    <cellStyle name="S2 67" xfId="934"/>
    <cellStyle name="S2 68" xfId="935"/>
    <cellStyle name="S2 69" xfId="936"/>
    <cellStyle name="S2 7" xfId="937"/>
    <cellStyle name="S2 70" xfId="938"/>
    <cellStyle name="S2 71" xfId="939"/>
    <cellStyle name="S2 72" xfId="940"/>
    <cellStyle name="S2 73" xfId="941"/>
    <cellStyle name="S2 74" xfId="942"/>
    <cellStyle name="S2 75" xfId="943"/>
    <cellStyle name="S2 76" xfId="944"/>
    <cellStyle name="S2 77" xfId="945"/>
    <cellStyle name="S2 78" xfId="946"/>
    <cellStyle name="S2 79" xfId="947"/>
    <cellStyle name="S2 8" xfId="948"/>
    <cellStyle name="S2 80" xfId="949"/>
    <cellStyle name="S2 81" xfId="950"/>
    <cellStyle name="S2 82" xfId="951"/>
    <cellStyle name="S2 83" xfId="952"/>
    <cellStyle name="S2 84" xfId="953"/>
    <cellStyle name="S2 85" xfId="954"/>
    <cellStyle name="S2 86" xfId="955"/>
    <cellStyle name="S2 87" xfId="956"/>
    <cellStyle name="S2 88" xfId="957"/>
    <cellStyle name="S2 89" xfId="958"/>
    <cellStyle name="S2 9" xfId="959"/>
    <cellStyle name="S2 90" xfId="960"/>
    <cellStyle name="S2 91" xfId="961"/>
    <cellStyle name="S2 92" xfId="962"/>
    <cellStyle name="S2 93" xfId="963"/>
    <cellStyle name="S2 94" xfId="964"/>
    <cellStyle name="S2 95" xfId="965"/>
    <cellStyle name="S2 96" xfId="966"/>
    <cellStyle name="S2 97" xfId="967"/>
    <cellStyle name="S2 98" xfId="968"/>
    <cellStyle name="S2 99" xfId="969"/>
    <cellStyle name="S2_Pembelian" xfId="970"/>
    <cellStyle name="S3" xfId="971"/>
    <cellStyle name="S3 10" xfId="972"/>
    <cellStyle name="S3 11" xfId="973"/>
    <cellStyle name="S3 2" xfId="974"/>
    <cellStyle name="S3 3" xfId="975"/>
    <cellStyle name="S3 4" xfId="976"/>
    <cellStyle name="S3 5" xfId="977"/>
    <cellStyle name="S3 6" xfId="978"/>
    <cellStyle name="S3 7" xfId="979"/>
    <cellStyle name="S3 8" xfId="980"/>
    <cellStyle name="S3 9" xfId="981"/>
    <cellStyle name="S3 9 2" xfId="982"/>
    <cellStyle name="S3_Pembelian" xfId="983"/>
    <cellStyle name="S4" xfId="984"/>
    <cellStyle name="S4 10" xfId="985"/>
    <cellStyle name="S4 11" xfId="986"/>
    <cellStyle name="S4 12" xfId="987"/>
    <cellStyle name="S4 12 2" xfId="988"/>
    <cellStyle name="S4 13" xfId="989"/>
    <cellStyle name="S4 14" xfId="990"/>
    <cellStyle name="S4 14 2" xfId="991"/>
    <cellStyle name="S4 15" xfId="992"/>
    <cellStyle name="S4 16" xfId="993"/>
    <cellStyle name="S4 19" xfId="994"/>
    <cellStyle name="S4 2" xfId="995"/>
    <cellStyle name="S4 3" xfId="996"/>
    <cellStyle name="S4 4" xfId="997"/>
    <cellStyle name="S4 5" xfId="998"/>
    <cellStyle name="S4 6" xfId="999"/>
    <cellStyle name="S4 7" xfId="1000"/>
    <cellStyle name="S4 8" xfId="1001"/>
    <cellStyle name="S4 9" xfId="1002"/>
    <cellStyle name="S4 9 2" xfId="1003"/>
    <cellStyle name="S4_Pembelian" xfId="1004"/>
    <cellStyle name="S5" xfId="1005"/>
    <cellStyle name="S5 10" xfId="1006"/>
    <cellStyle name="S5 10 2" xfId="1007"/>
    <cellStyle name="S5 11" xfId="1008"/>
    <cellStyle name="S5 12" xfId="1009"/>
    <cellStyle name="S5 13" xfId="1010"/>
    <cellStyle name="S5 19" xfId="1011"/>
    <cellStyle name="S5 2" xfId="1012"/>
    <cellStyle name="S5 2 2" xfId="1013"/>
    <cellStyle name="S5 3" xfId="1014"/>
    <cellStyle name="S5 3 2" xfId="1015"/>
    <cellStyle name="S5 4" xfId="1016"/>
    <cellStyle name="S5 5" xfId="1017"/>
    <cellStyle name="S5 6" xfId="1018"/>
    <cellStyle name="S5 7" xfId="1019"/>
    <cellStyle name="S5 8" xfId="1020"/>
    <cellStyle name="S5 9" xfId="1021"/>
    <cellStyle name="S5 9 2" xfId="1022"/>
    <cellStyle name="S5_Pembelian" xfId="1023"/>
    <cellStyle name="S6" xfId="1024"/>
    <cellStyle name="S6 10" xfId="1025"/>
    <cellStyle name="S6 11" xfId="1026"/>
    <cellStyle name="S6 11 2" xfId="1027"/>
    <cellStyle name="S6 12" xfId="1028"/>
    <cellStyle name="S6 13" xfId="1029"/>
    <cellStyle name="S6 13 2" xfId="1030"/>
    <cellStyle name="S6 14" xfId="1031"/>
    <cellStyle name="S6 15" xfId="1032"/>
    <cellStyle name="S6 16" xfId="1033"/>
    <cellStyle name="S6 17" xfId="1034"/>
    <cellStyle name="S6 18" xfId="1035"/>
    <cellStyle name="S6 2" xfId="1036"/>
    <cellStyle name="S6 3" xfId="1037"/>
    <cellStyle name="S6 4" xfId="1038"/>
    <cellStyle name="S6 5" xfId="1039"/>
    <cellStyle name="S6 6" xfId="1040"/>
    <cellStyle name="S6 7" xfId="1041"/>
    <cellStyle name="S6 8" xfId="1042"/>
    <cellStyle name="S6 9" xfId="1043"/>
    <cellStyle name="S6_Pembelian" xfId="1044"/>
    <cellStyle name="S7" xfId="1045"/>
    <cellStyle name="S7 10" xfId="1046"/>
    <cellStyle name="S7 10 2" xfId="1047"/>
    <cellStyle name="S7 11" xfId="1048"/>
    <cellStyle name="S7 12" xfId="1049"/>
    <cellStyle name="S7 12 2" xfId="1050"/>
    <cellStyle name="S7 13" xfId="1051"/>
    <cellStyle name="S7 14" xfId="1052"/>
    <cellStyle name="S7 15" xfId="1053"/>
    <cellStyle name="S7 16" xfId="1054"/>
    <cellStyle name="S7 19" xfId="7"/>
    <cellStyle name="S7 19 2" xfId="1055"/>
    <cellStyle name="S7 2" xfId="1056"/>
    <cellStyle name="S7 3" xfId="1057"/>
    <cellStyle name="S7 4" xfId="1058"/>
    <cellStyle name="S7 5" xfId="1059"/>
    <cellStyle name="S7 6" xfId="1060"/>
    <cellStyle name="S7 7" xfId="1061"/>
    <cellStyle name="S7 8" xfId="1062"/>
    <cellStyle name="S7 9" xfId="1063"/>
    <cellStyle name="S7_Pembelian" xfId="1064"/>
    <cellStyle name="S8" xfId="1065"/>
    <cellStyle name="S8 10" xfId="1066"/>
    <cellStyle name="S8 11" xfId="1067"/>
    <cellStyle name="S8 12" xfId="1068"/>
    <cellStyle name="S8 13" xfId="1069"/>
    <cellStyle name="S8 14" xfId="1070"/>
    <cellStyle name="S8 2" xfId="1071"/>
    <cellStyle name="S8 3" xfId="1072"/>
    <cellStyle name="S8 4" xfId="1073"/>
    <cellStyle name="S8 5" xfId="1074"/>
    <cellStyle name="S8 5 2" xfId="1075"/>
    <cellStyle name="S8 6" xfId="1076"/>
    <cellStyle name="S8 7" xfId="1077"/>
    <cellStyle name="S8 8" xfId="6"/>
    <cellStyle name="S8 9" xfId="1078"/>
    <cellStyle name="S8 9 2" xfId="1079"/>
    <cellStyle name="S8_Pembelian" xfId="1080"/>
    <cellStyle name="S9" xfId="1081"/>
    <cellStyle name="S9 10" xfId="1082"/>
    <cellStyle name="S9 11" xfId="1083"/>
    <cellStyle name="S9 11 2" xfId="1084"/>
    <cellStyle name="S9 12" xfId="1085"/>
    <cellStyle name="S9 13" xfId="1086"/>
    <cellStyle name="S9 14" xfId="1087"/>
    <cellStyle name="S9 15" xfId="1088"/>
    <cellStyle name="S9 16" xfId="1089"/>
    <cellStyle name="S9 17" xfId="1090"/>
    <cellStyle name="S9 2" xfId="1091"/>
    <cellStyle name="S9 3" xfId="1092"/>
    <cellStyle name="S9 4" xfId="1093"/>
    <cellStyle name="S9 5" xfId="1094"/>
    <cellStyle name="S9 6" xfId="1095"/>
    <cellStyle name="S9 7" xfId="1096"/>
    <cellStyle name="S9 8" xfId="1097"/>
    <cellStyle name="S9 9" xfId="1098"/>
    <cellStyle name="S9_Pembelian" xfId="1099"/>
  </cellStyles>
  <dxfs count="1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33CC"/>
        <name val="Calibri"/>
        <scheme val="minor"/>
      </font>
      <numFmt numFmtId="168" formatCode="[$-409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outline="0"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</dxfs>
  <tableStyles count="0" defaultTableStyle="TableStyleMedium2" defaultPivotStyle="PivotStyleLight16"/>
  <colors>
    <mruColors>
      <color rgb="FF0000FF"/>
      <color rgb="FFE75BC2"/>
      <color rgb="FF00A200"/>
      <color rgb="FF008000"/>
      <color rgb="FFFFFFCC"/>
      <color rgb="FF44E48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Detai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19050</xdr:colOff>
      <xdr:row>11</xdr:row>
      <xdr:rowOff>85725</xdr:rowOff>
    </xdr:from>
    <xdr:to>
      <xdr:col>3</xdr:col>
      <xdr:colOff>419100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42875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400050</xdr:colOff>
      <xdr:row>6</xdr:row>
      <xdr:rowOff>57150</xdr:rowOff>
    </xdr:to>
    <xdr:sp macro="" textlink="$G$4">
      <xdr:nvSpPr>
        <xdr:cNvPr id="4" name="Rounded Rectangle 3"/>
        <xdr:cNvSpPr/>
      </xdr:nvSpPr>
      <xdr:spPr>
        <a:xfrm>
          <a:off x="123825" y="200025"/>
          <a:ext cx="1838325" cy="10191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fld id="{642F8893-5E72-49A7-86F4-E81829DA385A}" type="TxLink">
            <a:rPr lang="en-US" sz="1600" b="1" i="0" u="none" strike="noStrike" cap="none" spc="50">
              <a:ln w="11430"/>
              <a:solidFill>
                <a:srgbClr val="0070C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Arial"/>
              <a:cs typeface="Arial"/>
            </a:rPr>
            <a:pPr algn="ctr"/>
            <a:t>Dewi Sundari</a:t>
          </a:fld>
          <a:endParaRPr lang="en-GB" sz="3600" b="1" cap="none" spc="50">
            <a:ln w="11430"/>
            <a:solidFill>
              <a:srgbClr val="0070C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</a:t>
          </a:r>
          <a:r>
            <a:rPr lang="en-US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5</a:t>
          </a: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953</xdr:row>
      <xdr:rowOff>15875</xdr:rowOff>
    </xdr:from>
    <xdr:to>
      <xdr:col>7</xdr:col>
      <xdr:colOff>190500</xdr:colOff>
      <xdr:row>957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947</xdr:row>
      <xdr:rowOff>31750</xdr:rowOff>
    </xdr:from>
    <xdr:to>
      <xdr:col>7</xdr:col>
      <xdr:colOff>197037</xdr:colOff>
      <xdr:row>952</xdr:row>
      <xdr:rowOff>143809</xdr:rowOff>
    </xdr:to>
    <xdr:sp macro="" textlink="">
      <xdr:nvSpPr>
        <xdr:cNvPr id="4" name="Rectangle 3"/>
        <xdr:cNvSpPr/>
      </xdr:nvSpPr>
      <xdr:spPr>
        <a:xfrm>
          <a:off x="63500" y="162994975"/>
          <a:ext cx="5743762" cy="106455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878542</xdr:colOff>
      <xdr:row>963</xdr:row>
      <xdr:rowOff>14899</xdr:rowOff>
    </xdr:from>
    <xdr:to>
      <xdr:col>2</xdr:col>
      <xdr:colOff>1057275</xdr:colOff>
      <xdr:row>964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965</xdr:row>
      <xdr:rowOff>14899</xdr:rowOff>
    </xdr:from>
    <xdr:to>
      <xdr:col>2</xdr:col>
      <xdr:colOff>1057275</xdr:colOff>
      <xdr:row>966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963</xdr:row>
      <xdr:rowOff>0</xdr:rowOff>
    </xdr:from>
    <xdr:to>
      <xdr:col>2</xdr:col>
      <xdr:colOff>2417108</xdr:colOff>
      <xdr:row>964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965</xdr:row>
      <xdr:rowOff>0</xdr:rowOff>
    </xdr:from>
    <xdr:to>
      <xdr:col>2</xdr:col>
      <xdr:colOff>2417108</xdr:colOff>
      <xdr:row>966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962</xdr:row>
      <xdr:rowOff>180975</xdr:rowOff>
    </xdr:from>
    <xdr:to>
      <xdr:col>5</xdr:col>
      <xdr:colOff>454958</xdr:colOff>
      <xdr:row>964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964</xdr:row>
      <xdr:rowOff>180975</xdr:rowOff>
    </xdr:from>
    <xdr:to>
      <xdr:col>5</xdr:col>
      <xdr:colOff>454958</xdr:colOff>
      <xdr:row>966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968</xdr:row>
      <xdr:rowOff>0</xdr:rowOff>
    </xdr:from>
    <xdr:to>
      <xdr:col>2</xdr:col>
      <xdr:colOff>1277470</xdr:colOff>
      <xdr:row>970</xdr:row>
      <xdr:rowOff>11206</xdr:rowOff>
    </xdr:to>
    <xdr:sp macro="" textlink="$W$961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Dewi Sundari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968</xdr:row>
      <xdr:rowOff>0</xdr:rowOff>
    </xdr:from>
    <xdr:to>
      <xdr:col>4</xdr:col>
      <xdr:colOff>179294</xdr:colOff>
      <xdr:row>970</xdr:row>
      <xdr:rowOff>11206</xdr:rowOff>
    </xdr:to>
    <xdr:sp macro="" textlink="$V$965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Ahmad Syaiti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968</xdr:row>
      <xdr:rowOff>0</xdr:rowOff>
    </xdr:from>
    <xdr:to>
      <xdr:col>7</xdr:col>
      <xdr:colOff>150718</xdr:colOff>
      <xdr:row>970</xdr:row>
      <xdr:rowOff>11206</xdr:rowOff>
    </xdr:to>
    <xdr:sp macro="" textlink="$V$963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970</xdr:row>
      <xdr:rowOff>6722</xdr:rowOff>
    </xdr:from>
    <xdr:to>
      <xdr:col>2</xdr:col>
      <xdr:colOff>1272987</xdr:colOff>
      <xdr:row>972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970</xdr:row>
      <xdr:rowOff>6722</xdr:rowOff>
    </xdr:from>
    <xdr:to>
      <xdr:col>4</xdr:col>
      <xdr:colOff>174811</xdr:colOff>
      <xdr:row>972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970</xdr:row>
      <xdr:rowOff>6722</xdr:rowOff>
    </xdr:from>
    <xdr:to>
      <xdr:col>7</xdr:col>
      <xdr:colOff>146235</xdr:colOff>
      <xdr:row>972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2130088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2130088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9525</xdr:colOff>
      <xdr:row>1</xdr:row>
      <xdr:rowOff>0</xdr:rowOff>
    </xdr:from>
    <xdr:to>
      <xdr:col>24</xdr:col>
      <xdr:colOff>152400</xdr:colOff>
      <xdr:row>1</xdr:row>
      <xdr:rowOff>142875</xdr:rowOff>
    </xdr:to>
    <xdr:sp macro="" textlink="">
      <xdr:nvSpPr>
        <xdr:cNvPr id="29" name="Oval 28"/>
        <xdr:cNvSpPr/>
      </xdr:nvSpPr>
      <xdr:spPr>
        <a:xfrm>
          <a:off x="11439525" y="228600"/>
          <a:ext cx="142875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2</xdr:row>
      <xdr:rowOff>0</xdr:rowOff>
    </xdr:from>
    <xdr:to>
      <xdr:col>24</xdr:col>
      <xdr:colOff>142875</xdr:colOff>
      <xdr:row>2</xdr:row>
      <xdr:rowOff>142875</xdr:rowOff>
    </xdr:to>
    <xdr:sp macro="" textlink="">
      <xdr:nvSpPr>
        <xdr:cNvPr id="30" name="Oval 29"/>
        <xdr:cNvSpPr/>
      </xdr:nvSpPr>
      <xdr:spPr>
        <a:xfrm>
          <a:off x="11430000" y="457200"/>
          <a:ext cx="142875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9525</xdr:colOff>
      <xdr:row>1</xdr:row>
      <xdr:rowOff>0</xdr:rowOff>
    </xdr:from>
    <xdr:to>
      <xdr:col>25</xdr:col>
      <xdr:colOff>152400</xdr:colOff>
      <xdr:row>1</xdr:row>
      <xdr:rowOff>142875</xdr:rowOff>
    </xdr:to>
    <xdr:sp macro="" textlink="">
      <xdr:nvSpPr>
        <xdr:cNvPr id="31" name="Oval 30"/>
        <xdr:cNvSpPr/>
      </xdr:nvSpPr>
      <xdr:spPr>
        <a:xfrm>
          <a:off x="11706225" y="228600"/>
          <a:ext cx="142875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0</xdr:colOff>
      <xdr:row>2</xdr:row>
      <xdr:rowOff>0</xdr:rowOff>
    </xdr:from>
    <xdr:to>
      <xdr:col>25</xdr:col>
      <xdr:colOff>142875</xdr:colOff>
      <xdr:row>2</xdr:row>
      <xdr:rowOff>142875</xdr:rowOff>
    </xdr:to>
    <xdr:sp macro="" textlink="">
      <xdr:nvSpPr>
        <xdr:cNvPr id="32" name="Oval 31"/>
        <xdr:cNvSpPr/>
      </xdr:nvSpPr>
      <xdr:spPr>
        <a:xfrm>
          <a:off x="11696700" y="457200"/>
          <a:ext cx="142875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ahyu/1Pribadi/KPI%20EXCE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EWI%20TITIP\KPI\2026\01%202026%20KPI%20Digital%20Admin%20PL,Retur&amp;Fak%20Pajak%20(%20Simulasi%2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Dashboard"/>
      <sheetName val="Detail"/>
      <sheetName val="PL"/>
      <sheetName val="BACK UP"/>
      <sheetName val="Program"/>
      <sheetName val="Retur"/>
      <sheetName val="Olah Data Penjualan"/>
      <sheetName val="BONU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</sheetDataSet>
  </externalBook>
</externalLink>
</file>

<file path=xl/tables/table1.xml><?xml version="1.0" encoding="utf-8"?>
<table xmlns="http://schemas.openxmlformats.org/spreadsheetml/2006/main" id="1" name="Table3" displayName="Table3" ref="A5:G68" totalsRowShown="0" headerRowDxfId="13" dataDxfId="12" tableBorderDxfId="11" dataCellStyle="Comma [0] 2">
  <autoFilter ref="A5:G68"/>
  <tableColumns count="7">
    <tableColumn id="1" name="NO." dataDxfId="10"/>
    <tableColumn id="2" name="BULAN" dataDxfId="9"/>
    <tableColumn id="3" name="Customer" dataDxfId="8"/>
    <tableColumn id="4" name="Terima Lampiran Bonus/Transaksi Lain-Lain" dataDxfId="7"/>
    <tableColumn id="5" name="Rekap Data Bonus/Transaksi Lain-Lain" dataDxfId="6"/>
    <tableColumn id="6" name="Tercapai (Hari)" dataDxfId="5">
      <calculatedColumnFormula>+Table3[[#This Row],[Rekap Data Bonus/Transaksi Lain-Lain]]-Table3[[#This Row],[Terima Lampiran Bonus/Transaksi Lain-Lain]]</calculatedColumnFormula>
    </tableColumn>
    <tableColumn id="7" name="Ket" dataDxfId="4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zoomScaleNormal="100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455" t="s">
        <v>0</v>
      </c>
      <c r="C1" s="456"/>
      <c r="D1" s="456"/>
      <c r="E1" s="457"/>
    </row>
    <row r="2" spans="2:18" x14ac:dyDescent="0.25">
      <c r="B2" s="458"/>
      <c r="C2" s="459"/>
      <c r="D2" s="459"/>
      <c r="E2" s="460"/>
    </row>
    <row r="3" spans="2:18" x14ac:dyDescent="0.25">
      <c r="B3" s="461" t="s">
        <v>1</v>
      </c>
      <c r="C3" s="462"/>
      <c r="D3" s="463"/>
      <c r="E3" s="1" t="s">
        <v>2</v>
      </c>
    </row>
    <row r="4" spans="2:18" x14ac:dyDescent="0.25">
      <c r="B4" s="461" t="s">
        <v>3</v>
      </c>
      <c r="C4" s="462"/>
      <c r="D4" s="463"/>
      <c r="E4" s="2" t="s">
        <v>4</v>
      </c>
    </row>
    <row r="5" spans="2:18" x14ac:dyDescent="0.25">
      <c r="B5" s="461" t="s">
        <v>5</v>
      </c>
      <c r="C5" s="462"/>
      <c r="D5" s="463"/>
      <c r="E5" s="2" t="s">
        <v>6</v>
      </c>
    </row>
    <row r="6" spans="2:18" x14ac:dyDescent="0.25">
      <c r="B6" s="461" t="s">
        <v>7</v>
      </c>
      <c r="C6" s="462"/>
      <c r="D6" s="463"/>
      <c r="E6" s="3">
        <v>44075</v>
      </c>
    </row>
    <row r="7" spans="2:18" x14ac:dyDescent="0.25">
      <c r="B7" s="461" t="s">
        <v>8</v>
      </c>
      <c r="C7" s="462"/>
      <c r="D7" s="463"/>
      <c r="E7" s="4" t="s">
        <v>9</v>
      </c>
    </row>
    <row r="8" spans="2:18" x14ac:dyDescent="0.25">
      <c r="B8" s="461" t="s">
        <v>10</v>
      </c>
      <c r="C8" s="462"/>
      <c r="D8" s="463"/>
      <c r="E8" s="5">
        <v>44136</v>
      </c>
    </row>
    <row r="10" spans="2:18" x14ac:dyDescent="0.25">
      <c r="B10" s="464" t="s">
        <v>11</v>
      </c>
      <c r="C10" s="465"/>
      <c r="D10" s="465"/>
      <c r="E10" s="465"/>
      <c r="F10" s="465"/>
      <c r="G10" s="465"/>
      <c r="H10" s="468" t="s">
        <v>12</v>
      </c>
      <c r="I10" s="469"/>
      <c r="J10" s="469"/>
      <c r="K10" s="469"/>
      <c r="L10" s="470"/>
    </row>
    <row r="11" spans="2:18" x14ac:dyDescent="0.25">
      <c r="B11" s="466"/>
      <c r="C11" s="467"/>
      <c r="D11" s="467"/>
      <c r="E11" s="467"/>
      <c r="F11" s="467"/>
      <c r="G11" s="467"/>
      <c r="H11" s="471"/>
      <c r="I11" s="472"/>
      <c r="J11" s="472"/>
      <c r="K11" s="472"/>
      <c r="L11" s="473"/>
    </row>
    <row r="12" spans="2:18" x14ac:dyDescent="0.25">
      <c r="B12" s="400">
        <v>1</v>
      </c>
      <c r="C12" s="474" t="s">
        <v>13</v>
      </c>
      <c r="D12" s="474"/>
      <c r="E12" s="474"/>
      <c r="F12" s="474"/>
      <c r="G12" s="474"/>
      <c r="H12" s="392" t="s">
        <v>14</v>
      </c>
      <c r="I12" s="392"/>
      <c r="J12" s="392"/>
      <c r="K12" s="392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400"/>
      <c r="C13" s="474"/>
      <c r="D13" s="474"/>
      <c r="E13" s="474"/>
      <c r="F13" s="474"/>
      <c r="G13" s="474"/>
      <c r="H13" s="392" t="s">
        <v>20</v>
      </c>
      <c r="I13" s="392"/>
      <c r="J13" s="392"/>
      <c r="K13" s="392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400"/>
      <c r="C14" s="474"/>
      <c r="D14" s="474"/>
      <c r="E14" s="474"/>
      <c r="F14" s="474"/>
      <c r="G14" s="474"/>
      <c r="H14" s="392" t="s">
        <v>23</v>
      </c>
      <c r="I14" s="392"/>
      <c r="J14" s="392"/>
      <c r="K14" s="392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400"/>
      <c r="C15" s="474"/>
      <c r="D15" s="474"/>
      <c r="E15" s="474"/>
      <c r="F15" s="474"/>
      <c r="G15" s="474"/>
      <c r="H15" s="392" t="s">
        <v>26</v>
      </c>
      <c r="I15" s="392"/>
      <c r="J15" s="392"/>
      <c r="K15" s="392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400"/>
      <c r="C16" s="475" t="s">
        <v>28</v>
      </c>
      <c r="D16" s="475"/>
      <c r="E16" s="475"/>
      <c r="F16" s="475"/>
      <c r="G16" s="475"/>
      <c r="H16" s="392" t="s">
        <v>29</v>
      </c>
      <c r="I16" s="392"/>
      <c r="J16" s="392"/>
      <c r="K16" s="392"/>
      <c r="L16" s="392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400"/>
      <c r="C17" s="392">
        <v>1</v>
      </c>
      <c r="D17" s="404" t="s">
        <v>31</v>
      </c>
      <c r="E17" s="404"/>
      <c r="F17" s="404"/>
      <c r="G17" s="404"/>
      <c r="H17" s="26" t="s">
        <v>32</v>
      </c>
      <c r="I17" s="27">
        <v>0.6</v>
      </c>
      <c r="J17" s="392" t="s">
        <v>33</v>
      </c>
      <c r="K17" s="392"/>
      <c r="L17" s="392"/>
      <c r="N17" s="28"/>
      <c r="O17" s="29"/>
      <c r="P17" s="30"/>
      <c r="Q17" s="30"/>
      <c r="R17" s="25"/>
    </row>
    <row r="18" spans="2:25" ht="15" customHeight="1" x14ac:dyDescent="0.25">
      <c r="B18" s="400"/>
      <c r="C18" s="392"/>
      <c r="D18" s="404"/>
      <c r="E18" s="404"/>
      <c r="F18" s="404"/>
      <c r="G18" s="404"/>
      <c r="H18" s="406">
        <v>4</v>
      </c>
      <c r="I18" s="406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51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400"/>
      <c r="C19" s="392"/>
      <c r="D19" s="404"/>
      <c r="E19" s="404"/>
      <c r="F19" s="404"/>
      <c r="G19" s="404"/>
      <c r="H19" s="406"/>
      <c r="I19" s="406"/>
      <c r="J19" s="6">
        <v>4</v>
      </c>
      <c r="K19" s="6" t="s">
        <v>34</v>
      </c>
      <c r="L19" s="6">
        <v>110</v>
      </c>
      <c r="N19" s="32"/>
      <c r="O19" s="452"/>
      <c r="P19" s="33">
        <v>0.6</v>
      </c>
      <c r="Q19" s="34">
        <f>P19*Q16</f>
        <v>72.912000000000006</v>
      </c>
    </row>
    <row r="20" spans="2:25" x14ac:dyDescent="0.25">
      <c r="B20" s="400"/>
      <c r="C20" s="392"/>
      <c r="D20" s="404"/>
      <c r="E20" s="404"/>
      <c r="F20" s="404"/>
      <c r="G20" s="404"/>
      <c r="H20" s="406"/>
      <c r="I20" s="406"/>
      <c r="J20" s="6">
        <v>3</v>
      </c>
      <c r="K20" s="6" t="s">
        <v>34</v>
      </c>
      <c r="L20" s="6">
        <v>105</v>
      </c>
    </row>
    <row r="21" spans="2:25" x14ac:dyDescent="0.25">
      <c r="B21" s="400"/>
      <c r="C21" s="392"/>
      <c r="D21" s="404"/>
      <c r="E21" s="404"/>
      <c r="F21" s="404"/>
      <c r="G21" s="404"/>
      <c r="H21" s="406"/>
      <c r="I21" s="406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400"/>
      <c r="C22" s="392"/>
      <c r="D22" s="392" t="s">
        <v>37</v>
      </c>
      <c r="E22" s="392"/>
      <c r="F22" s="392"/>
      <c r="G22" s="392"/>
      <c r="H22" s="406"/>
      <c r="I22" s="406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400"/>
      <c r="C23" s="392"/>
      <c r="D23" s="392" t="s">
        <v>38</v>
      </c>
      <c r="E23" s="392"/>
      <c r="F23" s="392"/>
      <c r="G23" s="392"/>
      <c r="H23" s="406"/>
      <c r="I23" s="406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400"/>
      <c r="C24" s="392"/>
      <c r="D24" s="392"/>
      <c r="E24" s="392"/>
      <c r="F24" s="392"/>
      <c r="G24" s="392"/>
      <c r="H24" s="392" t="s">
        <v>29</v>
      </c>
      <c r="I24" s="392"/>
      <c r="J24" s="392"/>
      <c r="K24" s="392"/>
      <c r="L24" s="392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400"/>
      <c r="C25" s="392">
        <v>2</v>
      </c>
      <c r="D25" s="404" t="s">
        <v>39</v>
      </c>
      <c r="E25" s="404"/>
      <c r="F25" s="404"/>
      <c r="G25" s="404"/>
      <c r="H25" s="26" t="s">
        <v>32</v>
      </c>
      <c r="I25" s="27">
        <v>0.4</v>
      </c>
      <c r="J25" s="392" t="s">
        <v>40</v>
      </c>
      <c r="K25" s="392"/>
      <c r="L25" s="392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400"/>
      <c r="C26" s="392"/>
      <c r="D26" s="404"/>
      <c r="E26" s="404"/>
      <c r="F26" s="404"/>
      <c r="G26" s="404"/>
      <c r="H26" s="394">
        <v>9</v>
      </c>
      <c r="I26" s="406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400"/>
      <c r="C27" s="392"/>
      <c r="D27" s="392" t="s">
        <v>37</v>
      </c>
      <c r="E27" s="392"/>
      <c r="F27" s="392"/>
      <c r="G27" s="392"/>
      <c r="H27" s="395"/>
      <c r="I27" s="406"/>
      <c r="J27" s="6">
        <v>9</v>
      </c>
      <c r="K27" s="6" t="s">
        <v>41</v>
      </c>
      <c r="L27" s="6">
        <v>107</v>
      </c>
      <c r="N27" s="28"/>
      <c r="O27" s="451" t="s">
        <v>36</v>
      </c>
      <c r="P27" s="31" t="s">
        <v>17</v>
      </c>
      <c r="Q27" s="31" t="s">
        <v>35</v>
      </c>
    </row>
    <row r="28" spans="2:25" x14ac:dyDescent="0.25">
      <c r="B28" s="400"/>
      <c r="C28" s="392"/>
      <c r="D28" s="404" t="s">
        <v>42</v>
      </c>
      <c r="E28" s="404"/>
      <c r="F28" s="404"/>
      <c r="G28" s="404"/>
      <c r="H28" s="395"/>
      <c r="I28" s="406"/>
      <c r="J28" s="6">
        <v>8</v>
      </c>
      <c r="K28" s="6" t="s">
        <v>41</v>
      </c>
      <c r="L28" s="6">
        <v>105</v>
      </c>
      <c r="N28" s="32"/>
      <c r="O28" s="452"/>
      <c r="P28" s="33">
        <v>0.4</v>
      </c>
      <c r="Q28" s="34">
        <f>P28*Q25</f>
        <v>41.624000000000002</v>
      </c>
    </row>
    <row r="29" spans="2:25" x14ac:dyDescent="0.25">
      <c r="B29" s="400"/>
      <c r="C29" s="392"/>
      <c r="D29" s="404"/>
      <c r="E29" s="404"/>
      <c r="F29" s="404"/>
      <c r="G29" s="404"/>
      <c r="H29" s="395"/>
      <c r="I29" s="406"/>
      <c r="J29" s="6">
        <v>7</v>
      </c>
      <c r="K29" s="6" t="s">
        <v>41</v>
      </c>
      <c r="L29" s="6">
        <v>102</v>
      </c>
    </row>
    <row r="30" spans="2:25" x14ac:dyDescent="0.25">
      <c r="B30" s="400"/>
      <c r="C30" s="392"/>
      <c r="D30" s="404"/>
      <c r="E30" s="404"/>
      <c r="F30" s="404"/>
      <c r="G30" s="404"/>
      <c r="H30" s="395"/>
      <c r="I30" s="406"/>
      <c r="J30" s="6">
        <v>6</v>
      </c>
      <c r="K30" s="6" t="s">
        <v>41</v>
      </c>
      <c r="L30" s="6">
        <v>100</v>
      </c>
    </row>
    <row r="31" spans="2:25" x14ac:dyDescent="0.25">
      <c r="B31" s="400"/>
      <c r="C31" s="392"/>
      <c r="D31" s="404"/>
      <c r="E31" s="404"/>
      <c r="F31" s="404"/>
      <c r="G31" s="404"/>
      <c r="H31" s="395"/>
      <c r="I31" s="406"/>
      <c r="J31" s="6">
        <v>5</v>
      </c>
      <c r="K31" s="6" t="s">
        <v>41</v>
      </c>
      <c r="L31" s="6">
        <v>95</v>
      </c>
      <c r="N31" s="9"/>
      <c r="O31" s="8" t="s">
        <v>43</v>
      </c>
      <c r="P31" s="453">
        <f>Q19+Q28</f>
        <v>114.536</v>
      </c>
      <c r="Q31" s="453"/>
    </row>
    <row r="32" spans="2:25" ht="15" customHeight="1" x14ac:dyDescent="0.25">
      <c r="B32" s="400"/>
      <c r="C32" s="392"/>
      <c r="D32" s="404"/>
      <c r="E32" s="404"/>
      <c r="F32" s="404"/>
      <c r="G32" s="404"/>
      <c r="H32" s="395"/>
      <c r="I32" s="406"/>
      <c r="J32" s="6">
        <v>4</v>
      </c>
      <c r="K32" s="6" t="s">
        <v>41</v>
      </c>
      <c r="L32" s="35">
        <v>90</v>
      </c>
      <c r="O32" s="37" t="s">
        <v>44</v>
      </c>
      <c r="P32" s="453"/>
      <c r="Q32" s="453"/>
    </row>
    <row r="33" spans="2:17" x14ac:dyDescent="0.25">
      <c r="B33" s="400"/>
      <c r="C33" s="392"/>
      <c r="D33" s="404"/>
      <c r="E33" s="404"/>
      <c r="F33" s="404"/>
      <c r="G33" s="404"/>
      <c r="H33" s="396"/>
      <c r="I33" s="406"/>
      <c r="J33" s="6">
        <v>3</v>
      </c>
      <c r="K33" s="6" t="s">
        <v>41</v>
      </c>
      <c r="L33" s="35">
        <v>85</v>
      </c>
      <c r="O33" s="31" t="s">
        <v>45</v>
      </c>
      <c r="P33" s="454" t="str">
        <f>IF(P31&lt;90,"POOR",IF(P31&lt;=100,"GOOD",IF(P31&lt;=110,"Very Good",IF(P31&gt;110,"Excellent"))))</f>
        <v>Excellent</v>
      </c>
      <c r="Q33" s="454"/>
    </row>
    <row r="34" spans="2:17" x14ac:dyDescent="0.25">
      <c r="B34" s="400"/>
      <c r="C34" s="397" t="s">
        <v>46</v>
      </c>
      <c r="D34" s="398"/>
      <c r="E34" s="398"/>
      <c r="F34" s="398"/>
      <c r="G34" s="399"/>
      <c r="H34" s="407">
        <f>SUM(I18,I26)</f>
        <v>108.80000000000001</v>
      </c>
      <c r="I34" s="408"/>
      <c r="J34" s="408"/>
      <c r="K34" s="408"/>
      <c r="L34" s="409"/>
    </row>
    <row r="35" spans="2:17" x14ac:dyDescent="0.25">
      <c r="B35" s="400"/>
      <c r="C35" s="392" t="s">
        <v>47</v>
      </c>
      <c r="D35" s="392"/>
      <c r="E35" s="392"/>
      <c r="F35" s="392"/>
      <c r="G35" s="392"/>
      <c r="H35" s="392" t="s">
        <v>29</v>
      </c>
      <c r="I35" s="392"/>
      <c r="J35" s="392"/>
      <c r="K35" s="392"/>
      <c r="L35" s="392"/>
    </row>
    <row r="36" spans="2:17" ht="15" customHeight="1" x14ac:dyDescent="0.25">
      <c r="B36" s="400"/>
      <c r="C36" s="392">
        <v>1</v>
      </c>
      <c r="D36" s="404" t="s">
        <v>48</v>
      </c>
      <c r="E36" s="404"/>
      <c r="F36" s="404"/>
      <c r="G36" s="404"/>
      <c r="H36" s="26" t="s">
        <v>32</v>
      </c>
      <c r="I36" s="27">
        <v>0.25</v>
      </c>
      <c r="J36" s="392" t="s">
        <v>49</v>
      </c>
      <c r="K36" s="392"/>
      <c r="L36" s="392"/>
    </row>
    <row r="37" spans="2:17" x14ac:dyDescent="0.25">
      <c r="B37" s="400"/>
      <c r="C37" s="392"/>
      <c r="D37" s="404"/>
      <c r="E37" s="404"/>
      <c r="F37" s="404"/>
      <c r="G37" s="404"/>
      <c r="H37" s="406">
        <v>8</v>
      </c>
      <c r="I37" s="406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400"/>
      <c r="C38" s="392"/>
      <c r="D38" s="404"/>
      <c r="E38" s="404"/>
      <c r="F38" s="404"/>
      <c r="G38" s="404"/>
      <c r="H38" s="406"/>
      <c r="I38" s="406"/>
      <c r="J38" s="35">
        <v>3</v>
      </c>
      <c r="K38" s="35" t="s">
        <v>50</v>
      </c>
      <c r="L38" s="35">
        <v>110</v>
      </c>
    </row>
    <row r="39" spans="2:17" x14ac:dyDescent="0.25">
      <c r="B39" s="400"/>
      <c r="C39" s="392"/>
      <c r="D39" s="432" t="s">
        <v>37</v>
      </c>
      <c r="E39" s="433"/>
      <c r="F39" s="433"/>
      <c r="G39" s="434"/>
      <c r="H39" s="406"/>
      <c r="I39" s="406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400"/>
      <c r="C40" s="392"/>
      <c r="D40" s="404" t="s">
        <v>51</v>
      </c>
      <c r="E40" s="404"/>
      <c r="F40" s="404"/>
      <c r="G40" s="404"/>
      <c r="H40" s="406"/>
      <c r="I40" s="406"/>
      <c r="J40" s="35">
        <v>1</v>
      </c>
      <c r="K40" s="35" t="s">
        <v>50</v>
      </c>
      <c r="L40" s="35">
        <v>100</v>
      </c>
    </row>
    <row r="41" spans="2:17" x14ac:dyDescent="0.25">
      <c r="B41" s="400"/>
      <c r="C41" s="392"/>
      <c r="D41" s="404"/>
      <c r="E41" s="404"/>
      <c r="F41" s="404"/>
      <c r="G41" s="404"/>
      <c r="H41" s="406"/>
      <c r="I41" s="406"/>
      <c r="J41" s="35">
        <v>0</v>
      </c>
      <c r="K41" s="35" t="s">
        <v>50</v>
      </c>
      <c r="L41" s="35">
        <v>50</v>
      </c>
    </row>
    <row r="42" spans="2:17" x14ac:dyDescent="0.25">
      <c r="B42" s="400"/>
      <c r="C42" s="392"/>
      <c r="D42" s="404"/>
      <c r="E42" s="404"/>
      <c r="F42" s="404"/>
      <c r="G42" s="404"/>
      <c r="H42" s="392" t="s">
        <v>29</v>
      </c>
      <c r="I42" s="392"/>
      <c r="J42" s="392"/>
      <c r="K42" s="392"/>
      <c r="L42" s="392"/>
    </row>
    <row r="43" spans="2:17" ht="15" customHeight="1" x14ac:dyDescent="0.25">
      <c r="B43" s="400"/>
      <c r="C43" s="392">
        <v>2</v>
      </c>
      <c r="D43" s="413" t="s">
        <v>52</v>
      </c>
      <c r="E43" s="374"/>
      <c r="F43" s="374"/>
      <c r="G43" s="414"/>
      <c r="H43" s="26" t="s">
        <v>32</v>
      </c>
      <c r="I43" s="27">
        <v>0.3</v>
      </c>
      <c r="J43" s="392" t="s">
        <v>53</v>
      </c>
      <c r="K43" s="392"/>
      <c r="L43" s="392"/>
    </row>
    <row r="44" spans="2:17" x14ac:dyDescent="0.25">
      <c r="B44" s="400"/>
      <c r="C44" s="392"/>
      <c r="D44" s="430"/>
      <c r="E44" s="375"/>
      <c r="F44" s="375"/>
      <c r="G44" s="431"/>
      <c r="H44" s="406" t="s">
        <v>54</v>
      </c>
      <c r="I44" s="406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400"/>
      <c r="C45" s="392"/>
      <c r="D45" s="430"/>
      <c r="E45" s="375"/>
      <c r="F45" s="375"/>
      <c r="G45" s="431"/>
      <c r="H45" s="406"/>
      <c r="I45" s="406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400"/>
      <c r="C46" s="392"/>
      <c r="D46" s="415"/>
      <c r="E46" s="416"/>
      <c r="F46" s="416"/>
      <c r="G46" s="417"/>
      <c r="H46" s="406"/>
      <c r="I46" s="406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400"/>
      <c r="C47" s="392"/>
      <c r="D47" s="413" t="s">
        <v>56</v>
      </c>
      <c r="E47" s="374"/>
      <c r="F47" s="374"/>
      <c r="G47" s="414"/>
      <c r="H47" s="406"/>
      <c r="I47" s="406"/>
      <c r="J47" s="35">
        <v>3</v>
      </c>
      <c r="K47" s="35" t="s">
        <v>55</v>
      </c>
      <c r="L47" s="35">
        <v>100</v>
      </c>
    </row>
    <row r="48" spans="2:17" x14ac:dyDescent="0.25">
      <c r="B48" s="400"/>
      <c r="C48" s="392"/>
      <c r="D48" s="430"/>
      <c r="E48" s="375"/>
      <c r="F48" s="375"/>
      <c r="G48" s="431"/>
      <c r="H48" s="406"/>
      <c r="I48" s="406"/>
      <c r="J48" s="35">
        <v>4</v>
      </c>
      <c r="K48" s="35" t="s">
        <v>55</v>
      </c>
      <c r="L48" s="35">
        <v>95</v>
      </c>
    </row>
    <row r="49" spans="2:12" x14ac:dyDescent="0.25">
      <c r="B49" s="400"/>
      <c r="C49" s="392"/>
      <c r="D49" s="430"/>
      <c r="E49" s="375"/>
      <c r="F49" s="375"/>
      <c r="G49" s="431"/>
      <c r="H49" s="406"/>
      <c r="I49" s="406"/>
      <c r="J49" s="35">
        <v>5</v>
      </c>
      <c r="K49" s="35" t="s">
        <v>55</v>
      </c>
      <c r="L49" s="35">
        <v>90</v>
      </c>
    </row>
    <row r="50" spans="2:12" x14ac:dyDescent="0.25">
      <c r="B50" s="400"/>
      <c r="C50" s="392"/>
      <c r="D50" s="430"/>
      <c r="E50" s="375"/>
      <c r="F50" s="375"/>
      <c r="G50" s="431"/>
      <c r="H50" s="406"/>
      <c r="I50" s="406"/>
      <c r="J50" s="35">
        <v>6</v>
      </c>
      <c r="K50" s="35" t="s">
        <v>55</v>
      </c>
      <c r="L50" s="35">
        <v>85</v>
      </c>
    </row>
    <row r="51" spans="2:12" x14ac:dyDescent="0.25">
      <c r="B51" s="400"/>
      <c r="C51" s="392"/>
      <c r="D51" s="430"/>
      <c r="E51" s="375"/>
      <c r="F51" s="375"/>
      <c r="G51" s="431"/>
      <c r="H51" s="406"/>
      <c r="I51" s="406"/>
      <c r="J51" s="35">
        <v>7</v>
      </c>
      <c r="K51" s="35" t="s">
        <v>55</v>
      </c>
      <c r="L51" s="35">
        <v>80</v>
      </c>
    </row>
    <row r="52" spans="2:12" x14ac:dyDescent="0.25">
      <c r="B52" s="400"/>
      <c r="C52" s="392"/>
      <c r="D52" s="415"/>
      <c r="E52" s="416"/>
      <c r="F52" s="416"/>
      <c r="G52" s="417"/>
      <c r="H52" s="392" t="s">
        <v>29</v>
      </c>
      <c r="I52" s="392"/>
      <c r="J52" s="392"/>
      <c r="K52" s="392"/>
      <c r="L52" s="392"/>
    </row>
    <row r="53" spans="2:12" ht="15" customHeight="1" x14ac:dyDescent="0.25">
      <c r="B53" s="400"/>
      <c r="C53" s="392">
        <v>3</v>
      </c>
      <c r="D53" s="404" t="s">
        <v>57</v>
      </c>
      <c r="E53" s="404"/>
      <c r="F53" s="404"/>
      <c r="G53" s="404"/>
      <c r="H53" s="26" t="s">
        <v>32</v>
      </c>
      <c r="I53" s="27">
        <v>0.25</v>
      </c>
      <c r="J53" s="392" t="s">
        <v>53</v>
      </c>
      <c r="K53" s="392"/>
      <c r="L53" s="392"/>
    </row>
    <row r="54" spans="2:12" x14ac:dyDescent="0.25">
      <c r="B54" s="400"/>
      <c r="C54" s="392"/>
      <c r="D54" s="404"/>
      <c r="E54" s="404"/>
      <c r="F54" s="404"/>
      <c r="G54" s="404"/>
      <c r="H54" s="406">
        <v>5</v>
      </c>
      <c r="I54" s="406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400"/>
      <c r="C55" s="392"/>
      <c r="D55" s="404"/>
      <c r="E55" s="404"/>
      <c r="F55" s="404"/>
      <c r="G55" s="404"/>
      <c r="H55" s="406"/>
      <c r="I55" s="406"/>
      <c r="J55" s="35">
        <v>4</v>
      </c>
      <c r="K55" s="35" t="s">
        <v>58</v>
      </c>
      <c r="L55" s="35">
        <v>110</v>
      </c>
    </row>
    <row r="56" spans="2:12" x14ac:dyDescent="0.25">
      <c r="B56" s="400"/>
      <c r="C56" s="392"/>
      <c r="D56" s="404"/>
      <c r="E56" s="404"/>
      <c r="F56" s="404"/>
      <c r="G56" s="404"/>
      <c r="H56" s="406"/>
      <c r="I56" s="406"/>
      <c r="J56" s="35">
        <v>3</v>
      </c>
      <c r="K56" s="35" t="s">
        <v>58</v>
      </c>
      <c r="L56" s="35">
        <v>105</v>
      </c>
    </row>
    <row r="57" spans="2:12" x14ac:dyDescent="0.25">
      <c r="B57" s="400"/>
      <c r="C57" s="392"/>
      <c r="D57" s="367" t="s">
        <v>37</v>
      </c>
      <c r="E57" s="367"/>
      <c r="F57" s="367"/>
      <c r="G57" s="367"/>
      <c r="H57" s="406"/>
      <c r="I57" s="406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400"/>
      <c r="C58" s="392"/>
      <c r="D58" s="404" t="s">
        <v>59</v>
      </c>
      <c r="E58" s="404"/>
      <c r="F58" s="404"/>
      <c r="G58" s="404"/>
      <c r="H58" s="406"/>
      <c r="I58" s="406"/>
      <c r="J58" s="35">
        <v>1</v>
      </c>
      <c r="K58" s="35" t="s">
        <v>58</v>
      </c>
      <c r="L58" s="35">
        <v>95</v>
      </c>
    </row>
    <row r="59" spans="2:12" x14ac:dyDescent="0.25">
      <c r="B59" s="400"/>
      <c r="C59" s="392"/>
      <c r="D59" s="404"/>
      <c r="E59" s="404"/>
      <c r="F59" s="404"/>
      <c r="G59" s="404"/>
      <c r="H59" s="406"/>
      <c r="I59" s="406"/>
      <c r="J59" s="35">
        <v>0</v>
      </c>
      <c r="K59" s="35" t="s">
        <v>58</v>
      </c>
      <c r="L59" s="35">
        <v>50</v>
      </c>
    </row>
    <row r="60" spans="2:12" x14ac:dyDescent="0.25">
      <c r="B60" s="400"/>
      <c r="C60" s="392"/>
      <c r="D60" s="404"/>
      <c r="E60" s="404"/>
      <c r="F60" s="404"/>
      <c r="G60" s="404"/>
      <c r="H60" s="392" t="s">
        <v>29</v>
      </c>
      <c r="I60" s="392"/>
      <c r="J60" s="392"/>
      <c r="K60" s="392"/>
      <c r="L60" s="392"/>
    </row>
    <row r="61" spans="2:12" x14ac:dyDescent="0.25">
      <c r="B61" s="400"/>
      <c r="C61" s="392">
        <v>4</v>
      </c>
      <c r="D61" s="404" t="s">
        <v>60</v>
      </c>
      <c r="E61" s="404"/>
      <c r="F61" s="404"/>
      <c r="G61" s="404"/>
      <c r="H61" s="26" t="s">
        <v>32</v>
      </c>
      <c r="I61" s="27">
        <v>0.2</v>
      </c>
      <c r="J61" s="392" t="s">
        <v>53</v>
      </c>
      <c r="K61" s="392"/>
      <c r="L61" s="392"/>
    </row>
    <row r="62" spans="2:12" x14ac:dyDescent="0.25">
      <c r="B62" s="400"/>
      <c r="C62" s="392"/>
      <c r="D62" s="404"/>
      <c r="E62" s="404"/>
      <c r="F62" s="404"/>
      <c r="G62" s="404"/>
      <c r="H62" s="406">
        <v>9</v>
      </c>
      <c r="I62" s="406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400"/>
      <c r="C63" s="392"/>
      <c r="D63" s="392" t="s">
        <v>37</v>
      </c>
      <c r="E63" s="392"/>
      <c r="F63" s="392"/>
      <c r="G63" s="392"/>
      <c r="H63" s="406"/>
      <c r="I63" s="406"/>
      <c r="J63" s="35">
        <v>9</v>
      </c>
      <c r="K63" s="35" t="s">
        <v>58</v>
      </c>
      <c r="L63" s="35">
        <v>107</v>
      </c>
    </row>
    <row r="64" spans="2:12" x14ac:dyDescent="0.25">
      <c r="B64" s="400"/>
      <c r="C64" s="392"/>
      <c r="D64" s="404" t="s">
        <v>61</v>
      </c>
      <c r="E64" s="404"/>
      <c r="F64" s="404"/>
      <c r="G64" s="404"/>
      <c r="H64" s="406"/>
      <c r="I64" s="406"/>
      <c r="J64" s="35">
        <v>8</v>
      </c>
      <c r="K64" s="35" t="s">
        <v>58</v>
      </c>
      <c r="L64" s="35">
        <v>105</v>
      </c>
    </row>
    <row r="65" spans="2:12" x14ac:dyDescent="0.25">
      <c r="B65" s="400"/>
      <c r="C65" s="392"/>
      <c r="D65" s="404"/>
      <c r="E65" s="404"/>
      <c r="F65" s="404"/>
      <c r="G65" s="404"/>
      <c r="H65" s="406"/>
      <c r="I65" s="406"/>
      <c r="J65" s="35">
        <v>7</v>
      </c>
      <c r="K65" s="35" t="s">
        <v>58</v>
      </c>
      <c r="L65" s="35">
        <v>102</v>
      </c>
    </row>
    <row r="66" spans="2:12" x14ac:dyDescent="0.25">
      <c r="B66" s="400"/>
      <c r="C66" s="392"/>
      <c r="D66" s="404"/>
      <c r="E66" s="404"/>
      <c r="F66" s="404"/>
      <c r="G66" s="404"/>
      <c r="H66" s="406"/>
      <c r="I66" s="406"/>
      <c r="J66" s="35">
        <v>6</v>
      </c>
      <c r="K66" s="35" t="s">
        <v>58</v>
      </c>
      <c r="L66" s="35">
        <v>10</v>
      </c>
    </row>
    <row r="67" spans="2:12" x14ac:dyDescent="0.25">
      <c r="B67" s="400"/>
      <c r="C67" s="392"/>
      <c r="D67" s="404"/>
      <c r="E67" s="404"/>
      <c r="F67" s="404"/>
      <c r="G67" s="404"/>
      <c r="H67" s="406"/>
      <c r="I67" s="406"/>
      <c r="J67" s="35">
        <v>5</v>
      </c>
      <c r="K67" s="35" t="s">
        <v>58</v>
      </c>
      <c r="L67" s="35">
        <v>95</v>
      </c>
    </row>
    <row r="68" spans="2:12" x14ac:dyDescent="0.25">
      <c r="B68" s="400"/>
      <c r="C68" s="392"/>
      <c r="D68" s="404"/>
      <c r="E68" s="404"/>
      <c r="F68" s="404"/>
      <c r="G68" s="404"/>
      <c r="H68" s="406"/>
      <c r="I68" s="406"/>
      <c r="J68" s="35">
        <v>4</v>
      </c>
      <c r="K68" s="35" t="s">
        <v>58</v>
      </c>
      <c r="L68" s="35">
        <v>90</v>
      </c>
    </row>
    <row r="69" spans="2:12" x14ac:dyDescent="0.25">
      <c r="B69" s="400"/>
      <c r="C69" s="392"/>
      <c r="D69" s="404"/>
      <c r="E69" s="404"/>
      <c r="F69" s="404"/>
      <c r="G69" s="404"/>
      <c r="H69" s="406"/>
      <c r="I69" s="406"/>
      <c r="J69" s="35"/>
      <c r="K69" s="35"/>
      <c r="L69" s="35"/>
    </row>
    <row r="70" spans="2:12" x14ac:dyDescent="0.25">
      <c r="B70" s="400"/>
      <c r="C70" s="392"/>
      <c r="D70" s="404"/>
      <c r="E70" s="404"/>
      <c r="F70" s="404"/>
      <c r="G70" s="404"/>
      <c r="H70" s="406"/>
      <c r="I70" s="406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397" t="s">
        <v>62</v>
      </c>
      <c r="D71" s="398"/>
      <c r="E71" s="398"/>
      <c r="F71" s="398"/>
      <c r="G71" s="399"/>
      <c r="H71" s="407">
        <f>I37+I44+I54+I62</f>
        <v>109.55000000000001</v>
      </c>
      <c r="I71" s="408"/>
      <c r="J71" s="408"/>
      <c r="K71" s="408"/>
      <c r="L71" s="409"/>
    </row>
    <row r="72" spans="2:12" ht="15" customHeight="1" x14ac:dyDescent="0.25">
      <c r="B72" s="427">
        <v>2</v>
      </c>
      <c r="C72" s="404" t="s">
        <v>63</v>
      </c>
      <c r="D72" s="404"/>
      <c r="E72" s="404"/>
      <c r="F72" s="404"/>
      <c r="G72" s="404"/>
      <c r="H72" s="438"/>
      <c r="I72" s="438"/>
      <c r="J72" s="438"/>
      <c r="K72" s="438"/>
      <c r="L72" s="438"/>
    </row>
    <row r="73" spans="2:12" x14ac:dyDescent="0.25">
      <c r="B73" s="428"/>
      <c r="C73" s="404"/>
      <c r="D73" s="404"/>
      <c r="E73" s="404"/>
      <c r="F73" s="404"/>
      <c r="G73" s="404"/>
      <c r="H73" s="438"/>
      <c r="I73" s="438"/>
      <c r="J73" s="438"/>
      <c r="K73" s="438"/>
      <c r="L73" s="438"/>
    </row>
    <row r="74" spans="2:12" x14ac:dyDescent="0.25">
      <c r="B74" s="428"/>
      <c r="C74" s="424" t="s">
        <v>64</v>
      </c>
      <c r="D74" s="425"/>
      <c r="E74" s="425"/>
      <c r="F74" s="425"/>
      <c r="G74" s="426"/>
      <c r="H74" s="392" t="s">
        <v>29</v>
      </c>
      <c r="I74" s="392"/>
      <c r="J74" s="392"/>
      <c r="K74" s="392"/>
      <c r="L74" s="392"/>
    </row>
    <row r="75" spans="2:12" ht="15" customHeight="1" x14ac:dyDescent="0.25">
      <c r="B75" s="428"/>
      <c r="C75" s="392">
        <v>1</v>
      </c>
      <c r="D75" s="413" t="s">
        <v>65</v>
      </c>
      <c r="E75" s="374"/>
      <c r="F75" s="374"/>
      <c r="G75" s="414"/>
      <c r="H75" s="26" t="s">
        <v>32</v>
      </c>
      <c r="I75" s="27">
        <v>0.6</v>
      </c>
      <c r="J75" s="392" t="s">
        <v>40</v>
      </c>
      <c r="K75" s="392"/>
      <c r="L75" s="392"/>
    </row>
    <row r="76" spans="2:12" ht="15" customHeight="1" x14ac:dyDescent="0.25">
      <c r="B76" s="428"/>
      <c r="C76" s="392"/>
      <c r="D76" s="430"/>
      <c r="E76" s="375"/>
      <c r="F76" s="375"/>
      <c r="G76" s="431"/>
      <c r="H76" s="406">
        <v>13</v>
      </c>
      <c r="I76" s="406">
        <f>((H76*5)+100)*I75</f>
        <v>99</v>
      </c>
      <c r="J76" s="439">
        <v>5</v>
      </c>
      <c r="K76" s="442" t="s">
        <v>66</v>
      </c>
      <c r="L76" s="443"/>
    </row>
    <row r="77" spans="2:12" x14ac:dyDescent="0.25">
      <c r="B77" s="428"/>
      <c r="C77" s="392"/>
      <c r="D77" s="430"/>
      <c r="E77" s="375"/>
      <c r="F77" s="375"/>
      <c r="G77" s="431"/>
      <c r="H77" s="406"/>
      <c r="I77" s="406"/>
      <c r="J77" s="440"/>
      <c r="K77" s="444"/>
      <c r="L77" s="445"/>
    </row>
    <row r="78" spans="2:12" x14ac:dyDescent="0.25">
      <c r="B78" s="428"/>
      <c r="C78" s="392"/>
      <c r="D78" s="430"/>
      <c r="E78" s="375"/>
      <c r="F78" s="375"/>
      <c r="G78" s="431"/>
      <c r="H78" s="406"/>
      <c r="I78" s="406"/>
      <c r="J78" s="440"/>
      <c r="K78" s="444"/>
      <c r="L78" s="445"/>
    </row>
    <row r="79" spans="2:12" x14ac:dyDescent="0.25">
      <c r="B79" s="428"/>
      <c r="C79" s="392"/>
      <c r="D79" s="415"/>
      <c r="E79" s="416"/>
      <c r="F79" s="416"/>
      <c r="G79" s="417"/>
      <c r="H79" s="406"/>
      <c r="I79" s="406"/>
      <c r="J79" s="441"/>
      <c r="K79" s="446"/>
      <c r="L79" s="447"/>
    </row>
    <row r="80" spans="2:12" x14ac:dyDescent="0.25">
      <c r="B80" s="428"/>
      <c r="C80" s="392"/>
      <c r="D80" s="404" t="s">
        <v>37</v>
      </c>
      <c r="E80" s="404"/>
      <c r="F80" s="404"/>
      <c r="G80" s="404"/>
      <c r="H80" s="406"/>
      <c r="I80" s="406"/>
      <c r="J80" s="406">
        <v>100</v>
      </c>
      <c r="K80" s="448" t="s">
        <v>67</v>
      </c>
      <c r="L80" s="448"/>
    </row>
    <row r="81" spans="2:12" ht="15" customHeight="1" x14ac:dyDescent="0.25">
      <c r="B81" s="428"/>
      <c r="C81" s="392"/>
      <c r="D81" s="404" t="s">
        <v>68</v>
      </c>
      <c r="E81" s="404"/>
      <c r="F81" s="404"/>
      <c r="G81" s="404"/>
      <c r="H81" s="406"/>
      <c r="I81" s="406"/>
      <c r="J81" s="406"/>
      <c r="K81" s="448"/>
      <c r="L81" s="448"/>
    </row>
    <row r="82" spans="2:12" x14ac:dyDescent="0.25">
      <c r="B82" s="428"/>
      <c r="C82" s="392"/>
      <c r="D82" s="404"/>
      <c r="E82" s="404"/>
      <c r="F82" s="404"/>
      <c r="G82" s="404"/>
      <c r="H82" s="406"/>
      <c r="I82" s="406"/>
      <c r="J82" s="449">
        <v>-5</v>
      </c>
      <c r="K82" s="404" t="s">
        <v>69</v>
      </c>
      <c r="L82" s="404"/>
    </row>
    <row r="83" spans="2:12" x14ac:dyDescent="0.25">
      <c r="B83" s="428"/>
      <c r="C83" s="392"/>
      <c r="D83" s="404"/>
      <c r="E83" s="404"/>
      <c r="F83" s="404"/>
      <c r="G83" s="404"/>
      <c r="H83" s="406"/>
      <c r="I83" s="406"/>
      <c r="J83" s="449"/>
      <c r="K83" s="404"/>
      <c r="L83" s="404"/>
    </row>
    <row r="84" spans="2:12" x14ac:dyDescent="0.25">
      <c r="B84" s="428"/>
      <c r="C84" s="392"/>
      <c r="D84" s="404"/>
      <c r="E84" s="404"/>
      <c r="F84" s="404"/>
      <c r="G84" s="404"/>
      <c r="H84" s="406"/>
      <c r="I84" s="406"/>
      <c r="J84" s="449"/>
      <c r="K84" s="404"/>
      <c r="L84" s="404"/>
    </row>
    <row r="85" spans="2:12" x14ac:dyDescent="0.25">
      <c r="B85" s="428"/>
      <c r="C85" s="392"/>
      <c r="D85" s="404"/>
      <c r="E85" s="404"/>
      <c r="F85" s="404"/>
      <c r="G85" s="404"/>
      <c r="H85" s="406"/>
      <c r="I85" s="406"/>
      <c r="J85" s="449"/>
      <c r="K85" s="404"/>
      <c r="L85" s="404"/>
    </row>
    <row r="86" spans="2:12" x14ac:dyDescent="0.25">
      <c r="B86" s="428"/>
      <c r="C86" s="392"/>
      <c r="D86" s="404"/>
      <c r="E86" s="404"/>
      <c r="F86" s="404"/>
      <c r="G86" s="404"/>
      <c r="H86" s="392" t="s">
        <v>29</v>
      </c>
      <c r="I86" s="392"/>
      <c r="J86" s="392"/>
      <c r="K86" s="392"/>
      <c r="L86" s="392"/>
    </row>
    <row r="87" spans="2:12" x14ac:dyDescent="0.25">
      <c r="B87" s="428"/>
      <c r="C87" s="392">
        <v>2</v>
      </c>
      <c r="D87" s="404" t="s">
        <v>70</v>
      </c>
      <c r="E87" s="404"/>
      <c r="F87" s="404"/>
      <c r="G87" s="404"/>
      <c r="H87" s="26" t="s">
        <v>32</v>
      </c>
      <c r="I87" s="27">
        <v>0.4</v>
      </c>
      <c r="J87" s="392" t="s">
        <v>40</v>
      </c>
      <c r="K87" s="392"/>
      <c r="L87" s="392"/>
    </row>
    <row r="88" spans="2:12" x14ac:dyDescent="0.25">
      <c r="B88" s="428"/>
      <c r="C88" s="392"/>
      <c r="D88" s="404"/>
      <c r="E88" s="404"/>
      <c r="F88" s="404"/>
      <c r="G88" s="404"/>
      <c r="H88" s="406">
        <v>13</v>
      </c>
      <c r="I88" s="406">
        <f>110*I87</f>
        <v>44</v>
      </c>
      <c r="J88" s="392">
        <v>110</v>
      </c>
      <c r="K88" s="404" t="s">
        <v>71</v>
      </c>
      <c r="L88" s="404"/>
    </row>
    <row r="89" spans="2:12" x14ac:dyDescent="0.25">
      <c r="B89" s="428"/>
      <c r="C89" s="392"/>
      <c r="D89" s="404"/>
      <c r="E89" s="404"/>
      <c r="F89" s="404"/>
      <c r="G89" s="404"/>
      <c r="H89" s="406"/>
      <c r="I89" s="406"/>
      <c r="J89" s="392"/>
      <c r="K89" s="404"/>
      <c r="L89" s="404"/>
    </row>
    <row r="90" spans="2:12" x14ac:dyDescent="0.25">
      <c r="B90" s="428"/>
      <c r="C90" s="392"/>
      <c r="D90" s="404"/>
      <c r="E90" s="404"/>
      <c r="F90" s="404"/>
      <c r="G90" s="404"/>
      <c r="H90" s="406"/>
      <c r="I90" s="406"/>
      <c r="J90" s="367">
        <v>100</v>
      </c>
      <c r="K90" s="404" t="s">
        <v>72</v>
      </c>
      <c r="L90" s="404"/>
    </row>
    <row r="91" spans="2:12" x14ac:dyDescent="0.25">
      <c r="B91" s="428"/>
      <c r="C91" s="392"/>
      <c r="D91" s="404"/>
      <c r="E91" s="404"/>
      <c r="F91" s="404"/>
      <c r="G91" s="404"/>
      <c r="H91" s="406"/>
      <c r="I91" s="406"/>
      <c r="J91" s="367"/>
      <c r="K91" s="404"/>
      <c r="L91" s="404"/>
    </row>
    <row r="92" spans="2:12" x14ac:dyDescent="0.25">
      <c r="B92" s="428"/>
      <c r="C92" s="392"/>
      <c r="D92" s="392" t="s">
        <v>37</v>
      </c>
      <c r="E92" s="392"/>
      <c r="F92" s="392"/>
      <c r="G92" s="392"/>
      <c r="H92" s="406"/>
      <c r="I92" s="406"/>
      <c r="J92" s="450">
        <v>-5</v>
      </c>
      <c r="K92" s="404" t="s">
        <v>73</v>
      </c>
      <c r="L92" s="404"/>
    </row>
    <row r="93" spans="2:12" ht="15" customHeight="1" x14ac:dyDescent="0.25">
      <c r="B93" s="428"/>
      <c r="C93" s="392"/>
      <c r="D93" s="404" t="s">
        <v>74</v>
      </c>
      <c r="E93" s="404"/>
      <c r="F93" s="404"/>
      <c r="G93" s="404"/>
      <c r="H93" s="406"/>
      <c r="I93" s="406"/>
      <c r="J93" s="450"/>
      <c r="K93" s="404"/>
      <c r="L93" s="404"/>
    </row>
    <row r="94" spans="2:12" x14ac:dyDescent="0.25">
      <c r="B94" s="428"/>
      <c r="C94" s="392"/>
      <c r="D94" s="404"/>
      <c r="E94" s="404"/>
      <c r="F94" s="404"/>
      <c r="G94" s="404"/>
      <c r="H94" s="406"/>
      <c r="I94" s="406"/>
      <c r="J94" s="450"/>
      <c r="K94" s="404"/>
      <c r="L94" s="404"/>
    </row>
    <row r="95" spans="2:12" x14ac:dyDescent="0.25">
      <c r="B95" s="428"/>
      <c r="C95" s="397" t="s">
        <v>46</v>
      </c>
      <c r="D95" s="398"/>
      <c r="E95" s="398"/>
      <c r="F95" s="398"/>
      <c r="G95" s="399"/>
      <c r="H95" s="407">
        <f>I76+I88</f>
        <v>143</v>
      </c>
      <c r="I95" s="408"/>
      <c r="J95" s="408"/>
      <c r="K95" s="408"/>
      <c r="L95" s="409"/>
    </row>
    <row r="96" spans="2:12" x14ac:dyDescent="0.25">
      <c r="B96" s="428"/>
      <c r="C96" s="424" t="s">
        <v>47</v>
      </c>
      <c r="D96" s="425"/>
      <c r="E96" s="425"/>
      <c r="F96" s="425"/>
      <c r="G96" s="426"/>
      <c r="H96" s="392" t="s">
        <v>29</v>
      </c>
      <c r="I96" s="392"/>
      <c r="J96" s="392"/>
      <c r="K96" s="392"/>
      <c r="L96" s="392"/>
    </row>
    <row r="97" spans="2:12" x14ac:dyDescent="0.25">
      <c r="B97" s="428"/>
      <c r="C97" s="427">
        <v>1</v>
      </c>
      <c r="D97" s="404" t="s">
        <v>75</v>
      </c>
      <c r="E97" s="404"/>
      <c r="F97" s="404"/>
      <c r="G97" s="404"/>
      <c r="H97" s="26" t="s">
        <v>32</v>
      </c>
      <c r="I97" s="27">
        <v>0.4</v>
      </c>
      <c r="J97" s="392" t="s">
        <v>40</v>
      </c>
      <c r="K97" s="392"/>
      <c r="L97" s="392"/>
    </row>
    <row r="98" spans="2:12" x14ac:dyDescent="0.25">
      <c r="B98" s="428"/>
      <c r="C98" s="428"/>
      <c r="D98" s="404"/>
      <c r="E98" s="404"/>
      <c r="F98" s="404"/>
      <c r="G98" s="404"/>
      <c r="H98" s="394">
        <v>98</v>
      </c>
      <c r="I98" s="394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28"/>
      <c r="C99" s="428"/>
      <c r="D99" s="404"/>
      <c r="E99" s="404"/>
      <c r="F99" s="404"/>
      <c r="G99" s="404"/>
      <c r="H99" s="395"/>
      <c r="I99" s="395"/>
      <c r="J99" s="39">
        <v>110</v>
      </c>
      <c r="K99" s="39" t="s">
        <v>34</v>
      </c>
      <c r="L99" s="39" t="s">
        <v>77</v>
      </c>
    </row>
    <row r="100" spans="2:12" x14ac:dyDescent="0.25">
      <c r="B100" s="428"/>
      <c r="C100" s="428"/>
      <c r="D100" s="424" t="s">
        <v>37</v>
      </c>
      <c r="E100" s="425"/>
      <c r="F100" s="425"/>
      <c r="G100" s="426"/>
      <c r="H100" s="395"/>
      <c r="I100" s="395"/>
      <c r="J100" s="39">
        <v>108</v>
      </c>
      <c r="K100" s="39" t="s">
        <v>34</v>
      </c>
      <c r="L100" s="39" t="s">
        <v>78</v>
      </c>
    </row>
    <row r="101" spans="2:12" x14ac:dyDescent="0.25">
      <c r="B101" s="428"/>
      <c r="C101" s="428"/>
      <c r="D101" s="413" t="s">
        <v>79</v>
      </c>
      <c r="E101" s="374"/>
      <c r="F101" s="374"/>
      <c r="G101" s="414"/>
      <c r="H101" s="395"/>
      <c r="I101" s="395"/>
      <c r="J101" s="39">
        <v>105</v>
      </c>
      <c r="K101" s="39" t="s">
        <v>34</v>
      </c>
      <c r="L101" s="39" t="s">
        <v>80</v>
      </c>
    </row>
    <row r="102" spans="2:12" x14ac:dyDescent="0.25">
      <c r="B102" s="428"/>
      <c r="C102" s="428"/>
      <c r="D102" s="430"/>
      <c r="E102" s="375"/>
      <c r="F102" s="375"/>
      <c r="G102" s="431"/>
      <c r="H102" s="395"/>
      <c r="I102" s="395"/>
      <c r="J102" s="39">
        <v>103</v>
      </c>
      <c r="K102" s="39" t="s">
        <v>34</v>
      </c>
      <c r="L102" s="39" t="s">
        <v>81</v>
      </c>
    </row>
    <row r="103" spans="2:12" x14ac:dyDescent="0.25">
      <c r="B103" s="428"/>
      <c r="C103" s="428"/>
      <c r="D103" s="430"/>
      <c r="E103" s="375"/>
      <c r="F103" s="375"/>
      <c r="G103" s="431"/>
      <c r="H103" s="395"/>
      <c r="I103" s="395"/>
      <c r="J103" s="39">
        <v>100</v>
      </c>
      <c r="K103" s="39" t="s">
        <v>34</v>
      </c>
      <c r="L103" s="39" t="s">
        <v>82</v>
      </c>
    </row>
    <row r="104" spans="2:12" x14ac:dyDescent="0.25">
      <c r="B104" s="428"/>
      <c r="C104" s="428"/>
      <c r="D104" s="430"/>
      <c r="E104" s="375"/>
      <c r="F104" s="375"/>
      <c r="G104" s="431"/>
      <c r="H104" s="395"/>
      <c r="I104" s="395"/>
      <c r="J104" s="39">
        <v>98</v>
      </c>
      <c r="K104" s="39" t="s">
        <v>34</v>
      </c>
      <c r="L104" s="39" t="s">
        <v>83</v>
      </c>
    </row>
    <row r="105" spans="2:12" x14ac:dyDescent="0.25">
      <c r="B105" s="428"/>
      <c r="C105" s="428"/>
      <c r="D105" s="430"/>
      <c r="E105" s="375"/>
      <c r="F105" s="375"/>
      <c r="G105" s="431"/>
      <c r="H105" s="395"/>
      <c r="I105" s="395"/>
      <c r="J105" s="39">
        <v>95</v>
      </c>
      <c r="K105" s="39" t="s">
        <v>34</v>
      </c>
      <c r="L105" s="39" t="s">
        <v>84</v>
      </c>
    </row>
    <row r="106" spans="2:12" x14ac:dyDescent="0.25">
      <c r="B106" s="428"/>
      <c r="C106" s="428"/>
      <c r="D106" s="430"/>
      <c r="E106" s="375"/>
      <c r="F106" s="375"/>
      <c r="G106" s="431"/>
      <c r="H106" s="396"/>
      <c r="I106" s="396"/>
      <c r="J106" s="39">
        <v>93</v>
      </c>
      <c r="K106" s="39" t="s">
        <v>34</v>
      </c>
      <c r="L106" s="39" t="s">
        <v>85</v>
      </c>
    </row>
    <row r="107" spans="2:12" x14ac:dyDescent="0.25">
      <c r="B107" s="428"/>
      <c r="C107" s="429"/>
      <c r="D107" s="415"/>
      <c r="E107" s="416"/>
      <c r="F107" s="416"/>
      <c r="G107" s="417"/>
      <c r="H107" s="392" t="s">
        <v>29</v>
      </c>
      <c r="I107" s="392"/>
      <c r="J107" s="392"/>
      <c r="K107" s="392"/>
      <c r="L107" s="392"/>
    </row>
    <row r="108" spans="2:12" x14ac:dyDescent="0.25">
      <c r="B108" s="428"/>
      <c r="C108" s="427">
        <v>2</v>
      </c>
      <c r="D108" s="404" t="s">
        <v>86</v>
      </c>
      <c r="E108" s="404"/>
      <c r="F108" s="404"/>
      <c r="G108" s="404"/>
      <c r="H108" s="26" t="s">
        <v>32</v>
      </c>
      <c r="I108" s="27">
        <v>0.3</v>
      </c>
      <c r="J108" s="392" t="s">
        <v>40</v>
      </c>
      <c r="K108" s="392"/>
      <c r="L108" s="392"/>
    </row>
    <row r="109" spans="2:12" x14ac:dyDescent="0.25">
      <c r="B109" s="428"/>
      <c r="C109" s="428"/>
      <c r="D109" s="404"/>
      <c r="E109" s="404"/>
      <c r="F109" s="404"/>
      <c r="G109" s="404"/>
      <c r="H109" s="394">
        <v>100</v>
      </c>
      <c r="I109" s="394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28"/>
      <c r="C110" s="428"/>
      <c r="D110" s="404"/>
      <c r="E110" s="404"/>
      <c r="F110" s="404"/>
      <c r="G110" s="404"/>
      <c r="H110" s="395"/>
      <c r="I110" s="395"/>
      <c r="J110" s="39">
        <v>110</v>
      </c>
      <c r="K110" s="39" t="s">
        <v>34</v>
      </c>
      <c r="L110" s="39" t="s">
        <v>77</v>
      </c>
    </row>
    <row r="111" spans="2:12" x14ac:dyDescent="0.25">
      <c r="B111" s="428"/>
      <c r="C111" s="428"/>
      <c r="D111" s="404"/>
      <c r="E111" s="404"/>
      <c r="F111" s="404"/>
      <c r="G111" s="404"/>
      <c r="H111" s="395"/>
      <c r="I111" s="395"/>
      <c r="J111" s="39">
        <v>108</v>
      </c>
      <c r="K111" s="39" t="s">
        <v>34</v>
      </c>
      <c r="L111" s="39" t="s">
        <v>78</v>
      </c>
    </row>
    <row r="112" spans="2:12" x14ac:dyDescent="0.25">
      <c r="B112" s="428"/>
      <c r="C112" s="428"/>
      <c r="D112" s="413" t="s">
        <v>37</v>
      </c>
      <c r="E112" s="374"/>
      <c r="F112" s="374"/>
      <c r="G112" s="414"/>
      <c r="H112" s="395"/>
      <c r="I112" s="395"/>
      <c r="J112" s="39">
        <v>105</v>
      </c>
      <c r="K112" s="39" t="s">
        <v>34</v>
      </c>
      <c r="L112" s="39" t="s">
        <v>80</v>
      </c>
    </row>
    <row r="113" spans="2:12" x14ac:dyDescent="0.25">
      <c r="B113" s="428"/>
      <c r="C113" s="428"/>
      <c r="D113" s="430" t="s">
        <v>87</v>
      </c>
      <c r="E113" s="375"/>
      <c r="F113" s="375"/>
      <c r="G113" s="431"/>
      <c r="H113" s="395"/>
      <c r="I113" s="395"/>
      <c r="J113" s="39">
        <v>103</v>
      </c>
      <c r="K113" s="39" t="s">
        <v>34</v>
      </c>
      <c r="L113" s="39" t="s">
        <v>81</v>
      </c>
    </row>
    <row r="114" spans="2:12" x14ac:dyDescent="0.25">
      <c r="B114" s="428"/>
      <c r="C114" s="428"/>
      <c r="D114" s="430"/>
      <c r="E114" s="375"/>
      <c r="F114" s="375"/>
      <c r="G114" s="431"/>
      <c r="H114" s="395"/>
      <c r="I114" s="395"/>
      <c r="J114" s="39">
        <v>100</v>
      </c>
      <c r="K114" s="39" t="s">
        <v>34</v>
      </c>
      <c r="L114" s="39" t="s">
        <v>82</v>
      </c>
    </row>
    <row r="115" spans="2:12" x14ac:dyDescent="0.25">
      <c r="B115" s="428"/>
      <c r="C115" s="428"/>
      <c r="D115" s="430"/>
      <c r="E115" s="375"/>
      <c r="F115" s="375"/>
      <c r="G115" s="431"/>
      <c r="H115" s="395"/>
      <c r="I115" s="395"/>
      <c r="J115" s="39">
        <v>98</v>
      </c>
      <c r="K115" s="39" t="s">
        <v>34</v>
      </c>
      <c r="L115" s="39" t="s">
        <v>83</v>
      </c>
    </row>
    <row r="116" spans="2:12" x14ac:dyDescent="0.25">
      <c r="B116" s="428"/>
      <c r="C116" s="428"/>
      <c r="D116" s="430"/>
      <c r="E116" s="375"/>
      <c r="F116" s="375"/>
      <c r="G116" s="431"/>
      <c r="H116" s="395"/>
      <c r="I116" s="395"/>
      <c r="J116" s="39">
        <v>95</v>
      </c>
      <c r="K116" s="39" t="s">
        <v>34</v>
      </c>
      <c r="L116" s="39" t="s">
        <v>84</v>
      </c>
    </row>
    <row r="117" spans="2:12" x14ac:dyDescent="0.25">
      <c r="B117" s="428"/>
      <c r="C117" s="428"/>
      <c r="D117" s="430"/>
      <c r="E117" s="375"/>
      <c r="F117" s="375"/>
      <c r="G117" s="431"/>
      <c r="H117" s="396"/>
      <c r="I117" s="396"/>
      <c r="J117" s="39">
        <v>93</v>
      </c>
      <c r="K117" s="39" t="s">
        <v>34</v>
      </c>
      <c r="L117" s="39" t="s">
        <v>85</v>
      </c>
    </row>
    <row r="118" spans="2:12" x14ac:dyDescent="0.25">
      <c r="B118" s="428"/>
      <c r="C118" s="429"/>
      <c r="D118" s="415"/>
      <c r="E118" s="416"/>
      <c r="F118" s="416"/>
      <c r="G118" s="417"/>
      <c r="H118" s="392" t="s">
        <v>29</v>
      </c>
      <c r="I118" s="392"/>
      <c r="J118" s="392"/>
      <c r="K118" s="392"/>
      <c r="L118" s="392"/>
    </row>
    <row r="119" spans="2:12" ht="15" customHeight="1" x14ac:dyDescent="0.25">
      <c r="B119" s="428"/>
      <c r="C119" s="427">
        <v>3</v>
      </c>
      <c r="D119" s="413" t="s">
        <v>88</v>
      </c>
      <c r="E119" s="374"/>
      <c r="F119" s="374"/>
      <c r="G119" s="414"/>
      <c r="H119" s="26" t="s">
        <v>32</v>
      </c>
      <c r="I119" s="27">
        <v>0.3</v>
      </c>
      <c r="J119" s="392" t="s">
        <v>40</v>
      </c>
      <c r="K119" s="392"/>
      <c r="L119" s="392"/>
    </row>
    <row r="120" spans="2:12" x14ac:dyDescent="0.25">
      <c r="B120" s="428"/>
      <c r="C120" s="428"/>
      <c r="D120" s="430"/>
      <c r="E120" s="375"/>
      <c r="F120" s="375"/>
      <c r="G120" s="431"/>
      <c r="H120" s="394">
        <v>98</v>
      </c>
      <c r="I120" s="394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28"/>
      <c r="C121" s="428"/>
      <c r="D121" s="430"/>
      <c r="E121" s="375"/>
      <c r="F121" s="375"/>
      <c r="G121" s="431"/>
      <c r="H121" s="395"/>
      <c r="I121" s="395"/>
      <c r="J121" s="39">
        <v>110</v>
      </c>
      <c r="K121" s="39" t="s">
        <v>34</v>
      </c>
      <c r="L121" s="39" t="s">
        <v>77</v>
      </c>
    </row>
    <row r="122" spans="2:12" x14ac:dyDescent="0.25">
      <c r="B122" s="428"/>
      <c r="C122" s="428"/>
      <c r="D122" s="415"/>
      <c r="E122" s="416"/>
      <c r="F122" s="416"/>
      <c r="G122" s="417"/>
      <c r="H122" s="395"/>
      <c r="I122" s="395"/>
      <c r="J122" s="39">
        <v>108</v>
      </c>
      <c r="K122" s="39" t="s">
        <v>34</v>
      </c>
      <c r="L122" s="39" t="s">
        <v>78</v>
      </c>
    </row>
    <row r="123" spans="2:12" x14ac:dyDescent="0.25">
      <c r="B123" s="428"/>
      <c r="C123" s="428"/>
      <c r="D123" s="424" t="s">
        <v>37</v>
      </c>
      <c r="E123" s="425"/>
      <c r="F123" s="425"/>
      <c r="G123" s="426"/>
      <c r="H123" s="395"/>
      <c r="I123" s="395"/>
      <c r="J123" s="39">
        <v>105</v>
      </c>
      <c r="K123" s="39" t="s">
        <v>34</v>
      </c>
      <c r="L123" s="39" t="s">
        <v>80</v>
      </c>
    </row>
    <row r="124" spans="2:12" x14ac:dyDescent="0.25">
      <c r="B124" s="428"/>
      <c r="C124" s="428"/>
      <c r="D124" s="413" t="s">
        <v>89</v>
      </c>
      <c r="E124" s="374"/>
      <c r="F124" s="374"/>
      <c r="G124" s="414"/>
      <c r="H124" s="395"/>
      <c r="I124" s="395"/>
      <c r="J124" s="39">
        <v>103</v>
      </c>
      <c r="K124" s="39" t="s">
        <v>34</v>
      </c>
      <c r="L124" s="39" t="s">
        <v>81</v>
      </c>
    </row>
    <row r="125" spans="2:12" x14ac:dyDescent="0.25">
      <c r="B125" s="428"/>
      <c r="C125" s="428"/>
      <c r="D125" s="430"/>
      <c r="E125" s="375"/>
      <c r="F125" s="375"/>
      <c r="G125" s="431"/>
      <c r="H125" s="395"/>
      <c r="I125" s="395"/>
      <c r="J125" s="39">
        <v>100</v>
      </c>
      <c r="K125" s="39" t="s">
        <v>34</v>
      </c>
      <c r="L125" s="39" t="s">
        <v>82</v>
      </c>
    </row>
    <row r="126" spans="2:12" x14ac:dyDescent="0.25">
      <c r="B126" s="428"/>
      <c r="C126" s="428"/>
      <c r="D126" s="430"/>
      <c r="E126" s="375"/>
      <c r="F126" s="375"/>
      <c r="G126" s="431"/>
      <c r="H126" s="395"/>
      <c r="I126" s="395"/>
      <c r="J126" s="39">
        <v>98</v>
      </c>
      <c r="K126" s="39" t="s">
        <v>34</v>
      </c>
      <c r="L126" s="39" t="s">
        <v>83</v>
      </c>
    </row>
    <row r="127" spans="2:12" x14ac:dyDescent="0.25">
      <c r="B127" s="428"/>
      <c r="C127" s="428"/>
      <c r="D127" s="430"/>
      <c r="E127" s="375"/>
      <c r="F127" s="375"/>
      <c r="G127" s="431"/>
      <c r="H127" s="395"/>
      <c r="I127" s="395"/>
      <c r="J127" s="39">
        <v>95</v>
      </c>
      <c r="K127" s="39" t="s">
        <v>34</v>
      </c>
      <c r="L127" s="39" t="s">
        <v>84</v>
      </c>
    </row>
    <row r="128" spans="2:12" x14ac:dyDescent="0.25">
      <c r="B128" s="429"/>
      <c r="C128" s="429"/>
      <c r="D128" s="415"/>
      <c r="E128" s="416"/>
      <c r="F128" s="416"/>
      <c r="G128" s="417"/>
      <c r="H128" s="396"/>
      <c r="I128" s="396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397" t="s">
        <v>62</v>
      </c>
      <c r="D129" s="398"/>
      <c r="E129" s="398"/>
      <c r="F129" s="398"/>
      <c r="G129" s="399"/>
      <c r="H129" s="407">
        <f>I98+I109+I120</f>
        <v>98.6</v>
      </c>
      <c r="I129" s="408"/>
      <c r="J129" s="408"/>
      <c r="K129" s="408"/>
      <c r="L129" s="409"/>
    </row>
    <row r="130" spans="2:12" x14ac:dyDescent="0.25">
      <c r="B130" s="410">
        <v>3</v>
      </c>
      <c r="C130" s="413" t="s">
        <v>90</v>
      </c>
      <c r="D130" s="374"/>
      <c r="E130" s="374"/>
      <c r="F130" s="374"/>
      <c r="G130" s="414"/>
      <c r="H130" s="418"/>
      <c r="I130" s="419"/>
      <c r="J130" s="419"/>
      <c r="K130" s="419"/>
      <c r="L130" s="420"/>
    </row>
    <row r="131" spans="2:12" x14ac:dyDescent="0.25">
      <c r="B131" s="411"/>
      <c r="C131" s="415"/>
      <c r="D131" s="416"/>
      <c r="E131" s="416"/>
      <c r="F131" s="416"/>
      <c r="G131" s="417"/>
      <c r="H131" s="421"/>
      <c r="I131" s="422"/>
      <c r="J131" s="422"/>
      <c r="K131" s="422"/>
      <c r="L131" s="423"/>
    </row>
    <row r="132" spans="2:12" x14ac:dyDescent="0.25">
      <c r="B132" s="411"/>
      <c r="C132" s="424" t="s">
        <v>64</v>
      </c>
      <c r="D132" s="425"/>
      <c r="E132" s="425"/>
      <c r="F132" s="425"/>
      <c r="G132" s="426"/>
      <c r="H132" s="393" t="s">
        <v>29</v>
      </c>
      <c r="I132" s="393"/>
      <c r="J132" s="393"/>
      <c r="K132" s="393"/>
      <c r="L132" s="393"/>
    </row>
    <row r="133" spans="2:12" x14ac:dyDescent="0.25">
      <c r="B133" s="411"/>
      <c r="C133" s="427">
        <v>1</v>
      </c>
      <c r="D133" s="413" t="s">
        <v>91</v>
      </c>
      <c r="E133" s="374"/>
      <c r="F133" s="374"/>
      <c r="G133" s="414"/>
      <c r="H133" s="26" t="s">
        <v>32</v>
      </c>
      <c r="I133" s="27">
        <v>0.25</v>
      </c>
      <c r="J133" s="393" t="s">
        <v>40</v>
      </c>
      <c r="K133" s="393"/>
      <c r="L133" s="393"/>
    </row>
    <row r="134" spans="2:12" x14ac:dyDescent="0.25">
      <c r="B134" s="411"/>
      <c r="C134" s="428"/>
      <c r="D134" s="415"/>
      <c r="E134" s="416"/>
      <c r="F134" s="416"/>
      <c r="G134" s="417"/>
      <c r="H134" s="388"/>
      <c r="I134" s="388"/>
      <c r="J134" s="26"/>
      <c r="K134" s="26"/>
      <c r="L134" s="26"/>
    </row>
    <row r="135" spans="2:12" x14ac:dyDescent="0.25">
      <c r="B135" s="411"/>
      <c r="C135" s="428"/>
      <c r="D135" s="424" t="s">
        <v>37</v>
      </c>
      <c r="E135" s="425"/>
      <c r="F135" s="425"/>
      <c r="G135" s="426"/>
      <c r="H135" s="389"/>
      <c r="I135" s="389"/>
      <c r="J135" s="26"/>
      <c r="K135" s="26"/>
      <c r="L135" s="26"/>
    </row>
    <row r="136" spans="2:12" x14ac:dyDescent="0.25">
      <c r="B136" s="411"/>
      <c r="C136" s="429"/>
      <c r="D136" s="397"/>
      <c r="E136" s="398"/>
      <c r="F136" s="398"/>
      <c r="G136" s="399"/>
      <c r="H136" s="390"/>
      <c r="I136" s="390"/>
      <c r="J136" s="26"/>
      <c r="K136" s="26"/>
      <c r="L136" s="26"/>
    </row>
    <row r="137" spans="2:12" x14ac:dyDescent="0.25">
      <c r="B137" s="411"/>
      <c r="C137" s="424" t="s">
        <v>47</v>
      </c>
      <c r="D137" s="425"/>
      <c r="E137" s="425"/>
      <c r="F137" s="425"/>
      <c r="G137" s="426"/>
      <c r="H137" s="393" t="s">
        <v>29</v>
      </c>
      <c r="I137" s="393"/>
      <c r="J137" s="393"/>
      <c r="K137" s="393"/>
      <c r="L137" s="393"/>
    </row>
    <row r="138" spans="2:12" ht="15" customHeight="1" x14ac:dyDescent="0.25">
      <c r="B138" s="411"/>
      <c r="C138" s="427">
        <v>1</v>
      </c>
      <c r="D138" s="413" t="s">
        <v>92</v>
      </c>
      <c r="E138" s="374"/>
      <c r="F138" s="374"/>
      <c r="G138" s="414"/>
      <c r="H138" s="26" t="s">
        <v>32</v>
      </c>
      <c r="I138" s="27">
        <v>0.25</v>
      </c>
      <c r="J138" s="393" t="s">
        <v>40</v>
      </c>
      <c r="K138" s="393"/>
      <c r="L138" s="393"/>
    </row>
    <row r="139" spans="2:12" x14ac:dyDescent="0.25">
      <c r="B139" s="411"/>
      <c r="C139" s="428"/>
      <c r="D139" s="430"/>
      <c r="E139" s="375"/>
      <c r="F139" s="375"/>
      <c r="G139" s="431"/>
      <c r="H139" s="388"/>
      <c r="I139" s="388"/>
      <c r="J139" s="26"/>
      <c r="K139" s="26"/>
      <c r="L139" s="26"/>
    </row>
    <row r="140" spans="2:12" x14ac:dyDescent="0.25">
      <c r="B140" s="411"/>
      <c r="C140" s="428"/>
      <c r="D140" s="415"/>
      <c r="E140" s="416"/>
      <c r="F140" s="416"/>
      <c r="G140" s="417"/>
      <c r="H140" s="389"/>
      <c r="I140" s="389"/>
      <c r="J140" s="26"/>
      <c r="K140" s="26"/>
      <c r="L140" s="26"/>
    </row>
    <row r="141" spans="2:12" x14ac:dyDescent="0.25">
      <c r="B141" s="411"/>
      <c r="C141" s="428"/>
      <c r="D141" s="432" t="s">
        <v>37</v>
      </c>
      <c r="E141" s="433"/>
      <c r="F141" s="433"/>
      <c r="G141" s="434"/>
      <c r="H141" s="389"/>
      <c r="I141" s="389"/>
      <c r="J141" s="26"/>
      <c r="K141" s="26"/>
      <c r="L141" s="26"/>
    </row>
    <row r="142" spans="2:12" x14ac:dyDescent="0.25">
      <c r="B142" s="411"/>
      <c r="C142" s="428"/>
      <c r="D142" s="418"/>
      <c r="E142" s="419"/>
      <c r="F142" s="419"/>
      <c r="G142" s="420"/>
      <c r="H142" s="389"/>
      <c r="I142" s="389"/>
      <c r="J142" s="26"/>
      <c r="K142" s="26"/>
      <c r="L142" s="26"/>
    </row>
    <row r="143" spans="2:12" x14ac:dyDescent="0.25">
      <c r="B143" s="411"/>
      <c r="C143" s="428"/>
      <c r="D143" s="435"/>
      <c r="E143" s="436"/>
      <c r="F143" s="436"/>
      <c r="G143" s="437"/>
      <c r="H143" s="389"/>
      <c r="I143" s="389"/>
      <c r="J143" s="26"/>
      <c r="K143" s="26"/>
      <c r="L143" s="26"/>
    </row>
    <row r="144" spans="2:12" x14ac:dyDescent="0.25">
      <c r="B144" s="412"/>
      <c r="C144" s="429"/>
      <c r="D144" s="421"/>
      <c r="E144" s="422"/>
      <c r="F144" s="422"/>
      <c r="G144" s="423"/>
      <c r="H144" s="390"/>
      <c r="I144" s="390"/>
      <c r="J144" s="26"/>
      <c r="K144" s="26"/>
      <c r="L144" s="26"/>
    </row>
    <row r="145" spans="2:12" x14ac:dyDescent="0.25">
      <c r="B145" s="41"/>
      <c r="C145" s="397" t="s">
        <v>46</v>
      </c>
      <c r="D145" s="398"/>
      <c r="E145" s="398"/>
      <c r="F145" s="398"/>
      <c r="G145" s="399"/>
      <c r="H145" s="42"/>
      <c r="I145" s="42"/>
      <c r="J145" s="26"/>
      <c r="K145" s="26"/>
      <c r="L145" s="26"/>
    </row>
    <row r="146" spans="2:12" x14ac:dyDescent="0.25">
      <c r="B146" s="400">
        <v>4</v>
      </c>
      <c r="C146" s="6" t="s">
        <v>93</v>
      </c>
      <c r="D146" s="6"/>
      <c r="E146" s="6"/>
      <c r="F146" s="6"/>
      <c r="G146" s="6"/>
      <c r="H146" s="393" t="s">
        <v>29</v>
      </c>
      <c r="I146" s="393"/>
      <c r="J146" s="393"/>
      <c r="K146" s="393"/>
      <c r="L146" s="393"/>
    </row>
    <row r="147" spans="2:12" x14ac:dyDescent="0.25">
      <c r="B147" s="400"/>
      <c r="C147" s="392" t="s">
        <v>64</v>
      </c>
      <c r="D147" s="392"/>
      <c r="E147" s="392"/>
      <c r="F147" s="392"/>
      <c r="G147" s="392"/>
      <c r="H147" s="26" t="s">
        <v>32</v>
      </c>
      <c r="I147" s="27">
        <v>0.7</v>
      </c>
      <c r="J147" s="393" t="s">
        <v>40</v>
      </c>
      <c r="K147" s="393"/>
      <c r="L147" s="393"/>
    </row>
    <row r="148" spans="2:12" x14ac:dyDescent="0.25">
      <c r="B148" s="400"/>
      <c r="C148" s="392">
        <v>1</v>
      </c>
      <c r="D148" s="401" t="s">
        <v>94</v>
      </c>
      <c r="E148" s="401"/>
      <c r="F148" s="401"/>
      <c r="G148" s="401"/>
      <c r="H148" s="394">
        <f>12-E150-E156</f>
        <v>1</v>
      </c>
      <c r="I148" s="394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400"/>
      <c r="C149" s="392"/>
      <c r="D149" s="402" t="s">
        <v>96</v>
      </c>
      <c r="E149" s="402"/>
      <c r="F149" s="402"/>
      <c r="G149" s="402"/>
      <c r="H149" s="395"/>
      <c r="I149" s="395"/>
      <c r="J149" s="26">
        <v>11</v>
      </c>
      <c r="K149" s="26" t="s">
        <v>95</v>
      </c>
      <c r="L149" s="26">
        <v>155</v>
      </c>
    </row>
    <row r="150" spans="2:12" x14ac:dyDescent="0.25">
      <c r="B150" s="400"/>
      <c r="C150" s="392"/>
      <c r="D150" s="392" t="s">
        <v>97</v>
      </c>
      <c r="E150" s="403">
        <v>7</v>
      </c>
      <c r="F150" s="403"/>
      <c r="G150" s="403"/>
      <c r="H150" s="395"/>
      <c r="I150" s="395"/>
      <c r="J150" s="26">
        <v>10</v>
      </c>
      <c r="K150" s="26" t="s">
        <v>95</v>
      </c>
      <c r="L150" s="26">
        <v>150</v>
      </c>
    </row>
    <row r="151" spans="2:12" x14ac:dyDescent="0.25">
      <c r="B151" s="400"/>
      <c r="C151" s="392"/>
      <c r="D151" s="392"/>
      <c r="E151" s="403"/>
      <c r="F151" s="403"/>
      <c r="G151" s="403"/>
      <c r="H151" s="395"/>
      <c r="I151" s="395"/>
      <c r="J151" s="26">
        <v>9</v>
      </c>
      <c r="K151" s="26" t="s">
        <v>95</v>
      </c>
      <c r="L151" s="26">
        <v>145</v>
      </c>
    </row>
    <row r="152" spans="2:12" x14ac:dyDescent="0.25">
      <c r="B152" s="400"/>
      <c r="C152" s="392"/>
      <c r="D152" s="392"/>
      <c r="E152" s="403"/>
      <c r="F152" s="403"/>
      <c r="G152" s="403"/>
      <c r="H152" s="395"/>
      <c r="I152" s="395"/>
      <c r="J152" s="26">
        <v>8</v>
      </c>
      <c r="K152" s="26" t="s">
        <v>95</v>
      </c>
      <c r="L152" s="26">
        <v>140</v>
      </c>
    </row>
    <row r="153" spans="2:12" x14ac:dyDescent="0.25">
      <c r="B153" s="400"/>
      <c r="C153" s="392"/>
      <c r="D153" s="392"/>
      <c r="E153" s="403"/>
      <c r="F153" s="403"/>
      <c r="G153" s="403"/>
      <c r="H153" s="395"/>
      <c r="I153" s="395"/>
      <c r="J153" s="26">
        <v>7</v>
      </c>
      <c r="K153" s="26" t="s">
        <v>95</v>
      </c>
      <c r="L153" s="26">
        <v>135</v>
      </c>
    </row>
    <row r="154" spans="2:12" x14ac:dyDescent="0.25">
      <c r="B154" s="400"/>
      <c r="C154" s="392"/>
      <c r="D154" s="392"/>
      <c r="E154" s="403"/>
      <c r="F154" s="403"/>
      <c r="G154" s="403"/>
      <c r="H154" s="395"/>
      <c r="I154" s="395"/>
      <c r="J154" s="26">
        <v>6</v>
      </c>
      <c r="K154" s="26" t="s">
        <v>95</v>
      </c>
      <c r="L154" s="26">
        <v>130</v>
      </c>
    </row>
    <row r="155" spans="2:12" x14ac:dyDescent="0.25">
      <c r="B155" s="400"/>
      <c r="C155" s="392"/>
      <c r="D155" s="392"/>
      <c r="E155" s="403"/>
      <c r="F155" s="403"/>
      <c r="G155" s="403"/>
      <c r="H155" s="395"/>
      <c r="I155" s="395"/>
      <c r="J155" s="26">
        <v>5</v>
      </c>
      <c r="K155" s="26" t="s">
        <v>95</v>
      </c>
      <c r="L155" s="26">
        <v>125</v>
      </c>
    </row>
    <row r="156" spans="2:12" x14ac:dyDescent="0.25">
      <c r="B156" s="400"/>
      <c r="C156" s="392"/>
      <c r="D156" s="393" t="s">
        <v>95</v>
      </c>
      <c r="E156" s="400">
        <v>4</v>
      </c>
      <c r="F156" s="400"/>
      <c r="G156" s="400"/>
      <c r="H156" s="395"/>
      <c r="I156" s="395"/>
      <c r="J156" s="26">
        <v>4</v>
      </c>
      <c r="K156" s="26" t="s">
        <v>95</v>
      </c>
      <c r="L156" s="26">
        <v>120</v>
      </c>
    </row>
    <row r="157" spans="2:12" x14ac:dyDescent="0.25">
      <c r="B157" s="400"/>
      <c r="C157" s="392"/>
      <c r="D157" s="393"/>
      <c r="E157" s="400"/>
      <c r="F157" s="400"/>
      <c r="G157" s="400"/>
      <c r="H157" s="395"/>
      <c r="I157" s="395"/>
      <c r="J157" s="26">
        <v>3</v>
      </c>
      <c r="K157" s="26" t="s">
        <v>95</v>
      </c>
      <c r="L157" s="26">
        <v>115</v>
      </c>
    </row>
    <row r="158" spans="2:12" x14ac:dyDescent="0.25">
      <c r="B158" s="400"/>
      <c r="C158" s="392"/>
      <c r="D158" s="393"/>
      <c r="E158" s="400"/>
      <c r="F158" s="400"/>
      <c r="G158" s="400"/>
      <c r="H158" s="395"/>
      <c r="I158" s="395"/>
      <c r="J158" s="26">
        <v>2</v>
      </c>
      <c r="K158" s="26" t="s">
        <v>95</v>
      </c>
      <c r="L158" s="26">
        <v>110</v>
      </c>
    </row>
    <row r="159" spans="2:12" x14ac:dyDescent="0.25">
      <c r="B159" s="400"/>
      <c r="C159" s="392"/>
      <c r="D159" s="393"/>
      <c r="E159" s="400"/>
      <c r="F159" s="400"/>
      <c r="G159" s="400"/>
      <c r="H159" s="395"/>
      <c r="I159" s="395"/>
      <c r="J159" s="26">
        <v>1</v>
      </c>
      <c r="K159" s="26" t="s">
        <v>95</v>
      </c>
      <c r="L159" s="26">
        <v>105</v>
      </c>
    </row>
    <row r="160" spans="2:12" x14ac:dyDescent="0.25">
      <c r="B160" s="400"/>
      <c r="C160" s="392"/>
      <c r="D160" s="393"/>
      <c r="E160" s="400"/>
      <c r="F160" s="400"/>
      <c r="G160" s="400"/>
      <c r="H160" s="395"/>
      <c r="I160" s="395"/>
      <c r="J160" s="26">
        <v>0</v>
      </c>
      <c r="K160" s="26" t="s">
        <v>95</v>
      </c>
      <c r="L160" s="26">
        <v>100</v>
      </c>
    </row>
    <row r="161" spans="2:12" x14ac:dyDescent="0.25">
      <c r="B161" s="400"/>
      <c r="C161" s="392"/>
      <c r="D161" s="393"/>
      <c r="E161" s="400"/>
      <c r="F161" s="400"/>
      <c r="G161" s="400"/>
      <c r="H161" s="396"/>
      <c r="I161" s="396"/>
      <c r="J161" s="26">
        <v>1</v>
      </c>
      <c r="K161" s="26" t="s">
        <v>98</v>
      </c>
      <c r="L161" s="26">
        <v>-5</v>
      </c>
    </row>
    <row r="162" spans="2:12" x14ac:dyDescent="0.25">
      <c r="B162" s="400"/>
      <c r="C162" s="392"/>
      <c r="D162" s="393"/>
      <c r="E162" s="400"/>
      <c r="F162" s="400"/>
      <c r="G162" s="400"/>
      <c r="H162" s="393" t="s">
        <v>29</v>
      </c>
      <c r="I162" s="393"/>
      <c r="J162" s="393"/>
      <c r="K162" s="393"/>
      <c r="L162" s="393"/>
    </row>
    <row r="163" spans="2:12" x14ac:dyDescent="0.25">
      <c r="B163" s="400"/>
      <c r="C163" s="404">
        <v>2</v>
      </c>
      <c r="D163" s="392" t="s">
        <v>99</v>
      </c>
      <c r="E163" s="392"/>
      <c r="F163" s="392"/>
      <c r="G163" s="392"/>
      <c r="H163" s="26" t="s">
        <v>32</v>
      </c>
      <c r="I163" s="27">
        <v>0.2</v>
      </c>
      <c r="J163" s="393" t="s">
        <v>40</v>
      </c>
      <c r="K163" s="393"/>
      <c r="L163" s="393"/>
    </row>
    <row r="164" spans="2:12" ht="15" customHeight="1" x14ac:dyDescent="0.25">
      <c r="B164" s="400"/>
      <c r="C164" s="404"/>
      <c r="D164" s="392" t="s">
        <v>96</v>
      </c>
      <c r="E164" s="392"/>
      <c r="F164" s="392"/>
      <c r="G164" s="392"/>
      <c r="H164" s="388">
        <v>1</v>
      </c>
      <c r="I164" s="388">
        <f>VLOOKUP(H164,$J$164:$L$168,3,0)*I163</f>
        <v>19.5</v>
      </c>
      <c r="J164" s="43">
        <v>0</v>
      </c>
      <c r="K164" s="391" t="s">
        <v>100</v>
      </c>
      <c r="L164" s="44">
        <v>110</v>
      </c>
    </row>
    <row r="165" spans="2:12" x14ac:dyDescent="0.25">
      <c r="B165" s="400"/>
      <c r="C165" s="404"/>
      <c r="D165" s="392" t="s">
        <v>101</v>
      </c>
      <c r="E165" s="392"/>
      <c r="F165" s="392"/>
      <c r="G165" s="392"/>
      <c r="H165" s="389"/>
      <c r="I165" s="389"/>
      <c r="J165" s="43">
        <v>1</v>
      </c>
      <c r="K165" s="391"/>
      <c r="L165" s="44">
        <v>97.5</v>
      </c>
    </row>
    <row r="166" spans="2:12" x14ac:dyDescent="0.25">
      <c r="B166" s="400"/>
      <c r="C166" s="404"/>
      <c r="D166" s="392"/>
      <c r="E166" s="392"/>
      <c r="F166" s="392"/>
      <c r="G166" s="392"/>
      <c r="H166" s="389"/>
      <c r="I166" s="389"/>
      <c r="J166" s="43">
        <v>2</v>
      </c>
      <c r="K166" s="391"/>
      <c r="L166" s="45">
        <v>95</v>
      </c>
    </row>
    <row r="167" spans="2:12" x14ac:dyDescent="0.25">
      <c r="B167" s="400"/>
      <c r="C167" s="404"/>
      <c r="D167" s="392"/>
      <c r="E167" s="392"/>
      <c r="F167" s="392"/>
      <c r="G167" s="392"/>
      <c r="H167" s="389"/>
      <c r="I167" s="389"/>
      <c r="J167" s="43">
        <v>3</v>
      </c>
      <c r="K167" s="391"/>
      <c r="L167" s="45">
        <f>L166-2.5</f>
        <v>92.5</v>
      </c>
    </row>
    <row r="168" spans="2:12" x14ac:dyDescent="0.25">
      <c r="B168" s="400"/>
      <c r="C168" s="404"/>
      <c r="D168" s="392"/>
      <c r="E168" s="392"/>
      <c r="F168" s="392"/>
      <c r="G168" s="392"/>
      <c r="H168" s="390"/>
      <c r="I168" s="390"/>
      <c r="J168" s="43">
        <v>4</v>
      </c>
      <c r="K168" s="391"/>
      <c r="L168" s="45">
        <f>L167-2.5</f>
        <v>90</v>
      </c>
    </row>
    <row r="169" spans="2:12" x14ac:dyDescent="0.25">
      <c r="B169" s="400"/>
      <c r="C169" s="404"/>
      <c r="D169" s="392"/>
      <c r="E169" s="392"/>
      <c r="F169" s="392"/>
      <c r="G169" s="392"/>
      <c r="H169" s="393" t="s">
        <v>29</v>
      </c>
      <c r="I169" s="393"/>
      <c r="J169" s="393"/>
      <c r="K169" s="393"/>
      <c r="L169" s="393"/>
    </row>
    <row r="170" spans="2:12" x14ac:dyDescent="0.25">
      <c r="B170" s="400"/>
      <c r="C170" s="392">
        <v>3</v>
      </c>
      <c r="D170" s="392" t="s">
        <v>102</v>
      </c>
      <c r="E170" s="392"/>
      <c r="F170" s="392"/>
      <c r="G170" s="392"/>
      <c r="H170" s="26" t="s">
        <v>32</v>
      </c>
      <c r="I170" s="27">
        <v>0.1</v>
      </c>
      <c r="J170" s="393" t="s">
        <v>40</v>
      </c>
      <c r="K170" s="393"/>
      <c r="L170" s="393"/>
    </row>
    <row r="171" spans="2:12" ht="15" customHeight="1" x14ac:dyDescent="0.25">
      <c r="B171" s="400"/>
      <c r="C171" s="392"/>
      <c r="D171" s="392" t="s">
        <v>96</v>
      </c>
      <c r="E171" s="392"/>
      <c r="F171" s="392"/>
      <c r="G171" s="392"/>
      <c r="H171" s="394">
        <v>0</v>
      </c>
      <c r="I171" s="394">
        <f>VLOOKUP(H171,$J$171:$L$176,3,0)*I170</f>
        <v>11</v>
      </c>
      <c r="J171" s="43">
        <v>0</v>
      </c>
      <c r="K171" s="405" t="s">
        <v>103</v>
      </c>
      <c r="L171" s="44">
        <v>110</v>
      </c>
    </row>
    <row r="172" spans="2:12" x14ac:dyDescent="0.25">
      <c r="B172" s="400"/>
      <c r="C172" s="392"/>
      <c r="D172" s="392" t="s">
        <v>104</v>
      </c>
      <c r="E172" s="392"/>
      <c r="F172" s="392"/>
      <c r="G172" s="392"/>
      <c r="H172" s="395"/>
      <c r="I172" s="395"/>
      <c r="J172" s="43">
        <v>1</v>
      </c>
      <c r="K172" s="405"/>
      <c r="L172" s="44">
        <v>97.5</v>
      </c>
    </row>
    <row r="173" spans="2:12" x14ac:dyDescent="0.25">
      <c r="B173" s="400"/>
      <c r="C173" s="392"/>
      <c r="D173" s="392"/>
      <c r="E173" s="392"/>
      <c r="F173" s="392"/>
      <c r="G173" s="392"/>
      <c r="H173" s="395"/>
      <c r="I173" s="395"/>
      <c r="J173" s="43">
        <v>2</v>
      </c>
      <c r="K173" s="405"/>
      <c r="L173" s="45">
        <v>95</v>
      </c>
    </row>
    <row r="174" spans="2:12" x14ac:dyDescent="0.25">
      <c r="B174" s="400"/>
      <c r="C174" s="392"/>
      <c r="D174" s="392"/>
      <c r="E174" s="392"/>
      <c r="F174" s="392"/>
      <c r="G174" s="392"/>
      <c r="H174" s="395"/>
      <c r="I174" s="395"/>
      <c r="J174" s="43">
        <v>3</v>
      </c>
      <c r="K174" s="405"/>
      <c r="L174" s="45">
        <f>L173-2.5</f>
        <v>92.5</v>
      </c>
    </row>
    <row r="175" spans="2:12" x14ac:dyDescent="0.25">
      <c r="B175" s="400"/>
      <c r="C175" s="392"/>
      <c r="D175" s="392"/>
      <c r="E175" s="392"/>
      <c r="F175" s="392"/>
      <c r="G175" s="392"/>
      <c r="H175" s="395"/>
      <c r="I175" s="395"/>
      <c r="J175" s="43">
        <v>4</v>
      </c>
      <c r="K175" s="405"/>
      <c r="L175" s="45">
        <f>L174-2.5</f>
        <v>90</v>
      </c>
    </row>
    <row r="176" spans="2:12" x14ac:dyDescent="0.25">
      <c r="B176" s="400"/>
      <c r="C176" s="392"/>
      <c r="D176" s="392"/>
      <c r="E176" s="392"/>
      <c r="F176" s="392"/>
      <c r="G176" s="392"/>
      <c r="H176" s="396"/>
      <c r="I176" s="396"/>
      <c r="J176" s="26"/>
      <c r="K176" s="405"/>
      <c r="L176" s="26"/>
    </row>
    <row r="177" spans="2:12" x14ac:dyDescent="0.25">
      <c r="B177" s="400"/>
      <c r="C177" s="400" t="s">
        <v>46</v>
      </c>
      <c r="D177" s="400"/>
      <c r="E177" s="400"/>
      <c r="F177" s="400"/>
      <c r="G177" s="400"/>
      <c r="H177" s="406">
        <f>I148+I164+I171</f>
        <v>104</v>
      </c>
      <c r="I177" s="406"/>
      <c r="J177" s="406"/>
      <c r="K177" s="406"/>
      <c r="L177" s="406"/>
    </row>
    <row r="180" spans="2:12" x14ac:dyDescent="0.25">
      <c r="B180" s="366" t="s">
        <v>105</v>
      </c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</row>
    <row r="181" spans="2:12" x14ac:dyDescent="0.25">
      <c r="B181" s="378"/>
      <c r="C181" s="378"/>
      <c r="D181" s="378"/>
      <c r="E181" s="378"/>
      <c r="F181" s="378"/>
      <c r="G181" s="378"/>
      <c r="H181" s="378"/>
      <c r="I181" s="378"/>
      <c r="J181" s="378"/>
      <c r="K181" s="378"/>
      <c r="L181" s="378"/>
    </row>
    <row r="182" spans="2:12" x14ac:dyDescent="0.25">
      <c r="B182" s="379"/>
      <c r="C182" s="380"/>
      <c r="D182" s="380"/>
      <c r="E182" s="380"/>
      <c r="F182" s="380"/>
      <c r="G182" s="380"/>
      <c r="H182" s="380"/>
      <c r="I182" s="380"/>
      <c r="J182" s="380"/>
      <c r="K182" s="380"/>
      <c r="L182" s="381"/>
    </row>
    <row r="183" spans="2:12" x14ac:dyDescent="0.25">
      <c r="B183" s="382"/>
      <c r="C183" s="383"/>
      <c r="D183" s="383"/>
      <c r="E183" s="383"/>
      <c r="F183" s="383"/>
      <c r="G183" s="383"/>
      <c r="H183" s="383"/>
      <c r="I183" s="383"/>
      <c r="J183" s="383"/>
      <c r="K183" s="383"/>
      <c r="L183" s="384"/>
    </row>
    <row r="184" spans="2:12" x14ac:dyDescent="0.25">
      <c r="B184" s="382"/>
      <c r="C184" s="383"/>
      <c r="D184" s="383"/>
      <c r="E184" s="383"/>
      <c r="F184" s="383"/>
      <c r="G184" s="383"/>
      <c r="H184" s="383"/>
      <c r="I184" s="383"/>
      <c r="J184" s="383"/>
      <c r="K184" s="383"/>
      <c r="L184" s="384"/>
    </row>
    <row r="185" spans="2:12" x14ac:dyDescent="0.25">
      <c r="B185" s="385"/>
      <c r="C185" s="386"/>
      <c r="D185" s="386"/>
      <c r="E185" s="386"/>
      <c r="F185" s="386"/>
      <c r="G185" s="386"/>
      <c r="H185" s="386"/>
      <c r="I185" s="386"/>
      <c r="J185" s="386"/>
      <c r="K185" s="386"/>
      <c r="L185" s="387"/>
    </row>
    <row r="187" spans="2:12" x14ac:dyDescent="0.25">
      <c r="B187" s="366" t="s">
        <v>106</v>
      </c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</row>
    <row r="188" spans="2:12" x14ac:dyDescent="0.25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</row>
    <row r="189" spans="2:12" x14ac:dyDescent="0.25"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</row>
    <row r="190" spans="2:12" x14ac:dyDescent="0.25"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</row>
    <row r="191" spans="2:12" x14ac:dyDescent="0.25"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</row>
    <row r="192" spans="2:12" x14ac:dyDescent="0.25"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</row>
    <row r="193" spans="2:12" x14ac:dyDescent="0.25"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368" t="s">
        <v>113</v>
      </c>
      <c r="C202" s="369"/>
      <c r="D202" s="47"/>
      <c r="E202" s="372" t="s">
        <v>114</v>
      </c>
      <c r="F202" s="374" t="s">
        <v>4</v>
      </c>
      <c r="G202" s="48"/>
      <c r="H202" s="48"/>
      <c r="I202" s="374" t="s">
        <v>115</v>
      </c>
      <c r="J202" s="374"/>
      <c r="K202" s="376" t="s">
        <v>6</v>
      </c>
      <c r="L202" s="49"/>
    </row>
    <row r="203" spans="2:12" x14ac:dyDescent="0.25">
      <c r="B203" s="370"/>
      <c r="C203" s="371"/>
      <c r="D203" s="50"/>
      <c r="E203" s="373"/>
      <c r="F203" s="375"/>
      <c r="G203" s="51"/>
      <c r="H203" s="51"/>
      <c r="I203" s="375"/>
      <c r="J203" s="375"/>
      <c r="K203" s="377"/>
      <c r="L203" s="52"/>
    </row>
    <row r="204" spans="2:12" x14ac:dyDescent="0.25">
      <c r="B204" s="364" t="s">
        <v>116</v>
      </c>
      <c r="C204" s="365"/>
      <c r="D204" s="53"/>
      <c r="E204" s="365" t="s">
        <v>116</v>
      </c>
      <c r="F204" s="365"/>
      <c r="G204" s="53"/>
      <c r="H204" s="53"/>
      <c r="I204" s="365" t="s">
        <v>116</v>
      </c>
      <c r="J204" s="365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Y38"/>
  <sheetViews>
    <sheetView zoomScale="90" zoomScaleNormal="90" workbookViewId="0"/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8" customWidth="1"/>
    <col min="5" max="5" width="2" customWidth="1"/>
    <col min="6" max="6" width="23.7109375" bestFit="1" customWidth="1"/>
    <col min="7" max="7" width="34.140625" customWidth="1"/>
    <col min="8" max="8" width="1" customWidth="1"/>
    <col min="9" max="9" width="46.28515625" customWidth="1"/>
    <col min="11" max="11" width="12.85546875" customWidth="1"/>
    <col min="12" max="12" width="9" bestFit="1" customWidth="1"/>
    <col min="13" max="13" width="0.85546875" customWidth="1"/>
    <col min="14" max="14" width="11.85546875" customWidth="1"/>
    <col min="15" max="15" width="9.28515625" customWidth="1"/>
    <col min="16" max="22" width="7.7109375" customWidth="1"/>
  </cols>
  <sheetData>
    <row r="1" spans="1:25" ht="15.75" thickBot="1" x14ac:dyDescent="0.3">
      <c r="A1" s="133" t="s">
        <v>131</v>
      </c>
      <c r="B1" s="133" t="s">
        <v>131</v>
      </c>
      <c r="C1" s="133" t="s">
        <v>131</v>
      </c>
      <c r="D1" s="133" t="s">
        <v>131</v>
      </c>
      <c r="E1" s="98" t="s">
        <v>131</v>
      </c>
      <c r="F1" s="97"/>
      <c r="G1" s="97"/>
      <c r="H1" s="97"/>
      <c r="I1" s="97"/>
      <c r="J1" s="97"/>
      <c r="K1" s="97"/>
      <c r="L1" s="97" t="s">
        <v>252</v>
      </c>
      <c r="M1" s="98" t="s">
        <v>131</v>
      </c>
      <c r="N1" s="98"/>
      <c r="O1" s="98"/>
      <c r="P1" s="98" t="s">
        <v>131</v>
      </c>
      <c r="Q1" s="98" t="s">
        <v>131</v>
      </c>
      <c r="R1" s="98" t="s">
        <v>131</v>
      </c>
      <c r="S1" s="98" t="s">
        <v>131</v>
      </c>
      <c r="T1" s="98" t="s">
        <v>131</v>
      </c>
      <c r="U1" s="98" t="s">
        <v>131</v>
      </c>
      <c r="V1" s="98" t="s">
        <v>131</v>
      </c>
      <c r="W1" s="98" t="s">
        <v>131</v>
      </c>
      <c r="X1" s="98" t="s">
        <v>131</v>
      </c>
    </row>
    <row r="2" spans="1:25" ht="31.5" customHeight="1" thickBot="1" x14ac:dyDescent="0.3">
      <c r="A2" s="133" t="s">
        <v>131</v>
      </c>
      <c r="B2" s="133" t="s">
        <v>131</v>
      </c>
      <c r="C2" s="133" t="s">
        <v>131</v>
      </c>
      <c r="D2" s="133" t="s">
        <v>131</v>
      </c>
      <c r="E2" s="98" t="s">
        <v>131</v>
      </c>
      <c r="F2" s="478" t="s">
        <v>0</v>
      </c>
      <c r="G2" s="479"/>
      <c r="H2" s="98" t="s">
        <v>131</v>
      </c>
      <c r="I2" s="113" t="s">
        <v>16</v>
      </c>
      <c r="J2" s="224" t="s">
        <v>17</v>
      </c>
      <c r="K2" s="225" t="s">
        <v>18</v>
      </c>
      <c r="L2" s="226" t="s">
        <v>19</v>
      </c>
      <c r="M2" s="98" t="s">
        <v>131</v>
      </c>
      <c r="N2" s="225" t="s">
        <v>18</v>
      </c>
      <c r="O2" s="226" t="s">
        <v>19</v>
      </c>
      <c r="P2" s="98" t="s">
        <v>131</v>
      </c>
      <c r="Q2" s="98" t="s">
        <v>131</v>
      </c>
      <c r="R2" s="98" t="s">
        <v>131</v>
      </c>
      <c r="S2" s="98" t="s">
        <v>131</v>
      </c>
      <c r="T2" s="98" t="s">
        <v>131</v>
      </c>
      <c r="U2" s="98" t="s">
        <v>131</v>
      </c>
      <c r="V2" s="98" t="s">
        <v>131</v>
      </c>
      <c r="W2" s="98" t="s">
        <v>131</v>
      </c>
      <c r="X2" s="98" t="s">
        <v>131</v>
      </c>
    </row>
    <row r="3" spans="1:25" x14ac:dyDescent="0.25">
      <c r="A3" s="133" t="s">
        <v>131</v>
      </c>
      <c r="B3" s="133" t="s">
        <v>131</v>
      </c>
      <c r="C3" s="133" t="s">
        <v>131</v>
      </c>
      <c r="D3" s="133" t="s">
        <v>131</v>
      </c>
      <c r="E3" s="98" t="s">
        <v>131</v>
      </c>
      <c r="F3" s="480"/>
      <c r="G3" s="481"/>
      <c r="H3" s="98" t="s">
        <v>131</v>
      </c>
      <c r="I3" s="223" t="str">
        <f>Detail!V28</f>
        <v>Control Price List</v>
      </c>
      <c r="J3" s="119">
        <f>Detail!W28</f>
        <v>0.3</v>
      </c>
      <c r="K3" s="120">
        <f>Detail!X28</f>
        <v>107.5</v>
      </c>
      <c r="L3" s="203">
        <f>Detail!Y28</f>
        <v>32.25</v>
      </c>
      <c r="M3" s="98" t="s">
        <v>131</v>
      </c>
      <c r="N3" s="120"/>
      <c r="O3" s="203"/>
      <c r="P3" s="98" t="s">
        <v>131</v>
      </c>
      <c r="Q3" s="98" t="s">
        <v>131</v>
      </c>
      <c r="R3" s="98" t="s">
        <v>131</v>
      </c>
      <c r="S3" s="98" t="s">
        <v>131</v>
      </c>
      <c r="T3" s="98" t="s">
        <v>131</v>
      </c>
      <c r="U3" s="98" t="s">
        <v>131</v>
      </c>
      <c r="V3" s="98" t="s">
        <v>131</v>
      </c>
      <c r="W3" s="98" t="s">
        <v>131</v>
      </c>
      <c r="X3" s="98" t="s">
        <v>131</v>
      </c>
      <c r="Y3" t="s">
        <v>247</v>
      </c>
    </row>
    <row r="4" spans="1:25" x14ac:dyDescent="0.25">
      <c r="A4" s="133" t="s">
        <v>131</v>
      </c>
      <c r="B4" s="133" t="s">
        <v>131</v>
      </c>
      <c r="C4" s="133" t="s">
        <v>131</v>
      </c>
      <c r="D4" s="133" t="s">
        <v>131</v>
      </c>
      <c r="E4" s="98" t="s">
        <v>131</v>
      </c>
      <c r="F4" s="110" t="s">
        <v>1</v>
      </c>
      <c r="G4" s="111" t="str">
        <f>Detail!D6</f>
        <v>Dewi Sundari</v>
      </c>
      <c r="H4" s="98" t="s">
        <v>131</v>
      </c>
      <c r="I4" s="223" t="str">
        <f>Detail!V29</f>
        <v xml:space="preserve">Administrasi Data Penjualan Tax untuk eFaktur </v>
      </c>
      <c r="J4" s="119">
        <f>Detail!W29</f>
        <v>0.25</v>
      </c>
      <c r="K4" s="120">
        <f>Detail!X29</f>
        <v>105</v>
      </c>
      <c r="L4" s="203">
        <f>Detail!Y29</f>
        <v>26.25</v>
      </c>
      <c r="M4" s="98" t="s">
        <v>131</v>
      </c>
      <c r="N4" s="120"/>
      <c r="O4" s="203"/>
      <c r="P4" s="98" t="s">
        <v>131</v>
      </c>
      <c r="Q4" s="98" t="s">
        <v>131</v>
      </c>
      <c r="R4" s="98" t="s">
        <v>131</v>
      </c>
      <c r="S4" s="98" t="s">
        <v>131</v>
      </c>
      <c r="T4" s="98" t="s">
        <v>131</v>
      </c>
      <c r="U4" s="98" t="s">
        <v>131</v>
      </c>
      <c r="V4" s="98" t="s">
        <v>131</v>
      </c>
      <c r="W4" s="98" t="s">
        <v>131</v>
      </c>
      <c r="X4" s="98" t="s">
        <v>131</v>
      </c>
      <c r="Y4" t="s">
        <v>249</v>
      </c>
    </row>
    <row r="5" spans="1:25" x14ac:dyDescent="0.25">
      <c r="A5" s="133" t="s">
        <v>131</v>
      </c>
      <c r="B5" s="133" t="s">
        <v>131</v>
      </c>
      <c r="C5" s="133" t="s">
        <v>131</v>
      </c>
      <c r="D5" s="133" t="s">
        <v>131</v>
      </c>
      <c r="E5" s="98" t="s">
        <v>131</v>
      </c>
      <c r="F5" s="110" t="s">
        <v>139</v>
      </c>
      <c r="G5" s="111" t="str">
        <f>Detail!$D$7</f>
        <v>Admin PL &amp; Faktur Pajak / Keuangan</v>
      </c>
      <c r="H5" s="98" t="s">
        <v>131</v>
      </c>
      <c r="I5" s="114" t="str">
        <f>Detail!V30</f>
        <v>Administrasi Retur Penjualan</v>
      </c>
      <c r="J5" s="119">
        <f>Detail!W30</f>
        <v>0.25</v>
      </c>
      <c r="K5" s="120">
        <f>Detail!X30</f>
        <v>115</v>
      </c>
      <c r="L5" s="203">
        <f>Detail!Y30</f>
        <v>28.75</v>
      </c>
      <c r="M5" s="98" t="s">
        <v>131</v>
      </c>
      <c r="N5" s="120"/>
      <c r="O5" s="203"/>
      <c r="P5" s="98" t="s">
        <v>131</v>
      </c>
      <c r="Q5" s="98" t="s">
        <v>131</v>
      </c>
      <c r="R5" s="98" t="s">
        <v>131</v>
      </c>
      <c r="S5" s="98" t="s">
        <v>131</v>
      </c>
      <c r="T5" s="98" t="s">
        <v>131</v>
      </c>
      <c r="U5" s="98" t="s">
        <v>131</v>
      </c>
      <c r="V5" s="98" t="s">
        <v>131</v>
      </c>
      <c r="W5" s="98" t="s">
        <v>131</v>
      </c>
      <c r="X5" s="98" t="s">
        <v>131</v>
      </c>
    </row>
    <row r="6" spans="1:25" x14ac:dyDescent="0.25">
      <c r="A6" s="133" t="s">
        <v>131</v>
      </c>
      <c r="B6" s="133" t="s">
        <v>131</v>
      </c>
      <c r="C6" s="133" t="s">
        <v>131</v>
      </c>
      <c r="D6" s="133" t="s">
        <v>131</v>
      </c>
      <c r="E6" s="98" t="s">
        <v>131</v>
      </c>
      <c r="F6" s="110" t="s">
        <v>3</v>
      </c>
      <c r="G6" s="111" t="str">
        <f>Detail!D8</f>
        <v>Ahmad Syaiti</v>
      </c>
      <c r="H6" s="98" t="s">
        <v>131</v>
      </c>
      <c r="I6" s="114" t="str">
        <f>Detail!V31</f>
        <v>Verifikasi Pencairan Bonus</v>
      </c>
      <c r="J6" s="119">
        <f>Detail!W31</f>
        <v>0.1</v>
      </c>
      <c r="K6" s="120">
        <f>Detail!X31</f>
        <v>115</v>
      </c>
      <c r="L6" s="203">
        <f>Detail!Y31</f>
        <v>11.5</v>
      </c>
      <c r="M6" s="98" t="s">
        <v>131</v>
      </c>
      <c r="N6" s="120"/>
      <c r="O6" s="203"/>
      <c r="P6" s="98" t="s">
        <v>131</v>
      </c>
      <c r="Q6" s="98" t="s">
        <v>131</v>
      </c>
      <c r="R6" s="98" t="s">
        <v>131</v>
      </c>
      <c r="S6" s="98" t="s">
        <v>131</v>
      </c>
      <c r="T6" s="98" t="s">
        <v>131</v>
      </c>
      <c r="U6" s="98" t="s">
        <v>131</v>
      </c>
      <c r="V6" s="98" t="s">
        <v>131</v>
      </c>
      <c r="W6" s="98" t="s">
        <v>131</v>
      </c>
      <c r="X6" s="98" t="s">
        <v>131</v>
      </c>
    </row>
    <row r="7" spans="1:25" x14ac:dyDescent="0.25">
      <c r="A7" s="133" t="s">
        <v>131</v>
      </c>
      <c r="B7" s="133" t="s">
        <v>131</v>
      </c>
      <c r="C7" s="133" t="s">
        <v>131</v>
      </c>
      <c r="D7" s="133" t="s">
        <v>131</v>
      </c>
      <c r="E7" s="98" t="s">
        <v>131</v>
      </c>
      <c r="F7" s="110" t="s">
        <v>5</v>
      </c>
      <c r="G7" s="111" t="str">
        <f>Detail!D9</f>
        <v>Vita Ari Puspita</v>
      </c>
      <c r="H7" s="98" t="s">
        <v>131</v>
      </c>
      <c r="I7" s="115" t="str">
        <f>Detail!V32</f>
        <v>Absensi</v>
      </c>
      <c r="J7" s="119">
        <f>Detail!W32</f>
        <v>0.1</v>
      </c>
      <c r="K7" s="120">
        <f>Detail!X32</f>
        <v>115</v>
      </c>
      <c r="L7" s="203">
        <f>Detail!Y32</f>
        <v>11.5</v>
      </c>
      <c r="M7" s="98" t="s">
        <v>131</v>
      </c>
      <c r="N7" s="120"/>
      <c r="O7" s="203"/>
      <c r="P7" s="98" t="s">
        <v>131</v>
      </c>
      <c r="Q7" s="98" t="s">
        <v>131</v>
      </c>
      <c r="R7" s="98" t="s">
        <v>131</v>
      </c>
      <c r="S7" s="98" t="s">
        <v>131</v>
      </c>
      <c r="T7" s="98" t="s">
        <v>131</v>
      </c>
      <c r="U7" s="98" t="s">
        <v>131</v>
      </c>
      <c r="V7" s="98" t="s">
        <v>131</v>
      </c>
      <c r="W7" s="98" t="s">
        <v>131</v>
      </c>
      <c r="X7" s="98" t="s">
        <v>131</v>
      </c>
    </row>
    <row r="8" spans="1:25" ht="15.75" thickBot="1" x14ac:dyDescent="0.3">
      <c r="A8" s="133" t="s">
        <v>131</v>
      </c>
      <c r="B8" s="133" t="s">
        <v>131</v>
      </c>
      <c r="C8" s="133" t="s">
        <v>131</v>
      </c>
      <c r="D8" s="133" t="s">
        <v>131</v>
      </c>
      <c r="E8" s="98" t="s">
        <v>131</v>
      </c>
      <c r="F8" s="110" t="s">
        <v>7</v>
      </c>
      <c r="G8" s="134">
        <f>Detail!D10</f>
        <v>45658</v>
      </c>
      <c r="H8" s="98" t="s">
        <v>131</v>
      </c>
      <c r="I8" s="107" t="s">
        <v>30</v>
      </c>
      <c r="J8" s="116">
        <f>Detail!W34</f>
        <v>1</v>
      </c>
      <c r="K8" s="137">
        <f>SUM(K3:K7)</f>
        <v>557.5</v>
      </c>
      <c r="L8" s="204">
        <f>SUM(L3:L7)</f>
        <v>110.25</v>
      </c>
      <c r="M8" s="98" t="s">
        <v>131</v>
      </c>
      <c r="N8" s="137"/>
      <c r="O8" s="204"/>
      <c r="P8" s="98" t="s">
        <v>131</v>
      </c>
      <c r="Q8" s="98" t="s">
        <v>131</v>
      </c>
      <c r="R8" s="98" t="s">
        <v>131</v>
      </c>
      <c r="S8" s="98" t="s">
        <v>131</v>
      </c>
      <c r="T8" s="98" t="s">
        <v>131</v>
      </c>
      <c r="U8" s="98" t="s">
        <v>131</v>
      </c>
      <c r="V8" s="98" t="s">
        <v>131</v>
      </c>
      <c r="W8" s="98" t="s">
        <v>131</v>
      </c>
      <c r="X8" s="98" t="s">
        <v>131</v>
      </c>
    </row>
    <row r="9" spans="1:25" ht="15.75" thickBot="1" x14ac:dyDescent="0.3">
      <c r="A9" s="133" t="s">
        <v>131</v>
      </c>
      <c r="B9" s="133" t="s">
        <v>131</v>
      </c>
      <c r="C9" s="133" t="s">
        <v>131</v>
      </c>
      <c r="D9" s="133" t="s">
        <v>131</v>
      </c>
      <c r="E9" s="98" t="s">
        <v>131</v>
      </c>
      <c r="F9" s="110" t="s">
        <v>8</v>
      </c>
      <c r="G9" s="134">
        <f>Detail!D11</f>
        <v>0</v>
      </c>
      <c r="H9" s="98" t="s">
        <v>131</v>
      </c>
      <c r="I9" s="98" t="s">
        <v>131</v>
      </c>
      <c r="J9" s="476" t="s">
        <v>16</v>
      </c>
      <c r="K9" s="109" t="s">
        <v>17</v>
      </c>
      <c r="L9" s="205" t="s">
        <v>124</v>
      </c>
      <c r="M9" s="98" t="s">
        <v>131</v>
      </c>
      <c r="N9" s="109" t="s">
        <v>17</v>
      </c>
      <c r="O9" s="205" t="s">
        <v>124</v>
      </c>
      <c r="P9" s="98" t="s">
        <v>131</v>
      </c>
      <c r="Q9" s="98" t="s">
        <v>131</v>
      </c>
      <c r="R9" s="98" t="s">
        <v>131</v>
      </c>
      <c r="S9" s="98" t="s">
        <v>131</v>
      </c>
      <c r="T9" s="98" t="s">
        <v>131</v>
      </c>
      <c r="U9" s="98" t="s">
        <v>131</v>
      </c>
      <c r="V9" s="98" t="s">
        <v>131</v>
      </c>
      <c r="W9" s="98" t="s">
        <v>131</v>
      </c>
      <c r="X9" s="98" t="s">
        <v>131</v>
      </c>
    </row>
    <row r="10" spans="1:25" ht="15.75" thickBot="1" x14ac:dyDescent="0.3">
      <c r="A10" s="133" t="s">
        <v>131</v>
      </c>
      <c r="B10" s="133" t="s">
        <v>131</v>
      </c>
      <c r="C10" s="133" t="s">
        <v>131</v>
      </c>
      <c r="D10" s="133" t="s">
        <v>131</v>
      </c>
      <c r="E10" s="98" t="s">
        <v>131</v>
      </c>
      <c r="F10" s="112" t="s">
        <v>10</v>
      </c>
      <c r="G10" s="134">
        <f>Detail!D12</f>
        <v>46022</v>
      </c>
      <c r="H10" s="98" t="s">
        <v>131</v>
      </c>
      <c r="I10" s="98" t="s">
        <v>131</v>
      </c>
      <c r="J10" s="477"/>
      <c r="K10" s="101">
        <v>0.6</v>
      </c>
      <c r="L10" s="102">
        <f>L8*K10</f>
        <v>66.149999999999991</v>
      </c>
      <c r="M10" s="98" t="s">
        <v>131</v>
      </c>
      <c r="N10" s="101">
        <v>0.6</v>
      </c>
      <c r="O10" s="102">
        <v>64.349999999999994</v>
      </c>
      <c r="P10" s="98" t="s">
        <v>131</v>
      </c>
      <c r="Q10" s="98" t="s">
        <v>131</v>
      </c>
      <c r="R10" s="98" t="s">
        <v>131</v>
      </c>
      <c r="S10" s="98" t="s">
        <v>131</v>
      </c>
      <c r="T10" s="98" t="s">
        <v>131</v>
      </c>
      <c r="U10" s="98" t="s">
        <v>131</v>
      </c>
      <c r="V10" s="98" t="s">
        <v>131</v>
      </c>
      <c r="W10" s="98" t="s">
        <v>131</v>
      </c>
      <c r="X10" s="98" t="s">
        <v>131</v>
      </c>
    </row>
    <row r="11" spans="1:25" ht="15.75" thickBot="1" x14ac:dyDescent="0.3">
      <c r="A11" s="133" t="s">
        <v>131</v>
      </c>
      <c r="B11" s="133" t="s">
        <v>131</v>
      </c>
      <c r="C11" s="133" t="s">
        <v>131</v>
      </c>
      <c r="D11" s="133" t="s">
        <v>131</v>
      </c>
      <c r="E11" s="98" t="s">
        <v>131</v>
      </c>
      <c r="F11" s="98" t="s">
        <v>131</v>
      </c>
      <c r="G11" s="98" t="s">
        <v>131</v>
      </c>
      <c r="H11" s="98" t="s">
        <v>131</v>
      </c>
      <c r="I11" s="98" t="s">
        <v>131</v>
      </c>
      <c r="J11" s="98" t="s">
        <v>131</v>
      </c>
      <c r="K11" s="98" t="s">
        <v>131</v>
      </c>
      <c r="L11" s="98" t="s">
        <v>252</v>
      </c>
      <c r="M11" s="98" t="s">
        <v>131</v>
      </c>
      <c r="N11" s="98" t="s">
        <v>131</v>
      </c>
      <c r="O11" s="98" t="s">
        <v>131</v>
      </c>
      <c r="P11" s="98" t="s">
        <v>131</v>
      </c>
      <c r="Q11" s="98" t="s">
        <v>131</v>
      </c>
      <c r="R11" s="98" t="s">
        <v>131</v>
      </c>
      <c r="S11" s="98" t="s">
        <v>131</v>
      </c>
      <c r="T11" s="98" t="s">
        <v>131</v>
      </c>
      <c r="U11" s="98" t="s">
        <v>131</v>
      </c>
      <c r="V11" s="98" t="s">
        <v>131</v>
      </c>
      <c r="W11" s="98" t="s">
        <v>131</v>
      </c>
      <c r="X11" s="98" t="s">
        <v>131</v>
      </c>
    </row>
    <row r="12" spans="1:25" ht="28.5" customHeight="1" thickBot="1" x14ac:dyDescent="0.3">
      <c r="A12" s="133" t="s">
        <v>131</v>
      </c>
      <c r="B12" s="133" t="s">
        <v>131</v>
      </c>
      <c r="C12" s="133" t="s">
        <v>131</v>
      </c>
      <c r="D12" s="133" t="s">
        <v>131</v>
      </c>
      <c r="E12" s="98" t="s">
        <v>131</v>
      </c>
      <c r="F12" s="482" t="s">
        <v>44</v>
      </c>
      <c r="G12" s="483"/>
      <c r="H12" s="98" t="s">
        <v>131</v>
      </c>
      <c r="I12" s="103" t="s">
        <v>36</v>
      </c>
      <c r="J12" s="104" t="s">
        <v>17</v>
      </c>
      <c r="K12" s="105" t="s">
        <v>18</v>
      </c>
      <c r="L12" s="106" t="s">
        <v>19</v>
      </c>
      <c r="M12" s="98" t="s">
        <v>131</v>
      </c>
      <c r="N12" s="105" t="s">
        <v>18</v>
      </c>
      <c r="O12" s="106" t="s">
        <v>19</v>
      </c>
      <c r="P12" s="98" t="s">
        <v>131</v>
      </c>
      <c r="Q12" s="98" t="s">
        <v>131</v>
      </c>
      <c r="R12" s="98" t="s">
        <v>131</v>
      </c>
      <c r="S12" s="98" t="s">
        <v>131</v>
      </c>
      <c r="T12" s="98" t="s">
        <v>131</v>
      </c>
      <c r="U12" s="98" t="s">
        <v>131</v>
      </c>
      <c r="V12" s="98" t="s">
        <v>131</v>
      </c>
      <c r="W12" s="98" t="s">
        <v>131</v>
      </c>
      <c r="X12" s="98" t="s">
        <v>131</v>
      </c>
    </row>
    <row r="13" spans="1:25" ht="15" customHeight="1" x14ac:dyDescent="0.25">
      <c r="A13" s="133" t="s">
        <v>131</v>
      </c>
      <c r="B13" s="133" t="s">
        <v>131</v>
      </c>
      <c r="C13" s="133" t="s">
        <v>131</v>
      </c>
      <c r="D13" s="133" t="s">
        <v>131</v>
      </c>
      <c r="E13" s="98" t="s">
        <v>131</v>
      </c>
      <c r="F13" s="484" t="s">
        <v>43</v>
      </c>
      <c r="G13" s="486">
        <f>L10+L20</f>
        <v>110.66</v>
      </c>
      <c r="H13" s="98" t="s">
        <v>131</v>
      </c>
      <c r="I13" s="100" t="str">
        <f>Detail!V36</f>
        <v>Controll Pricelist</v>
      </c>
      <c r="J13" s="11">
        <f>Detail!W36</f>
        <v>0.3</v>
      </c>
      <c r="K13" s="227">
        <f>Detail!X36</f>
        <v>106.75</v>
      </c>
      <c r="L13" s="228">
        <f>Detail!Y36</f>
        <v>32.024999999999999</v>
      </c>
      <c r="M13" s="222" t="s">
        <v>131</v>
      </c>
      <c r="N13" s="201"/>
      <c r="O13" s="206"/>
      <c r="P13" s="98" t="s">
        <v>131</v>
      </c>
      <c r="Q13" s="98" t="s">
        <v>131</v>
      </c>
      <c r="R13" s="98" t="s">
        <v>131</v>
      </c>
      <c r="S13" s="98" t="s">
        <v>131</v>
      </c>
      <c r="T13" s="98" t="s">
        <v>131</v>
      </c>
      <c r="U13" s="98" t="s">
        <v>131</v>
      </c>
      <c r="V13" s="98" t="s">
        <v>131</v>
      </c>
      <c r="W13" s="98" t="s">
        <v>131</v>
      </c>
      <c r="X13" s="98" t="s">
        <v>131</v>
      </c>
      <c r="Y13" t="s">
        <v>247</v>
      </c>
    </row>
    <row r="14" spans="1:25" ht="15" customHeight="1" thickBot="1" x14ac:dyDescent="0.3">
      <c r="A14" s="133" t="s">
        <v>131</v>
      </c>
      <c r="B14" s="133" t="s">
        <v>131</v>
      </c>
      <c r="C14" s="133" t="s">
        <v>131</v>
      </c>
      <c r="D14" s="133" t="s">
        <v>131</v>
      </c>
      <c r="E14" s="98" t="s">
        <v>131</v>
      </c>
      <c r="F14" s="485"/>
      <c r="G14" s="487"/>
      <c r="H14" s="98" t="s">
        <v>131</v>
      </c>
      <c r="I14" s="100" t="str">
        <f>Detail!V37</f>
        <v xml:space="preserve">Administrasi Data Penjualan Tax untuk eFaktur </v>
      </c>
      <c r="J14" s="11">
        <f>Detail!W37</f>
        <v>0.25</v>
      </c>
      <c r="K14" s="227">
        <f>Detail!X37</f>
        <v>110</v>
      </c>
      <c r="L14" s="228">
        <f>Detail!Y37</f>
        <v>27.5</v>
      </c>
      <c r="M14" s="222" t="s">
        <v>131</v>
      </c>
      <c r="N14" s="201"/>
      <c r="O14" s="206"/>
      <c r="P14" s="98" t="s">
        <v>131</v>
      </c>
      <c r="Q14" s="98" t="s">
        <v>131</v>
      </c>
      <c r="R14" s="98" t="s">
        <v>131</v>
      </c>
      <c r="S14" s="98" t="s">
        <v>131</v>
      </c>
      <c r="T14" s="98" t="s">
        <v>131</v>
      </c>
      <c r="U14" s="98" t="s">
        <v>131</v>
      </c>
      <c r="V14" s="98" t="s">
        <v>131</v>
      </c>
      <c r="W14" s="98" t="s">
        <v>131</v>
      </c>
      <c r="X14" s="98" t="s">
        <v>131</v>
      </c>
      <c r="Y14" t="s">
        <v>249</v>
      </c>
    </row>
    <row r="15" spans="1:25" ht="15" customHeight="1" x14ac:dyDescent="0.25">
      <c r="A15" s="133" t="s">
        <v>131</v>
      </c>
      <c r="B15" s="133" t="s">
        <v>131</v>
      </c>
      <c r="C15" s="133" t="s">
        <v>131</v>
      </c>
      <c r="D15" s="133" t="s">
        <v>131</v>
      </c>
      <c r="E15" s="98" t="s">
        <v>131</v>
      </c>
      <c r="F15" s="488" t="str">
        <f>IF(G13&lt;90,"POOR",IF(G13&lt;=100,"GOOD",IF(G13&lt;=110,"Very Good",IF(G13&gt;110,"Excellent"))))</f>
        <v>Excellent</v>
      </c>
      <c r="G15" s="489"/>
      <c r="H15" s="98" t="s">
        <v>131</v>
      </c>
      <c r="I15" s="100" t="str">
        <f>Detail!V38</f>
        <v>Administrasi Retur Penjualan</v>
      </c>
      <c r="J15" s="11">
        <f>Detail!W38</f>
        <v>0.25</v>
      </c>
      <c r="K15" s="201">
        <f>Detail!X38</f>
        <v>115</v>
      </c>
      <c r="L15" s="206">
        <f>Detail!Y38</f>
        <v>28.75</v>
      </c>
      <c r="M15" s="222" t="s">
        <v>131</v>
      </c>
      <c r="N15" s="201"/>
      <c r="O15" s="206"/>
      <c r="P15" s="221" t="s">
        <v>131</v>
      </c>
      <c r="Q15" s="98" t="s">
        <v>131</v>
      </c>
      <c r="R15" s="98" t="s">
        <v>131</v>
      </c>
      <c r="S15" s="98" t="s">
        <v>131</v>
      </c>
      <c r="T15" s="98" t="s">
        <v>131</v>
      </c>
      <c r="U15" s="98" t="s">
        <v>131</v>
      </c>
      <c r="V15" s="98" t="s">
        <v>131</v>
      </c>
      <c r="W15" s="98" t="s">
        <v>131</v>
      </c>
      <c r="X15" s="98" t="s">
        <v>131</v>
      </c>
      <c r="Y15" t="s">
        <v>248</v>
      </c>
    </row>
    <row r="16" spans="1:25" ht="15.75" customHeight="1" x14ac:dyDescent="0.25">
      <c r="A16" s="133" t="s">
        <v>131</v>
      </c>
      <c r="B16" s="133" t="s">
        <v>131</v>
      </c>
      <c r="C16" s="133" t="s">
        <v>131</v>
      </c>
      <c r="D16" s="133" t="s">
        <v>131</v>
      </c>
      <c r="E16" s="98" t="s">
        <v>131</v>
      </c>
      <c r="F16" s="490"/>
      <c r="G16" s="491"/>
      <c r="H16" s="98" t="s">
        <v>131</v>
      </c>
      <c r="I16" s="100" t="str">
        <f>Detail!V39</f>
        <v>Verifikasi Pencairan Bonus</v>
      </c>
      <c r="J16" s="11">
        <f>Detail!W39</f>
        <v>0.1</v>
      </c>
      <c r="K16" s="201">
        <f>Detail!X39</f>
        <v>115</v>
      </c>
      <c r="L16" s="206">
        <f>Detail!Y39</f>
        <v>11.5</v>
      </c>
      <c r="M16" s="98" t="s">
        <v>131</v>
      </c>
      <c r="N16" s="201"/>
      <c r="O16" s="206"/>
      <c r="P16" s="98" t="s">
        <v>131</v>
      </c>
      <c r="Q16" s="98" t="s">
        <v>131</v>
      </c>
      <c r="R16" s="98" t="s">
        <v>131</v>
      </c>
      <c r="S16" s="98" t="s">
        <v>131</v>
      </c>
      <c r="T16" s="98" t="s">
        <v>131</v>
      </c>
      <c r="U16" s="98" t="s">
        <v>131</v>
      </c>
      <c r="V16" s="98" t="s">
        <v>131</v>
      </c>
      <c r="W16" s="98" t="s">
        <v>131</v>
      </c>
      <c r="X16" s="98" t="s">
        <v>131</v>
      </c>
    </row>
    <row r="17" spans="1:24" ht="15.75" thickBot="1" x14ac:dyDescent="0.3">
      <c r="A17" s="133" t="s">
        <v>131</v>
      </c>
      <c r="B17" s="133" t="s">
        <v>131</v>
      </c>
      <c r="C17" s="133" t="s">
        <v>131</v>
      </c>
      <c r="D17" s="133" t="s">
        <v>131</v>
      </c>
      <c r="E17" s="98" t="s">
        <v>131</v>
      </c>
      <c r="F17" s="492"/>
      <c r="G17" s="493"/>
      <c r="H17" s="98" t="s">
        <v>131</v>
      </c>
      <c r="I17" s="100" t="str">
        <f>Detail!V40</f>
        <v>Absensi</v>
      </c>
      <c r="J17" s="11">
        <f>Detail!W40</f>
        <v>0.1</v>
      </c>
      <c r="K17" s="201">
        <f>Detail!X40</f>
        <v>115</v>
      </c>
      <c r="L17" s="206">
        <f>Detail!Y40</f>
        <v>11.5</v>
      </c>
      <c r="M17" s="98" t="s">
        <v>131</v>
      </c>
      <c r="N17" s="201"/>
      <c r="O17" s="206"/>
      <c r="P17" s="98" t="s">
        <v>131</v>
      </c>
      <c r="Q17" s="98" t="s">
        <v>131</v>
      </c>
      <c r="R17" s="98" t="s">
        <v>131</v>
      </c>
      <c r="S17" s="98" t="s">
        <v>131</v>
      </c>
      <c r="T17" s="98" t="s">
        <v>131</v>
      </c>
      <c r="U17" s="98" t="s">
        <v>131</v>
      </c>
      <c r="V17" s="98" t="s">
        <v>131</v>
      </c>
      <c r="W17" s="98" t="s">
        <v>131</v>
      </c>
      <c r="X17" s="98" t="s">
        <v>131</v>
      </c>
    </row>
    <row r="18" spans="1:24" ht="15.75" thickBot="1" x14ac:dyDescent="0.3">
      <c r="A18" s="133" t="s">
        <v>131</v>
      </c>
      <c r="B18" s="133" t="s">
        <v>131</v>
      </c>
      <c r="C18" s="133" t="s">
        <v>131</v>
      </c>
      <c r="D18" s="133" t="s">
        <v>131</v>
      </c>
      <c r="E18" s="98" t="s">
        <v>131</v>
      </c>
      <c r="F18" s="98" t="s">
        <v>131</v>
      </c>
      <c r="G18" s="98" t="s">
        <v>131</v>
      </c>
      <c r="H18" s="98" t="s">
        <v>131</v>
      </c>
      <c r="I18" s="107" t="s">
        <v>30</v>
      </c>
      <c r="J18" s="108">
        <f>SUM(J13:J17)</f>
        <v>1</v>
      </c>
      <c r="K18" s="202">
        <f>SUM(K13:K17)</f>
        <v>561.75</v>
      </c>
      <c r="L18" s="207">
        <f>SUM(L13:L17)</f>
        <v>111.27500000000001</v>
      </c>
      <c r="M18" s="98" t="s">
        <v>131</v>
      </c>
      <c r="N18" s="202"/>
      <c r="O18" s="207"/>
      <c r="P18" s="98" t="s">
        <v>131</v>
      </c>
      <c r="Q18" s="98" t="s">
        <v>131</v>
      </c>
      <c r="R18" s="98" t="s">
        <v>131</v>
      </c>
      <c r="S18" s="98" t="s">
        <v>131</v>
      </c>
      <c r="T18" s="98" t="s">
        <v>131</v>
      </c>
      <c r="U18" s="98" t="s">
        <v>131</v>
      </c>
      <c r="V18" s="98" t="s">
        <v>131</v>
      </c>
      <c r="W18" s="98" t="s">
        <v>131</v>
      </c>
      <c r="X18" s="98" t="s">
        <v>131</v>
      </c>
    </row>
    <row r="19" spans="1:24" x14ac:dyDescent="0.25">
      <c r="A19" s="133" t="s">
        <v>131</v>
      </c>
      <c r="B19" s="133" t="s">
        <v>131</v>
      </c>
      <c r="C19" s="133" t="s">
        <v>131</v>
      </c>
      <c r="D19" s="133" t="s">
        <v>131</v>
      </c>
      <c r="E19" s="98" t="s">
        <v>131</v>
      </c>
      <c r="F19" s="98" t="s">
        <v>131</v>
      </c>
      <c r="G19" s="98" t="s">
        <v>131</v>
      </c>
      <c r="H19" s="98" t="s">
        <v>131</v>
      </c>
      <c r="I19" s="98" t="s">
        <v>131</v>
      </c>
      <c r="J19" s="476" t="s">
        <v>36</v>
      </c>
      <c r="K19" s="109" t="s">
        <v>17</v>
      </c>
      <c r="L19" s="208" t="s">
        <v>124</v>
      </c>
      <c r="M19" s="98" t="s">
        <v>131</v>
      </c>
      <c r="N19" s="109" t="s">
        <v>17</v>
      </c>
      <c r="O19" s="208" t="s">
        <v>124</v>
      </c>
      <c r="P19" s="98" t="s">
        <v>131</v>
      </c>
      <c r="Q19" s="98" t="s">
        <v>131</v>
      </c>
      <c r="R19" s="98" t="s">
        <v>131</v>
      </c>
      <c r="S19" s="98" t="s">
        <v>131</v>
      </c>
      <c r="T19" s="98" t="s">
        <v>131</v>
      </c>
      <c r="U19" s="98" t="s">
        <v>131</v>
      </c>
      <c r="V19" s="98" t="s">
        <v>131</v>
      </c>
      <c r="W19" s="98" t="s">
        <v>131</v>
      </c>
      <c r="X19" s="98" t="s">
        <v>131</v>
      </c>
    </row>
    <row r="20" spans="1:24" ht="15.75" thickBot="1" x14ac:dyDescent="0.3">
      <c r="A20" s="133" t="s">
        <v>131</v>
      </c>
      <c r="B20" s="133" t="s">
        <v>131</v>
      </c>
      <c r="C20" s="133" t="s">
        <v>131</v>
      </c>
      <c r="D20" s="133" t="s">
        <v>131</v>
      </c>
      <c r="E20" s="98" t="s">
        <v>131</v>
      </c>
      <c r="F20" s="98" t="s">
        <v>131</v>
      </c>
      <c r="G20" s="98" t="s">
        <v>131</v>
      </c>
      <c r="H20" s="98" t="s">
        <v>131</v>
      </c>
      <c r="I20" s="98" t="s">
        <v>131</v>
      </c>
      <c r="J20" s="477"/>
      <c r="K20" s="117">
        <f>100%-K10</f>
        <v>0.4</v>
      </c>
      <c r="L20" s="118">
        <f>K20*L18</f>
        <v>44.510000000000005</v>
      </c>
      <c r="M20" s="98" t="s">
        <v>131</v>
      </c>
      <c r="N20" s="117">
        <v>0.4</v>
      </c>
      <c r="O20" s="118">
        <v>42.635000000000005</v>
      </c>
      <c r="P20" s="98" t="s">
        <v>131</v>
      </c>
      <c r="Q20" s="98" t="s">
        <v>131</v>
      </c>
      <c r="R20" s="98" t="s">
        <v>131</v>
      </c>
      <c r="S20" s="98" t="s">
        <v>131</v>
      </c>
      <c r="T20" s="98" t="s">
        <v>131</v>
      </c>
      <c r="U20" s="98" t="s">
        <v>131</v>
      </c>
      <c r="V20" s="98" t="s">
        <v>131</v>
      </c>
      <c r="W20" s="98" t="s">
        <v>131</v>
      </c>
      <c r="X20" s="98" t="s">
        <v>131</v>
      </c>
    </row>
    <row r="21" spans="1:24" x14ac:dyDescent="0.25">
      <c r="A21" s="133" t="s">
        <v>131</v>
      </c>
      <c r="B21" s="133" t="s">
        <v>131</v>
      </c>
      <c r="C21" s="133" t="s">
        <v>131</v>
      </c>
      <c r="D21" s="133" t="s">
        <v>131</v>
      </c>
      <c r="E21" s="98" t="s">
        <v>131</v>
      </c>
      <c r="F21" s="98" t="s">
        <v>131</v>
      </c>
      <c r="G21" s="98" t="s">
        <v>131</v>
      </c>
      <c r="H21" s="98" t="s">
        <v>131</v>
      </c>
      <c r="I21" s="98" t="s">
        <v>131</v>
      </c>
      <c r="J21" s="98" t="s">
        <v>131</v>
      </c>
      <c r="K21" s="98"/>
      <c r="L21" s="98"/>
      <c r="M21" s="98" t="s">
        <v>131</v>
      </c>
      <c r="N21" s="98" t="s">
        <v>131</v>
      </c>
      <c r="O21" s="98" t="s">
        <v>131</v>
      </c>
      <c r="P21" s="98" t="s">
        <v>131</v>
      </c>
      <c r="Q21" s="98" t="s">
        <v>131</v>
      </c>
      <c r="R21" s="98" t="s">
        <v>131</v>
      </c>
      <c r="S21" s="98" t="s">
        <v>131</v>
      </c>
      <c r="T21" s="98" t="s">
        <v>131</v>
      </c>
      <c r="U21" s="98" t="s">
        <v>131</v>
      </c>
      <c r="V21" s="98" t="s">
        <v>131</v>
      </c>
      <c r="W21" s="98" t="s">
        <v>131</v>
      </c>
      <c r="X21" s="98" t="s">
        <v>131</v>
      </c>
    </row>
    <row r="22" spans="1:24" x14ac:dyDescent="0.25">
      <c r="A22" s="133" t="s">
        <v>131</v>
      </c>
      <c r="B22" s="133" t="s">
        <v>131</v>
      </c>
      <c r="C22" s="133" t="s">
        <v>131</v>
      </c>
      <c r="D22" s="133" t="s">
        <v>131</v>
      </c>
      <c r="E22" s="98" t="s">
        <v>131</v>
      </c>
      <c r="F22" s="98" t="s">
        <v>131</v>
      </c>
      <c r="G22" s="98" t="s">
        <v>131</v>
      </c>
      <c r="H22" s="98" t="s">
        <v>131</v>
      </c>
      <c r="I22" s="98" t="s">
        <v>131</v>
      </c>
      <c r="J22" s="98"/>
      <c r="K22" s="136"/>
      <c r="L22" s="136"/>
      <c r="M22" s="98" t="s">
        <v>131</v>
      </c>
      <c r="N22" s="98" t="s">
        <v>131</v>
      </c>
      <c r="O22" s="98" t="s">
        <v>131</v>
      </c>
      <c r="P22" s="98" t="s">
        <v>131</v>
      </c>
      <c r="Q22" s="98" t="s">
        <v>131</v>
      </c>
      <c r="R22" s="98" t="s">
        <v>131</v>
      </c>
      <c r="S22" s="98" t="s">
        <v>131</v>
      </c>
      <c r="T22" s="98" t="s">
        <v>131</v>
      </c>
      <c r="U22" s="98" t="s">
        <v>131</v>
      </c>
      <c r="V22" s="98" t="s">
        <v>131</v>
      </c>
      <c r="W22" s="98" t="s">
        <v>131</v>
      </c>
      <c r="X22" s="98" t="s">
        <v>131</v>
      </c>
    </row>
    <row r="23" spans="1:24" x14ac:dyDescent="0.25">
      <c r="A23" s="133" t="s">
        <v>131</v>
      </c>
      <c r="B23" s="133" t="s">
        <v>131</v>
      </c>
      <c r="C23" s="133" t="s">
        <v>131</v>
      </c>
      <c r="D23" s="133" t="s">
        <v>131</v>
      </c>
      <c r="E23" s="98" t="s">
        <v>131</v>
      </c>
      <c r="F23" s="98" t="s">
        <v>131</v>
      </c>
      <c r="G23" s="98" t="s">
        <v>131</v>
      </c>
      <c r="H23" s="98" t="s">
        <v>131</v>
      </c>
      <c r="I23" s="98" t="s">
        <v>131</v>
      </c>
      <c r="J23" s="98" t="s">
        <v>131</v>
      </c>
      <c r="K23" s="98" t="s">
        <v>131</v>
      </c>
      <c r="L23" s="98" t="s">
        <v>131</v>
      </c>
      <c r="M23" s="98" t="s">
        <v>131</v>
      </c>
      <c r="N23" s="98" t="s">
        <v>131</v>
      </c>
      <c r="O23" s="98" t="s">
        <v>131</v>
      </c>
      <c r="P23" s="98" t="s">
        <v>131</v>
      </c>
      <c r="Q23" s="98" t="s">
        <v>131</v>
      </c>
      <c r="R23" s="98" t="s">
        <v>131</v>
      </c>
      <c r="S23" s="98" t="s">
        <v>131</v>
      </c>
      <c r="T23" s="98" t="s">
        <v>131</v>
      </c>
      <c r="U23" s="98" t="s">
        <v>131</v>
      </c>
      <c r="V23" s="98" t="s">
        <v>131</v>
      </c>
      <c r="W23" s="98" t="s">
        <v>131</v>
      </c>
      <c r="X23" s="98" t="s">
        <v>131</v>
      </c>
    </row>
    <row r="24" spans="1:24" x14ac:dyDescent="0.25">
      <c r="A24" s="133" t="s">
        <v>131</v>
      </c>
      <c r="B24" s="133" t="s">
        <v>131</v>
      </c>
      <c r="C24" s="133" t="s">
        <v>131</v>
      </c>
      <c r="D24" s="133" t="s">
        <v>131</v>
      </c>
      <c r="E24" s="98" t="s">
        <v>131</v>
      </c>
      <c r="F24" s="98" t="s">
        <v>131</v>
      </c>
      <c r="G24" s="98" t="s">
        <v>131</v>
      </c>
      <c r="H24" s="98" t="s">
        <v>131</v>
      </c>
      <c r="I24" s="98" t="s">
        <v>131</v>
      </c>
      <c r="J24" s="98" t="s">
        <v>131</v>
      </c>
      <c r="K24" s="98" t="s">
        <v>131</v>
      </c>
      <c r="L24" s="98" t="s">
        <v>131</v>
      </c>
      <c r="M24" s="98" t="s">
        <v>131</v>
      </c>
      <c r="N24" s="98" t="s">
        <v>131</v>
      </c>
      <c r="O24" s="98" t="s">
        <v>131</v>
      </c>
      <c r="P24" s="98" t="s">
        <v>131</v>
      </c>
      <c r="Q24" s="98" t="s">
        <v>131</v>
      </c>
      <c r="R24" s="98" t="s">
        <v>131</v>
      </c>
      <c r="S24" s="98" t="s">
        <v>131</v>
      </c>
      <c r="T24" s="98" t="s">
        <v>131</v>
      </c>
      <c r="U24" s="98" t="s">
        <v>131</v>
      </c>
      <c r="V24" s="98" t="s">
        <v>131</v>
      </c>
      <c r="W24" s="98" t="s">
        <v>131</v>
      </c>
      <c r="X24" s="98" t="s">
        <v>131</v>
      </c>
    </row>
    <row r="25" spans="1:24" x14ac:dyDescent="0.25">
      <c r="A25" s="133" t="s">
        <v>131</v>
      </c>
      <c r="B25" s="133" t="s">
        <v>131</v>
      </c>
      <c r="C25" s="133" t="s">
        <v>131</v>
      </c>
      <c r="D25" s="133" t="s">
        <v>131</v>
      </c>
      <c r="E25" s="98" t="s">
        <v>131</v>
      </c>
      <c r="F25" s="98" t="s">
        <v>131</v>
      </c>
      <c r="G25" s="98" t="s">
        <v>131</v>
      </c>
      <c r="H25" s="98" t="s">
        <v>131</v>
      </c>
      <c r="I25" s="98" t="s">
        <v>131</v>
      </c>
      <c r="J25" s="98" t="s">
        <v>131</v>
      </c>
      <c r="K25" s="98" t="s">
        <v>131</v>
      </c>
      <c r="L25" s="98" t="s">
        <v>131</v>
      </c>
      <c r="M25" s="98" t="s">
        <v>131</v>
      </c>
      <c r="N25" s="98" t="s">
        <v>131</v>
      </c>
      <c r="O25" s="98" t="s">
        <v>131</v>
      </c>
      <c r="P25" s="98" t="s">
        <v>131</v>
      </c>
      <c r="Q25" s="98" t="s">
        <v>131</v>
      </c>
      <c r="R25" s="98" t="s">
        <v>131</v>
      </c>
      <c r="S25" s="98" t="s">
        <v>131</v>
      </c>
      <c r="T25" s="98" t="s">
        <v>131</v>
      </c>
      <c r="U25" s="98" t="s">
        <v>131</v>
      </c>
      <c r="V25" s="98" t="s">
        <v>131</v>
      </c>
      <c r="W25" s="98" t="s">
        <v>131</v>
      </c>
      <c r="X25" s="98" t="s">
        <v>131</v>
      </c>
    </row>
    <row r="26" spans="1:24" x14ac:dyDescent="0.25">
      <c r="A26" s="133" t="s">
        <v>131</v>
      </c>
      <c r="B26" s="133" t="s">
        <v>131</v>
      </c>
      <c r="C26" s="133" t="s">
        <v>131</v>
      </c>
      <c r="D26" s="133" t="s">
        <v>131</v>
      </c>
      <c r="E26" s="98" t="s">
        <v>131</v>
      </c>
      <c r="F26" s="98" t="s">
        <v>131</v>
      </c>
      <c r="G26" s="98" t="s">
        <v>131</v>
      </c>
      <c r="H26" s="98" t="s">
        <v>131</v>
      </c>
      <c r="I26" s="98" t="s">
        <v>131</v>
      </c>
      <c r="J26" s="98" t="s">
        <v>131</v>
      </c>
      <c r="K26" s="98" t="s">
        <v>131</v>
      </c>
      <c r="L26" s="98" t="s">
        <v>131</v>
      </c>
      <c r="M26" s="98" t="s">
        <v>131</v>
      </c>
      <c r="N26" s="98" t="s">
        <v>131</v>
      </c>
      <c r="O26" s="98" t="s">
        <v>131</v>
      </c>
      <c r="P26" s="98" t="s">
        <v>131</v>
      </c>
      <c r="Q26" s="98" t="s">
        <v>131</v>
      </c>
      <c r="R26" s="98" t="s">
        <v>131</v>
      </c>
      <c r="S26" s="98" t="s">
        <v>131</v>
      </c>
      <c r="T26" s="98" t="s">
        <v>131</v>
      </c>
      <c r="U26" s="98" t="s">
        <v>131</v>
      </c>
      <c r="V26" s="98" t="s">
        <v>131</v>
      </c>
      <c r="W26" s="98" t="s">
        <v>131</v>
      </c>
      <c r="X26" s="98" t="s">
        <v>131</v>
      </c>
    </row>
    <row r="27" spans="1:24" x14ac:dyDescent="0.25">
      <c r="A27" s="133" t="s">
        <v>131</v>
      </c>
      <c r="B27" s="133" t="s">
        <v>131</v>
      </c>
      <c r="C27" s="133" t="s">
        <v>131</v>
      </c>
      <c r="D27" s="133" t="s">
        <v>131</v>
      </c>
      <c r="E27" s="98" t="s">
        <v>131</v>
      </c>
      <c r="F27" s="98" t="s">
        <v>131</v>
      </c>
      <c r="G27" s="98" t="s">
        <v>131</v>
      </c>
      <c r="H27" s="98" t="s">
        <v>131</v>
      </c>
      <c r="I27" s="98" t="s">
        <v>131</v>
      </c>
      <c r="J27" s="98" t="s">
        <v>131</v>
      </c>
      <c r="K27" s="98" t="s">
        <v>131</v>
      </c>
      <c r="L27" s="98" t="s">
        <v>131</v>
      </c>
      <c r="M27" s="98" t="s">
        <v>131</v>
      </c>
      <c r="N27" s="98" t="s">
        <v>131</v>
      </c>
      <c r="O27" s="98" t="s">
        <v>131</v>
      </c>
      <c r="P27" s="98" t="s">
        <v>131</v>
      </c>
      <c r="Q27" s="98" t="s">
        <v>131</v>
      </c>
      <c r="R27" s="98" t="s">
        <v>131</v>
      </c>
      <c r="S27" s="98" t="s">
        <v>131</v>
      </c>
      <c r="T27" s="98" t="s">
        <v>131</v>
      </c>
      <c r="U27" s="98" t="s">
        <v>131</v>
      </c>
      <c r="V27" s="98" t="s">
        <v>131</v>
      </c>
      <c r="W27" s="98" t="s">
        <v>131</v>
      </c>
      <c r="X27" s="98" t="s">
        <v>131</v>
      </c>
    </row>
    <row r="28" spans="1:24" x14ac:dyDescent="0.25">
      <c r="A28" s="133" t="s">
        <v>131</v>
      </c>
      <c r="B28" s="133" t="s">
        <v>131</v>
      </c>
      <c r="C28" s="133" t="s">
        <v>131</v>
      </c>
      <c r="D28" s="133" t="s">
        <v>131</v>
      </c>
      <c r="E28" s="98" t="s">
        <v>131</v>
      </c>
      <c r="F28" s="98" t="s">
        <v>131</v>
      </c>
      <c r="G28" s="98" t="s">
        <v>131</v>
      </c>
      <c r="H28" s="98" t="s">
        <v>131</v>
      </c>
      <c r="I28" s="98" t="s">
        <v>131</v>
      </c>
      <c r="J28" s="98" t="s">
        <v>131</v>
      </c>
      <c r="K28" s="98" t="s">
        <v>131</v>
      </c>
      <c r="L28" s="98" t="s">
        <v>131</v>
      </c>
      <c r="M28" s="98" t="s">
        <v>131</v>
      </c>
      <c r="N28" s="98" t="s">
        <v>131</v>
      </c>
      <c r="O28" s="98" t="s">
        <v>131</v>
      </c>
      <c r="P28" s="98" t="s">
        <v>131</v>
      </c>
      <c r="Q28" s="98" t="s">
        <v>131</v>
      </c>
      <c r="R28" s="98" t="s">
        <v>131</v>
      </c>
      <c r="S28" s="98" t="s">
        <v>131</v>
      </c>
      <c r="T28" s="98" t="s">
        <v>131</v>
      </c>
      <c r="U28" s="98" t="s">
        <v>131</v>
      </c>
      <c r="V28" s="98" t="s">
        <v>131</v>
      </c>
      <c r="W28" s="98" t="s">
        <v>131</v>
      </c>
      <c r="X28" s="98" t="s">
        <v>131</v>
      </c>
    </row>
    <row r="29" spans="1:24" x14ac:dyDescent="0.25">
      <c r="A29" s="133" t="s">
        <v>131</v>
      </c>
      <c r="B29" s="133" t="s">
        <v>131</v>
      </c>
      <c r="C29" s="133" t="s">
        <v>131</v>
      </c>
      <c r="D29" s="133" t="s">
        <v>131</v>
      </c>
      <c r="E29" s="98" t="s">
        <v>131</v>
      </c>
      <c r="F29" s="98" t="s">
        <v>131</v>
      </c>
      <c r="G29" s="98" t="s">
        <v>131</v>
      </c>
      <c r="H29" s="98" t="s">
        <v>131</v>
      </c>
      <c r="I29" s="98" t="s">
        <v>131</v>
      </c>
      <c r="J29" s="98" t="s">
        <v>131</v>
      </c>
      <c r="K29" s="98" t="s">
        <v>131</v>
      </c>
      <c r="L29" s="98" t="s">
        <v>131</v>
      </c>
      <c r="M29" s="98" t="s">
        <v>131</v>
      </c>
      <c r="N29" s="98" t="s">
        <v>131</v>
      </c>
      <c r="O29" s="98" t="s">
        <v>131</v>
      </c>
      <c r="P29" s="98" t="s">
        <v>131</v>
      </c>
      <c r="Q29" s="98" t="s">
        <v>131</v>
      </c>
      <c r="R29" s="98" t="s">
        <v>131</v>
      </c>
      <c r="S29" s="98" t="s">
        <v>131</v>
      </c>
      <c r="T29" s="98" t="s">
        <v>131</v>
      </c>
      <c r="U29" s="98" t="s">
        <v>131</v>
      </c>
      <c r="V29" s="98" t="s">
        <v>131</v>
      </c>
      <c r="W29" s="98" t="s">
        <v>131</v>
      </c>
      <c r="X29" s="98" t="s">
        <v>131</v>
      </c>
    </row>
    <row r="30" spans="1:24" x14ac:dyDescent="0.25">
      <c r="A30" s="133" t="s">
        <v>131</v>
      </c>
      <c r="B30" s="133" t="s">
        <v>131</v>
      </c>
      <c r="C30" s="133" t="s">
        <v>131</v>
      </c>
      <c r="D30" s="133" t="s">
        <v>131</v>
      </c>
      <c r="E30" s="98" t="s">
        <v>131</v>
      </c>
      <c r="F30" s="98" t="s">
        <v>131</v>
      </c>
      <c r="G30" s="98" t="s">
        <v>131</v>
      </c>
      <c r="H30" s="98" t="s">
        <v>131</v>
      </c>
      <c r="I30" s="98" t="s">
        <v>131</v>
      </c>
      <c r="J30" s="98" t="s">
        <v>131</v>
      </c>
      <c r="K30" s="98" t="s">
        <v>131</v>
      </c>
      <c r="L30" s="98" t="s">
        <v>131</v>
      </c>
      <c r="M30" s="98" t="s">
        <v>131</v>
      </c>
      <c r="N30" s="98" t="s">
        <v>131</v>
      </c>
      <c r="O30" s="98" t="s">
        <v>131</v>
      </c>
      <c r="P30" s="98" t="s">
        <v>131</v>
      </c>
      <c r="Q30" s="98" t="s">
        <v>131</v>
      </c>
      <c r="R30" s="98" t="s">
        <v>131</v>
      </c>
      <c r="S30" s="98" t="s">
        <v>131</v>
      </c>
      <c r="T30" s="98" t="s">
        <v>131</v>
      </c>
      <c r="U30" s="98" t="s">
        <v>131</v>
      </c>
      <c r="V30" s="98" t="s">
        <v>131</v>
      </c>
      <c r="W30" s="98" t="s">
        <v>131</v>
      </c>
      <c r="X30" s="98" t="s">
        <v>131</v>
      </c>
    </row>
    <row r="31" spans="1:24" x14ac:dyDescent="0.25">
      <c r="A31" s="133" t="s">
        <v>131</v>
      </c>
      <c r="B31" s="133" t="s">
        <v>131</v>
      </c>
      <c r="C31" s="133" t="s">
        <v>131</v>
      </c>
      <c r="D31" s="133" t="s">
        <v>131</v>
      </c>
      <c r="E31" s="98" t="s">
        <v>131</v>
      </c>
      <c r="F31" s="98" t="s">
        <v>131</v>
      </c>
      <c r="G31" s="98" t="s">
        <v>131</v>
      </c>
      <c r="H31" s="98" t="s">
        <v>131</v>
      </c>
      <c r="I31" s="98" t="s">
        <v>131</v>
      </c>
      <c r="J31" s="98" t="s">
        <v>131</v>
      </c>
      <c r="K31" s="98" t="s">
        <v>131</v>
      </c>
      <c r="L31" s="98" t="s">
        <v>131</v>
      </c>
      <c r="M31" s="98" t="s">
        <v>131</v>
      </c>
      <c r="N31" s="98" t="s">
        <v>131</v>
      </c>
      <c r="O31" s="98" t="s">
        <v>131</v>
      </c>
      <c r="P31" s="98" t="s">
        <v>131</v>
      </c>
      <c r="Q31" s="98" t="s">
        <v>131</v>
      </c>
      <c r="R31" s="98" t="s">
        <v>131</v>
      </c>
      <c r="S31" s="98" t="s">
        <v>131</v>
      </c>
      <c r="T31" s="98" t="s">
        <v>131</v>
      </c>
      <c r="U31" s="98" t="s">
        <v>131</v>
      </c>
      <c r="V31" s="98" t="s">
        <v>131</v>
      </c>
      <c r="W31" s="98" t="s">
        <v>131</v>
      </c>
      <c r="X31" s="98" t="s">
        <v>131</v>
      </c>
    </row>
    <row r="32" spans="1:24" x14ac:dyDescent="0.25">
      <c r="A32" s="133" t="s">
        <v>131</v>
      </c>
      <c r="B32" s="133" t="s">
        <v>131</v>
      </c>
      <c r="C32" s="133" t="s">
        <v>131</v>
      </c>
      <c r="D32" s="133" t="s">
        <v>131</v>
      </c>
      <c r="E32" s="98" t="s">
        <v>131</v>
      </c>
      <c r="F32" s="98" t="s">
        <v>131</v>
      </c>
      <c r="G32" s="98" t="s">
        <v>131</v>
      </c>
      <c r="H32" s="98" t="s">
        <v>131</v>
      </c>
      <c r="I32" s="98" t="s">
        <v>131</v>
      </c>
      <c r="J32" s="98" t="s">
        <v>131</v>
      </c>
      <c r="K32" s="98" t="s">
        <v>131</v>
      </c>
      <c r="L32" s="98" t="s">
        <v>131</v>
      </c>
      <c r="M32" s="98" t="s">
        <v>131</v>
      </c>
      <c r="N32" s="98" t="s">
        <v>131</v>
      </c>
      <c r="O32" s="98" t="s">
        <v>131</v>
      </c>
      <c r="P32" s="98" t="s">
        <v>131</v>
      </c>
      <c r="Q32" s="98" t="s">
        <v>131</v>
      </c>
      <c r="R32" s="98" t="s">
        <v>131</v>
      </c>
      <c r="S32" s="98" t="s">
        <v>131</v>
      </c>
      <c r="T32" s="98" t="s">
        <v>131</v>
      </c>
      <c r="U32" s="98" t="s">
        <v>131</v>
      </c>
      <c r="V32" s="98" t="s">
        <v>131</v>
      </c>
      <c r="W32" s="98" t="s">
        <v>131</v>
      </c>
      <c r="X32" s="98" t="s">
        <v>131</v>
      </c>
    </row>
    <row r="33" spans="1:24" x14ac:dyDescent="0.25">
      <c r="A33" s="133" t="s">
        <v>131</v>
      </c>
      <c r="B33" s="133" t="s">
        <v>131</v>
      </c>
      <c r="C33" s="133" t="s">
        <v>131</v>
      </c>
      <c r="D33" s="133" t="s">
        <v>131</v>
      </c>
      <c r="E33" s="98" t="s">
        <v>131</v>
      </c>
      <c r="F33" s="98" t="s">
        <v>131</v>
      </c>
      <c r="G33" s="98" t="s">
        <v>131</v>
      </c>
      <c r="H33" s="98" t="s">
        <v>131</v>
      </c>
      <c r="I33" s="98" t="s">
        <v>131</v>
      </c>
      <c r="J33" s="98" t="s">
        <v>131</v>
      </c>
      <c r="K33" s="98" t="s">
        <v>131</v>
      </c>
      <c r="L33" s="98" t="s">
        <v>131</v>
      </c>
      <c r="M33" s="98" t="s">
        <v>131</v>
      </c>
      <c r="N33" s="98" t="s">
        <v>131</v>
      </c>
      <c r="O33" s="98" t="s">
        <v>131</v>
      </c>
      <c r="P33" s="98" t="s">
        <v>131</v>
      </c>
      <c r="Q33" s="98" t="s">
        <v>131</v>
      </c>
      <c r="R33" s="98" t="s">
        <v>131</v>
      </c>
      <c r="S33" s="98" t="s">
        <v>131</v>
      </c>
      <c r="T33" s="98" t="s">
        <v>131</v>
      </c>
      <c r="U33" s="98" t="s">
        <v>131</v>
      </c>
      <c r="V33" s="98" t="s">
        <v>131</v>
      </c>
      <c r="W33" s="98" t="s">
        <v>131</v>
      </c>
      <c r="X33" s="98" t="s">
        <v>131</v>
      </c>
    </row>
    <row r="34" spans="1:24" x14ac:dyDescent="0.25">
      <c r="A34" s="133" t="s">
        <v>131</v>
      </c>
      <c r="B34" s="133" t="s">
        <v>131</v>
      </c>
      <c r="C34" s="133" t="s">
        <v>131</v>
      </c>
      <c r="D34" s="133" t="s">
        <v>131</v>
      </c>
      <c r="E34" s="98" t="s">
        <v>131</v>
      </c>
      <c r="F34" s="98" t="s">
        <v>131</v>
      </c>
      <c r="G34" s="98" t="s">
        <v>131</v>
      </c>
      <c r="H34" s="98" t="s">
        <v>131</v>
      </c>
      <c r="I34" s="98" t="s">
        <v>131</v>
      </c>
      <c r="J34" s="98" t="s">
        <v>131</v>
      </c>
      <c r="K34" s="98" t="s">
        <v>131</v>
      </c>
      <c r="L34" s="98" t="s">
        <v>131</v>
      </c>
      <c r="M34" s="98" t="s">
        <v>131</v>
      </c>
      <c r="N34" s="98" t="s">
        <v>131</v>
      </c>
      <c r="O34" s="98" t="s">
        <v>131</v>
      </c>
      <c r="P34" s="98" t="s">
        <v>131</v>
      </c>
      <c r="Q34" s="98" t="s">
        <v>131</v>
      </c>
      <c r="R34" s="98" t="s">
        <v>131</v>
      </c>
      <c r="S34" s="98" t="s">
        <v>131</v>
      </c>
      <c r="T34" s="98" t="s">
        <v>131</v>
      </c>
      <c r="U34" s="98" t="s">
        <v>131</v>
      </c>
      <c r="V34" s="98" t="s">
        <v>131</v>
      </c>
      <c r="W34" s="98" t="s">
        <v>131</v>
      </c>
      <c r="X34" s="98" t="s">
        <v>131</v>
      </c>
    </row>
    <row r="35" spans="1:24" x14ac:dyDescent="0.25">
      <c r="A35" s="133" t="s">
        <v>131</v>
      </c>
      <c r="B35" s="133" t="s">
        <v>131</v>
      </c>
      <c r="C35" s="133" t="s">
        <v>131</v>
      </c>
      <c r="D35" s="133" t="s">
        <v>131</v>
      </c>
      <c r="E35" s="98" t="s">
        <v>131</v>
      </c>
      <c r="F35" s="98" t="s">
        <v>131</v>
      </c>
      <c r="G35" s="98" t="s">
        <v>131</v>
      </c>
      <c r="H35" s="98" t="s">
        <v>131</v>
      </c>
      <c r="I35" s="98" t="s">
        <v>131</v>
      </c>
      <c r="J35" s="98" t="s">
        <v>131</v>
      </c>
      <c r="K35" s="98" t="s">
        <v>131</v>
      </c>
      <c r="L35" s="98" t="s">
        <v>131</v>
      </c>
      <c r="M35" s="98" t="s">
        <v>131</v>
      </c>
      <c r="N35" s="98" t="s">
        <v>131</v>
      </c>
      <c r="O35" s="98" t="s">
        <v>131</v>
      </c>
      <c r="P35" s="98" t="s">
        <v>131</v>
      </c>
      <c r="Q35" s="98" t="s">
        <v>131</v>
      </c>
      <c r="R35" s="98" t="s">
        <v>131</v>
      </c>
      <c r="S35" s="98" t="s">
        <v>131</v>
      </c>
      <c r="T35" s="98" t="s">
        <v>131</v>
      </c>
      <c r="U35" s="98" t="s">
        <v>131</v>
      </c>
      <c r="V35" s="98" t="s">
        <v>131</v>
      </c>
      <c r="W35" s="98" t="s">
        <v>131</v>
      </c>
      <c r="X35" s="98" t="s">
        <v>131</v>
      </c>
    </row>
    <row r="36" spans="1:24" x14ac:dyDescent="0.25">
      <c r="A36" s="133" t="s">
        <v>131</v>
      </c>
      <c r="B36" s="133" t="s">
        <v>131</v>
      </c>
      <c r="C36" s="133" t="s">
        <v>131</v>
      </c>
      <c r="D36" s="133" t="s">
        <v>131</v>
      </c>
      <c r="E36" s="98" t="s">
        <v>131</v>
      </c>
      <c r="F36" s="98" t="s">
        <v>131</v>
      </c>
      <c r="G36" s="98" t="s">
        <v>131</v>
      </c>
      <c r="H36" s="98" t="s">
        <v>131</v>
      </c>
      <c r="I36" s="98" t="s">
        <v>131</v>
      </c>
      <c r="J36" s="98" t="s">
        <v>131</v>
      </c>
      <c r="K36" s="98" t="s">
        <v>131</v>
      </c>
      <c r="L36" s="98" t="s">
        <v>131</v>
      </c>
      <c r="M36" s="98" t="s">
        <v>131</v>
      </c>
      <c r="N36" s="98" t="s">
        <v>131</v>
      </c>
      <c r="O36" s="98" t="s">
        <v>131</v>
      </c>
      <c r="P36" s="98" t="s">
        <v>131</v>
      </c>
      <c r="Q36" s="98" t="s">
        <v>131</v>
      </c>
      <c r="R36" s="98" t="s">
        <v>131</v>
      </c>
      <c r="S36" s="98" t="s">
        <v>131</v>
      </c>
      <c r="T36" s="98" t="s">
        <v>131</v>
      </c>
      <c r="U36" s="98" t="s">
        <v>131</v>
      </c>
      <c r="V36" s="98" t="s">
        <v>131</v>
      </c>
      <c r="W36" s="98" t="s">
        <v>131</v>
      </c>
      <c r="X36" s="98" t="s">
        <v>131</v>
      </c>
    </row>
    <row r="37" spans="1:24" x14ac:dyDescent="0.25">
      <c r="A37" s="133" t="s">
        <v>131</v>
      </c>
      <c r="B37" s="133" t="s">
        <v>131</v>
      </c>
      <c r="C37" s="133" t="s">
        <v>131</v>
      </c>
      <c r="D37" s="133" t="s">
        <v>131</v>
      </c>
      <c r="E37" s="98" t="s">
        <v>131</v>
      </c>
      <c r="F37" s="98" t="s">
        <v>131</v>
      </c>
      <c r="G37" s="98" t="s">
        <v>131</v>
      </c>
      <c r="H37" s="98" t="s">
        <v>131</v>
      </c>
      <c r="I37" s="98" t="s">
        <v>131</v>
      </c>
      <c r="J37" s="98" t="s">
        <v>131</v>
      </c>
      <c r="K37" s="98" t="s">
        <v>131</v>
      </c>
      <c r="L37" s="98" t="s">
        <v>131</v>
      </c>
      <c r="M37" s="98" t="s">
        <v>131</v>
      </c>
      <c r="N37" s="98" t="s">
        <v>131</v>
      </c>
      <c r="O37" s="98" t="s">
        <v>131</v>
      </c>
      <c r="P37" s="98" t="s">
        <v>131</v>
      </c>
      <c r="Q37" s="98" t="s">
        <v>131</v>
      </c>
      <c r="R37" s="98" t="s">
        <v>131</v>
      </c>
      <c r="S37" s="98" t="s">
        <v>131</v>
      </c>
      <c r="T37" s="98" t="s">
        <v>131</v>
      </c>
      <c r="U37" s="98" t="s">
        <v>131</v>
      </c>
      <c r="V37" s="98" t="s">
        <v>131</v>
      </c>
      <c r="W37" s="98" t="s">
        <v>131</v>
      </c>
      <c r="X37" s="98" t="s">
        <v>131</v>
      </c>
    </row>
    <row r="38" spans="1:24" x14ac:dyDescent="0.25">
      <c r="A38" s="133" t="s">
        <v>131</v>
      </c>
      <c r="B38" s="133" t="s">
        <v>131</v>
      </c>
      <c r="C38" s="133" t="s">
        <v>131</v>
      </c>
      <c r="D38" s="133" t="s">
        <v>131</v>
      </c>
      <c r="E38" s="98" t="s">
        <v>131</v>
      </c>
      <c r="F38" s="98" t="s">
        <v>131</v>
      </c>
      <c r="G38" s="98" t="s">
        <v>131</v>
      </c>
      <c r="H38" s="98" t="s">
        <v>131</v>
      </c>
      <c r="I38" s="98" t="s">
        <v>131</v>
      </c>
      <c r="J38" s="98" t="s">
        <v>131</v>
      </c>
      <c r="K38" s="98" t="s">
        <v>131</v>
      </c>
      <c r="L38" s="98" t="s">
        <v>131</v>
      </c>
      <c r="M38" s="98" t="s">
        <v>131</v>
      </c>
      <c r="N38" s="98" t="s">
        <v>131</v>
      </c>
      <c r="O38" s="98" t="s">
        <v>131</v>
      </c>
      <c r="P38" s="98" t="s">
        <v>131</v>
      </c>
      <c r="Q38" s="98" t="s">
        <v>131</v>
      </c>
      <c r="R38" s="98" t="s">
        <v>131</v>
      </c>
      <c r="S38" s="98" t="s">
        <v>131</v>
      </c>
      <c r="T38" s="98" t="s">
        <v>131</v>
      </c>
      <c r="U38" s="98" t="s">
        <v>131</v>
      </c>
      <c r="V38" s="98" t="s">
        <v>131</v>
      </c>
      <c r="W38" s="98" t="s">
        <v>131</v>
      </c>
      <c r="X38" s="98" t="s">
        <v>131</v>
      </c>
    </row>
  </sheetData>
  <mergeCells count="7">
    <mergeCell ref="J19:J20"/>
    <mergeCell ref="F2:G3"/>
    <mergeCell ref="J9:J10"/>
    <mergeCell ref="F12:G12"/>
    <mergeCell ref="F13:F14"/>
    <mergeCell ref="G13:G14"/>
    <mergeCell ref="F15:G17"/>
  </mergeCells>
  <conditionalFormatting sqref="F15">
    <cfRule type="beginsWith" dxfId="3" priority="1" operator="beginsWith" text="GOOD">
      <formula>LEFT(F15,LEN("GOOD"))="GOOD"</formula>
    </cfRule>
    <cfRule type="containsText" dxfId="2" priority="2" operator="containsText" text="Excellent">
      <formula>NOT(ISERROR(SEARCH("Excellent",F15)))</formula>
    </cfRule>
    <cfRule type="containsText" dxfId="1" priority="3" operator="containsText" text="Very">
      <formula>NOT(ISERROR(SEARCH("Very",F15)))</formula>
    </cfRule>
    <cfRule type="containsText" dxfId="0" priority="4" operator="containsText" text="POOR">
      <formula>NOT(ISERROR(SEARCH("POOR",F15)))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pageSetUpPr autoPageBreaks="0"/>
  </sheetPr>
  <dimension ref="A1:AG997"/>
  <sheetViews>
    <sheetView showGridLines="0" tabSelected="1" zoomScale="80" zoomScaleNormal="80" zoomScaleSheetLayoutView="100" workbookViewId="0">
      <pane ySplit="3" topLeftCell="A4" activePane="bottomLeft" state="frozen"/>
      <selection pane="bottomLeft" activeCell="D786" sqref="D786"/>
    </sheetView>
  </sheetViews>
  <sheetFormatPr defaultRowHeight="15" x14ac:dyDescent="0.25"/>
  <cols>
    <col min="1" max="1" width="1.140625" customWidth="1"/>
    <col min="2" max="2" width="6.42578125" customWidth="1"/>
    <col min="3" max="3" width="37.140625" customWidth="1"/>
    <col min="4" max="4" width="9.5703125" bestFit="1" customWidth="1"/>
    <col min="5" max="5" width="5.85546875" customWidth="1"/>
    <col min="6" max="6" width="7.7109375" customWidth="1"/>
    <col min="7" max="7" width="46.42578125" bestFit="1" customWidth="1"/>
    <col min="8" max="8" width="4.140625" bestFit="1" customWidth="1"/>
    <col min="9" max="9" width="1.140625" customWidth="1"/>
    <col min="10" max="10" width="2" customWidth="1"/>
    <col min="15" max="18" width="4" customWidth="1"/>
    <col min="19" max="19" width="7.42578125" customWidth="1"/>
    <col min="20" max="30" width="4" customWidth="1"/>
  </cols>
  <sheetData>
    <row r="1" spans="1:29" ht="18" customHeight="1" x14ac:dyDescent="0.25">
      <c r="S1" s="39"/>
      <c r="T1" s="135">
        <v>1</v>
      </c>
      <c r="U1" s="135">
        <v>2</v>
      </c>
      <c r="V1" s="35">
        <v>3</v>
      </c>
      <c r="W1" s="35">
        <v>4</v>
      </c>
      <c r="X1" s="35">
        <v>5</v>
      </c>
      <c r="Y1" s="35">
        <v>6</v>
      </c>
      <c r="Z1" s="35">
        <v>7</v>
      </c>
    </row>
    <row r="2" spans="1:29" ht="18" customHeight="1" x14ac:dyDescent="0.25">
      <c r="S2" s="141" t="s">
        <v>108</v>
      </c>
      <c r="T2" s="139"/>
      <c r="U2" s="138"/>
      <c r="V2" s="138"/>
      <c r="W2" s="138"/>
      <c r="X2" s="138"/>
      <c r="Y2" s="43"/>
      <c r="Z2" s="43"/>
    </row>
    <row r="3" spans="1:29" ht="15.75" thickBot="1" x14ac:dyDescent="0.3">
      <c r="S3" s="142" t="s">
        <v>47</v>
      </c>
      <c r="T3" s="140"/>
      <c r="U3" s="140"/>
      <c r="V3" s="140"/>
      <c r="W3" s="140"/>
      <c r="X3" s="140"/>
      <c r="Y3" s="39"/>
      <c r="Z3" s="39"/>
    </row>
    <row r="4" spans="1:29" ht="19.5" customHeight="1" x14ac:dyDescent="0.25">
      <c r="B4" s="509" t="s">
        <v>0</v>
      </c>
      <c r="C4" s="510"/>
      <c r="D4" s="510"/>
      <c r="E4" s="510"/>
      <c r="F4" s="510"/>
      <c r="G4" s="510"/>
      <c r="H4" s="510"/>
      <c r="I4" s="511"/>
      <c r="R4" s="68" t="s">
        <v>131</v>
      </c>
      <c r="S4" s="175"/>
      <c r="T4" s="175"/>
      <c r="U4" s="176" t="s">
        <v>131</v>
      </c>
      <c r="V4" s="175"/>
      <c r="W4" s="175"/>
      <c r="X4" s="175"/>
      <c r="Y4" s="175"/>
      <c r="Z4" s="175"/>
      <c r="AA4" s="175"/>
      <c r="AB4" s="175"/>
      <c r="AC4" s="175"/>
    </row>
    <row r="5" spans="1:29" ht="15" customHeight="1" thickBot="1" x14ac:dyDescent="0.3">
      <c r="B5" s="512"/>
      <c r="C5" s="513"/>
      <c r="D5" s="513"/>
      <c r="E5" s="513"/>
      <c r="F5" s="513"/>
      <c r="G5" s="513"/>
      <c r="H5" s="513"/>
      <c r="I5" s="514"/>
      <c r="R5" s="68" t="s">
        <v>131</v>
      </c>
      <c r="S5" s="175"/>
      <c r="T5" s="175"/>
      <c r="U5" s="176" t="s">
        <v>131</v>
      </c>
      <c r="V5" s="175"/>
      <c r="W5" s="175"/>
      <c r="X5" s="175"/>
      <c r="Y5" s="175"/>
      <c r="Z5" s="175"/>
      <c r="AA5" s="175"/>
      <c r="AB5" s="175"/>
      <c r="AC5" s="175"/>
    </row>
    <row r="6" spans="1:29" ht="15.75" customHeight="1" x14ac:dyDescent="0.25">
      <c r="B6" s="84" t="s">
        <v>1</v>
      </c>
      <c r="C6" s="85"/>
      <c r="D6" s="515" t="s">
        <v>250</v>
      </c>
      <c r="E6" s="515"/>
      <c r="F6" s="515"/>
      <c r="G6" s="515"/>
      <c r="H6" s="515"/>
      <c r="I6" s="516"/>
      <c r="R6" s="68" t="s">
        <v>131</v>
      </c>
      <c r="S6" s="175"/>
      <c r="T6" s="175"/>
      <c r="U6" s="176" t="s">
        <v>131</v>
      </c>
      <c r="V6" s="175"/>
      <c r="W6" s="175"/>
      <c r="X6" s="175"/>
      <c r="Y6" s="175"/>
      <c r="Z6" s="175"/>
      <c r="AA6" s="175"/>
      <c r="AB6" s="175"/>
      <c r="AC6" s="175"/>
    </row>
    <row r="7" spans="1:29" ht="15" customHeight="1" x14ac:dyDescent="0.25">
      <c r="B7" s="81" t="s">
        <v>139</v>
      </c>
      <c r="C7" s="2"/>
      <c r="D7" s="517" t="s">
        <v>251</v>
      </c>
      <c r="E7" s="517"/>
      <c r="F7" s="517"/>
      <c r="G7" s="517"/>
      <c r="H7" s="517"/>
      <c r="I7" s="518"/>
      <c r="R7" s="68" t="s">
        <v>131</v>
      </c>
      <c r="S7" s="175"/>
      <c r="T7" s="175"/>
      <c r="U7" s="176" t="s">
        <v>131</v>
      </c>
      <c r="V7" s="175"/>
      <c r="W7" s="175"/>
      <c r="X7" s="175"/>
      <c r="Y7" s="175"/>
      <c r="Z7" s="175"/>
      <c r="AA7" s="175"/>
      <c r="AB7" s="175"/>
      <c r="AC7" s="175"/>
    </row>
    <row r="8" spans="1:29" ht="15" customHeight="1" x14ac:dyDescent="0.25">
      <c r="B8" s="81" t="s">
        <v>3</v>
      </c>
      <c r="C8" s="2"/>
      <c r="D8" s="517" t="s">
        <v>207</v>
      </c>
      <c r="E8" s="517"/>
      <c r="F8" s="517"/>
      <c r="G8" s="517"/>
      <c r="H8" s="517"/>
      <c r="I8" s="518"/>
      <c r="R8" s="68" t="s">
        <v>131</v>
      </c>
      <c r="S8" s="175"/>
      <c r="T8" s="175"/>
      <c r="U8" s="176" t="s">
        <v>131</v>
      </c>
      <c r="V8" s="175"/>
      <c r="W8" s="175"/>
      <c r="X8" s="175"/>
      <c r="Y8" s="175"/>
      <c r="Z8" s="175"/>
      <c r="AA8" s="175"/>
      <c r="AB8" s="175"/>
      <c r="AC8" s="175"/>
    </row>
    <row r="9" spans="1:29" ht="15" customHeight="1" x14ac:dyDescent="0.25">
      <c r="B9" s="81" t="s">
        <v>5</v>
      </c>
      <c r="C9" s="2"/>
      <c r="D9" s="517" t="s">
        <v>210</v>
      </c>
      <c r="E9" s="517"/>
      <c r="F9" s="517"/>
      <c r="G9" s="517"/>
      <c r="H9" s="517"/>
      <c r="I9" s="518"/>
      <c r="R9" s="68" t="s">
        <v>131</v>
      </c>
      <c r="S9" s="175"/>
      <c r="T9" s="175"/>
      <c r="U9" s="176" t="s">
        <v>131</v>
      </c>
      <c r="V9" s="175"/>
      <c r="W9" s="175"/>
      <c r="X9" s="175"/>
      <c r="Y9" s="175"/>
      <c r="Z9" s="175"/>
      <c r="AA9" s="175"/>
      <c r="AB9" s="175"/>
      <c r="AC9" s="175"/>
    </row>
    <row r="10" spans="1:29" x14ac:dyDescent="0.25">
      <c r="B10" s="81" t="s">
        <v>7</v>
      </c>
      <c r="C10" s="2"/>
      <c r="D10" s="519">
        <v>45658</v>
      </c>
      <c r="E10" s="519"/>
      <c r="F10" s="519"/>
      <c r="G10" s="519"/>
      <c r="H10" s="519"/>
      <c r="I10" s="520"/>
      <c r="R10" s="68" t="s">
        <v>131</v>
      </c>
      <c r="S10" s="175"/>
      <c r="T10" s="175"/>
      <c r="U10" s="176" t="s">
        <v>131</v>
      </c>
      <c r="V10" s="175"/>
      <c r="W10" s="175"/>
      <c r="X10" s="175"/>
      <c r="Y10" s="175"/>
      <c r="Z10" s="175"/>
      <c r="AA10" s="175"/>
      <c r="AB10" s="175"/>
      <c r="AC10" s="175"/>
    </row>
    <row r="11" spans="1:29" x14ac:dyDescent="0.25">
      <c r="B11" s="81" t="s">
        <v>8</v>
      </c>
      <c r="C11" s="2"/>
      <c r="D11" s="494"/>
      <c r="E11" s="495"/>
      <c r="F11" s="495"/>
      <c r="G11" s="495"/>
      <c r="H11" s="495"/>
      <c r="I11" s="496"/>
      <c r="R11" s="68" t="s">
        <v>131</v>
      </c>
      <c r="S11" s="175"/>
      <c r="T11" s="175"/>
      <c r="U11" s="176" t="s">
        <v>131</v>
      </c>
      <c r="V11" s="175"/>
      <c r="W11" s="175"/>
      <c r="X11" s="175"/>
      <c r="Y11" s="175"/>
      <c r="Z11" s="175"/>
      <c r="AA11" s="175"/>
      <c r="AB11" s="175"/>
      <c r="AC11" s="175"/>
    </row>
    <row r="12" spans="1:29" ht="15.75" thickBot="1" x14ac:dyDescent="0.3">
      <c r="B12" s="82" t="s">
        <v>10</v>
      </c>
      <c r="C12" s="83"/>
      <c r="D12" s="497">
        <v>46022</v>
      </c>
      <c r="E12" s="497"/>
      <c r="F12" s="497"/>
      <c r="G12" s="497"/>
      <c r="H12" s="497"/>
      <c r="I12" s="498"/>
      <c r="R12" s="68" t="s">
        <v>131</v>
      </c>
      <c r="S12" s="175"/>
      <c r="T12" s="175"/>
      <c r="U12" s="176" t="s">
        <v>131</v>
      </c>
      <c r="V12" s="175"/>
      <c r="W12" s="175"/>
      <c r="X12" s="175"/>
      <c r="Y12" s="175"/>
      <c r="Z12" s="175"/>
      <c r="AA12" s="175"/>
      <c r="AB12" s="175"/>
      <c r="AC12" s="175"/>
    </row>
    <row r="13" spans="1:29" ht="15.75" thickBot="1" x14ac:dyDescent="0.3">
      <c r="B13" s="66"/>
      <c r="C13" s="66"/>
      <c r="D13" s="66"/>
      <c r="E13" s="67"/>
      <c r="R13" s="68" t="s">
        <v>131</v>
      </c>
      <c r="S13" s="175"/>
      <c r="T13" s="175"/>
      <c r="U13" s="176" t="s">
        <v>131</v>
      </c>
      <c r="V13" s="175"/>
      <c r="W13" s="175"/>
      <c r="X13" s="175"/>
      <c r="Y13" s="175"/>
      <c r="Z13" s="175"/>
      <c r="AA13" s="175"/>
      <c r="AB13" s="175"/>
      <c r="AC13" s="175"/>
    </row>
    <row r="14" spans="1:29" ht="16.5" customHeight="1" x14ac:dyDescent="0.25">
      <c r="B14" s="93" t="s">
        <v>117</v>
      </c>
      <c r="C14" s="94"/>
      <c r="D14" s="94"/>
      <c r="E14" s="94"/>
      <c r="F14" s="94"/>
      <c r="G14" s="499" t="s">
        <v>17</v>
      </c>
      <c r="H14" s="499"/>
      <c r="I14" s="500"/>
      <c r="R14" s="68" t="s">
        <v>131</v>
      </c>
      <c r="S14" s="175"/>
      <c r="T14" s="175"/>
      <c r="U14" s="176" t="s">
        <v>131</v>
      </c>
      <c r="V14" s="175"/>
      <c r="W14" s="175"/>
      <c r="X14" s="175"/>
      <c r="Y14" s="175"/>
      <c r="Z14" s="175"/>
      <c r="AA14" s="175"/>
      <c r="AB14" s="175"/>
      <c r="AC14" s="175"/>
    </row>
    <row r="15" spans="1:29" ht="19.5" customHeight="1" thickBot="1" x14ac:dyDescent="0.3">
      <c r="B15" s="95" t="s">
        <v>165</v>
      </c>
      <c r="C15" s="96"/>
      <c r="D15" s="96"/>
      <c r="E15" s="96"/>
      <c r="F15" s="96"/>
      <c r="G15" s="501">
        <v>0.3</v>
      </c>
      <c r="H15" s="502"/>
      <c r="I15" s="503"/>
      <c r="R15" s="68" t="s">
        <v>131</v>
      </c>
      <c r="S15" s="175"/>
      <c r="T15" s="175"/>
      <c r="U15" s="176" t="s">
        <v>131</v>
      </c>
      <c r="V15" s="175"/>
      <c r="W15" s="175"/>
      <c r="X15" s="175"/>
      <c r="Y15" s="175"/>
      <c r="Z15" s="175"/>
      <c r="AA15" s="175"/>
      <c r="AB15" s="175"/>
      <c r="AC15" s="175"/>
    </row>
    <row r="16" spans="1:29" ht="15.75" thickBot="1" x14ac:dyDescent="0.3">
      <c r="A16" s="68" t="s">
        <v>131</v>
      </c>
      <c r="B16" s="64"/>
      <c r="C16" s="64"/>
      <c r="D16" s="64"/>
      <c r="E16" s="64"/>
      <c r="F16" s="64"/>
      <c r="G16" s="64"/>
      <c r="H16" s="64"/>
      <c r="I16" s="65" t="s">
        <v>131</v>
      </c>
      <c r="R16" s="68" t="s">
        <v>131</v>
      </c>
      <c r="S16" s="175"/>
      <c r="T16" s="175"/>
      <c r="U16" s="176" t="s">
        <v>131</v>
      </c>
      <c r="V16" s="175"/>
      <c r="W16" s="175"/>
      <c r="X16" s="175"/>
      <c r="Y16" s="175"/>
      <c r="Z16" s="175"/>
      <c r="AA16" s="175"/>
      <c r="AB16" s="175"/>
      <c r="AC16" s="175"/>
    </row>
    <row r="17" spans="1:33" ht="15.75" thickBot="1" x14ac:dyDescent="0.3">
      <c r="A17" s="65" t="s">
        <v>131</v>
      </c>
      <c r="B17" s="56" t="s">
        <v>119</v>
      </c>
      <c r="C17" s="56" t="s">
        <v>118</v>
      </c>
      <c r="D17" s="504" t="s">
        <v>124</v>
      </c>
      <c r="E17" s="505"/>
      <c r="F17" s="506" t="s">
        <v>127</v>
      </c>
      <c r="G17" s="507"/>
      <c r="H17" s="508"/>
      <c r="I17" s="65" t="s">
        <v>131</v>
      </c>
      <c r="K17" s="521" t="s">
        <v>129</v>
      </c>
      <c r="L17" s="522"/>
      <c r="M17" s="523"/>
      <c r="R17" s="68" t="s">
        <v>131</v>
      </c>
      <c r="S17" s="175"/>
      <c r="T17" s="175"/>
      <c r="U17" s="176" t="s">
        <v>131</v>
      </c>
      <c r="V17" s="175"/>
      <c r="W17" s="175"/>
      <c r="X17" s="175"/>
      <c r="Y17" s="175"/>
      <c r="Z17" s="175"/>
      <c r="AA17" s="175"/>
      <c r="AB17" s="175"/>
      <c r="AC17" s="175"/>
    </row>
    <row r="18" spans="1:33" ht="15" customHeight="1" thickBot="1" x14ac:dyDescent="0.3">
      <c r="A18" s="65" t="s">
        <v>131</v>
      </c>
      <c r="B18" s="524">
        <v>1</v>
      </c>
      <c r="C18" s="527" t="s">
        <v>358</v>
      </c>
      <c r="D18" s="57" t="s">
        <v>125</v>
      </c>
      <c r="E18" s="58">
        <v>0.5</v>
      </c>
      <c r="F18" s="164">
        <v>1</v>
      </c>
      <c r="G18" s="73" t="s">
        <v>353</v>
      </c>
      <c r="H18" s="74">
        <v>115</v>
      </c>
      <c r="I18" s="65" t="s">
        <v>131</v>
      </c>
      <c r="K18" s="59" t="s">
        <v>118</v>
      </c>
      <c r="L18" s="60" t="s">
        <v>124</v>
      </c>
      <c r="M18" s="55" t="s">
        <v>128</v>
      </c>
      <c r="R18" s="68" t="s">
        <v>131</v>
      </c>
      <c r="S18" s="176" t="s">
        <v>131</v>
      </c>
      <c r="T18" s="176" t="s">
        <v>131</v>
      </c>
      <c r="U18" s="176" t="s">
        <v>131</v>
      </c>
      <c r="V18" s="175"/>
      <c r="W18" s="175"/>
      <c r="X18" s="175"/>
      <c r="Y18" s="175"/>
      <c r="Z18" s="175"/>
      <c r="AA18" s="175"/>
      <c r="AB18" s="175"/>
      <c r="AC18" s="175"/>
    </row>
    <row r="19" spans="1:33" x14ac:dyDescent="0.25">
      <c r="A19" s="65" t="s">
        <v>131</v>
      </c>
      <c r="B19" s="525"/>
      <c r="C19" s="528"/>
      <c r="D19" s="530">
        <v>1</v>
      </c>
      <c r="E19" s="533">
        <f>IF(D19=0,0,VLOOKUP($D19,$F18:$H27,3,FALSE)*$E18)</f>
        <v>57.5</v>
      </c>
      <c r="F19" s="72">
        <v>2</v>
      </c>
      <c r="G19" s="73" t="s">
        <v>354</v>
      </c>
      <c r="H19" s="74">
        <v>110</v>
      </c>
      <c r="I19" s="65" t="s">
        <v>131</v>
      </c>
      <c r="K19" s="86">
        <v>1</v>
      </c>
      <c r="L19" s="87">
        <f>E19</f>
        <v>57.5</v>
      </c>
      <c r="M19" s="536">
        <f>SUM(L19:L23)</f>
        <v>107.5</v>
      </c>
      <c r="R19" s="68" t="s">
        <v>131</v>
      </c>
      <c r="S19" s="176" t="s">
        <v>131</v>
      </c>
      <c r="T19" s="177" t="s">
        <v>131</v>
      </c>
      <c r="U19" s="178" t="s">
        <v>131</v>
      </c>
      <c r="V19" s="178"/>
      <c r="W19" s="177"/>
      <c r="X19" s="178"/>
      <c r="Y19" s="178"/>
      <c r="Z19" s="178"/>
      <c r="AA19" s="178"/>
      <c r="AB19" s="178"/>
      <c r="AC19" s="178"/>
      <c r="AD19" s="146"/>
      <c r="AE19" s="146"/>
      <c r="AF19" s="146"/>
      <c r="AG19" s="146"/>
    </row>
    <row r="20" spans="1:33" x14ac:dyDescent="0.25">
      <c r="A20" s="65" t="s">
        <v>131</v>
      </c>
      <c r="B20" s="525"/>
      <c r="C20" s="528"/>
      <c r="D20" s="531"/>
      <c r="E20" s="534"/>
      <c r="F20" s="195">
        <v>3</v>
      </c>
      <c r="G20" s="198" t="s">
        <v>355</v>
      </c>
      <c r="H20" s="197">
        <v>100</v>
      </c>
      <c r="I20" s="65" t="s">
        <v>131</v>
      </c>
      <c r="K20" s="88">
        <v>2</v>
      </c>
      <c r="L20" s="89">
        <f>E29</f>
        <v>50</v>
      </c>
      <c r="M20" s="536"/>
      <c r="R20" s="68" t="s">
        <v>131</v>
      </c>
      <c r="S20" s="176" t="s">
        <v>131</v>
      </c>
      <c r="T20" s="177" t="s">
        <v>131</v>
      </c>
      <c r="U20" s="147">
        <v>1</v>
      </c>
      <c r="V20" s="147">
        <v>2</v>
      </c>
      <c r="W20" s="147">
        <v>3</v>
      </c>
      <c r="X20" s="146">
        <v>4</v>
      </c>
      <c r="Y20" s="146">
        <v>5</v>
      </c>
      <c r="Z20" s="146"/>
      <c r="AA20" s="178"/>
      <c r="AB20" s="178"/>
      <c r="AC20" s="178"/>
      <c r="AD20" s="146"/>
      <c r="AE20" s="146"/>
      <c r="AF20" s="146"/>
      <c r="AG20" s="146"/>
    </row>
    <row r="21" spans="1:33" x14ac:dyDescent="0.25">
      <c r="A21" s="65" t="s">
        <v>131</v>
      </c>
      <c r="B21" s="525"/>
      <c r="C21" s="528"/>
      <c r="D21" s="531"/>
      <c r="E21" s="534"/>
      <c r="F21" s="72">
        <v>4</v>
      </c>
      <c r="G21" s="73" t="s">
        <v>356</v>
      </c>
      <c r="H21" s="74">
        <v>80</v>
      </c>
      <c r="I21" s="65" t="s">
        <v>131</v>
      </c>
      <c r="K21" s="88">
        <v>3</v>
      </c>
      <c r="L21" s="89">
        <f>E39</f>
        <v>0</v>
      </c>
      <c r="M21" s="536"/>
      <c r="R21" s="68" t="s">
        <v>131</v>
      </c>
      <c r="S21" s="176" t="s">
        <v>131</v>
      </c>
      <c r="T21" s="177" t="s">
        <v>131</v>
      </c>
      <c r="U21" s="147" t="str">
        <f t="shared" ref="U21:U42" si="0">$W$21&amp;$Z21</f>
        <v>Dewi Sundari1</v>
      </c>
      <c r="V21" s="147" t="s">
        <v>1</v>
      </c>
      <c r="W21" s="147" t="str">
        <f>D6</f>
        <v>Dewi Sundari</v>
      </c>
      <c r="X21" s="146"/>
      <c r="Y21" s="146"/>
      <c r="Z21" s="146">
        <v>1</v>
      </c>
      <c r="AA21" s="178"/>
      <c r="AB21" s="178"/>
      <c r="AC21" s="178"/>
      <c r="AD21" s="146"/>
      <c r="AE21" s="146"/>
      <c r="AF21" s="146"/>
      <c r="AG21" s="146"/>
    </row>
    <row r="22" spans="1:33" x14ac:dyDescent="0.25">
      <c r="A22" s="65" t="s">
        <v>131</v>
      </c>
      <c r="B22" s="525"/>
      <c r="C22" s="528"/>
      <c r="D22" s="531"/>
      <c r="E22" s="534"/>
      <c r="F22" s="72">
        <v>5</v>
      </c>
      <c r="G22" s="73" t="s">
        <v>357</v>
      </c>
      <c r="H22" s="74">
        <v>50</v>
      </c>
      <c r="I22" s="65" t="s">
        <v>131</v>
      </c>
      <c r="K22" s="88">
        <v>4</v>
      </c>
      <c r="L22" s="89">
        <f>E49</f>
        <v>0</v>
      </c>
      <c r="M22" s="536"/>
      <c r="R22" s="68" t="s">
        <v>131</v>
      </c>
      <c r="S22" s="176" t="s">
        <v>131</v>
      </c>
      <c r="T22" s="177" t="s">
        <v>131</v>
      </c>
      <c r="U22" s="147" t="str">
        <f t="shared" si="0"/>
        <v>Dewi Sundari2</v>
      </c>
      <c r="V22" s="147" t="s">
        <v>3</v>
      </c>
      <c r="W22" s="147" t="str">
        <f t="shared" ref="W22:W26" si="1">D8</f>
        <v>Ahmad Syaiti</v>
      </c>
      <c r="X22" s="146"/>
      <c r="Y22" s="146"/>
      <c r="Z22" s="148">
        <v>2</v>
      </c>
      <c r="AA22" s="179"/>
      <c r="AB22" s="179"/>
      <c r="AC22" s="178"/>
      <c r="AD22" s="146"/>
      <c r="AE22" s="146"/>
      <c r="AF22" s="146"/>
      <c r="AG22" s="146"/>
    </row>
    <row r="23" spans="1:33" ht="15" customHeight="1" thickBot="1" x14ac:dyDescent="0.3">
      <c r="A23" s="65" t="s">
        <v>131</v>
      </c>
      <c r="B23" s="525"/>
      <c r="C23" s="528"/>
      <c r="D23" s="531"/>
      <c r="E23" s="534"/>
      <c r="F23" s="72"/>
      <c r="G23" s="167" t="s">
        <v>206</v>
      </c>
      <c r="H23" s="74"/>
      <c r="I23" s="65" t="s">
        <v>131</v>
      </c>
      <c r="K23" s="90">
        <v>5</v>
      </c>
      <c r="L23" s="91">
        <f>E59</f>
        <v>0</v>
      </c>
      <c r="M23" s="537"/>
      <c r="R23" s="68" t="s">
        <v>131</v>
      </c>
      <c r="S23" s="176" t="s">
        <v>131</v>
      </c>
      <c r="T23" s="177" t="s">
        <v>131</v>
      </c>
      <c r="U23" s="147" t="str">
        <f t="shared" si="0"/>
        <v>Dewi Sundari3</v>
      </c>
      <c r="V23" s="147" t="s">
        <v>5</v>
      </c>
      <c r="W23" s="147" t="str">
        <f t="shared" si="1"/>
        <v>Vita Ari Puspita</v>
      </c>
      <c r="X23" s="149"/>
      <c r="Y23" s="150"/>
      <c r="Z23" s="146">
        <v>3</v>
      </c>
      <c r="AA23" s="178"/>
      <c r="AB23" s="178"/>
      <c r="AC23" s="178"/>
      <c r="AD23" s="146"/>
      <c r="AE23" s="146"/>
      <c r="AF23" s="146"/>
      <c r="AG23" s="146"/>
    </row>
    <row r="24" spans="1:33" ht="15" customHeight="1" thickBot="1" x14ac:dyDescent="0.3">
      <c r="A24" s="65" t="s">
        <v>131</v>
      </c>
      <c r="B24" s="525"/>
      <c r="C24" s="528"/>
      <c r="D24" s="531"/>
      <c r="E24" s="534"/>
      <c r="F24" s="72"/>
      <c r="G24" s="167"/>
      <c r="H24" s="74"/>
      <c r="I24" s="65" t="s">
        <v>131</v>
      </c>
      <c r="R24" s="68" t="s">
        <v>131</v>
      </c>
      <c r="S24" s="176" t="s">
        <v>131</v>
      </c>
      <c r="T24" s="177" t="s">
        <v>131</v>
      </c>
      <c r="U24" s="147" t="str">
        <f t="shared" si="0"/>
        <v>Dewi Sundari4</v>
      </c>
      <c r="V24" s="147" t="s">
        <v>7</v>
      </c>
      <c r="W24" s="147">
        <f t="shared" si="1"/>
        <v>45658</v>
      </c>
      <c r="X24" s="149"/>
      <c r="Y24" s="151"/>
      <c r="Z24" s="146">
        <v>4</v>
      </c>
      <c r="AA24" s="178"/>
      <c r="AB24" s="178"/>
      <c r="AC24" s="178"/>
      <c r="AD24" s="146"/>
      <c r="AE24" s="146"/>
      <c r="AF24" s="146"/>
      <c r="AG24" s="146"/>
    </row>
    <row r="25" spans="1:33" ht="15.75" thickBot="1" x14ac:dyDescent="0.3">
      <c r="A25" s="65" t="s">
        <v>131</v>
      </c>
      <c r="B25" s="526"/>
      <c r="C25" s="529"/>
      <c r="D25" s="531"/>
      <c r="E25" s="534"/>
      <c r="F25" s="72"/>
      <c r="G25" s="73"/>
      <c r="H25" s="74"/>
      <c r="I25" s="65" t="s">
        <v>131</v>
      </c>
      <c r="K25" s="538" t="s">
        <v>62</v>
      </c>
      <c r="L25" s="539"/>
      <c r="M25" s="540"/>
      <c r="R25" s="68" t="s">
        <v>131</v>
      </c>
      <c r="S25" s="176" t="s">
        <v>131</v>
      </c>
      <c r="T25" s="177" t="s">
        <v>131</v>
      </c>
      <c r="U25" s="147" t="str">
        <f t="shared" si="0"/>
        <v>Dewi Sundari5</v>
      </c>
      <c r="V25" s="147" t="s">
        <v>8</v>
      </c>
      <c r="W25" s="147">
        <f t="shared" si="1"/>
        <v>0</v>
      </c>
      <c r="X25" s="149"/>
      <c r="Y25" s="151"/>
      <c r="Z25" s="146">
        <v>5</v>
      </c>
      <c r="AA25" s="178"/>
      <c r="AB25" s="178"/>
      <c r="AC25" s="178"/>
      <c r="AD25" s="146"/>
      <c r="AE25" s="146"/>
      <c r="AF25" s="146"/>
      <c r="AG25" s="146"/>
    </row>
    <row r="26" spans="1:33" ht="15.75" thickBot="1" x14ac:dyDescent="0.3">
      <c r="A26" s="65" t="s">
        <v>131</v>
      </c>
      <c r="B26" s="541" t="s">
        <v>128</v>
      </c>
      <c r="C26" s="527" t="s">
        <v>353</v>
      </c>
      <c r="D26" s="531"/>
      <c r="E26" s="534"/>
      <c r="F26" s="72"/>
      <c r="G26" s="73"/>
      <c r="H26" s="74"/>
      <c r="I26" s="65" t="s">
        <v>131</v>
      </c>
      <c r="K26" s="61" t="s">
        <v>36</v>
      </c>
      <c r="L26" s="62" t="s">
        <v>124</v>
      </c>
      <c r="M26" s="63" t="s">
        <v>128</v>
      </c>
      <c r="R26" s="68" t="s">
        <v>131</v>
      </c>
      <c r="S26" s="176" t="s">
        <v>131</v>
      </c>
      <c r="T26" s="177" t="s">
        <v>131</v>
      </c>
      <c r="U26" s="147" t="str">
        <f t="shared" si="0"/>
        <v>Dewi Sundari6</v>
      </c>
      <c r="V26" s="147" t="s">
        <v>10</v>
      </c>
      <c r="W26" s="147">
        <f t="shared" si="1"/>
        <v>46022</v>
      </c>
      <c r="X26" s="149"/>
      <c r="Y26" s="152"/>
      <c r="Z26" s="146">
        <v>6</v>
      </c>
      <c r="AA26" s="178"/>
      <c r="AB26" s="178"/>
      <c r="AC26" s="178"/>
      <c r="AD26" s="146"/>
      <c r="AE26" s="146"/>
      <c r="AF26" s="146"/>
      <c r="AG26" s="146"/>
    </row>
    <row r="27" spans="1:33" ht="15.75" thickBot="1" x14ac:dyDescent="0.3">
      <c r="A27" s="65" t="s">
        <v>131</v>
      </c>
      <c r="B27" s="542"/>
      <c r="C27" s="529"/>
      <c r="D27" s="532"/>
      <c r="E27" s="535"/>
      <c r="F27" s="75"/>
      <c r="G27" s="76"/>
      <c r="H27" s="77"/>
      <c r="I27" s="65" t="s">
        <v>131</v>
      </c>
      <c r="K27" s="86">
        <v>1</v>
      </c>
      <c r="L27" s="87">
        <f>E74</f>
        <v>46</v>
      </c>
      <c r="M27" s="543">
        <f>SUM(L27:L36)</f>
        <v>106.75</v>
      </c>
      <c r="R27" s="68" t="s">
        <v>131</v>
      </c>
      <c r="S27" s="176" t="s">
        <v>131</v>
      </c>
      <c r="T27" s="177" t="s">
        <v>131</v>
      </c>
      <c r="U27" s="147" t="str">
        <f t="shared" si="0"/>
        <v>Dewi Sundari10</v>
      </c>
      <c r="V27" s="147" t="s">
        <v>16</v>
      </c>
      <c r="W27" s="147" t="s">
        <v>17</v>
      </c>
      <c r="X27" s="149" t="s">
        <v>18</v>
      </c>
      <c r="Y27" s="153" t="s">
        <v>19</v>
      </c>
      <c r="Z27" s="146">
        <v>10</v>
      </c>
      <c r="AA27" s="178"/>
      <c r="AB27" s="178"/>
      <c r="AC27" s="178"/>
      <c r="AD27" s="146"/>
      <c r="AE27" s="146"/>
      <c r="AF27" s="146"/>
      <c r="AG27" s="146"/>
    </row>
    <row r="28" spans="1:33" ht="15" customHeight="1" thickBot="1" x14ac:dyDescent="0.3">
      <c r="A28" s="65" t="s">
        <v>131</v>
      </c>
      <c r="B28" s="524">
        <v>2</v>
      </c>
      <c r="C28" s="527" t="s">
        <v>212</v>
      </c>
      <c r="D28" s="57" t="s">
        <v>125</v>
      </c>
      <c r="E28" s="58">
        <v>0.5</v>
      </c>
      <c r="F28" s="164">
        <v>1</v>
      </c>
      <c r="G28" s="165" t="s">
        <v>213</v>
      </c>
      <c r="H28" s="71">
        <v>115</v>
      </c>
      <c r="I28" s="65" t="s">
        <v>131</v>
      </c>
      <c r="K28" s="88">
        <v>2</v>
      </c>
      <c r="L28" s="89">
        <f>E84</f>
        <v>55.000000000000007</v>
      </c>
      <c r="M28" s="536"/>
      <c r="R28" s="68" t="s">
        <v>131</v>
      </c>
      <c r="S28" s="176" t="s">
        <v>131</v>
      </c>
      <c r="T28" s="177" t="s">
        <v>131</v>
      </c>
      <c r="U28" s="147" t="str">
        <f t="shared" si="0"/>
        <v>Dewi Sundari11</v>
      </c>
      <c r="V28" s="147" t="str">
        <f>B15</f>
        <v>Control Price List</v>
      </c>
      <c r="W28" s="147">
        <f>G15</f>
        <v>0.3</v>
      </c>
      <c r="X28" s="149">
        <f>M19</f>
        <v>107.5</v>
      </c>
      <c r="Y28" s="185">
        <f t="shared" ref="Y28:Y33" si="2">W28*X28</f>
        <v>32.25</v>
      </c>
      <c r="Z28" s="146">
        <v>11</v>
      </c>
      <c r="AA28" s="178"/>
      <c r="AB28" s="178"/>
      <c r="AC28" s="178"/>
      <c r="AD28" s="146"/>
      <c r="AE28" s="146"/>
      <c r="AF28" s="146"/>
      <c r="AG28" s="146"/>
    </row>
    <row r="29" spans="1:33" x14ac:dyDescent="0.25">
      <c r="A29" s="65" t="s">
        <v>131</v>
      </c>
      <c r="B29" s="525"/>
      <c r="C29" s="528"/>
      <c r="D29" s="544">
        <v>2</v>
      </c>
      <c r="E29" s="533">
        <f>IF(D29=0,0,VLOOKUP($D29,$F28:$H37,3,FALSE)*$E28)</f>
        <v>50</v>
      </c>
      <c r="F29" s="195">
        <v>2</v>
      </c>
      <c r="G29" s="196" t="s">
        <v>183</v>
      </c>
      <c r="H29" s="197">
        <v>100</v>
      </c>
      <c r="I29" s="65" t="s">
        <v>131</v>
      </c>
      <c r="K29" s="88">
        <v>3</v>
      </c>
      <c r="L29" s="89">
        <f>E94</f>
        <v>5.75</v>
      </c>
      <c r="M29" s="536"/>
      <c r="R29" s="99"/>
      <c r="S29" s="180"/>
      <c r="T29" s="177"/>
      <c r="U29" s="147" t="str">
        <f t="shared" si="0"/>
        <v>Dewi Sundari12</v>
      </c>
      <c r="V29" s="147" t="str">
        <f>B178</f>
        <v xml:space="preserve">Administrasi Data Penjualan Tax untuk eFaktur </v>
      </c>
      <c r="W29" s="186">
        <f>G178</f>
        <v>0.25</v>
      </c>
      <c r="X29" s="149">
        <f>M182</f>
        <v>105</v>
      </c>
      <c r="Y29" s="185">
        <f t="shared" si="2"/>
        <v>26.25</v>
      </c>
      <c r="Z29" s="146">
        <v>12</v>
      </c>
      <c r="AA29" s="181"/>
      <c r="AB29" s="178"/>
      <c r="AC29" s="178"/>
      <c r="AD29" s="146"/>
      <c r="AE29" s="146"/>
      <c r="AF29" s="146"/>
      <c r="AG29" s="146"/>
    </row>
    <row r="30" spans="1:33" x14ac:dyDescent="0.25">
      <c r="A30" s="65" t="s">
        <v>131</v>
      </c>
      <c r="B30" s="525"/>
      <c r="C30" s="528"/>
      <c r="D30" s="545"/>
      <c r="E30" s="534"/>
      <c r="F30" s="72">
        <v>3</v>
      </c>
      <c r="G30" s="165" t="s">
        <v>208</v>
      </c>
      <c r="H30" s="74">
        <v>90</v>
      </c>
      <c r="I30" s="65" t="s">
        <v>131</v>
      </c>
      <c r="K30" s="88">
        <v>4</v>
      </c>
      <c r="L30" s="89">
        <f>E104</f>
        <v>0</v>
      </c>
      <c r="M30" s="536"/>
      <c r="R30" s="99"/>
      <c r="S30" s="180"/>
      <c r="T30" s="177"/>
      <c r="U30" s="147" t="str">
        <f t="shared" si="0"/>
        <v>Dewi Sundari13</v>
      </c>
      <c r="V30" s="147" t="str">
        <f>B308</f>
        <v>Administrasi Retur Penjualan</v>
      </c>
      <c r="W30" s="147">
        <f>G308</f>
        <v>0.25</v>
      </c>
      <c r="X30" s="187">
        <f>M308</f>
        <v>115</v>
      </c>
      <c r="Y30" s="187">
        <f t="shared" si="2"/>
        <v>28.75</v>
      </c>
      <c r="Z30" s="146">
        <v>13</v>
      </c>
      <c r="AA30" s="182"/>
      <c r="AB30" s="178"/>
      <c r="AC30" s="178"/>
      <c r="AD30" s="146"/>
      <c r="AE30" s="146"/>
      <c r="AF30" s="146"/>
      <c r="AG30" s="146"/>
    </row>
    <row r="31" spans="1:33" x14ac:dyDescent="0.25">
      <c r="A31" s="65" t="s">
        <v>131</v>
      </c>
      <c r="B31" s="525"/>
      <c r="C31" s="528"/>
      <c r="D31" s="545"/>
      <c r="E31" s="534"/>
      <c r="F31" s="72">
        <v>4</v>
      </c>
      <c r="G31" s="165" t="s">
        <v>184</v>
      </c>
      <c r="H31" s="74">
        <v>80</v>
      </c>
      <c r="I31" s="65" t="s">
        <v>131</v>
      </c>
      <c r="K31" s="88">
        <v>5</v>
      </c>
      <c r="L31" s="89">
        <f>E114</f>
        <v>0</v>
      </c>
      <c r="M31" s="536"/>
      <c r="R31" s="99"/>
      <c r="S31" s="180"/>
      <c r="T31" s="179"/>
      <c r="U31" s="147" t="str">
        <f t="shared" si="0"/>
        <v>Dewi Sundari14</v>
      </c>
      <c r="V31" s="147" t="str">
        <f>B468</f>
        <v>Verifikasi Pencairan Bonus</v>
      </c>
      <c r="W31" s="147">
        <f>G468</f>
        <v>0.1</v>
      </c>
      <c r="X31" s="154">
        <f>M469</f>
        <v>115</v>
      </c>
      <c r="Y31" s="188">
        <f t="shared" si="2"/>
        <v>11.5</v>
      </c>
      <c r="Z31" s="146">
        <v>14</v>
      </c>
      <c r="AA31" s="182"/>
      <c r="AB31" s="178"/>
      <c r="AC31" s="178"/>
      <c r="AD31" s="146"/>
      <c r="AE31" s="146"/>
      <c r="AF31" s="146"/>
      <c r="AG31" s="146"/>
    </row>
    <row r="32" spans="1:33" x14ac:dyDescent="0.25">
      <c r="A32" s="65" t="s">
        <v>131</v>
      </c>
      <c r="B32" s="525"/>
      <c r="C32" s="528"/>
      <c r="D32" s="545"/>
      <c r="E32" s="534"/>
      <c r="F32" s="72">
        <v>5</v>
      </c>
      <c r="G32" s="73" t="s">
        <v>185</v>
      </c>
      <c r="H32" s="74">
        <v>50</v>
      </c>
      <c r="I32" s="65" t="s">
        <v>131</v>
      </c>
      <c r="K32" s="86">
        <v>6</v>
      </c>
      <c r="L32" s="89">
        <f>E124</f>
        <v>0</v>
      </c>
      <c r="M32" s="536"/>
      <c r="R32" s="99"/>
      <c r="S32" s="180"/>
      <c r="T32" s="179"/>
      <c r="U32" s="148" t="str">
        <f t="shared" si="0"/>
        <v>Dewi Sundari15</v>
      </c>
      <c r="V32" s="148" t="str">
        <f>B629</f>
        <v>Absensi</v>
      </c>
      <c r="W32" s="147">
        <f>G629</f>
        <v>0.1</v>
      </c>
      <c r="X32" s="154">
        <f>M676</f>
        <v>115</v>
      </c>
      <c r="Y32" s="189">
        <f t="shared" si="2"/>
        <v>11.5</v>
      </c>
      <c r="Z32" s="146">
        <v>15</v>
      </c>
      <c r="AA32" s="182"/>
      <c r="AB32" s="178"/>
      <c r="AC32" s="178"/>
      <c r="AD32" s="146"/>
      <c r="AE32" s="146"/>
      <c r="AF32" s="146"/>
      <c r="AG32" s="146"/>
    </row>
    <row r="33" spans="1:33" ht="15" customHeight="1" x14ac:dyDescent="0.25">
      <c r="A33" s="65" t="s">
        <v>131</v>
      </c>
      <c r="B33" s="525"/>
      <c r="C33" s="528"/>
      <c r="D33" s="545"/>
      <c r="E33" s="534"/>
      <c r="F33" s="72">
        <v>6</v>
      </c>
      <c r="G33" s="167" t="s">
        <v>186</v>
      </c>
      <c r="H33" s="74"/>
      <c r="I33" s="65" t="s">
        <v>131</v>
      </c>
      <c r="K33" s="88">
        <v>7</v>
      </c>
      <c r="L33" s="89">
        <f>E134</f>
        <v>0</v>
      </c>
      <c r="M33" s="536"/>
      <c r="R33" s="99"/>
      <c r="S33" s="180"/>
      <c r="T33" s="179"/>
      <c r="U33" s="148" t="str">
        <f t="shared" si="0"/>
        <v>Dewi Sundari16</v>
      </c>
      <c r="V33" s="148">
        <f>B789</f>
        <v>0</v>
      </c>
      <c r="W33" s="147">
        <f>G789</f>
        <v>0</v>
      </c>
      <c r="X33" s="154">
        <f>M836</f>
        <v>0</v>
      </c>
      <c r="Y33" s="189">
        <f t="shared" si="2"/>
        <v>0</v>
      </c>
      <c r="Z33" s="146">
        <v>16</v>
      </c>
      <c r="AA33" s="182"/>
      <c r="AB33" s="178"/>
      <c r="AC33" s="178"/>
      <c r="AD33" s="146"/>
      <c r="AE33" s="146"/>
      <c r="AF33" s="146"/>
      <c r="AG33" s="146"/>
    </row>
    <row r="34" spans="1:33" x14ac:dyDescent="0.25">
      <c r="A34" s="65" t="s">
        <v>131</v>
      </c>
      <c r="B34" s="525"/>
      <c r="C34" s="528"/>
      <c r="D34" s="545"/>
      <c r="E34" s="534"/>
      <c r="F34" s="72"/>
      <c r="G34" s="167"/>
      <c r="H34" s="74"/>
      <c r="I34" s="65" t="s">
        <v>131</v>
      </c>
      <c r="K34" s="88">
        <v>8</v>
      </c>
      <c r="L34" s="89">
        <f>E144</f>
        <v>0</v>
      </c>
      <c r="M34" s="536"/>
      <c r="R34" s="99"/>
      <c r="S34" s="180"/>
      <c r="T34" s="179"/>
      <c r="U34" s="148" t="str">
        <f t="shared" si="0"/>
        <v>Dewi Sundari17</v>
      </c>
      <c r="V34" s="148" t="s">
        <v>30</v>
      </c>
      <c r="W34" s="147">
        <f>SUM(W28:W33)</f>
        <v>1</v>
      </c>
      <c r="X34" s="154">
        <f>SUM(X28:X33)</f>
        <v>557.5</v>
      </c>
      <c r="Y34" s="189">
        <f>SUM(Y28:Y33)</f>
        <v>110.25</v>
      </c>
      <c r="Z34" s="146">
        <v>17</v>
      </c>
      <c r="AA34" s="182"/>
      <c r="AB34" s="178"/>
      <c r="AC34" s="178"/>
      <c r="AD34" s="146"/>
      <c r="AE34" s="146"/>
      <c r="AF34" s="146"/>
      <c r="AG34" s="146"/>
    </row>
    <row r="35" spans="1:33" ht="15.75" thickBot="1" x14ac:dyDescent="0.3">
      <c r="A35" s="65" t="s">
        <v>131</v>
      </c>
      <c r="B35" s="526"/>
      <c r="C35" s="529"/>
      <c r="D35" s="545"/>
      <c r="E35" s="534"/>
      <c r="F35" s="72"/>
      <c r="G35" s="73"/>
      <c r="H35" s="74"/>
      <c r="I35" s="65" t="s">
        <v>131</v>
      </c>
      <c r="K35" s="88">
        <v>9</v>
      </c>
      <c r="L35" s="89">
        <f>E155</f>
        <v>0</v>
      </c>
      <c r="M35" s="536"/>
      <c r="R35" s="99"/>
      <c r="S35" s="180"/>
      <c r="T35" s="179"/>
      <c r="U35" s="148" t="str">
        <f t="shared" si="0"/>
        <v>Dewi Sundari18</v>
      </c>
      <c r="V35" s="148" t="s">
        <v>36</v>
      </c>
      <c r="W35" s="147" t="s">
        <v>17</v>
      </c>
      <c r="X35" s="154" t="s">
        <v>18</v>
      </c>
      <c r="Y35" s="156" t="s">
        <v>19</v>
      </c>
      <c r="Z35" s="146">
        <v>18</v>
      </c>
      <c r="AA35" s="183"/>
      <c r="AB35" s="178"/>
      <c r="AC35" s="178"/>
      <c r="AD35" s="146"/>
      <c r="AE35" s="146"/>
      <c r="AF35" s="146"/>
      <c r="AG35" s="146"/>
    </row>
    <row r="36" spans="1:33" ht="15.75" thickBot="1" x14ac:dyDescent="0.3">
      <c r="A36" s="65" t="s">
        <v>131</v>
      </c>
      <c r="B36" s="541" t="s">
        <v>128</v>
      </c>
      <c r="C36" s="547" t="s">
        <v>183</v>
      </c>
      <c r="D36" s="545"/>
      <c r="E36" s="534"/>
      <c r="F36" s="72"/>
      <c r="G36" s="73"/>
      <c r="H36" s="74"/>
      <c r="I36" s="65" t="s">
        <v>131</v>
      </c>
      <c r="K36" s="90">
        <v>10</v>
      </c>
      <c r="L36" s="91">
        <f>E166</f>
        <v>0</v>
      </c>
      <c r="M36" s="537"/>
      <c r="R36" s="99"/>
      <c r="S36" s="180"/>
      <c r="T36" s="179"/>
      <c r="U36" s="148" t="str">
        <f t="shared" si="0"/>
        <v>Dewi Sundari19</v>
      </c>
      <c r="V36" s="148" t="str">
        <f>B71</f>
        <v>Controll Pricelist</v>
      </c>
      <c r="W36" s="147">
        <f>G71</f>
        <v>0.3</v>
      </c>
      <c r="X36" s="190">
        <f>M27</f>
        <v>106.75</v>
      </c>
      <c r="Y36" s="191">
        <f t="shared" ref="Y36:Y41" si="3">W36*X36</f>
        <v>32.024999999999999</v>
      </c>
      <c r="Z36" s="146">
        <v>19</v>
      </c>
      <c r="AA36" s="181"/>
      <c r="AB36" s="178"/>
      <c r="AC36" s="178"/>
      <c r="AD36" s="146"/>
      <c r="AE36" s="146"/>
      <c r="AF36" s="146"/>
      <c r="AG36" s="146"/>
    </row>
    <row r="37" spans="1:33" ht="15.75" thickBot="1" x14ac:dyDescent="0.3">
      <c r="A37" s="65" t="s">
        <v>131</v>
      </c>
      <c r="B37" s="542"/>
      <c r="C37" s="529"/>
      <c r="D37" s="546"/>
      <c r="E37" s="535"/>
      <c r="F37" s="75"/>
      <c r="G37" s="76"/>
      <c r="H37" s="77"/>
      <c r="I37" s="65" t="s">
        <v>131</v>
      </c>
      <c r="R37" s="99"/>
      <c r="S37" s="99"/>
      <c r="T37" s="148"/>
      <c r="U37" s="148" t="str">
        <f t="shared" si="0"/>
        <v>Dewi Sundari20</v>
      </c>
      <c r="V37" s="148" t="str">
        <f>B234</f>
        <v xml:space="preserve">Administrasi Data Penjualan Tax untuk eFaktur </v>
      </c>
      <c r="W37" s="186">
        <f>G234</f>
        <v>0.25</v>
      </c>
      <c r="X37" s="190">
        <f>M190</f>
        <v>110</v>
      </c>
      <c r="Y37" s="191">
        <f t="shared" si="3"/>
        <v>27.5</v>
      </c>
      <c r="Z37" s="146">
        <v>20</v>
      </c>
      <c r="AA37" s="155"/>
      <c r="AB37" s="146"/>
      <c r="AC37" s="146"/>
      <c r="AD37" s="146"/>
      <c r="AE37" s="146"/>
      <c r="AF37" s="146"/>
      <c r="AG37" s="146"/>
    </row>
    <row r="38" spans="1:33" ht="15" hidden="1" customHeight="1" thickBot="1" x14ac:dyDescent="0.3">
      <c r="A38" s="65" t="s">
        <v>131</v>
      </c>
      <c r="B38" s="524">
        <v>3</v>
      </c>
      <c r="C38" s="527"/>
      <c r="D38" s="57" t="s">
        <v>125</v>
      </c>
      <c r="E38" s="58"/>
      <c r="F38" s="164">
        <v>1</v>
      </c>
      <c r="G38" s="73" t="s">
        <v>76</v>
      </c>
      <c r="H38" s="71">
        <v>115</v>
      </c>
      <c r="I38" s="65" t="s">
        <v>131</v>
      </c>
      <c r="R38" s="99"/>
      <c r="S38" s="99"/>
      <c r="T38" s="148"/>
      <c r="U38" s="148" t="str">
        <f t="shared" si="0"/>
        <v>Dewi Sundari21</v>
      </c>
      <c r="V38" s="148" t="str">
        <f>B363</f>
        <v>Administrasi Retur Penjualan</v>
      </c>
      <c r="W38" s="147">
        <f>G363</f>
        <v>0.25</v>
      </c>
      <c r="X38" s="187">
        <f>M316</f>
        <v>115</v>
      </c>
      <c r="Y38" s="191">
        <f t="shared" si="3"/>
        <v>28.75</v>
      </c>
      <c r="Z38" s="146">
        <v>21</v>
      </c>
      <c r="AA38" s="155"/>
      <c r="AB38" s="146"/>
      <c r="AC38" s="146"/>
      <c r="AD38" s="146"/>
      <c r="AE38" s="146"/>
      <c r="AF38" s="146"/>
      <c r="AG38" s="146"/>
    </row>
    <row r="39" spans="1:33" hidden="1" x14ac:dyDescent="0.25">
      <c r="A39" s="65" t="s">
        <v>131</v>
      </c>
      <c r="B39" s="525"/>
      <c r="C39" s="528"/>
      <c r="D39" s="530"/>
      <c r="E39" s="533">
        <f>IF(D39=0,0,VLOOKUP($D39,$F38:$H47,3,FALSE)*$E38)</f>
        <v>0</v>
      </c>
      <c r="F39" s="72">
        <v>2</v>
      </c>
      <c r="G39" s="73" t="s">
        <v>77</v>
      </c>
      <c r="H39" s="74">
        <v>110</v>
      </c>
      <c r="I39" s="65" t="s">
        <v>131</v>
      </c>
      <c r="R39" s="99"/>
      <c r="S39" s="99"/>
      <c r="T39" s="148"/>
      <c r="U39" s="148" t="str">
        <f t="shared" si="0"/>
        <v>Dewi Sundari22</v>
      </c>
      <c r="V39" s="148" t="str">
        <f>B524</f>
        <v>Verifikasi Pencairan Bonus</v>
      </c>
      <c r="W39" s="147">
        <f>G524</f>
        <v>0.1</v>
      </c>
      <c r="X39" s="154">
        <f>M523</f>
        <v>115</v>
      </c>
      <c r="Y39" s="192">
        <f t="shared" si="3"/>
        <v>11.5</v>
      </c>
      <c r="Z39" s="146">
        <v>22</v>
      </c>
      <c r="AA39" s="155"/>
      <c r="AB39" s="146"/>
      <c r="AC39" s="146"/>
      <c r="AD39" s="146"/>
      <c r="AE39" s="146"/>
      <c r="AF39" s="146"/>
      <c r="AG39" s="146"/>
    </row>
    <row r="40" spans="1:33" hidden="1" x14ac:dyDescent="0.25">
      <c r="A40" s="65" t="s">
        <v>131</v>
      </c>
      <c r="B40" s="525"/>
      <c r="C40" s="528"/>
      <c r="D40" s="531"/>
      <c r="E40" s="534"/>
      <c r="F40" s="72">
        <v>3</v>
      </c>
      <c r="G40" s="73" t="s">
        <v>78</v>
      </c>
      <c r="H40" s="74">
        <v>100</v>
      </c>
      <c r="I40" s="65" t="s">
        <v>131</v>
      </c>
      <c r="R40" s="99"/>
      <c r="S40" s="99"/>
      <c r="T40" s="148"/>
      <c r="U40" s="148" t="str">
        <f t="shared" si="0"/>
        <v>Dewi Sundari23</v>
      </c>
      <c r="V40" s="148" t="str">
        <f>B684</f>
        <v>Absensi</v>
      </c>
      <c r="W40" s="147">
        <f>G684</f>
        <v>0.1</v>
      </c>
      <c r="X40" s="154">
        <f>M684</f>
        <v>115</v>
      </c>
      <c r="Y40" s="192">
        <f t="shared" si="3"/>
        <v>11.5</v>
      </c>
      <c r="Z40" s="146">
        <v>23</v>
      </c>
      <c r="AA40" s="155"/>
      <c r="AB40" s="146"/>
      <c r="AC40" s="146"/>
      <c r="AD40" s="146"/>
      <c r="AE40" s="146"/>
      <c r="AF40" s="146"/>
      <c r="AG40" s="146"/>
    </row>
    <row r="41" spans="1:33" hidden="1" x14ac:dyDescent="0.25">
      <c r="A41" s="65" t="s">
        <v>131</v>
      </c>
      <c r="B41" s="525"/>
      <c r="C41" s="528"/>
      <c r="D41" s="531"/>
      <c r="E41" s="534"/>
      <c r="F41" s="72">
        <v>4</v>
      </c>
      <c r="G41" s="73" t="s">
        <v>80</v>
      </c>
      <c r="H41" s="74">
        <v>90</v>
      </c>
      <c r="I41" s="65" t="s">
        <v>131</v>
      </c>
      <c r="R41" s="99"/>
      <c r="S41" s="99"/>
      <c r="T41" s="148"/>
      <c r="U41" s="148" t="str">
        <f t="shared" si="0"/>
        <v>Dewi Sundari24</v>
      </c>
      <c r="V41" s="148" t="str">
        <f>B844</f>
        <v>Absensi</v>
      </c>
      <c r="W41" s="147">
        <f>G844</f>
        <v>0</v>
      </c>
      <c r="X41" s="154">
        <f>M844</f>
        <v>0</v>
      </c>
      <c r="Y41" s="192">
        <f t="shared" si="3"/>
        <v>0</v>
      </c>
      <c r="Z41" s="146">
        <v>24</v>
      </c>
      <c r="AA41" s="155"/>
      <c r="AB41" s="146"/>
      <c r="AC41" s="146"/>
      <c r="AD41" s="146"/>
      <c r="AE41" s="146"/>
      <c r="AF41" s="146"/>
      <c r="AG41" s="146"/>
    </row>
    <row r="42" spans="1:33" hidden="1" x14ac:dyDescent="0.25">
      <c r="A42" s="65" t="s">
        <v>131</v>
      </c>
      <c r="B42" s="525"/>
      <c r="C42" s="528"/>
      <c r="D42" s="531"/>
      <c r="E42" s="534"/>
      <c r="F42" s="72">
        <v>5</v>
      </c>
      <c r="G42" s="73" t="s">
        <v>158</v>
      </c>
      <c r="H42" s="74">
        <v>50</v>
      </c>
      <c r="I42" s="65" t="s">
        <v>131</v>
      </c>
      <c r="R42" s="99"/>
      <c r="S42" s="99"/>
      <c r="T42" s="148"/>
      <c r="U42" s="148" t="str">
        <f t="shared" si="0"/>
        <v>Dewi Sundari25</v>
      </c>
      <c r="V42" s="148" t="s">
        <v>30</v>
      </c>
      <c r="W42" s="147">
        <f>SUM(W36:W41)</f>
        <v>1</v>
      </c>
      <c r="X42" s="154">
        <f>SUM(X36:X41)</f>
        <v>561.75</v>
      </c>
      <c r="Y42" s="192">
        <f>SUM(Y36:Y41)</f>
        <v>111.27500000000001</v>
      </c>
      <c r="Z42" s="146">
        <v>25</v>
      </c>
      <c r="AA42" s="161"/>
      <c r="AB42" s="146"/>
      <c r="AC42" s="146"/>
      <c r="AD42" s="146"/>
      <c r="AE42" s="146"/>
      <c r="AF42" s="146"/>
      <c r="AG42" s="146"/>
    </row>
    <row r="43" spans="1:33" hidden="1" x14ac:dyDescent="0.25">
      <c r="A43" s="65" t="s">
        <v>131</v>
      </c>
      <c r="B43" s="525"/>
      <c r="C43" s="528"/>
      <c r="D43" s="531"/>
      <c r="E43" s="534"/>
      <c r="F43" s="72"/>
      <c r="G43" s="73"/>
      <c r="H43" s="74"/>
      <c r="I43" s="65" t="s">
        <v>131</v>
      </c>
      <c r="R43" s="99"/>
      <c r="S43" s="99"/>
      <c r="T43" s="148"/>
      <c r="U43" s="148"/>
      <c r="V43" s="148"/>
      <c r="W43" s="147"/>
      <c r="X43" s="154"/>
      <c r="Y43" s="158"/>
      <c r="Z43" s="159"/>
      <c r="AA43" s="146"/>
      <c r="AB43" s="146"/>
      <c r="AC43" s="146"/>
      <c r="AD43" s="146"/>
      <c r="AE43" s="146"/>
      <c r="AF43" s="146"/>
      <c r="AG43" s="146"/>
    </row>
    <row r="44" spans="1:33" hidden="1" x14ac:dyDescent="0.25">
      <c r="A44" s="65" t="s">
        <v>131</v>
      </c>
      <c r="B44" s="525"/>
      <c r="C44" s="528"/>
      <c r="D44" s="531"/>
      <c r="E44" s="534"/>
      <c r="F44" s="72"/>
      <c r="G44" s="73"/>
      <c r="H44" s="74"/>
      <c r="I44" s="65" t="s">
        <v>131</v>
      </c>
      <c r="R44" s="99"/>
      <c r="S44" s="99"/>
      <c r="T44" s="148"/>
      <c r="U44" s="148"/>
      <c r="V44" s="148"/>
      <c r="W44" s="147"/>
      <c r="X44" s="160"/>
      <c r="Y44" s="157"/>
      <c r="Z44" s="161"/>
      <c r="AA44" s="146"/>
      <c r="AB44" s="146"/>
      <c r="AC44" s="146"/>
      <c r="AD44" s="146"/>
      <c r="AE44" s="146"/>
      <c r="AF44" s="146"/>
      <c r="AG44" s="146"/>
    </row>
    <row r="45" spans="1:33" ht="15.75" hidden="1" thickBot="1" x14ac:dyDescent="0.3">
      <c r="A45" s="65" t="s">
        <v>131</v>
      </c>
      <c r="B45" s="526"/>
      <c r="C45" s="529"/>
      <c r="D45" s="531"/>
      <c r="E45" s="534"/>
      <c r="F45" s="72"/>
      <c r="G45" s="73"/>
      <c r="H45" s="74"/>
      <c r="I45" s="65" t="s">
        <v>131</v>
      </c>
      <c r="R45" s="99"/>
      <c r="S45" s="99"/>
      <c r="T45" s="99"/>
      <c r="U45" s="148"/>
      <c r="V45" s="148"/>
      <c r="W45" s="146"/>
      <c r="X45" s="146"/>
      <c r="Y45" s="146"/>
      <c r="Z45" s="146"/>
    </row>
    <row r="46" spans="1:33" hidden="1" x14ac:dyDescent="0.25">
      <c r="A46" s="65" t="s">
        <v>131</v>
      </c>
      <c r="B46" s="541" t="s">
        <v>128</v>
      </c>
      <c r="C46" s="527"/>
      <c r="D46" s="531"/>
      <c r="E46" s="534"/>
      <c r="F46" s="72"/>
      <c r="G46" s="73"/>
      <c r="H46" s="74"/>
      <c r="I46" s="65" t="s">
        <v>131</v>
      </c>
      <c r="R46" s="99"/>
      <c r="S46" s="99"/>
      <c r="T46" s="99"/>
      <c r="U46" s="148"/>
      <c r="V46" s="148"/>
      <c r="W46" s="146"/>
      <c r="X46" s="146"/>
      <c r="Y46" s="146"/>
      <c r="Z46" s="146"/>
    </row>
    <row r="47" spans="1:33" ht="15.75" hidden="1" thickBot="1" x14ac:dyDescent="0.3">
      <c r="A47" s="65" t="s">
        <v>131</v>
      </c>
      <c r="B47" s="542"/>
      <c r="C47" s="529"/>
      <c r="D47" s="532"/>
      <c r="E47" s="535"/>
      <c r="F47" s="75"/>
      <c r="G47" s="76"/>
      <c r="H47" s="77"/>
      <c r="I47" s="65" t="s">
        <v>131</v>
      </c>
      <c r="R47" s="99"/>
      <c r="S47" s="99"/>
      <c r="T47" s="99"/>
      <c r="U47" s="68"/>
    </row>
    <row r="48" spans="1:33" ht="15.75" hidden="1" customHeight="1" thickBot="1" x14ac:dyDescent="0.3">
      <c r="A48" s="65" t="s">
        <v>131</v>
      </c>
      <c r="B48" s="524">
        <v>4</v>
      </c>
      <c r="C48" s="527"/>
      <c r="D48" s="57" t="s">
        <v>125</v>
      </c>
      <c r="E48" s="58"/>
      <c r="F48" s="164">
        <v>10</v>
      </c>
      <c r="G48" s="70" t="s">
        <v>76</v>
      </c>
      <c r="H48" s="71">
        <v>115</v>
      </c>
      <c r="I48" s="65" t="s">
        <v>131</v>
      </c>
      <c r="R48" s="99"/>
      <c r="S48" s="99"/>
      <c r="T48" s="99"/>
      <c r="U48" s="68"/>
    </row>
    <row r="49" spans="1:21" hidden="1" x14ac:dyDescent="0.25">
      <c r="A49" s="65" t="s">
        <v>131</v>
      </c>
      <c r="B49" s="525"/>
      <c r="C49" s="528"/>
      <c r="D49" s="530"/>
      <c r="E49" s="533">
        <f>IF(D49=0,0,VLOOKUP($D49,$F48:$H57,3,FALSE)*$E48)</f>
        <v>0</v>
      </c>
      <c r="F49" s="72">
        <v>9</v>
      </c>
      <c r="G49" s="73" t="s">
        <v>77</v>
      </c>
      <c r="H49" s="74">
        <v>112</v>
      </c>
      <c r="I49" s="65" t="s">
        <v>131</v>
      </c>
      <c r="R49" s="99"/>
      <c r="S49" s="99"/>
      <c r="T49" s="99"/>
      <c r="U49" s="68"/>
    </row>
    <row r="50" spans="1:21" hidden="1" x14ac:dyDescent="0.25">
      <c r="A50" s="65" t="s">
        <v>131</v>
      </c>
      <c r="B50" s="525"/>
      <c r="C50" s="528"/>
      <c r="D50" s="531"/>
      <c r="E50" s="534"/>
      <c r="F50" s="72">
        <v>8</v>
      </c>
      <c r="G50" s="70" t="s">
        <v>78</v>
      </c>
      <c r="H50" s="74">
        <v>110</v>
      </c>
      <c r="I50" s="65" t="s">
        <v>131</v>
      </c>
      <c r="R50" s="99"/>
      <c r="S50" s="99"/>
      <c r="T50" s="99"/>
    </row>
    <row r="51" spans="1:21" hidden="1" x14ac:dyDescent="0.25">
      <c r="A51" s="65" t="s">
        <v>131</v>
      </c>
      <c r="B51" s="525"/>
      <c r="C51" s="528"/>
      <c r="D51" s="531"/>
      <c r="E51" s="534"/>
      <c r="F51" s="72">
        <v>7</v>
      </c>
      <c r="G51" s="73" t="s">
        <v>80</v>
      </c>
      <c r="H51" s="74">
        <v>108</v>
      </c>
      <c r="I51" s="65" t="s">
        <v>131</v>
      </c>
      <c r="R51" s="99"/>
      <c r="S51" s="99"/>
      <c r="T51" s="99"/>
    </row>
    <row r="52" spans="1:21" hidden="1" x14ac:dyDescent="0.25">
      <c r="A52" s="65" t="s">
        <v>131</v>
      </c>
      <c r="B52" s="525"/>
      <c r="C52" s="528"/>
      <c r="D52" s="531"/>
      <c r="E52" s="534"/>
      <c r="F52" s="72">
        <v>6</v>
      </c>
      <c r="G52" s="73" t="s">
        <v>81</v>
      </c>
      <c r="H52" s="74">
        <v>104</v>
      </c>
      <c r="I52" s="65" t="s">
        <v>131</v>
      </c>
    </row>
    <row r="53" spans="1:21" hidden="1" x14ac:dyDescent="0.25">
      <c r="A53" s="65" t="s">
        <v>131</v>
      </c>
      <c r="B53" s="525"/>
      <c r="C53" s="528"/>
      <c r="D53" s="531"/>
      <c r="E53" s="534"/>
      <c r="F53" s="72">
        <v>5</v>
      </c>
      <c r="G53" s="73" t="s">
        <v>82</v>
      </c>
      <c r="H53" s="74">
        <v>100</v>
      </c>
      <c r="I53" s="65" t="s">
        <v>131</v>
      </c>
    </row>
    <row r="54" spans="1:21" hidden="1" x14ac:dyDescent="0.25">
      <c r="A54" s="65" t="s">
        <v>131</v>
      </c>
      <c r="B54" s="525"/>
      <c r="C54" s="528"/>
      <c r="D54" s="531"/>
      <c r="E54" s="534"/>
      <c r="F54" s="72">
        <v>4</v>
      </c>
      <c r="G54" s="73" t="s">
        <v>83</v>
      </c>
      <c r="H54" s="74">
        <v>90</v>
      </c>
      <c r="I54" s="65" t="s">
        <v>131</v>
      </c>
    </row>
    <row r="55" spans="1:21" ht="15.75" hidden="1" thickBot="1" x14ac:dyDescent="0.3">
      <c r="A55" s="65" t="s">
        <v>131</v>
      </c>
      <c r="B55" s="526"/>
      <c r="C55" s="529"/>
      <c r="D55" s="531"/>
      <c r="E55" s="534"/>
      <c r="F55" s="72">
        <v>3</v>
      </c>
      <c r="G55" s="73" t="s">
        <v>84</v>
      </c>
      <c r="H55" s="74">
        <v>80</v>
      </c>
      <c r="I55" s="65" t="s">
        <v>131</v>
      </c>
    </row>
    <row r="56" spans="1:21" hidden="1" x14ac:dyDescent="0.25">
      <c r="A56" s="65" t="s">
        <v>131</v>
      </c>
      <c r="B56" s="541" t="s">
        <v>128</v>
      </c>
      <c r="C56" s="549"/>
      <c r="D56" s="531"/>
      <c r="E56" s="534"/>
      <c r="F56" s="72">
        <v>2</v>
      </c>
      <c r="G56" s="73" t="s">
        <v>160</v>
      </c>
      <c r="H56" s="74">
        <v>50</v>
      </c>
      <c r="I56" s="65" t="s">
        <v>131</v>
      </c>
    </row>
    <row r="57" spans="1:21" ht="15.75" hidden="1" thickBot="1" x14ac:dyDescent="0.3">
      <c r="A57" s="65" t="s">
        <v>131</v>
      </c>
      <c r="B57" s="542"/>
      <c r="C57" s="550"/>
      <c r="D57" s="532"/>
      <c r="E57" s="535"/>
      <c r="F57" s="75"/>
      <c r="G57" s="76"/>
      <c r="H57" s="77"/>
      <c r="I57" s="65" t="s">
        <v>131</v>
      </c>
    </row>
    <row r="58" spans="1:21" ht="15.75" hidden="1" customHeight="1" thickBot="1" x14ac:dyDescent="0.3">
      <c r="A58" s="65" t="s">
        <v>131</v>
      </c>
      <c r="B58" s="548">
        <v>5</v>
      </c>
      <c r="C58" s="527"/>
      <c r="D58" s="57" t="s">
        <v>125</v>
      </c>
      <c r="E58" s="58">
        <v>0.6</v>
      </c>
      <c r="F58" s="78">
        <v>10</v>
      </c>
      <c r="G58" s="79" t="s">
        <v>126</v>
      </c>
      <c r="H58" s="80">
        <v>115</v>
      </c>
      <c r="I58" s="65" t="s">
        <v>131</v>
      </c>
    </row>
    <row r="59" spans="1:21" ht="15" hidden="1" customHeight="1" x14ac:dyDescent="0.25">
      <c r="A59" s="65" t="s">
        <v>131</v>
      </c>
      <c r="B59" s="525"/>
      <c r="C59" s="528"/>
      <c r="D59" s="530"/>
      <c r="E59" s="533">
        <f>IF(D59=0,0,VLOOKUP($D59,$F58:$H67,3,FALSE)*$E58)</f>
        <v>0</v>
      </c>
      <c r="F59" s="72">
        <v>9</v>
      </c>
      <c r="G59" s="73" t="s">
        <v>126</v>
      </c>
      <c r="H59" s="74">
        <f>H58-5</f>
        <v>110</v>
      </c>
      <c r="I59" s="65" t="s">
        <v>131</v>
      </c>
    </row>
    <row r="60" spans="1:21" ht="15" hidden="1" customHeight="1" x14ac:dyDescent="0.25">
      <c r="A60" s="65" t="s">
        <v>131</v>
      </c>
      <c r="B60" s="525"/>
      <c r="C60" s="528"/>
      <c r="D60" s="531"/>
      <c r="E60" s="534"/>
      <c r="F60" s="72">
        <v>8</v>
      </c>
      <c r="G60" s="73" t="s">
        <v>126</v>
      </c>
      <c r="H60" s="74">
        <f t="shared" ref="H60:H67" si="4">H59-5</f>
        <v>105</v>
      </c>
      <c r="I60" s="65" t="s">
        <v>131</v>
      </c>
    </row>
    <row r="61" spans="1:21" ht="15" hidden="1" customHeight="1" x14ac:dyDescent="0.25">
      <c r="A61" s="65" t="s">
        <v>131</v>
      </c>
      <c r="B61" s="525"/>
      <c r="C61" s="528"/>
      <c r="D61" s="531"/>
      <c r="E61" s="534"/>
      <c r="F61" s="72">
        <v>7</v>
      </c>
      <c r="G61" s="73" t="s">
        <v>126</v>
      </c>
      <c r="H61" s="74">
        <f t="shared" si="4"/>
        <v>100</v>
      </c>
      <c r="I61" s="65" t="s">
        <v>131</v>
      </c>
    </row>
    <row r="62" spans="1:21" ht="15" hidden="1" customHeight="1" x14ac:dyDescent="0.25">
      <c r="A62" s="65" t="s">
        <v>131</v>
      </c>
      <c r="B62" s="525"/>
      <c r="C62" s="528"/>
      <c r="D62" s="531"/>
      <c r="E62" s="534"/>
      <c r="F62" s="72">
        <v>6</v>
      </c>
      <c r="G62" s="73" t="s">
        <v>126</v>
      </c>
      <c r="H62" s="74">
        <f t="shared" si="4"/>
        <v>95</v>
      </c>
      <c r="I62" s="65" t="s">
        <v>131</v>
      </c>
    </row>
    <row r="63" spans="1:21" ht="15" hidden="1" customHeight="1" x14ac:dyDescent="0.25">
      <c r="A63" s="65" t="s">
        <v>131</v>
      </c>
      <c r="B63" s="525"/>
      <c r="C63" s="528"/>
      <c r="D63" s="531"/>
      <c r="E63" s="534"/>
      <c r="F63" s="72">
        <v>5</v>
      </c>
      <c r="G63" s="73" t="s">
        <v>126</v>
      </c>
      <c r="H63" s="74">
        <f t="shared" si="4"/>
        <v>90</v>
      </c>
      <c r="I63" s="65" t="s">
        <v>131</v>
      </c>
    </row>
    <row r="64" spans="1:21" ht="15" hidden="1" customHeight="1" x14ac:dyDescent="0.25">
      <c r="A64" s="65" t="s">
        <v>131</v>
      </c>
      <c r="B64" s="525"/>
      <c r="C64" s="528"/>
      <c r="D64" s="531"/>
      <c r="E64" s="534"/>
      <c r="F64" s="72">
        <v>4</v>
      </c>
      <c r="G64" s="73" t="s">
        <v>126</v>
      </c>
      <c r="H64" s="74">
        <f t="shared" si="4"/>
        <v>85</v>
      </c>
      <c r="I64" s="65" t="s">
        <v>131</v>
      </c>
    </row>
    <row r="65" spans="1:9" ht="15.75" hidden="1" customHeight="1" thickBot="1" x14ac:dyDescent="0.3">
      <c r="A65" s="65" t="s">
        <v>131</v>
      </c>
      <c r="B65" s="526"/>
      <c r="C65" s="529"/>
      <c r="D65" s="531"/>
      <c r="E65" s="534"/>
      <c r="F65" s="72">
        <v>3</v>
      </c>
      <c r="G65" s="73" t="s">
        <v>126</v>
      </c>
      <c r="H65" s="74">
        <f t="shared" si="4"/>
        <v>80</v>
      </c>
      <c r="I65" s="65" t="s">
        <v>131</v>
      </c>
    </row>
    <row r="66" spans="1:9" ht="15" hidden="1" customHeight="1" x14ac:dyDescent="0.25">
      <c r="A66" s="65" t="s">
        <v>131</v>
      </c>
      <c r="B66" s="541" t="s">
        <v>128</v>
      </c>
      <c r="C66" s="527"/>
      <c r="D66" s="531"/>
      <c r="E66" s="534"/>
      <c r="F66" s="72">
        <v>2</v>
      </c>
      <c r="G66" s="73" t="s">
        <v>126</v>
      </c>
      <c r="H66" s="74">
        <f t="shared" si="4"/>
        <v>75</v>
      </c>
      <c r="I66" s="65" t="s">
        <v>131</v>
      </c>
    </row>
    <row r="67" spans="1:9" ht="15.75" hidden="1" customHeight="1" thickBot="1" x14ac:dyDescent="0.3">
      <c r="A67" s="65" t="s">
        <v>131</v>
      </c>
      <c r="B67" s="542"/>
      <c r="C67" s="529"/>
      <c r="D67" s="532"/>
      <c r="E67" s="535"/>
      <c r="F67" s="75">
        <v>1</v>
      </c>
      <c r="G67" s="76" t="s">
        <v>126</v>
      </c>
      <c r="H67" s="77">
        <f t="shared" si="4"/>
        <v>70</v>
      </c>
      <c r="I67" s="65" t="s">
        <v>131</v>
      </c>
    </row>
    <row r="68" spans="1:9" x14ac:dyDescent="0.25">
      <c r="A68" s="65"/>
      <c r="B68" s="163"/>
      <c r="C68" s="162"/>
      <c r="D68" s="121"/>
      <c r="E68" s="121"/>
      <c r="F68" s="122"/>
      <c r="G68" s="123"/>
      <c r="H68" s="124"/>
      <c r="I68" s="65"/>
    </row>
    <row r="69" spans="1:9" ht="15.75" thickBot="1" x14ac:dyDescent="0.3">
      <c r="A69" s="65" t="s">
        <v>131</v>
      </c>
      <c r="B69" s="65" t="s">
        <v>131</v>
      </c>
      <c r="C69" s="65" t="s">
        <v>131</v>
      </c>
      <c r="D69" s="65" t="s">
        <v>131</v>
      </c>
      <c r="E69" s="65" t="s">
        <v>131</v>
      </c>
      <c r="F69" s="65" t="s">
        <v>131</v>
      </c>
      <c r="G69" s="65" t="s">
        <v>131</v>
      </c>
      <c r="H69" s="65" t="s">
        <v>131</v>
      </c>
      <c r="I69" s="65" t="s">
        <v>131</v>
      </c>
    </row>
    <row r="70" spans="1:9" x14ac:dyDescent="0.25">
      <c r="A70" s="69" t="s">
        <v>131</v>
      </c>
      <c r="B70" s="125" t="s">
        <v>132</v>
      </c>
      <c r="C70" s="126"/>
      <c r="D70" s="126"/>
      <c r="E70" s="126"/>
      <c r="F70" s="126"/>
      <c r="G70" s="551" t="s">
        <v>17</v>
      </c>
      <c r="H70" s="552"/>
      <c r="I70" s="553"/>
    </row>
    <row r="71" spans="1:9" ht="15.75" thickBot="1" x14ac:dyDescent="0.3">
      <c r="A71" s="69" t="s">
        <v>131</v>
      </c>
      <c r="B71" s="127" t="s">
        <v>166</v>
      </c>
      <c r="C71" s="128"/>
      <c r="D71" s="128"/>
      <c r="E71" s="128"/>
      <c r="F71" s="128"/>
      <c r="G71" s="554">
        <v>0.3</v>
      </c>
      <c r="H71" s="555"/>
      <c r="I71" s="556"/>
    </row>
    <row r="72" spans="1:9" ht="15.75" thickBot="1" x14ac:dyDescent="0.3">
      <c r="A72" s="69" t="s">
        <v>131</v>
      </c>
      <c r="B72" s="56" t="s">
        <v>119</v>
      </c>
      <c r="C72" s="92" t="s">
        <v>36</v>
      </c>
      <c r="D72" s="504" t="s">
        <v>124</v>
      </c>
      <c r="E72" s="505"/>
      <c r="F72" s="506" t="s">
        <v>130</v>
      </c>
      <c r="G72" s="507"/>
      <c r="H72" s="508"/>
      <c r="I72" s="69" t="s">
        <v>131</v>
      </c>
    </row>
    <row r="73" spans="1:9" ht="15.75" customHeight="1" thickBot="1" x14ac:dyDescent="0.3">
      <c r="A73" s="69" t="s">
        <v>131</v>
      </c>
      <c r="B73" s="524">
        <v>1</v>
      </c>
      <c r="C73" s="527" t="s">
        <v>358</v>
      </c>
      <c r="D73" s="57" t="s">
        <v>125</v>
      </c>
      <c r="E73" s="58">
        <v>0.4</v>
      </c>
      <c r="F73" s="164">
        <v>1</v>
      </c>
      <c r="G73" s="73" t="s">
        <v>353</v>
      </c>
      <c r="H73" s="74">
        <v>115</v>
      </c>
      <c r="I73" s="69" t="s">
        <v>131</v>
      </c>
    </row>
    <row r="74" spans="1:9" x14ac:dyDescent="0.25">
      <c r="A74" s="69" t="s">
        <v>131</v>
      </c>
      <c r="B74" s="525"/>
      <c r="C74" s="528"/>
      <c r="D74" s="530">
        <v>1</v>
      </c>
      <c r="E74" s="533">
        <f>IF(D74=0,0,VLOOKUP($D74,$F73:$H82,3,FALSE)*$E73)</f>
        <v>46</v>
      </c>
      <c r="F74" s="72">
        <v>2</v>
      </c>
      <c r="G74" s="73" t="s">
        <v>354</v>
      </c>
      <c r="H74" s="74">
        <v>110</v>
      </c>
      <c r="I74" s="69" t="s">
        <v>131</v>
      </c>
    </row>
    <row r="75" spans="1:9" x14ac:dyDescent="0.25">
      <c r="A75" s="69" t="s">
        <v>131</v>
      </c>
      <c r="B75" s="525"/>
      <c r="C75" s="528"/>
      <c r="D75" s="531"/>
      <c r="E75" s="534"/>
      <c r="F75" s="195">
        <v>3</v>
      </c>
      <c r="G75" s="198" t="s">
        <v>355</v>
      </c>
      <c r="H75" s="197">
        <v>100</v>
      </c>
      <c r="I75" s="69" t="s">
        <v>131</v>
      </c>
    </row>
    <row r="76" spans="1:9" ht="15.75" customHeight="1" x14ac:dyDescent="0.25">
      <c r="A76" s="69" t="s">
        <v>131</v>
      </c>
      <c r="B76" s="525"/>
      <c r="C76" s="528"/>
      <c r="D76" s="531"/>
      <c r="E76" s="534"/>
      <c r="F76" s="72">
        <v>4</v>
      </c>
      <c r="G76" s="73" t="s">
        <v>356</v>
      </c>
      <c r="H76" s="74">
        <v>80</v>
      </c>
      <c r="I76" s="69" t="s">
        <v>131</v>
      </c>
    </row>
    <row r="77" spans="1:9" x14ac:dyDescent="0.25">
      <c r="A77" s="69" t="s">
        <v>131</v>
      </c>
      <c r="B77" s="525"/>
      <c r="C77" s="528"/>
      <c r="D77" s="531"/>
      <c r="E77" s="534"/>
      <c r="F77" s="72">
        <v>5</v>
      </c>
      <c r="G77" s="73" t="s">
        <v>357</v>
      </c>
      <c r="H77" s="74">
        <v>50</v>
      </c>
      <c r="I77" s="69" t="s">
        <v>131</v>
      </c>
    </row>
    <row r="78" spans="1:9" x14ac:dyDescent="0.25">
      <c r="A78" s="69" t="s">
        <v>131</v>
      </c>
      <c r="B78" s="525"/>
      <c r="C78" s="528"/>
      <c r="D78" s="531"/>
      <c r="E78" s="534"/>
      <c r="F78" s="72"/>
      <c r="G78" s="167" t="s">
        <v>206</v>
      </c>
      <c r="H78" s="74"/>
      <c r="I78" s="69" t="s">
        <v>131</v>
      </c>
    </row>
    <row r="79" spans="1:9" x14ac:dyDescent="0.25">
      <c r="A79" s="69" t="s">
        <v>131</v>
      </c>
      <c r="B79" s="525"/>
      <c r="C79" s="528"/>
      <c r="D79" s="531"/>
      <c r="E79" s="534"/>
      <c r="F79" s="72"/>
      <c r="G79" s="167"/>
      <c r="H79" s="74"/>
      <c r="I79" s="69" t="s">
        <v>131</v>
      </c>
    </row>
    <row r="80" spans="1:9" ht="15.75" thickBot="1" x14ac:dyDescent="0.3">
      <c r="A80" s="69" t="s">
        <v>131</v>
      </c>
      <c r="B80" s="526"/>
      <c r="C80" s="529"/>
      <c r="D80" s="531"/>
      <c r="E80" s="534"/>
      <c r="F80" s="72"/>
      <c r="G80" s="73"/>
      <c r="H80" s="74"/>
      <c r="I80" s="69" t="s">
        <v>131</v>
      </c>
    </row>
    <row r="81" spans="1:9" x14ac:dyDescent="0.25">
      <c r="A81" s="69" t="s">
        <v>131</v>
      </c>
      <c r="B81" s="541" t="s">
        <v>128</v>
      </c>
      <c r="C81" s="527" t="s">
        <v>353</v>
      </c>
      <c r="D81" s="531"/>
      <c r="E81" s="534"/>
      <c r="F81" s="72"/>
      <c r="G81" s="73"/>
      <c r="H81" s="74"/>
      <c r="I81" s="69" t="s">
        <v>131</v>
      </c>
    </row>
    <row r="82" spans="1:9" ht="15.75" thickBot="1" x14ac:dyDescent="0.3">
      <c r="A82" s="69" t="s">
        <v>131</v>
      </c>
      <c r="B82" s="542"/>
      <c r="C82" s="529"/>
      <c r="D82" s="532"/>
      <c r="E82" s="535"/>
      <c r="F82" s="75"/>
      <c r="G82" s="76"/>
      <c r="H82" s="77"/>
      <c r="I82" s="69" t="s">
        <v>131</v>
      </c>
    </row>
    <row r="83" spans="1:9" ht="15.75" customHeight="1" thickBot="1" x14ac:dyDescent="0.3">
      <c r="A83" s="69" t="s">
        <v>131</v>
      </c>
      <c r="B83" s="524">
        <v>2</v>
      </c>
      <c r="C83" s="527" t="s">
        <v>209</v>
      </c>
      <c r="D83" s="57" t="s">
        <v>125</v>
      </c>
      <c r="E83" s="58">
        <v>0.55000000000000004</v>
      </c>
      <c r="F83" s="164">
        <v>1</v>
      </c>
      <c r="G83" s="165" t="s">
        <v>213</v>
      </c>
      <c r="H83" s="71">
        <v>115</v>
      </c>
      <c r="I83" s="69" t="s">
        <v>131</v>
      </c>
    </row>
    <row r="84" spans="1:9" x14ac:dyDescent="0.25">
      <c r="A84" s="69" t="s">
        <v>131</v>
      </c>
      <c r="B84" s="525"/>
      <c r="C84" s="528"/>
      <c r="D84" s="544">
        <v>2</v>
      </c>
      <c r="E84" s="533">
        <f>IF(D84=0,0,VLOOKUP($D84,$F83:$H92,3,FALSE)*$E83)</f>
        <v>55.000000000000007</v>
      </c>
      <c r="F84" s="195">
        <v>2</v>
      </c>
      <c r="G84" s="196" t="s">
        <v>183</v>
      </c>
      <c r="H84" s="197">
        <v>100</v>
      </c>
      <c r="I84" s="69" t="s">
        <v>131</v>
      </c>
    </row>
    <row r="85" spans="1:9" x14ac:dyDescent="0.25">
      <c r="A85" s="69" t="s">
        <v>131</v>
      </c>
      <c r="B85" s="525"/>
      <c r="C85" s="528"/>
      <c r="D85" s="545"/>
      <c r="E85" s="534"/>
      <c r="F85" s="72">
        <v>3</v>
      </c>
      <c r="G85" s="165" t="s">
        <v>208</v>
      </c>
      <c r="H85" s="74">
        <v>90</v>
      </c>
      <c r="I85" s="69" t="s">
        <v>131</v>
      </c>
    </row>
    <row r="86" spans="1:9" x14ac:dyDescent="0.25">
      <c r="A86" s="69" t="s">
        <v>131</v>
      </c>
      <c r="B86" s="525"/>
      <c r="C86" s="528"/>
      <c r="D86" s="545"/>
      <c r="E86" s="534"/>
      <c r="F86" s="72">
        <v>4</v>
      </c>
      <c r="G86" s="165" t="s">
        <v>184</v>
      </c>
      <c r="H86" s="74">
        <v>80</v>
      </c>
      <c r="I86" s="69" t="s">
        <v>131</v>
      </c>
    </row>
    <row r="87" spans="1:9" ht="15" customHeight="1" x14ac:dyDescent="0.25">
      <c r="A87" s="69" t="s">
        <v>131</v>
      </c>
      <c r="B87" s="525"/>
      <c r="C87" s="528"/>
      <c r="D87" s="545"/>
      <c r="E87" s="534"/>
      <c r="F87" s="72">
        <v>5</v>
      </c>
      <c r="G87" s="73" t="s">
        <v>185</v>
      </c>
      <c r="H87" s="74">
        <v>50</v>
      </c>
      <c r="I87" s="69" t="s">
        <v>131</v>
      </c>
    </row>
    <row r="88" spans="1:9" x14ac:dyDescent="0.25">
      <c r="A88" s="69" t="s">
        <v>131</v>
      </c>
      <c r="B88" s="525"/>
      <c r="C88" s="528"/>
      <c r="D88" s="545"/>
      <c r="E88" s="534"/>
      <c r="F88" s="72">
        <v>6</v>
      </c>
      <c r="G88" s="167" t="s">
        <v>186</v>
      </c>
      <c r="H88" s="74"/>
      <c r="I88" s="69" t="s">
        <v>131</v>
      </c>
    </row>
    <row r="89" spans="1:9" x14ac:dyDescent="0.25">
      <c r="A89" s="69" t="s">
        <v>131</v>
      </c>
      <c r="B89" s="525"/>
      <c r="C89" s="528"/>
      <c r="D89" s="545"/>
      <c r="E89" s="534"/>
      <c r="F89" s="72"/>
      <c r="G89" s="167"/>
      <c r="H89" s="74"/>
      <c r="I89" s="69" t="s">
        <v>131</v>
      </c>
    </row>
    <row r="90" spans="1:9" ht="15.75" thickBot="1" x14ac:dyDescent="0.3">
      <c r="A90" s="69" t="s">
        <v>131</v>
      </c>
      <c r="B90" s="526"/>
      <c r="C90" s="529"/>
      <c r="D90" s="545"/>
      <c r="E90" s="534"/>
      <c r="F90" s="72"/>
      <c r="G90" s="73"/>
      <c r="H90" s="74"/>
      <c r="I90" s="69" t="s">
        <v>131</v>
      </c>
    </row>
    <row r="91" spans="1:9" x14ac:dyDescent="0.25">
      <c r="A91" s="69" t="s">
        <v>131</v>
      </c>
      <c r="B91" s="541" t="s">
        <v>128</v>
      </c>
      <c r="C91" s="527" t="s">
        <v>183</v>
      </c>
      <c r="D91" s="545"/>
      <c r="E91" s="534"/>
      <c r="F91" s="72"/>
      <c r="G91" s="73"/>
      <c r="H91" s="74"/>
      <c r="I91" s="69" t="s">
        <v>131</v>
      </c>
    </row>
    <row r="92" spans="1:9" ht="15.75" thickBot="1" x14ac:dyDescent="0.3">
      <c r="A92" s="69" t="s">
        <v>131</v>
      </c>
      <c r="B92" s="542"/>
      <c r="C92" s="529"/>
      <c r="D92" s="546"/>
      <c r="E92" s="535"/>
      <c r="F92" s="75"/>
      <c r="G92" s="76"/>
      <c r="H92" s="77"/>
      <c r="I92" s="69" t="s">
        <v>131</v>
      </c>
    </row>
    <row r="93" spans="1:9" ht="15.75" customHeight="1" thickBot="1" x14ac:dyDescent="0.3">
      <c r="A93" s="69" t="s">
        <v>131</v>
      </c>
      <c r="B93" s="524">
        <v>3</v>
      </c>
      <c r="C93" s="527" t="s">
        <v>167</v>
      </c>
      <c r="D93" s="57" t="s">
        <v>125</v>
      </c>
      <c r="E93" s="58">
        <v>0.05</v>
      </c>
      <c r="F93" s="78">
        <v>1</v>
      </c>
      <c r="G93" s="79" t="s">
        <v>168</v>
      </c>
      <c r="H93" s="80">
        <v>115</v>
      </c>
      <c r="I93" s="69" t="s">
        <v>131</v>
      </c>
    </row>
    <row r="94" spans="1:9" x14ac:dyDescent="0.25">
      <c r="A94" s="69" t="s">
        <v>131</v>
      </c>
      <c r="B94" s="525"/>
      <c r="C94" s="528"/>
      <c r="D94" s="544">
        <v>1</v>
      </c>
      <c r="E94" s="533">
        <f>IF(D94=0,0,VLOOKUP($D94,$F93:$H102,3,FALSE)*$E93)</f>
        <v>5.75</v>
      </c>
      <c r="F94" s="72">
        <v>2</v>
      </c>
      <c r="G94" s="73" t="s">
        <v>169</v>
      </c>
      <c r="H94" s="74">
        <v>100</v>
      </c>
      <c r="I94" s="69" t="s">
        <v>131</v>
      </c>
    </row>
    <row r="95" spans="1:9" x14ac:dyDescent="0.25">
      <c r="A95" s="69" t="s">
        <v>131</v>
      </c>
      <c r="B95" s="525"/>
      <c r="C95" s="528"/>
      <c r="D95" s="545"/>
      <c r="E95" s="534"/>
      <c r="F95" s="72">
        <v>3</v>
      </c>
      <c r="G95" s="73" t="s">
        <v>170</v>
      </c>
      <c r="H95" s="74">
        <v>90</v>
      </c>
      <c r="I95" s="69" t="s">
        <v>131</v>
      </c>
    </row>
    <row r="96" spans="1:9" x14ac:dyDescent="0.25">
      <c r="A96" s="69" t="s">
        <v>131</v>
      </c>
      <c r="B96" s="525"/>
      <c r="C96" s="528"/>
      <c r="D96" s="545"/>
      <c r="E96" s="534"/>
      <c r="F96" s="72">
        <v>4</v>
      </c>
      <c r="G96" s="73" t="s">
        <v>171</v>
      </c>
      <c r="H96" s="74">
        <v>50</v>
      </c>
      <c r="I96" s="69" t="s">
        <v>131</v>
      </c>
    </row>
    <row r="97" spans="1:9" x14ac:dyDescent="0.25">
      <c r="A97" s="69" t="s">
        <v>131</v>
      </c>
      <c r="B97" s="525"/>
      <c r="C97" s="528"/>
      <c r="D97" s="545"/>
      <c r="E97" s="534"/>
      <c r="F97" s="72"/>
      <c r="G97" s="73"/>
      <c r="H97" s="74"/>
      <c r="I97" s="69" t="s">
        <v>131</v>
      </c>
    </row>
    <row r="98" spans="1:9" ht="15" customHeight="1" x14ac:dyDescent="0.25">
      <c r="A98" s="69" t="s">
        <v>131</v>
      </c>
      <c r="B98" s="525"/>
      <c r="C98" s="528"/>
      <c r="D98" s="545"/>
      <c r="E98" s="534"/>
      <c r="F98" s="72"/>
      <c r="G98" s="73"/>
      <c r="H98" s="74"/>
      <c r="I98" s="69" t="s">
        <v>131</v>
      </c>
    </row>
    <row r="99" spans="1:9" x14ac:dyDescent="0.25">
      <c r="A99" s="69" t="s">
        <v>131</v>
      </c>
      <c r="B99" s="525"/>
      <c r="C99" s="528"/>
      <c r="D99" s="545"/>
      <c r="E99" s="534"/>
      <c r="F99" s="72"/>
      <c r="G99" s="167"/>
      <c r="H99" s="74"/>
      <c r="I99" s="69" t="s">
        <v>131</v>
      </c>
    </row>
    <row r="100" spans="1:9" ht="15.75" thickBot="1" x14ac:dyDescent="0.3">
      <c r="A100" s="69" t="s">
        <v>131</v>
      </c>
      <c r="B100" s="526"/>
      <c r="C100" s="529"/>
      <c r="D100" s="545"/>
      <c r="E100" s="534"/>
      <c r="F100" s="72"/>
      <c r="G100" s="73"/>
      <c r="H100" s="74"/>
      <c r="I100" s="69" t="s">
        <v>131</v>
      </c>
    </row>
    <row r="101" spans="1:9" x14ac:dyDescent="0.25">
      <c r="A101" s="69" t="s">
        <v>131</v>
      </c>
      <c r="B101" s="541" t="s">
        <v>128</v>
      </c>
      <c r="C101" s="547" t="s">
        <v>168</v>
      </c>
      <c r="D101" s="545"/>
      <c r="E101" s="534"/>
      <c r="F101" s="72"/>
      <c r="G101" s="73"/>
      <c r="H101" s="74"/>
      <c r="I101" s="69" t="s">
        <v>131</v>
      </c>
    </row>
    <row r="102" spans="1:9" ht="15.75" thickBot="1" x14ac:dyDescent="0.3">
      <c r="A102" s="69" t="s">
        <v>131</v>
      </c>
      <c r="B102" s="542"/>
      <c r="C102" s="529"/>
      <c r="D102" s="546"/>
      <c r="E102" s="535"/>
      <c r="F102" s="75"/>
      <c r="G102" s="76"/>
      <c r="H102" s="77"/>
      <c r="I102" s="69" t="s">
        <v>131</v>
      </c>
    </row>
    <row r="103" spans="1:9" ht="15.75" hidden="1" customHeight="1" thickBot="1" x14ac:dyDescent="0.3">
      <c r="A103" s="69" t="s">
        <v>131</v>
      </c>
      <c r="B103" s="524"/>
      <c r="C103" s="527"/>
      <c r="D103" s="57" t="s">
        <v>125</v>
      </c>
      <c r="E103" s="58"/>
      <c r="F103" s="78"/>
      <c r="G103" s="79"/>
      <c r="H103" s="80"/>
      <c r="I103" s="69" t="s">
        <v>131</v>
      </c>
    </row>
    <row r="104" spans="1:9" ht="15" hidden="1" customHeight="1" x14ac:dyDescent="0.25">
      <c r="A104" s="69" t="s">
        <v>131</v>
      </c>
      <c r="B104" s="525"/>
      <c r="C104" s="528"/>
      <c r="D104" s="544"/>
      <c r="E104" s="533">
        <f>IF(D104=0,0,VLOOKUP($D104,$F103:$H112,3,FALSE)*$E103)</f>
        <v>0</v>
      </c>
      <c r="F104" s="72"/>
      <c r="G104" s="73"/>
      <c r="H104" s="74"/>
      <c r="I104" s="69" t="s">
        <v>131</v>
      </c>
    </row>
    <row r="105" spans="1:9" ht="15" hidden="1" customHeight="1" x14ac:dyDescent="0.25">
      <c r="A105" s="69" t="s">
        <v>131</v>
      </c>
      <c r="B105" s="525"/>
      <c r="C105" s="528"/>
      <c r="D105" s="545"/>
      <c r="E105" s="534"/>
      <c r="F105" s="72"/>
      <c r="G105" s="73"/>
      <c r="H105" s="74"/>
      <c r="I105" s="69" t="s">
        <v>131</v>
      </c>
    </row>
    <row r="106" spans="1:9" ht="15" hidden="1" customHeight="1" x14ac:dyDescent="0.25">
      <c r="A106" s="69" t="s">
        <v>131</v>
      </c>
      <c r="B106" s="525"/>
      <c r="C106" s="528"/>
      <c r="D106" s="545"/>
      <c r="E106" s="534"/>
      <c r="F106" s="72"/>
      <c r="G106" s="73"/>
      <c r="H106" s="74"/>
      <c r="I106" s="69" t="s">
        <v>131</v>
      </c>
    </row>
    <row r="107" spans="1:9" ht="15" hidden="1" customHeight="1" x14ac:dyDescent="0.25">
      <c r="A107" s="69" t="s">
        <v>131</v>
      </c>
      <c r="B107" s="525"/>
      <c r="C107" s="528"/>
      <c r="D107" s="545"/>
      <c r="E107" s="534"/>
      <c r="F107" s="72"/>
      <c r="G107" s="73"/>
      <c r="H107" s="74"/>
      <c r="I107" s="69" t="s">
        <v>131</v>
      </c>
    </row>
    <row r="108" spans="1:9" ht="15" hidden="1" customHeight="1" x14ac:dyDescent="0.25">
      <c r="A108" s="69" t="s">
        <v>131</v>
      </c>
      <c r="B108" s="525"/>
      <c r="C108" s="528"/>
      <c r="D108" s="545"/>
      <c r="E108" s="534"/>
      <c r="F108" s="72"/>
      <c r="G108" s="73"/>
      <c r="H108" s="74"/>
      <c r="I108" s="69" t="s">
        <v>131</v>
      </c>
    </row>
    <row r="109" spans="1:9" ht="15" hidden="1" customHeight="1" x14ac:dyDescent="0.25">
      <c r="A109" s="69" t="s">
        <v>131</v>
      </c>
      <c r="B109" s="525"/>
      <c r="C109" s="528"/>
      <c r="D109" s="545"/>
      <c r="E109" s="534"/>
      <c r="F109" s="72"/>
      <c r="G109" s="73"/>
      <c r="H109" s="74"/>
      <c r="I109" s="69" t="s">
        <v>131</v>
      </c>
    </row>
    <row r="110" spans="1:9" ht="15.75" hidden="1" customHeight="1" thickBot="1" x14ac:dyDescent="0.3">
      <c r="A110" s="69" t="s">
        <v>131</v>
      </c>
      <c r="B110" s="526"/>
      <c r="C110" s="529"/>
      <c r="D110" s="545"/>
      <c r="E110" s="534"/>
      <c r="F110" s="72"/>
      <c r="G110" s="73"/>
      <c r="H110" s="74"/>
      <c r="I110" s="69" t="s">
        <v>131</v>
      </c>
    </row>
    <row r="111" spans="1:9" ht="15" hidden="1" customHeight="1" x14ac:dyDescent="0.25">
      <c r="A111" s="69" t="s">
        <v>131</v>
      </c>
      <c r="B111" s="541" t="s">
        <v>128</v>
      </c>
      <c r="C111" s="549"/>
      <c r="D111" s="545"/>
      <c r="E111" s="534"/>
      <c r="F111" s="72"/>
      <c r="G111" s="73"/>
      <c r="H111" s="74"/>
      <c r="I111" s="69" t="s">
        <v>131</v>
      </c>
    </row>
    <row r="112" spans="1:9" ht="15.75" hidden="1" customHeight="1" thickBot="1" x14ac:dyDescent="0.3">
      <c r="A112" s="69" t="s">
        <v>131</v>
      </c>
      <c r="B112" s="542"/>
      <c r="C112" s="550"/>
      <c r="D112" s="546"/>
      <c r="E112" s="535"/>
      <c r="F112" s="75"/>
      <c r="G112" s="76"/>
      <c r="H112" s="77"/>
      <c r="I112" s="69" t="s">
        <v>131</v>
      </c>
    </row>
    <row r="113" spans="1:9" ht="15.75" hidden="1" customHeight="1" thickBot="1" x14ac:dyDescent="0.3">
      <c r="A113" s="69" t="s">
        <v>131</v>
      </c>
      <c r="B113" s="548">
        <v>5</v>
      </c>
      <c r="C113" s="527"/>
      <c r="D113" s="57" t="s">
        <v>125</v>
      </c>
      <c r="E113" s="58"/>
      <c r="F113" s="78">
        <v>1</v>
      </c>
      <c r="G113" s="79"/>
      <c r="H113" s="80"/>
      <c r="I113" s="69" t="s">
        <v>131</v>
      </c>
    </row>
    <row r="114" spans="1:9" hidden="1" x14ac:dyDescent="0.25">
      <c r="A114" s="69" t="s">
        <v>131</v>
      </c>
      <c r="B114" s="525"/>
      <c r="C114" s="528"/>
      <c r="D114" s="530"/>
      <c r="E114" s="533">
        <f>IF(D114=0,0,VLOOKUP($D114,$F113:$H122,3,FALSE)*$E113)</f>
        <v>0</v>
      </c>
      <c r="F114" s="72">
        <v>2</v>
      </c>
      <c r="G114" s="73"/>
      <c r="H114" s="74"/>
      <c r="I114" s="69" t="s">
        <v>131</v>
      </c>
    </row>
    <row r="115" spans="1:9" hidden="1" x14ac:dyDescent="0.25">
      <c r="A115" s="69" t="s">
        <v>131</v>
      </c>
      <c r="B115" s="525"/>
      <c r="C115" s="528"/>
      <c r="D115" s="531"/>
      <c r="E115" s="534"/>
      <c r="F115" s="72">
        <v>3</v>
      </c>
      <c r="G115" s="73"/>
      <c r="H115" s="74"/>
      <c r="I115" s="69" t="s">
        <v>131</v>
      </c>
    </row>
    <row r="116" spans="1:9" hidden="1" x14ac:dyDescent="0.25">
      <c r="A116" s="69" t="s">
        <v>131</v>
      </c>
      <c r="B116" s="525"/>
      <c r="C116" s="528"/>
      <c r="D116" s="531"/>
      <c r="E116" s="534"/>
      <c r="F116" s="72">
        <v>4</v>
      </c>
      <c r="G116" s="73"/>
      <c r="H116" s="74"/>
      <c r="I116" s="69" t="s">
        <v>131</v>
      </c>
    </row>
    <row r="117" spans="1:9" hidden="1" x14ac:dyDescent="0.25">
      <c r="A117" s="69" t="s">
        <v>131</v>
      </c>
      <c r="B117" s="525"/>
      <c r="C117" s="528"/>
      <c r="D117" s="531"/>
      <c r="E117" s="534"/>
      <c r="F117" s="72"/>
      <c r="G117" s="73"/>
      <c r="H117" s="74"/>
      <c r="I117" s="69" t="s">
        <v>131</v>
      </c>
    </row>
    <row r="118" spans="1:9" hidden="1" x14ac:dyDescent="0.25">
      <c r="A118" s="69" t="s">
        <v>131</v>
      </c>
      <c r="B118" s="525"/>
      <c r="C118" s="528"/>
      <c r="D118" s="531"/>
      <c r="E118" s="534"/>
      <c r="F118" s="72"/>
      <c r="G118" s="73"/>
      <c r="H118" s="74"/>
      <c r="I118" s="69" t="s">
        <v>131</v>
      </c>
    </row>
    <row r="119" spans="1:9" hidden="1" x14ac:dyDescent="0.25">
      <c r="A119" s="69" t="s">
        <v>131</v>
      </c>
      <c r="B119" s="525"/>
      <c r="C119" s="528"/>
      <c r="D119" s="531"/>
      <c r="E119" s="534"/>
      <c r="F119" s="72"/>
      <c r="G119" s="73"/>
      <c r="H119" s="74"/>
      <c r="I119" s="69" t="s">
        <v>131</v>
      </c>
    </row>
    <row r="120" spans="1:9" ht="15.75" hidden="1" customHeight="1" thickBot="1" x14ac:dyDescent="0.3">
      <c r="A120" s="69" t="s">
        <v>131</v>
      </c>
      <c r="B120" s="526"/>
      <c r="C120" s="529"/>
      <c r="D120" s="531"/>
      <c r="E120" s="534"/>
      <c r="F120" s="72"/>
      <c r="G120" s="73"/>
      <c r="H120" s="74"/>
      <c r="I120" s="69" t="s">
        <v>131</v>
      </c>
    </row>
    <row r="121" spans="1:9" hidden="1" x14ac:dyDescent="0.25">
      <c r="A121" s="69" t="s">
        <v>131</v>
      </c>
      <c r="B121" s="541" t="s">
        <v>128</v>
      </c>
      <c r="C121" s="549"/>
      <c r="D121" s="531"/>
      <c r="E121" s="534"/>
      <c r="F121" s="72"/>
      <c r="G121" s="73"/>
      <c r="H121" s="74"/>
      <c r="I121" s="69" t="s">
        <v>131</v>
      </c>
    </row>
    <row r="122" spans="1:9" ht="15.75" hidden="1" thickBot="1" x14ac:dyDescent="0.3">
      <c r="A122" s="69" t="s">
        <v>131</v>
      </c>
      <c r="B122" s="542"/>
      <c r="C122" s="550"/>
      <c r="D122" s="532"/>
      <c r="E122" s="535"/>
      <c r="F122" s="75"/>
      <c r="G122" s="76"/>
      <c r="H122" s="77"/>
      <c r="I122" s="69" t="s">
        <v>131</v>
      </c>
    </row>
    <row r="123" spans="1:9" ht="15.75" hidden="1" customHeight="1" thickBot="1" x14ac:dyDescent="0.3">
      <c r="A123" s="69" t="s">
        <v>131</v>
      </c>
      <c r="B123" s="524">
        <v>6</v>
      </c>
      <c r="C123" s="527"/>
      <c r="D123" s="57" t="s">
        <v>125</v>
      </c>
      <c r="E123" s="58"/>
      <c r="F123" s="164">
        <v>1</v>
      </c>
      <c r="G123" s="70" t="s">
        <v>76</v>
      </c>
      <c r="H123" s="71">
        <v>115</v>
      </c>
      <c r="I123" s="69" t="s">
        <v>131</v>
      </c>
    </row>
    <row r="124" spans="1:9" hidden="1" x14ac:dyDescent="0.25">
      <c r="A124" s="69" t="s">
        <v>131</v>
      </c>
      <c r="B124" s="525"/>
      <c r="C124" s="528"/>
      <c r="D124" s="530"/>
      <c r="E124" s="533">
        <f>IF(D124=0,0,VLOOKUP($D124,$F123:$H132,3,FALSE)*$E123)</f>
        <v>0</v>
      </c>
      <c r="F124" s="72">
        <v>2</v>
      </c>
      <c r="G124" s="73" t="s">
        <v>77</v>
      </c>
      <c r="H124" s="74">
        <f>H123-5</f>
        <v>110</v>
      </c>
      <c r="I124" s="69" t="s">
        <v>131</v>
      </c>
    </row>
    <row r="125" spans="1:9" hidden="1" x14ac:dyDescent="0.25">
      <c r="A125" s="69" t="s">
        <v>131</v>
      </c>
      <c r="B125" s="525"/>
      <c r="C125" s="528"/>
      <c r="D125" s="531"/>
      <c r="E125" s="534"/>
      <c r="F125" s="72">
        <v>3</v>
      </c>
      <c r="G125" s="73" t="s">
        <v>78</v>
      </c>
      <c r="H125" s="74">
        <v>100</v>
      </c>
      <c r="I125" s="69" t="s">
        <v>131</v>
      </c>
    </row>
    <row r="126" spans="1:9" hidden="1" x14ac:dyDescent="0.25">
      <c r="A126" s="69" t="s">
        <v>131</v>
      </c>
      <c r="B126" s="525"/>
      <c r="C126" s="528"/>
      <c r="D126" s="531"/>
      <c r="E126" s="534"/>
      <c r="F126" s="72">
        <v>4</v>
      </c>
      <c r="G126" s="73" t="s">
        <v>80</v>
      </c>
      <c r="H126" s="74">
        <v>90</v>
      </c>
      <c r="I126" s="69" t="s">
        <v>131</v>
      </c>
    </row>
    <row r="127" spans="1:9" hidden="1" x14ac:dyDescent="0.25">
      <c r="A127" s="69" t="s">
        <v>131</v>
      </c>
      <c r="B127" s="525"/>
      <c r="C127" s="528"/>
      <c r="D127" s="531"/>
      <c r="E127" s="534"/>
      <c r="F127" s="72">
        <v>5</v>
      </c>
      <c r="G127" s="73" t="s">
        <v>158</v>
      </c>
      <c r="H127" s="74">
        <v>50</v>
      </c>
      <c r="I127" s="69" t="s">
        <v>131</v>
      </c>
    </row>
    <row r="128" spans="1:9" hidden="1" x14ac:dyDescent="0.25">
      <c r="A128" s="69" t="s">
        <v>131</v>
      </c>
      <c r="B128" s="525"/>
      <c r="C128" s="528"/>
      <c r="D128" s="531"/>
      <c r="E128" s="534"/>
      <c r="F128" s="72"/>
      <c r="G128" s="73"/>
      <c r="H128" s="74"/>
      <c r="I128" s="69" t="s">
        <v>131</v>
      </c>
    </row>
    <row r="129" spans="1:9" hidden="1" x14ac:dyDescent="0.25">
      <c r="A129" s="69" t="s">
        <v>131</v>
      </c>
      <c r="B129" s="525"/>
      <c r="C129" s="528"/>
      <c r="D129" s="531"/>
      <c r="E129" s="534"/>
      <c r="F129" s="72"/>
      <c r="G129" s="73"/>
      <c r="H129" s="74"/>
      <c r="I129" s="69" t="s">
        <v>131</v>
      </c>
    </row>
    <row r="130" spans="1:9" ht="15.75" hidden="1" thickBot="1" x14ac:dyDescent="0.3">
      <c r="A130" s="69" t="s">
        <v>131</v>
      </c>
      <c r="B130" s="526"/>
      <c r="C130" s="529"/>
      <c r="D130" s="531"/>
      <c r="E130" s="534"/>
      <c r="F130" s="72"/>
      <c r="G130" s="73"/>
      <c r="H130" s="74"/>
      <c r="I130" s="69" t="s">
        <v>131</v>
      </c>
    </row>
    <row r="131" spans="1:9" ht="15" hidden="1" customHeight="1" x14ac:dyDescent="0.25">
      <c r="A131" s="69" t="s">
        <v>131</v>
      </c>
      <c r="B131" s="541" t="s">
        <v>128</v>
      </c>
      <c r="C131" s="527"/>
      <c r="D131" s="531"/>
      <c r="E131" s="534"/>
      <c r="F131" s="72"/>
      <c r="G131" s="73"/>
      <c r="H131" s="74"/>
      <c r="I131" s="69" t="s">
        <v>131</v>
      </c>
    </row>
    <row r="132" spans="1:9" ht="15.75" hidden="1" thickBot="1" x14ac:dyDescent="0.3">
      <c r="A132" s="69" t="s">
        <v>131</v>
      </c>
      <c r="B132" s="542"/>
      <c r="C132" s="529"/>
      <c r="D132" s="532"/>
      <c r="E132" s="535"/>
      <c r="F132" s="75"/>
      <c r="G132" s="76"/>
      <c r="H132" s="77"/>
      <c r="I132" s="69" t="s">
        <v>131</v>
      </c>
    </row>
    <row r="133" spans="1:9" ht="15.75" hidden="1" customHeight="1" thickBot="1" x14ac:dyDescent="0.3">
      <c r="A133" s="69" t="s">
        <v>131</v>
      </c>
      <c r="B133" s="524">
        <v>7</v>
      </c>
      <c r="C133" s="527"/>
      <c r="D133" s="57" t="s">
        <v>125</v>
      </c>
      <c r="E133" s="58"/>
      <c r="F133" s="164">
        <v>1</v>
      </c>
      <c r="G133" s="70" t="s">
        <v>76</v>
      </c>
      <c r="H133" s="71">
        <v>115</v>
      </c>
      <c r="I133" s="69" t="s">
        <v>131</v>
      </c>
    </row>
    <row r="134" spans="1:9" hidden="1" x14ac:dyDescent="0.25">
      <c r="A134" s="69" t="s">
        <v>131</v>
      </c>
      <c r="B134" s="525"/>
      <c r="C134" s="528"/>
      <c r="D134" s="530"/>
      <c r="E134" s="533">
        <f>IF(D134=0,0,VLOOKUP($D134,$F133:$H142,3,FALSE)*$E133)</f>
        <v>0</v>
      </c>
      <c r="F134" s="72">
        <v>2</v>
      </c>
      <c r="G134" s="73" t="s">
        <v>77</v>
      </c>
      <c r="H134" s="74">
        <v>112</v>
      </c>
      <c r="I134" s="69" t="s">
        <v>131</v>
      </c>
    </row>
    <row r="135" spans="1:9" hidden="1" x14ac:dyDescent="0.25">
      <c r="A135" s="69" t="s">
        <v>131</v>
      </c>
      <c r="B135" s="525"/>
      <c r="C135" s="528"/>
      <c r="D135" s="531"/>
      <c r="E135" s="534"/>
      <c r="F135" s="72">
        <v>3</v>
      </c>
      <c r="G135" s="70" t="s">
        <v>78</v>
      </c>
      <c r="H135" s="74">
        <v>108</v>
      </c>
      <c r="I135" s="69" t="s">
        <v>131</v>
      </c>
    </row>
    <row r="136" spans="1:9" hidden="1" x14ac:dyDescent="0.25">
      <c r="A136" s="69" t="s">
        <v>131</v>
      </c>
      <c r="B136" s="525"/>
      <c r="C136" s="528"/>
      <c r="D136" s="531"/>
      <c r="E136" s="534"/>
      <c r="F136" s="72">
        <v>4</v>
      </c>
      <c r="G136" s="73" t="s">
        <v>80</v>
      </c>
      <c r="H136" s="74">
        <v>104</v>
      </c>
      <c r="I136" s="69" t="s">
        <v>131</v>
      </c>
    </row>
    <row r="137" spans="1:9" hidden="1" x14ac:dyDescent="0.25">
      <c r="A137" s="69" t="s">
        <v>131</v>
      </c>
      <c r="B137" s="525"/>
      <c r="C137" s="528"/>
      <c r="D137" s="531"/>
      <c r="E137" s="534"/>
      <c r="F137" s="72">
        <v>5</v>
      </c>
      <c r="G137" s="73" t="s">
        <v>81</v>
      </c>
      <c r="H137" s="74">
        <v>102</v>
      </c>
      <c r="I137" s="69" t="s">
        <v>131</v>
      </c>
    </row>
    <row r="138" spans="1:9" hidden="1" x14ac:dyDescent="0.25">
      <c r="A138" s="69" t="s">
        <v>131</v>
      </c>
      <c r="B138" s="525"/>
      <c r="C138" s="528"/>
      <c r="D138" s="531"/>
      <c r="E138" s="534"/>
      <c r="F138" s="72">
        <v>6</v>
      </c>
      <c r="G138" s="73" t="s">
        <v>82</v>
      </c>
      <c r="H138" s="74">
        <v>100</v>
      </c>
      <c r="I138" s="69" t="s">
        <v>131</v>
      </c>
    </row>
    <row r="139" spans="1:9" hidden="1" x14ac:dyDescent="0.25">
      <c r="A139" s="69" t="s">
        <v>131</v>
      </c>
      <c r="B139" s="525"/>
      <c r="C139" s="528"/>
      <c r="D139" s="531"/>
      <c r="E139" s="534"/>
      <c r="F139" s="72">
        <v>7</v>
      </c>
      <c r="G139" s="73" t="s">
        <v>83</v>
      </c>
      <c r="H139" s="74">
        <v>90</v>
      </c>
      <c r="I139" s="69" t="s">
        <v>131</v>
      </c>
    </row>
    <row r="140" spans="1:9" ht="15.75" hidden="1" thickBot="1" x14ac:dyDescent="0.3">
      <c r="A140" s="69" t="s">
        <v>131</v>
      </c>
      <c r="B140" s="526"/>
      <c r="C140" s="529"/>
      <c r="D140" s="531"/>
      <c r="E140" s="534"/>
      <c r="F140" s="72">
        <v>8</v>
      </c>
      <c r="G140" s="73" t="s">
        <v>84</v>
      </c>
      <c r="H140" s="74">
        <v>80</v>
      </c>
      <c r="I140" s="69" t="s">
        <v>131</v>
      </c>
    </row>
    <row r="141" spans="1:9" hidden="1" x14ac:dyDescent="0.25">
      <c r="A141" s="69" t="s">
        <v>131</v>
      </c>
      <c r="B141" s="541" t="s">
        <v>128</v>
      </c>
      <c r="C141" s="527"/>
      <c r="D141" s="531"/>
      <c r="E141" s="534"/>
      <c r="F141" s="72">
        <v>9</v>
      </c>
      <c r="G141" s="73" t="s">
        <v>85</v>
      </c>
      <c r="H141" s="74">
        <v>70</v>
      </c>
      <c r="I141" s="69" t="s">
        <v>131</v>
      </c>
    </row>
    <row r="142" spans="1:9" ht="15.75" hidden="1" customHeight="1" thickBot="1" x14ac:dyDescent="0.3">
      <c r="A142" s="69" t="s">
        <v>131</v>
      </c>
      <c r="B142" s="542"/>
      <c r="C142" s="529"/>
      <c r="D142" s="532"/>
      <c r="E142" s="535"/>
      <c r="F142" s="75">
        <v>10</v>
      </c>
      <c r="G142" s="76" t="s">
        <v>159</v>
      </c>
      <c r="H142" s="77">
        <v>50</v>
      </c>
      <c r="I142" s="69" t="s">
        <v>131</v>
      </c>
    </row>
    <row r="143" spans="1:9" ht="15.75" hidden="1" customHeight="1" thickBot="1" x14ac:dyDescent="0.3">
      <c r="A143" s="69" t="s">
        <v>131</v>
      </c>
      <c r="B143" s="524">
        <v>8</v>
      </c>
      <c r="C143" s="527"/>
      <c r="D143" s="57" t="s">
        <v>125</v>
      </c>
      <c r="E143" s="58"/>
      <c r="F143" s="164">
        <v>1</v>
      </c>
      <c r="G143" s="70" t="s">
        <v>76</v>
      </c>
      <c r="H143" s="71">
        <v>115</v>
      </c>
      <c r="I143" s="69" t="s">
        <v>131</v>
      </c>
    </row>
    <row r="144" spans="1:9" hidden="1" x14ac:dyDescent="0.25">
      <c r="A144" s="69" t="s">
        <v>131</v>
      </c>
      <c r="B144" s="525"/>
      <c r="C144" s="528"/>
      <c r="D144" s="530"/>
      <c r="E144" s="533">
        <f>IF(D144=0,0,VLOOKUP($D144,$F143:$H152,3,FALSE)*$E143)</f>
        <v>0</v>
      </c>
      <c r="F144" s="72">
        <v>2</v>
      </c>
      <c r="G144" s="73" t="s">
        <v>77</v>
      </c>
      <c r="H144" s="74">
        <f>H143-5</f>
        <v>110</v>
      </c>
      <c r="I144" s="69" t="s">
        <v>131</v>
      </c>
    </row>
    <row r="145" spans="1:9" hidden="1" x14ac:dyDescent="0.25">
      <c r="A145" s="69" t="s">
        <v>131</v>
      </c>
      <c r="B145" s="525"/>
      <c r="C145" s="528"/>
      <c r="D145" s="531"/>
      <c r="E145" s="534"/>
      <c r="F145" s="72">
        <v>3</v>
      </c>
      <c r="G145" s="73" t="s">
        <v>78</v>
      </c>
      <c r="H145" s="74">
        <v>100</v>
      </c>
      <c r="I145" s="69" t="s">
        <v>131</v>
      </c>
    </row>
    <row r="146" spans="1:9" hidden="1" x14ac:dyDescent="0.25">
      <c r="A146" s="69" t="s">
        <v>131</v>
      </c>
      <c r="B146" s="525"/>
      <c r="C146" s="528"/>
      <c r="D146" s="531"/>
      <c r="E146" s="534"/>
      <c r="F146" s="72">
        <v>4</v>
      </c>
      <c r="G146" s="73" t="s">
        <v>80</v>
      </c>
      <c r="H146" s="74">
        <v>90</v>
      </c>
      <c r="I146" s="69" t="s">
        <v>131</v>
      </c>
    </row>
    <row r="147" spans="1:9" hidden="1" x14ac:dyDescent="0.25">
      <c r="A147" s="69" t="s">
        <v>131</v>
      </c>
      <c r="B147" s="525"/>
      <c r="C147" s="528"/>
      <c r="D147" s="531"/>
      <c r="E147" s="534"/>
      <c r="F147" s="72">
        <v>5</v>
      </c>
      <c r="G147" s="73" t="s">
        <v>158</v>
      </c>
      <c r="H147" s="74">
        <v>50</v>
      </c>
      <c r="I147" s="69" t="s">
        <v>131</v>
      </c>
    </row>
    <row r="148" spans="1:9" hidden="1" x14ac:dyDescent="0.25">
      <c r="A148" s="69" t="s">
        <v>131</v>
      </c>
      <c r="B148" s="525"/>
      <c r="C148" s="528"/>
      <c r="D148" s="531"/>
      <c r="E148" s="534"/>
      <c r="F148" s="72"/>
      <c r="G148" s="73"/>
      <c r="H148" s="74"/>
      <c r="I148" s="69" t="s">
        <v>131</v>
      </c>
    </row>
    <row r="149" spans="1:9" hidden="1" x14ac:dyDescent="0.25">
      <c r="A149" s="69" t="s">
        <v>131</v>
      </c>
      <c r="B149" s="525"/>
      <c r="C149" s="528"/>
      <c r="D149" s="531"/>
      <c r="E149" s="534"/>
      <c r="F149" s="72"/>
      <c r="G149" s="73"/>
      <c r="H149" s="74"/>
      <c r="I149" s="69" t="s">
        <v>131</v>
      </c>
    </row>
    <row r="150" spans="1:9" ht="15.75" hidden="1" thickBot="1" x14ac:dyDescent="0.3">
      <c r="A150" s="69" t="s">
        <v>131</v>
      </c>
      <c r="B150" s="526"/>
      <c r="C150" s="529"/>
      <c r="D150" s="531"/>
      <c r="E150" s="534"/>
      <c r="F150" s="72"/>
      <c r="G150" s="73"/>
      <c r="H150" s="74"/>
      <c r="I150" s="69" t="s">
        <v>131</v>
      </c>
    </row>
    <row r="151" spans="1:9" hidden="1" x14ac:dyDescent="0.25">
      <c r="A151" s="69" t="s">
        <v>131</v>
      </c>
      <c r="B151" s="541" t="s">
        <v>128</v>
      </c>
      <c r="C151" s="527"/>
      <c r="D151" s="531"/>
      <c r="E151" s="534"/>
      <c r="F151" s="72"/>
      <c r="G151" s="73"/>
      <c r="H151" s="74"/>
      <c r="I151" s="69" t="s">
        <v>131</v>
      </c>
    </row>
    <row r="152" spans="1:9" ht="15.75" hidden="1" thickBot="1" x14ac:dyDescent="0.3">
      <c r="A152" s="69" t="s">
        <v>131</v>
      </c>
      <c r="B152" s="542"/>
      <c r="C152" s="529"/>
      <c r="D152" s="532"/>
      <c r="E152" s="535"/>
      <c r="F152" s="75"/>
      <c r="G152" s="76"/>
      <c r="H152" s="77"/>
      <c r="I152" s="69" t="s">
        <v>131</v>
      </c>
    </row>
    <row r="153" spans="1:9" ht="15.75" hidden="1" customHeight="1" thickBot="1" x14ac:dyDescent="0.3">
      <c r="A153" s="69" t="s">
        <v>131</v>
      </c>
      <c r="B153" s="56"/>
      <c r="C153" s="56"/>
      <c r="D153" s="504" t="s">
        <v>124</v>
      </c>
      <c r="E153" s="505"/>
      <c r="F153" s="506" t="s">
        <v>130</v>
      </c>
      <c r="G153" s="507"/>
      <c r="H153" s="508"/>
      <c r="I153" s="69" t="s">
        <v>131</v>
      </c>
    </row>
    <row r="154" spans="1:9" ht="15.75" hidden="1" customHeight="1" thickBot="1" x14ac:dyDescent="0.3">
      <c r="A154" s="69" t="s">
        <v>131</v>
      </c>
      <c r="B154" s="524">
        <v>9</v>
      </c>
      <c r="C154" s="527"/>
      <c r="D154" s="57" t="s">
        <v>125</v>
      </c>
      <c r="E154" s="58"/>
      <c r="F154" s="164">
        <v>1</v>
      </c>
      <c r="G154" s="70" t="s">
        <v>161</v>
      </c>
      <c r="H154" s="71">
        <v>115</v>
      </c>
      <c r="I154" s="69" t="s">
        <v>131</v>
      </c>
    </row>
    <row r="155" spans="1:9" ht="15" hidden="1" customHeight="1" x14ac:dyDescent="0.25">
      <c r="A155" s="69" t="s">
        <v>131</v>
      </c>
      <c r="B155" s="525"/>
      <c r="C155" s="528"/>
      <c r="D155" s="530"/>
      <c r="E155" s="533">
        <f>IF(D155=0,0,VLOOKUP($D155,$F154:$H163,3,FALSE)*$E154)</f>
        <v>0</v>
      </c>
      <c r="F155" s="72">
        <v>2</v>
      </c>
      <c r="G155" s="73" t="s">
        <v>162</v>
      </c>
      <c r="H155" s="74">
        <v>100</v>
      </c>
      <c r="I155" s="69" t="s">
        <v>131</v>
      </c>
    </row>
    <row r="156" spans="1:9" ht="15" hidden="1" customHeight="1" x14ac:dyDescent="0.25">
      <c r="A156" s="69" t="s">
        <v>131</v>
      </c>
      <c r="B156" s="525"/>
      <c r="C156" s="528"/>
      <c r="D156" s="531"/>
      <c r="E156" s="534"/>
      <c r="F156" s="72">
        <v>3</v>
      </c>
      <c r="G156" s="73" t="s">
        <v>163</v>
      </c>
      <c r="H156" s="74">
        <v>50</v>
      </c>
      <c r="I156" s="69" t="s">
        <v>131</v>
      </c>
    </row>
    <row r="157" spans="1:9" ht="15" hidden="1" customHeight="1" x14ac:dyDescent="0.25">
      <c r="A157" s="69" t="s">
        <v>131</v>
      </c>
      <c r="B157" s="525"/>
      <c r="C157" s="528"/>
      <c r="D157" s="531"/>
      <c r="E157" s="534"/>
      <c r="F157" s="72"/>
      <c r="G157" s="73"/>
      <c r="H157" s="74"/>
      <c r="I157" s="69" t="s">
        <v>131</v>
      </c>
    </row>
    <row r="158" spans="1:9" ht="15" hidden="1" customHeight="1" x14ac:dyDescent="0.25">
      <c r="A158" s="69" t="s">
        <v>131</v>
      </c>
      <c r="B158" s="525"/>
      <c r="C158" s="528"/>
      <c r="D158" s="531"/>
      <c r="E158" s="534"/>
      <c r="F158" s="72"/>
      <c r="G158" s="73"/>
      <c r="H158" s="74"/>
      <c r="I158" s="69" t="s">
        <v>131</v>
      </c>
    </row>
    <row r="159" spans="1:9" ht="15" hidden="1" customHeight="1" x14ac:dyDescent="0.25">
      <c r="A159" s="69" t="s">
        <v>131</v>
      </c>
      <c r="B159" s="525"/>
      <c r="C159" s="528"/>
      <c r="D159" s="531"/>
      <c r="E159" s="534"/>
      <c r="F159" s="72"/>
      <c r="G159" s="73"/>
      <c r="H159" s="74"/>
      <c r="I159" s="69" t="s">
        <v>131</v>
      </c>
    </row>
    <row r="160" spans="1:9" ht="15" hidden="1" customHeight="1" x14ac:dyDescent="0.25">
      <c r="A160" s="69" t="s">
        <v>131</v>
      </c>
      <c r="B160" s="525"/>
      <c r="C160" s="528"/>
      <c r="D160" s="531"/>
      <c r="E160" s="534"/>
      <c r="F160" s="72"/>
      <c r="G160" s="73"/>
      <c r="H160" s="74"/>
      <c r="I160" s="69" t="s">
        <v>131</v>
      </c>
    </row>
    <row r="161" spans="1:9" ht="15.75" hidden="1" customHeight="1" thickBot="1" x14ac:dyDescent="0.3">
      <c r="A161" s="69" t="s">
        <v>131</v>
      </c>
      <c r="B161" s="526"/>
      <c r="C161" s="529"/>
      <c r="D161" s="531"/>
      <c r="E161" s="534"/>
      <c r="F161" s="72"/>
      <c r="G161" s="73"/>
      <c r="H161" s="74"/>
      <c r="I161" s="69" t="s">
        <v>131</v>
      </c>
    </row>
    <row r="162" spans="1:9" ht="15" hidden="1" customHeight="1" x14ac:dyDescent="0.25">
      <c r="A162" s="69" t="s">
        <v>131</v>
      </c>
      <c r="B162" s="541" t="s">
        <v>128</v>
      </c>
      <c r="C162" s="527"/>
      <c r="D162" s="531"/>
      <c r="E162" s="534"/>
      <c r="F162" s="72"/>
      <c r="G162" s="73"/>
      <c r="H162" s="74"/>
      <c r="I162" s="69" t="s">
        <v>131</v>
      </c>
    </row>
    <row r="163" spans="1:9" ht="15.75" hidden="1" customHeight="1" thickBot="1" x14ac:dyDescent="0.3">
      <c r="A163" s="69" t="s">
        <v>131</v>
      </c>
      <c r="B163" s="542"/>
      <c r="C163" s="529"/>
      <c r="D163" s="532"/>
      <c r="E163" s="535"/>
      <c r="F163" s="75"/>
      <c r="G163" s="76"/>
      <c r="H163" s="77"/>
      <c r="I163" s="69" t="s">
        <v>131</v>
      </c>
    </row>
    <row r="164" spans="1:9" ht="15.75" hidden="1" customHeight="1" thickBot="1" x14ac:dyDescent="0.3">
      <c r="A164" s="69" t="s">
        <v>131</v>
      </c>
      <c r="B164" s="56"/>
      <c r="C164" s="56"/>
      <c r="D164" s="504" t="s">
        <v>124</v>
      </c>
      <c r="E164" s="505"/>
      <c r="F164" s="506" t="s">
        <v>130</v>
      </c>
      <c r="G164" s="507"/>
      <c r="H164" s="508"/>
      <c r="I164" s="69" t="s">
        <v>131</v>
      </c>
    </row>
    <row r="165" spans="1:9" ht="15.75" hidden="1" customHeight="1" thickBot="1" x14ac:dyDescent="0.3">
      <c r="A165" s="69" t="s">
        <v>131</v>
      </c>
      <c r="B165" s="548"/>
      <c r="C165" s="527"/>
      <c r="D165" s="57" t="s">
        <v>125</v>
      </c>
      <c r="E165" s="58">
        <v>0.6</v>
      </c>
      <c r="F165" s="78">
        <v>10</v>
      </c>
      <c r="G165" s="79" t="s">
        <v>126</v>
      </c>
      <c r="H165" s="80">
        <v>115</v>
      </c>
      <c r="I165" s="69" t="s">
        <v>131</v>
      </c>
    </row>
    <row r="166" spans="1:9" ht="15" hidden="1" customHeight="1" x14ac:dyDescent="0.25">
      <c r="A166" s="69" t="s">
        <v>131</v>
      </c>
      <c r="B166" s="525"/>
      <c r="C166" s="528"/>
      <c r="D166" s="530"/>
      <c r="E166" s="533">
        <f>IF(D166=0,0,VLOOKUP($D166,$F165:$H174,3,FALSE)*$E165)</f>
        <v>0</v>
      </c>
      <c r="F166" s="72">
        <v>9</v>
      </c>
      <c r="G166" s="73" t="s">
        <v>126</v>
      </c>
      <c r="H166" s="74">
        <f>H165-5</f>
        <v>110</v>
      </c>
      <c r="I166" s="69" t="s">
        <v>131</v>
      </c>
    </row>
    <row r="167" spans="1:9" ht="15" hidden="1" customHeight="1" x14ac:dyDescent="0.25">
      <c r="A167" s="69" t="s">
        <v>131</v>
      </c>
      <c r="B167" s="525"/>
      <c r="C167" s="528"/>
      <c r="D167" s="531"/>
      <c r="E167" s="534"/>
      <c r="F167" s="72">
        <v>8</v>
      </c>
      <c r="G167" s="73" t="s">
        <v>126</v>
      </c>
      <c r="H167" s="74">
        <f t="shared" ref="H167:H174" si="5">H166-5</f>
        <v>105</v>
      </c>
      <c r="I167" s="69" t="s">
        <v>131</v>
      </c>
    </row>
    <row r="168" spans="1:9" ht="15" hidden="1" customHeight="1" x14ac:dyDescent="0.25">
      <c r="A168" s="69" t="s">
        <v>131</v>
      </c>
      <c r="B168" s="525"/>
      <c r="C168" s="528"/>
      <c r="D168" s="531"/>
      <c r="E168" s="534"/>
      <c r="F168" s="72">
        <v>7</v>
      </c>
      <c r="G168" s="73" t="s">
        <v>126</v>
      </c>
      <c r="H168" s="74">
        <f t="shared" si="5"/>
        <v>100</v>
      </c>
      <c r="I168" s="69" t="s">
        <v>131</v>
      </c>
    </row>
    <row r="169" spans="1:9" ht="15" hidden="1" customHeight="1" x14ac:dyDescent="0.25">
      <c r="A169" s="69" t="s">
        <v>131</v>
      </c>
      <c r="B169" s="525"/>
      <c r="C169" s="528"/>
      <c r="D169" s="531"/>
      <c r="E169" s="534"/>
      <c r="F169" s="72">
        <v>6</v>
      </c>
      <c r="G169" s="73" t="s">
        <v>126</v>
      </c>
      <c r="H169" s="74">
        <f t="shared" si="5"/>
        <v>95</v>
      </c>
      <c r="I169" s="69" t="s">
        <v>131</v>
      </c>
    </row>
    <row r="170" spans="1:9" ht="15" hidden="1" customHeight="1" x14ac:dyDescent="0.25">
      <c r="A170" s="69" t="s">
        <v>131</v>
      </c>
      <c r="B170" s="525"/>
      <c r="C170" s="528"/>
      <c r="D170" s="531"/>
      <c r="E170" s="534"/>
      <c r="F170" s="72">
        <v>5</v>
      </c>
      <c r="G170" s="73" t="s">
        <v>126</v>
      </c>
      <c r="H170" s="74">
        <f t="shared" si="5"/>
        <v>90</v>
      </c>
      <c r="I170" s="69" t="s">
        <v>131</v>
      </c>
    </row>
    <row r="171" spans="1:9" ht="15" hidden="1" customHeight="1" x14ac:dyDescent="0.25">
      <c r="A171" s="69" t="s">
        <v>131</v>
      </c>
      <c r="B171" s="525"/>
      <c r="C171" s="528"/>
      <c r="D171" s="531"/>
      <c r="E171" s="534"/>
      <c r="F171" s="72">
        <v>4</v>
      </c>
      <c r="G171" s="73" t="s">
        <v>126</v>
      </c>
      <c r="H171" s="74">
        <f t="shared" si="5"/>
        <v>85</v>
      </c>
      <c r="I171" s="69" t="s">
        <v>131</v>
      </c>
    </row>
    <row r="172" spans="1:9" ht="15.75" hidden="1" customHeight="1" thickBot="1" x14ac:dyDescent="0.3">
      <c r="A172" s="69" t="s">
        <v>131</v>
      </c>
      <c r="B172" s="526"/>
      <c r="C172" s="529"/>
      <c r="D172" s="531"/>
      <c r="E172" s="534"/>
      <c r="F172" s="72">
        <v>3</v>
      </c>
      <c r="G172" s="73" t="s">
        <v>126</v>
      </c>
      <c r="H172" s="74">
        <f t="shared" si="5"/>
        <v>80</v>
      </c>
      <c r="I172" s="69" t="s">
        <v>131</v>
      </c>
    </row>
    <row r="173" spans="1:9" ht="15" hidden="1" customHeight="1" x14ac:dyDescent="0.25">
      <c r="A173" s="69" t="s">
        <v>131</v>
      </c>
      <c r="B173" s="541" t="s">
        <v>128</v>
      </c>
      <c r="C173" s="527"/>
      <c r="D173" s="531"/>
      <c r="E173" s="534"/>
      <c r="F173" s="72">
        <v>2</v>
      </c>
      <c r="G173" s="73" t="s">
        <v>126</v>
      </c>
      <c r="H173" s="74">
        <f t="shared" si="5"/>
        <v>75</v>
      </c>
      <c r="I173" s="69" t="s">
        <v>131</v>
      </c>
    </row>
    <row r="174" spans="1:9" ht="15.75" hidden="1" customHeight="1" thickBot="1" x14ac:dyDescent="0.3">
      <c r="A174" s="69" t="s">
        <v>131</v>
      </c>
      <c r="B174" s="542"/>
      <c r="C174" s="529"/>
      <c r="D174" s="532"/>
      <c r="E174" s="535"/>
      <c r="F174" s="75">
        <v>1</v>
      </c>
      <c r="G174" s="76" t="s">
        <v>126</v>
      </c>
      <c r="H174" s="77">
        <f t="shared" si="5"/>
        <v>70</v>
      </c>
      <c r="I174" s="69" t="s">
        <v>131</v>
      </c>
    </row>
    <row r="175" spans="1:9" ht="15" customHeight="1" x14ac:dyDescent="0.25">
      <c r="A175" s="69" t="s">
        <v>131</v>
      </c>
      <c r="B175" s="69" t="s">
        <v>131</v>
      </c>
      <c r="C175" s="69" t="s">
        <v>164</v>
      </c>
      <c r="D175" s="69" t="s">
        <v>131</v>
      </c>
      <c r="E175" s="69" t="s">
        <v>131</v>
      </c>
      <c r="F175" s="69" t="s">
        <v>131</v>
      </c>
      <c r="G175" s="69" t="s">
        <v>131</v>
      </c>
      <c r="H175" s="69" t="s">
        <v>131</v>
      </c>
      <c r="I175" s="69" t="s">
        <v>131</v>
      </c>
    </row>
    <row r="176" spans="1:9" ht="39.75" customHeight="1" thickBot="1" x14ac:dyDescent="0.3"/>
    <row r="177" spans="1:13" ht="15" customHeight="1" x14ac:dyDescent="0.25">
      <c r="B177" s="93" t="s">
        <v>120</v>
      </c>
      <c r="C177" s="94"/>
      <c r="D177" s="94"/>
      <c r="E177" s="94"/>
      <c r="F177" s="94"/>
      <c r="G177" s="499" t="s">
        <v>17</v>
      </c>
      <c r="H177" s="499"/>
      <c r="I177" s="500"/>
    </row>
    <row r="178" spans="1:13" ht="15" customHeight="1" thickBot="1" x14ac:dyDescent="0.3">
      <c r="B178" s="95" t="s">
        <v>253</v>
      </c>
      <c r="C178" s="96"/>
      <c r="D178" s="96"/>
      <c r="E178" s="96"/>
      <c r="F178" s="96"/>
      <c r="G178" s="501">
        <v>0.25</v>
      </c>
      <c r="H178" s="502"/>
      <c r="I178" s="503"/>
    </row>
    <row r="179" spans="1:13" ht="15" customHeight="1" thickBot="1" x14ac:dyDescent="0.3">
      <c r="A179" s="68" t="s">
        <v>131</v>
      </c>
      <c r="B179" s="64"/>
      <c r="C179" s="64"/>
      <c r="D179" s="64"/>
      <c r="E179" s="64"/>
      <c r="F179" s="64"/>
      <c r="G179" s="64"/>
      <c r="H179" s="64"/>
      <c r="I179" s="65" t="s">
        <v>131</v>
      </c>
    </row>
    <row r="180" spans="1:13" ht="15" customHeight="1" thickBot="1" x14ac:dyDescent="0.3">
      <c r="A180" s="65" t="s">
        <v>131</v>
      </c>
      <c r="B180" s="56" t="s">
        <v>119</v>
      </c>
      <c r="C180" s="56" t="s">
        <v>118</v>
      </c>
      <c r="D180" s="504" t="s">
        <v>124</v>
      </c>
      <c r="E180" s="505"/>
      <c r="F180" s="506" t="s">
        <v>127</v>
      </c>
      <c r="G180" s="507"/>
      <c r="H180" s="508"/>
      <c r="I180" s="65" t="s">
        <v>131</v>
      </c>
      <c r="K180" s="521" t="s">
        <v>129</v>
      </c>
      <c r="L180" s="522"/>
      <c r="M180" s="523"/>
    </row>
    <row r="181" spans="1:13" ht="15" customHeight="1" thickBot="1" x14ac:dyDescent="0.3">
      <c r="A181" s="65" t="s">
        <v>131</v>
      </c>
      <c r="B181" s="524">
        <v>1</v>
      </c>
      <c r="C181" s="527" t="s">
        <v>362</v>
      </c>
      <c r="D181" s="57" t="s">
        <v>125</v>
      </c>
      <c r="E181" s="58">
        <v>1</v>
      </c>
      <c r="F181" s="72">
        <v>1</v>
      </c>
      <c r="G181" s="144" t="s">
        <v>359</v>
      </c>
      <c r="H181" s="74">
        <v>115</v>
      </c>
      <c r="I181" s="65" t="s">
        <v>131</v>
      </c>
      <c r="K181" s="59" t="s">
        <v>118</v>
      </c>
      <c r="L181" s="60" t="s">
        <v>124</v>
      </c>
      <c r="M181" s="55" t="s">
        <v>128</v>
      </c>
    </row>
    <row r="182" spans="1:13" ht="15" customHeight="1" x14ac:dyDescent="0.25">
      <c r="A182" s="65" t="s">
        <v>131</v>
      </c>
      <c r="B182" s="525"/>
      <c r="C182" s="528"/>
      <c r="D182" s="544">
        <v>3</v>
      </c>
      <c r="E182" s="533">
        <f>IF(D182=0,0,VLOOKUP($D182,$F181:$H190,3,FALSE)*$E181)</f>
        <v>105</v>
      </c>
      <c r="F182" s="72">
        <v>2</v>
      </c>
      <c r="G182" s="144" t="s">
        <v>360</v>
      </c>
      <c r="H182" s="74">
        <v>110</v>
      </c>
      <c r="I182" s="65" t="s">
        <v>131</v>
      </c>
      <c r="K182" s="86">
        <v>1</v>
      </c>
      <c r="L182" s="87">
        <f>E182</f>
        <v>105</v>
      </c>
      <c r="M182" s="536">
        <f>SUM(L182:L186)</f>
        <v>105</v>
      </c>
    </row>
    <row r="183" spans="1:13" ht="15" customHeight="1" x14ac:dyDescent="0.25">
      <c r="A183" s="65" t="s">
        <v>131</v>
      </c>
      <c r="B183" s="525"/>
      <c r="C183" s="528"/>
      <c r="D183" s="545"/>
      <c r="E183" s="534"/>
      <c r="F183" s="72">
        <v>3</v>
      </c>
      <c r="G183" s="144" t="s">
        <v>254</v>
      </c>
      <c r="H183" s="74">
        <v>105</v>
      </c>
      <c r="I183" s="65" t="s">
        <v>131</v>
      </c>
      <c r="K183" s="88">
        <v>2</v>
      </c>
      <c r="L183" s="89">
        <f>E193</f>
        <v>0</v>
      </c>
      <c r="M183" s="536"/>
    </row>
    <row r="184" spans="1:13" ht="15" customHeight="1" x14ac:dyDescent="0.25">
      <c r="A184" s="65" t="s">
        <v>131</v>
      </c>
      <c r="B184" s="525"/>
      <c r="C184" s="528"/>
      <c r="D184" s="545"/>
      <c r="E184" s="534"/>
      <c r="F184" s="195">
        <v>4</v>
      </c>
      <c r="G184" s="199" t="s">
        <v>255</v>
      </c>
      <c r="H184" s="197">
        <v>100</v>
      </c>
      <c r="I184" s="65" t="s">
        <v>131</v>
      </c>
      <c r="K184" s="88">
        <v>3</v>
      </c>
      <c r="L184" s="89">
        <f>E203</f>
        <v>0</v>
      </c>
      <c r="M184" s="536"/>
    </row>
    <row r="185" spans="1:13" ht="15" customHeight="1" x14ac:dyDescent="0.25">
      <c r="A185" s="65" t="s">
        <v>131</v>
      </c>
      <c r="B185" s="525"/>
      <c r="C185" s="528"/>
      <c r="D185" s="545"/>
      <c r="E185" s="534"/>
      <c r="F185" s="72">
        <v>5</v>
      </c>
      <c r="G185" s="73" t="s">
        <v>256</v>
      </c>
      <c r="H185" s="74">
        <v>90</v>
      </c>
      <c r="I185" s="65" t="s">
        <v>131</v>
      </c>
      <c r="K185" s="88">
        <v>4</v>
      </c>
      <c r="L185" s="89">
        <f>E213</f>
        <v>0</v>
      </c>
      <c r="M185" s="536"/>
    </row>
    <row r="186" spans="1:13" ht="15" customHeight="1" thickBot="1" x14ac:dyDescent="0.3">
      <c r="A186" s="65" t="s">
        <v>131</v>
      </c>
      <c r="B186" s="525"/>
      <c r="C186" s="528"/>
      <c r="D186" s="545"/>
      <c r="E186" s="534"/>
      <c r="F186" s="72">
        <v>6</v>
      </c>
      <c r="G186" s="73" t="s">
        <v>257</v>
      </c>
      <c r="H186" s="74">
        <v>70</v>
      </c>
      <c r="I186" s="65" t="s">
        <v>131</v>
      </c>
      <c r="K186" s="90">
        <v>5</v>
      </c>
      <c r="L186" s="91">
        <f>E223</f>
        <v>0</v>
      </c>
      <c r="M186" s="537"/>
    </row>
    <row r="187" spans="1:13" ht="15" customHeight="1" thickBot="1" x14ac:dyDescent="0.3">
      <c r="A187" s="65" t="s">
        <v>131</v>
      </c>
      <c r="B187" s="525"/>
      <c r="C187" s="528"/>
      <c r="D187" s="545"/>
      <c r="E187" s="534"/>
      <c r="F187" s="72">
        <v>7</v>
      </c>
      <c r="G187" s="73" t="s">
        <v>361</v>
      </c>
      <c r="H187" s="74">
        <v>50</v>
      </c>
      <c r="I187" s="65" t="s">
        <v>131</v>
      </c>
    </row>
    <row r="188" spans="1:13" ht="15" customHeight="1" thickBot="1" x14ac:dyDescent="0.3">
      <c r="A188" s="65" t="s">
        <v>131</v>
      </c>
      <c r="B188" s="526"/>
      <c r="C188" s="529"/>
      <c r="D188" s="545"/>
      <c r="E188" s="534"/>
      <c r="F188" s="72"/>
      <c r="G188" s="73"/>
      <c r="H188" s="74"/>
      <c r="I188" s="65" t="s">
        <v>131</v>
      </c>
      <c r="K188" s="538" t="s">
        <v>62</v>
      </c>
      <c r="L188" s="539"/>
      <c r="M188" s="540"/>
    </row>
    <row r="189" spans="1:13" ht="15" customHeight="1" thickBot="1" x14ac:dyDescent="0.3">
      <c r="A189" s="65" t="s">
        <v>131</v>
      </c>
      <c r="B189" s="541" t="s">
        <v>128</v>
      </c>
      <c r="C189" s="569" t="s">
        <v>254</v>
      </c>
      <c r="D189" s="545"/>
      <c r="E189" s="534"/>
      <c r="F189" s="72"/>
      <c r="G189" s="73"/>
      <c r="H189" s="74"/>
      <c r="I189" s="65" t="s">
        <v>131</v>
      </c>
      <c r="K189" s="61" t="s">
        <v>36</v>
      </c>
      <c r="L189" s="62" t="s">
        <v>124</v>
      </c>
      <c r="M189" s="194" t="s">
        <v>128</v>
      </c>
    </row>
    <row r="190" spans="1:13" ht="15" customHeight="1" thickBot="1" x14ac:dyDescent="0.3">
      <c r="A190" s="65" t="s">
        <v>131</v>
      </c>
      <c r="B190" s="542"/>
      <c r="C190" s="570"/>
      <c r="D190" s="546"/>
      <c r="E190" s="535"/>
      <c r="F190" s="75"/>
      <c r="G190" s="76"/>
      <c r="H190" s="77"/>
      <c r="I190" s="65" t="s">
        <v>131</v>
      </c>
      <c r="K190" s="86">
        <v>1</v>
      </c>
      <c r="L190" s="87">
        <f>E237</f>
        <v>42</v>
      </c>
      <c r="M190" s="571">
        <f>SUM(L190:L196)</f>
        <v>110</v>
      </c>
    </row>
    <row r="191" spans="1:13" ht="15" hidden="1" customHeight="1" thickBot="1" x14ac:dyDescent="0.3">
      <c r="A191" s="65" t="s">
        <v>131</v>
      </c>
      <c r="B191" s="56" t="s">
        <v>119</v>
      </c>
      <c r="C191" s="56"/>
      <c r="D191" s="504" t="s">
        <v>124</v>
      </c>
      <c r="E191" s="505"/>
      <c r="F191" s="506" t="s">
        <v>127</v>
      </c>
      <c r="G191" s="507"/>
      <c r="H191" s="508"/>
      <c r="I191" s="65" t="s">
        <v>131</v>
      </c>
      <c r="K191" s="88">
        <v>2</v>
      </c>
      <c r="L191" s="89">
        <f>E247</f>
        <v>11.5</v>
      </c>
      <c r="M191" s="572"/>
    </row>
    <row r="192" spans="1:13" ht="15" hidden="1" customHeight="1" thickBot="1" x14ac:dyDescent="0.3">
      <c r="A192" s="65" t="s">
        <v>131</v>
      </c>
      <c r="B192" s="524">
        <v>2</v>
      </c>
      <c r="C192" s="527"/>
      <c r="D192" s="57" t="s">
        <v>125</v>
      </c>
      <c r="E192" s="58">
        <v>0.2</v>
      </c>
      <c r="F192" s="164"/>
      <c r="G192" s="73"/>
      <c r="H192" s="71"/>
      <c r="I192" s="65" t="s">
        <v>131</v>
      </c>
      <c r="K192" s="88">
        <v>3</v>
      </c>
      <c r="L192" s="89">
        <f>E257</f>
        <v>34.5</v>
      </c>
      <c r="M192" s="572"/>
    </row>
    <row r="193" spans="1:13" ht="15" hidden="1" customHeight="1" x14ac:dyDescent="0.25">
      <c r="A193" s="65" t="s">
        <v>131</v>
      </c>
      <c r="B193" s="525"/>
      <c r="C193" s="528"/>
      <c r="D193" s="544"/>
      <c r="E193" s="533">
        <f>IF(D193=0,0,VLOOKUP($D193,$F192:$H201,3,FALSE)*$E192)</f>
        <v>0</v>
      </c>
      <c r="F193" s="164"/>
      <c r="G193" s="73"/>
      <c r="H193" s="74"/>
      <c r="I193" s="65" t="s">
        <v>131</v>
      </c>
      <c r="K193" s="88">
        <v>4</v>
      </c>
      <c r="L193" s="89">
        <f>E267</f>
        <v>10.5</v>
      </c>
      <c r="M193" s="572"/>
    </row>
    <row r="194" spans="1:13" ht="15" hidden="1" customHeight="1" x14ac:dyDescent="0.25">
      <c r="A194" s="65" t="s">
        <v>131</v>
      </c>
      <c r="B194" s="525"/>
      <c r="C194" s="528"/>
      <c r="D194" s="545"/>
      <c r="E194" s="534"/>
      <c r="F194" s="200"/>
      <c r="G194" s="198"/>
      <c r="H194" s="197"/>
      <c r="I194" s="65" t="s">
        <v>131</v>
      </c>
      <c r="K194" s="88">
        <v>5</v>
      </c>
      <c r="L194" s="89">
        <f>E277</f>
        <v>11.5</v>
      </c>
      <c r="M194" s="572"/>
    </row>
    <row r="195" spans="1:13" ht="15" hidden="1" customHeight="1" x14ac:dyDescent="0.25">
      <c r="A195" s="65" t="s">
        <v>131</v>
      </c>
      <c r="B195" s="525"/>
      <c r="C195" s="528"/>
      <c r="D195" s="545"/>
      <c r="E195" s="534"/>
      <c r="F195" s="164"/>
      <c r="G195" s="73"/>
      <c r="H195" s="74"/>
      <c r="I195" s="65" t="s">
        <v>131</v>
      </c>
      <c r="K195" s="86">
        <v>6</v>
      </c>
      <c r="L195" s="89">
        <f>E287</f>
        <v>0</v>
      </c>
      <c r="M195" s="572"/>
    </row>
    <row r="196" spans="1:13" ht="15" hidden="1" customHeight="1" x14ac:dyDescent="0.25">
      <c r="A196" s="65" t="s">
        <v>131</v>
      </c>
      <c r="B196" s="525"/>
      <c r="C196" s="528"/>
      <c r="D196" s="545"/>
      <c r="E196" s="534"/>
      <c r="F196" s="164"/>
      <c r="G196" s="73"/>
      <c r="H196" s="74"/>
      <c r="I196" s="65" t="s">
        <v>131</v>
      </c>
      <c r="K196" s="88">
        <v>7</v>
      </c>
      <c r="L196" s="89">
        <f>E297</f>
        <v>0</v>
      </c>
      <c r="M196" s="573"/>
    </row>
    <row r="197" spans="1:13" ht="15" hidden="1" customHeight="1" x14ac:dyDescent="0.25">
      <c r="A197" s="65" t="s">
        <v>131</v>
      </c>
      <c r="B197" s="525"/>
      <c r="C197" s="528"/>
      <c r="D197" s="545"/>
      <c r="E197" s="534"/>
      <c r="F197" s="164"/>
      <c r="G197" s="167"/>
      <c r="H197" s="74"/>
      <c r="I197" s="65" t="s">
        <v>131</v>
      </c>
    </row>
    <row r="198" spans="1:13" ht="15" hidden="1" customHeight="1" x14ac:dyDescent="0.25">
      <c r="A198" s="65" t="s">
        <v>131</v>
      </c>
      <c r="B198" s="525"/>
      <c r="C198" s="528"/>
      <c r="D198" s="545"/>
      <c r="E198" s="534"/>
      <c r="F198" s="72"/>
      <c r="G198" s="73"/>
      <c r="H198" s="74"/>
      <c r="I198" s="65" t="s">
        <v>131</v>
      </c>
    </row>
    <row r="199" spans="1:13" ht="15" hidden="1" customHeight="1" thickBot="1" x14ac:dyDescent="0.3">
      <c r="A199" s="65" t="s">
        <v>131</v>
      </c>
      <c r="B199" s="526"/>
      <c r="C199" s="529"/>
      <c r="D199" s="545"/>
      <c r="E199" s="534"/>
      <c r="F199" s="72"/>
      <c r="G199" s="73"/>
      <c r="H199" s="74"/>
      <c r="I199" s="65" t="s">
        <v>131</v>
      </c>
    </row>
    <row r="200" spans="1:13" ht="15" hidden="1" customHeight="1" x14ac:dyDescent="0.25">
      <c r="A200" s="65" t="s">
        <v>131</v>
      </c>
      <c r="B200" s="541" t="s">
        <v>128</v>
      </c>
      <c r="C200" s="527"/>
      <c r="D200" s="545"/>
      <c r="E200" s="534"/>
      <c r="F200" s="72"/>
      <c r="G200" s="73"/>
      <c r="H200" s="74"/>
      <c r="I200" s="65" t="s">
        <v>131</v>
      </c>
    </row>
    <row r="201" spans="1:13" ht="15" hidden="1" customHeight="1" thickBot="1" x14ac:dyDescent="0.3">
      <c r="A201" s="65" t="s">
        <v>131</v>
      </c>
      <c r="B201" s="542"/>
      <c r="C201" s="529"/>
      <c r="D201" s="546"/>
      <c r="E201" s="535"/>
      <c r="F201" s="75"/>
      <c r="G201" s="76"/>
      <c r="H201" s="77"/>
      <c r="I201" s="65" t="s">
        <v>131</v>
      </c>
    </row>
    <row r="202" spans="1:13" ht="15" hidden="1" customHeight="1" thickBot="1" x14ac:dyDescent="0.3">
      <c r="A202" s="65" t="s">
        <v>131</v>
      </c>
      <c r="B202" s="524">
        <v>3</v>
      </c>
      <c r="C202" s="527"/>
      <c r="D202" s="57" t="s">
        <v>125</v>
      </c>
      <c r="E202" s="58">
        <v>0.2</v>
      </c>
      <c r="F202" s="164"/>
      <c r="G202" s="70"/>
      <c r="H202" s="71"/>
      <c r="I202" s="65" t="s">
        <v>131</v>
      </c>
    </row>
    <row r="203" spans="1:13" ht="15" hidden="1" customHeight="1" x14ac:dyDescent="0.25">
      <c r="A203" s="65" t="s">
        <v>131</v>
      </c>
      <c r="B203" s="525"/>
      <c r="C203" s="528"/>
      <c r="D203" s="544"/>
      <c r="E203" s="533">
        <f>IF(D203=0,0,VLOOKUP($D203,$F202:$H211,3,FALSE)*$E202)</f>
        <v>0</v>
      </c>
      <c r="F203" s="72"/>
      <c r="G203" s="73"/>
      <c r="H203" s="74"/>
      <c r="I203" s="65" t="s">
        <v>131</v>
      </c>
    </row>
    <row r="204" spans="1:13" ht="15" hidden="1" customHeight="1" x14ac:dyDescent="0.25">
      <c r="A204" s="65" t="s">
        <v>131</v>
      </c>
      <c r="B204" s="525"/>
      <c r="C204" s="528"/>
      <c r="D204" s="545"/>
      <c r="E204" s="534"/>
      <c r="F204" s="195"/>
      <c r="G204" s="198"/>
      <c r="H204" s="197"/>
      <c r="I204" s="65" t="s">
        <v>131</v>
      </c>
    </row>
    <row r="205" spans="1:13" ht="15" hidden="1" customHeight="1" x14ac:dyDescent="0.25">
      <c r="A205" s="65" t="s">
        <v>131</v>
      </c>
      <c r="B205" s="525"/>
      <c r="C205" s="528"/>
      <c r="D205" s="545"/>
      <c r="E205" s="534"/>
      <c r="F205" s="72"/>
      <c r="G205" s="73"/>
      <c r="H205" s="74"/>
      <c r="I205" s="65" t="s">
        <v>131</v>
      </c>
    </row>
    <row r="206" spans="1:13" ht="15" hidden="1" customHeight="1" x14ac:dyDescent="0.25">
      <c r="A206" s="65" t="s">
        <v>131</v>
      </c>
      <c r="B206" s="525"/>
      <c r="C206" s="528"/>
      <c r="D206" s="545"/>
      <c r="E206" s="534"/>
      <c r="F206" s="72"/>
      <c r="G206" s="73"/>
      <c r="H206" s="74"/>
      <c r="I206" s="65" t="s">
        <v>131</v>
      </c>
    </row>
    <row r="207" spans="1:13" ht="15" hidden="1" customHeight="1" x14ac:dyDescent="0.25">
      <c r="A207" s="65" t="s">
        <v>131</v>
      </c>
      <c r="B207" s="525"/>
      <c r="C207" s="528"/>
      <c r="D207" s="545"/>
      <c r="E207" s="534"/>
      <c r="F207" s="72"/>
      <c r="G207" s="167"/>
      <c r="H207" s="74"/>
      <c r="I207" s="65" t="s">
        <v>131</v>
      </c>
    </row>
    <row r="208" spans="1:13" ht="15" hidden="1" customHeight="1" x14ac:dyDescent="0.25">
      <c r="A208" s="65" t="s">
        <v>131</v>
      </c>
      <c r="B208" s="525"/>
      <c r="C208" s="528"/>
      <c r="D208" s="545"/>
      <c r="E208" s="534"/>
      <c r="F208" s="72"/>
      <c r="G208" s="73"/>
      <c r="H208" s="74"/>
      <c r="I208" s="65" t="s">
        <v>131</v>
      </c>
    </row>
    <row r="209" spans="1:9" ht="15" hidden="1" customHeight="1" thickBot="1" x14ac:dyDescent="0.3">
      <c r="A209" s="65" t="s">
        <v>131</v>
      </c>
      <c r="B209" s="526"/>
      <c r="C209" s="529"/>
      <c r="D209" s="545"/>
      <c r="E209" s="534"/>
      <c r="F209" s="72"/>
      <c r="G209" s="73"/>
      <c r="H209" s="74"/>
      <c r="I209" s="65" t="s">
        <v>131</v>
      </c>
    </row>
    <row r="210" spans="1:9" ht="15" hidden="1" customHeight="1" x14ac:dyDescent="0.25">
      <c r="A210" s="65" t="s">
        <v>131</v>
      </c>
      <c r="B210" s="541" t="s">
        <v>128</v>
      </c>
      <c r="C210" s="527"/>
      <c r="D210" s="545"/>
      <c r="E210" s="534"/>
      <c r="F210" s="72"/>
      <c r="G210" s="73"/>
      <c r="H210" s="74"/>
      <c r="I210" s="65" t="s">
        <v>131</v>
      </c>
    </row>
    <row r="211" spans="1:9" ht="15" hidden="1" customHeight="1" thickBot="1" x14ac:dyDescent="0.3">
      <c r="A211" s="65" t="s">
        <v>131</v>
      </c>
      <c r="B211" s="542"/>
      <c r="C211" s="529"/>
      <c r="D211" s="546"/>
      <c r="E211" s="535"/>
      <c r="F211" s="75"/>
      <c r="G211" s="76"/>
      <c r="H211" s="77"/>
      <c r="I211" s="65" t="s">
        <v>131</v>
      </c>
    </row>
    <row r="212" spans="1:9" ht="15" hidden="1" customHeight="1" thickBot="1" x14ac:dyDescent="0.3">
      <c r="A212" s="65" t="s">
        <v>131</v>
      </c>
      <c r="B212" s="524">
        <v>4</v>
      </c>
      <c r="C212" s="527"/>
      <c r="D212" s="57" t="s">
        <v>125</v>
      </c>
      <c r="E212" s="58"/>
      <c r="F212" s="164">
        <v>10</v>
      </c>
      <c r="G212" s="70" t="s">
        <v>126</v>
      </c>
      <c r="H212" s="71">
        <v>115</v>
      </c>
      <c r="I212" s="65" t="s">
        <v>131</v>
      </c>
    </row>
    <row r="213" spans="1:9" ht="15" hidden="1" customHeight="1" x14ac:dyDescent="0.25">
      <c r="A213" s="65" t="s">
        <v>131</v>
      </c>
      <c r="B213" s="525"/>
      <c r="C213" s="528"/>
      <c r="D213" s="530"/>
      <c r="E213" s="533">
        <f>IF(D213=0,0,VLOOKUP($D213,$F212:$H221,3,FALSE)*$E212)</f>
        <v>0</v>
      </c>
      <c r="F213" s="72">
        <v>9</v>
      </c>
      <c r="G213" s="73" t="s">
        <v>126</v>
      </c>
      <c r="H213" s="74">
        <f>H212-5</f>
        <v>110</v>
      </c>
      <c r="I213" s="65" t="s">
        <v>131</v>
      </c>
    </row>
    <row r="214" spans="1:9" ht="15" hidden="1" customHeight="1" x14ac:dyDescent="0.25">
      <c r="A214" s="65" t="s">
        <v>131</v>
      </c>
      <c r="B214" s="525"/>
      <c r="C214" s="528"/>
      <c r="D214" s="531"/>
      <c r="E214" s="534"/>
      <c r="F214" s="72">
        <v>8</v>
      </c>
      <c r="G214" s="73" t="s">
        <v>126</v>
      </c>
      <c r="H214" s="74">
        <f t="shared" ref="H214:H221" si="6">H213-5</f>
        <v>105</v>
      </c>
      <c r="I214" s="65" t="s">
        <v>131</v>
      </c>
    </row>
    <row r="215" spans="1:9" ht="15" hidden="1" customHeight="1" x14ac:dyDescent="0.25">
      <c r="A215" s="65" t="s">
        <v>131</v>
      </c>
      <c r="B215" s="525"/>
      <c r="C215" s="528"/>
      <c r="D215" s="531"/>
      <c r="E215" s="534"/>
      <c r="F215" s="72">
        <v>7</v>
      </c>
      <c r="G215" s="73" t="s">
        <v>126</v>
      </c>
      <c r="H215" s="74">
        <f t="shared" si="6"/>
        <v>100</v>
      </c>
      <c r="I215" s="65" t="s">
        <v>131</v>
      </c>
    </row>
    <row r="216" spans="1:9" ht="15" hidden="1" customHeight="1" x14ac:dyDescent="0.25">
      <c r="A216" s="65" t="s">
        <v>131</v>
      </c>
      <c r="B216" s="525"/>
      <c r="C216" s="528"/>
      <c r="D216" s="531"/>
      <c r="E216" s="534"/>
      <c r="F216" s="72">
        <v>6</v>
      </c>
      <c r="G216" s="73" t="s">
        <v>126</v>
      </c>
      <c r="H216" s="74">
        <f t="shared" si="6"/>
        <v>95</v>
      </c>
      <c r="I216" s="65" t="s">
        <v>131</v>
      </c>
    </row>
    <row r="217" spans="1:9" ht="15" hidden="1" customHeight="1" x14ac:dyDescent="0.25">
      <c r="A217" s="65" t="s">
        <v>131</v>
      </c>
      <c r="B217" s="525"/>
      <c r="C217" s="528"/>
      <c r="D217" s="531"/>
      <c r="E217" s="534"/>
      <c r="F217" s="72">
        <v>5</v>
      </c>
      <c r="G217" s="73" t="s">
        <v>126</v>
      </c>
      <c r="H217" s="74">
        <f t="shared" si="6"/>
        <v>90</v>
      </c>
      <c r="I217" s="65" t="s">
        <v>131</v>
      </c>
    </row>
    <row r="218" spans="1:9" ht="15" hidden="1" customHeight="1" x14ac:dyDescent="0.25">
      <c r="A218" s="65" t="s">
        <v>131</v>
      </c>
      <c r="B218" s="525"/>
      <c r="C218" s="528"/>
      <c r="D218" s="531"/>
      <c r="E218" s="534"/>
      <c r="F218" s="72">
        <v>4</v>
      </c>
      <c r="G218" s="73" t="s">
        <v>126</v>
      </c>
      <c r="H218" s="74">
        <f t="shared" si="6"/>
        <v>85</v>
      </c>
      <c r="I218" s="65" t="s">
        <v>131</v>
      </c>
    </row>
    <row r="219" spans="1:9" ht="15" hidden="1" customHeight="1" thickBot="1" x14ac:dyDescent="0.3">
      <c r="A219" s="65" t="s">
        <v>131</v>
      </c>
      <c r="B219" s="526"/>
      <c r="C219" s="529"/>
      <c r="D219" s="531"/>
      <c r="E219" s="534"/>
      <c r="F219" s="72">
        <v>3</v>
      </c>
      <c r="G219" s="73" t="s">
        <v>126</v>
      </c>
      <c r="H219" s="74">
        <f t="shared" si="6"/>
        <v>80</v>
      </c>
      <c r="I219" s="65" t="s">
        <v>131</v>
      </c>
    </row>
    <row r="220" spans="1:9" ht="15" hidden="1" customHeight="1" x14ac:dyDescent="0.25">
      <c r="A220" s="65" t="s">
        <v>131</v>
      </c>
      <c r="B220" s="541" t="s">
        <v>128</v>
      </c>
      <c r="C220" s="527"/>
      <c r="D220" s="531"/>
      <c r="E220" s="534"/>
      <c r="F220" s="72">
        <v>2</v>
      </c>
      <c r="G220" s="73" t="s">
        <v>126</v>
      </c>
      <c r="H220" s="74">
        <f t="shared" si="6"/>
        <v>75</v>
      </c>
      <c r="I220" s="65" t="s">
        <v>131</v>
      </c>
    </row>
    <row r="221" spans="1:9" ht="15" hidden="1" customHeight="1" thickBot="1" x14ac:dyDescent="0.3">
      <c r="A221" s="65" t="s">
        <v>131</v>
      </c>
      <c r="B221" s="542"/>
      <c r="C221" s="529"/>
      <c r="D221" s="532"/>
      <c r="E221" s="535"/>
      <c r="F221" s="75">
        <v>1</v>
      </c>
      <c r="G221" s="76" t="s">
        <v>126</v>
      </c>
      <c r="H221" s="77">
        <f t="shared" si="6"/>
        <v>70</v>
      </c>
      <c r="I221" s="65" t="s">
        <v>131</v>
      </c>
    </row>
    <row r="222" spans="1:9" ht="15" hidden="1" customHeight="1" thickBot="1" x14ac:dyDescent="0.3">
      <c r="A222" s="65" t="s">
        <v>131</v>
      </c>
      <c r="B222" s="548">
        <v>5</v>
      </c>
      <c r="C222" s="527"/>
      <c r="D222" s="57" t="s">
        <v>125</v>
      </c>
      <c r="E222" s="58"/>
      <c r="F222" s="78">
        <v>10</v>
      </c>
      <c r="G222" s="79" t="s">
        <v>126</v>
      </c>
      <c r="H222" s="80">
        <v>115</v>
      </c>
      <c r="I222" s="65" t="s">
        <v>131</v>
      </c>
    </row>
    <row r="223" spans="1:9" ht="15" hidden="1" customHeight="1" x14ac:dyDescent="0.25">
      <c r="A223" s="65" t="s">
        <v>131</v>
      </c>
      <c r="B223" s="525"/>
      <c r="C223" s="528"/>
      <c r="D223" s="530"/>
      <c r="E223" s="533">
        <f>IF(D223=0,0,VLOOKUP($D223,$F222:$H231,3,FALSE)*$E222)</f>
        <v>0</v>
      </c>
      <c r="F223" s="72">
        <v>9</v>
      </c>
      <c r="G223" s="73" t="s">
        <v>126</v>
      </c>
      <c r="H223" s="74">
        <f>H222-5</f>
        <v>110</v>
      </c>
      <c r="I223" s="65" t="s">
        <v>131</v>
      </c>
    </row>
    <row r="224" spans="1:9" ht="15" hidden="1" customHeight="1" x14ac:dyDescent="0.25">
      <c r="A224" s="65" t="s">
        <v>131</v>
      </c>
      <c r="B224" s="525"/>
      <c r="C224" s="528"/>
      <c r="D224" s="531"/>
      <c r="E224" s="534"/>
      <c r="F224" s="72">
        <v>8</v>
      </c>
      <c r="G224" s="73" t="s">
        <v>126</v>
      </c>
      <c r="H224" s="74">
        <f t="shared" ref="H224:H231" si="7">H223-5</f>
        <v>105</v>
      </c>
      <c r="I224" s="65" t="s">
        <v>131</v>
      </c>
    </row>
    <row r="225" spans="1:9" ht="15" hidden="1" customHeight="1" x14ac:dyDescent="0.25">
      <c r="A225" s="65" t="s">
        <v>131</v>
      </c>
      <c r="B225" s="525"/>
      <c r="C225" s="528"/>
      <c r="D225" s="531"/>
      <c r="E225" s="534"/>
      <c r="F225" s="72">
        <v>7</v>
      </c>
      <c r="G225" s="73" t="s">
        <v>126</v>
      </c>
      <c r="H225" s="74">
        <f t="shared" si="7"/>
        <v>100</v>
      </c>
      <c r="I225" s="65" t="s">
        <v>131</v>
      </c>
    </row>
    <row r="226" spans="1:9" ht="15" hidden="1" customHeight="1" x14ac:dyDescent="0.25">
      <c r="A226" s="65" t="s">
        <v>131</v>
      </c>
      <c r="B226" s="525"/>
      <c r="C226" s="528"/>
      <c r="D226" s="531"/>
      <c r="E226" s="534"/>
      <c r="F226" s="72">
        <v>6</v>
      </c>
      <c r="G226" s="73" t="s">
        <v>126</v>
      </c>
      <c r="H226" s="74">
        <f t="shared" si="7"/>
        <v>95</v>
      </c>
      <c r="I226" s="65" t="s">
        <v>131</v>
      </c>
    </row>
    <row r="227" spans="1:9" ht="15" hidden="1" customHeight="1" x14ac:dyDescent="0.25">
      <c r="A227" s="65" t="s">
        <v>131</v>
      </c>
      <c r="B227" s="525"/>
      <c r="C227" s="528"/>
      <c r="D227" s="531"/>
      <c r="E227" s="534"/>
      <c r="F227" s="72">
        <v>5</v>
      </c>
      <c r="G227" s="73" t="s">
        <v>126</v>
      </c>
      <c r="H227" s="74">
        <f t="shared" si="7"/>
        <v>90</v>
      </c>
      <c r="I227" s="65" t="s">
        <v>131</v>
      </c>
    </row>
    <row r="228" spans="1:9" ht="15" hidden="1" customHeight="1" x14ac:dyDescent="0.25">
      <c r="A228" s="65" t="s">
        <v>131</v>
      </c>
      <c r="B228" s="525"/>
      <c r="C228" s="528"/>
      <c r="D228" s="531"/>
      <c r="E228" s="534"/>
      <c r="F228" s="72">
        <v>4</v>
      </c>
      <c r="G228" s="73" t="s">
        <v>126</v>
      </c>
      <c r="H228" s="74">
        <f t="shared" si="7"/>
        <v>85</v>
      </c>
      <c r="I228" s="65" t="s">
        <v>131</v>
      </c>
    </row>
    <row r="229" spans="1:9" ht="15" hidden="1" customHeight="1" thickBot="1" x14ac:dyDescent="0.3">
      <c r="A229" s="65" t="s">
        <v>131</v>
      </c>
      <c r="B229" s="526"/>
      <c r="C229" s="529"/>
      <c r="D229" s="531"/>
      <c r="E229" s="534"/>
      <c r="F229" s="72">
        <v>3</v>
      </c>
      <c r="G229" s="73" t="s">
        <v>126</v>
      </c>
      <c r="H229" s="74">
        <f t="shared" si="7"/>
        <v>80</v>
      </c>
      <c r="I229" s="65" t="s">
        <v>131</v>
      </c>
    </row>
    <row r="230" spans="1:9" ht="15" hidden="1" customHeight="1" x14ac:dyDescent="0.25">
      <c r="A230" s="65" t="s">
        <v>131</v>
      </c>
      <c r="B230" s="541" t="s">
        <v>128</v>
      </c>
      <c r="C230" s="527"/>
      <c r="D230" s="531"/>
      <c r="E230" s="534"/>
      <c r="F230" s="72">
        <v>2</v>
      </c>
      <c r="G230" s="73" t="s">
        <v>126</v>
      </c>
      <c r="H230" s="74">
        <f t="shared" si="7"/>
        <v>75</v>
      </c>
      <c r="I230" s="65" t="s">
        <v>131</v>
      </c>
    </row>
    <row r="231" spans="1:9" ht="15" hidden="1" customHeight="1" thickBot="1" x14ac:dyDescent="0.3">
      <c r="A231" s="65"/>
      <c r="B231" s="542"/>
      <c r="C231" s="529"/>
      <c r="D231" s="532"/>
      <c r="E231" s="535"/>
      <c r="F231" s="75">
        <v>1</v>
      </c>
      <c r="G231" s="76" t="s">
        <v>126</v>
      </c>
      <c r="H231" s="77">
        <f t="shared" si="7"/>
        <v>70</v>
      </c>
      <c r="I231" s="65" t="s">
        <v>131</v>
      </c>
    </row>
    <row r="232" spans="1:9" ht="15" customHeight="1" thickBot="1" x14ac:dyDescent="0.3">
      <c r="A232" s="65" t="s">
        <v>131</v>
      </c>
      <c r="B232" s="65" t="s">
        <v>131</v>
      </c>
      <c r="C232" s="65"/>
      <c r="D232" s="65" t="s">
        <v>131</v>
      </c>
      <c r="E232" s="65" t="s">
        <v>131</v>
      </c>
      <c r="F232" s="65" t="s">
        <v>131</v>
      </c>
      <c r="G232" s="65" t="s">
        <v>131</v>
      </c>
      <c r="H232" s="65" t="s">
        <v>131</v>
      </c>
      <c r="I232" s="65" t="s">
        <v>131</v>
      </c>
    </row>
    <row r="233" spans="1:9" ht="15" customHeight="1" x14ac:dyDescent="0.25">
      <c r="A233" s="69" t="s">
        <v>131</v>
      </c>
      <c r="B233" s="125" t="s">
        <v>133</v>
      </c>
      <c r="C233" s="126"/>
      <c r="D233" s="126"/>
      <c r="E233" s="126"/>
      <c r="F233" s="126"/>
      <c r="G233" s="551" t="s">
        <v>17</v>
      </c>
      <c r="H233" s="552"/>
      <c r="I233" s="553"/>
    </row>
    <row r="234" spans="1:9" ht="15" customHeight="1" thickBot="1" x14ac:dyDescent="0.3">
      <c r="A234" s="69" t="s">
        <v>131</v>
      </c>
      <c r="B234" s="127" t="s">
        <v>253</v>
      </c>
      <c r="C234" s="128"/>
      <c r="D234" s="128"/>
      <c r="E234" s="128"/>
      <c r="F234" s="128"/>
      <c r="G234" s="554">
        <v>0.25</v>
      </c>
      <c r="H234" s="555"/>
      <c r="I234" s="556"/>
    </row>
    <row r="235" spans="1:9" ht="15" customHeight="1" thickBot="1" x14ac:dyDescent="0.3">
      <c r="A235" s="69" t="s">
        <v>131</v>
      </c>
      <c r="B235" s="56" t="s">
        <v>119</v>
      </c>
      <c r="C235" s="56"/>
      <c r="D235" s="504" t="s">
        <v>124</v>
      </c>
      <c r="E235" s="505"/>
      <c r="F235" s="506" t="s">
        <v>130</v>
      </c>
      <c r="G235" s="507"/>
      <c r="H235" s="508"/>
      <c r="I235" s="69" t="s">
        <v>131</v>
      </c>
    </row>
    <row r="236" spans="1:9" ht="15" customHeight="1" thickBot="1" x14ac:dyDescent="0.3">
      <c r="A236" s="69" t="s">
        <v>131</v>
      </c>
      <c r="B236" s="524">
        <v>1</v>
      </c>
      <c r="C236" s="527" t="s">
        <v>363</v>
      </c>
      <c r="D236" s="57" t="s">
        <v>125</v>
      </c>
      <c r="E236" s="58">
        <v>0.4</v>
      </c>
      <c r="F236" s="72">
        <v>1</v>
      </c>
      <c r="G236" s="144" t="s">
        <v>359</v>
      </c>
      <c r="H236" s="74">
        <v>115</v>
      </c>
      <c r="I236" s="69" t="s">
        <v>131</v>
      </c>
    </row>
    <row r="237" spans="1:9" ht="15" customHeight="1" x14ac:dyDescent="0.25">
      <c r="A237" s="69" t="s">
        <v>131</v>
      </c>
      <c r="B237" s="525"/>
      <c r="C237" s="528"/>
      <c r="D237" s="544">
        <v>3</v>
      </c>
      <c r="E237" s="533">
        <f>IF(D237=0,0,VLOOKUP($D237,$F236:$H245,3,FALSE)*$E236)</f>
        <v>42</v>
      </c>
      <c r="F237" s="72">
        <v>2</v>
      </c>
      <c r="G237" s="144" t="s">
        <v>360</v>
      </c>
      <c r="H237" s="74">
        <v>110</v>
      </c>
      <c r="I237" s="69" t="s">
        <v>131</v>
      </c>
    </row>
    <row r="238" spans="1:9" ht="15" customHeight="1" x14ac:dyDescent="0.25">
      <c r="A238" s="69" t="s">
        <v>131</v>
      </c>
      <c r="B238" s="525"/>
      <c r="C238" s="528"/>
      <c r="D238" s="545"/>
      <c r="E238" s="534"/>
      <c r="F238" s="72">
        <v>3</v>
      </c>
      <c r="G238" s="144" t="s">
        <v>254</v>
      </c>
      <c r="H238" s="74">
        <v>105</v>
      </c>
      <c r="I238" s="69" t="s">
        <v>131</v>
      </c>
    </row>
    <row r="239" spans="1:9" ht="15" customHeight="1" x14ac:dyDescent="0.25">
      <c r="A239" s="69" t="s">
        <v>131</v>
      </c>
      <c r="B239" s="525"/>
      <c r="C239" s="528"/>
      <c r="D239" s="545"/>
      <c r="E239" s="534"/>
      <c r="F239" s="195">
        <v>4</v>
      </c>
      <c r="G239" s="199" t="s">
        <v>255</v>
      </c>
      <c r="H239" s="197">
        <v>100</v>
      </c>
      <c r="I239" s="69" t="s">
        <v>131</v>
      </c>
    </row>
    <row r="240" spans="1:9" ht="15" customHeight="1" x14ac:dyDescent="0.25">
      <c r="A240" s="69" t="s">
        <v>131</v>
      </c>
      <c r="B240" s="525"/>
      <c r="C240" s="528"/>
      <c r="D240" s="545"/>
      <c r="E240" s="534"/>
      <c r="F240" s="72">
        <v>5</v>
      </c>
      <c r="G240" s="73" t="s">
        <v>256</v>
      </c>
      <c r="H240" s="74">
        <v>90</v>
      </c>
      <c r="I240" s="69" t="s">
        <v>131</v>
      </c>
    </row>
    <row r="241" spans="1:9" ht="15" customHeight="1" x14ac:dyDescent="0.25">
      <c r="A241" s="69" t="s">
        <v>131</v>
      </c>
      <c r="B241" s="525"/>
      <c r="C241" s="528"/>
      <c r="D241" s="545"/>
      <c r="E241" s="534"/>
      <c r="F241" s="72">
        <v>6</v>
      </c>
      <c r="G241" s="73" t="s">
        <v>257</v>
      </c>
      <c r="H241" s="74">
        <v>70</v>
      </c>
      <c r="I241" s="69" t="s">
        <v>131</v>
      </c>
    </row>
    <row r="242" spans="1:9" ht="15" customHeight="1" x14ac:dyDescent="0.25">
      <c r="A242" s="69" t="s">
        <v>131</v>
      </c>
      <c r="B242" s="525"/>
      <c r="C242" s="528"/>
      <c r="D242" s="545"/>
      <c r="E242" s="534"/>
      <c r="F242" s="72">
        <v>7</v>
      </c>
      <c r="G242" s="73" t="s">
        <v>361</v>
      </c>
      <c r="H242" s="74">
        <v>50</v>
      </c>
      <c r="I242" s="69" t="s">
        <v>131</v>
      </c>
    </row>
    <row r="243" spans="1:9" ht="15" customHeight="1" thickBot="1" x14ac:dyDescent="0.3">
      <c r="A243" s="69" t="s">
        <v>131</v>
      </c>
      <c r="B243" s="526"/>
      <c r="C243" s="529"/>
      <c r="D243" s="545"/>
      <c r="E243" s="534"/>
      <c r="F243" s="72"/>
      <c r="G243" s="73"/>
      <c r="H243" s="74"/>
      <c r="I243" s="69" t="s">
        <v>131</v>
      </c>
    </row>
    <row r="244" spans="1:9" ht="15" customHeight="1" x14ac:dyDescent="0.25">
      <c r="A244" s="69" t="s">
        <v>131</v>
      </c>
      <c r="B244" s="541" t="s">
        <v>128</v>
      </c>
      <c r="C244" s="569" t="s">
        <v>254</v>
      </c>
      <c r="D244" s="545"/>
      <c r="E244" s="534"/>
      <c r="F244" s="72"/>
      <c r="G244" s="73"/>
      <c r="H244" s="74"/>
      <c r="I244" s="69" t="s">
        <v>131</v>
      </c>
    </row>
    <row r="245" spans="1:9" ht="15" customHeight="1" thickBot="1" x14ac:dyDescent="0.3">
      <c r="A245" s="69" t="s">
        <v>131</v>
      </c>
      <c r="B245" s="542"/>
      <c r="C245" s="570"/>
      <c r="D245" s="546"/>
      <c r="E245" s="535"/>
      <c r="F245" s="75"/>
      <c r="G245" s="76"/>
      <c r="H245" s="77"/>
      <c r="I245" s="69" t="s">
        <v>131</v>
      </c>
    </row>
    <row r="246" spans="1:9" ht="15" customHeight="1" thickBot="1" x14ac:dyDescent="0.3">
      <c r="A246" s="69" t="s">
        <v>131</v>
      </c>
      <c r="B246" s="524">
        <v>2</v>
      </c>
      <c r="C246" s="527" t="s">
        <v>258</v>
      </c>
      <c r="D246" s="57" t="s">
        <v>125</v>
      </c>
      <c r="E246" s="58">
        <v>0.1</v>
      </c>
      <c r="F246" s="164">
        <v>1</v>
      </c>
      <c r="G246" s="70" t="s">
        <v>189</v>
      </c>
      <c r="H246" s="71">
        <v>115</v>
      </c>
      <c r="I246" s="69" t="s">
        <v>131</v>
      </c>
    </row>
    <row r="247" spans="1:9" ht="15" customHeight="1" x14ac:dyDescent="0.25">
      <c r="A247" s="69" t="s">
        <v>131</v>
      </c>
      <c r="B247" s="525"/>
      <c r="C247" s="528"/>
      <c r="D247" s="544">
        <v>1</v>
      </c>
      <c r="E247" s="533">
        <f>IF(D247=0,0,VLOOKUP($D247,$F246:$H255,3,FALSE)*$E246)</f>
        <v>11.5</v>
      </c>
      <c r="F247" s="195">
        <v>2</v>
      </c>
      <c r="G247" s="198" t="s">
        <v>185</v>
      </c>
      <c r="H247" s="197">
        <v>100</v>
      </c>
      <c r="I247" s="69" t="s">
        <v>131</v>
      </c>
    </row>
    <row r="248" spans="1:9" ht="15" customHeight="1" x14ac:dyDescent="0.25">
      <c r="A248" s="69" t="s">
        <v>131</v>
      </c>
      <c r="B248" s="525"/>
      <c r="C248" s="528"/>
      <c r="D248" s="545"/>
      <c r="E248" s="534"/>
      <c r="F248" s="72">
        <v>3</v>
      </c>
      <c r="G248" s="73" t="s">
        <v>190</v>
      </c>
      <c r="H248" s="74">
        <v>95</v>
      </c>
      <c r="I248" s="69" t="s">
        <v>131</v>
      </c>
    </row>
    <row r="249" spans="1:9" ht="15" customHeight="1" x14ac:dyDescent="0.25">
      <c r="A249" s="69" t="s">
        <v>131</v>
      </c>
      <c r="B249" s="525"/>
      <c r="C249" s="528"/>
      <c r="D249" s="545"/>
      <c r="E249" s="534"/>
      <c r="F249" s="72">
        <v>4</v>
      </c>
      <c r="G249" s="73" t="s">
        <v>191</v>
      </c>
      <c r="H249" s="74">
        <v>90</v>
      </c>
      <c r="I249" s="69" t="s">
        <v>131</v>
      </c>
    </row>
    <row r="250" spans="1:9" ht="15" customHeight="1" x14ac:dyDescent="0.25">
      <c r="A250" s="69" t="s">
        <v>131</v>
      </c>
      <c r="B250" s="525"/>
      <c r="C250" s="528"/>
      <c r="D250" s="545"/>
      <c r="E250" s="534"/>
      <c r="F250" s="72">
        <v>5</v>
      </c>
      <c r="G250" s="73" t="s">
        <v>259</v>
      </c>
      <c r="H250" s="74">
        <v>80</v>
      </c>
      <c r="I250" s="69" t="s">
        <v>131</v>
      </c>
    </row>
    <row r="251" spans="1:9" ht="15" customHeight="1" x14ac:dyDescent="0.25">
      <c r="A251" s="69" t="s">
        <v>131</v>
      </c>
      <c r="B251" s="525"/>
      <c r="C251" s="528"/>
      <c r="D251" s="545"/>
      <c r="E251" s="534"/>
      <c r="F251" s="72">
        <v>6</v>
      </c>
      <c r="G251" s="73" t="s">
        <v>260</v>
      </c>
      <c r="H251" s="74">
        <v>70</v>
      </c>
      <c r="I251" s="69" t="s">
        <v>131</v>
      </c>
    </row>
    <row r="252" spans="1:9" ht="15" customHeight="1" x14ac:dyDescent="0.25">
      <c r="A252" s="69" t="s">
        <v>131</v>
      </c>
      <c r="B252" s="525"/>
      <c r="C252" s="528"/>
      <c r="D252" s="545"/>
      <c r="E252" s="534"/>
      <c r="F252" s="72">
        <v>7</v>
      </c>
      <c r="G252" s="73" t="s">
        <v>261</v>
      </c>
      <c r="H252" s="74">
        <v>50</v>
      </c>
      <c r="I252" s="69" t="s">
        <v>131</v>
      </c>
    </row>
    <row r="253" spans="1:9" ht="15" customHeight="1" thickBot="1" x14ac:dyDescent="0.3">
      <c r="A253" s="69" t="s">
        <v>131</v>
      </c>
      <c r="B253" s="526"/>
      <c r="C253" s="529"/>
      <c r="D253" s="545"/>
      <c r="E253" s="534"/>
      <c r="F253" s="72"/>
      <c r="G253" s="167" t="s">
        <v>186</v>
      </c>
      <c r="H253" s="74"/>
      <c r="I253" s="69" t="s">
        <v>131</v>
      </c>
    </row>
    <row r="254" spans="1:9" ht="15" customHeight="1" x14ac:dyDescent="0.25">
      <c r="A254" s="69" t="s">
        <v>131</v>
      </c>
      <c r="B254" s="541" t="s">
        <v>128</v>
      </c>
      <c r="C254" s="527" t="s">
        <v>189</v>
      </c>
      <c r="D254" s="545"/>
      <c r="E254" s="534"/>
      <c r="F254" s="72"/>
      <c r="G254" s="73"/>
      <c r="H254" s="74"/>
      <c r="I254" s="69" t="s">
        <v>131</v>
      </c>
    </row>
    <row r="255" spans="1:9" ht="15" customHeight="1" thickBot="1" x14ac:dyDescent="0.3">
      <c r="A255" s="69" t="s">
        <v>131</v>
      </c>
      <c r="B255" s="542"/>
      <c r="C255" s="529"/>
      <c r="D255" s="546"/>
      <c r="E255" s="535"/>
      <c r="F255" s="75"/>
      <c r="G255" s="76"/>
      <c r="H255" s="77"/>
      <c r="I255" s="69" t="s">
        <v>131</v>
      </c>
    </row>
    <row r="256" spans="1:9" ht="15" customHeight="1" thickBot="1" x14ac:dyDescent="0.3">
      <c r="A256" s="69" t="s">
        <v>131</v>
      </c>
      <c r="B256" s="524">
        <v>3</v>
      </c>
      <c r="C256" s="527" t="s">
        <v>262</v>
      </c>
      <c r="D256" s="57" t="s">
        <v>125</v>
      </c>
      <c r="E256" s="58">
        <v>0.3</v>
      </c>
      <c r="F256" s="164">
        <v>1</v>
      </c>
      <c r="G256" s="70" t="s">
        <v>189</v>
      </c>
      <c r="H256" s="71">
        <v>115</v>
      </c>
      <c r="I256" s="69" t="s">
        <v>131</v>
      </c>
    </row>
    <row r="257" spans="1:9" ht="15" customHeight="1" x14ac:dyDescent="0.25">
      <c r="A257" s="69" t="s">
        <v>131</v>
      </c>
      <c r="B257" s="525"/>
      <c r="C257" s="528"/>
      <c r="D257" s="544">
        <v>1</v>
      </c>
      <c r="E257" s="533">
        <f>IF(D257=0,0,VLOOKUP($D257,$F256:$H265,3,FALSE)*$E256)</f>
        <v>34.5</v>
      </c>
      <c r="F257" s="195">
        <v>2</v>
      </c>
      <c r="G257" s="198" t="s">
        <v>185</v>
      </c>
      <c r="H257" s="197">
        <v>100</v>
      </c>
      <c r="I257" s="69" t="s">
        <v>131</v>
      </c>
    </row>
    <row r="258" spans="1:9" ht="15" customHeight="1" x14ac:dyDescent="0.25">
      <c r="A258" s="69" t="s">
        <v>131</v>
      </c>
      <c r="B258" s="525"/>
      <c r="C258" s="528"/>
      <c r="D258" s="545"/>
      <c r="E258" s="534"/>
      <c r="F258" s="72">
        <v>3</v>
      </c>
      <c r="G258" s="73" t="s">
        <v>190</v>
      </c>
      <c r="H258" s="74">
        <v>95</v>
      </c>
      <c r="I258" s="69" t="s">
        <v>131</v>
      </c>
    </row>
    <row r="259" spans="1:9" ht="15" customHeight="1" x14ac:dyDescent="0.25">
      <c r="A259" s="69" t="s">
        <v>131</v>
      </c>
      <c r="B259" s="525"/>
      <c r="C259" s="528"/>
      <c r="D259" s="545"/>
      <c r="E259" s="534"/>
      <c r="F259" s="72">
        <v>4</v>
      </c>
      <c r="G259" s="73" t="s">
        <v>191</v>
      </c>
      <c r="H259" s="74">
        <v>90</v>
      </c>
      <c r="I259" s="69" t="s">
        <v>131</v>
      </c>
    </row>
    <row r="260" spans="1:9" ht="15" customHeight="1" x14ac:dyDescent="0.25">
      <c r="A260" s="69" t="s">
        <v>131</v>
      </c>
      <c r="B260" s="525"/>
      <c r="C260" s="528"/>
      <c r="D260" s="545"/>
      <c r="E260" s="534"/>
      <c r="F260" s="72">
        <v>5</v>
      </c>
      <c r="G260" s="73" t="s">
        <v>259</v>
      </c>
      <c r="H260" s="74">
        <v>80</v>
      </c>
      <c r="I260" s="69" t="s">
        <v>131</v>
      </c>
    </row>
    <row r="261" spans="1:9" ht="15" customHeight="1" x14ac:dyDescent="0.25">
      <c r="A261" s="69" t="s">
        <v>131</v>
      </c>
      <c r="B261" s="525"/>
      <c r="C261" s="528"/>
      <c r="D261" s="545"/>
      <c r="E261" s="534"/>
      <c r="F261" s="72">
        <v>6</v>
      </c>
      <c r="G261" s="73" t="s">
        <v>260</v>
      </c>
      <c r="H261" s="74">
        <v>70</v>
      </c>
      <c r="I261" s="69" t="s">
        <v>131</v>
      </c>
    </row>
    <row r="262" spans="1:9" ht="15" customHeight="1" x14ac:dyDescent="0.25">
      <c r="A262" s="69" t="s">
        <v>131</v>
      </c>
      <c r="B262" s="525"/>
      <c r="C262" s="528"/>
      <c r="D262" s="545"/>
      <c r="E262" s="534"/>
      <c r="F262" s="72">
        <v>7</v>
      </c>
      <c r="G262" s="73" t="s">
        <v>261</v>
      </c>
      <c r="H262" s="74">
        <v>50</v>
      </c>
      <c r="I262" s="69" t="s">
        <v>131</v>
      </c>
    </row>
    <row r="263" spans="1:9" ht="15" customHeight="1" thickBot="1" x14ac:dyDescent="0.3">
      <c r="A263" s="69" t="s">
        <v>131</v>
      </c>
      <c r="B263" s="526"/>
      <c r="C263" s="529"/>
      <c r="D263" s="545"/>
      <c r="E263" s="534"/>
      <c r="F263" s="72"/>
      <c r="G263" s="167" t="s">
        <v>186</v>
      </c>
      <c r="H263" s="74"/>
      <c r="I263" s="69" t="s">
        <v>131</v>
      </c>
    </row>
    <row r="264" spans="1:9" ht="15" customHeight="1" x14ac:dyDescent="0.25">
      <c r="A264" s="69" t="s">
        <v>131</v>
      </c>
      <c r="B264" s="541" t="s">
        <v>128</v>
      </c>
      <c r="C264" s="527" t="s">
        <v>189</v>
      </c>
      <c r="D264" s="545"/>
      <c r="E264" s="534"/>
      <c r="F264" s="72"/>
      <c r="G264" s="73"/>
      <c r="H264" s="74"/>
      <c r="I264" s="69" t="s">
        <v>131</v>
      </c>
    </row>
    <row r="265" spans="1:9" ht="15" customHeight="1" thickBot="1" x14ac:dyDescent="0.3">
      <c r="A265" s="69" t="s">
        <v>131</v>
      </c>
      <c r="B265" s="542"/>
      <c r="C265" s="529"/>
      <c r="D265" s="546"/>
      <c r="E265" s="535"/>
      <c r="F265" s="75"/>
      <c r="G265" s="76"/>
      <c r="H265" s="77"/>
      <c r="I265" s="69" t="s">
        <v>131</v>
      </c>
    </row>
    <row r="266" spans="1:9" ht="15" customHeight="1" thickBot="1" x14ac:dyDescent="0.3">
      <c r="A266" s="69" t="s">
        <v>131</v>
      </c>
      <c r="B266" s="524">
        <v>4</v>
      </c>
      <c r="C266" s="527" t="s">
        <v>364</v>
      </c>
      <c r="D266" s="57" t="s">
        <v>125</v>
      </c>
      <c r="E266" s="58">
        <v>0.1</v>
      </c>
      <c r="F266" s="72">
        <v>1</v>
      </c>
      <c r="G266" s="144" t="s">
        <v>359</v>
      </c>
      <c r="H266" s="74">
        <v>115</v>
      </c>
      <c r="I266" s="69" t="s">
        <v>131</v>
      </c>
    </row>
    <row r="267" spans="1:9" ht="15" customHeight="1" x14ac:dyDescent="0.25">
      <c r="A267" s="69" t="s">
        <v>131</v>
      </c>
      <c r="B267" s="525"/>
      <c r="C267" s="528"/>
      <c r="D267" s="544">
        <v>3</v>
      </c>
      <c r="E267" s="533">
        <f>IF(D267=0,0,VLOOKUP($D267,$F266:$H275,3,FALSE)*$E266)</f>
        <v>10.5</v>
      </c>
      <c r="F267" s="72">
        <v>2</v>
      </c>
      <c r="G267" s="144" t="s">
        <v>360</v>
      </c>
      <c r="H267" s="74">
        <v>110</v>
      </c>
      <c r="I267" s="69" t="s">
        <v>131</v>
      </c>
    </row>
    <row r="268" spans="1:9" ht="15" customHeight="1" x14ac:dyDescent="0.25">
      <c r="A268" s="69" t="s">
        <v>131</v>
      </c>
      <c r="B268" s="525"/>
      <c r="C268" s="528"/>
      <c r="D268" s="545"/>
      <c r="E268" s="534"/>
      <c r="F268" s="72">
        <v>3</v>
      </c>
      <c r="G268" s="144" t="s">
        <v>254</v>
      </c>
      <c r="H268" s="74">
        <v>105</v>
      </c>
      <c r="I268" s="69" t="s">
        <v>131</v>
      </c>
    </row>
    <row r="269" spans="1:9" ht="15" customHeight="1" x14ac:dyDescent="0.25">
      <c r="A269" s="69" t="s">
        <v>131</v>
      </c>
      <c r="B269" s="525"/>
      <c r="C269" s="528"/>
      <c r="D269" s="545"/>
      <c r="E269" s="534"/>
      <c r="F269" s="195">
        <v>4</v>
      </c>
      <c r="G269" s="199" t="s">
        <v>255</v>
      </c>
      <c r="H269" s="197">
        <v>100</v>
      </c>
      <c r="I269" s="69" t="s">
        <v>131</v>
      </c>
    </row>
    <row r="270" spans="1:9" ht="15" customHeight="1" x14ac:dyDescent="0.25">
      <c r="A270" s="69" t="s">
        <v>131</v>
      </c>
      <c r="B270" s="525"/>
      <c r="C270" s="528"/>
      <c r="D270" s="545"/>
      <c r="E270" s="534"/>
      <c r="F270" s="72">
        <v>5</v>
      </c>
      <c r="G270" s="73" t="s">
        <v>256</v>
      </c>
      <c r="H270" s="74">
        <v>90</v>
      </c>
      <c r="I270" s="69" t="s">
        <v>131</v>
      </c>
    </row>
    <row r="271" spans="1:9" ht="15" customHeight="1" x14ac:dyDescent="0.25">
      <c r="A271" s="69" t="s">
        <v>131</v>
      </c>
      <c r="B271" s="525"/>
      <c r="C271" s="528"/>
      <c r="D271" s="545"/>
      <c r="E271" s="534"/>
      <c r="F271" s="72">
        <v>6</v>
      </c>
      <c r="G271" s="73" t="s">
        <v>257</v>
      </c>
      <c r="H271" s="74">
        <v>70</v>
      </c>
      <c r="I271" s="69" t="s">
        <v>131</v>
      </c>
    </row>
    <row r="272" spans="1:9" ht="15" customHeight="1" x14ac:dyDescent="0.25">
      <c r="A272" s="69" t="s">
        <v>131</v>
      </c>
      <c r="B272" s="525"/>
      <c r="C272" s="528"/>
      <c r="D272" s="545"/>
      <c r="E272" s="534"/>
      <c r="F272" s="72">
        <v>7</v>
      </c>
      <c r="G272" s="73" t="s">
        <v>361</v>
      </c>
      <c r="H272" s="74">
        <v>50</v>
      </c>
      <c r="I272" s="69" t="s">
        <v>131</v>
      </c>
    </row>
    <row r="273" spans="1:9" ht="15" customHeight="1" thickBot="1" x14ac:dyDescent="0.3">
      <c r="A273" s="69" t="s">
        <v>131</v>
      </c>
      <c r="B273" s="526"/>
      <c r="C273" s="529"/>
      <c r="D273" s="545"/>
      <c r="E273" s="534"/>
      <c r="F273" s="72"/>
      <c r="G273" s="73"/>
      <c r="H273" s="74"/>
      <c r="I273" s="69" t="s">
        <v>131</v>
      </c>
    </row>
    <row r="274" spans="1:9" ht="15" customHeight="1" x14ac:dyDescent="0.25">
      <c r="A274" s="69" t="s">
        <v>131</v>
      </c>
      <c r="B274" s="541" t="s">
        <v>128</v>
      </c>
      <c r="C274" s="569" t="s">
        <v>254</v>
      </c>
      <c r="D274" s="545"/>
      <c r="E274" s="534"/>
      <c r="F274" s="72"/>
      <c r="G274" s="73"/>
      <c r="H274" s="74"/>
      <c r="I274" s="69" t="s">
        <v>131</v>
      </c>
    </row>
    <row r="275" spans="1:9" ht="15" customHeight="1" thickBot="1" x14ac:dyDescent="0.3">
      <c r="A275" s="69" t="s">
        <v>131</v>
      </c>
      <c r="B275" s="542"/>
      <c r="C275" s="570"/>
      <c r="D275" s="546"/>
      <c r="E275" s="535"/>
      <c r="F275" s="75"/>
      <c r="G275" s="76"/>
      <c r="H275" s="77"/>
      <c r="I275" s="69" t="s">
        <v>131</v>
      </c>
    </row>
    <row r="276" spans="1:9" ht="15" customHeight="1" thickBot="1" x14ac:dyDescent="0.3">
      <c r="A276" s="69" t="s">
        <v>131</v>
      </c>
      <c r="B276" s="548">
        <v>5</v>
      </c>
      <c r="C276" s="527" t="s">
        <v>570</v>
      </c>
      <c r="D276" s="193" t="s">
        <v>125</v>
      </c>
      <c r="E276" s="58">
        <v>0.1</v>
      </c>
      <c r="F276" s="78">
        <v>1</v>
      </c>
      <c r="G276" s="79" t="s">
        <v>168</v>
      </c>
      <c r="H276" s="80">
        <v>115</v>
      </c>
      <c r="I276" s="69" t="s">
        <v>131</v>
      </c>
    </row>
    <row r="277" spans="1:9" ht="15" customHeight="1" x14ac:dyDescent="0.25">
      <c r="A277" s="69" t="s">
        <v>131</v>
      </c>
      <c r="B277" s="525"/>
      <c r="C277" s="528"/>
      <c r="D277" s="544">
        <v>1</v>
      </c>
      <c r="E277" s="533">
        <f>IF(D277=0,0,VLOOKUP($D277,$F276:$H285,3,FALSE)*$E276)</f>
        <v>11.5</v>
      </c>
      <c r="F277" s="195">
        <v>2</v>
      </c>
      <c r="G277" s="198" t="s">
        <v>169</v>
      </c>
      <c r="H277" s="197">
        <v>100</v>
      </c>
      <c r="I277" s="69" t="s">
        <v>131</v>
      </c>
    </row>
    <row r="278" spans="1:9" ht="15" customHeight="1" x14ac:dyDescent="0.25">
      <c r="A278" s="69" t="s">
        <v>131</v>
      </c>
      <c r="B278" s="525"/>
      <c r="C278" s="528"/>
      <c r="D278" s="545"/>
      <c r="E278" s="534"/>
      <c r="F278" s="72">
        <v>3</v>
      </c>
      <c r="G278" s="73" t="s">
        <v>170</v>
      </c>
      <c r="H278" s="74">
        <v>90</v>
      </c>
      <c r="I278" s="69" t="s">
        <v>131</v>
      </c>
    </row>
    <row r="279" spans="1:9" ht="15" customHeight="1" x14ac:dyDescent="0.25">
      <c r="A279" s="69" t="s">
        <v>131</v>
      </c>
      <c r="B279" s="525"/>
      <c r="C279" s="528"/>
      <c r="D279" s="545"/>
      <c r="E279" s="534"/>
      <c r="F279" s="72">
        <v>4</v>
      </c>
      <c r="G279" s="73" t="s">
        <v>171</v>
      </c>
      <c r="H279" s="74">
        <v>50</v>
      </c>
      <c r="I279" s="69" t="s">
        <v>131</v>
      </c>
    </row>
    <row r="280" spans="1:9" ht="15" customHeight="1" x14ac:dyDescent="0.25">
      <c r="A280" s="69" t="s">
        <v>131</v>
      </c>
      <c r="B280" s="525"/>
      <c r="C280" s="528"/>
      <c r="D280" s="545"/>
      <c r="E280" s="534"/>
      <c r="F280" s="72"/>
      <c r="G280" s="144"/>
      <c r="H280" s="74"/>
      <c r="I280" s="69" t="s">
        <v>131</v>
      </c>
    </row>
    <row r="281" spans="1:9" ht="15" customHeight="1" x14ac:dyDescent="0.25">
      <c r="A281" s="69" t="s">
        <v>131</v>
      </c>
      <c r="B281" s="525"/>
      <c r="C281" s="528"/>
      <c r="D281" s="545"/>
      <c r="E281" s="534"/>
      <c r="F281" s="72"/>
      <c r="G281" s="144"/>
      <c r="H281" s="74"/>
      <c r="I281" s="69" t="s">
        <v>131</v>
      </c>
    </row>
    <row r="282" spans="1:9" ht="15" customHeight="1" x14ac:dyDescent="0.25">
      <c r="A282" s="69" t="s">
        <v>131</v>
      </c>
      <c r="B282" s="525"/>
      <c r="C282" s="528"/>
      <c r="D282" s="545"/>
      <c r="E282" s="534"/>
      <c r="F282" s="72"/>
      <c r="G282" s="184"/>
      <c r="H282" s="74"/>
      <c r="I282" s="69" t="s">
        <v>131</v>
      </c>
    </row>
    <row r="283" spans="1:9" ht="15" customHeight="1" thickBot="1" x14ac:dyDescent="0.3">
      <c r="A283" s="69" t="s">
        <v>131</v>
      </c>
      <c r="B283" s="526"/>
      <c r="C283" s="529"/>
      <c r="D283" s="545"/>
      <c r="E283" s="534"/>
      <c r="F283" s="72"/>
      <c r="G283" s="73"/>
      <c r="H283" s="74"/>
      <c r="I283" s="69" t="s">
        <v>131</v>
      </c>
    </row>
    <row r="284" spans="1:9" ht="15" customHeight="1" x14ac:dyDescent="0.25">
      <c r="A284" s="69" t="s">
        <v>131</v>
      </c>
      <c r="B284" s="541" t="s">
        <v>128</v>
      </c>
      <c r="C284" s="527" t="s">
        <v>168</v>
      </c>
      <c r="D284" s="545"/>
      <c r="E284" s="534"/>
      <c r="F284" s="72"/>
      <c r="G284" s="73"/>
      <c r="H284" s="74"/>
      <c r="I284" s="69" t="s">
        <v>131</v>
      </c>
    </row>
    <row r="285" spans="1:9" ht="15" customHeight="1" thickBot="1" x14ac:dyDescent="0.3">
      <c r="A285" s="69" t="s">
        <v>131</v>
      </c>
      <c r="B285" s="542"/>
      <c r="C285" s="529"/>
      <c r="D285" s="546"/>
      <c r="E285" s="535"/>
      <c r="F285" s="75"/>
      <c r="G285" s="76"/>
      <c r="H285" s="77"/>
      <c r="I285" s="69" t="s">
        <v>131</v>
      </c>
    </row>
    <row r="286" spans="1:9" ht="15" hidden="1" customHeight="1" thickBot="1" x14ac:dyDescent="0.3">
      <c r="A286" s="69" t="s">
        <v>131</v>
      </c>
      <c r="B286" s="524"/>
      <c r="C286" s="527"/>
      <c r="D286" s="57"/>
      <c r="E286" s="58"/>
      <c r="F286" s="164"/>
      <c r="G286" s="70"/>
      <c r="H286" s="71"/>
      <c r="I286" s="69" t="s">
        <v>131</v>
      </c>
    </row>
    <row r="287" spans="1:9" ht="15" hidden="1" customHeight="1" x14ac:dyDescent="0.25">
      <c r="A287" s="69" t="s">
        <v>131</v>
      </c>
      <c r="B287" s="525"/>
      <c r="C287" s="528"/>
      <c r="D287" s="544"/>
      <c r="E287" s="533"/>
      <c r="F287" s="72"/>
      <c r="G287" s="73"/>
      <c r="H287" s="74"/>
      <c r="I287" s="69" t="s">
        <v>131</v>
      </c>
    </row>
    <row r="288" spans="1:9" ht="15" hidden="1" customHeight="1" x14ac:dyDescent="0.25">
      <c r="A288" s="69" t="s">
        <v>131</v>
      </c>
      <c r="B288" s="525"/>
      <c r="C288" s="528"/>
      <c r="D288" s="545"/>
      <c r="E288" s="534"/>
      <c r="F288" s="195"/>
      <c r="G288" s="198"/>
      <c r="H288" s="197"/>
      <c r="I288" s="69" t="s">
        <v>131</v>
      </c>
    </row>
    <row r="289" spans="1:9" ht="15" hidden="1" customHeight="1" x14ac:dyDescent="0.25">
      <c r="A289" s="69" t="s">
        <v>131</v>
      </c>
      <c r="B289" s="525"/>
      <c r="C289" s="528"/>
      <c r="D289" s="545"/>
      <c r="E289" s="534"/>
      <c r="F289" s="72"/>
      <c r="G289" s="73"/>
      <c r="H289" s="74"/>
      <c r="I289" s="69" t="s">
        <v>131</v>
      </c>
    </row>
    <row r="290" spans="1:9" ht="15" hidden="1" customHeight="1" x14ac:dyDescent="0.25">
      <c r="A290" s="69" t="s">
        <v>131</v>
      </c>
      <c r="B290" s="525"/>
      <c r="C290" s="528"/>
      <c r="D290" s="545"/>
      <c r="E290" s="534"/>
      <c r="F290" s="72"/>
      <c r="G290" s="73"/>
      <c r="H290" s="74"/>
      <c r="I290" s="69" t="s">
        <v>131</v>
      </c>
    </row>
    <row r="291" spans="1:9" ht="15" hidden="1" customHeight="1" x14ac:dyDescent="0.25">
      <c r="A291" s="69" t="s">
        <v>131</v>
      </c>
      <c r="B291" s="525"/>
      <c r="C291" s="528"/>
      <c r="D291" s="545"/>
      <c r="E291" s="534"/>
      <c r="F291" s="72"/>
      <c r="G291" s="167"/>
      <c r="H291" s="74"/>
      <c r="I291" s="69" t="s">
        <v>131</v>
      </c>
    </row>
    <row r="292" spans="1:9" ht="15" hidden="1" customHeight="1" x14ac:dyDescent="0.25">
      <c r="A292" s="69" t="s">
        <v>131</v>
      </c>
      <c r="B292" s="525"/>
      <c r="C292" s="528"/>
      <c r="D292" s="545"/>
      <c r="E292" s="534"/>
      <c r="F292" s="72"/>
      <c r="G292" s="73"/>
      <c r="H292" s="74"/>
      <c r="I292" s="69" t="s">
        <v>131</v>
      </c>
    </row>
    <row r="293" spans="1:9" ht="15" hidden="1" customHeight="1" thickBot="1" x14ac:dyDescent="0.3">
      <c r="A293" s="69" t="s">
        <v>131</v>
      </c>
      <c r="B293" s="526"/>
      <c r="C293" s="529"/>
      <c r="D293" s="545"/>
      <c r="E293" s="534"/>
      <c r="F293" s="72"/>
      <c r="G293" s="73"/>
      <c r="H293" s="74"/>
      <c r="I293" s="69" t="s">
        <v>131</v>
      </c>
    </row>
    <row r="294" spans="1:9" ht="15" hidden="1" customHeight="1" x14ac:dyDescent="0.25">
      <c r="A294" s="69" t="s">
        <v>131</v>
      </c>
      <c r="B294" s="541"/>
      <c r="C294" s="527"/>
      <c r="D294" s="545"/>
      <c r="E294" s="534"/>
      <c r="F294" s="72"/>
      <c r="G294" s="73"/>
      <c r="H294" s="74"/>
      <c r="I294" s="69" t="s">
        <v>131</v>
      </c>
    </row>
    <row r="295" spans="1:9" ht="15" hidden="1" customHeight="1" thickBot="1" x14ac:dyDescent="0.3">
      <c r="A295" s="69" t="s">
        <v>131</v>
      </c>
      <c r="B295" s="542"/>
      <c r="C295" s="529"/>
      <c r="D295" s="546"/>
      <c r="E295" s="535"/>
      <c r="F295" s="75"/>
      <c r="G295" s="76"/>
      <c r="H295" s="77"/>
      <c r="I295" s="69" t="s">
        <v>131</v>
      </c>
    </row>
    <row r="296" spans="1:9" ht="15" hidden="1" customHeight="1" thickBot="1" x14ac:dyDescent="0.3">
      <c r="A296" s="69" t="s">
        <v>131</v>
      </c>
      <c r="B296" s="524"/>
      <c r="C296" s="527"/>
      <c r="D296" s="193"/>
      <c r="E296" s="58"/>
      <c r="F296" s="78"/>
      <c r="G296" s="79"/>
      <c r="H296" s="80"/>
      <c r="I296" s="69" t="s">
        <v>131</v>
      </c>
    </row>
    <row r="297" spans="1:9" ht="15" hidden="1" customHeight="1" x14ac:dyDescent="0.25">
      <c r="A297" s="69" t="s">
        <v>131</v>
      </c>
      <c r="B297" s="525"/>
      <c r="C297" s="528"/>
      <c r="D297" s="544"/>
      <c r="E297" s="533"/>
      <c r="F297" s="72"/>
      <c r="G297" s="73"/>
      <c r="H297" s="74"/>
      <c r="I297" s="69" t="s">
        <v>131</v>
      </c>
    </row>
    <row r="298" spans="1:9" ht="15" hidden="1" customHeight="1" x14ac:dyDescent="0.25">
      <c r="A298" s="69" t="s">
        <v>131</v>
      </c>
      <c r="B298" s="525"/>
      <c r="C298" s="528"/>
      <c r="D298" s="545"/>
      <c r="E298" s="534"/>
      <c r="F298" s="72"/>
      <c r="G298" s="73"/>
      <c r="H298" s="74"/>
      <c r="I298" s="69" t="s">
        <v>131</v>
      </c>
    </row>
    <row r="299" spans="1:9" ht="15" hidden="1" customHeight="1" x14ac:dyDescent="0.25">
      <c r="A299" s="69" t="s">
        <v>131</v>
      </c>
      <c r="B299" s="525"/>
      <c r="C299" s="528"/>
      <c r="D299" s="545"/>
      <c r="E299" s="534"/>
      <c r="F299" s="72"/>
      <c r="G299" s="73"/>
      <c r="H299" s="74"/>
      <c r="I299" s="69" t="s">
        <v>131</v>
      </c>
    </row>
    <row r="300" spans="1:9" ht="15" hidden="1" customHeight="1" x14ac:dyDescent="0.25">
      <c r="A300" s="69" t="s">
        <v>131</v>
      </c>
      <c r="B300" s="525"/>
      <c r="C300" s="528"/>
      <c r="D300" s="545"/>
      <c r="E300" s="534"/>
      <c r="F300" s="72"/>
      <c r="G300" s="73"/>
      <c r="H300" s="74"/>
      <c r="I300" s="69" t="s">
        <v>131</v>
      </c>
    </row>
    <row r="301" spans="1:9" ht="15" hidden="1" customHeight="1" x14ac:dyDescent="0.25">
      <c r="A301" s="69" t="s">
        <v>131</v>
      </c>
      <c r="B301" s="525"/>
      <c r="C301" s="528"/>
      <c r="D301" s="545"/>
      <c r="E301" s="534"/>
      <c r="F301" s="72"/>
      <c r="G301" s="73"/>
      <c r="H301" s="74"/>
      <c r="I301" s="69" t="s">
        <v>131</v>
      </c>
    </row>
    <row r="302" spans="1:9" ht="15" hidden="1" customHeight="1" x14ac:dyDescent="0.25">
      <c r="A302" s="69" t="s">
        <v>131</v>
      </c>
      <c r="B302" s="525"/>
      <c r="C302" s="528"/>
      <c r="D302" s="545"/>
      <c r="E302" s="534"/>
      <c r="F302" s="72"/>
      <c r="G302" s="73"/>
      <c r="H302" s="74"/>
      <c r="I302" s="69" t="s">
        <v>131</v>
      </c>
    </row>
    <row r="303" spans="1:9" ht="15" hidden="1" customHeight="1" thickBot="1" x14ac:dyDescent="0.3">
      <c r="A303" s="69" t="s">
        <v>131</v>
      </c>
      <c r="B303" s="526"/>
      <c r="C303" s="529"/>
      <c r="D303" s="545"/>
      <c r="E303" s="534"/>
      <c r="F303" s="72"/>
      <c r="G303" s="73"/>
      <c r="H303" s="74"/>
      <c r="I303" s="69" t="s">
        <v>131</v>
      </c>
    </row>
    <row r="304" spans="1:9" ht="15" hidden="1" customHeight="1" x14ac:dyDescent="0.25">
      <c r="A304" s="69" t="s">
        <v>131</v>
      </c>
      <c r="B304" s="541"/>
      <c r="C304" s="527"/>
      <c r="D304" s="545"/>
      <c r="E304" s="534"/>
      <c r="F304" s="72"/>
      <c r="G304" s="73"/>
      <c r="H304" s="74"/>
      <c r="I304" s="69" t="s">
        <v>131</v>
      </c>
    </row>
    <row r="305" spans="1:15" ht="15" hidden="1" customHeight="1" thickBot="1" x14ac:dyDescent="0.3">
      <c r="A305" s="69" t="s">
        <v>131</v>
      </c>
      <c r="B305" s="542"/>
      <c r="C305" s="529"/>
      <c r="D305" s="546"/>
      <c r="E305" s="535"/>
      <c r="F305" s="75"/>
      <c r="G305" s="76"/>
      <c r="H305" s="77"/>
      <c r="I305" s="69" t="s">
        <v>131</v>
      </c>
    </row>
    <row r="306" spans="1:15" ht="39.75" customHeight="1" thickBot="1" x14ac:dyDescent="0.3"/>
    <row r="307" spans="1:15" ht="15.75" thickBot="1" x14ac:dyDescent="0.3">
      <c r="B307" s="93" t="s">
        <v>121</v>
      </c>
      <c r="C307" s="94"/>
      <c r="D307" s="94"/>
      <c r="E307" s="94"/>
      <c r="F307" s="94"/>
      <c r="G307" s="499" t="s">
        <v>17</v>
      </c>
      <c r="H307" s="499"/>
      <c r="I307" s="500"/>
      <c r="K307" s="59" t="s">
        <v>118</v>
      </c>
      <c r="L307" s="60" t="s">
        <v>124</v>
      </c>
      <c r="M307" s="55" t="s">
        <v>128</v>
      </c>
      <c r="O307">
        <v>2</v>
      </c>
    </row>
    <row r="308" spans="1:15" ht="15.75" thickBot="1" x14ac:dyDescent="0.3">
      <c r="B308" s="95" t="s">
        <v>187</v>
      </c>
      <c r="C308" s="96"/>
      <c r="D308" s="96"/>
      <c r="E308" s="96"/>
      <c r="F308" s="96"/>
      <c r="G308" s="501">
        <v>0.25</v>
      </c>
      <c r="H308" s="502"/>
      <c r="I308" s="503"/>
      <c r="K308" s="86">
        <v>1</v>
      </c>
      <c r="L308" s="87">
        <f>E312</f>
        <v>115</v>
      </c>
      <c r="M308" s="536">
        <f>SUM(L308:L312)</f>
        <v>115</v>
      </c>
    </row>
    <row r="309" spans="1:15" ht="15.75" thickBot="1" x14ac:dyDescent="0.3">
      <c r="A309" s="68" t="s">
        <v>131</v>
      </c>
      <c r="B309" s="64"/>
      <c r="C309" s="64"/>
      <c r="D309" s="64"/>
      <c r="E309" s="64"/>
      <c r="F309" s="64"/>
      <c r="G309" s="64"/>
      <c r="H309" s="64"/>
      <c r="I309" s="65" t="s">
        <v>131</v>
      </c>
      <c r="K309" s="88">
        <v>2</v>
      </c>
      <c r="L309" s="89">
        <f>E322</f>
        <v>0</v>
      </c>
      <c r="M309" s="536"/>
    </row>
    <row r="310" spans="1:15" ht="15.75" thickBot="1" x14ac:dyDescent="0.3">
      <c r="A310" s="65" t="s">
        <v>131</v>
      </c>
      <c r="B310" s="56" t="s">
        <v>119</v>
      </c>
      <c r="C310" s="56" t="s">
        <v>118</v>
      </c>
      <c r="D310" s="504" t="s">
        <v>124</v>
      </c>
      <c r="E310" s="505"/>
      <c r="F310" s="506" t="s">
        <v>127</v>
      </c>
      <c r="G310" s="507"/>
      <c r="H310" s="508"/>
      <c r="I310" s="65" t="s">
        <v>131</v>
      </c>
      <c r="K310" s="88">
        <v>3</v>
      </c>
      <c r="L310" s="89">
        <f>E332</f>
        <v>0</v>
      </c>
      <c r="M310" s="536"/>
    </row>
    <row r="311" spans="1:15" ht="15.75" customHeight="1" thickBot="1" x14ac:dyDescent="0.3">
      <c r="A311" s="65" t="s">
        <v>131</v>
      </c>
      <c r="B311" s="524">
        <v>1</v>
      </c>
      <c r="C311" s="527" t="s">
        <v>188</v>
      </c>
      <c r="D311" s="57" t="s">
        <v>125</v>
      </c>
      <c r="E311" s="58">
        <v>1</v>
      </c>
      <c r="F311" s="164">
        <v>1</v>
      </c>
      <c r="G311" s="70" t="s">
        <v>189</v>
      </c>
      <c r="H311" s="71">
        <v>115</v>
      </c>
      <c r="I311" s="65" t="s">
        <v>131</v>
      </c>
      <c r="K311" s="88">
        <v>4</v>
      </c>
      <c r="L311" s="89">
        <f>E342</f>
        <v>0</v>
      </c>
      <c r="M311" s="536"/>
    </row>
    <row r="312" spans="1:15" ht="15.75" thickBot="1" x14ac:dyDescent="0.3">
      <c r="A312" s="65" t="s">
        <v>131</v>
      </c>
      <c r="B312" s="525"/>
      <c r="C312" s="528"/>
      <c r="D312" s="544">
        <v>1</v>
      </c>
      <c r="E312" s="533">
        <f>IF(D312=0,0,VLOOKUP($D312,$F311:$H320,3,FALSE)*$E311)</f>
        <v>115</v>
      </c>
      <c r="F312" s="195">
        <v>2</v>
      </c>
      <c r="G312" s="198" t="s">
        <v>185</v>
      </c>
      <c r="H312" s="197">
        <v>100</v>
      </c>
      <c r="I312" s="65" t="s">
        <v>131</v>
      </c>
      <c r="K312" s="90">
        <v>5</v>
      </c>
      <c r="L312" s="91">
        <f>E352</f>
        <v>0</v>
      </c>
      <c r="M312" s="537"/>
    </row>
    <row r="313" spans="1:15" ht="15.75" thickBot="1" x14ac:dyDescent="0.3">
      <c r="A313" s="65" t="s">
        <v>131</v>
      </c>
      <c r="B313" s="525"/>
      <c r="C313" s="528"/>
      <c r="D313" s="545"/>
      <c r="E313" s="534"/>
      <c r="F313" s="72">
        <v>3</v>
      </c>
      <c r="G313" s="73" t="s">
        <v>190</v>
      </c>
      <c r="H313" s="74">
        <f t="shared" ref="H313:H314" si="8">H312-5</f>
        <v>95</v>
      </c>
      <c r="I313" s="65" t="s">
        <v>131</v>
      </c>
    </row>
    <row r="314" spans="1:15" ht="15.75" thickBot="1" x14ac:dyDescent="0.3">
      <c r="A314" s="65" t="s">
        <v>131</v>
      </c>
      <c r="B314" s="525"/>
      <c r="C314" s="528"/>
      <c r="D314" s="545"/>
      <c r="E314" s="534"/>
      <c r="F314" s="72">
        <v>4</v>
      </c>
      <c r="G314" s="73" t="s">
        <v>191</v>
      </c>
      <c r="H314" s="74">
        <f t="shared" si="8"/>
        <v>90</v>
      </c>
      <c r="I314" s="65" t="s">
        <v>131</v>
      </c>
      <c r="K314" s="169" t="s">
        <v>62</v>
      </c>
      <c r="L314" s="170"/>
      <c r="M314" s="171"/>
    </row>
    <row r="315" spans="1:15" ht="15.75" thickBot="1" x14ac:dyDescent="0.3">
      <c r="A315" s="65" t="s">
        <v>131</v>
      </c>
      <c r="B315" s="525"/>
      <c r="C315" s="528"/>
      <c r="D315" s="545"/>
      <c r="E315" s="534"/>
      <c r="F315" s="72">
        <v>5</v>
      </c>
      <c r="G315" s="73" t="s">
        <v>192</v>
      </c>
      <c r="H315" s="74">
        <v>50</v>
      </c>
      <c r="I315" s="65" t="s">
        <v>131</v>
      </c>
      <c r="K315" s="61" t="s">
        <v>36</v>
      </c>
      <c r="L315" s="62" t="s">
        <v>124</v>
      </c>
      <c r="M315" s="63" t="s">
        <v>128</v>
      </c>
    </row>
    <row r="316" spans="1:15" x14ac:dyDescent="0.25">
      <c r="A316" s="65" t="s">
        <v>131</v>
      </c>
      <c r="B316" s="525"/>
      <c r="C316" s="528"/>
      <c r="D316" s="545"/>
      <c r="E316" s="534"/>
      <c r="F316" s="72"/>
      <c r="G316" s="167" t="s">
        <v>186</v>
      </c>
      <c r="H316" s="74"/>
      <c r="I316" s="65" t="s">
        <v>131</v>
      </c>
      <c r="K316" s="86">
        <v>1</v>
      </c>
      <c r="L316" s="87">
        <f>E366</f>
        <v>11.5</v>
      </c>
      <c r="M316" s="543">
        <f>SUM(L316:L325)</f>
        <v>115</v>
      </c>
    </row>
    <row r="317" spans="1:15" x14ac:dyDescent="0.25">
      <c r="A317" s="65" t="s">
        <v>131</v>
      </c>
      <c r="B317" s="525"/>
      <c r="C317" s="528"/>
      <c r="D317" s="545"/>
      <c r="E317" s="534"/>
      <c r="F317" s="72"/>
      <c r="G317" s="73"/>
      <c r="H317" s="74"/>
      <c r="I317" s="65" t="s">
        <v>131</v>
      </c>
      <c r="K317" s="88">
        <v>2</v>
      </c>
      <c r="L317" s="89">
        <f>E376</f>
        <v>11.5</v>
      </c>
      <c r="M317" s="536"/>
    </row>
    <row r="318" spans="1:15" ht="15.75" thickBot="1" x14ac:dyDescent="0.3">
      <c r="A318" s="65" t="s">
        <v>131</v>
      </c>
      <c r="B318" s="526"/>
      <c r="C318" s="529"/>
      <c r="D318" s="545"/>
      <c r="E318" s="534"/>
      <c r="F318" s="72"/>
      <c r="G318" s="73"/>
      <c r="H318" s="74"/>
      <c r="I318" s="65" t="s">
        <v>131</v>
      </c>
      <c r="K318" s="88">
        <v>3</v>
      </c>
      <c r="L318" s="89">
        <f>E386</f>
        <v>17.25</v>
      </c>
      <c r="M318" s="536"/>
    </row>
    <row r="319" spans="1:15" x14ac:dyDescent="0.25">
      <c r="A319" s="65" t="s">
        <v>131</v>
      </c>
      <c r="B319" s="541" t="s">
        <v>128</v>
      </c>
      <c r="C319" s="549" t="s">
        <v>189</v>
      </c>
      <c r="D319" s="545"/>
      <c r="E319" s="534"/>
      <c r="F319" s="72"/>
      <c r="G319" s="73"/>
      <c r="H319" s="74"/>
      <c r="I319" s="65" t="s">
        <v>131</v>
      </c>
      <c r="K319" s="88">
        <v>4</v>
      </c>
      <c r="L319" s="89">
        <f>E396</f>
        <v>17.25</v>
      </c>
      <c r="M319" s="536"/>
    </row>
    <row r="320" spans="1:15" ht="15.75" thickBot="1" x14ac:dyDescent="0.3">
      <c r="A320" s="65" t="s">
        <v>131</v>
      </c>
      <c r="B320" s="542"/>
      <c r="C320" s="550"/>
      <c r="D320" s="546"/>
      <c r="E320" s="535"/>
      <c r="F320" s="75"/>
      <c r="G320" s="76"/>
      <c r="H320" s="77"/>
      <c r="I320" s="65" t="s">
        <v>131</v>
      </c>
      <c r="K320" s="88">
        <v>5</v>
      </c>
      <c r="L320" s="89">
        <f>E406</f>
        <v>23</v>
      </c>
      <c r="M320" s="536"/>
    </row>
    <row r="321" spans="1:13" ht="15.75" hidden="1" thickBot="1" x14ac:dyDescent="0.3">
      <c r="A321" s="65" t="s">
        <v>131</v>
      </c>
      <c r="B321" s="524">
        <v>2</v>
      </c>
      <c r="C321" s="527"/>
      <c r="D321" s="57" t="s">
        <v>125</v>
      </c>
      <c r="E321" s="58"/>
      <c r="F321" s="164">
        <v>1</v>
      </c>
      <c r="G321" s="70"/>
      <c r="H321" s="71"/>
      <c r="I321" s="65" t="s">
        <v>131</v>
      </c>
      <c r="K321" s="86">
        <v>6</v>
      </c>
      <c r="L321" s="89">
        <f>E416</f>
        <v>23</v>
      </c>
      <c r="M321" s="536"/>
    </row>
    <row r="322" spans="1:13" hidden="1" x14ac:dyDescent="0.25">
      <c r="A322" s="65" t="s">
        <v>131</v>
      </c>
      <c r="B322" s="525"/>
      <c r="C322" s="528"/>
      <c r="D322" s="530"/>
      <c r="E322" s="533">
        <f>IF(D322=0,0,VLOOKUP($D322,$F321:$H330,3,FALSE)*$E321)</f>
        <v>0</v>
      </c>
      <c r="F322" s="72">
        <v>2</v>
      </c>
      <c r="G322" s="73"/>
      <c r="H322" s="74"/>
      <c r="I322" s="65" t="s">
        <v>131</v>
      </c>
      <c r="K322" s="88">
        <v>7</v>
      </c>
      <c r="L322" s="89">
        <f>E426</f>
        <v>11.5</v>
      </c>
      <c r="M322" s="536"/>
    </row>
    <row r="323" spans="1:13" hidden="1" x14ac:dyDescent="0.25">
      <c r="A323" s="65" t="s">
        <v>131</v>
      </c>
      <c r="B323" s="525"/>
      <c r="C323" s="528"/>
      <c r="D323" s="531"/>
      <c r="E323" s="534"/>
      <c r="F323" s="72">
        <v>3</v>
      </c>
      <c r="G323" s="73"/>
      <c r="H323" s="74"/>
      <c r="I323" s="65" t="s">
        <v>131</v>
      </c>
      <c r="K323" s="88">
        <v>8</v>
      </c>
      <c r="L323" s="89">
        <f>E436</f>
        <v>0</v>
      </c>
      <c r="M323" s="536"/>
    </row>
    <row r="324" spans="1:13" hidden="1" x14ac:dyDescent="0.25">
      <c r="A324" s="65" t="s">
        <v>131</v>
      </c>
      <c r="B324" s="525"/>
      <c r="C324" s="528"/>
      <c r="D324" s="531"/>
      <c r="E324" s="534"/>
      <c r="F324" s="72">
        <v>4</v>
      </c>
      <c r="G324" s="73"/>
      <c r="H324" s="74"/>
      <c r="I324" s="65" t="s">
        <v>131</v>
      </c>
      <c r="K324" s="88">
        <v>9</v>
      </c>
      <c r="L324" s="89">
        <f>E447</f>
        <v>0</v>
      </c>
      <c r="M324" s="536"/>
    </row>
    <row r="325" spans="1:13" ht="15.75" hidden="1" thickBot="1" x14ac:dyDescent="0.3">
      <c r="A325" s="65" t="s">
        <v>131</v>
      </c>
      <c r="B325" s="525"/>
      <c r="C325" s="528"/>
      <c r="D325" s="531"/>
      <c r="E325" s="534"/>
      <c r="F325" s="72"/>
      <c r="G325" s="73"/>
      <c r="H325" s="74"/>
      <c r="I325" s="65" t="s">
        <v>131</v>
      </c>
      <c r="K325" s="90">
        <v>10</v>
      </c>
      <c r="L325" s="91">
        <f>E458</f>
        <v>0</v>
      </c>
      <c r="M325" s="537"/>
    </row>
    <row r="326" spans="1:13" hidden="1" x14ac:dyDescent="0.25">
      <c r="A326" s="65" t="s">
        <v>131</v>
      </c>
      <c r="B326" s="525"/>
      <c r="C326" s="528"/>
      <c r="D326" s="531"/>
      <c r="E326" s="534"/>
      <c r="F326" s="72"/>
      <c r="G326" s="73"/>
      <c r="H326" s="74"/>
      <c r="I326" s="65" t="s">
        <v>131</v>
      </c>
    </row>
    <row r="327" spans="1:13" hidden="1" x14ac:dyDescent="0.25">
      <c r="A327" s="65" t="s">
        <v>131</v>
      </c>
      <c r="B327" s="525"/>
      <c r="C327" s="528"/>
      <c r="D327" s="531"/>
      <c r="E327" s="534"/>
      <c r="F327" s="72"/>
      <c r="G327" s="73"/>
      <c r="H327" s="74"/>
      <c r="I327" s="65" t="s">
        <v>131</v>
      </c>
    </row>
    <row r="328" spans="1:13" ht="15.75" hidden="1" thickBot="1" x14ac:dyDescent="0.3">
      <c r="A328" s="65" t="s">
        <v>131</v>
      </c>
      <c r="B328" s="526"/>
      <c r="C328" s="529"/>
      <c r="D328" s="531"/>
      <c r="E328" s="534"/>
      <c r="F328" s="72"/>
      <c r="G328" s="73"/>
      <c r="H328" s="74"/>
      <c r="I328" s="65" t="s">
        <v>131</v>
      </c>
    </row>
    <row r="329" spans="1:13" hidden="1" x14ac:dyDescent="0.25">
      <c r="A329" s="65" t="s">
        <v>131</v>
      </c>
      <c r="B329" s="541" t="s">
        <v>128</v>
      </c>
      <c r="C329" s="549"/>
      <c r="D329" s="531"/>
      <c r="E329" s="534"/>
      <c r="F329" s="72"/>
      <c r="G329" s="73"/>
      <c r="H329" s="74"/>
      <c r="I329" s="65" t="s">
        <v>131</v>
      </c>
    </row>
    <row r="330" spans="1:13" ht="15.75" hidden="1" thickBot="1" x14ac:dyDescent="0.3">
      <c r="A330" s="65" t="s">
        <v>131</v>
      </c>
      <c r="B330" s="542"/>
      <c r="C330" s="550"/>
      <c r="D330" s="532"/>
      <c r="E330" s="535"/>
      <c r="F330" s="75"/>
      <c r="G330" s="76"/>
      <c r="H330" s="77"/>
      <c r="I330" s="65" t="s">
        <v>131</v>
      </c>
    </row>
    <row r="331" spans="1:13" ht="15.75" hidden="1" customHeight="1" thickBot="1" x14ac:dyDescent="0.3">
      <c r="A331" s="65" t="s">
        <v>131</v>
      </c>
      <c r="B331" s="524">
        <v>3</v>
      </c>
      <c r="C331" s="527"/>
      <c r="D331" s="57" t="s">
        <v>125</v>
      </c>
      <c r="E331" s="58">
        <v>0.6</v>
      </c>
      <c r="F331" s="164">
        <v>10</v>
      </c>
      <c r="G331" s="70" t="s">
        <v>126</v>
      </c>
      <c r="H331" s="71">
        <v>115</v>
      </c>
      <c r="I331" s="65" t="s">
        <v>131</v>
      </c>
    </row>
    <row r="332" spans="1:13" ht="15" hidden="1" customHeight="1" x14ac:dyDescent="0.25">
      <c r="A332" s="65" t="s">
        <v>131</v>
      </c>
      <c r="B332" s="525"/>
      <c r="C332" s="528"/>
      <c r="D332" s="530"/>
      <c r="E332" s="533">
        <f>IF(D332=0,0,VLOOKUP($D332,$F331:$H340,3,FALSE)*$E331)</f>
        <v>0</v>
      </c>
      <c r="F332" s="72">
        <v>9</v>
      </c>
      <c r="G332" s="73" t="s">
        <v>126</v>
      </c>
      <c r="H332" s="74">
        <f>H331-5</f>
        <v>110</v>
      </c>
      <c r="I332" s="65" t="s">
        <v>131</v>
      </c>
    </row>
    <row r="333" spans="1:13" ht="15" hidden="1" customHeight="1" x14ac:dyDescent="0.25">
      <c r="A333" s="65" t="s">
        <v>131</v>
      </c>
      <c r="B333" s="525"/>
      <c r="C333" s="528"/>
      <c r="D333" s="531"/>
      <c r="E333" s="534"/>
      <c r="F333" s="72">
        <v>8</v>
      </c>
      <c r="G333" s="73" t="s">
        <v>126</v>
      </c>
      <c r="H333" s="74">
        <f t="shared" ref="H333:H340" si="9">H332-5</f>
        <v>105</v>
      </c>
      <c r="I333" s="65" t="s">
        <v>131</v>
      </c>
    </row>
    <row r="334" spans="1:13" ht="15" hidden="1" customHeight="1" x14ac:dyDescent="0.25">
      <c r="A334" s="65" t="s">
        <v>131</v>
      </c>
      <c r="B334" s="525"/>
      <c r="C334" s="528"/>
      <c r="D334" s="531"/>
      <c r="E334" s="534"/>
      <c r="F334" s="72">
        <v>7</v>
      </c>
      <c r="G334" s="73" t="s">
        <v>126</v>
      </c>
      <c r="H334" s="74">
        <f t="shared" si="9"/>
        <v>100</v>
      </c>
      <c r="I334" s="65" t="s">
        <v>131</v>
      </c>
    </row>
    <row r="335" spans="1:13" ht="15" hidden="1" customHeight="1" x14ac:dyDescent="0.25">
      <c r="A335" s="65" t="s">
        <v>131</v>
      </c>
      <c r="B335" s="525"/>
      <c r="C335" s="528"/>
      <c r="D335" s="531"/>
      <c r="E335" s="534"/>
      <c r="F335" s="72">
        <v>6</v>
      </c>
      <c r="G335" s="73" t="s">
        <v>126</v>
      </c>
      <c r="H335" s="74">
        <f t="shared" si="9"/>
        <v>95</v>
      </c>
      <c r="I335" s="65" t="s">
        <v>131</v>
      </c>
    </row>
    <row r="336" spans="1:13" ht="15" hidden="1" customHeight="1" x14ac:dyDescent="0.25">
      <c r="A336" s="65" t="s">
        <v>131</v>
      </c>
      <c r="B336" s="525"/>
      <c r="C336" s="528"/>
      <c r="D336" s="531"/>
      <c r="E336" s="534"/>
      <c r="F336" s="72">
        <v>5</v>
      </c>
      <c r="G336" s="73" t="s">
        <v>126</v>
      </c>
      <c r="H336" s="74">
        <f t="shared" si="9"/>
        <v>90</v>
      </c>
      <c r="I336" s="65" t="s">
        <v>131</v>
      </c>
    </row>
    <row r="337" spans="1:9" ht="15" hidden="1" customHeight="1" x14ac:dyDescent="0.25">
      <c r="A337" s="65" t="s">
        <v>131</v>
      </c>
      <c r="B337" s="525"/>
      <c r="C337" s="528"/>
      <c r="D337" s="531"/>
      <c r="E337" s="534"/>
      <c r="F337" s="72">
        <v>4</v>
      </c>
      <c r="G337" s="73" t="s">
        <v>126</v>
      </c>
      <c r="H337" s="74">
        <f t="shared" si="9"/>
        <v>85</v>
      </c>
      <c r="I337" s="65" t="s">
        <v>131</v>
      </c>
    </row>
    <row r="338" spans="1:9" ht="15.75" hidden="1" customHeight="1" thickBot="1" x14ac:dyDescent="0.3">
      <c r="A338" s="65" t="s">
        <v>131</v>
      </c>
      <c r="B338" s="526"/>
      <c r="C338" s="529"/>
      <c r="D338" s="531"/>
      <c r="E338" s="534"/>
      <c r="F338" s="72">
        <v>3</v>
      </c>
      <c r="G338" s="73" t="s">
        <v>126</v>
      </c>
      <c r="H338" s="74">
        <f t="shared" si="9"/>
        <v>80</v>
      </c>
      <c r="I338" s="65" t="s">
        <v>131</v>
      </c>
    </row>
    <row r="339" spans="1:9" ht="15" hidden="1" customHeight="1" x14ac:dyDescent="0.25">
      <c r="A339" s="65" t="s">
        <v>131</v>
      </c>
      <c r="B339" s="541" t="s">
        <v>128</v>
      </c>
      <c r="C339" s="527"/>
      <c r="D339" s="531"/>
      <c r="E339" s="534"/>
      <c r="F339" s="72">
        <v>2</v>
      </c>
      <c r="G339" s="73" t="s">
        <v>126</v>
      </c>
      <c r="H339" s="74">
        <f t="shared" si="9"/>
        <v>75</v>
      </c>
      <c r="I339" s="65" t="s">
        <v>131</v>
      </c>
    </row>
    <row r="340" spans="1:9" ht="15.75" hidden="1" customHeight="1" thickBot="1" x14ac:dyDescent="0.3">
      <c r="A340" s="65" t="s">
        <v>131</v>
      </c>
      <c r="B340" s="542"/>
      <c r="C340" s="529"/>
      <c r="D340" s="532"/>
      <c r="E340" s="535"/>
      <c r="F340" s="75">
        <v>1</v>
      </c>
      <c r="G340" s="76" t="s">
        <v>126</v>
      </c>
      <c r="H340" s="77">
        <f t="shared" si="9"/>
        <v>70</v>
      </c>
      <c r="I340" s="65" t="s">
        <v>131</v>
      </c>
    </row>
    <row r="341" spans="1:9" ht="15.75" hidden="1" customHeight="1" thickBot="1" x14ac:dyDescent="0.3">
      <c r="A341" s="65" t="s">
        <v>131</v>
      </c>
      <c r="B341" s="524">
        <v>4</v>
      </c>
      <c r="C341" s="527"/>
      <c r="D341" s="57" t="s">
        <v>125</v>
      </c>
      <c r="E341" s="58">
        <v>0.6</v>
      </c>
      <c r="F341" s="164">
        <v>10</v>
      </c>
      <c r="G341" s="70" t="s">
        <v>126</v>
      </c>
      <c r="H341" s="71">
        <v>115</v>
      </c>
      <c r="I341" s="65" t="s">
        <v>131</v>
      </c>
    </row>
    <row r="342" spans="1:9" ht="15" hidden="1" customHeight="1" x14ac:dyDescent="0.25">
      <c r="A342" s="65" t="s">
        <v>131</v>
      </c>
      <c r="B342" s="525"/>
      <c r="C342" s="528"/>
      <c r="D342" s="530"/>
      <c r="E342" s="533">
        <f>IF(D342=0,0,VLOOKUP($D342,$F341:$H350,3,FALSE)*$E341)</f>
        <v>0</v>
      </c>
      <c r="F342" s="72">
        <v>9</v>
      </c>
      <c r="G342" s="73" t="s">
        <v>126</v>
      </c>
      <c r="H342" s="74">
        <f>H341-5</f>
        <v>110</v>
      </c>
      <c r="I342" s="65" t="s">
        <v>131</v>
      </c>
    </row>
    <row r="343" spans="1:9" ht="15" hidden="1" customHeight="1" x14ac:dyDescent="0.25">
      <c r="A343" s="65" t="s">
        <v>131</v>
      </c>
      <c r="B343" s="525"/>
      <c r="C343" s="528"/>
      <c r="D343" s="531"/>
      <c r="E343" s="534"/>
      <c r="F343" s="72">
        <v>8</v>
      </c>
      <c r="G343" s="73" t="s">
        <v>126</v>
      </c>
      <c r="H343" s="74">
        <f t="shared" ref="H343:H350" si="10">H342-5</f>
        <v>105</v>
      </c>
      <c r="I343" s="65" t="s">
        <v>131</v>
      </c>
    </row>
    <row r="344" spans="1:9" ht="15" hidden="1" customHeight="1" x14ac:dyDescent="0.25">
      <c r="A344" s="65" t="s">
        <v>131</v>
      </c>
      <c r="B344" s="525"/>
      <c r="C344" s="528"/>
      <c r="D344" s="531"/>
      <c r="E344" s="534"/>
      <c r="F344" s="72">
        <v>7</v>
      </c>
      <c r="G344" s="73" t="s">
        <v>126</v>
      </c>
      <c r="H344" s="74">
        <f t="shared" si="10"/>
        <v>100</v>
      </c>
      <c r="I344" s="65" t="s">
        <v>131</v>
      </c>
    </row>
    <row r="345" spans="1:9" ht="15" hidden="1" customHeight="1" x14ac:dyDescent="0.25">
      <c r="A345" s="65" t="s">
        <v>131</v>
      </c>
      <c r="B345" s="525"/>
      <c r="C345" s="528"/>
      <c r="D345" s="531"/>
      <c r="E345" s="534"/>
      <c r="F345" s="72">
        <v>6</v>
      </c>
      <c r="G345" s="73" t="s">
        <v>126</v>
      </c>
      <c r="H345" s="74">
        <f t="shared" si="10"/>
        <v>95</v>
      </c>
      <c r="I345" s="65" t="s">
        <v>131</v>
      </c>
    </row>
    <row r="346" spans="1:9" ht="15" hidden="1" customHeight="1" x14ac:dyDescent="0.25">
      <c r="A346" s="65" t="s">
        <v>131</v>
      </c>
      <c r="B346" s="525"/>
      <c r="C346" s="528"/>
      <c r="D346" s="531"/>
      <c r="E346" s="534"/>
      <c r="F346" s="72">
        <v>5</v>
      </c>
      <c r="G346" s="73" t="s">
        <v>126</v>
      </c>
      <c r="H346" s="74">
        <f t="shared" si="10"/>
        <v>90</v>
      </c>
      <c r="I346" s="65" t="s">
        <v>131</v>
      </c>
    </row>
    <row r="347" spans="1:9" ht="15" hidden="1" customHeight="1" x14ac:dyDescent="0.25">
      <c r="A347" s="65" t="s">
        <v>131</v>
      </c>
      <c r="B347" s="525"/>
      <c r="C347" s="528"/>
      <c r="D347" s="531"/>
      <c r="E347" s="534"/>
      <c r="F347" s="72">
        <v>4</v>
      </c>
      <c r="G347" s="73" t="s">
        <v>126</v>
      </c>
      <c r="H347" s="74">
        <f t="shared" si="10"/>
        <v>85</v>
      </c>
      <c r="I347" s="65" t="s">
        <v>131</v>
      </c>
    </row>
    <row r="348" spans="1:9" ht="15.75" hidden="1" customHeight="1" thickBot="1" x14ac:dyDescent="0.3">
      <c r="A348" s="65" t="s">
        <v>131</v>
      </c>
      <c r="B348" s="526"/>
      <c r="C348" s="529"/>
      <c r="D348" s="531"/>
      <c r="E348" s="534"/>
      <c r="F348" s="72">
        <v>3</v>
      </c>
      <c r="G348" s="73" t="s">
        <v>126</v>
      </c>
      <c r="H348" s="74">
        <f t="shared" si="10"/>
        <v>80</v>
      </c>
      <c r="I348" s="65" t="s">
        <v>131</v>
      </c>
    </row>
    <row r="349" spans="1:9" ht="15" hidden="1" customHeight="1" x14ac:dyDescent="0.25">
      <c r="A349" s="65" t="s">
        <v>131</v>
      </c>
      <c r="B349" s="541" t="s">
        <v>128</v>
      </c>
      <c r="C349" s="527"/>
      <c r="D349" s="531"/>
      <c r="E349" s="534"/>
      <c r="F349" s="72">
        <v>2</v>
      </c>
      <c r="G349" s="73" t="s">
        <v>126</v>
      </c>
      <c r="H349" s="74">
        <f t="shared" si="10"/>
        <v>75</v>
      </c>
      <c r="I349" s="65" t="s">
        <v>131</v>
      </c>
    </row>
    <row r="350" spans="1:9" ht="15.75" hidden="1" customHeight="1" thickBot="1" x14ac:dyDescent="0.3">
      <c r="A350" s="65" t="s">
        <v>131</v>
      </c>
      <c r="B350" s="542"/>
      <c r="C350" s="529"/>
      <c r="D350" s="532"/>
      <c r="E350" s="535"/>
      <c r="F350" s="75">
        <v>1</v>
      </c>
      <c r="G350" s="76" t="s">
        <v>126</v>
      </c>
      <c r="H350" s="77">
        <f t="shared" si="10"/>
        <v>70</v>
      </c>
      <c r="I350" s="65" t="s">
        <v>131</v>
      </c>
    </row>
    <row r="351" spans="1:9" ht="15.75" hidden="1" customHeight="1" thickBot="1" x14ac:dyDescent="0.3">
      <c r="A351" s="65" t="s">
        <v>131</v>
      </c>
      <c r="B351" s="548">
        <v>5</v>
      </c>
      <c r="C351" s="527"/>
      <c r="D351" s="57" t="s">
        <v>125</v>
      </c>
      <c r="E351" s="58">
        <v>0.6</v>
      </c>
      <c r="F351" s="78">
        <v>10</v>
      </c>
      <c r="G351" s="79" t="s">
        <v>126</v>
      </c>
      <c r="H351" s="80">
        <v>115</v>
      </c>
      <c r="I351" s="65" t="s">
        <v>131</v>
      </c>
    </row>
    <row r="352" spans="1:9" ht="15" hidden="1" customHeight="1" x14ac:dyDescent="0.25">
      <c r="A352" s="65" t="s">
        <v>131</v>
      </c>
      <c r="B352" s="525"/>
      <c r="C352" s="528"/>
      <c r="D352" s="530"/>
      <c r="E352" s="533">
        <f>IF(D352=0,0,VLOOKUP($D352,$F351:$H360,3,FALSE)*$E351)</f>
        <v>0</v>
      </c>
      <c r="F352" s="72">
        <v>9</v>
      </c>
      <c r="G352" s="73" t="s">
        <v>126</v>
      </c>
      <c r="H352" s="74">
        <f>H351-5</f>
        <v>110</v>
      </c>
      <c r="I352" s="65" t="s">
        <v>131</v>
      </c>
    </row>
    <row r="353" spans="1:9" ht="15" hidden="1" customHeight="1" x14ac:dyDescent="0.25">
      <c r="A353" s="65" t="s">
        <v>131</v>
      </c>
      <c r="B353" s="525"/>
      <c r="C353" s="528"/>
      <c r="D353" s="531"/>
      <c r="E353" s="534"/>
      <c r="F353" s="72">
        <v>8</v>
      </c>
      <c r="G353" s="73" t="s">
        <v>126</v>
      </c>
      <c r="H353" s="74">
        <f t="shared" ref="H353:H360" si="11">H352-5</f>
        <v>105</v>
      </c>
      <c r="I353" s="65" t="s">
        <v>131</v>
      </c>
    </row>
    <row r="354" spans="1:9" ht="15" hidden="1" customHeight="1" x14ac:dyDescent="0.25">
      <c r="A354" s="65" t="s">
        <v>131</v>
      </c>
      <c r="B354" s="525"/>
      <c r="C354" s="528"/>
      <c r="D354" s="531"/>
      <c r="E354" s="534"/>
      <c r="F354" s="72">
        <v>7</v>
      </c>
      <c r="G354" s="73" t="s">
        <v>126</v>
      </c>
      <c r="H354" s="74">
        <f t="shared" si="11"/>
        <v>100</v>
      </c>
      <c r="I354" s="65" t="s">
        <v>131</v>
      </c>
    </row>
    <row r="355" spans="1:9" ht="15" hidden="1" customHeight="1" x14ac:dyDescent="0.25">
      <c r="A355" s="65" t="s">
        <v>131</v>
      </c>
      <c r="B355" s="525"/>
      <c r="C355" s="528"/>
      <c r="D355" s="531"/>
      <c r="E355" s="534"/>
      <c r="F355" s="72">
        <v>6</v>
      </c>
      <c r="G355" s="73" t="s">
        <v>126</v>
      </c>
      <c r="H355" s="74">
        <f t="shared" si="11"/>
        <v>95</v>
      </c>
      <c r="I355" s="65" t="s">
        <v>131</v>
      </c>
    </row>
    <row r="356" spans="1:9" ht="15" hidden="1" customHeight="1" x14ac:dyDescent="0.25">
      <c r="A356" s="65" t="s">
        <v>131</v>
      </c>
      <c r="B356" s="525"/>
      <c r="C356" s="528"/>
      <c r="D356" s="531"/>
      <c r="E356" s="534"/>
      <c r="F356" s="72">
        <v>5</v>
      </c>
      <c r="G356" s="73" t="s">
        <v>126</v>
      </c>
      <c r="H356" s="74">
        <f t="shared" si="11"/>
        <v>90</v>
      </c>
      <c r="I356" s="65" t="s">
        <v>131</v>
      </c>
    </row>
    <row r="357" spans="1:9" ht="15" hidden="1" customHeight="1" x14ac:dyDescent="0.25">
      <c r="A357" s="65" t="s">
        <v>131</v>
      </c>
      <c r="B357" s="525"/>
      <c r="C357" s="528"/>
      <c r="D357" s="531"/>
      <c r="E357" s="534"/>
      <c r="F357" s="72">
        <v>4</v>
      </c>
      <c r="G357" s="73" t="s">
        <v>126</v>
      </c>
      <c r="H357" s="74">
        <f t="shared" si="11"/>
        <v>85</v>
      </c>
      <c r="I357" s="65" t="s">
        <v>131</v>
      </c>
    </row>
    <row r="358" spans="1:9" ht="15.75" hidden="1" customHeight="1" thickBot="1" x14ac:dyDescent="0.3">
      <c r="A358" s="65" t="s">
        <v>131</v>
      </c>
      <c r="B358" s="526"/>
      <c r="C358" s="529"/>
      <c r="D358" s="531"/>
      <c r="E358" s="534"/>
      <c r="F358" s="72">
        <v>3</v>
      </c>
      <c r="G358" s="73" t="s">
        <v>126</v>
      </c>
      <c r="H358" s="74">
        <f t="shared" si="11"/>
        <v>80</v>
      </c>
      <c r="I358" s="65" t="s">
        <v>131</v>
      </c>
    </row>
    <row r="359" spans="1:9" ht="15" hidden="1" customHeight="1" x14ac:dyDescent="0.25">
      <c r="A359" s="65" t="s">
        <v>131</v>
      </c>
      <c r="B359" s="541" t="s">
        <v>128</v>
      </c>
      <c r="C359" s="527"/>
      <c r="D359" s="531"/>
      <c r="E359" s="534"/>
      <c r="F359" s="72">
        <v>2</v>
      </c>
      <c r="G359" s="73" t="s">
        <v>126</v>
      </c>
      <c r="H359" s="74">
        <f t="shared" si="11"/>
        <v>75</v>
      </c>
      <c r="I359" s="65" t="s">
        <v>131</v>
      </c>
    </row>
    <row r="360" spans="1:9" ht="15.75" hidden="1" customHeight="1" thickBot="1" x14ac:dyDescent="0.3">
      <c r="A360" s="65" t="s">
        <v>131</v>
      </c>
      <c r="B360" s="542"/>
      <c r="C360" s="529"/>
      <c r="D360" s="532"/>
      <c r="E360" s="535"/>
      <c r="F360" s="75">
        <v>1</v>
      </c>
      <c r="G360" s="76" t="s">
        <v>126</v>
      </c>
      <c r="H360" s="77">
        <f t="shared" si="11"/>
        <v>70</v>
      </c>
      <c r="I360" s="65" t="s">
        <v>131</v>
      </c>
    </row>
    <row r="361" spans="1:9" ht="15.75" thickBot="1" x14ac:dyDescent="0.3">
      <c r="A361" s="65" t="s">
        <v>131</v>
      </c>
      <c r="B361" s="65" t="s">
        <v>131</v>
      </c>
      <c r="C361" s="65"/>
      <c r="D361" s="65" t="s">
        <v>131</v>
      </c>
      <c r="E361" s="65" t="s">
        <v>131</v>
      </c>
      <c r="F361" s="65" t="s">
        <v>131</v>
      </c>
      <c r="G361" s="65" t="s">
        <v>131</v>
      </c>
      <c r="H361" s="65" t="s">
        <v>131</v>
      </c>
      <c r="I361" s="65" t="s">
        <v>131</v>
      </c>
    </row>
    <row r="362" spans="1:9" x14ac:dyDescent="0.25">
      <c r="A362" s="69" t="s">
        <v>131</v>
      </c>
      <c r="B362" s="125" t="s">
        <v>134</v>
      </c>
      <c r="C362" s="126"/>
      <c r="D362" s="126"/>
      <c r="E362" s="126"/>
      <c r="F362" s="126"/>
      <c r="G362" s="551" t="s">
        <v>17</v>
      </c>
      <c r="H362" s="552"/>
      <c r="I362" s="553"/>
    </row>
    <row r="363" spans="1:9" ht="15.75" thickBot="1" x14ac:dyDescent="0.3">
      <c r="A363" s="69" t="s">
        <v>131</v>
      </c>
      <c r="B363" s="127" t="s">
        <v>187</v>
      </c>
      <c r="C363" s="128"/>
      <c r="D363" s="128"/>
      <c r="E363" s="128"/>
      <c r="F363" s="128"/>
      <c r="G363" s="554">
        <v>0.25</v>
      </c>
      <c r="H363" s="555"/>
      <c r="I363" s="556"/>
    </row>
    <row r="364" spans="1:9" ht="15.75" thickBot="1" x14ac:dyDescent="0.3">
      <c r="A364" s="69" t="s">
        <v>131</v>
      </c>
      <c r="B364" s="168" t="s">
        <v>119</v>
      </c>
      <c r="C364" s="56"/>
      <c r="D364" s="504" t="s">
        <v>124</v>
      </c>
      <c r="E364" s="505"/>
      <c r="F364" s="506" t="s">
        <v>130</v>
      </c>
      <c r="G364" s="507"/>
      <c r="H364" s="508"/>
      <c r="I364" s="69" t="s">
        <v>131</v>
      </c>
    </row>
    <row r="365" spans="1:9" ht="15.75" customHeight="1" thickBot="1" x14ac:dyDescent="0.3">
      <c r="A365" s="69" t="s">
        <v>131</v>
      </c>
      <c r="B365" s="524">
        <v>1</v>
      </c>
      <c r="C365" s="527" t="s">
        <v>371</v>
      </c>
      <c r="D365" s="57" t="s">
        <v>125</v>
      </c>
      <c r="E365" s="58">
        <v>0.1</v>
      </c>
      <c r="F365" s="164">
        <v>1</v>
      </c>
      <c r="G365" s="70" t="s">
        <v>365</v>
      </c>
      <c r="H365" s="71">
        <v>115</v>
      </c>
      <c r="I365" s="69" t="s">
        <v>131</v>
      </c>
    </row>
    <row r="366" spans="1:9" x14ac:dyDescent="0.25">
      <c r="A366" s="69" t="s">
        <v>131</v>
      </c>
      <c r="B366" s="525"/>
      <c r="C366" s="528"/>
      <c r="D366" s="530">
        <v>1</v>
      </c>
      <c r="E366" s="533">
        <f>IF(D366=0,0,VLOOKUP($D366,$F365:$H374,3,FALSE)*$E365)</f>
        <v>11.5</v>
      </c>
      <c r="F366" s="72">
        <v>2</v>
      </c>
      <c r="G366" s="70" t="s">
        <v>366</v>
      </c>
      <c r="H366" s="74">
        <v>110</v>
      </c>
      <c r="I366" s="69" t="s">
        <v>131</v>
      </c>
    </row>
    <row r="367" spans="1:9" x14ac:dyDescent="0.25">
      <c r="A367" s="69" t="s">
        <v>131</v>
      </c>
      <c r="B367" s="525"/>
      <c r="C367" s="528"/>
      <c r="D367" s="531"/>
      <c r="E367" s="534"/>
      <c r="F367" s="195">
        <v>3</v>
      </c>
      <c r="G367" s="363" t="s">
        <v>367</v>
      </c>
      <c r="H367" s="197">
        <v>100</v>
      </c>
      <c r="I367" s="69" t="s">
        <v>131</v>
      </c>
    </row>
    <row r="368" spans="1:9" x14ac:dyDescent="0.25">
      <c r="A368" s="69" t="s">
        <v>131</v>
      </c>
      <c r="B368" s="525"/>
      <c r="C368" s="528"/>
      <c r="D368" s="531"/>
      <c r="E368" s="534"/>
      <c r="F368" s="72">
        <v>4</v>
      </c>
      <c r="G368" s="70" t="s">
        <v>368</v>
      </c>
      <c r="H368" s="74">
        <v>90</v>
      </c>
      <c r="I368" s="69" t="s">
        <v>131</v>
      </c>
    </row>
    <row r="369" spans="1:9" x14ac:dyDescent="0.25">
      <c r="A369" s="69" t="s">
        <v>131</v>
      </c>
      <c r="B369" s="525"/>
      <c r="C369" s="528"/>
      <c r="D369" s="531"/>
      <c r="E369" s="534"/>
      <c r="F369" s="72">
        <v>5</v>
      </c>
      <c r="G369" s="70" t="s">
        <v>369</v>
      </c>
      <c r="H369" s="74">
        <v>50</v>
      </c>
      <c r="I369" s="69" t="s">
        <v>131</v>
      </c>
    </row>
    <row r="370" spans="1:9" x14ac:dyDescent="0.25">
      <c r="A370" s="69" t="s">
        <v>131</v>
      </c>
      <c r="B370" s="525"/>
      <c r="C370" s="528"/>
      <c r="D370" s="531"/>
      <c r="E370" s="534"/>
      <c r="F370" s="72">
        <v>6</v>
      </c>
      <c r="G370" s="70" t="s">
        <v>370</v>
      </c>
      <c r="H370" s="74">
        <v>0</v>
      </c>
      <c r="I370" s="69" t="s">
        <v>131</v>
      </c>
    </row>
    <row r="371" spans="1:9" x14ac:dyDescent="0.25">
      <c r="A371" s="69" t="s">
        <v>131</v>
      </c>
      <c r="B371" s="525"/>
      <c r="C371" s="528"/>
      <c r="D371" s="531"/>
      <c r="E371" s="534"/>
      <c r="F371" s="72"/>
      <c r="G371" s="73"/>
      <c r="H371" s="74"/>
      <c r="I371" s="69" t="s">
        <v>131</v>
      </c>
    </row>
    <row r="372" spans="1:9" ht="15.75" thickBot="1" x14ac:dyDescent="0.3">
      <c r="A372" s="69" t="s">
        <v>131</v>
      </c>
      <c r="B372" s="526"/>
      <c r="C372" s="529"/>
      <c r="D372" s="531"/>
      <c r="E372" s="534"/>
      <c r="F372" s="72"/>
      <c r="G372" s="73"/>
      <c r="H372" s="74"/>
      <c r="I372" s="69" t="s">
        <v>131</v>
      </c>
    </row>
    <row r="373" spans="1:9" x14ac:dyDescent="0.25">
      <c r="A373" s="69" t="s">
        <v>131</v>
      </c>
      <c r="B373" s="541" t="s">
        <v>128</v>
      </c>
      <c r="C373" s="549" t="s">
        <v>365</v>
      </c>
      <c r="D373" s="531"/>
      <c r="E373" s="534"/>
      <c r="F373" s="72"/>
      <c r="G373" s="73"/>
      <c r="H373" s="74"/>
      <c r="I373" s="69" t="s">
        <v>131</v>
      </c>
    </row>
    <row r="374" spans="1:9" ht="15.75" thickBot="1" x14ac:dyDescent="0.3">
      <c r="A374" s="69" t="s">
        <v>131</v>
      </c>
      <c r="B374" s="542"/>
      <c r="C374" s="550"/>
      <c r="D374" s="532"/>
      <c r="E374" s="535"/>
      <c r="F374" s="75"/>
      <c r="G374" s="76"/>
      <c r="H374" s="77"/>
      <c r="I374" s="69" t="s">
        <v>131</v>
      </c>
    </row>
    <row r="375" spans="1:9" ht="15.75" customHeight="1" thickBot="1" x14ac:dyDescent="0.3">
      <c r="A375" s="69" t="s">
        <v>131</v>
      </c>
      <c r="B375" s="524">
        <v>2</v>
      </c>
      <c r="C375" s="527" t="s">
        <v>372</v>
      </c>
      <c r="D375" s="57" t="s">
        <v>125</v>
      </c>
      <c r="E375" s="58">
        <v>0.1</v>
      </c>
      <c r="F375" s="164">
        <v>1</v>
      </c>
      <c r="G375" s="70" t="s">
        <v>365</v>
      </c>
      <c r="H375" s="71">
        <v>115</v>
      </c>
      <c r="I375" s="69" t="s">
        <v>131</v>
      </c>
    </row>
    <row r="376" spans="1:9" x14ac:dyDescent="0.25">
      <c r="A376" s="69" t="s">
        <v>131</v>
      </c>
      <c r="B376" s="525"/>
      <c r="C376" s="528"/>
      <c r="D376" s="544">
        <v>1</v>
      </c>
      <c r="E376" s="533">
        <f>IF(D376=0,0,VLOOKUP($D376,$F375:$H384,3,FALSE)*$E375)</f>
        <v>11.5</v>
      </c>
      <c r="F376" s="72">
        <v>2</v>
      </c>
      <c r="G376" s="70" t="s">
        <v>366</v>
      </c>
      <c r="H376" s="74">
        <v>110</v>
      </c>
      <c r="I376" s="69" t="s">
        <v>131</v>
      </c>
    </row>
    <row r="377" spans="1:9" x14ac:dyDescent="0.25">
      <c r="A377" s="69" t="s">
        <v>131</v>
      </c>
      <c r="B377" s="525"/>
      <c r="C377" s="528"/>
      <c r="D377" s="545"/>
      <c r="E377" s="534"/>
      <c r="F377" s="195">
        <v>3</v>
      </c>
      <c r="G377" s="363" t="s">
        <v>367</v>
      </c>
      <c r="H377" s="197">
        <v>100</v>
      </c>
      <c r="I377" s="69" t="s">
        <v>131</v>
      </c>
    </row>
    <row r="378" spans="1:9" x14ac:dyDescent="0.25">
      <c r="A378" s="69" t="s">
        <v>131</v>
      </c>
      <c r="B378" s="525"/>
      <c r="C378" s="528"/>
      <c r="D378" s="545"/>
      <c r="E378" s="534"/>
      <c r="F378" s="72">
        <v>4</v>
      </c>
      <c r="G378" s="70" t="s">
        <v>368</v>
      </c>
      <c r="H378" s="74">
        <v>90</v>
      </c>
      <c r="I378" s="69" t="s">
        <v>131</v>
      </c>
    </row>
    <row r="379" spans="1:9" x14ac:dyDescent="0.25">
      <c r="A379" s="69" t="s">
        <v>131</v>
      </c>
      <c r="B379" s="525"/>
      <c r="C379" s="528"/>
      <c r="D379" s="545"/>
      <c r="E379" s="534"/>
      <c r="F379" s="72">
        <v>5</v>
      </c>
      <c r="G379" s="70" t="s">
        <v>369</v>
      </c>
      <c r="H379" s="74">
        <v>50</v>
      </c>
      <c r="I379" s="69" t="s">
        <v>131</v>
      </c>
    </row>
    <row r="380" spans="1:9" x14ac:dyDescent="0.25">
      <c r="A380" s="69" t="s">
        <v>131</v>
      </c>
      <c r="B380" s="525"/>
      <c r="C380" s="528"/>
      <c r="D380" s="545"/>
      <c r="E380" s="534"/>
      <c r="F380" s="72">
        <v>6</v>
      </c>
      <c r="G380" s="70" t="s">
        <v>370</v>
      </c>
      <c r="H380" s="74">
        <v>0</v>
      </c>
      <c r="I380" s="69" t="s">
        <v>131</v>
      </c>
    </row>
    <row r="381" spans="1:9" x14ac:dyDescent="0.25">
      <c r="A381" s="69" t="s">
        <v>131</v>
      </c>
      <c r="B381" s="525"/>
      <c r="C381" s="528"/>
      <c r="D381" s="545"/>
      <c r="E381" s="534"/>
      <c r="F381" s="72"/>
      <c r="G381" s="73"/>
      <c r="H381" s="74"/>
      <c r="I381" s="69" t="s">
        <v>131</v>
      </c>
    </row>
    <row r="382" spans="1:9" ht="15.75" thickBot="1" x14ac:dyDescent="0.3">
      <c r="A382" s="69" t="s">
        <v>131</v>
      </c>
      <c r="B382" s="526"/>
      <c r="C382" s="529"/>
      <c r="D382" s="545"/>
      <c r="E382" s="534"/>
      <c r="F382" s="72"/>
      <c r="G382" s="73"/>
      <c r="H382" s="74"/>
      <c r="I382" s="69" t="s">
        <v>131</v>
      </c>
    </row>
    <row r="383" spans="1:9" x14ac:dyDescent="0.25">
      <c r="A383" s="69" t="s">
        <v>131</v>
      </c>
      <c r="B383" s="541" t="s">
        <v>128</v>
      </c>
      <c r="C383" s="549" t="s">
        <v>365</v>
      </c>
      <c r="D383" s="545"/>
      <c r="E383" s="534"/>
      <c r="F383" s="72"/>
      <c r="G383" s="73"/>
      <c r="H383" s="74"/>
      <c r="I383" s="69" t="s">
        <v>131</v>
      </c>
    </row>
    <row r="384" spans="1:9" ht="15.75" thickBot="1" x14ac:dyDescent="0.3">
      <c r="A384" s="69" t="s">
        <v>131</v>
      </c>
      <c r="B384" s="542"/>
      <c r="C384" s="550"/>
      <c r="D384" s="546"/>
      <c r="E384" s="535"/>
      <c r="F384" s="75"/>
      <c r="G384" s="76"/>
      <c r="H384" s="77"/>
      <c r="I384" s="69" t="s">
        <v>131</v>
      </c>
    </row>
    <row r="385" spans="1:9" ht="15.75" customHeight="1" thickBot="1" x14ac:dyDescent="0.3">
      <c r="A385" s="69" t="s">
        <v>131</v>
      </c>
      <c r="B385" s="524">
        <v>3</v>
      </c>
      <c r="C385" s="549" t="s">
        <v>193</v>
      </c>
      <c r="D385" s="57" t="s">
        <v>125</v>
      </c>
      <c r="E385" s="58">
        <v>0.15</v>
      </c>
      <c r="F385" s="164">
        <v>1</v>
      </c>
      <c r="G385" s="70" t="s">
        <v>194</v>
      </c>
      <c r="H385" s="71">
        <v>115</v>
      </c>
      <c r="I385" s="69" t="s">
        <v>131</v>
      </c>
    </row>
    <row r="386" spans="1:9" x14ac:dyDescent="0.25">
      <c r="A386" s="69" t="s">
        <v>131</v>
      </c>
      <c r="B386" s="525"/>
      <c r="C386" s="557"/>
      <c r="D386" s="530">
        <v>1</v>
      </c>
      <c r="E386" s="533">
        <f>IF(D386=0,0,VLOOKUP($D386,$F385:$H394,3,FALSE)*$E385)</f>
        <v>17.25</v>
      </c>
      <c r="F386" s="72">
        <v>2</v>
      </c>
      <c r="G386" s="73" t="s">
        <v>195</v>
      </c>
      <c r="H386" s="74">
        <v>110</v>
      </c>
      <c r="I386" s="69" t="s">
        <v>131</v>
      </c>
    </row>
    <row r="387" spans="1:9" x14ac:dyDescent="0.25">
      <c r="A387" s="69" t="s">
        <v>131</v>
      </c>
      <c r="B387" s="525"/>
      <c r="C387" s="557"/>
      <c r="D387" s="531"/>
      <c r="E387" s="534"/>
      <c r="F387" s="72">
        <v>3</v>
      </c>
      <c r="G387" s="70" t="s">
        <v>196</v>
      </c>
      <c r="H387" s="74">
        <v>100</v>
      </c>
      <c r="I387" s="69" t="s">
        <v>131</v>
      </c>
    </row>
    <row r="388" spans="1:9" x14ac:dyDescent="0.25">
      <c r="A388" s="69" t="s">
        <v>131</v>
      </c>
      <c r="B388" s="525"/>
      <c r="C388" s="557"/>
      <c r="D388" s="531"/>
      <c r="E388" s="534"/>
      <c r="F388" s="72">
        <v>4</v>
      </c>
      <c r="G388" s="73" t="s">
        <v>197</v>
      </c>
      <c r="H388" s="74">
        <v>80</v>
      </c>
      <c r="I388" s="69" t="s">
        <v>131</v>
      </c>
    </row>
    <row r="389" spans="1:9" x14ac:dyDescent="0.25">
      <c r="A389" s="69" t="s">
        <v>131</v>
      </c>
      <c r="B389" s="525"/>
      <c r="C389" s="557"/>
      <c r="D389" s="531"/>
      <c r="E389" s="534"/>
      <c r="F389" s="72">
        <v>5</v>
      </c>
      <c r="G389" s="73" t="s">
        <v>157</v>
      </c>
      <c r="H389" s="74">
        <v>50</v>
      </c>
      <c r="I389" s="69" t="s">
        <v>131</v>
      </c>
    </row>
    <row r="390" spans="1:9" x14ac:dyDescent="0.25">
      <c r="A390" s="69" t="s">
        <v>131</v>
      </c>
      <c r="B390" s="525"/>
      <c r="C390" s="557"/>
      <c r="D390" s="531"/>
      <c r="E390" s="534"/>
      <c r="F390" s="72"/>
      <c r="G390" s="73"/>
      <c r="H390" s="74"/>
      <c r="I390" s="69" t="s">
        <v>131</v>
      </c>
    </row>
    <row r="391" spans="1:9" x14ac:dyDescent="0.25">
      <c r="A391" s="69" t="s">
        <v>131</v>
      </c>
      <c r="B391" s="525"/>
      <c r="C391" s="557"/>
      <c r="D391" s="531"/>
      <c r="E391" s="534"/>
      <c r="F391" s="72"/>
      <c r="G391" s="73"/>
      <c r="H391" s="74"/>
      <c r="I391" s="69" t="s">
        <v>131</v>
      </c>
    </row>
    <row r="392" spans="1:9" ht="15.75" thickBot="1" x14ac:dyDescent="0.3">
      <c r="A392" s="69" t="s">
        <v>131</v>
      </c>
      <c r="B392" s="526"/>
      <c r="C392" s="550"/>
      <c r="D392" s="531"/>
      <c r="E392" s="534"/>
      <c r="F392" s="72"/>
      <c r="G392" s="73"/>
      <c r="H392" s="74"/>
      <c r="I392" s="69" t="s">
        <v>131</v>
      </c>
    </row>
    <row r="393" spans="1:9" x14ac:dyDescent="0.25">
      <c r="A393" s="69" t="s">
        <v>131</v>
      </c>
      <c r="B393" s="541" t="s">
        <v>128</v>
      </c>
      <c r="C393" s="527" t="s">
        <v>194</v>
      </c>
      <c r="D393" s="531"/>
      <c r="E393" s="534"/>
      <c r="F393" s="72"/>
      <c r="G393" s="73"/>
      <c r="H393" s="74"/>
      <c r="I393" s="69" t="s">
        <v>131</v>
      </c>
    </row>
    <row r="394" spans="1:9" ht="15.75" thickBot="1" x14ac:dyDescent="0.3">
      <c r="A394" s="69" t="s">
        <v>131</v>
      </c>
      <c r="B394" s="542"/>
      <c r="C394" s="529"/>
      <c r="D394" s="532"/>
      <c r="E394" s="535"/>
      <c r="F394" s="75"/>
      <c r="G394" s="76"/>
      <c r="H394" s="77"/>
      <c r="I394" s="69" t="s">
        <v>131</v>
      </c>
    </row>
    <row r="395" spans="1:9" ht="15.75" customHeight="1" thickBot="1" x14ac:dyDescent="0.3">
      <c r="A395" s="69" t="s">
        <v>131</v>
      </c>
      <c r="B395" s="524">
        <v>4</v>
      </c>
      <c r="C395" s="527" t="s">
        <v>198</v>
      </c>
      <c r="D395" s="57" t="s">
        <v>125</v>
      </c>
      <c r="E395" s="58">
        <v>0.15</v>
      </c>
      <c r="F395" s="164">
        <v>1</v>
      </c>
      <c r="G395" s="70" t="s">
        <v>189</v>
      </c>
      <c r="H395" s="71">
        <v>115</v>
      </c>
      <c r="I395" s="69" t="s">
        <v>131</v>
      </c>
    </row>
    <row r="396" spans="1:9" ht="15" customHeight="1" x14ac:dyDescent="0.25">
      <c r="A396" s="69" t="s">
        <v>131</v>
      </c>
      <c r="B396" s="525"/>
      <c r="C396" s="528"/>
      <c r="D396" s="530">
        <v>1</v>
      </c>
      <c r="E396" s="533">
        <f>IF(D396=0,0,VLOOKUP($D396,$F395:$H404,3,FALSE)*$E395)</f>
        <v>17.25</v>
      </c>
      <c r="F396" s="72">
        <v>2</v>
      </c>
      <c r="G396" s="73" t="s">
        <v>185</v>
      </c>
      <c r="H396" s="74">
        <v>100</v>
      </c>
      <c r="I396" s="69" t="s">
        <v>131</v>
      </c>
    </row>
    <row r="397" spans="1:9" ht="15" customHeight="1" x14ac:dyDescent="0.25">
      <c r="A397" s="69" t="s">
        <v>131</v>
      </c>
      <c r="B397" s="525"/>
      <c r="C397" s="528"/>
      <c r="D397" s="531"/>
      <c r="E397" s="534"/>
      <c r="F397" s="72">
        <v>3</v>
      </c>
      <c r="G397" s="73" t="s">
        <v>190</v>
      </c>
      <c r="H397" s="74">
        <f t="shared" ref="H397" si="12">H396-5</f>
        <v>95</v>
      </c>
      <c r="I397" s="69" t="s">
        <v>131</v>
      </c>
    </row>
    <row r="398" spans="1:9" ht="15" customHeight="1" x14ac:dyDescent="0.25">
      <c r="A398" s="69" t="s">
        <v>131</v>
      </c>
      <c r="B398" s="525"/>
      <c r="C398" s="528"/>
      <c r="D398" s="531"/>
      <c r="E398" s="534"/>
      <c r="F398" s="72">
        <v>4</v>
      </c>
      <c r="G398" s="73" t="s">
        <v>201</v>
      </c>
      <c r="H398" s="74">
        <v>50</v>
      </c>
      <c r="I398" s="69" t="s">
        <v>131</v>
      </c>
    </row>
    <row r="399" spans="1:9" ht="15" customHeight="1" x14ac:dyDescent="0.25">
      <c r="A399" s="69" t="s">
        <v>131</v>
      </c>
      <c r="B399" s="525"/>
      <c r="C399" s="528"/>
      <c r="D399" s="531"/>
      <c r="E399" s="534"/>
      <c r="F399" s="72"/>
      <c r="G399" s="167" t="s">
        <v>186</v>
      </c>
      <c r="H399" s="74"/>
      <c r="I399" s="69" t="s">
        <v>131</v>
      </c>
    </row>
    <row r="400" spans="1:9" ht="15" customHeight="1" x14ac:dyDescent="0.25">
      <c r="A400" s="69" t="s">
        <v>131</v>
      </c>
      <c r="B400" s="525"/>
      <c r="C400" s="528"/>
      <c r="D400" s="531"/>
      <c r="E400" s="534"/>
      <c r="F400" s="72"/>
      <c r="G400" s="73"/>
      <c r="H400" s="74"/>
      <c r="I400" s="69" t="s">
        <v>131</v>
      </c>
    </row>
    <row r="401" spans="1:9" ht="15" customHeight="1" x14ac:dyDescent="0.25">
      <c r="A401" s="69" t="s">
        <v>131</v>
      </c>
      <c r="B401" s="525"/>
      <c r="C401" s="528"/>
      <c r="D401" s="531"/>
      <c r="E401" s="534"/>
      <c r="F401" s="72"/>
      <c r="G401" s="73"/>
      <c r="H401" s="74"/>
      <c r="I401" s="69" t="s">
        <v>131</v>
      </c>
    </row>
    <row r="402" spans="1:9" ht="15.75" customHeight="1" thickBot="1" x14ac:dyDescent="0.3">
      <c r="A402" s="69" t="s">
        <v>131</v>
      </c>
      <c r="B402" s="526"/>
      <c r="C402" s="529"/>
      <c r="D402" s="531"/>
      <c r="E402" s="534"/>
      <c r="F402" s="72"/>
      <c r="G402" s="73"/>
      <c r="H402" s="74"/>
      <c r="I402" s="69" t="s">
        <v>131</v>
      </c>
    </row>
    <row r="403" spans="1:9" ht="15" customHeight="1" x14ac:dyDescent="0.25">
      <c r="A403" s="69" t="s">
        <v>131</v>
      </c>
      <c r="B403" s="541" t="s">
        <v>128</v>
      </c>
      <c r="C403" s="527" t="s">
        <v>189</v>
      </c>
      <c r="D403" s="531"/>
      <c r="E403" s="534"/>
      <c r="F403" s="72"/>
      <c r="G403" s="73"/>
      <c r="H403" s="74"/>
      <c r="I403" s="69" t="s">
        <v>131</v>
      </c>
    </row>
    <row r="404" spans="1:9" ht="15.75" customHeight="1" thickBot="1" x14ac:dyDescent="0.3">
      <c r="A404" s="69" t="s">
        <v>131</v>
      </c>
      <c r="B404" s="542"/>
      <c r="C404" s="529"/>
      <c r="D404" s="532"/>
      <c r="E404" s="535"/>
      <c r="F404" s="75"/>
      <c r="G404" s="76"/>
      <c r="H404" s="77"/>
      <c r="I404" s="69" t="s">
        <v>131</v>
      </c>
    </row>
    <row r="405" spans="1:9" ht="15.75" customHeight="1" thickBot="1" x14ac:dyDescent="0.3">
      <c r="A405" s="69" t="s">
        <v>131</v>
      </c>
      <c r="B405" s="548">
        <v>5</v>
      </c>
      <c r="C405" s="527" t="s">
        <v>199</v>
      </c>
      <c r="D405" s="57" t="s">
        <v>125</v>
      </c>
      <c r="E405" s="58">
        <v>0.2</v>
      </c>
      <c r="F405" s="164">
        <v>1</v>
      </c>
      <c r="G405" s="70" t="s">
        <v>76</v>
      </c>
      <c r="H405" s="71">
        <v>115</v>
      </c>
      <c r="I405" s="69" t="s">
        <v>131</v>
      </c>
    </row>
    <row r="406" spans="1:9" ht="15" customHeight="1" x14ac:dyDescent="0.25">
      <c r="A406" s="69" t="s">
        <v>131</v>
      </c>
      <c r="B406" s="525"/>
      <c r="C406" s="528"/>
      <c r="D406" s="530">
        <v>1</v>
      </c>
      <c r="E406" s="533">
        <f>IF(D406=0,0,VLOOKUP($D406,$F405:$H414,3,FALSE)*$E405)</f>
        <v>23</v>
      </c>
      <c r="F406" s="72">
        <v>2</v>
      </c>
      <c r="G406" s="73" t="s">
        <v>77</v>
      </c>
      <c r="H406" s="74">
        <v>100</v>
      </c>
      <c r="I406" s="69" t="s">
        <v>131</v>
      </c>
    </row>
    <row r="407" spans="1:9" ht="15" customHeight="1" x14ac:dyDescent="0.25">
      <c r="A407" s="69" t="s">
        <v>131</v>
      </c>
      <c r="B407" s="525"/>
      <c r="C407" s="528"/>
      <c r="D407" s="531"/>
      <c r="E407" s="534"/>
      <c r="F407" s="72">
        <v>3</v>
      </c>
      <c r="G407" s="73" t="s">
        <v>78</v>
      </c>
      <c r="H407" s="74">
        <f t="shared" ref="H407" si="13">H406-5</f>
        <v>95</v>
      </c>
      <c r="I407" s="69" t="s">
        <v>131</v>
      </c>
    </row>
    <row r="408" spans="1:9" ht="15" customHeight="1" x14ac:dyDescent="0.25">
      <c r="A408" s="69" t="s">
        <v>131</v>
      </c>
      <c r="B408" s="525"/>
      <c r="C408" s="528"/>
      <c r="D408" s="531"/>
      <c r="E408" s="534"/>
      <c r="F408" s="72">
        <v>4</v>
      </c>
      <c r="G408" s="73" t="s">
        <v>157</v>
      </c>
      <c r="H408" s="74">
        <v>50</v>
      </c>
      <c r="I408" s="69" t="s">
        <v>131</v>
      </c>
    </row>
    <row r="409" spans="1:9" ht="15" customHeight="1" x14ac:dyDescent="0.25">
      <c r="A409" s="69" t="s">
        <v>131</v>
      </c>
      <c r="B409" s="525"/>
      <c r="C409" s="528"/>
      <c r="D409" s="531"/>
      <c r="E409" s="534"/>
      <c r="F409" s="72"/>
      <c r="G409" s="73"/>
      <c r="H409" s="74"/>
      <c r="I409" s="69" t="s">
        <v>131</v>
      </c>
    </row>
    <row r="410" spans="1:9" ht="15" customHeight="1" x14ac:dyDescent="0.25">
      <c r="A410" s="69" t="s">
        <v>131</v>
      </c>
      <c r="B410" s="525"/>
      <c r="C410" s="528"/>
      <c r="D410" s="531"/>
      <c r="E410" s="534"/>
      <c r="F410" s="72"/>
      <c r="G410" s="73"/>
      <c r="H410" s="74"/>
      <c r="I410" s="69" t="s">
        <v>131</v>
      </c>
    </row>
    <row r="411" spans="1:9" ht="15" customHeight="1" x14ac:dyDescent="0.25">
      <c r="A411" s="69" t="s">
        <v>131</v>
      </c>
      <c r="B411" s="525"/>
      <c r="C411" s="528"/>
      <c r="D411" s="531"/>
      <c r="E411" s="534"/>
      <c r="F411" s="72"/>
      <c r="G411" s="73"/>
      <c r="H411" s="74"/>
      <c r="I411" s="69" t="s">
        <v>131</v>
      </c>
    </row>
    <row r="412" spans="1:9" ht="15.75" customHeight="1" thickBot="1" x14ac:dyDescent="0.3">
      <c r="A412" s="69" t="s">
        <v>131</v>
      </c>
      <c r="B412" s="526"/>
      <c r="C412" s="529"/>
      <c r="D412" s="531"/>
      <c r="E412" s="534"/>
      <c r="F412" s="72"/>
      <c r="G412" s="73"/>
      <c r="H412" s="74"/>
      <c r="I412" s="69" t="s">
        <v>131</v>
      </c>
    </row>
    <row r="413" spans="1:9" ht="15" customHeight="1" x14ac:dyDescent="0.25">
      <c r="A413" s="69" t="s">
        <v>131</v>
      </c>
      <c r="B413" s="541" t="s">
        <v>128</v>
      </c>
      <c r="C413" s="527" t="s">
        <v>76</v>
      </c>
      <c r="D413" s="531"/>
      <c r="E413" s="534"/>
      <c r="F413" s="72"/>
      <c r="G413" s="73"/>
      <c r="H413" s="74"/>
      <c r="I413" s="69" t="s">
        <v>131</v>
      </c>
    </row>
    <row r="414" spans="1:9" ht="15.75" customHeight="1" thickBot="1" x14ac:dyDescent="0.3">
      <c r="A414" s="69" t="s">
        <v>131</v>
      </c>
      <c r="B414" s="542"/>
      <c r="C414" s="529"/>
      <c r="D414" s="532"/>
      <c r="E414" s="535"/>
      <c r="F414" s="75"/>
      <c r="G414" s="76"/>
      <c r="H414" s="77"/>
      <c r="I414" s="69" t="s">
        <v>131</v>
      </c>
    </row>
    <row r="415" spans="1:9" ht="15.75" customHeight="1" thickBot="1" x14ac:dyDescent="0.3">
      <c r="A415" s="69" t="s">
        <v>131</v>
      </c>
      <c r="B415" s="524">
        <v>6</v>
      </c>
      <c r="C415" s="527" t="s">
        <v>200</v>
      </c>
      <c r="D415" s="57" t="s">
        <v>125</v>
      </c>
      <c r="E415" s="58">
        <v>0.2</v>
      </c>
      <c r="F415" s="164">
        <v>1</v>
      </c>
      <c r="G415" s="70" t="s">
        <v>76</v>
      </c>
      <c r="H415" s="71">
        <v>115</v>
      </c>
      <c r="I415" s="69" t="s">
        <v>131</v>
      </c>
    </row>
    <row r="416" spans="1:9" ht="15" customHeight="1" x14ac:dyDescent="0.25">
      <c r="A416" s="69" t="s">
        <v>131</v>
      </c>
      <c r="B416" s="525"/>
      <c r="C416" s="528"/>
      <c r="D416" s="530">
        <v>1</v>
      </c>
      <c r="E416" s="533">
        <f>IF(D416=0,0,VLOOKUP($D416,$F415:$H424,3,FALSE)*$E415)</f>
        <v>23</v>
      </c>
      <c r="F416" s="72">
        <v>2</v>
      </c>
      <c r="G416" s="73" t="s">
        <v>77</v>
      </c>
      <c r="H416" s="74">
        <v>100</v>
      </c>
      <c r="I416" s="69" t="s">
        <v>131</v>
      </c>
    </row>
    <row r="417" spans="1:9" ht="15" customHeight="1" x14ac:dyDescent="0.25">
      <c r="A417" s="69" t="s">
        <v>131</v>
      </c>
      <c r="B417" s="525"/>
      <c r="C417" s="528"/>
      <c r="D417" s="531"/>
      <c r="E417" s="534"/>
      <c r="F417" s="72">
        <v>3</v>
      </c>
      <c r="G417" s="73" t="s">
        <v>78</v>
      </c>
      <c r="H417" s="74">
        <f t="shared" ref="H417" si="14">H416-5</f>
        <v>95</v>
      </c>
      <c r="I417" s="69" t="s">
        <v>131</v>
      </c>
    </row>
    <row r="418" spans="1:9" ht="15" customHeight="1" x14ac:dyDescent="0.25">
      <c r="A418" s="69" t="s">
        <v>131</v>
      </c>
      <c r="B418" s="525"/>
      <c r="C418" s="528"/>
      <c r="D418" s="531"/>
      <c r="E418" s="534"/>
      <c r="F418" s="72">
        <v>4</v>
      </c>
      <c r="G418" s="73" t="s">
        <v>157</v>
      </c>
      <c r="H418" s="74">
        <v>50</v>
      </c>
      <c r="I418" s="69" t="s">
        <v>131</v>
      </c>
    </row>
    <row r="419" spans="1:9" ht="15" customHeight="1" x14ac:dyDescent="0.25">
      <c r="A419" s="69" t="s">
        <v>131</v>
      </c>
      <c r="B419" s="525"/>
      <c r="C419" s="528"/>
      <c r="D419" s="531"/>
      <c r="E419" s="534"/>
      <c r="F419" s="72"/>
      <c r="G419" s="73"/>
      <c r="H419" s="74"/>
      <c r="I419" s="69" t="s">
        <v>131</v>
      </c>
    </row>
    <row r="420" spans="1:9" ht="15" customHeight="1" x14ac:dyDescent="0.25">
      <c r="A420" s="69" t="s">
        <v>131</v>
      </c>
      <c r="B420" s="525"/>
      <c r="C420" s="528"/>
      <c r="D420" s="531"/>
      <c r="E420" s="534"/>
      <c r="F420" s="72"/>
      <c r="G420" s="73"/>
      <c r="H420" s="74"/>
      <c r="I420" s="69" t="s">
        <v>131</v>
      </c>
    </row>
    <row r="421" spans="1:9" ht="15" customHeight="1" x14ac:dyDescent="0.25">
      <c r="A421" s="69" t="s">
        <v>131</v>
      </c>
      <c r="B421" s="525"/>
      <c r="C421" s="528"/>
      <c r="D421" s="531"/>
      <c r="E421" s="534"/>
      <c r="F421" s="72"/>
      <c r="G421" s="73"/>
      <c r="H421" s="74"/>
      <c r="I421" s="69" t="s">
        <v>131</v>
      </c>
    </row>
    <row r="422" spans="1:9" ht="15.75" customHeight="1" thickBot="1" x14ac:dyDescent="0.3">
      <c r="A422" s="69" t="s">
        <v>131</v>
      </c>
      <c r="B422" s="526"/>
      <c r="C422" s="529"/>
      <c r="D422" s="531"/>
      <c r="E422" s="534"/>
      <c r="F422" s="72"/>
      <c r="G422" s="73"/>
      <c r="H422" s="74"/>
      <c r="I422" s="69" t="s">
        <v>131</v>
      </c>
    </row>
    <row r="423" spans="1:9" ht="15" customHeight="1" x14ac:dyDescent="0.25">
      <c r="A423" s="69" t="s">
        <v>131</v>
      </c>
      <c r="B423" s="541" t="s">
        <v>128</v>
      </c>
      <c r="C423" s="527" t="s">
        <v>76</v>
      </c>
      <c r="D423" s="531"/>
      <c r="E423" s="534"/>
      <c r="F423" s="72"/>
      <c r="G423" s="73"/>
      <c r="H423" s="74"/>
      <c r="I423" s="69" t="s">
        <v>131</v>
      </c>
    </row>
    <row r="424" spans="1:9" ht="15.75" customHeight="1" thickBot="1" x14ac:dyDescent="0.3">
      <c r="A424" s="69" t="s">
        <v>131</v>
      </c>
      <c r="B424" s="542"/>
      <c r="C424" s="529"/>
      <c r="D424" s="532"/>
      <c r="E424" s="535"/>
      <c r="F424" s="75"/>
      <c r="G424" s="76"/>
      <c r="H424" s="77"/>
      <c r="I424" s="69" t="s">
        <v>131</v>
      </c>
    </row>
    <row r="425" spans="1:9" ht="15.75" customHeight="1" thickBot="1" x14ac:dyDescent="0.3">
      <c r="A425" s="69" t="s">
        <v>131</v>
      </c>
      <c r="B425" s="524">
        <v>7</v>
      </c>
      <c r="C425" s="527" t="s">
        <v>274</v>
      </c>
      <c r="D425" s="57" t="s">
        <v>125</v>
      </c>
      <c r="E425" s="58">
        <v>0.1</v>
      </c>
      <c r="F425" s="78">
        <v>1</v>
      </c>
      <c r="G425" s="79" t="s">
        <v>168</v>
      </c>
      <c r="H425" s="80">
        <v>115</v>
      </c>
      <c r="I425" s="69" t="s">
        <v>131</v>
      </c>
    </row>
    <row r="426" spans="1:9" ht="15" customHeight="1" x14ac:dyDescent="0.25">
      <c r="A426" s="69" t="s">
        <v>131</v>
      </c>
      <c r="B426" s="525"/>
      <c r="C426" s="528"/>
      <c r="D426" s="544">
        <v>1</v>
      </c>
      <c r="E426" s="533">
        <f>IF(D426=0,0,VLOOKUP($D426,$F425:$H434,3,FALSE)*$E425)</f>
        <v>11.5</v>
      </c>
      <c r="F426" s="72">
        <v>2</v>
      </c>
      <c r="G426" s="73" t="s">
        <v>169</v>
      </c>
      <c r="H426" s="74">
        <v>100</v>
      </c>
      <c r="I426" s="69" t="s">
        <v>131</v>
      </c>
    </row>
    <row r="427" spans="1:9" ht="15" customHeight="1" x14ac:dyDescent="0.25">
      <c r="A427" s="69" t="s">
        <v>131</v>
      </c>
      <c r="B427" s="525"/>
      <c r="C427" s="528"/>
      <c r="D427" s="545"/>
      <c r="E427" s="534"/>
      <c r="F427" s="72">
        <v>3</v>
      </c>
      <c r="G427" s="73" t="s">
        <v>170</v>
      </c>
      <c r="H427" s="74">
        <v>90</v>
      </c>
      <c r="I427" s="69" t="s">
        <v>131</v>
      </c>
    </row>
    <row r="428" spans="1:9" ht="15" customHeight="1" x14ac:dyDescent="0.25">
      <c r="A428" s="69" t="s">
        <v>131</v>
      </c>
      <c r="B428" s="525"/>
      <c r="C428" s="528"/>
      <c r="D428" s="545"/>
      <c r="E428" s="534"/>
      <c r="F428" s="72">
        <v>4</v>
      </c>
      <c r="G428" s="73" t="s">
        <v>171</v>
      </c>
      <c r="H428" s="74">
        <v>50</v>
      </c>
      <c r="I428" s="69" t="s">
        <v>131</v>
      </c>
    </row>
    <row r="429" spans="1:9" ht="15" customHeight="1" x14ac:dyDescent="0.25">
      <c r="A429" s="69" t="s">
        <v>131</v>
      </c>
      <c r="B429" s="525"/>
      <c r="C429" s="528"/>
      <c r="D429" s="545"/>
      <c r="E429" s="534"/>
      <c r="F429" s="72"/>
      <c r="G429" s="73"/>
      <c r="H429" s="74"/>
      <c r="I429" s="69" t="s">
        <v>131</v>
      </c>
    </row>
    <row r="430" spans="1:9" ht="15" customHeight="1" x14ac:dyDescent="0.25">
      <c r="A430" s="69" t="s">
        <v>131</v>
      </c>
      <c r="B430" s="525"/>
      <c r="C430" s="528"/>
      <c r="D430" s="545"/>
      <c r="E430" s="534"/>
      <c r="F430" s="72"/>
      <c r="G430" s="73"/>
      <c r="H430" s="74"/>
      <c r="I430" s="69" t="s">
        <v>131</v>
      </c>
    </row>
    <row r="431" spans="1:9" ht="15" customHeight="1" x14ac:dyDescent="0.25">
      <c r="A431" s="69" t="s">
        <v>131</v>
      </c>
      <c r="B431" s="525"/>
      <c r="C431" s="528"/>
      <c r="D431" s="545"/>
      <c r="E431" s="534"/>
      <c r="F431" s="72"/>
      <c r="G431" s="73"/>
      <c r="H431" s="74"/>
      <c r="I431" s="69" t="s">
        <v>131</v>
      </c>
    </row>
    <row r="432" spans="1:9" ht="15.75" customHeight="1" thickBot="1" x14ac:dyDescent="0.3">
      <c r="A432" s="69" t="s">
        <v>131</v>
      </c>
      <c r="B432" s="526"/>
      <c r="C432" s="529"/>
      <c r="D432" s="545"/>
      <c r="E432" s="534"/>
      <c r="F432" s="72"/>
      <c r="G432" s="73"/>
      <c r="H432" s="74"/>
      <c r="I432" s="69" t="s">
        <v>131</v>
      </c>
    </row>
    <row r="433" spans="1:9" ht="15" customHeight="1" x14ac:dyDescent="0.25">
      <c r="A433" s="69" t="s">
        <v>131</v>
      </c>
      <c r="B433" s="541" t="s">
        <v>128</v>
      </c>
      <c r="C433" s="527" t="s">
        <v>168</v>
      </c>
      <c r="D433" s="545"/>
      <c r="E433" s="534"/>
      <c r="F433" s="72"/>
      <c r="G433" s="73"/>
      <c r="H433" s="74"/>
      <c r="I433" s="69" t="s">
        <v>131</v>
      </c>
    </row>
    <row r="434" spans="1:9" ht="15.75" customHeight="1" thickBot="1" x14ac:dyDescent="0.3">
      <c r="A434" s="69" t="s">
        <v>131</v>
      </c>
      <c r="B434" s="542"/>
      <c r="C434" s="529"/>
      <c r="D434" s="546"/>
      <c r="E434" s="535"/>
      <c r="F434" s="75"/>
      <c r="G434" s="76"/>
      <c r="H434" s="77"/>
      <c r="I434" s="69" t="s">
        <v>131</v>
      </c>
    </row>
    <row r="435" spans="1:9" ht="15.75" hidden="1" customHeight="1" thickBot="1" x14ac:dyDescent="0.3">
      <c r="A435" s="69" t="s">
        <v>131</v>
      </c>
      <c r="B435" s="524">
        <v>8</v>
      </c>
      <c r="C435" s="527"/>
      <c r="D435" s="57" t="s">
        <v>125</v>
      </c>
      <c r="E435" s="58">
        <v>0.6</v>
      </c>
      <c r="F435" s="164">
        <v>10</v>
      </c>
      <c r="G435" s="70" t="s">
        <v>126</v>
      </c>
      <c r="H435" s="71">
        <v>115</v>
      </c>
      <c r="I435" s="69" t="s">
        <v>131</v>
      </c>
    </row>
    <row r="436" spans="1:9" ht="15" hidden="1" customHeight="1" x14ac:dyDescent="0.25">
      <c r="A436" s="69" t="s">
        <v>131</v>
      </c>
      <c r="B436" s="525"/>
      <c r="C436" s="528"/>
      <c r="D436" s="530"/>
      <c r="E436" s="533">
        <f>IF(D436=0,0,VLOOKUP($D436,$F435:$H444,3,FALSE)*$E435)</f>
        <v>0</v>
      </c>
      <c r="F436" s="72">
        <v>9</v>
      </c>
      <c r="G436" s="73" t="s">
        <v>126</v>
      </c>
      <c r="H436" s="74">
        <f>H435-5</f>
        <v>110</v>
      </c>
      <c r="I436" s="69" t="s">
        <v>131</v>
      </c>
    </row>
    <row r="437" spans="1:9" ht="15" hidden="1" customHeight="1" x14ac:dyDescent="0.25">
      <c r="A437" s="69" t="s">
        <v>131</v>
      </c>
      <c r="B437" s="525"/>
      <c r="C437" s="528"/>
      <c r="D437" s="531"/>
      <c r="E437" s="534"/>
      <c r="F437" s="72">
        <v>8</v>
      </c>
      <c r="G437" s="73" t="s">
        <v>126</v>
      </c>
      <c r="H437" s="74">
        <f t="shared" ref="H437:H444" si="15">H436-5</f>
        <v>105</v>
      </c>
      <c r="I437" s="69" t="s">
        <v>131</v>
      </c>
    </row>
    <row r="438" spans="1:9" ht="15" hidden="1" customHeight="1" x14ac:dyDescent="0.25">
      <c r="A438" s="69" t="s">
        <v>131</v>
      </c>
      <c r="B438" s="525"/>
      <c r="C438" s="528"/>
      <c r="D438" s="531"/>
      <c r="E438" s="534"/>
      <c r="F438" s="72">
        <v>7</v>
      </c>
      <c r="G438" s="73" t="s">
        <v>126</v>
      </c>
      <c r="H438" s="74">
        <f t="shared" si="15"/>
        <v>100</v>
      </c>
      <c r="I438" s="69" t="s">
        <v>131</v>
      </c>
    </row>
    <row r="439" spans="1:9" ht="15" hidden="1" customHeight="1" x14ac:dyDescent="0.25">
      <c r="A439" s="69" t="s">
        <v>131</v>
      </c>
      <c r="B439" s="525"/>
      <c r="C439" s="528"/>
      <c r="D439" s="531"/>
      <c r="E439" s="534"/>
      <c r="F439" s="72">
        <v>6</v>
      </c>
      <c r="G439" s="73" t="s">
        <v>126</v>
      </c>
      <c r="H439" s="74">
        <f t="shared" si="15"/>
        <v>95</v>
      </c>
      <c r="I439" s="69" t="s">
        <v>131</v>
      </c>
    </row>
    <row r="440" spans="1:9" ht="15" hidden="1" customHeight="1" x14ac:dyDescent="0.25">
      <c r="A440" s="69" t="s">
        <v>131</v>
      </c>
      <c r="B440" s="525"/>
      <c r="C440" s="528"/>
      <c r="D440" s="531"/>
      <c r="E440" s="534"/>
      <c r="F440" s="72">
        <v>5</v>
      </c>
      <c r="G440" s="73" t="s">
        <v>126</v>
      </c>
      <c r="H440" s="74">
        <f t="shared" si="15"/>
        <v>90</v>
      </c>
      <c r="I440" s="69" t="s">
        <v>131</v>
      </c>
    </row>
    <row r="441" spans="1:9" ht="15" hidden="1" customHeight="1" x14ac:dyDescent="0.25">
      <c r="A441" s="69" t="s">
        <v>131</v>
      </c>
      <c r="B441" s="525"/>
      <c r="C441" s="528"/>
      <c r="D441" s="531"/>
      <c r="E441" s="534"/>
      <c r="F441" s="72">
        <v>4</v>
      </c>
      <c r="G441" s="73" t="s">
        <v>126</v>
      </c>
      <c r="H441" s="74">
        <f t="shared" si="15"/>
        <v>85</v>
      </c>
      <c r="I441" s="69" t="s">
        <v>131</v>
      </c>
    </row>
    <row r="442" spans="1:9" ht="15.75" hidden="1" customHeight="1" thickBot="1" x14ac:dyDescent="0.3">
      <c r="A442" s="69" t="s">
        <v>131</v>
      </c>
      <c r="B442" s="526"/>
      <c r="C442" s="529"/>
      <c r="D442" s="531"/>
      <c r="E442" s="534"/>
      <c r="F442" s="72">
        <v>3</v>
      </c>
      <c r="G442" s="73" t="s">
        <v>126</v>
      </c>
      <c r="H442" s="74">
        <f t="shared" si="15"/>
        <v>80</v>
      </c>
      <c r="I442" s="69" t="s">
        <v>131</v>
      </c>
    </row>
    <row r="443" spans="1:9" ht="15" hidden="1" customHeight="1" x14ac:dyDescent="0.25">
      <c r="A443" s="69" t="s">
        <v>131</v>
      </c>
      <c r="B443" s="541" t="s">
        <v>128</v>
      </c>
      <c r="C443" s="527"/>
      <c r="D443" s="531"/>
      <c r="E443" s="534"/>
      <c r="F443" s="72">
        <v>2</v>
      </c>
      <c r="G443" s="73" t="s">
        <v>126</v>
      </c>
      <c r="H443" s="74">
        <f t="shared" si="15"/>
        <v>75</v>
      </c>
      <c r="I443" s="69" t="s">
        <v>131</v>
      </c>
    </row>
    <row r="444" spans="1:9" ht="15.75" hidden="1" customHeight="1" thickBot="1" x14ac:dyDescent="0.3">
      <c r="A444" s="69" t="s">
        <v>131</v>
      </c>
      <c r="B444" s="542"/>
      <c r="C444" s="529"/>
      <c r="D444" s="532"/>
      <c r="E444" s="535"/>
      <c r="F444" s="75">
        <v>1</v>
      </c>
      <c r="G444" s="76" t="s">
        <v>126</v>
      </c>
      <c r="H444" s="77">
        <f t="shared" si="15"/>
        <v>70</v>
      </c>
      <c r="I444" s="69" t="s">
        <v>131</v>
      </c>
    </row>
    <row r="445" spans="1:9" ht="15.75" hidden="1" customHeight="1" thickBot="1" x14ac:dyDescent="0.3">
      <c r="A445" s="69" t="s">
        <v>131</v>
      </c>
      <c r="B445" s="524">
        <v>9</v>
      </c>
      <c r="C445" s="527"/>
      <c r="D445" s="57" t="s">
        <v>125</v>
      </c>
      <c r="E445" s="58">
        <v>0.6</v>
      </c>
      <c r="F445" s="164">
        <v>10</v>
      </c>
      <c r="G445" s="70" t="s">
        <v>126</v>
      </c>
      <c r="H445" s="71">
        <v>115</v>
      </c>
      <c r="I445" s="69" t="s">
        <v>131</v>
      </c>
    </row>
    <row r="446" spans="1:9" ht="15" hidden="1" customHeight="1" x14ac:dyDescent="0.25">
      <c r="A446" s="69" t="s">
        <v>131</v>
      </c>
      <c r="B446" s="525"/>
      <c r="C446" s="528"/>
      <c r="D446" s="530"/>
      <c r="E446" s="533">
        <f>IF(D446=0,0,VLOOKUP($D446,$F445:$H454,3,FALSE)*$E445)</f>
        <v>0</v>
      </c>
      <c r="F446" s="72">
        <v>9</v>
      </c>
      <c r="G446" s="73" t="s">
        <v>126</v>
      </c>
      <c r="H446" s="74">
        <f>H445-5</f>
        <v>110</v>
      </c>
      <c r="I446" s="69" t="s">
        <v>131</v>
      </c>
    </row>
    <row r="447" spans="1:9" ht="15" hidden="1" customHeight="1" x14ac:dyDescent="0.25">
      <c r="A447" s="69" t="s">
        <v>131</v>
      </c>
      <c r="B447" s="525"/>
      <c r="C447" s="528"/>
      <c r="D447" s="531"/>
      <c r="E447" s="534"/>
      <c r="F447" s="72">
        <v>8</v>
      </c>
      <c r="G447" s="73" t="s">
        <v>126</v>
      </c>
      <c r="H447" s="74">
        <f t="shared" ref="H447:H454" si="16">H446-5</f>
        <v>105</v>
      </c>
      <c r="I447" s="69" t="s">
        <v>131</v>
      </c>
    </row>
    <row r="448" spans="1:9" ht="15" hidden="1" customHeight="1" x14ac:dyDescent="0.25">
      <c r="A448" s="69" t="s">
        <v>131</v>
      </c>
      <c r="B448" s="525"/>
      <c r="C448" s="528"/>
      <c r="D448" s="531"/>
      <c r="E448" s="534"/>
      <c r="F448" s="72">
        <v>7</v>
      </c>
      <c r="G448" s="73" t="s">
        <v>126</v>
      </c>
      <c r="H448" s="74">
        <f t="shared" si="16"/>
        <v>100</v>
      </c>
      <c r="I448" s="69" t="s">
        <v>131</v>
      </c>
    </row>
    <row r="449" spans="1:9" ht="15" hidden="1" customHeight="1" x14ac:dyDescent="0.25">
      <c r="A449" s="69" t="s">
        <v>131</v>
      </c>
      <c r="B449" s="525"/>
      <c r="C449" s="528"/>
      <c r="D449" s="531"/>
      <c r="E449" s="534"/>
      <c r="F449" s="72">
        <v>6</v>
      </c>
      <c r="G449" s="73" t="s">
        <v>126</v>
      </c>
      <c r="H449" s="74">
        <f t="shared" si="16"/>
        <v>95</v>
      </c>
      <c r="I449" s="69" t="s">
        <v>131</v>
      </c>
    </row>
    <row r="450" spans="1:9" ht="15" hidden="1" customHeight="1" x14ac:dyDescent="0.25">
      <c r="A450" s="69" t="s">
        <v>131</v>
      </c>
      <c r="B450" s="525"/>
      <c r="C450" s="528"/>
      <c r="D450" s="531"/>
      <c r="E450" s="534"/>
      <c r="F450" s="72">
        <v>5</v>
      </c>
      <c r="G450" s="73" t="s">
        <v>126</v>
      </c>
      <c r="H450" s="74">
        <f t="shared" si="16"/>
        <v>90</v>
      </c>
      <c r="I450" s="69" t="s">
        <v>131</v>
      </c>
    </row>
    <row r="451" spans="1:9" ht="15" hidden="1" customHeight="1" x14ac:dyDescent="0.25">
      <c r="A451" s="69" t="s">
        <v>131</v>
      </c>
      <c r="B451" s="525"/>
      <c r="C451" s="528"/>
      <c r="D451" s="531"/>
      <c r="E451" s="534"/>
      <c r="F451" s="72">
        <v>4</v>
      </c>
      <c r="G451" s="73" t="s">
        <v>126</v>
      </c>
      <c r="H451" s="74">
        <f t="shared" si="16"/>
        <v>85</v>
      </c>
      <c r="I451" s="69" t="s">
        <v>131</v>
      </c>
    </row>
    <row r="452" spans="1:9" ht="15.75" hidden="1" customHeight="1" thickBot="1" x14ac:dyDescent="0.3">
      <c r="A452" s="69" t="s">
        <v>131</v>
      </c>
      <c r="B452" s="526"/>
      <c r="C452" s="529"/>
      <c r="D452" s="531"/>
      <c r="E452" s="534"/>
      <c r="F452" s="72">
        <v>3</v>
      </c>
      <c r="G452" s="73" t="s">
        <v>126</v>
      </c>
      <c r="H452" s="74">
        <f t="shared" si="16"/>
        <v>80</v>
      </c>
      <c r="I452" s="69" t="s">
        <v>131</v>
      </c>
    </row>
    <row r="453" spans="1:9" ht="15" hidden="1" customHeight="1" x14ac:dyDescent="0.25">
      <c r="A453" s="69" t="s">
        <v>131</v>
      </c>
      <c r="B453" s="541" t="s">
        <v>128</v>
      </c>
      <c r="C453" s="527"/>
      <c r="D453" s="531"/>
      <c r="E453" s="534"/>
      <c r="F453" s="72">
        <v>2</v>
      </c>
      <c r="G453" s="73" t="s">
        <v>126</v>
      </c>
      <c r="H453" s="74">
        <f t="shared" si="16"/>
        <v>75</v>
      </c>
      <c r="I453" s="69" t="s">
        <v>131</v>
      </c>
    </row>
    <row r="454" spans="1:9" ht="15.75" hidden="1" customHeight="1" thickBot="1" x14ac:dyDescent="0.3">
      <c r="A454" s="69" t="s">
        <v>131</v>
      </c>
      <c r="B454" s="542"/>
      <c r="C454" s="529"/>
      <c r="D454" s="532"/>
      <c r="E454" s="535"/>
      <c r="F454" s="75">
        <v>1</v>
      </c>
      <c r="G454" s="76" t="s">
        <v>126</v>
      </c>
      <c r="H454" s="77">
        <f t="shared" si="16"/>
        <v>70</v>
      </c>
      <c r="I454" s="69" t="s">
        <v>131</v>
      </c>
    </row>
    <row r="455" spans="1:9" ht="15.75" hidden="1" customHeight="1" thickBot="1" x14ac:dyDescent="0.3">
      <c r="A455" s="69" t="s">
        <v>131</v>
      </c>
      <c r="B455" s="548">
        <v>10</v>
      </c>
      <c r="C455" s="527"/>
      <c r="D455" s="57" t="s">
        <v>125</v>
      </c>
      <c r="E455" s="58">
        <v>0.6</v>
      </c>
      <c r="F455" s="78">
        <v>10</v>
      </c>
      <c r="G455" s="79" t="s">
        <v>126</v>
      </c>
      <c r="H455" s="80">
        <v>115</v>
      </c>
      <c r="I455" s="69" t="s">
        <v>131</v>
      </c>
    </row>
    <row r="456" spans="1:9" ht="15" hidden="1" customHeight="1" x14ac:dyDescent="0.25">
      <c r="A456" s="69" t="s">
        <v>131</v>
      </c>
      <c r="B456" s="525"/>
      <c r="C456" s="528"/>
      <c r="D456" s="530"/>
      <c r="E456" s="533">
        <f>IF(D456=0,0,VLOOKUP($D456,$F455:$H464,3,FALSE)*$E455)</f>
        <v>0</v>
      </c>
      <c r="F456" s="72">
        <v>9</v>
      </c>
      <c r="G456" s="73" t="s">
        <v>126</v>
      </c>
      <c r="H456" s="74">
        <f>H455-5</f>
        <v>110</v>
      </c>
      <c r="I456" s="69" t="s">
        <v>131</v>
      </c>
    </row>
    <row r="457" spans="1:9" ht="15" hidden="1" customHeight="1" x14ac:dyDescent="0.25">
      <c r="A457" s="69" t="s">
        <v>131</v>
      </c>
      <c r="B457" s="525"/>
      <c r="C457" s="528"/>
      <c r="D457" s="531"/>
      <c r="E457" s="534"/>
      <c r="F457" s="72">
        <v>8</v>
      </c>
      <c r="G457" s="73" t="s">
        <v>126</v>
      </c>
      <c r="H457" s="74">
        <f t="shared" ref="H457:H464" si="17">H456-5</f>
        <v>105</v>
      </c>
      <c r="I457" s="69" t="s">
        <v>131</v>
      </c>
    </row>
    <row r="458" spans="1:9" ht="15" hidden="1" customHeight="1" x14ac:dyDescent="0.25">
      <c r="A458" s="69" t="s">
        <v>131</v>
      </c>
      <c r="B458" s="525"/>
      <c r="C458" s="528"/>
      <c r="D458" s="531"/>
      <c r="E458" s="534"/>
      <c r="F458" s="72">
        <v>7</v>
      </c>
      <c r="G458" s="73" t="s">
        <v>126</v>
      </c>
      <c r="H458" s="74">
        <f t="shared" si="17"/>
        <v>100</v>
      </c>
      <c r="I458" s="69" t="s">
        <v>131</v>
      </c>
    </row>
    <row r="459" spans="1:9" ht="15" hidden="1" customHeight="1" x14ac:dyDescent="0.25">
      <c r="A459" s="69" t="s">
        <v>131</v>
      </c>
      <c r="B459" s="525"/>
      <c r="C459" s="528"/>
      <c r="D459" s="531"/>
      <c r="E459" s="534"/>
      <c r="F459" s="72">
        <v>6</v>
      </c>
      <c r="G459" s="73" t="s">
        <v>126</v>
      </c>
      <c r="H459" s="74">
        <f t="shared" si="17"/>
        <v>95</v>
      </c>
      <c r="I459" s="69" t="s">
        <v>131</v>
      </c>
    </row>
    <row r="460" spans="1:9" ht="15" hidden="1" customHeight="1" x14ac:dyDescent="0.25">
      <c r="A460" s="69" t="s">
        <v>131</v>
      </c>
      <c r="B460" s="525"/>
      <c r="C460" s="528"/>
      <c r="D460" s="531"/>
      <c r="E460" s="534"/>
      <c r="F460" s="72">
        <v>5</v>
      </c>
      <c r="G460" s="73" t="s">
        <v>126</v>
      </c>
      <c r="H460" s="74">
        <f t="shared" si="17"/>
        <v>90</v>
      </c>
      <c r="I460" s="69" t="s">
        <v>131</v>
      </c>
    </row>
    <row r="461" spans="1:9" ht="15" hidden="1" customHeight="1" x14ac:dyDescent="0.25">
      <c r="A461" s="69" t="s">
        <v>131</v>
      </c>
      <c r="B461" s="525"/>
      <c r="C461" s="528"/>
      <c r="D461" s="531"/>
      <c r="E461" s="534"/>
      <c r="F461" s="72">
        <v>4</v>
      </c>
      <c r="G461" s="73" t="s">
        <v>126</v>
      </c>
      <c r="H461" s="74">
        <f t="shared" si="17"/>
        <v>85</v>
      </c>
      <c r="I461" s="69" t="s">
        <v>131</v>
      </c>
    </row>
    <row r="462" spans="1:9" ht="15.75" hidden="1" customHeight="1" thickBot="1" x14ac:dyDescent="0.3">
      <c r="A462" s="69" t="s">
        <v>131</v>
      </c>
      <c r="B462" s="526"/>
      <c r="C462" s="529"/>
      <c r="D462" s="531"/>
      <c r="E462" s="534"/>
      <c r="F462" s="72">
        <v>3</v>
      </c>
      <c r="G462" s="73" t="s">
        <v>126</v>
      </c>
      <c r="H462" s="74">
        <f t="shared" si="17"/>
        <v>80</v>
      </c>
      <c r="I462" s="69" t="s">
        <v>131</v>
      </c>
    </row>
    <row r="463" spans="1:9" ht="15" hidden="1" customHeight="1" x14ac:dyDescent="0.25">
      <c r="A463" s="69" t="s">
        <v>131</v>
      </c>
      <c r="B463" s="541" t="s">
        <v>128</v>
      </c>
      <c r="C463" s="527"/>
      <c r="D463" s="531"/>
      <c r="E463" s="534"/>
      <c r="F463" s="72">
        <v>2</v>
      </c>
      <c r="G463" s="73" t="s">
        <v>126</v>
      </c>
      <c r="H463" s="74">
        <f t="shared" si="17"/>
        <v>75</v>
      </c>
      <c r="I463" s="69" t="s">
        <v>131</v>
      </c>
    </row>
    <row r="464" spans="1:9" ht="15.75" hidden="1" customHeight="1" thickBot="1" x14ac:dyDescent="0.3">
      <c r="A464" s="69" t="s">
        <v>131</v>
      </c>
      <c r="B464" s="542"/>
      <c r="C464" s="529"/>
      <c r="D464" s="532"/>
      <c r="E464" s="535"/>
      <c r="F464" s="75">
        <v>1</v>
      </c>
      <c r="G464" s="76" t="s">
        <v>126</v>
      </c>
      <c r="H464" s="77">
        <f t="shared" si="17"/>
        <v>70</v>
      </c>
      <c r="I464" s="69" t="s">
        <v>131</v>
      </c>
    </row>
    <row r="465" spans="1:15" x14ac:dyDescent="0.25">
      <c r="A465" s="69" t="s">
        <v>131</v>
      </c>
      <c r="B465" s="69" t="s">
        <v>131</v>
      </c>
      <c r="C465" s="69" t="s">
        <v>131</v>
      </c>
      <c r="D465" s="69" t="s">
        <v>131</v>
      </c>
      <c r="E465" s="69" t="s">
        <v>131</v>
      </c>
      <c r="F465" s="69" t="s">
        <v>131</v>
      </c>
      <c r="G465" s="69" t="s">
        <v>131</v>
      </c>
      <c r="H465" s="69" t="s">
        <v>131</v>
      </c>
      <c r="I465" s="69" t="s">
        <v>131</v>
      </c>
    </row>
    <row r="466" spans="1:15" ht="53.25" customHeight="1" thickBot="1" x14ac:dyDescent="0.3"/>
    <row r="467" spans="1:15" x14ac:dyDescent="0.25">
      <c r="B467" s="93" t="s">
        <v>122</v>
      </c>
      <c r="C467" s="94"/>
      <c r="D467" s="94"/>
      <c r="E467" s="94"/>
      <c r="F467" s="94"/>
      <c r="G467" s="499" t="s">
        <v>17</v>
      </c>
      <c r="H467" s="499"/>
      <c r="I467" s="500"/>
      <c r="K467" s="172" t="s">
        <v>129</v>
      </c>
      <c r="L467" s="173"/>
      <c r="M467" s="174"/>
      <c r="O467">
        <v>3</v>
      </c>
    </row>
    <row r="468" spans="1:15" ht="15.75" thickBot="1" x14ac:dyDescent="0.3">
      <c r="B468" s="95" t="s">
        <v>211</v>
      </c>
      <c r="C468" s="96"/>
      <c r="D468" s="96"/>
      <c r="E468" s="96"/>
      <c r="F468" s="96"/>
      <c r="G468" s="501">
        <v>0.1</v>
      </c>
      <c r="H468" s="502"/>
      <c r="I468" s="503"/>
      <c r="K468" s="59" t="s">
        <v>118</v>
      </c>
      <c r="L468" s="60" t="s">
        <v>124</v>
      </c>
      <c r="M468" s="55" t="s">
        <v>128</v>
      </c>
    </row>
    <row r="469" spans="1:15" ht="15.75" thickBot="1" x14ac:dyDescent="0.3">
      <c r="A469" s="68" t="s">
        <v>131</v>
      </c>
      <c r="B469" s="64"/>
      <c r="C469" s="64"/>
      <c r="D469" s="64"/>
      <c r="E469" s="64"/>
      <c r="F469" s="64"/>
      <c r="G469" s="64"/>
      <c r="H469" s="64"/>
      <c r="I469" s="65" t="s">
        <v>131</v>
      </c>
      <c r="K469" s="86">
        <v>1</v>
      </c>
      <c r="L469" s="87">
        <f>E472</f>
        <v>115</v>
      </c>
      <c r="M469" s="536">
        <f>SUM(L469:L473)</f>
        <v>115</v>
      </c>
    </row>
    <row r="470" spans="1:15" ht="15.75" thickBot="1" x14ac:dyDescent="0.3">
      <c r="A470" s="65" t="s">
        <v>131</v>
      </c>
      <c r="B470" s="56" t="s">
        <v>119</v>
      </c>
      <c r="C470" s="56" t="s">
        <v>118</v>
      </c>
      <c r="D470" s="504" t="s">
        <v>124</v>
      </c>
      <c r="E470" s="505"/>
      <c r="F470" s="506" t="s">
        <v>127</v>
      </c>
      <c r="G470" s="507"/>
      <c r="H470" s="508"/>
      <c r="I470" s="65" t="s">
        <v>131</v>
      </c>
      <c r="K470" s="88">
        <v>2</v>
      </c>
      <c r="L470" s="89">
        <f>E483</f>
        <v>0</v>
      </c>
      <c r="M470" s="536"/>
    </row>
    <row r="471" spans="1:15" ht="15.75" thickBot="1" x14ac:dyDescent="0.3">
      <c r="A471" s="65" t="s">
        <v>131</v>
      </c>
      <c r="B471" s="563">
        <v>1</v>
      </c>
      <c r="C471" s="527" t="s">
        <v>211</v>
      </c>
      <c r="D471" s="57" t="s">
        <v>125</v>
      </c>
      <c r="E471" s="58">
        <v>1</v>
      </c>
      <c r="F471" s="164">
        <v>1</v>
      </c>
      <c r="G471" s="70" t="s">
        <v>202</v>
      </c>
      <c r="H471" s="71">
        <v>115</v>
      </c>
      <c r="I471" s="65" t="s">
        <v>131</v>
      </c>
      <c r="K471" s="88">
        <v>3</v>
      </c>
      <c r="L471" s="89">
        <f>E493</f>
        <v>0</v>
      </c>
      <c r="M471" s="536"/>
    </row>
    <row r="472" spans="1:15" x14ac:dyDescent="0.25">
      <c r="A472" s="65" t="s">
        <v>131</v>
      </c>
      <c r="B472" s="564"/>
      <c r="C472" s="528"/>
      <c r="D472" s="558">
        <v>1</v>
      </c>
      <c r="E472" s="533">
        <f>IF(D472=0,0,VLOOKUP($D472,$F471:$H480,3,FALSE)*$E471)</f>
        <v>115</v>
      </c>
      <c r="F472" s="72">
        <v>2</v>
      </c>
      <c r="G472" s="73" t="s">
        <v>203</v>
      </c>
      <c r="H472" s="74">
        <v>100</v>
      </c>
      <c r="I472" s="65" t="s">
        <v>131</v>
      </c>
      <c r="K472" s="88">
        <v>4</v>
      </c>
      <c r="L472" s="89">
        <f>E503</f>
        <v>0</v>
      </c>
      <c r="M472" s="536"/>
    </row>
    <row r="473" spans="1:15" ht="15.75" thickBot="1" x14ac:dyDescent="0.3">
      <c r="A473" s="65" t="s">
        <v>131</v>
      </c>
      <c r="B473" s="564"/>
      <c r="C473" s="528"/>
      <c r="D473" s="559"/>
      <c r="E473" s="534"/>
      <c r="F473" s="72">
        <v>3</v>
      </c>
      <c r="G473" s="73" t="s">
        <v>204</v>
      </c>
      <c r="H473" s="74">
        <v>90</v>
      </c>
      <c r="I473" s="65" t="s">
        <v>131</v>
      </c>
      <c r="K473" s="90">
        <v>5</v>
      </c>
      <c r="L473" s="91">
        <f>E513</f>
        <v>0</v>
      </c>
      <c r="M473" s="537"/>
    </row>
    <row r="474" spans="1:15" x14ac:dyDescent="0.25">
      <c r="A474" s="65" t="s">
        <v>131</v>
      </c>
      <c r="B474" s="564"/>
      <c r="C474" s="528"/>
      <c r="D474" s="559"/>
      <c r="E474" s="534"/>
      <c r="F474" s="72">
        <v>4</v>
      </c>
      <c r="G474" s="73" t="s">
        <v>205</v>
      </c>
      <c r="H474" s="74">
        <v>50</v>
      </c>
      <c r="I474" s="65" t="s">
        <v>131</v>
      </c>
    </row>
    <row r="475" spans="1:15" x14ac:dyDescent="0.25">
      <c r="A475" s="65" t="s">
        <v>131</v>
      </c>
      <c r="B475" s="564"/>
      <c r="C475" s="528"/>
      <c r="D475" s="559"/>
      <c r="E475" s="534"/>
      <c r="F475" s="72"/>
      <c r="G475" s="167" t="s">
        <v>206</v>
      </c>
      <c r="H475" s="74"/>
      <c r="I475" s="65" t="s">
        <v>131</v>
      </c>
    </row>
    <row r="476" spans="1:15" x14ac:dyDescent="0.25">
      <c r="A476" s="65" t="s">
        <v>131</v>
      </c>
      <c r="B476" s="564"/>
      <c r="C476" s="528"/>
      <c r="D476" s="559"/>
      <c r="E476" s="534"/>
      <c r="F476" s="72"/>
      <c r="G476" s="167"/>
      <c r="H476" s="74"/>
      <c r="I476" s="65" t="s">
        <v>131</v>
      </c>
    </row>
    <row r="477" spans="1:15" x14ac:dyDescent="0.25">
      <c r="A477" s="65" t="s">
        <v>131</v>
      </c>
      <c r="B477" s="564"/>
      <c r="C477" s="528"/>
      <c r="D477" s="559"/>
      <c r="E477" s="534"/>
      <c r="F477" s="72"/>
      <c r="G477" s="73"/>
      <c r="H477" s="74"/>
      <c r="I477" s="65" t="s">
        <v>131</v>
      </c>
    </row>
    <row r="478" spans="1:15" ht="15.75" thickBot="1" x14ac:dyDescent="0.3">
      <c r="A478" s="65" t="s">
        <v>131</v>
      </c>
      <c r="B478" s="565"/>
      <c r="C478" s="529"/>
      <c r="D478" s="559"/>
      <c r="E478" s="534"/>
      <c r="F478" s="72"/>
      <c r="G478" s="73"/>
      <c r="H478" s="74"/>
      <c r="I478" s="65" t="s">
        <v>131</v>
      </c>
    </row>
    <row r="479" spans="1:15" ht="15.75" customHeight="1" x14ac:dyDescent="0.25">
      <c r="A479" s="65" t="s">
        <v>131</v>
      </c>
      <c r="B479" s="541" t="s">
        <v>128</v>
      </c>
      <c r="C479" s="549" t="s">
        <v>202</v>
      </c>
      <c r="D479" s="559"/>
      <c r="E479" s="534"/>
      <c r="F479" s="72"/>
      <c r="G479" s="73"/>
      <c r="H479" s="74"/>
      <c r="I479" s="65" t="s">
        <v>131</v>
      </c>
    </row>
    <row r="480" spans="1:15" ht="15.75" thickBot="1" x14ac:dyDescent="0.3">
      <c r="A480" s="65" t="s">
        <v>131</v>
      </c>
      <c r="B480" s="542"/>
      <c r="C480" s="550"/>
      <c r="D480" s="560"/>
      <c r="E480" s="535"/>
      <c r="F480" s="75"/>
      <c r="G480" s="76"/>
      <c r="H480" s="77"/>
      <c r="I480" s="65" t="s">
        <v>131</v>
      </c>
    </row>
    <row r="481" spans="1:9" ht="15.75" hidden="1" customHeight="1" thickBot="1" x14ac:dyDescent="0.3">
      <c r="A481" s="65" t="s">
        <v>131</v>
      </c>
      <c r="B481" s="56" t="s">
        <v>119</v>
      </c>
      <c r="C481" s="56"/>
      <c r="D481" s="561" t="s">
        <v>124</v>
      </c>
      <c r="E481" s="562"/>
      <c r="F481" s="506" t="s">
        <v>127</v>
      </c>
      <c r="G481" s="507"/>
      <c r="H481" s="508"/>
      <c r="I481" s="65" t="s">
        <v>131</v>
      </c>
    </row>
    <row r="482" spans="1:9" ht="15.75" hidden="1" customHeight="1" thickBot="1" x14ac:dyDescent="0.3">
      <c r="A482" s="65" t="s">
        <v>131</v>
      </c>
      <c r="B482" s="524">
        <v>2</v>
      </c>
      <c r="C482" s="527"/>
      <c r="D482" s="57" t="s">
        <v>125</v>
      </c>
      <c r="E482" s="58">
        <v>0</v>
      </c>
      <c r="F482" s="164">
        <v>1</v>
      </c>
      <c r="G482" s="70" t="s">
        <v>202</v>
      </c>
      <c r="H482" s="71">
        <v>115</v>
      </c>
      <c r="I482" s="65" t="s">
        <v>131</v>
      </c>
    </row>
    <row r="483" spans="1:9" ht="15" hidden="1" customHeight="1" x14ac:dyDescent="0.25">
      <c r="A483" s="65" t="s">
        <v>131</v>
      </c>
      <c r="B483" s="525"/>
      <c r="C483" s="528"/>
      <c r="D483" s="544">
        <v>0</v>
      </c>
      <c r="E483" s="533">
        <f>IF(D483=0,0,VLOOKUP($D483,$F482:$H491,3,FALSE)*$E482)</f>
        <v>0</v>
      </c>
      <c r="F483" s="72">
        <v>2</v>
      </c>
      <c r="G483" s="73" t="s">
        <v>203</v>
      </c>
      <c r="H483" s="74">
        <v>100</v>
      </c>
      <c r="I483" s="65" t="s">
        <v>131</v>
      </c>
    </row>
    <row r="484" spans="1:9" ht="15" hidden="1" customHeight="1" x14ac:dyDescent="0.25">
      <c r="A484" s="65" t="s">
        <v>131</v>
      </c>
      <c r="B484" s="525"/>
      <c r="C484" s="528"/>
      <c r="D484" s="545"/>
      <c r="E484" s="534"/>
      <c r="F484" s="72">
        <v>3</v>
      </c>
      <c r="G484" s="73" t="s">
        <v>204</v>
      </c>
      <c r="H484" s="74">
        <v>90</v>
      </c>
      <c r="I484" s="65" t="s">
        <v>131</v>
      </c>
    </row>
    <row r="485" spans="1:9" ht="15" hidden="1" customHeight="1" x14ac:dyDescent="0.25">
      <c r="A485" s="65" t="s">
        <v>131</v>
      </c>
      <c r="B485" s="525"/>
      <c r="C485" s="528"/>
      <c r="D485" s="545"/>
      <c r="E485" s="534"/>
      <c r="F485" s="72">
        <v>4</v>
      </c>
      <c r="G485" s="73" t="s">
        <v>205</v>
      </c>
      <c r="H485" s="74">
        <v>50</v>
      </c>
      <c r="I485" s="65" t="s">
        <v>131</v>
      </c>
    </row>
    <row r="486" spans="1:9" ht="15" hidden="1" customHeight="1" x14ac:dyDescent="0.25">
      <c r="A486" s="65" t="s">
        <v>131</v>
      </c>
      <c r="B486" s="525"/>
      <c r="C486" s="528"/>
      <c r="D486" s="545"/>
      <c r="E486" s="534"/>
      <c r="F486" s="72"/>
      <c r="G486" s="167" t="s">
        <v>206</v>
      </c>
      <c r="H486" s="74"/>
      <c r="I486" s="65" t="s">
        <v>131</v>
      </c>
    </row>
    <row r="487" spans="1:9" ht="15" hidden="1" customHeight="1" x14ac:dyDescent="0.25">
      <c r="A487" s="65" t="s">
        <v>131</v>
      </c>
      <c r="B487" s="525"/>
      <c r="C487" s="528"/>
      <c r="D487" s="545"/>
      <c r="E487" s="534"/>
      <c r="F487" s="72"/>
      <c r="G487" s="73"/>
      <c r="H487" s="74"/>
      <c r="I487" s="65" t="s">
        <v>131</v>
      </c>
    </row>
    <row r="488" spans="1:9" ht="15" hidden="1" customHeight="1" x14ac:dyDescent="0.25">
      <c r="A488" s="65" t="s">
        <v>131</v>
      </c>
      <c r="B488" s="525"/>
      <c r="C488" s="528"/>
      <c r="D488" s="545"/>
      <c r="E488" s="534"/>
      <c r="F488" s="72"/>
      <c r="G488" s="73"/>
      <c r="H488" s="74"/>
      <c r="I488" s="65" t="s">
        <v>131</v>
      </c>
    </row>
    <row r="489" spans="1:9" ht="15.75" hidden="1" customHeight="1" thickBot="1" x14ac:dyDescent="0.3">
      <c r="A489" s="65" t="s">
        <v>131</v>
      </c>
      <c r="B489" s="526"/>
      <c r="C489" s="529"/>
      <c r="D489" s="545"/>
      <c r="E489" s="534"/>
      <c r="F489" s="72"/>
      <c r="G489" s="73"/>
      <c r="H489" s="74"/>
      <c r="I489" s="65" t="s">
        <v>131</v>
      </c>
    </row>
    <row r="490" spans="1:9" ht="15" hidden="1" customHeight="1" x14ac:dyDescent="0.25">
      <c r="A490" s="65" t="s">
        <v>131</v>
      </c>
      <c r="B490" s="541" t="s">
        <v>128</v>
      </c>
      <c r="C490" s="527"/>
      <c r="D490" s="545"/>
      <c r="E490" s="534"/>
      <c r="F490" s="72"/>
      <c r="G490" s="73"/>
      <c r="H490" s="74"/>
      <c r="I490" s="65" t="s">
        <v>131</v>
      </c>
    </row>
    <row r="491" spans="1:9" ht="15.75" hidden="1" customHeight="1" thickBot="1" x14ac:dyDescent="0.3">
      <c r="A491" s="65" t="s">
        <v>131</v>
      </c>
      <c r="B491" s="542"/>
      <c r="C491" s="529"/>
      <c r="D491" s="546"/>
      <c r="E491" s="535"/>
      <c r="F491" s="75"/>
      <c r="G491" s="76"/>
      <c r="H491" s="77"/>
      <c r="I491" s="65" t="s">
        <v>131</v>
      </c>
    </row>
    <row r="492" spans="1:9" ht="15.75" hidden="1" customHeight="1" thickBot="1" x14ac:dyDescent="0.3">
      <c r="A492" s="65" t="s">
        <v>131</v>
      </c>
      <c r="B492" s="524">
        <v>3</v>
      </c>
      <c r="C492" s="527"/>
      <c r="D492" s="57" t="s">
        <v>125</v>
      </c>
      <c r="E492" s="58"/>
      <c r="F492" s="164">
        <v>10</v>
      </c>
      <c r="G492" s="70" t="s">
        <v>126</v>
      </c>
      <c r="H492" s="71">
        <v>115</v>
      </c>
      <c r="I492" s="65" t="s">
        <v>131</v>
      </c>
    </row>
    <row r="493" spans="1:9" ht="15" hidden="1" customHeight="1" x14ac:dyDescent="0.25">
      <c r="A493" s="65" t="s">
        <v>131</v>
      </c>
      <c r="B493" s="525"/>
      <c r="C493" s="528"/>
      <c r="D493" s="530"/>
      <c r="E493" s="533">
        <f>IF(D493=0,0,VLOOKUP($D493,$F492:$H501,3,FALSE)*$E492)</f>
        <v>0</v>
      </c>
      <c r="F493" s="72">
        <v>9</v>
      </c>
      <c r="G493" s="73" t="s">
        <v>126</v>
      </c>
      <c r="H493" s="74">
        <f>H492-5</f>
        <v>110</v>
      </c>
      <c r="I493" s="65" t="s">
        <v>131</v>
      </c>
    </row>
    <row r="494" spans="1:9" ht="15" hidden="1" customHeight="1" x14ac:dyDescent="0.25">
      <c r="A494" s="65" t="s">
        <v>131</v>
      </c>
      <c r="B494" s="525"/>
      <c r="C494" s="528"/>
      <c r="D494" s="531"/>
      <c r="E494" s="534"/>
      <c r="F494" s="72">
        <v>8</v>
      </c>
      <c r="G494" s="73" t="s">
        <v>126</v>
      </c>
      <c r="H494" s="74">
        <f t="shared" ref="H494:H501" si="18">H493-5</f>
        <v>105</v>
      </c>
      <c r="I494" s="65" t="s">
        <v>131</v>
      </c>
    </row>
    <row r="495" spans="1:9" ht="15" hidden="1" customHeight="1" x14ac:dyDescent="0.25">
      <c r="A495" s="65" t="s">
        <v>131</v>
      </c>
      <c r="B495" s="525"/>
      <c r="C495" s="528"/>
      <c r="D495" s="531"/>
      <c r="E495" s="534"/>
      <c r="F495" s="72">
        <v>7</v>
      </c>
      <c r="G495" s="73" t="s">
        <v>126</v>
      </c>
      <c r="H495" s="74">
        <f t="shared" si="18"/>
        <v>100</v>
      </c>
      <c r="I495" s="65" t="s">
        <v>131</v>
      </c>
    </row>
    <row r="496" spans="1:9" ht="15" hidden="1" customHeight="1" x14ac:dyDescent="0.25">
      <c r="A496" s="65" t="s">
        <v>131</v>
      </c>
      <c r="B496" s="525"/>
      <c r="C496" s="528"/>
      <c r="D496" s="531"/>
      <c r="E496" s="534"/>
      <c r="F496" s="72">
        <v>6</v>
      </c>
      <c r="G496" s="73" t="s">
        <v>126</v>
      </c>
      <c r="H496" s="74">
        <f t="shared" si="18"/>
        <v>95</v>
      </c>
      <c r="I496" s="65" t="s">
        <v>131</v>
      </c>
    </row>
    <row r="497" spans="1:9" ht="15" hidden="1" customHeight="1" x14ac:dyDescent="0.25">
      <c r="A497" s="65" t="s">
        <v>131</v>
      </c>
      <c r="B497" s="525"/>
      <c r="C497" s="528"/>
      <c r="D497" s="531"/>
      <c r="E497" s="534"/>
      <c r="F497" s="72">
        <v>5</v>
      </c>
      <c r="G497" s="73" t="s">
        <v>126</v>
      </c>
      <c r="H497" s="74">
        <f t="shared" si="18"/>
        <v>90</v>
      </c>
      <c r="I497" s="65" t="s">
        <v>131</v>
      </c>
    </row>
    <row r="498" spans="1:9" ht="15" hidden="1" customHeight="1" x14ac:dyDescent="0.25">
      <c r="A498" s="65" t="s">
        <v>131</v>
      </c>
      <c r="B498" s="525"/>
      <c r="C498" s="528"/>
      <c r="D498" s="531"/>
      <c r="E498" s="534"/>
      <c r="F498" s="72">
        <v>4</v>
      </c>
      <c r="G498" s="73" t="s">
        <v>126</v>
      </c>
      <c r="H498" s="74">
        <f t="shared" si="18"/>
        <v>85</v>
      </c>
      <c r="I498" s="65" t="s">
        <v>131</v>
      </c>
    </row>
    <row r="499" spans="1:9" ht="15.75" hidden="1" customHeight="1" thickBot="1" x14ac:dyDescent="0.3">
      <c r="A499" s="65" t="s">
        <v>131</v>
      </c>
      <c r="B499" s="526"/>
      <c r="C499" s="529"/>
      <c r="D499" s="531"/>
      <c r="E499" s="534"/>
      <c r="F499" s="72">
        <v>3</v>
      </c>
      <c r="G499" s="73" t="s">
        <v>126</v>
      </c>
      <c r="H499" s="74">
        <f t="shared" si="18"/>
        <v>80</v>
      </c>
      <c r="I499" s="65" t="s">
        <v>131</v>
      </c>
    </row>
    <row r="500" spans="1:9" ht="15" hidden="1" customHeight="1" x14ac:dyDescent="0.25">
      <c r="A500" s="65" t="s">
        <v>131</v>
      </c>
      <c r="B500" s="541" t="s">
        <v>128</v>
      </c>
      <c r="C500" s="527"/>
      <c r="D500" s="531"/>
      <c r="E500" s="534"/>
      <c r="F500" s="72">
        <v>2</v>
      </c>
      <c r="G500" s="73" t="s">
        <v>126</v>
      </c>
      <c r="H500" s="74">
        <f t="shared" si="18"/>
        <v>75</v>
      </c>
      <c r="I500" s="65" t="s">
        <v>131</v>
      </c>
    </row>
    <row r="501" spans="1:9" ht="15.75" hidden="1" customHeight="1" thickBot="1" x14ac:dyDescent="0.3">
      <c r="A501" s="65" t="s">
        <v>131</v>
      </c>
      <c r="B501" s="542"/>
      <c r="C501" s="529"/>
      <c r="D501" s="532"/>
      <c r="E501" s="535"/>
      <c r="F501" s="75">
        <v>1</v>
      </c>
      <c r="G501" s="76" t="s">
        <v>126</v>
      </c>
      <c r="H501" s="77">
        <f t="shared" si="18"/>
        <v>70</v>
      </c>
      <c r="I501" s="65" t="s">
        <v>131</v>
      </c>
    </row>
    <row r="502" spans="1:9" ht="15.75" hidden="1" customHeight="1" thickBot="1" x14ac:dyDescent="0.3">
      <c r="A502" s="65" t="s">
        <v>131</v>
      </c>
      <c r="B502" s="524">
        <v>4</v>
      </c>
      <c r="C502" s="527"/>
      <c r="D502" s="57" t="s">
        <v>125</v>
      </c>
      <c r="E502" s="58"/>
      <c r="F502" s="164">
        <v>10</v>
      </c>
      <c r="G502" s="70" t="s">
        <v>126</v>
      </c>
      <c r="H502" s="71">
        <v>115</v>
      </c>
      <c r="I502" s="65" t="s">
        <v>131</v>
      </c>
    </row>
    <row r="503" spans="1:9" ht="15" hidden="1" customHeight="1" x14ac:dyDescent="0.25">
      <c r="A503" s="65" t="s">
        <v>131</v>
      </c>
      <c r="B503" s="525"/>
      <c r="C503" s="528"/>
      <c r="D503" s="530"/>
      <c r="E503" s="533">
        <f>IF(D503=0,0,VLOOKUP($D503,$F502:$H511,3,FALSE)*$E502)</f>
        <v>0</v>
      </c>
      <c r="F503" s="72">
        <v>9</v>
      </c>
      <c r="G503" s="73" t="s">
        <v>126</v>
      </c>
      <c r="H503" s="74">
        <f>H502-5</f>
        <v>110</v>
      </c>
      <c r="I503" s="65" t="s">
        <v>131</v>
      </c>
    </row>
    <row r="504" spans="1:9" ht="15" hidden="1" customHeight="1" x14ac:dyDescent="0.25">
      <c r="A504" s="65" t="s">
        <v>131</v>
      </c>
      <c r="B504" s="525"/>
      <c r="C504" s="528"/>
      <c r="D504" s="531"/>
      <c r="E504" s="534"/>
      <c r="F504" s="72">
        <v>8</v>
      </c>
      <c r="G504" s="73" t="s">
        <v>126</v>
      </c>
      <c r="H504" s="74">
        <f t="shared" ref="H504:H511" si="19">H503-5</f>
        <v>105</v>
      </c>
      <c r="I504" s="65" t="s">
        <v>131</v>
      </c>
    </row>
    <row r="505" spans="1:9" ht="15" hidden="1" customHeight="1" x14ac:dyDescent="0.25">
      <c r="A505" s="65" t="s">
        <v>131</v>
      </c>
      <c r="B505" s="525"/>
      <c r="C505" s="528"/>
      <c r="D505" s="531"/>
      <c r="E505" s="534"/>
      <c r="F505" s="72">
        <v>7</v>
      </c>
      <c r="G505" s="73" t="s">
        <v>126</v>
      </c>
      <c r="H505" s="74">
        <f t="shared" si="19"/>
        <v>100</v>
      </c>
      <c r="I505" s="65" t="s">
        <v>131</v>
      </c>
    </row>
    <row r="506" spans="1:9" ht="15" hidden="1" customHeight="1" x14ac:dyDescent="0.25">
      <c r="A506" s="65" t="s">
        <v>131</v>
      </c>
      <c r="B506" s="525"/>
      <c r="C506" s="528"/>
      <c r="D506" s="531"/>
      <c r="E506" s="534"/>
      <c r="F506" s="72">
        <v>6</v>
      </c>
      <c r="G506" s="73" t="s">
        <v>126</v>
      </c>
      <c r="H506" s="74">
        <f t="shared" si="19"/>
        <v>95</v>
      </c>
      <c r="I506" s="65" t="s">
        <v>131</v>
      </c>
    </row>
    <row r="507" spans="1:9" ht="15" hidden="1" customHeight="1" x14ac:dyDescent="0.25">
      <c r="A507" s="65" t="s">
        <v>131</v>
      </c>
      <c r="B507" s="525"/>
      <c r="C507" s="528"/>
      <c r="D507" s="531"/>
      <c r="E507" s="534"/>
      <c r="F507" s="72">
        <v>5</v>
      </c>
      <c r="G507" s="73" t="s">
        <v>126</v>
      </c>
      <c r="H507" s="74">
        <f t="shared" si="19"/>
        <v>90</v>
      </c>
      <c r="I507" s="65" t="s">
        <v>131</v>
      </c>
    </row>
    <row r="508" spans="1:9" ht="15" hidden="1" customHeight="1" x14ac:dyDescent="0.25">
      <c r="A508" s="65" t="s">
        <v>131</v>
      </c>
      <c r="B508" s="525"/>
      <c r="C508" s="528"/>
      <c r="D508" s="531"/>
      <c r="E508" s="534"/>
      <c r="F508" s="72">
        <v>4</v>
      </c>
      <c r="G508" s="73" t="s">
        <v>126</v>
      </c>
      <c r="H508" s="74">
        <f t="shared" si="19"/>
        <v>85</v>
      </c>
      <c r="I508" s="65" t="s">
        <v>131</v>
      </c>
    </row>
    <row r="509" spans="1:9" ht="15.75" hidden="1" customHeight="1" thickBot="1" x14ac:dyDescent="0.3">
      <c r="A509" s="65" t="s">
        <v>131</v>
      </c>
      <c r="B509" s="526"/>
      <c r="C509" s="529"/>
      <c r="D509" s="531"/>
      <c r="E509" s="534"/>
      <c r="F509" s="72">
        <v>3</v>
      </c>
      <c r="G509" s="73" t="s">
        <v>126</v>
      </c>
      <c r="H509" s="74">
        <f t="shared" si="19"/>
        <v>80</v>
      </c>
      <c r="I509" s="65" t="s">
        <v>131</v>
      </c>
    </row>
    <row r="510" spans="1:9" ht="15" hidden="1" customHeight="1" x14ac:dyDescent="0.25">
      <c r="A510" s="65" t="s">
        <v>131</v>
      </c>
      <c r="B510" s="541" t="s">
        <v>128</v>
      </c>
      <c r="C510" s="527"/>
      <c r="D510" s="531"/>
      <c r="E510" s="534"/>
      <c r="F510" s="72">
        <v>2</v>
      </c>
      <c r="G510" s="73" t="s">
        <v>126</v>
      </c>
      <c r="H510" s="74">
        <f t="shared" si="19"/>
        <v>75</v>
      </c>
      <c r="I510" s="65" t="s">
        <v>131</v>
      </c>
    </row>
    <row r="511" spans="1:9" ht="15.75" hidden="1" customHeight="1" thickBot="1" x14ac:dyDescent="0.3">
      <c r="A511" s="65" t="s">
        <v>131</v>
      </c>
      <c r="B511" s="542"/>
      <c r="C511" s="529"/>
      <c r="D511" s="532"/>
      <c r="E511" s="535"/>
      <c r="F511" s="75">
        <v>1</v>
      </c>
      <c r="G511" s="76" t="s">
        <v>126</v>
      </c>
      <c r="H511" s="77">
        <f t="shared" si="19"/>
        <v>70</v>
      </c>
      <c r="I511" s="65" t="s">
        <v>131</v>
      </c>
    </row>
    <row r="512" spans="1:9" ht="15.75" hidden="1" customHeight="1" thickBot="1" x14ac:dyDescent="0.3">
      <c r="A512" s="65" t="s">
        <v>131</v>
      </c>
      <c r="B512" s="548">
        <v>5</v>
      </c>
      <c r="C512" s="527"/>
      <c r="D512" s="57" t="s">
        <v>125</v>
      </c>
      <c r="E512" s="58"/>
      <c r="F512" s="78">
        <v>10</v>
      </c>
      <c r="G512" s="79" t="s">
        <v>126</v>
      </c>
      <c r="H512" s="80">
        <v>115</v>
      </c>
      <c r="I512" s="65" t="s">
        <v>131</v>
      </c>
    </row>
    <row r="513" spans="1:13" ht="15" hidden="1" customHeight="1" x14ac:dyDescent="0.25">
      <c r="A513" s="65" t="s">
        <v>131</v>
      </c>
      <c r="B513" s="525"/>
      <c r="C513" s="528"/>
      <c r="D513" s="530"/>
      <c r="E513" s="533">
        <f>IF(D513=0,0,VLOOKUP($D513,$F512:$H521,3,FALSE)*$E512)</f>
        <v>0</v>
      </c>
      <c r="F513" s="72">
        <v>9</v>
      </c>
      <c r="G513" s="73" t="s">
        <v>126</v>
      </c>
      <c r="H513" s="74">
        <f>H512-5</f>
        <v>110</v>
      </c>
      <c r="I513" s="65" t="s">
        <v>131</v>
      </c>
    </row>
    <row r="514" spans="1:13" ht="15" hidden="1" customHeight="1" x14ac:dyDescent="0.25">
      <c r="A514" s="65" t="s">
        <v>131</v>
      </c>
      <c r="B514" s="525"/>
      <c r="C514" s="528"/>
      <c r="D514" s="531"/>
      <c r="E514" s="534"/>
      <c r="F514" s="72">
        <v>8</v>
      </c>
      <c r="G514" s="73" t="s">
        <v>126</v>
      </c>
      <c r="H514" s="74">
        <f t="shared" ref="H514:H521" si="20">H513-5</f>
        <v>105</v>
      </c>
      <c r="I514" s="65" t="s">
        <v>131</v>
      </c>
    </row>
    <row r="515" spans="1:13" ht="15" hidden="1" customHeight="1" x14ac:dyDescent="0.25">
      <c r="A515" s="65" t="s">
        <v>131</v>
      </c>
      <c r="B515" s="525"/>
      <c r="C515" s="528"/>
      <c r="D515" s="531"/>
      <c r="E515" s="534"/>
      <c r="F515" s="72">
        <v>7</v>
      </c>
      <c r="G515" s="73" t="s">
        <v>126</v>
      </c>
      <c r="H515" s="74">
        <f t="shared" si="20"/>
        <v>100</v>
      </c>
      <c r="I515" s="65" t="s">
        <v>131</v>
      </c>
    </row>
    <row r="516" spans="1:13" ht="15" hidden="1" customHeight="1" x14ac:dyDescent="0.25">
      <c r="A516" s="65" t="s">
        <v>131</v>
      </c>
      <c r="B516" s="525"/>
      <c r="C516" s="528"/>
      <c r="D516" s="531"/>
      <c r="E516" s="534"/>
      <c r="F516" s="72">
        <v>6</v>
      </c>
      <c r="G516" s="73" t="s">
        <v>126</v>
      </c>
      <c r="H516" s="74">
        <f t="shared" si="20"/>
        <v>95</v>
      </c>
      <c r="I516" s="65" t="s">
        <v>131</v>
      </c>
    </row>
    <row r="517" spans="1:13" ht="15" hidden="1" customHeight="1" x14ac:dyDescent="0.25">
      <c r="A517" s="65" t="s">
        <v>131</v>
      </c>
      <c r="B517" s="525"/>
      <c r="C517" s="528"/>
      <c r="D517" s="531"/>
      <c r="E517" s="534"/>
      <c r="F517" s="72">
        <v>5</v>
      </c>
      <c r="G517" s="73" t="s">
        <v>126</v>
      </c>
      <c r="H517" s="74">
        <f t="shared" si="20"/>
        <v>90</v>
      </c>
      <c r="I517" s="65" t="s">
        <v>131</v>
      </c>
    </row>
    <row r="518" spans="1:13" ht="15" hidden="1" customHeight="1" x14ac:dyDescent="0.25">
      <c r="A518" s="65" t="s">
        <v>131</v>
      </c>
      <c r="B518" s="525"/>
      <c r="C518" s="528"/>
      <c r="D518" s="531"/>
      <c r="E518" s="534"/>
      <c r="F518" s="72">
        <v>4</v>
      </c>
      <c r="G518" s="73" t="s">
        <v>126</v>
      </c>
      <c r="H518" s="74">
        <f t="shared" si="20"/>
        <v>85</v>
      </c>
      <c r="I518" s="65" t="s">
        <v>131</v>
      </c>
    </row>
    <row r="519" spans="1:13" ht="15.75" hidden="1" customHeight="1" thickBot="1" x14ac:dyDescent="0.3">
      <c r="A519" s="65" t="s">
        <v>131</v>
      </c>
      <c r="B519" s="526"/>
      <c r="C519" s="529"/>
      <c r="D519" s="531"/>
      <c r="E519" s="534"/>
      <c r="F519" s="72">
        <v>3</v>
      </c>
      <c r="G519" s="73" t="s">
        <v>126</v>
      </c>
      <c r="H519" s="74">
        <f t="shared" si="20"/>
        <v>80</v>
      </c>
      <c r="I519" s="65" t="s">
        <v>131</v>
      </c>
    </row>
    <row r="520" spans="1:13" ht="15" hidden="1" customHeight="1" x14ac:dyDescent="0.25">
      <c r="A520" s="65" t="s">
        <v>131</v>
      </c>
      <c r="B520" s="541" t="s">
        <v>128</v>
      </c>
      <c r="C520" s="527"/>
      <c r="D520" s="531"/>
      <c r="E520" s="534"/>
      <c r="F520" s="72">
        <v>2</v>
      </c>
      <c r="G520" s="73" t="s">
        <v>126</v>
      </c>
      <c r="H520" s="74">
        <f t="shared" si="20"/>
        <v>75</v>
      </c>
      <c r="I520" s="65" t="s">
        <v>131</v>
      </c>
    </row>
    <row r="521" spans="1:13" ht="15.75" hidden="1" customHeight="1" thickBot="1" x14ac:dyDescent="0.3">
      <c r="A521" s="65" t="s">
        <v>131</v>
      </c>
      <c r="B521" s="542"/>
      <c r="C521" s="529"/>
      <c r="D521" s="532"/>
      <c r="E521" s="535"/>
      <c r="F521" s="75">
        <v>1</v>
      </c>
      <c r="G521" s="76" t="s">
        <v>126</v>
      </c>
      <c r="H521" s="77">
        <f t="shared" si="20"/>
        <v>70</v>
      </c>
      <c r="I521" s="65" t="s">
        <v>131</v>
      </c>
      <c r="K521" s="169" t="s">
        <v>62</v>
      </c>
      <c r="L521" s="170"/>
      <c r="M521" s="171"/>
    </row>
    <row r="522" spans="1:13" ht="15.75" thickBot="1" x14ac:dyDescent="0.3">
      <c r="A522" s="65" t="s">
        <v>131</v>
      </c>
      <c r="B522" s="65" t="s">
        <v>131</v>
      </c>
      <c r="C522" s="65"/>
      <c r="D522" s="65" t="s">
        <v>131</v>
      </c>
      <c r="E522" s="65" t="s">
        <v>131</v>
      </c>
      <c r="F522" s="65" t="s">
        <v>131</v>
      </c>
      <c r="G522" s="65" t="s">
        <v>131</v>
      </c>
      <c r="H522" s="65" t="s">
        <v>131</v>
      </c>
      <c r="I522" s="65" t="s">
        <v>131</v>
      </c>
      <c r="K522" s="61" t="s">
        <v>36</v>
      </c>
      <c r="L522" s="62" t="s">
        <v>124</v>
      </c>
      <c r="M522" s="63" t="s">
        <v>128</v>
      </c>
    </row>
    <row r="523" spans="1:13" x14ac:dyDescent="0.25">
      <c r="A523" s="69" t="s">
        <v>131</v>
      </c>
      <c r="B523" s="125" t="s">
        <v>134</v>
      </c>
      <c r="C523" s="126"/>
      <c r="D523" s="126"/>
      <c r="E523" s="126"/>
      <c r="F523" s="126"/>
      <c r="G523" s="551" t="s">
        <v>17</v>
      </c>
      <c r="H523" s="552"/>
      <c r="I523" s="553"/>
      <c r="K523" s="86">
        <v>1</v>
      </c>
      <c r="L523" s="87">
        <f>E527</f>
        <v>115</v>
      </c>
      <c r="M523" s="543">
        <f>SUM(L523:L532)</f>
        <v>115</v>
      </c>
    </row>
    <row r="524" spans="1:13" ht="15.75" thickBot="1" x14ac:dyDescent="0.3">
      <c r="A524" s="69" t="s">
        <v>131</v>
      </c>
      <c r="B524" s="127" t="s">
        <v>211</v>
      </c>
      <c r="C524" s="128"/>
      <c r="D524" s="128"/>
      <c r="E524" s="128"/>
      <c r="F524" s="128"/>
      <c r="G524" s="554">
        <v>0.1</v>
      </c>
      <c r="H524" s="555"/>
      <c r="I524" s="556"/>
      <c r="K524" s="88">
        <v>2</v>
      </c>
      <c r="L524" s="89">
        <f>E537</f>
        <v>0</v>
      </c>
      <c r="M524" s="536"/>
    </row>
    <row r="525" spans="1:13" ht="15.75" thickBot="1" x14ac:dyDescent="0.3">
      <c r="A525" s="69" t="s">
        <v>131</v>
      </c>
      <c r="B525" s="56" t="s">
        <v>119</v>
      </c>
      <c r="C525" s="56"/>
      <c r="D525" s="504" t="s">
        <v>124</v>
      </c>
      <c r="E525" s="505"/>
      <c r="F525" s="506" t="s">
        <v>130</v>
      </c>
      <c r="G525" s="507"/>
      <c r="H525" s="508"/>
      <c r="I525" s="69" t="s">
        <v>131</v>
      </c>
      <c r="K525" s="88">
        <v>3</v>
      </c>
      <c r="L525" s="89">
        <f>E547</f>
        <v>0</v>
      </c>
      <c r="M525" s="536"/>
    </row>
    <row r="526" spans="1:13" ht="15.75" customHeight="1" thickBot="1" x14ac:dyDescent="0.3">
      <c r="A526" s="69" t="s">
        <v>131</v>
      </c>
      <c r="B526" s="524">
        <v>1</v>
      </c>
      <c r="C526" s="527" t="s">
        <v>214</v>
      </c>
      <c r="D526" s="57" t="s">
        <v>125</v>
      </c>
      <c r="E526" s="58">
        <v>1</v>
      </c>
      <c r="F526" s="164">
        <v>1</v>
      </c>
      <c r="G526" s="70" t="s">
        <v>202</v>
      </c>
      <c r="H526" s="71">
        <v>115</v>
      </c>
      <c r="I526" s="69" t="s">
        <v>131</v>
      </c>
      <c r="K526" s="88">
        <v>4</v>
      </c>
      <c r="L526" s="89">
        <f>E557</f>
        <v>0</v>
      </c>
      <c r="M526" s="536"/>
    </row>
    <row r="527" spans="1:13" x14ac:dyDescent="0.25">
      <c r="A527" s="69" t="s">
        <v>131</v>
      </c>
      <c r="B527" s="525"/>
      <c r="C527" s="528"/>
      <c r="D527" s="544">
        <v>1</v>
      </c>
      <c r="E527" s="533">
        <f>IF(D527=0,0,VLOOKUP($D527,$F526:$H535,3,FALSE)*$E526)</f>
        <v>115</v>
      </c>
      <c r="F527" s="72">
        <v>2</v>
      </c>
      <c r="G527" s="73" t="s">
        <v>203</v>
      </c>
      <c r="H527" s="74">
        <v>100</v>
      </c>
      <c r="I527" s="69" t="s">
        <v>131</v>
      </c>
      <c r="K527" s="88">
        <v>5</v>
      </c>
      <c r="L527" s="89">
        <f>E567</f>
        <v>0</v>
      </c>
      <c r="M527" s="536"/>
    </row>
    <row r="528" spans="1:13" x14ac:dyDescent="0.25">
      <c r="A528" s="69" t="s">
        <v>131</v>
      </c>
      <c r="B528" s="525"/>
      <c r="C528" s="528"/>
      <c r="D528" s="545"/>
      <c r="E528" s="534"/>
      <c r="F528" s="72">
        <v>3</v>
      </c>
      <c r="G528" s="73" t="s">
        <v>204</v>
      </c>
      <c r="H528" s="74">
        <v>90</v>
      </c>
      <c r="I528" s="69" t="s">
        <v>131</v>
      </c>
      <c r="K528" s="86">
        <v>6</v>
      </c>
      <c r="L528" s="89">
        <f>E577</f>
        <v>0</v>
      </c>
      <c r="M528" s="536"/>
    </row>
    <row r="529" spans="1:13" x14ac:dyDescent="0.25">
      <c r="A529" s="69" t="s">
        <v>131</v>
      </c>
      <c r="B529" s="525"/>
      <c r="C529" s="528"/>
      <c r="D529" s="545"/>
      <c r="E529" s="534"/>
      <c r="F529" s="72">
        <v>4</v>
      </c>
      <c r="G529" s="73" t="s">
        <v>205</v>
      </c>
      <c r="H529" s="74">
        <v>50</v>
      </c>
      <c r="I529" s="69" t="s">
        <v>131</v>
      </c>
      <c r="K529" s="88">
        <v>7</v>
      </c>
      <c r="L529" s="89">
        <f>E587</f>
        <v>0</v>
      </c>
      <c r="M529" s="536"/>
    </row>
    <row r="530" spans="1:13" x14ac:dyDescent="0.25">
      <c r="A530" s="69" t="s">
        <v>131</v>
      </c>
      <c r="B530" s="525"/>
      <c r="C530" s="528"/>
      <c r="D530" s="545"/>
      <c r="E530" s="534"/>
      <c r="F530" s="72"/>
      <c r="G530" s="167" t="s">
        <v>206</v>
      </c>
      <c r="H530" s="74"/>
      <c r="I530" s="69" t="s">
        <v>131</v>
      </c>
      <c r="K530" s="88">
        <v>8</v>
      </c>
      <c r="L530" s="89">
        <f>E597</f>
        <v>0</v>
      </c>
      <c r="M530" s="536"/>
    </row>
    <row r="531" spans="1:13" x14ac:dyDescent="0.25">
      <c r="A531" s="69" t="s">
        <v>131</v>
      </c>
      <c r="B531" s="525"/>
      <c r="C531" s="528"/>
      <c r="D531" s="545"/>
      <c r="E531" s="534"/>
      <c r="F531" s="72"/>
      <c r="G531" s="167"/>
      <c r="H531" s="74"/>
      <c r="I531" s="69" t="s">
        <v>131</v>
      </c>
      <c r="K531" s="88">
        <v>9</v>
      </c>
      <c r="L531" s="89">
        <f>E607</f>
        <v>0</v>
      </c>
      <c r="M531" s="536"/>
    </row>
    <row r="532" spans="1:13" ht="15.75" thickBot="1" x14ac:dyDescent="0.3">
      <c r="A532" s="69" t="s">
        <v>131</v>
      </c>
      <c r="B532" s="525"/>
      <c r="C532" s="528"/>
      <c r="D532" s="545"/>
      <c r="E532" s="534"/>
      <c r="F532" s="72"/>
      <c r="G532" s="70"/>
      <c r="H532" s="74"/>
      <c r="I532" s="69" t="s">
        <v>131</v>
      </c>
      <c r="K532" s="90">
        <v>10</v>
      </c>
      <c r="L532" s="91">
        <f>E617</f>
        <v>0</v>
      </c>
      <c r="M532" s="537"/>
    </row>
    <row r="533" spans="1:13" ht="15.75" thickBot="1" x14ac:dyDescent="0.3">
      <c r="A533" s="69" t="s">
        <v>131</v>
      </c>
      <c r="B533" s="526"/>
      <c r="C533" s="529"/>
      <c r="D533" s="545"/>
      <c r="E533" s="534"/>
      <c r="F533" s="72"/>
      <c r="G533" s="73"/>
      <c r="H533" s="74"/>
      <c r="I533" s="69" t="s">
        <v>131</v>
      </c>
    </row>
    <row r="534" spans="1:13" x14ac:dyDescent="0.25">
      <c r="A534" s="69" t="s">
        <v>131</v>
      </c>
      <c r="B534" s="541" t="s">
        <v>128</v>
      </c>
      <c r="C534" s="549" t="s">
        <v>202</v>
      </c>
      <c r="D534" s="545"/>
      <c r="E534" s="534"/>
      <c r="F534" s="72"/>
      <c r="G534" s="73"/>
      <c r="H534" s="74"/>
      <c r="I534" s="69" t="s">
        <v>131</v>
      </c>
    </row>
    <row r="535" spans="1:13" ht="15.75" thickBot="1" x14ac:dyDescent="0.3">
      <c r="A535" s="69" t="s">
        <v>131</v>
      </c>
      <c r="B535" s="542"/>
      <c r="C535" s="550"/>
      <c r="D535" s="546"/>
      <c r="E535" s="535"/>
      <c r="F535" s="75"/>
      <c r="G535" s="76"/>
      <c r="H535" s="77"/>
      <c r="I535" s="69" t="s">
        <v>131</v>
      </c>
    </row>
    <row r="536" spans="1:13" ht="15.75" hidden="1" customHeight="1" thickBot="1" x14ac:dyDescent="0.3">
      <c r="A536" s="69" t="s">
        <v>131</v>
      </c>
      <c r="B536" s="524">
        <v>2</v>
      </c>
      <c r="C536" s="527"/>
      <c r="D536" s="57" t="s">
        <v>125</v>
      </c>
      <c r="E536" s="58"/>
      <c r="F536" s="164"/>
      <c r="G536" s="70"/>
      <c r="H536" s="71"/>
      <c r="I536" s="69" t="s">
        <v>131</v>
      </c>
    </row>
    <row r="537" spans="1:13" hidden="1" x14ac:dyDescent="0.25">
      <c r="A537" s="69" t="s">
        <v>131</v>
      </c>
      <c r="B537" s="525"/>
      <c r="C537" s="528"/>
      <c r="D537" s="530"/>
      <c r="E537" s="533">
        <f>IF(D537=0,0,VLOOKUP($D537,$F536:$H545,3,FALSE)*$E536)</f>
        <v>0</v>
      </c>
      <c r="F537" s="72"/>
      <c r="G537" s="73"/>
      <c r="H537" s="74"/>
      <c r="I537" s="69" t="s">
        <v>131</v>
      </c>
    </row>
    <row r="538" spans="1:13" hidden="1" x14ac:dyDescent="0.25">
      <c r="A538" s="69" t="s">
        <v>131</v>
      </c>
      <c r="B538" s="525"/>
      <c r="C538" s="528"/>
      <c r="D538" s="531"/>
      <c r="E538" s="534"/>
      <c r="F538" s="72"/>
      <c r="G538" s="73"/>
      <c r="H538" s="74"/>
      <c r="I538" s="69" t="s">
        <v>131</v>
      </c>
    </row>
    <row r="539" spans="1:13" hidden="1" x14ac:dyDescent="0.25">
      <c r="A539" s="69" t="s">
        <v>131</v>
      </c>
      <c r="B539" s="525"/>
      <c r="C539" s="528"/>
      <c r="D539" s="531"/>
      <c r="E539" s="534"/>
      <c r="F539" s="72"/>
      <c r="G539" s="73"/>
      <c r="H539" s="74"/>
      <c r="I539" s="69" t="s">
        <v>131</v>
      </c>
    </row>
    <row r="540" spans="1:13" hidden="1" x14ac:dyDescent="0.25">
      <c r="A540" s="69" t="s">
        <v>131</v>
      </c>
      <c r="B540" s="525"/>
      <c r="C540" s="528"/>
      <c r="D540" s="531"/>
      <c r="E540" s="534"/>
      <c r="F540" s="72"/>
      <c r="G540" s="73"/>
      <c r="H540" s="74"/>
      <c r="I540" s="69" t="s">
        <v>131</v>
      </c>
    </row>
    <row r="541" spans="1:13" hidden="1" x14ac:dyDescent="0.25">
      <c r="A541" s="69" t="s">
        <v>131</v>
      </c>
      <c r="B541" s="525"/>
      <c r="C541" s="528"/>
      <c r="D541" s="531"/>
      <c r="E541" s="534"/>
      <c r="F541" s="72"/>
      <c r="G541" s="167"/>
      <c r="H541" s="74"/>
      <c r="I541" s="69" t="s">
        <v>131</v>
      </c>
    </row>
    <row r="542" spans="1:13" hidden="1" x14ac:dyDescent="0.25">
      <c r="A542" s="69" t="s">
        <v>131</v>
      </c>
      <c r="B542" s="525"/>
      <c r="C542" s="528"/>
      <c r="D542" s="531"/>
      <c r="E542" s="534"/>
      <c r="F542" s="72"/>
      <c r="G542" s="73"/>
      <c r="H542" s="74"/>
      <c r="I542" s="69" t="s">
        <v>131</v>
      </c>
    </row>
    <row r="543" spans="1:13" ht="15.75" hidden="1" thickBot="1" x14ac:dyDescent="0.3">
      <c r="A543" s="69" t="s">
        <v>131</v>
      </c>
      <c r="B543" s="526"/>
      <c r="C543" s="529"/>
      <c r="D543" s="531"/>
      <c r="E543" s="534"/>
      <c r="F543" s="72"/>
      <c r="G543" s="73"/>
      <c r="H543" s="74"/>
      <c r="I543" s="69" t="s">
        <v>131</v>
      </c>
    </row>
    <row r="544" spans="1:13" hidden="1" x14ac:dyDescent="0.25">
      <c r="A544" s="69" t="s">
        <v>131</v>
      </c>
      <c r="B544" s="541" t="s">
        <v>128</v>
      </c>
      <c r="C544" s="549"/>
      <c r="D544" s="531"/>
      <c r="E544" s="534"/>
      <c r="F544" s="72"/>
      <c r="G544" s="73"/>
      <c r="H544" s="74"/>
      <c r="I544" s="69" t="s">
        <v>131</v>
      </c>
    </row>
    <row r="545" spans="1:9" ht="15.75" hidden="1" thickBot="1" x14ac:dyDescent="0.3">
      <c r="A545" s="69" t="s">
        <v>131</v>
      </c>
      <c r="B545" s="542"/>
      <c r="C545" s="550"/>
      <c r="D545" s="532"/>
      <c r="E545" s="535"/>
      <c r="F545" s="75"/>
      <c r="G545" s="76"/>
      <c r="H545" s="77"/>
      <c r="I545" s="69" t="s">
        <v>131</v>
      </c>
    </row>
    <row r="546" spans="1:9" ht="15.75" hidden="1" thickBot="1" x14ac:dyDescent="0.3">
      <c r="A546" s="69" t="s">
        <v>131</v>
      </c>
      <c r="B546" s="524">
        <v>3</v>
      </c>
      <c r="C546" s="527"/>
      <c r="D546" s="57" t="s">
        <v>125</v>
      </c>
      <c r="E546" s="58"/>
      <c r="F546" s="164"/>
      <c r="G546" s="70"/>
      <c r="H546" s="71"/>
      <c r="I546" s="69" t="s">
        <v>131</v>
      </c>
    </row>
    <row r="547" spans="1:9" hidden="1" x14ac:dyDescent="0.25">
      <c r="A547" s="69" t="s">
        <v>131</v>
      </c>
      <c r="B547" s="525"/>
      <c r="C547" s="528"/>
      <c r="D547" s="544"/>
      <c r="E547" s="533">
        <f>IF(D547=0,0,VLOOKUP($D547,$F546:$H555,3,FALSE)*$E546)</f>
        <v>0</v>
      </c>
      <c r="F547" s="72"/>
      <c r="G547" s="73"/>
      <c r="H547" s="74"/>
      <c r="I547" s="69" t="s">
        <v>131</v>
      </c>
    </row>
    <row r="548" spans="1:9" hidden="1" x14ac:dyDescent="0.25">
      <c r="A548" s="69" t="s">
        <v>131</v>
      </c>
      <c r="B548" s="525"/>
      <c r="C548" s="528"/>
      <c r="D548" s="545"/>
      <c r="E548" s="534"/>
      <c r="F548" s="72"/>
      <c r="G548" s="73"/>
      <c r="H548" s="74"/>
      <c r="I548" s="69" t="s">
        <v>131</v>
      </c>
    </row>
    <row r="549" spans="1:9" hidden="1" x14ac:dyDescent="0.25">
      <c r="A549" s="69" t="s">
        <v>131</v>
      </c>
      <c r="B549" s="525"/>
      <c r="C549" s="528"/>
      <c r="D549" s="545"/>
      <c r="E549" s="534"/>
      <c r="F549" s="72"/>
      <c r="G549" s="73"/>
      <c r="H549" s="74"/>
      <c r="I549" s="69" t="s">
        <v>131</v>
      </c>
    </row>
    <row r="550" spans="1:9" hidden="1" x14ac:dyDescent="0.25">
      <c r="A550" s="69" t="s">
        <v>131</v>
      </c>
      <c r="B550" s="525"/>
      <c r="C550" s="528"/>
      <c r="D550" s="545"/>
      <c r="E550" s="534"/>
      <c r="F550" s="72"/>
      <c r="G550" s="167"/>
      <c r="H550" s="74"/>
      <c r="I550" s="69" t="s">
        <v>131</v>
      </c>
    </row>
    <row r="551" spans="1:9" hidden="1" x14ac:dyDescent="0.25">
      <c r="A551" s="69" t="s">
        <v>131</v>
      </c>
      <c r="B551" s="525"/>
      <c r="C551" s="528"/>
      <c r="D551" s="545"/>
      <c r="E551" s="534"/>
      <c r="F551" s="72"/>
      <c r="G551" s="73"/>
      <c r="H551" s="74"/>
      <c r="I551" s="69" t="s">
        <v>131</v>
      </c>
    </row>
    <row r="552" spans="1:9" hidden="1" x14ac:dyDescent="0.25">
      <c r="A552" s="69" t="s">
        <v>131</v>
      </c>
      <c r="B552" s="525"/>
      <c r="C552" s="528"/>
      <c r="D552" s="545"/>
      <c r="E552" s="534"/>
      <c r="F552" s="72"/>
      <c r="G552" s="73"/>
      <c r="H552" s="74"/>
      <c r="I552" s="69" t="s">
        <v>131</v>
      </c>
    </row>
    <row r="553" spans="1:9" ht="15.75" hidden="1" thickBot="1" x14ac:dyDescent="0.3">
      <c r="A553" s="69" t="s">
        <v>131</v>
      </c>
      <c r="B553" s="526"/>
      <c r="C553" s="529"/>
      <c r="D553" s="545"/>
      <c r="E553" s="534"/>
      <c r="F553" s="72"/>
      <c r="G553" s="73"/>
      <c r="H553" s="74"/>
      <c r="I553" s="69" t="s">
        <v>131</v>
      </c>
    </row>
    <row r="554" spans="1:9" hidden="1" x14ac:dyDescent="0.25">
      <c r="A554" s="69" t="s">
        <v>131</v>
      </c>
      <c r="B554" s="541" t="s">
        <v>128</v>
      </c>
      <c r="C554" s="527"/>
      <c r="D554" s="545"/>
      <c r="E554" s="534"/>
      <c r="F554" s="72"/>
      <c r="G554" s="73"/>
      <c r="H554" s="74"/>
      <c r="I554" s="69" t="s">
        <v>131</v>
      </c>
    </row>
    <row r="555" spans="1:9" ht="15.75" hidden="1" thickBot="1" x14ac:dyDescent="0.3">
      <c r="A555" s="69" t="s">
        <v>131</v>
      </c>
      <c r="B555" s="542"/>
      <c r="C555" s="529"/>
      <c r="D555" s="546"/>
      <c r="E555" s="535"/>
      <c r="F555" s="75"/>
      <c r="G555" s="76"/>
      <c r="H555" s="77"/>
      <c r="I555" s="69" t="s">
        <v>131</v>
      </c>
    </row>
    <row r="556" spans="1:9" ht="15.75" hidden="1" thickBot="1" x14ac:dyDescent="0.3">
      <c r="A556" s="69" t="s">
        <v>131</v>
      </c>
      <c r="B556" s="524">
        <v>4</v>
      </c>
      <c r="C556" s="527"/>
      <c r="D556" s="57" t="s">
        <v>125</v>
      </c>
      <c r="E556" s="58"/>
      <c r="F556" s="164">
        <v>10</v>
      </c>
      <c r="G556" s="70" t="s">
        <v>126</v>
      </c>
      <c r="H556" s="71">
        <v>115</v>
      </c>
      <c r="I556" s="69" t="s">
        <v>131</v>
      </c>
    </row>
    <row r="557" spans="1:9" hidden="1" x14ac:dyDescent="0.25">
      <c r="A557" s="69" t="s">
        <v>131</v>
      </c>
      <c r="B557" s="525"/>
      <c r="C557" s="528"/>
      <c r="D557" s="530"/>
      <c r="E557" s="533">
        <f>IF(D557=0,0,VLOOKUP($D557,$F556:$H565,3,FALSE)*$E556)</f>
        <v>0</v>
      </c>
      <c r="F557" s="72">
        <v>9</v>
      </c>
      <c r="G557" s="73" t="s">
        <v>126</v>
      </c>
      <c r="H557" s="74">
        <f>H556-5</f>
        <v>110</v>
      </c>
      <c r="I557" s="69" t="s">
        <v>131</v>
      </c>
    </row>
    <row r="558" spans="1:9" hidden="1" x14ac:dyDescent="0.25">
      <c r="A558" s="69" t="s">
        <v>131</v>
      </c>
      <c r="B558" s="525"/>
      <c r="C558" s="528"/>
      <c r="D558" s="531"/>
      <c r="E558" s="534"/>
      <c r="F558" s="72">
        <v>8</v>
      </c>
      <c r="G558" s="73" t="s">
        <v>126</v>
      </c>
      <c r="H558" s="74">
        <f t="shared" ref="H558:H565" si="21">H557-5</f>
        <v>105</v>
      </c>
      <c r="I558" s="69" t="s">
        <v>131</v>
      </c>
    </row>
    <row r="559" spans="1:9" hidden="1" x14ac:dyDescent="0.25">
      <c r="A559" s="69" t="s">
        <v>131</v>
      </c>
      <c r="B559" s="525"/>
      <c r="C559" s="528"/>
      <c r="D559" s="531"/>
      <c r="E559" s="534"/>
      <c r="F559" s="72">
        <v>7</v>
      </c>
      <c r="G559" s="73" t="s">
        <v>126</v>
      </c>
      <c r="H559" s="74">
        <f t="shared" si="21"/>
        <v>100</v>
      </c>
      <c r="I559" s="69" t="s">
        <v>131</v>
      </c>
    </row>
    <row r="560" spans="1:9" hidden="1" x14ac:dyDescent="0.25">
      <c r="A560" s="69" t="s">
        <v>131</v>
      </c>
      <c r="B560" s="525"/>
      <c r="C560" s="528"/>
      <c r="D560" s="531"/>
      <c r="E560" s="534"/>
      <c r="F560" s="72">
        <v>6</v>
      </c>
      <c r="G560" s="73" t="s">
        <v>126</v>
      </c>
      <c r="H560" s="74">
        <f t="shared" si="21"/>
        <v>95</v>
      </c>
      <c r="I560" s="69" t="s">
        <v>131</v>
      </c>
    </row>
    <row r="561" spans="1:9" hidden="1" x14ac:dyDescent="0.25">
      <c r="A561" s="69" t="s">
        <v>131</v>
      </c>
      <c r="B561" s="525"/>
      <c r="C561" s="528"/>
      <c r="D561" s="531"/>
      <c r="E561" s="534"/>
      <c r="F561" s="72">
        <v>5</v>
      </c>
      <c r="G561" s="73" t="s">
        <v>126</v>
      </c>
      <c r="H561" s="74">
        <f t="shared" si="21"/>
        <v>90</v>
      </c>
      <c r="I561" s="69" t="s">
        <v>131</v>
      </c>
    </row>
    <row r="562" spans="1:9" hidden="1" x14ac:dyDescent="0.25">
      <c r="A562" s="69" t="s">
        <v>131</v>
      </c>
      <c r="B562" s="525"/>
      <c r="C562" s="528"/>
      <c r="D562" s="531"/>
      <c r="E562" s="534"/>
      <c r="F562" s="72">
        <v>4</v>
      </c>
      <c r="G562" s="73" t="s">
        <v>126</v>
      </c>
      <c r="H562" s="74">
        <f t="shared" si="21"/>
        <v>85</v>
      </c>
      <c r="I562" s="69" t="s">
        <v>131</v>
      </c>
    </row>
    <row r="563" spans="1:9" ht="15.75" hidden="1" thickBot="1" x14ac:dyDescent="0.3">
      <c r="A563" s="69" t="s">
        <v>131</v>
      </c>
      <c r="B563" s="526"/>
      <c r="C563" s="529"/>
      <c r="D563" s="531"/>
      <c r="E563" s="534"/>
      <c r="F563" s="72">
        <v>3</v>
      </c>
      <c r="G563" s="73" t="s">
        <v>126</v>
      </c>
      <c r="H563" s="74">
        <f t="shared" si="21"/>
        <v>80</v>
      </c>
      <c r="I563" s="69" t="s">
        <v>131</v>
      </c>
    </row>
    <row r="564" spans="1:9" hidden="1" x14ac:dyDescent="0.25">
      <c r="A564" s="69" t="s">
        <v>131</v>
      </c>
      <c r="B564" s="541" t="s">
        <v>128</v>
      </c>
      <c r="C564" s="527"/>
      <c r="D564" s="531"/>
      <c r="E564" s="534"/>
      <c r="F564" s="72">
        <v>2</v>
      </c>
      <c r="G564" s="73" t="s">
        <v>126</v>
      </c>
      <c r="H564" s="74">
        <f t="shared" si="21"/>
        <v>75</v>
      </c>
      <c r="I564" s="69" t="s">
        <v>131</v>
      </c>
    </row>
    <row r="565" spans="1:9" ht="15.75" hidden="1" thickBot="1" x14ac:dyDescent="0.3">
      <c r="A565" s="69" t="s">
        <v>131</v>
      </c>
      <c r="B565" s="542"/>
      <c r="C565" s="529"/>
      <c r="D565" s="532"/>
      <c r="E565" s="535"/>
      <c r="F565" s="75">
        <v>1</v>
      </c>
      <c r="G565" s="76" t="s">
        <v>126</v>
      </c>
      <c r="H565" s="77">
        <f t="shared" si="21"/>
        <v>70</v>
      </c>
      <c r="I565" s="69" t="s">
        <v>131</v>
      </c>
    </row>
    <row r="566" spans="1:9" ht="15.75" hidden="1" thickBot="1" x14ac:dyDescent="0.3">
      <c r="A566" s="69" t="s">
        <v>131</v>
      </c>
      <c r="B566" s="548">
        <v>5</v>
      </c>
      <c r="C566" s="527"/>
      <c r="D566" s="57" t="s">
        <v>125</v>
      </c>
      <c r="E566" s="58"/>
      <c r="F566" s="78">
        <v>10</v>
      </c>
      <c r="G566" s="79" t="s">
        <v>126</v>
      </c>
      <c r="H566" s="80">
        <v>115</v>
      </c>
      <c r="I566" s="69" t="s">
        <v>131</v>
      </c>
    </row>
    <row r="567" spans="1:9" hidden="1" x14ac:dyDescent="0.25">
      <c r="A567" s="69" t="s">
        <v>131</v>
      </c>
      <c r="B567" s="525"/>
      <c r="C567" s="528"/>
      <c r="D567" s="530"/>
      <c r="E567" s="533">
        <f>IF(D567=0,0,VLOOKUP($D567,$F566:$H575,3,FALSE)*$E566)</f>
        <v>0</v>
      </c>
      <c r="F567" s="72">
        <v>9</v>
      </c>
      <c r="G567" s="73" t="s">
        <v>126</v>
      </c>
      <c r="H567" s="74">
        <f>H566-5</f>
        <v>110</v>
      </c>
      <c r="I567" s="69" t="s">
        <v>131</v>
      </c>
    </row>
    <row r="568" spans="1:9" hidden="1" x14ac:dyDescent="0.25">
      <c r="A568" s="69" t="s">
        <v>131</v>
      </c>
      <c r="B568" s="525"/>
      <c r="C568" s="528"/>
      <c r="D568" s="531"/>
      <c r="E568" s="534"/>
      <c r="F568" s="72">
        <v>8</v>
      </c>
      <c r="G568" s="73" t="s">
        <v>126</v>
      </c>
      <c r="H568" s="74">
        <f t="shared" ref="H568:H575" si="22">H567-5</f>
        <v>105</v>
      </c>
      <c r="I568" s="69" t="s">
        <v>131</v>
      </c>
    </row>
    <row r="569" spans="1:9" hidden="1" x14ac:dyDescent="0.25">
      <c r="A569" s="69" t="s">
        <v>131</v>
      </c>
      <c r="B569" s="525"/>
      <c r="C569" s="528"/>
      <c r="D569" s="531"/>
      <c r="E569" s="534"/>
      <c r="F569" s="72">
        <v>7</v>
      </c>
      <c r="G569" s="73" t="s">
        <v>126</v>
      </c>
      <c r="H569" s="74">
        <f t="shared" si="22"/>
        <v>100</v>
      </c>
      <c r="I569" s="69" t="s">
        <v>131</v>
      </c>
    </row>
    <row r="570" spans="1:9" hidden="1" x14ac:dyDescent="0.25">
      <c r="A570" s="69" t="s">
        <v>131</v>
      </c>
      <c r="B570" s="525"/>
      <c r="C570" s="528"/>
      <c r="D570" s="531"/>
      <c r="E570" s="534"/>
      <c r="F570" s="72">
        <v>6</v>
      </c>
      <c r="G570" s="73" t="s">
        <v>126</v>
      </c>
      <c r="H570" s="74">
        <f t="shared" si="22"/>
        <v>95</v>
      </c>
      <c r="I570" s="69" t="s">
        <v>131</v>
      </c>
    </row>
    <row r="571" spans="1:9" hidden="1" x14ac:dyDescent="0.25">
      <c r="A571" s="69" t="s">
        <v>131</v>
      </c>
      <c r="B571" s="525"/>
      <c r="C571" s="528"/>
      <c r="D571" s="531"/>
      <c r="E571" s="534"/>
      <c r="F571" s="72">
        <v>5</v>
      </c>
      <c r="G571" s="73" t="s">
        <v>126</v>
      </c>
      <c r="H571" s="74">
        <f t="shared" si="22"/>
        <v>90</v>
      </c>
      <c r="I571" s="69" t="s">
        <v>131</v>
      </c>
    </row>
    <row r="572" spans="1:9" hidden="1" x14ac:dyDescent="0.25">
      <c r="A572" s="69" t="s">
        <v>131</v>
      </c>
      <c r="B572" s="525"/>
      <c r="C572" s="528"/>
      <c r="D572" s="531"/>
      <c r="E572" s="534"/>
      <c r="F572" s="72">
        <v>4</v>
      </c>
      <c r="G572" s="73" t="s">
        <v>126</v>
      </c>
      <c r="H572" s="74">
        <f t="shared" si="22"/>
        <v>85</v>
      </c>
      <c r="I572" s="69" t="s">
        <v>131</v>
      </c>
    </row>
    <row r="573" spans="1:9" ht="15.75" hidden="1" thickBot="1" x14ac:dyDescent="0.3">
      <c r="A573" s="69" t="s">
        <v>131</v>
      </c>
      <c r="B573" s="526"/>
      <c r="C573" s="529"/>
      <c r="D573" s="531"/>
      <c r="E573" s="534"/>
      <c r="F573" s="72">
        <v>3</v>
      </c>
      <c r="G573" s="73" t="s">
        <v>126</v>
      </c>
      <c r="H573" s="74">
        <f t="shared" si="22"/>
        <v>80</v>
      </c>
      <c r="I573" s="69" t="s">
        <v>131</v>
      </c>
    </row>
    <row r="574" spans="1:9" hidden="1" x14ac:dyDescent="0.25">
      <c r="A574" s="69" t="s">
        <v>131</v>
      </c>
      <c r="B574" s="541" t="s">
        <v>128</v>
      </c>
      <c r="C574" s="527"/>
      <c r="D574" s="531"/>
      <c r="E574" s="534"/>
      <c r="F574" s="72">
        <v>2</v>
      </c>
      <c r="G574" s="73" t="s">
        <v>126</v>
      </c>
      <c r="H574" s="74">
        <f t="shared" si="22"/>
        <v>75</v>
      </c>
      <c r="I574" s="69" t="s">
        <v>131</v>
      </c>
    </row>
    <row r="575" spans="1:9" ht="15.75" hidden="1" thickBot="1" x14ac:dyDescent="0.3">
      <c r="A575" s="69" t="s">
        <v>131</v>
      </c>
      <c r="B575" s="542"/>
      <c r="C575" s="529"/>
      <c r="D575" s="532"/>
      <c r="E575" s="535"/>
      <c r="F575" s="75">
        <v>1</v>
      </c>
      <c r="G575" s="76" t="s">
        <v>126</v>
      </c>
      <c r="H575" s="77">
        <f t="shared" si="22"/>
        <v>70</v>
      </c>
      <c r="I575" s="69" t="s">
        <v>131</v>
      </c>
    </row>
    <row r="576" spans="1:9" ht="15.75" hidden="1" thickBot="1" x14ac:dyDescent="0.3">
      <c r="A576" s="69" t="s">
        <v>131</v>
      </c>
      <c r="B576" s="524">
        <v>6</v>
      </c>
      <c r="C576" s="527"/>
      <c r="D576" s="57" t="s">
        <v>125</v>
      </c>
      <c r="E576" s="58"/>
      <c r="F576" s="164">
        <v>10</v>
      </c>
      <c r="G576" s="70" t="s">
        <v>126</v>
      </c>
      <c r="H576" s="71">
        <v>115</v>
      </c>
      <c r="I576" s="69" t="s">
        <v>131</v>
      </c>
    </row>
    <row r="577" spans="1:9" hidden="1" x14ac:dyDescent="0.25">
      <c r="A577" s="69" t="s">
        <v>131</v>
      </c>
      <c r="B577" s="525"/>
      <c r="C577" s="528"/>
      <c r="D577" s="530"/>
      <c r="E577" s="533">
        <f>IF(D577=0,0,VLOOKUP($D577,$F576:$H585,3,FALSE)*$E576)</f>
        <v>0</v>
      </c>
      <c r="F577" s="72">
        <v>9</v>
      </c>
      <c r="G577" s="73" t="s">
        <v>126</v>
      </c>
      <c r="H577" s="74">
        <f>H576-5</f>
        <v>110</v>
      </c>
      <c r="I577" s="69" t="s">
        <v>131</v>
      </c>
    </row>
    <row r="578" spans="1:9" hidden="1" x14ac:dyDescent="0.25">
      <c r="A578" s="69" t="s">
        <v>131</v>
      </c>
      <c r="B578" s="525"/>
      <c r="C578" s="528"/>
      <c r="D578" s="531"/>
      <c r="E578" s="534"/>
      <c r="F578" s="72">
        <v>8</v>
      </c>
      <c r="G578" s="73" t="s">
        <v>126</v>
      </c>
      <c r="H578" s="74">
        <f t="shared" ref="H578:H585" si="23">H577-5</f>
        <v>105</v>
      </c>
      <c r="I578" s="69" t="s">
        <v>131</v>
      </c>
    </row>
    <row r="579" spans="1:9" hidden="1" x14ac:dyDescent="0.25">
      <c r="A579" s="69" t="s">
        <v>131</v>
      </c>
      <c r="B579" s="525"/>
      <c r="C579" s="528"/>
      <c r="D579" s="531"/>
      <c r="E579" s="534"/>
      <c r="F579" s="72">
        <v>7</v>
      </c>
      <c r="G579" s="73" t="s">
        <v>126</v>
      </c>
      <c r="H579" s="74">
        <f t="shared" si="23"/>
        <v>100</v>
      </c>
      <c r="I579" s="69" t="s">
        <v>131</v>
      </c>
    </row>
    <row r="580" spans="1:9" hidden="1" x14ac:dyDescent="0.25">
      <c r="A580" s="69" t="s">
        <v>131</v>
      </c>
      <c r="B580" s="525"/>
      <c r="C580" s="528"/>
      <c r="D580" s="531"/>
      <c r="E580" s="534"/>
      <c r="F580" s="72">
        <v>6</v>
      </c>
      <c r="G580" s="73" t="s">
        <v>126</v>
      </c>
      <c r="H580" s="74">
        <f t="shared" si="23"/>
        <v>95</v>
      </c>
      <c r="I580" s="69" t="s">
        <v>131</v>
      </c>
    </row>
    <row r="581" spans="1:9" hidden="1" x14ac:dyDescent="0.25">
      <c r="A581" s="69" t="s">
        <v>131</v>
      </c>
      <c r="B581" s="525"/>
      <c r="C581" s="528"/>
      <c r="D581" s="531"/>
      <c r="E581" s="534"/>
      <c r="F581" s="72">
        <v>5</v>
      </c>
      <c r="G581" s="73" t="s">
        <v>126</v>
      </c>
      <c r="H581" s="74">
        <f t="shared" si="23"/>
        <v>90</v>
      </c>
      <c r="I581" s="69" t="s">
        <v>131</v>
      </c>
    </row>
    <row r="582" spans="1:9" hidden="1" x14ac:dyDescent="0.25">
      <c r="A582" s="69" t="s">
        <v>131</v>
      </c>
      <c r="B582" s="525"/>
      <c r="C582" s="528"/>
      <c r="D582" s="531"/>
      <c r="E582" s="534"/>
      <c r="F582" s="72">
        <v>4</v>
      </c>
      <c r="G582" s="73" t="s">
        <v>126</v>
      </c>
      <c r="H582" s="74">
        <f t="shared" si="23"/>
        <v>85</v>
      </c>
      <c r="I582" s="69" t="s">
        <v>131</v>
      </c>
    </row>
    <row r="583" spans="1:9" ht="15.75" hidden="1" thickBot="1" x14ac:dyDescent="0.3">
      <c r="A583" s="69" t="s">
        <v>131</v>
      </c>
      <c r="B583" s="526"/>
      <c r="C583" s="529"/>
      <c r="D583" s="531"/>
      <c r="E583" s="534"/>
      <c r="F583" s="72">
        <v>3</v>
      </c>
      <c r="G583" s="73" t="s">
        <v>126</v>
      </c>
      <c r="H583" s="74">
        <f t="shared" si="23"/>
        <v>80</v>
      </c>
      <c r="I583" s="69" t="s">
        <v>131</v>
      </c>
    </row>
    <row r="584" spans="1:9" hidden="1" x14ac:dyDescent="0.25">
      <c r="A584" s="69" t="s">
        <v>131</v>
      </c>
      <c r="B584" s="541" t="s">
        <v>128</v>
      </c>
      <c r="C584" s="527"/>
      <c r="D584" s="531"/>
      <c r="E584" s="534"/>
      <c r="F584" s="72">
        <v>2</v>
      </c>
      <c r="G584" s="73" t="s">
        <v>126</v>
      </c>
      <c r="H584" s="74">
        <f t="shared" si="23"/>
        <v>75</v>
      </c>
      <c r="I584" s="69" t="s">
        <v>131</v>
      </c>
    </row>
    <row r="585" spans="1:9" ht="15.75" hidden="1" thickBot="1" x14ac:dyDescent="0.3">
      <c r="A585" s="69" t="s">
        <v>131</v>
      </c>
      <c r="B585" s="542"/>
      <c r="C585" s="529"/>
      <c r="D585" s="532"/>
      <c r="E585" s="535"/>
      <c r="F585" s="75">
        <v>1</v>
      </c>
      <c r="G585" s="76" t="s">
        <v>126</v>
      </c>
      <c r="H585" s="77">
        <f t="shared" si="23"/>
        <v>70</v>
      </c>
      <c r="I585" s="69" t="s">
        <v>131</v>
      </c>
    </row>
    <row r="586" spans="1:9" ht="15.75" hidden="1" thickBot="1" x14ac:dyDescent="0.3">
      <c r="A586" s="69" t="s">
        <v>131</v>
      </c>
      <c r="B586" s="524">
        <v>7</v>
      </c>
      <c r="C586" s="527"/>
      <c r="D586" s="57" t="s">
        <v>125</v>
      </c>
      <c r="E586" s="58"/>
      <c r="F586" s="164">
        <v>10</v>
      </c>
      <c r="G586" s="70" t="s">
        <v>126</v>
      </c>
      <c r="H586" s="71">
        <v>115</v>
      </c>
      <c r="I586" s="69" t="s">
        <v>131</v>
      </c>
    </row>
    <row r="587" spans="1:9" hidden="1" x14ac:dyDescent="0.25">
      <c r="A587" s="69" t="s">
        <v>131</v>
      </c>
      <c r="B587" s="525"/>
      <c r="C587" s="528"/>
      <c r="D587" s="530"/>
      <c r="E587" s="533">
        <f>IF(D587=0,0,VLOOKUP($D587,$F586:$H595,3,FALSE)*$E586)</f>
        <v>0</v>
      </c>
      <c r="F587" s="72">
        <v>9</v>
      </c>
      <c r="G587" s="73" t="s">
        <v>126</v>
      </c>
      <c r="H587" s="74">
        <f>H586-5</f>
        <v>110</v>
      </c>
      <c r="I587" s="69" t="s">
        <v>131</v>
      </c>
    </row>
    <row r="588" spans="1:9" hidden="1" x14ac:dyDescent="0.25">
      <c r="A588" s="69" t="s">
        <v>131</v>
      </c>
      <c r="B588" s="525"/>
      <c r="C588" s="528"/>
      <c r="D588" s="531"/>
      <c r="E588" s="534"/>
      <c r="F588" s="72">
        <v>8</v>
      </c>
      <c r="G588" s="73" t="s">
        <v>126</v>
      </c>
      <c r="H588" s="74">
        <f t="shared" ref="H588:H595" si="24">H587-5</f>
        <v>105</v>
      </c>
      <c r="I588" s="69" t="s">
        <v>131</v>
      </c>
    </row>
    <row r="589" spans="1:9" hidden="1" x14ac:dyDescent="0.25">
      <c r="A589" s="69" t="s">
        <v>131</v>
      </c>
      <c r="B589" s="525"/>
      <c r="C589" s="528"/>
      <c r="D589" s="531"/>
      <c r="E589" s="534"/>
      <c r="F589" s="72">
        <v>7</v>
      </c>
      <c r="G589" s="73" t="s">
        <v>126</v>
      </c>
      <c r="H589" s="74">
        <f t="shared" si="24"/>
        <v>100</v>
      </c>
      <c r="I589" s="69" t="s">
        <v>131</v>
      </c>
    </row>
    <row r="590" spans="1:9" hidden="1" x14ac:dyDescent="0.25">
      <c r="A590" s="69" t="s">
        <v>131</v>
      </c>
      <c r="B590" s="525"/>
      <c r="C590" s="528"/>
      <c r="D590" s="531"/>
      <c r="E590" s="534"/>
      <c r="F590" s="72">
        <v>6</v>
      </c>
      <c r="G590" s="73" t="s">
        <v>126</v>
      </c>
      <c r="H590" s="74">
        <f t="shared" si="24"/>
        <v>95</v>
      </c>
      <c r="I590" s="69" t="s">
        <v>131</v>
      </c>
    </row>
    <row r="591" spans="1:9" hidden="1" x14ac:dyDescent="0.25">
      <c r="A591" s="69" t="s">
        <v>131</v>
      </c>
      <c r="B591" s="525"/>
      <c r="C591" s="528"/>
      <c r="D591" s="531"/>
      <c r="E591" s="534"/>
      <c r="F591" s="72">
        <v>5</v>
      </c>
      <c r="G591" s="73" t="s">
        <v>126</v>
      </c>
      <c r="H591" s="74">
        <f t="shared" si="24"/>
        <v>90</v>
      </c>
      <c r="I591" s="69" t="s">
        <v>131</v>
      </c>
    </row>
    <row r="592" spans="1:9" hidden="1" x14ac:dyDescent="0.25">
      <c r="A592" s="69" t="s">
        <v>131</v>
      </c>
      <c r="B592" s="525"/>
      <c r="C592" s="528"/>
      <c r="D592" s="531"/>
      <c r="E592" s="534"/>
      <c r="F592" s="72">
        <v>4</v>
      </c>
      <c r="G592" s="73" t="s">
        <v>126</v>
      </c>
      <c r="H592" s="74">
        <f t="shared" si="24"/>
        <v>85</v>
      </c>
      <c r="I592" s="69" t="s">
        <v>131</v>
      </c>
    </row>
    <row r="593" spans="1:9" ht="15.75" hidden="1" thickBot="1" x14ac:dyDescent="0.3">
      <c r="A593" s="69" t="s">
        <v>131</v>
      </c>
      <c r="B593" s="526"/>
      <c r="C593" s="529"/>
      <c r="D593" s="531"/>
      <c r="E593" s="534"/>
      <c r="F593" s="72">
        <v>3</v>
      </c>
      <c r="G593" s="73" t="s">
        <v>126</v>
      </c>
      <c r="H593" s="74">
        <f t="shared" si="24"/>
        <v>80</v>
      </c>
      <c r="I593" s="69" t="s">
        <v>131</v>
      </c>
    </row>
    <row r="594" spans="1:9" hidden="1" x14ac:dyDescent="0.25">
      <c r="A594" s="69" t="s">
        <v>131</v>
      </c>
      <c r="B594" s="541" t="s">
        <v>128</v>
      </c>
      <c r="C594" s="527"/>
      <c r="D594" s="531"/>
      <c r="E594" s="534"/>
      <c r="F594" s="72">
        <v>2</v>
      </c>
      <c r="G594" s="73" t="s">
        <v>126</v>
      </c>
      <c r="H594" s="74">
        <f t="shared" si="24"/>
        <v>75</v>
      </c>
      <c r="I594" s="69" t="s">
        <v>131</v>
      </c>
    </row>
    <row r="595" spans="1:9" ht="15.75" hidden="1" thickBot="1" x14ac:dyDescent="0.3">
      <c r="A595" s="69" t="s">
        <v>131</v>
      </c>
      <c r="B595" s="542"/>
      <c r="C595" s="529"/>
      <c r="D595" s="532"/>
      <c r="E595" s="535"/>
      <c r="F595" s="75">
        <v>1</v>
      </c>
      <c r="G595" s="76" t="s">
        <v>126</v>
      </c>
      <c r="H595" s="77">
        <f t="shared" si="24"/>
        <v>70</v>
      </c>
      <c r="I595" s="69" t="s">
        <v>131</v>
      </c>
    </row>
    <row r="596" spans="1:9" ht="15.75" hidden="1" thickBot="1" x14ac:dyDescent="0.3">
      <c r="A596" s="69" t="s">
        <v>131</v>
      </c>
      <c r="B596" s="524">
        <v>8</v>
      </c>
      <c r="C596" s="527"/>
      <c r="D596" s="57" t="s">
        <v>125</v>
      </c>
      <c r="E596" s="58"/>
      <c r="F596" s="164">
        <v>10</v>
      </c>
      <c r="G596" s="70" t="s">
        <v>126</v>
      </c>
      <c r="H596" s="71">
        <v>115</v>
      </c>
      <c r="I596" s="69" t="s">
        <v>131</v>
      </c>
    </row>
    <row r="597" spans="1:9" hidden="1" x14ac:dyDescent="0.25">
      <c r="A597" s="69" t="s">
        <v>131</v>
      </c>
      <c r="B597" s="525"/>
      <c r="C597" s="528"/>
      <c r="D597" s="530"/>
      <c r="E597" s="533">
        <f>IF(D597=0,0,VLOOKUP($D597,$F596:$H605,3,FALSE)*$E596)</f>
        <v>0</v>
      </c>
      <c r="F597" s="72">
        <v>9</v>
      </c>
      <c r="G597" s="73" t="s">
        <v>126</v>
      </c>
      <c r="H597" s="74">
        <f>H596-5</f>
        <v>110</v>
      </c>
      <c r="I597" s="69" t="s">
        <v>131</v>
      </c>
    </row>
    <row r="598" spans="1:9" hidden="1" x14ac:dyDescent="0.25">
      <c r="A598" s="69" t="s">
        <v>131</v>
      </c>
      <c r="B598" s="525"/>
      <c r="C598" s="528"/>
      <c r="D598" s="531"/>
      <c r="E598" s="534"/>
      <c r="F598" s="72">
        <v>8</v>
      </c>
      <c r="G598" s="73" t="s">
        <v>126</v>
      </c>
      <c r="H598" s="74">
        <f t="shared" ref="H598:H605" si="25">H597-5</f>
        <v>105</v>
      </c>
      <c r="I598" s="69" t="s">
        <v>131</v>
      </c>
    </row>
    <row r="599" spans="1:9" hidden="1" x14ac:dyDescent="0.25">
      <c r="A599" s="69" t="s">
        <v>131</v>
      </c>
      <c r="B599" s="525"/>
      <c r="C599" s="528"/>
      <c r="D599" s="531"/>
      <c r="E599" s="534"/>
      <c r="F599" s="72">
        <v>7</v>
      </c>
      <c r="G599" s="73" t="s">
        <v>126</v>
      </c>
      <c r="H599" s="74">
        <f t="shared" si="25"/>
        <v>100</v>
      </c>
      <c r="I599" s="69" t="s">
        <v>131</v>
      </c>
    </row>
    <row r="600" spans="1:9" hidden="1" x14ac:dyDescent="0.25">
      <c r="A600" s="69" t="s">
        <v>131</v>
      </c>
      <c r="B600" s="525"/>
      <c r="C600" s="528"/>
      <c r="D600" s="531"/>
      <c r="E600" s="534"/>
      <c r="F600" s="72">
        <v>6</v>
      </c>
      <c r="G600" s="73" t="s">
        <v>126</v>
      </c>
      <c r="H600" s="74">
        <f t="shared" si="25"/>
        <v>95</v>
      </c>
      <c r="I600" s="69" t="s">
        <v>131</v>
      </c>
    </row>
    <row r="601" spans="1:9" hidden="1" x14ac:dyDescent="0.25">
      <c r="A601" s="69" t="s">
        <v>131</v>
      </c>
      <c r="B601" s="525"/>
      <c r="C601" s="528"/>
      <c r="D601" s="531"/>
      <c r="E601" s="534"/>
      <c r="F601" s="72">
        <v>5</v>
      </c>
      <c r="G601" s="73" t="s">
        <v>126</v>
      </c>
      <c r="H601" s="74">
        <f t="shared" si="25"/>
        <v>90</v>
      </c>
      <c r="I601" s="69" t="s">
        <v>131</v>
      </c>
    </row>
    <row r="602" spans="1:9" hidden="1" x14ac:dyDescent="0.25">
      <c r="A602" s="69" t="s">
        <v>131</v>
      </c>
      <c r="B602" s="525"/>
      <c r="C602" s="528"/>
      <c r="D602" s="531"/>
      <c r="E602" s="534"/>
      <c r="F602" s="72">
        <v>4</v>
      </c>
      <c r="G602" s="73" t="s">
        <v>126</v>
      </c>
      <c r="H602" s="74">
        <f t="shared" si="25"/>
        <v>85</v>
      </c>
      <c r="I602" s="69" t="s">
        <v>131</v>
      </c>
    </row>
    <row r="603" spans="1:9" ht="15.75" hidden="1" thickBot="1" x14ac:dyDescent="0.3">
      <c r="A603" s="69" t="s">
        <v>131</v>
      </c>
      <c r="B603" s="526"/>
      <c r="C603" s="529"/>
      <c r="D603" s="531"/>
      <c r="E603" s="534"/>
      <c r="F603" s="72">
        <v>3</v>
      </c>
      <c r="G603" s="73" t="s">
        <v>126</v>
      </c>
      <c r="H603" s="74">
        <f t="shared" si="25"/>
        <v>80</v>
      </c>
      <c r="I603" s="69" t="s">
        <v>131</v>
      </c>
    </row>
    <row r="604" spans="1:9" hidden="1" x14ac:dyDescent="0.25">
      <c r="A604" s="69" t="s">
        <v>131</v>
      </c>
      <c r="B604" s="541" t="s">
        <v>128</v>
      </c>
      <c r="C604" s="527"/>
      <c r="D604" s="531"/>
      <c r="E604" s="534"/>
      <c r="F604" s="72">
        <v>2</v>
      </c>
      <c r="G604" s="73" t="s">
        <v>126</v>
      </c>
      <c r="H604" s="74">
        <f t="shared" si="25"/>
        <v>75</v>
      </c>
      <c r="I604" s="69" t="s">
        <v>131</v>
      </c>
    </row>
    <row r="605" spans="1:9" ht="15.75" hidden="1" thickBot="1" x14ac:dyDescent="0.3">
      <c r="A605" s="69" t="s">
        <v>131</v>
      </c>
      <c r="B605" s="542"/>
      <c r="C605" s="529"/>
      <c r="D605" s="532"/>
      <c r="E605" s="535"/>
      <c r="F605" s="75">
        <v>1</v>
      </c>
      <c r="G605" s="76" t="s">
        <v>126</v>
      </c>
      <c r="H605" s="77">
        <f t="shared" si="25"/>
        <v>70</v>
      </c>
      <c r="I605" s="69" t="s">
        <v>131</v>
      </c>
    </row>
    <row r="606" spans="1:9" ht="15.75" hidden="1" thickBot="1" x14ac:dyDescent="0.3">
      <c r="A606" s="69" t="s">
        <v>131</v>
      </c>
      <c r="B606" s="524">
        <v>9</v>
      </c>
      <c r="C606" s="527"/>
      <c r="D606" s="57" t="s">
        <v>125</v>
      </c>
      <c r="E606" s="58"/>
      <c r="F606" s="164">
        <v>10</v>
      </c>
      <c r="G606" s="70" t="s">
        <v>126</v>
      </c>
      <c r="H606" s="71">
        <v>115</v>
      </c>
      <c r="I606" s="69" t="s">
        <v>131</v>
      </c>
    </row>
    <row r="607" spans="1:9" hidden="1" x14ac:dyDescent="0.25">
      <c r="A607" s="69" t="s">
        <v>131</v>
      </c>
      <c r="B607" s="525"/>
      <c r="C607" s="528"/>
      <c r="D607" s="530"/>
      <c r="E607" s="533">
        <f>IF(D607=0,0,VLOOKUP($D607,$F606:$H615,3,FALSE)*$E606)</f>
        <v>0</v>
      </c>
      <c r="F607" s="72">
        <v>9</v>
      </c>
      <c r="G607" s="73" t="s">
        <v>126</v>
      </c>
      <c r="H607" s="74">
        <f>H606-5</f>
        <v>110</v>
      </c>
      <c r="I607" s="69" t="s">
        <v>131</v>
      </c>
    </row>
    <row r="608" spans="1:9" hidden="1" x14ac:dyDescent="0.25">
      <c r="A608" s="69" t="s">
        <v>131</v>
      </c>
      <c r="B608" s="525"/>
      <c r="C608" s="528"/>
      <c r="D608" s="531"/>
      <c r="E608" s="534"/>
      <c r="F608" s="72">
        <v>8</v>
      </c>
      <c r="G608" s="73" t="s">
        <v>126</v>
      </c>
      <c r="H608" s="74">
        <f t="shared" ref="H608:H615" si="26">H607-5</f>
        <v>105</v>
      </c>
      <c r="I608" s="69" t="s">
        <v>131</v>
      </c>
    </row>
    <row r="609" spans="1:9" hidden="1" x14ac:dyDescent="0.25">
      <c r="A609" s="69" t="s">
        <v>131</v>
      </c>
      <c r="B609" s="525"/>
      <c r="C609" s="528"/>
      <c r="D609" s="531"/>
      <c r="E609" s="534"/>
      <c r="F609" s="72">
        <v>7</v>
      </c>
      <c r="G609" s="73" t="s">
        <v>126</v>
      </c>
      <c r="H609" s="74">
        <f t="shared" si="26"/>
        <v>100</v>
      </c>
      <c r="I609" s="69" t="s">
        <v>131</v>
      </c>
    </row>
    <row r="610" spans="1:9" hidden="1" x14ac:dyDescent="0.25">
      <c r="A610" s="69" t="s">
        <v>131</v>
      </c>
      <c r="B610" s="525"/>
      <c r="C610" s="528"/>
      <c r="D610" s="531"/>
      <c r="E610" s="534"/>
      <c r="F610" s="72">
        <v>6</v>
      </c>
      <c r="G610" s="73" t="s">
        <v>126</v>
      </c>
      <c r="H610" s="74">
        <f t="shared" si="26"/>
        <v>95</v>
      </c>
      <c r="I610" s="69" t="s">
        <v>131</v>
      </c>
    </row>
    <row r="611" spans="1:9" hidden="1" x14ac:dyDescent="0.25">
      <c r="A611" s="69" t="s">
        <v>131</v>
      </c>
      <c r="B611" s="525"/>
      <c r="C611" s="528"/>
      <c r="D611" s="531"/>
      <c r="E611" s="534"/>
      <c r="F611" s="72">
        <v>5</v>
      </c>
      <c r="G611" s="73" t="s">
        <v>126</v>
      </c>
      <c r="H611" s="74">
        <f t="shared" si="26"/>
        <v>90</v>
      </c>
      <c r="I611" s="69" t="s">
        <v>131</v>
      </c>
    </row>
    <row r="612" spans="1:9" hidden="1" x14ac:dyDescent="0.25">
      <c r="A612" s="69" t="s">
        <v>131</v>
      </c>
      <c r="B612" s="525"/>
      <c r="C612" s="528"/>
      <c r="D612" s="531"/>
      <c r="E612" s="534"/>
      <c r="F612" s="72">
        <v>4</v>
      </c>
      <c r="G612" s="73" t="s">
        <v>126</v>
      </c>
      <c r="H612" s="74">
        <f t="shared" si="26"/>
        <v>85</v>
      </c>
      <c r="I612" s="69" t="s">
        <v>131</v>
      </c>
    </row>
    <row r="613" spans="1:9" ht="15.75" hidden="1" thickBot="1" x14ac:dyDescent="0.3">
      <c r="A613" s="69" t="s">
        <v>131</v>
      </c>
      <c r="B613" s="526"/>
      <c r="C613" s="529"/>
      <c r="D613" s="531"/>
      <c r="E613" s="534"/>
      <c r="F613" s="72">
        <v>3</v>
      </c>
      <c r="G613" s="73" t="s">
        <v>126</v>
      </c>
      <c r="H613" s="74">
        <f t="shared" si="26"/>
        <v>80</v>
      </c>
      <c r="I613" s="69" t="s">
        <v>131</v>
      </c>
    </row>
    <row r="614" spans="1:9" hidden="1" x14ac:dyDescent="0.25">
      <c r="A614" s="69" t="s">
        <v>131</v>
      </c>
      <c r="B614" s="541" t="s">
        <v>128</v>
      </c>
      <c r="C614" s="527"/>
      <c r="D614" s="531"/>
      <c r="E614" s="534"/>
      <c r="F614" s="72">
        <v>2</v>
      </c>
      <c r="G614" s="73" t="s">
        <v>126</v>
      </c>
      <c r="H614" s="74">
        <f t="shared" si="26"/>
        <v>75</v>
      </c>
      <c r="I614" s="69" t="s">
        <v>131</v>
      </c>
    </row>
    <row r="615" spans="1:9" ht="15.75" hidden="1" thickBot="1" x14ac:dyDescent="0.3">
      <c r="A615" s="69" t="s">
        <v>131</v>
      </c>
      <c r="B615" s="542"/>
      <c r="C615" s="529"/>
      <c r="D615" s="532"/>
      <c r="E615" s="535"/>
      <c r="F615" s="75">
        <v>1</v>
      </c>
      <c r="G615" s="76" t="s">
        <v>126</v>
      </c>
      <c r="H615" s="77">
        <f t="shared" si="26"/>
        <v>70</v>
      </c>
      <c r="I615" s="69" t="s">
        <v>131</v>
      </c>
    </row>
    <row r="616" spans="1:9" ht="15.75" hidden="1" thickBot="1" x14ac:dyDescent="0.3">
      <c r="A616" s="69" t="s">
        <v>131</v>
      </c>
      <c r="B616" s="548">
        <v>10</v>
      </c>
      <c r="C616" s="527"/>
      <c r="D616" s="57" t="s">
        <v>125</v>
      </c>
      <c r="E616" s="58"/>
      <c r="F616" s="78">
        <v>10</v>
      </c>
      <c r="G616" s="79" t="s">
        <v>126</v>
      </c>
      <c r="H616" s="80">
        <v>115</v>
      </c>
      <c r="I616" s="69" t="s">
        <v>131</v>
      </c>
    </row>
    <row r="617" spans="1:9" hidden="1" x14ac:dyDescent="0.25">
      <c r="A617" s="69" t="s">
        <v>131</v>
      </c>
      <c r="B617" s="525"/>
      <c r="C617" s="528"/>
      <c r="D617" s="530"/>
      <c r="E617" s="533">
        <f>IF(D617=0,0,VLOOKUP($D617,$F616:$H625,3,FALSE)*$E616)</f>
        <v>0</v>
      </c>
      <c r="F617" s="72">
        <v>9</v>
      </c>
      <c r="G617" s="73" t="s">
        <v>126</v>
      </c>
      <c r="H617" s="74">
        <f>H616-5</f>
        <v>110</v>
      </c>
      <c r="I617" s="69" t="s">
        <v>131</v>
      </c>
    </row>
    <row r="618" spans="1:9" hidden="1" x14ac:dyDescent="0.25">
      <c r="A618" s="69" t="s">
        <v>131</v>
      </c>
      <c r="B618" s="525"/>
      <c r="C618" s="528"/>
      <c r="D618" s="531"/>
      <c r="E618" s="534"/>
      <c r="F618" s="72">
        <v>8</v>
      </c>
      <c r="G618" s="73" t="s">
        <v>126</v>
      </c>
      <c r="H618" s="74">
        <f t="shared" ref="H618:H625" si="27">H617-5</f>
        <v>105</v>
      </c>
      <c r="I618" s="69" t="s">
        <v>131</v>
      </c>
    </row>
    <row r="619" spans="1:9" hidden="1" x14ac:dyDescent="0.25">
      <c r="A619" s="69" t="s">
        <v>131</v>
      </c>
      <c r="B619" s="525"/>
      <c r="C619" s="528"/>
      <c r="D619" s="531"/>
      <c r="E619" s="534"/>
      <c r="F619" s="72">
        <v>7</v>
      </c>
      <c r="G619" s="73" t="s">
        <v>126</v>
      </c>
      <c r="H619" s="74">
        <f t="shared" si="27"/>
        <v>100</v>
      </c>
      <c r="I619" s="69" t="s">
        <v>131</v>
      </c>
    </row>
    <row r="620" spans="1:9" hidden="1" x14ac:dyDescent="0.25">
      <c r="A620" s="69" t="s">
        <v>131</v>
      </c>
      <c r="B620" s="525"/>
      <c r="C620" s="528"/>
      <c r="D620" s="531"/>
      <c r="E620" s="534"/>
      <c r="F620" s="72">
        <v>6</v>
      </c>
      <c r="G620" s="73" t="s">
        <v>126</v>
      </c>
      <c r="H620" s="74">
        <f t="shared" si="27"/>
        <v>95</v>
      </c>
      <c r="I620" s="69" t="s">
        <v>131</v>
      </c>
    </row>
    <row r="621" spans="1:9" hidden="1" x14ac:dyDescent="0.25">
      <c r="A621" s="69" t="s">
        <v>131</v>
      </c>
      <c r="B621" s="525"/>
      <c r="C621" s="528"/>
      <c r="D621" s="531"/>
      <c r="E621" s="534"/>
      <c r="F621" s="72">
        <v>5</v>
      </c>
      <c r="G621" s="73" t="s">
        <v>126</v>
      </c>
      <c r="H621" s="74">
        <f t="shared" si="27"/>
        <v>90</v>
      </c>
      <c r="I621" s="69" t="s">
        <v>131</v>
      </c>
    </row>
    <row r="622" spans="1:9" hidden="1" x14ac:dyDescent="0.25">
      <c r="A622" s="69" t="s">
        <v>131</v>
      </c>
      <c r="B622" s="525"/>
      <c r="C622" s="528"/>
      <c r="D622" s="531"/>
      <c r="E622" s="534"/>
      <c r="F622" s="72">
        <v>4</v>
      </c>
      <c r="G622" s="73" t="s">
        <v>126</v>
      </c>
      <c r="H622" s="74">
        <f t="shared" si="27"/>
        <v>85</v>
      </c>
      <c r="I622" s="69" t="s">
        <v>131</v>
      </c>
    </row>
    <row r="623" spans="1:9" ht="15.75" hidden="1" thickBot="1" x14ac:dyDescent="0.3">
      <c r="A623" s="69" t="s">
        <v>131</v>
      </c>
      <c r="B623" s="526"/>
      <c r="C623" s="529"/>
      <c r="D623" s="531"/>
      <c r="E623" s="534"/>
      <c r="F623" s="72">
        <v>3</v>
      </c>
      <c r="G623" s="73" t="s">
        <v>126</v>
      </c>
      <c r="H623" s="74">
        <f t="shared" si="27"/>
        <v>80</v>
      </c>
      <c r="I623" s="69" t="s">
        <v>131</v>
      </c>
    </row>
    <row r="624" spans="1:9" hidden="1" x14ac:dyDescent="0.25">
      <c r="A624" s="69" t="s">
        <v>131</v>
      </c>
      <c r="B624" s="541" t="s">
        <v>128</v>
      </c>
      <c r="C624" s="527"/>
      <c r="D624" s="531"/>
      <c r="E624" s="534"/>
      <c r="F624" s="72">
        <v>2</v>
      </c>
      <c r="G624" s="73" t="s">
        <v>126</v>
      </c>
      <c r="H624" s="74">
        <f t="shared" si="27"/>
        <v>75</v>
      </c>
      <c r="I624" s="69" t="s">
        <v>131</v>
      </c>
    </row>
    <row r="625" spans="1:15" ht="15.75" hidden="1" thickBot="1" x14ac:dyDescent="0.3">
      <c r="A625" s="69" t="s">
        <v>131</v>
      </c>
      <c r="B625" s="542"/>
      <c r="C625" s="529"/>
      <c r="D625" s="532"/>
      <c r="E625" s="535"/>
      <c r="F625" s="75">
        <v>1</v>
      </c>
      <c r="G625" s="76" t="s">
        <v>126</v>
      </c>
      <c r="H625" s="77">
        <f t="shared" si="27"/>
        <v>70</v>
      </c>
      <c r="I625" s="69" t="s">
        <v>131</v>
      </c>
    </row>
    <row r="626" spans="1:15" x14ac:dyDescent="0.25">
      <c r="A626" s="69" t="s">
        <v>131</v>
      </c>
      <c r="B626" s="69" t="s">
        <v>131</v>
      </c>
      <c r="C626" s="69" t="s">
        <v>131</v>
      </c>
      <c r="D626" s="69" t="s">
        <v>131</v>
      </c>
      <c r="E626" s="69" t="s">
        <v>131</v>
      </c>
      <c r="F626" s="69" t="s">
        <v>131</v>
      </c>
      <c r="G626" s="69" t="s">
        <v>131</v>
      </c>
      <c r="H626" s="69" t="s">
        <v>131</v>
      </c>
      <c r="I626" s="69" t="s">
        <v>131</v>
      </c>
    </row>
    <row r="627" spans="1:15" ht="46.5" customHeight="1" thickBot="1" x14ac:dyDescent="0.3"/>
    <row r="628" spans="1:15" x14ac:dyDescent="0.25">
      <c r="B628" s="93" t="s">
        <v>123</v>
      </c>
      <c r="C628" s="94"/>
      <c r="D628" s="94"/>
      <c r="E628" s="94"/>
      <c r="F628" s="94"/>
      <c r="G628" s="551" t="s">
        <v>17</v>
      </c>
      <c r="H628" s="552"/>
      <c r="I628" s="553"/>
      <c r="O628">
        <v>4</v>
      </c>
    </row>
    <row r="629" spans="1:15" ht="15.75" thickBot="1" x14ac:dyDescent="0.3">
      <c r="B629" s="95" t="s">
        <v>145</v>
      </c>
      <c r="C629" s="96"/>
      <c r="D629" s="96"/>
      <c r="E629" s="96"/>
      <c r="F629" s="96"/>
      <c r="G629" s="554">
        <v>0.1</v>
      </c>
      <c r="H629" s="555"/>
      <c r="I629" s="556"/>
    </row>
    <row r="630" spans="1:15" ht="15.75" thickBot="1" x14ac:dyDescent="0.3">
      <c r="A630" s="68" t="s">
        <v>131</v>
      </c>
      <c r="B630" s="64"/>
      <c r="C630" s="64"/>
      <c r="D630" s="64"/>
      <c r="E630" s="64"/>
      <c r="F630" s="64"/>
      <c r="G630" s="64"/>
      <c r="H630" s="64"/>
      <c r="I630" s="65" t="s">
        <v>131</v>
      </c>
    </row>
    <row r="631" spans="1:15" ht="15.75" thickBot="1" x14ac:dyDescent="0.3">
      <c r="A631" s="65" t="s">
        <v>131</v>
      </c>
      <c r="B631" s="56" t="s">
        <v>119</v>
      </c>
      <c r="C631" s="56" t="s">
        <v>118</v>
      </c>
      <c r="D631" s="504" t="s">
        <v>124</v>
      </c>
      <c r="E631" s="505"/>
      <c r="F631" s="506" t="s">
        <v>127</v>
      </c>
      <c r="G631" s="507"/>
      <c r="H631" s="508"/>
      <c r="I631" s="65" t="s">
        <v>131</v>
      </c>
    </row>
    <row r="632" spans="1:15" ht="15.75" thickBot="1" x14ac:dyDescent="0.3">
      <c r="A632" s="65" t="s">
        <v>131</v>
      </c>
      <c r="B632" s="524">
        <v>1</v>
      </c>
      <c r="C632" s="527" t="s">
        <v>145</v>
      </c>
      <c r="D632" s="57" t="s">
        <v>125</v>
      </c>
      <c r="E632" s="58">
        <v>1</v>
      </c>
      <c r="F632" s="211">
        <v>1</v>
      </c>
      <c r="G632" s="212" t="s">
        <v>237</v>
      </c>
      <c r="H632" s="213">
        <v>115</v>
      </c>
      <c r="I632" s="65" t="s">
        <v>131</v>
      </c>
    </row>
    <row r="633" spans="1:15" x14ac:dyDescent="0.25">
      <c r="A633" s="65" t="s">
        <v>131</v>
      </c>
      <c r="B633" s="525"/>
      <c r="C633" s="528"/>
      <c r="D633" s="544">
        <v>1</v>
      </c>
      <c r="E633" s="533">
        <f>IF(D633=0,0,VLOOKUP($D633,$F632:$H641,3,FALSE)*$E632)</f>
        <v>115</v>
      </c>
      <c r="F633" s="214">
        <v>2</v>
      </c>
      <c r="G633" s="215" t="s">
        <v>238</v>
      </c>
      <c r="H633" s="216">
        <v>111</v>
      </c>
      <c r="I633" s="65" t="s">
        <v>131</v>
      </c>
    </row>
    <row r="634" spans="1:15" x14ac:dyDescent="0.25">
      <c r="A634" s="65" t="s">
        <v>131</v>
      </c>
      <c r="B634" s="525"/>
      <c r="C634" s="528"/>
      <c r="D634" s="545"/>
      <c r="E634" s="534"/>
      <c r="F634" s="214">
        <v>3</v>
      </c>
      <c r="G634" s="215" t="s">
        <v>239</v>
      </c>
      <c r="H634" s="216">
        <f t="shared" ref="H634:H641" si="28">+H633-1</f>
        <v>110</v>
      </c>
      <c r="I634" s="65" t="s">
        <v>131</v>
      </c>
    </row>
    <row r="635" spans="1:15" x14ac:dyDescent="0.25">
      <c r="A635" s="65" t="s">
        <v>131</v>
      </c>
      <c r="B635" s="525"/>
      <c r="C635" s="528"/>
      <c r="D635" s="545"/>
      <c r="E635" s="534"/>
      <c r="F635" s="214">
        <v>4</v>
      </c>
      <c r="G635" s="215" t="s">
        <v>240</v>
      </c>
      <c r="H635" s="216">
        <f t="shared" si="28"/>
        <v>109</v>
      </c>
      <c r="I635" s="65" t="s">
        <v>131</v>
      </c>
    </row>
    <row r="636" spans="1:15" x14ac:dyDescent="0.25">
      <c r="A636" s="65" t="s">
        <v>131</v>
      </c>
      <c r="B636" s="525"/>
      <c r="C636" s="528"/>
      <c r="D636" s="545"/>
      <c r="E636" s="534"/>
      <c r="F636" s="214">
        <v>5</v>
      </c>
      <c r="G636" s="215" t="s">
        <v>241</v>
      </c>
      <c r="H636" s="216">
        <f t="shared" si="28"/>
        <v>108</v>
      </c>
      <c r="I636" s="65" t="s">
        <v>131</v>
      </c>
    </row>
    <row r="637" spans="1:15" x14ac:dyDescent="0.25">
      <c r="A637" s="65" t="s">
        <v>131</v>
      </c>
      <c r="B637" s="525"/>
      <c r="C637" s="528"/>
      <c r="D637" s="545"/>
      <c r="E637" s="534"/>
      <c r="F637" s="214">
        <v>6</v>
      </c>
      <c r="G637" s="215" t="s">
        <v>242</v>
      </c>
      <c r="H637" s="216">
        <f t="shared" si="28"/>
        <v>107</v>
      </c>
      <c r="I637" s="65" t="s">
        <v>131</v>
      </c>
    </row>
    <row r="638" spans="1:15" x14ac:dyDescent="0.25">
      <c r="A638" s="65" t="s">
        <v>131</v>
      </c>
      <c r="B638" s="525"/>
      <c r="C638" s="528"/>
      <c r="D638" s="545"/>
      <c r="E638" s="534"/>
      <c r="F638" s="214">
        <v>7</v>
      </c>
      <c r="G638" s="215" t="s">
        <v>243</v>
      </c>
      <c r="H638" s="216">
        <f t="shared" si="28"/>
        <v>106</v>
      </c>
      <c r="I638" s="65" t="s">
        <v>131</v>
      </c>
    </row>
    <row r="639" spans="1:15" ht="15.75" thickBot="1" x14ac:dyDescent="0.3">
      <c r="A639" s="65" t="s">
        <v>131</v>
      </c>
      <c r="B639" s="526"/>
      <c r="C639" s="529"/>
      <c r="D639" s="545"/>
      <c r="E639" s="534"/>
      <c r="F639" s="214">
        <v>8</v>
      </c>
      <c r="G639" s="215" t="s">
        <v>244</v>
      </c>
      <c r="H639" s="216">
        <f t="shared" si="28"/>
        <v>105</v>
      </c>
      <c r="I639" s="65" t="s">
        <v>131</v>
      </c>
    </row>
    <row r="640" spans="1:15" x14ac:dyDescent="0.25">
      <c r="A640" s="65" t="s">
        <v>131</v>
      </c>
      <c r="B640" s="541" t="s">
        <v>128</v>
      </c>
      <c r="C640" s="549" t="s">
        <v>237</v>
      </c>
      <c r="D640" s="545"/>
      <c r="E640" s="534"/>
      <c r="F640" s="214">
        <v>9</v>
      </c>
      <c r="G640" s="217" t="s">
        <v>245</v>
      </c>
      <c r="H640" s="216">
        <f t="shared" si="28"/>
        <v>104</v>
      </c>
      <c r="I640" s="65" t="s">
        <v>131</v>
      </c>
    </row>
    <row r="641" spans="1:9" ht="15.75" thickBot="1" x14ac:dyDescent="0.3">
      <c r="A641" s="65" t="s">
        <v>131</v>
      </c>
      <c r="B641" s="542"/>
      <c r="C641" s="550"/>
      <c r="D641" s="546"/>
      <c r="E641" s="535"/>
      <c r="F641" s="218">
        <v>10</v>
      </c>
      <c r="G641" s="219" t="s">
        <v>246</v>
      </c>
      <c r="H641" s="216">
        <f t="shared" si="28"/>
        <v>103</v>
      </c>
      <c r="I641" s="65" t="s">
        <v>131</v>
      </c>
    </row>
    <row r="642" spans="1:9" ht="15.75" hidden="1" thickBot="1" x14ac:dyDescent="0.3">
      <c r="A642" s="65" t="s">
        <v>131</v>
      </c>
      <c r="B642" s="524">
        <v>2</v>
      </c>
      <c r="C642" s="527"/>
      <c r="D642" s="57" t="s">
        <v>125</v>
      </c>
      <c r="E642" s="58"/>
      <c r="F642" s="164">
        <v>1</v>
      </c>
      <c r="G642" s="70" t="s">
        <v>144</v>
      </c>
      <c r="H642" s="71">
        <v>115</v>
      </c>
      <c r="I642" s="65" t="s">
        <v>131</v>
      </c>
    </row>
    <row r="643" spans="1:9" ht="15.75" hidden="1" thickBot="1" x14ac:dyDescent="0.3">
      <c r="A643" s="65" t="s">
        <v>131</v>
      </c>
      <c r="B643" s="525"/>
      <c r="C643" s="528"/>
      <c r="D643" s="530"/>
      <c r="E643" s="533">
        <f>IF(D643=0,0,VLOOKUP($D643,$F642:$H651,3,FALSE)*$E642)</f>
        <v>0</v>
      </c>
      <c r="F643" s="72">
        <v>2</v>
      </c>
      <c r="G643" s="73" t="s">
        <v>142</v>
      </c>
      <c r="H643" s="74">
        <f>H642-5</f>
        <v>110</v>
      </c>
      <c r="I643" s="65" t="s">
        <v>131</v>
      </c>
    </row>
    <row r="644" spans="1:9" ht="15.75" hidden="1" thickBot="1" x14ac:dyDescent="0.3">
      <c r="A644" s="65" t="s">
        <v>131</v>
      </c>
      <c r="B644" s="525"/>
      <c r="C644" s="528"/>
      <c r="D644" s="531"/>
      <c r="E644" s="534"/>
      <c r="F644" s="72">
        <v>3</v>
      </c>
      <c r="G644" s="73" t="s">
        <v>141</v>
      </c>
      <c r="H644" s="74">
        <f t="shared" ref="H644:H646" si="29">H643-5</f>
        <v>105</v>
      </c>
      <c r="I644" s="65" t="s">
        <v>131</v>
      </c>
    </row>
    <row r="645" spans="1:9" ht="15.75" hidden="1" thickBot="1" x14ac:dyDescent="0.3">
      <c r="A645" s="65" t="s">
        <v>131</v>
      </c>
      <c r="B645" s="525"/>
      <c r="C645" s="528"/>
      <c r="D645" s="531"/>
      <c r="E645" s="534"/>
      <c r="F645" s="72">
        <v>4</v>
      </c>
      <c r="G645" s="145" t="s">
        <v>140</v>
      </c>
      <c r="H645" s="74">
        <f t="shared" si="29"/>
        <v>100</v>
      </c>
      <c r="I645" s="65" t="s">
        <v>131</v>
      </c>
    </row>
    <row r="646" spans="1:9" ht="15.75" hidden="1" thickBot="1" x14ac:dyDescent="0.3">
      <c r="A646" s="65" t="s">
        <v>131</v>
      </c>
      <c r="B646" s="525"/>
      <c r="C646" s="528"/>
      <c r="D646" s="531"/>
      <c r="E646" s="534"/>
      <c r="F646" s="72">
        <v>5</v>
      </c>
      <c r="G646" s="73">
        <v>2</v>
      </c>
      <c r="H646" s="74">
        <f t="shared" si="29"/>
        <v>95</v>
      </c>
      <c r="I646" s="65" t="s">
        <v>131</v>
      </c>
    </row>
    <row r="647" spans="1:9" ht="15.75" hidden="1" thickBot="1" x14ac:dyDescent="0.3">
      <c r="A647" s="65" t="s">
        <v>131</v>
      </c>
      <c r="B647" s="525"/>
      <c r="C647" s="528"/>
      <c r="D647" s="531"/>
      <c r="E647" s="534"/>
      <c r="F647" s="72">
        <v>6</v>
      </c>
      <c r="G647" s="73">
        <v>1</v>
      </c>
      <c r="H647" s="74">
        <v>90</v>
      </c>
      <c r="I647" s="65" t="s">
        <v>131</v>
      </c>
    </row>
    <row r="648" spans="1:9" ht="15.75" hidden="1" thickBot="1" x14ac:dyDescent="0.3">
      <c r="A648" s="65" t="s">
        <v>131</v>
      </c>
      <c r="B648" s="525"/>
      <c r="C648" s="528"/>
      <c r="D648" s="531"/>
      <c r="E648" s="534"/>
      <c r="F648" s="72">
        <v>7</v>
      </c>
      <c r="G648" s="73" t="s">
        <v>143</v>
      </c>
      <c r="H648" s="74">
        <v>0</v>
      </c>
      <c r="I648" s="65" t="s">
        <v>131</v>
      </c>
    </row>
    <row r="649" spans="1:9" ht="15.75" hidden="1" thickBot="1" x14ac:dyDescent="0.3">
      <c r="A649" s="65" t="s">
        <v>131</v>
      </c>
      <c r="B649" s="526"/>
      <c r="C649" s="529"/>
      <c r="D649" s="531"/>
      <c r="E649" s="534"/>
      <c r="F649" s="72"/>
      <c r="G649" s="73"/>
      <c r="H649" s="74"/>
      <c r="I649" s="65" t="s">
        <v>131</v>
      </c>
    </row>
    <row r="650" spans="1:9" ht="15.75" hidden="1" thickBot="1" x14ac:dyDescent="0.3">
      <c r="A650" s="65" t="s">
        <v>131</v>
      </c>
      <c r="B650" s="541" t="s">
        <v>128</v>
      </c>
      <c r="C650" s="549"/>
      <c r="D650" s="531"/>
      <c r="E650" s="534"/>
      <c r="F650" s="72"/>
      <c r="G650" s="73"/>
      <c r="H650" s="74"/>
      <c r="I650" s="65" t="s">
        <v>131</v>
      </c>
    </row>
    <row r="651" spans="1:9" ht="15.75" hidden="1" thickBot="1" x14ac:dyDescent="0.3">
      <c r="A651" s="65" t="s">
        <v>131</v>
      </c>
      <c r="B651" s="542"/>
      <c r="C651" s="550"/>
      <c r="D651" s="532"/>
      <c r="E651" s="535"/>
      <c r="F651" s="75"/>
      <c r="G651" s="76"/>
      <c r="H651" s="77"/>
      <c r="I651" s="65" t="s">
        <v>131</v>
      </c>
    </row>
    <row r="652" spans="1:9" ht="15.75" hidden="1" thickBot="1" x14ac:dyDescent="0.3">
      <c r="A652" s="65" t="s">
        <v>131</v>
      </c>
      <c r="B652" s="524">
        <v>3</v>
      </c>
      <c r="C652" s="527"/>
      <c r="D652" s="57" t="s">
        <v>125</v>
      </c>
      <c r="E652" s="58"/>
      <c r="F652" s="164">
        <v>10</v>
      </c>
      <c r="G652" s="70" t="s">
        <v>126</v>
      </c>
      <c r="H652" s="71">
        <v>115</v>
      </c>
      <c r="I652" s="65" t="s">
        <v>131</v>
      </c>
    </row>
    <row r="653" spans="1:9" ht="15.75" hidden="1" thickBot="1" x14ac:dyDescent="0.3">
      <c r="A653" s="65" t="s">
        <v>131</v>
      </c>
      <c r="B653" s="525"/>
      <c r="C653" s="528"/>
      <c r="D653" s="530"/>
      <c r="E653" s="533">
        <f>IF(D653=0,0,VLOOKUP($D653,$F652:$H661,3,FALSE)*$E652)</f>
        <v>0</v>
      </c>
      <c r="F653" s="72">
        <v>9</v>
      </c>
      <c r="G653" s="73" t="s">
        <v>126</v>
      </c>
      <c r="H653" s="74">
        <f>H652-5</f>
        <v>110</v>
      </c>
      <c r="I653" s="65" t="s">
        <v>131</v>
      </c>
    </row>
    <row r="654" spans="1:9" ht="15.75" hidden="1" thickBot="1" x14ac:dyDescent="0.3">
      <c r="A654" s="65" t="s">
        <v>131</v>
      </c>
      <c r="B654" s="525"/>
      <c r="C654" s="528"/>
      <c r="D654" s="531"/>
      <c r="E654" s="534"/>
      <c r="F654" s="72">
        <v>8</v>
      </c>
      <c r="G654" s="73" t="s">
        <v>126</v>
      </c>
      <c r="H654" s="74">
        <f t="shared" ref="H654:H661" si="30">H653-5</f>
        <v>105</v>
      </c>
      <c r="I654" s="65" t="s">
        <v>131</v>
      </c>
    </row>
    <row r="655" spans="1:9" ht="15.75" hidden="1" thickBot="1" x14ac:dyDescent="0.3">
      <c r="A655" s="65" t="s">
        <v>131</v>
      </c>
      <c r="B655" s="525"/>
      <c r="C655" s="528"/>
      <c r="D655" s="531"/>
      <c r="E655" s="534"/>
      <c r="F655" s="72">
        <v>7</v>
      </c>
      <c r="G655" s="73" t="s">
        <v>126</v>
      </c>
      <c r="H655" s="74">
        <f t="shared" si="30"/>
        <v>100</v>
      </c>
      <c r="I655" s="65" t="s">
        <v>131</v>
      </c>
    </row>
    <row r="656" spans="1:9" ht="15.75" hidden="1" thickBot="1" x14ac:dyDescent="0.3">
      <c r="A656" s="65" t="s">
        <v>131</v>
      </c>
      <c r="B656" s="525"/>
      <c r="C656" s="528"/>
      <c r="D656" s="531"/>
      <c r="E656" s="534"/>
      <c r="F656" s="72">
        <v>6</v>
      </c>
      <c r="G656" s="73" t="s">
        <v>126</v>
      </c>
      <c r="H656" s="74">
        <f t="shared" si="30"/>
        <v>95</v>
      </c>
      <c r="I656" s="65" t="s">
        <v>131</v>
      </c>
    </row>
    <row r="657" spans="1:9" ht="15.75" hidden="1" thickBot="1" x14ac:dyDescent="0.3">
      <c r="A657" s="65" t="s">
        <v>131</v>
      </c>
      <c r="B657" s="525"/>
      <c r="C657" s="528"/>
      <c r="D657" s="531"/>
      <c r="E657" s="534"/>
      <c r="F657" s="72">
        <v>5</v>
      </c>
      <c r="G657" s="73" t="s">
        <v>126</v>
      </c>
      <c r="H657" s="74">
        <f t="shared" si="30"/>
        <v>90</v>
      </c>
      <c r="I657" s="65" t="s">
        <v>131</v>
      </c>
    </row>
    <row r="658" spans="1:9" ht="15.75" hidden="1" thickBot="1" x14ac:dyDescent="0.3">
      <c r="A658" s="65" t="s">
        <v>131</v>
      </c>
      <c r="B658" s="525"/>
      <c r="C658" s="528"/>
      <c r="D658" s="531"/>
      <c r="E658" s="534"/>
      <c r="F658" s="72">
        <v>4</v>
      </c>
      <c r="G658" s="73" t="s">
        <v>126</v>
      </c>
      <c r="H658" s="74">
        <f t="shared" si="30"/>
        <v>85</v>
      </c>
      <c r="I658" s="65" t="s">
        <v>131</v>
      </c>
    </row>
    <row r="659" spans="1:9" ht="15.75" hidden="1" thickBot="1" x14ac:dyDescent="0.3">
      <c r="A659" s="65" t="s">
        <v>131</v>
      </c>
      <c r="B659" s="526"/>
      <c r="C659" s="529"/>
      <c r="D659" s="531"/>
      <c r="E659" s="534"/>
      <c r="F659" s="72">
        <v>3</v>
      </c>
      <c r="G659" s="73" t="s">
        <v>126</v>
      </c>
      <c r="H659" s="74">
        <f t="shared" si="30"/>
        <v>80</v>
      </c>
      <c r="I659" s="65" t="s">
        <v>131</v>
      </c>
    </row>
    <row r="660" spans="1:9" ht="51" hidden="1" customHeight="1" x14ac:dyDescent="0.25">
      <c r="A660" s="65" t="s">
        <v>131</v>
      </c>
      <c r="B660" s="541" t="s">
        <v>128</v>
      </c>
      <c r="C660" s="527"/>
      <c r="D660" s="531"/>
      <c r="E660" s="534"/>
      <c r="F660" s="72">
        <v>2</v>
      </c>
      <c r="G660" s="73" t="s">
        <v>126</v>
      </c>
      <c r="H660" s="74">
        <f t="shared" si="30"/>
        <v>75</v>
      </c>
      <c r="I660" s="65" t="s">
        <v>131</v>
      </c>
    </row>
    <row r="661" spans="1:9" ht="51" hidden="1" customHeight="1" thickBot="1" x14ac:dyDescent="0.3">
      <c r="A661" s="65" t="s">
        <v>131</v>
      </c>
      <c r="B661" s="542"/>
      <c r="C661" s="529"/>
      <c r="D661" s="532"/>
      <c r="E661" s="535"/>
      <c r="F661" s="75">
        <v>1</v>
      </c>
      <c r="G661" s="76" t="s">
        <v>126</v>
      </c>
      <c r="H661" s="77">
        <f t="shared" si="30"/>
        <v>70</v>
      </c>
      <c r="I661" s="65" t="s">
        <v>131</v>
      </c>
    </row>
    <row r="662" spans="1:9" ht="15.75" hidden="1" thickBot="1" x14ac:dyDescent="0.3">
      <c r="A662" s="65" t="s">
        <v>131</v>
      </c>
      <c r="B662" s="524">
        <v>4</v>
      </c>
      <c r="C662" s="527"/>
      <c r="D662" s="57" t="s">
        <v>125</v>
      </c>
      <c r="E662" s="58"/>
      <c r="F662" s="164">
        <v>10</v>
      </c>
      <c r="G662" s="70" t="s">
        <v>126</v>
      </c>
      <c r="H662" s="71">
        <v>115</v>
      </c>
      <c r="I662" s="65" t="s">
        <v>131</v>
      </c>
    </row>
    <row r="663" spans="1:9" ht="15.75" hidden="1" thickBot="1" x14ac:dyDescent="0.3">
      <c r="A663" s="65" t="s">
        <v>131</v>
      </c>
      <c r="B663" s="525"/>
      <c r="C663" s="528"/>
      <c r="D663" s="530"/>
      <c r="E663" s="533">
        <f>IF(D663=0,0,VLOOKUP($D663,$F662:$H671,3,FALSE)*$E662)</f>
        <v>0</v>
      </c>
      <c r="F663" s="72">
        <v>9</v>
      </c>
      <c r="G663" s="73" t="s">
        <v>126</v>
      </c>
      <c r="H663" s="74">
        <f>H662-5</f>
        <v>110</v>
      </c>
      <c r="I663" s="65" t="s">
        <v>131</v>
      </c>
    </row>
    <row r="664" spans="1:9" ht="15.75" hidden="1" thickBot="1" x14ac:dyDescent="0.3">
      <c r="A664" s="65" t="s">
        <v>131</v>
      </c>
      <c r="B664" s="525"/>
      <c r="C664" s="528"/>
      <c r="D664" s="531"/>
      <c r="E664" s="534"/>
      <c r="F664" s="72">
        <v>8</v>
      </c>
      <c r="G664" s="73" t="s">
        <v>126</v>
      </c>
      <c r="H664" s="74">
        <f t="shared" ref="H664:H671" si="31">H663-5</f>
        <v>105</v>
      </c>
      <c r="I664" s="65" t="s">
        <v>131</v>
      </c>
    </row>
    <row r="665" spans="1:9" ht="15.75" hidden="1" thickBot="1" x14ac:dyDescent="0.3">
      <c r="A665" s="65" t="s">
        <v>131</v>
      </c>
      <c r="B665" s="525"/>
      <c r="C665" s="528"/>
      <c r="D665" s="531"/>
      <c r="E665" s="534"/>
      <c r="F665" s="72">
        <v>7</v>
      </c>
      <c r="G665" s="73" t="s">
        <v>126</v>
      </c>
      <c r="H665" s="74">
        <f t="shared" si="31"/>
        <v>100</v>
      </c>
      <c r="I665" s="65" t="s">
        <v>131</v>
      </c>
    </row>
    <row r="666" spans="1:9" ht="15.75" hidden="1" thickBot="1" x14ac:dyDescent="0.3">
      <c r="A666" s="65" t="s">
        <v>131</v>
      </c>
      <c r="B666" s="525"/>
      <c r="C666" s="528"/>
      <c r="D666" s="531"/>
      <c r="E666" s="534"/>
      <c r="F666" s="72">
        <v>6</v>
      </c>
      <c r="G666" s="73" t="s">
        <v>126</v>
      </c>
      <c r="H666" s="74">
        <f t="shared" si="31"/>
        <v>95</v>
      </c>
      <c r="I666" s="65" t="s">
        <v>131</v>
      </c>
    </row>
    <row r="667" spans="1:9" ht="15.75" hidden="1" thickBot="1" x14ac:dyDescent="0.3">
      <c r="A667" s="65" t="s">
        <v>131</v>
      </c>
      <c r="B667" s="525"/>
      <c r="C667" s="528"/>
      <c r="D667" s="531"/>
      <c r="E667" s="534"/>
      <c r="F667" s="72">
        <v>5</v>
      </c>
      <c r="G667" s="73" t="s">
        <v>126</v>
      </c>
      <c r="H667" s="74">
        <f t="shared" si="31"/>
        <v>90</v>
      </c>
      <c r="I667" s="65" t="s">
        <v>131</v>
      </c>
    </row>
    <row r="668" spans="1:9" ht="15.75" hidden="1" thickBot="1" x14ac:dyDescent="0.3">
      <c r="A668" s="65" t="s">
        <v>131</v>
      </c>
      <c r="B668" s="525"/>
      <c r="C668" s="528"/>
      <c r="D668" s="531"/>
      <c r="E668" s="534"/>
      <c r="F668" s="72">
        <v>4</v>
      </c>
      <c r="G668" s="73" t="s">
        <v>126</v>
      </c>
      <c r="H668" s="74">
        <f t="shared" si="31"/>
        <v>85</v>
      </c>
      <c r="I668" s="65" t="s">
        <v>131</v>
      </c>
    </row>
    <row r="669" spans="1:9" ht="15.75" hidden="1" thickBot="1" x14ac:dyDescent="0.3">
      <c r="A669" s="65" t="s">
        <v>131</v>
      </c>
      <c r="B669" s="526"/>
      <c r="C669" s="529"/>
      <c r="D669" s="531"/>
      <c r="E669" s="534"/>
      <c r="F669" s="72">
        <v>3</v>
      </c>
      <c r="G669" s="73" t="s">
        <v>126</v>
      </c>
      <c r="H669" s="74">
        <f t="shared" si="31"/>
        <v>80</v>
      </c>
      <c r="I669" s="65" t="s">
        <v>131</v>
      </c>
    </row>
    <row r="670" spans="1:9" ht="15.75" hidden="1" thickBot="1" x14ac:dyDescent="0.3">
      <c r="A670" s="65" t="s">
        <v>131</v>
      </c>
      <c r="B670" s="541" t="s">
        <v>128</v>
      </c>
      <c r="C670" s="527"/>
      <c r="D670" s="531"/>
      <c r="E670" s="534"/>
      <c r="F670" s="72">
        <v>2</v>
      </c>
      <c r="G670" s="73" t="s">
        <v>126</v>
      </c>
      <c r="H670" s="74">
        <f t="shared" si="31"/>
        <v>75</v>
      </c>
      <c r="I670" s="65" t="s">
        <v>131</v>
      </c>
    </row>
    <row r="671" spans="1:9" ht="15.75" hidden="1" thickBot="1" x14ac:dyDescent="0.3">
      <c r="A671" s="65" t="s">
        <v>131</v>
      </c>
      <c r="B671" s="542"/>
      <c r="C671" s="529"/>
      <c r="D671" s="532"/>
      <c r="E671" s="535"/>
      <c r="F671" s="75">
        <v>1</v>
      </c>
      <c r="G671" s="76" t="s">
        <v>126</v>
      </c>
      <c r="H671" s="77">
        <f t="shared" si="31"/>
        <v>70</v>
      </c>
      <c r="I671" s="65" t="s">
        <v>131</v>
      </c>
    </row>
    <row r="672" spans="1:9" ht="15.75" hidden="1" thickBot="1" x14ac:dyDescent="0.3">
      <c r="A672" s="65" t="s">
        <v>131</v>
      </c>
      <c r="B672" s="548">
        <v>5</v>
      </c>
      <c r="C672" s="527"/>
      <c r="D672" s="57" t="s">
        <v>125</v>
      </c>
      <c r="E672" s="58"/>
      <c r="F672" s="78">
        <v>10</v>
      </c>
      <c r="G672" s="79" t="s">
        <v>126</v>
      </c>
      <c r="H672" s="80">
        <v>115</v>
      </c>
      <c r="I672" s="65" t="s">
        <v>131</v>
      </c>
    </row>
    <row r="673" spans="1:13" ht="15.75" hidden="1" thickBot="1" x14ac:dyDescent="0.3">
      <c r="A673" s="65" t="s">
        <v>131</v>
      </c>
      <c r="B673" s="525"/>
      <c r="C673" s="528"/>
      <c r="D673" s="530"/>
      <c r="E673" s="533">
        <f>IF(D673=0,0,VLOOKUP($D673,$F672:$H681,3,FALSE)*$E672)</f>
        <v>0</v>
      </c>
      <c r="F673" s="72">
        <v>9</v>
      </c>
      <c r="G673" s="73" t="s">
        <v>126</v>
      </c>
      <c r="H673" s="74">
        <f>H672-5</f>
        <v>110</v>
      </c>
      <c r="I673" s="65" t="s">
        <v>131</v>
      </c>
    </row>
    <row r="674" spans="1:13" ht="15.75" hidden="1" thickBot="1" x14ac:dyDescent="0.3">
      <c r="A674" s="65" t="s">
        <v>131</v>
      </c>
      <c r="B674" s="525"/>
      <c r="C674" s="528"/>
      <c r="D674" s="531"/>
      <c r="E674" s="534"/>
      <c r="F674" s="72">
        <v>8</v>
      </c>
      <c r="G674" s="73" t="s">
        <v>126</v>
      </c>
      <c r="H674" s="74">
        <f t="shared" ref="H674:H681" si="32">H673-5</f>
        <v>105</v>
      </c>
      <c r="I674" s="65" t="s">
        <v>131</v>
      </c>
      <c r="K674" s="172" t="s">
        <v>129</v>
      </c>
      <c r="L674" s="173"/>
      <c r="M674" s="174"/>
    </row>
    <row r="675" spans="1:13" ht="15.75" hidden="1" thickBot="1" x14ac:dyDescent="0.3">
      <c r="A675" s="65" t="s">
        <v>131</v>
      </c>
      <c r="B675" s="525"/>
      <c r="C675" s="528"/>
      <c r="D675" s="531"/>
      <c r="E675" s="534"/>
      <c r="F675" s="72">
        <v>7</v>
      </c>
      <c r="G675" s="73" t="s">
        <v>126</v>
      </c>
      <c r="H675" s="74">
        <f t="shared" si="32"/>
        <v>100</v>
      </c>
      <c r="I675" s="65" t="s">
        <v>131</v>
      </c>
      <c r="K675" s="59" t="s">
        <v>118</v>
      </c>
      <c r="L675" s="60" t="s">
        <v>124</v>
      </c>
      <c r="M675" s="55" t="s">
        <v>128</v>
      </c>
    </row>
    <row r="676" spans="1:13" ht="15.75" hidden="1" thickBot="1" x14ac:dyDescent="0.3">
      <c r="A676" s="65" t="s">
        <v>131</v>
      </c>
      <c r="B676" s="525"/>
      <c r="C676" s="528"/>
      <c r="D676" s="531"/>
      <c r="E676" s="534"/>
      <c r="F676" s="72">
        <v>6</v>
      </c>
      <c r="G676" s="73" t="s">
        <v>126</v>
      </c>
      <c r="H676" s="74">
        <f t="shared" si="32"/>
        <v>95</v>
      </c>
      <c r="I676" s="65" t="s">
        <v>131</v>
      </c>
      <c r="K676" s="86">
        <v>1</v>
      </c>
      <c r="L676" s="87">
        <f>E633</f>
        <v>115</v>
      </c>
      <c r="M676" s="536">
        <f>SUM(L676:L680)</f>
        <v>115</v>
      </c>
    </row>
    <row r="677" spans="1:13" ht="15" hidden="1" customHeight="1" x14ac:dyDescent="0.25">
      <c r="A677" s="65" t="s">
        <v>131</v>
      </c>
      <c r="B677" s="525"/>
      <c r="C677" s="528"/>
      <c r="D677" s="531"/>
      <c r="E677" s="534"/>
      <c r="F677" s="72">
        <v>5</v>
      </c>
      <c r="G677" s="73" t="s">
        <v>126</v>
      </c>
      <c r="H677" s="74">
        <f t="shared" si="32"/>
        <v>90</v>
      </c>
      <c r="I677" s="65" t="s">
        <v>131</v>
      </c>
      <c r="K677" s="88">
        <v>2</v>
      </c>
      <c r="L677" s="89">
        <f>E643</f>
        <v>0</v>
      </c>
      <c r="M677" s="536"/>
    </row>
    <row r="678" spans="1:13" ht="15.75" hidden="1" thickBot="1" x14ac:dyDescent="0.3">
      <c r="A678" s="65" t="s">
        <v>131</v>
      </c>
      <c r="B678" s="525"/>
      <c r="C678" s="528"/>
      <c r="D678" s="531"/>
      <c r="E678" s="534"/>
      <c r="F678" s="72">
        <v>4</v>
      </c>
      <c r="G678" s="73" t="s">
        <v>126</v>
      </c>
      <c r="H678" s="74">
        <f t="shared" si="32"/>
        <v>85</v>
      </c>
      <c r="I678" s="65" t="s">
        <v>131</v>
      </c>
      <c r="K678" s="88">
        <v>3</v>
      </c>
      <c r="L678" s="89">
        <f>E653</f>
        <v>0</v>
      </c>
      <c r="M678" s="536"/>
    </row>
    <row r="679" spans="1:13" ht="15.75" hidden="1" thickBot="1" x14ac:dyDescent="0.3">
      <c r="A679" s="65" t="s">
        <v>131</v>
      </c>
      <c r="B679" s="526"/>
      <c r="C679" s="529"/>
      <c r="D679" s="531"/>
      <c r="E679" s="534"/>
      <c r="F679" s="72">
        <v>3</v>
      </c>
      <c r="G679" s="73" t="s">
        <v>126</v>
      </c>
      <c r="H679" s="74">
        <f t="shared" si="32"/>
        <v>80</v>
      </c>
      <c r="I679" s="65" t="s">
        <v>131</v>
      </c>
      <c r="K679" s="88">
        <v>4</v>
      </c>
      <c r="L679" s="89">
        <f>E663</f>
        <v>0</v>
      </c>
      <c r="M679" s="536"/>
    </row>
    <row r="680" spans="1:13" ht="15.75" hidden="1" thickBot="1" x14ac:dyDescent="0.3">
      <c r="A680" s="65" t="s">
        <v>131</v>
      </c>
      <c r="B680" s="541" t="s">
        <v>128</v>
      </c>
      <c r="C680" s="527"/>
      <c r="D680" s="531"/>
      <c r="E680" s="534"/>
      <c r="F680" s="72">
        <v>2</v>
      </c>
      <c r="G680" s="73" t="s">
        <v>126</v>
      </c>
      <c r="H680" s="74">
        <f t="shared" si="32"/>
        <v>75</v>
      </c>
      <c r="I680" s="65" t="s">
        <v>131</v>
      </c>
      <c r="K680" s="90">
        <v>5</v>
      </c>
      <c r="L680" s="91">
        <f>E673</f>
        <v>0</v>
      </c>
      <c r="M680" s="537"/>
    </row>
    <row r="681" spans="1:13" ht="15.75" hidden="1" thickBot="1" x14ac:dyDescent="0.3">
      <c r="A681" s="65" t="s">
        <v>131</v>
      </c>
      <c r="B681" s="542"/>
      <c r="C681" s="529"/>
      <c r="D681" s="532"/>
      <c r="E681" s="535"/>
      <c r="F681" s="75">
        <v>1</v>
      </c>
      <c r="G681" s="76" t="s">
        <v>126</v>
      </c>
      <c r="H681" s="77">
        <f t="shared" si="32"/>
        <v>70</v>
      </c>
      <c r="I681" s="65" t="s">
        <v>131</v>
      </c>
    </row>
    <row r="682" spans="1:13" ht="15.75" thickBot="1" x14ac:dyDescent="0.3">
      <c r="A682" s="65" t="s">
        <v>131</v>
      </c>
      <c r="B682" s="65" t="s">
        <v>131</v>
      </c>
      <c r="C682" s="65"/>
      <c r="D682" s="65" t="s">
        <v>131</v>
      </c>
      <c r="E682" s="65" t="s">
        <v>131</v>
      </c>
      <c r="F682" s="65" t="s">
        <v>131</v>
      </c>
      <c r="G682" s="65" t="s">
        <v>131</v>
      </c>
      <c r="H682" s="65" t="s">
        <v>131</v>
      </c>
      <c r="I682" s="65" t="s">
        <v>131</v>
      </c>
      <c r="K682" s="169" t="s">
        <v>62</v>
      </c>
      <c r="L682" s="170"/>
      <c r="M682" s="171"/>
    </row>
    <row r="683" spans="1:13" ht="15.75" thickBot="1" x14ac:dyDescent="0.3">
      <c r="A683" s="69" t="s">
        <v>131</v>
      </c>
      <c r="B683" s="125" t="s">
        <v>135</v>
      </c>
      <c r="C683" s="126"/>
      <c r="D683" s="126"/>
      <c r="E683" s="126"/>
      <c r="F683" s="126"/>
      <c r="G683" s="551" t="s">
        <v>17</v>
      </c>
      <c r="H683" s="552"/>
      <c r="I683" s="553"/>
      <c r="K683" s="61" t="s">
        <v>36</v>
      </c>
      <c r="L683" s="62" t="s">
        <v>124</v>
      </c>
      <c r="M683" s="63" t="s">
        <v>128</v>
      </c>
    </row>
    <row r="684" spans="1:13" ht="15.75" thickBot="1" x14ac:dyDescent="0.3">
      <c r="A684" s="69" t="s">
        <v>131</v>
      </c>
      <c r="B684" s="127" t="s">
        <v>145</v>
      </c>
      <c r="C684" s="128"/>
      <c r="D684" s="128"/>
      <c r="E684" s="128"/>
      <c r="F684" s="128"/>
      <c r="G684" s="554">
        <v>0.1</v>
      </c>
      <c r="H684" s="555"/>
      <c r="I684" s="556"/>
      <c r="K684" s="86">
        <v>1</v>
      </c>
      <c r="L684" s="87">
        <f>E687</f>
        <v>28.75</v>
      </c>
      <c r="M684" s="543">
        <f>SUM(L684:L693)</f>
        <v>115</v>
      </c>
    </row>
    <row r="685" spans="1:13" ht="15.75" thickBot="1" x14ac:dyDescent="0.3">
      <c r="A685" s="69" t="s">
        <v>131</v>
      </c>
      <c r="B685" s="56" t="s">
        <v>119</v>
      </c>
      <c r="C685" s="56"/>
      <c r="D685" s="504" t="s">
        <v>124</v>
      </c>
      <c r="E685" s="505"/>
      <c r="F685" s="506" t="s">
        <v>130</v>
      </c>
      <c r="G685" s="507"/>
      <c r="H685" s="508"/>
      <c r="I685" s="69" t="s">
        <v>131</v>
      </c>
      <c r="K685" s="88">
        <v>2</v>
      </c>
      <c r="L685" s="89">
        <f>E697</f>
        <v>28.75</v>
      </c>
      <c r="M685" s="536"/>
    </row>
    <row r="686" spans="1:13" ht="15.75" thickBot="1" x14ac:dyDescent="0.3">
      <c r="A686" s="69" t="s">
        <v>131</v>
      </c>
      <c r="B686" s="524">
        <v>1</v>
      </c>
      <c r="C686" s="527" t="s">
        <v>172</v>
      </c>
      <c r="D686" s="57" t="s">
        <v>125</v>
      </c>
      <c r="E686" s="58">
        <v>0.25</v>
      </c>
      <c r="F686" s="164">
        <v>1</v>
      </c>
      <c r="G686" s="70" t="s">
        <v>151</v>
      </c>
      <c r="H686" s="71">
        <v>115</v>
      </c>
      <c r="I686" s="69" t="s">
        <v>131</v>
      </c>
      <c r="K686" s="88">
        <v>3</v>
      </c>
      <c r="L686" s="89">
        <f>E707</f>
        <v>28.75</v>
      </c>
      <c r="M686" s="536"/>
    </row>
    <row r="687" spans="1:13" x14ac:dyDescent="0.25">
      <c r="A687" s="69" t="s">
        <v>131</v>
      </c>
      <c r="B687" s="525"/>
      <c r="C687" s="528"/>
      <c r="D687" s="530">
        <v>1</v>
      </c>
      <c r="E687" s="533">
        <f>IF(D687=0,0,VLOOKUP($D687,$F686:$H695,3,FALSE)*$E686)</f>
        <v>28.75</v>
      </c>
      <c r="F687" s="72">
        <f>F686+1</f>
        <v>2</v>
      </c>
      <c r="G687" s="73" t="s">
        <v>173</v>
      </c>
      <c r="H687" s="74">
        <v>100</v>
      </c>
      <c r="I687" s="69" t="s">
        <v>131</v>
      </c>
      <c r="K687" s="88">
        <v>4</v>
      </c>
      <c r="L687" s="89">
        <f>E717</f>
        <v>28.75</v>
      </c>
      <c r="M687" s="536"/>
    </row>
    <row r="688" spans="1:13" x14ac:dyDescent="0.25">
      <c r="A688" s="69" t="s">
        <v>131</v>
      </c>
      <c r="B688" s="525"/>
      <c r="C688" s="528"/>
      <c r="D688" s="531"/>
      <c r="E688" s="534"/>
      <c r="F688" s="72">
        <f t="shared" ref="F688:F689" si="33">F687+1</f>
        <v>3</v>
      </c>
      <c r="G688" s="73" t="s">
        <v>174</v>
      </c>
      <c r="H688" s="74">
        <v>90</v>
      </c>
      <c r="I688" s="69" t="s">
        <v>131</v>
      </c>
      <c r="K688" s="88">
        <v>5</v>
      </c>
      <c r="L688" s="89">
        <f>E727</f>
        <v>0</v>
      </c>
      <c r="M688" s="536"/>
    </row>
    <row r="689" spans="1:13" x14ac:dyDescent="0.25">
      <c r="A689" s="69" t="s">
        <v>131</v>
      </c>
      <c r="B689" s="525"/>
      <c r="C689" s="528"/>
      <c r="D689" s="531"/>
      <c r="E689" s="534"/>
      <c r="F689" s="72">
        <f t="shared" si="33"/>
        <v>4</v>
      </c>
      <c r="G689" s="73" t="s">
        <v>175</v>
      </c>
      <c r="H689" s="74">
        <v>50</v>
      </c>
      <c r="I689" s="69" t="s">
        <v>131</v>
      </c>
      <c r="K689" s="86">
        <v>6</v>
      </c>
      <c r="L689" s="89">
        <f>E737</f>
        <v>0</v>
      </c>
      <c r="M689" s="536"/>
    </row>
    <row r="690" spans="1:13" x14ac:dyDescent="0.25">
      <c r="A690" s="69" t="s">
        <v>131</v>
      </c>
      <c r="B690" s="525"/>
      <c r="C690" s="528"/>
      <c r="D690" s="531"/>
      <c r="E690" s="534"/>
      <c r="F690" s="72"/>
      <c r="G690" s="73"/>
      <c r="H690" s="74"/>
      <c r="I690" s="69" t="s">
        <v>131</v>
      </c>
      <c r="K690" s="88">
        <v>7</v>
      </c>
      <c r="L690" s="89">
        <f>E747</f>
        <v>0</v>
      </c>
      <c r="M690" s="536"/>
    </row>
    <row r="691" spans="1:13" x14ac:dyDescent="0.25">
      <c r="A691" s="69" t="s">
        <v>131</v>
      </c>
      <c r="B691" s="525"/>
      <c r="C691" s="528"/>
      <c r="D691" s="531"/>
      <c r="E691" s="534"/>
      <c r="F691" s="72"/>
      <c r="G691" s="73"/>
      <c r="H691" s="74"/>
      <c r="I691" s="69" t="s">
        <v>131</v>
      </c>
      <c r="K691" s="88">
        <v>8</v>
      </c>
      <c r="L691" s="89">
        <f>E757</f>
        <v>0</v>
      </c>
      <c r="M691" s="536"/>
    </row>
    <row r="692" spans="1:13" x14ac:dyDescent="0.25">
      <c r="A692" s="69" t="s">
        <v>131</v>
      </c>
      <c r="B692" s="525"/>
      <c r="C692" s="528"/>
      <c r="D692" s="531"/>
      <c r="E692" s="534"/>
      <c r="F692" s="72"/>
      <c r="G692" s="73"/>
      <c r="H692" s="74"/>
      <c r="I692" s="69" t="s">
        <v>131</v>
      </c>
      <c r="K692" s="88">
        <v>9</v>
      </c>
      <c r="L692" s="89">
        <f>E767</f>
        <v>0</v>
      </c>
      <c r="M692" s="536"/>
    </row>
    <row r="693" spans="1:13" ht="15.75" thickBot="1" x14ac:dyDescent="0.3">
      <c r="A693" s="69" t="s">
        <v>131</v>
      </c>
      <c r="B693" s="526"/>
      <c r="C693" s="529"/>
      <c r="D693" s="531"/>
      <c r="E693" s="534"/>
      <c r="F693" s="72"/>
      <c r="G693" s="73"/>
      <c r="H693" s="74"/>
      <c r="I693" s="69" t="s">
        <v>131</v>
      </c>
      <c r="K693" s="90">
        <v>10</v>
      </c>
      <c r="L693" s="91">
        <f>E777</f>
        <v>0</v>
      </c>
      <c r="M693" s="537"/>
    </row>
    <row r="694" spans="1:13" x14ac:dyDescent="0.25">
      <c r="A694" s="69" t="s">
        <v>131</v>
      </c>
      <c r="B694" s="541" t="s">
        <v>128</v>
      </c>
      <c r="C694" s="527" t="s">
        <v>151</v>
      </c>
      <c r="D694" s="531"/>
      <c r="E694" s="534"/>
      <c r="F694" s="72"/>
      <c r="G694" s="73"/>
      <c r="H694" s="74"/>
      <c r="I694" s="69" t="s">
        <v>131</v>
      </c>
    </row>
    <row r="695" spans="1:13" ht="15.75" thickBot="1" x14ac:dyDescent="0.3">
      <c r="A695" s="69" t="s">
        <v>131</v>
      </c>
      <c r="B695" s="542"/>
      <c r="C695" s="529"/>
      <c r="D695" s="532"/>
      <c r="E695" s="535"/>
      <c r="F695" s="75"/>
      <c r="G695" s="76"/>
      <c r="H695" s="77"/>
      <c r="I695" s="69" t="s">
        <v>131</v>
      </c>
    </row>
    <row r="696" spans="1:13" ht="15.75" customHeight="1" thickBot="1" x14ac:dyDescent="0.3">
      <c r="A696" s="69" t="s">
        <v>131</v>
      </c>
      <c r="B696" s="524">
        <v>2</v>
      </c>
      <c r="C696" s="527" t="s">
        <v>176</v>
      </c>
      <c r="D696" s="57" t="s">
        <v>125</v>
      </c>
      <c r="E696" s="58">
        <v>0.25</v>
      </c>
      <c r="F696" s="164">
        <v>1</v>
      </c>
      <c r="G696" s="70" t="s">
        <v>151</v>
      </c>
      <c r="H696" s="71">
        <v>115</v>
      </c>
      <c r="I696" s="69" t="s">
        <v>131</v>
      </c>
    </row>
    <row r="697" spans="1:13" x14ac:dyDescent="0.25">
      <c r="A697" s="69" t="s">
        <v>131</v>
      </c>
      <c r="B697" s="525"/>
      <c r="C697" s="528"/>
      <c r="D697" s="530">
        <v>1</v>
      </c>
      <c r="E697" s="533">
        <f>IF(D697=0,0,VLOOKUP($D697,$F696:$H705,3,FALSE)*$E696)</f>
        <v>28.75</v>
      </c>
      <c r="F697" s="72">
        <v>2</v>
      </c>
      <c r="G697" s="73" t="s">
        <v>156</v>
      </c>
      <c r="H697" s="74">
        <v>0</v>
      </c>
      <c r="I697" s="69" t="s">
        <v>131</v>
      </c>
    </row>
    <row r="698" spans="1:13" x14ac:dyDescent="0.25">
      <c r="A698" s="69" t="s">
        <v>131</v>
      </c>
      <c r="B698" s="525"/>
      <c r="C698" s="528"/>
      <c r="D698" s="531"/>
      <c r="E698" s="534"/>
      <c r="F698" s="72"/>
      <c r="G698" s="70"/>
      <c r="H698" s="74"/>
      <c r="I698" s="69" t="s">
        <v>131</v>
      </c>
    </row>
    <row r="699" spans="1:13" x14ac:dyDescent="0.25">
      <c r="A699" s="69" t="s">
        <v>131</v>
      </c>
      <c r="B699" s="525"/>
      <c r="C699" s="528"/>
      <c r="D699" s="531"/>
      <c r="E699" s="534"/>
      <c r="F699" s="72"/>
      <c r="G699" s="70"/>
      <c r="H699" s="74"/>
      <c r="I699" s="69" t="s">
        <v>131</v>
      </c>
    </row>
    <row r="700" spans="1:13" x14ac:dyDescent="0.25">
      <c r="A700" s="69" t="s">
        <v>131</v>
      </c>
      <c r="B700" s="525"/>
      <c r="C700" s="528"/>
      <c r="D700" s="531"/>
      <c r="E700" s="534"/>
      <c r="F700" s="72"/>
      <c r="G700" s="73"/>
      <c r="H700" s="74"/>
      <c r="I700" s="69" t="s">
        <v>131</v>
      </c>
    </row>
    <row r="701" spans="1:13" x14ac:dyDescent="0.25">
      <c r="A701" s="69" t="s">
        <v>131</v>
      </c>
      <c r="B701" s="525"/>
      <c r="C701" s="528"/>
      <c r="D701" s="531"/>
      <c r="E701" s="534"/>
      <c r="F701" s="72"/>
      <c r="G701" s="73"/>
      <c r="H701" s="74"/>
      <c r="I701" s="69" t="s">
        <v>131</v>
      </c>
    </row>
    <row r="702" spans="1:13" x14ac:dyDescent="0.25">
      <c r="A702" s="69" t="s">
        <v>131</v>
      </c>
      <c r="B702" s="525"/>
      <c r="C702" s="528"/>
      <c r="D702" s="531"/>
      <c r="E702" s="534"/>
      <c r="F702" s="72"/>
      <c r="G702" s="73"/>
      <c r="H702" s="74"/>
      <c r="I702" s="69" t="s">
        <v>131</v>
      </c>
    </row>
    <row r="703" spans="1:13" ht="15.75" thickBot="1" x14ac:dyDescent="0.3">
      <c r="A703" s="69" t="s">
        <v>131</v>
      </c>
      <c r="B703" s="526"/>
      <c r="C703" s="529"/>
      <c r="D703" s="531"/>
      <c r="E703" s="534"/>
      <c r="F703" s="72"/>
      <c r="G703" s="73"/>
      <c r="H703" s="74"/>
      <c r="I703" s="69" t="s">
        <v>131</v>
      </c>
    </row>
    <row r="704" spans="1:13" x14ac:dyDescent="0.25">
      <c r="A704" s="69" t="s">
        <v>131</v>
      </c>
      <c r="B704" s="541" t="s">
        <v>128</v>
      </c>
      <c r="C704" s="527" t="s">
        <v>151</v>
      </c>
      <c r="D704" s="531"/>
      <c r="E704" s="534"/>
      <c r="F704" s="72"/>
      <c r="G704" s="73"/>
      <c r="H704" s="74"/>
      <c r="I704" s="69" t="s">
        <v>131</v>
      </c>
    </row>
    <row r="705" spans="1:9" ht="15.75" thickBot="1" x14ac:dyDescent="0.3">
      <c r="A705" s="69" t="s">
        <v>131</v>
      </c>
      <c r="B705" s="542"/>
      <c r="C705" s="529"/>
      <c r="D705" s="532"/>
      <c r="E705" s="535"/>
      <c r="F705" s="75"/>
      <c r="G705" s="76"/>
      <c r="H705" s="77"/>
      <c r="I705" s="69" t="s">
        <v>131</v>
      </c>
    </row>
    <row r="706" spans="1:9" ht="15.75" thickBot="1" x14ac:dyDescent="0.3">
      <c r="A706" s="69" t="s">
        <v>131</v>
      </c>
      <c r="B706" s="524">
        <v>3</v>
      </c>
      <c r="C706" s="527" t="s">
        <v>177</v>
      </c>
      <c r="D706" s="57" t="s">
        <v>125</v>
      </c>
      <c r="E706" s="58">
        <v>0.25</v>
      </c>
      <c r="F706" s="164">
        <v>1</v>
      </c>
      <c r="G706" s="70" t="s">
        <v>146</v>
      </c>
      <c r="H706" s="71">
        <v>115</v>
      </c>
      <c r="I706" s="69" t="s">
        <v>131</v>
      </c>
    </row>
    <row r="707" spans="1:9" x14ac:dyDescent="0.25">
      <c r="A707" s="69" t="s">
        <v>131</v>
      </c>
      <c r="B707" s="525"/>
      <c r="C707" s="528"/>
      <c r="D707" s="530">
        <v>1</v>
      </c>
      <c r="E707" s="533">
        <f>IF(D707=0,0,VLOOKUP($D707,$F706:$H715,3,FALSE)*$E706)</f>
        <v>28.75</v>
      </c>
      <c r="F707" s="72">
        <f>F706+1</f>
        <v>2</v>
      </c>
      <c r="G707" s="166" t="s">
        <v>179</v>
      </c>
      <c r="H707" s="74">
        <v>100</v>
      </c>
      <c r="I707" s="69" t="s">
        <v>131</v>
      </c>
    </row>
    <row r="708" spans="1:9" x14ac:dyDescent="0.25">
      <c r="A708" s="69" t="s">
        <v>131</v>
      </c>
      <c r="B708" s="525"/>
      <c r="C708" s="528"/>
      <c r="D708" s="531"/>
      <c r="E708" s="534"/>
      <c r="F708" s="72">
        <f t="shared" ref="F708:F710" si="34">F707+1</f>
        <v>3</v>
      </c>
      <c r="G708" s="73" t="s">
        <v>180</v>
      </c>
      <c r="H708" s="74">
        <v>90</v>
      </c>
      <c r="I708" s="69" t="s">
        <v>131</v>
      </c>
    </row>
    <row r="709" spans="1:9" x14ac:dyDescent="0.25">
      <c r="A709" s="69" t="s">
        <v>131</v>
      </c>
      <c r="B709" s="525"/>
      <c r="C709" s="528"/>
      <c r="D709" s="531"/>
      <c r="E709" s="534"/>
      <c r="F709" s="72">
        <f t="shared" si="34"/>
        <v>4</v>
      </c>
      <c r="G709" s="73" t="s">
        <v>181</v>
      </c>
      <c r="H709" s="74">
        <v>80</v>
      </c>
      <c r="I709" s="69" t="s">
        <v>131</v>
      </c>
    </row>
    <row r="710" spans="1:9" x14ac:dyDescent="0.25">
      <c r="A710" s="69" t="s">
        <v>131</v>
      </c>
      <c r="B710" s="525"/>
      <c r="C710" s="528"/>
      <c r="D710" s="531"/>
      <c r="E710" s="534"/>
      <c r="F710" s="72">
        <f t="shared" si="34"/>
        <v>5</v>
      </c>
      <c r="G710" s="73" t="s">
        <v>182</v>
      </c>
      <c r="H710" s="74">
        <v>0</v>
      </c>
      <c r="I710" s="69" t="s">
        <v>131</v>
      </c>
    </row>
    <row r="711" spans="1:9" x14ac:dyDescent="0.25">
      <c r="A711" s="69" t="s">
        <v>131</v>
      </c>
      <c r="B711" s="525"/>
      <c r="C711" s="528"/>
      <c r="D711" s="531"/>
      <c r="E711" s="534"/>
      <c r="F711" s="72"/>
      <c r="G711" s="73"/>
      <c r="H711" s="74"/>
      <c r="I711" s="69" t="s">
        <v>131</v>
      </c>
    </row>
    <row r="712" spans="1:9" x14ac:dyDescent="0.25">
      <c r="A712" s="69" t="s">
        <v>131</v>
      </c>
      <c r="B712" s="525"/>
      <c r="C712" s="528"/>
      <c r="D712" s="531"/>
      <c r="E712" s="534"/>
      <c r="F712" s="72"/>
      <c r="G712" s="73"/>
      <c r="H712" s="74"/>
      <c r="I712" s="69" t="s">
        <v>131</v>
      </c>
    </row>
    <row r="713" spans="1:9" ht="15.75" thickBot="1" x14ac:dyDescent="0.3">
      <c r="A713" s="69" t="s">
        <v>131</v>
      </c>
      <c r="B713" s="526"/>
      <c r="C713" s="529"/>
      <c r="D713" s="531"/>
      <c r="E713" s="534"/>
      <c r="F713" s="72"/>
      <c r="G713" s="73"/>
      <c r="H713" s="74"/>
      <c r="I713" s="69" t="s">
        <v>131</v>
      </c>
    </row>
    <row r="714" spans="1:9" x14ac:dyDescent="0.25">
      <c r="A714" s="69" t="s">
        <v>131</v>
      </c>
      <c r="B714" s="541" t="s">
        <v>128</v>
      </c>
      <c r="C714" s="527" t="s">
        <v>146</v>
      </c>
      <c r="D714" s="531"/>
      <c r="E714" s="534"/>
      <c r="F714" s="72"/>
      <c r="G714" s="73"/>
      <c r="H714" s="74"/>
      <c r="I714" s="69" t="s">
        <v>131</v>
      </c>
    </row>
    <row r="715" spans="1:9" ht="15.75" thickBot="1" x14ac:dyDescent="0.3">
      <c r="A715" s="69" t="s">
        <v>131</v>
      </c>
      <c r="B715" s="542"/>
      <c r="C715" s="529"/>
      <c r="D715" s="532"/>
      <c r="E715" s="535"/>
      <c r="F715" s="75"/>
      <c r="G715" s="76"/>
      <c r="H715" s="77"/>
      <c r="I715" s="69" t="s">
        <v>131</v>
      </c>
    </row>
    <row r="716" spans="1:9" ht="15.75" thickBot="1" x14ac:dyDescent="0.3">
      <c r="A716" s="69" t="s">
        <v>131</v>
      </c>
      <c r="B716" s="524">
        <v>4</v>
      </c>
      <c r="C716" s="527" t="s">
        <v>178</v>
      </c>
      <c r="D716" s="57" t="s">
        <v>125</v>
      </c>
      <c r="E716" s="58">
        <v>0.25</v>
      </c>
      <c r="F716" s="164">
        <v>1</v>
      </c>
      <c r="G716" s="70" t="s">
        <v>146</v>
      </c>
      <c r="H716" s="71">
        <v>115</v>
      </c>
      <c r="I716" s="69" t="s">
        <v>131</v>
      </c>
    </row>
    <row r="717" spans="1:9" x14ac:dyDescent="0.25">
      <c r="A717" s="69" t="s">
        <v>131</v>
      </c>
      <c r="B717" s="525"/>
      <c r="C717" s="528"/>
      <c r="D717" s="530">
        <v>1</v>
      </c>
      <c r="E717" s="533">
        <f>IF(D717=0,0,VLOOKUP($D717,$F716:$H725,3,FALSE)*$E716)</f>
        <v>28.75</v>
      </c>
      <c r="F717" s="72">
        <f>F716+1</f>
        <v>2</v>
      </c>
      <c r="G717" s="166" t="s">
        <v>179</v>
      </c>
      <c r="H717" s="74">
        <v>100</v>
      </c>
      <c r="I717" s="69" t="s">
        <v>131</v>
      </c>
    </row>
    <row r="718" spans="1:9" x14ac:dyDescent="0.25">
      <c r="A718" s="69" t="s">
        <v>131</v>
      </c>
      <c r="B718" s="525"/>
      <c r="C718" s="528"/>
      <c r="D718" s="531"/>
      <c r="E718" s="534"/>
      <c r="F718" s="72">
        <f t="shared" ref="F718:F720" si="35">F717+1</f>
        <v>3</v>
      </c>
      <c r="G718" s="73" t="s">
        <v>180</v>
      </c>
      <c r="H718" s="74">
        <v>90</v>
      </c>
      <c r="I718" s="69" t="s">
        <v>131</v>
      </c>
    </row>
    <row r="719" spans="1:9" x14ac:dyDescent="0.25">
      <c r="A719" s="69" t="s">
        <v>131</v>
      </c>
      <c r="B719" s="525"/>
      <c r="C719" s="528"/>
      <c r="D719" s="531"/>
      <c r="E719" s="534"/>
      <c r="F719" s="72">
        <f t="shared" si="35"/>
        <v>4</v>
      </c>
      <c r="G719" s="73" t="s">
        <v>181</v>
      </c>
      <c r="H719" s="74">
        <v>80</v>
      </c>
      <c r="I719" s="69" t="s">
        <v>131</v>
      </c>
    </row>
    <row r="720" spans="1:9" x14ac:dyDescent="0.25">
      <c r="A720" s="69" t="s">
        <v>131</v>
      </c>
      <c r="B720" s="525"/>
      <c r="C720" s="528"/>
      <c r="D720" s="531"/>
      <c r="E720" s="534"/>
      <c r="F720" s="72">
        <f t="shared" si="35"/>
        <v>5</v>
      </c>
      <c r="G720" s="73" t="s">
        <v>182</v>
      </c>
      <c r="H720" s="74">
        <v>0</v>
      </c>
      <c r="I720" s="69" t="s">
        <v>131</v>
      </c>
    </row>
    <row r="721" spans="1:9" x14ac:dyDescent="0.25">
      <c r="A721" s="69" t="s">
        <v>131</v>
      </c>
      <c r="B721" s="525"/>
      <c r="C721" s="528"/>
      <c r="D721" s="531"/>
      <c r="E721" s="534"/>
      <c r="F721" s="72"/>
      <c r="G721" s="73"/>
      <c r="H721" s="74"/>
      <c r="I721" s="69" t="s">
        <v>131</v>
      </c>
    </row>
    <row r="722" spans="1:9" x14ac:dyDescent="0.25">
      <c r="A722" s="69" t="s">
        <v>131</v>
      </c>
      <c r="B722" s="525"/>
      <c r="C722" s="528"/>
      <c r="D722" s="531"/>
      <c r="E722" s="534"/>
      <c r="F722" s="72"/>
      <c r="G722" s="73"/>
      <c r="H722" s="74"/>
      <c r="I722" s="69" t="s">
        <v>131</v>
      </c>
    </row>
    <row r="723" spans="1:9" ht="15.75" thickBot="1" x14ac:dyDescent="0.3">
      <c r="A723" s="69" t="s">
        <v>131</v>
      </c>
      <c r="B723" s="526"/>
      <c r="C723" s="529"/>
      <c r="D723" s="531"/>
      <c r="E723" s="534"/>
      <c r="F723" s="72"/>
      <c r="G723" s="73"/>
      <c r="H723" s="74"/>
      <c r="I723" s="69" t="s">
        <v>131</v>
      </c>
    </row>
    <row r="724" spans="1:9" x14ac:dyDescent="0.25">
      <c r="A724" s="69" t="s">
        <v>131</v>
      </c>
      <c r="B724" s="541" t="s">
        <v>128</v>
      </c>
      <c r="C724" s="527" t="s">
        <v>146</v>
      </c>
      <c r="D724" s="531"/>
      <c r="E724" s="534"/>
      <c r="F724" s="72"/>
      <c r="G724" s="73"/>
      <c r="H724" s="74"/>
      <c r="I724" s="69" t="s">
        <v>131</v>
      </c>
    </row>
    <row r="725" spans="1:9" ht="15.75" thickBot="1" x14ac:dyDescent="0.3">
      <c r="A725" s="69" t="s">
        <v>131</v>
      </c>
      <c r="B725" s="542"/>
      <c r="C725" s="529"/>
      <c r="D725" s="532"/>
      <c r="E725" s="535"/>
      <c r="F725" s="75"/>
      <c r="G725" s="76"/>
      <c r="H725" s="77"/>
      <c r="I725" s="69" t="s">
        <v>131</v>
      </c>
    </row>
    <row r="726" spans="1:9" ht="15.75" hidden="1" thickBot="1" x14ac:dyDescent="0.3">
      <c r="A726" s="69" t="s">
        <v>131</v>
      </c>
      <c r="B726" s="548">
        <v>5</v>
      </c>
      <c r="C726" s="527"/>
      <c r="D726" s="57" t="s">
        <v>125</v>
      </c>
      <c r="E726" s="58"/>
      <c r="F726" s="78">
        <v>10</v>
      </c>
      <c r="G726" s="79" t="s">
        <v>126</v>
      </c>
      <c r="H726" s="80">
        <v>115</v>
      </c>
      <c r="I726" s="69" t="s">
        <v>131</v>
      </c>
    </row>
    <row r="727" spans="1:9" hidden="1" x14ac:dyDescent="0.25">
      <c r="A727" s="69" t="s">
        <v>131</v>
      </c>
      <c r="B727" s="525"/>
      <c r="C727" s="528"/>
      <c r="D727" s="530"/>
      <c r="E727" s="533">
        <f>IF(D727=0,0,VLOOKUP($D727,$F726:$H735,3,FALSE)*$E726)</f>
        <v>0</v>
      </c>
      <c r="F727" s="72">
        <v>9</v>
      </c>
      <c r="G727" s="73" t="s">
        <v>126</v>
      </c>
      <c r="H727" s="74">
        <f>H726-5</f>
        <v>110</v>
      </c>
      <c r="I727" s="69" t="s">
        <v>131</v>
      </c>
    </row>
    <row r="728" spans="1:9" hidden="1" x14ac:dyDescent="0.25">
      <c r="A728" s="69" t="s">
        <v>131</v>
      </c>
      <c r="B728" s="525"/>
      <c r="C728" s="528"/>
      <c r="D728" s="531"/>
      <c r="E728" s="534"/>
      <c r="F728" s="72">
        <v>8</v>
      </c>
      <c r="G728" s="73" t="s">
        <v>126</v>
      </c>
      <c r="H728" s="74">
        <f t="shared" ref="H728:H735" si="36">H727-5</f>
        <v>105</v>
      </c>
      <c r="I728" s="69" t="s">
        <v>131</v>
      </c>
    </row>
    <row r="729" spans="1:9" hidden="1" x14ac:dyDescent="0.25">
      <c r="A729" s="69" t="s">
        <v>131</v>
      </c>
      <c r="B729" s="525"/>
      <c r="C729" s="528"/>
      <c r="D729" s="531"/>
      <c r="E729" s="534"/>
      <c r="F729" s="72">
        <v>7</v>
      </c>
      <c r="G729" s="73" t="s">
        <v>126</v>
      </c>
      <c r="H729" s="74">
        <f t="shared" si="36"/>
        <v>100</v>
      </c>
      <c r="I729" s="69" t="s">
        <v>131</v>
      </c>
    </row>
    <row r="730" spans="1:9" hidden="1" x14ac:dyDescent="0.25">
      <c r="A730" s="69" t="s">
        <v>131</v>
      </c>
      <c r="B730" s="525"/>
      <c r="C730" s="528"/>
      <c r="D730" s="531"/>
      <c r="E730" s="534"/>
      <c r="F730" s="72">
        <v>6</v>
      </c>
      <c r="G730" s="73" t="s">
        <v>126</v>
      </c>
      <c r="H730" s="74">
        <f t="shared" si="36"/>
        <v>95</v>
      </c>
      <c r="I730" s="69" t="s">
        <v>131</v>
      </c>
    </row>
    <row r="731" spans="1:9" hidden="1" x14ac:dyDescent="0.25">
      <c r="A731" s="69" t="s">
        <v>131</v>
      </c>
      <c r="B731" s="525"/>
      <c r="C731" s="528"/>
      <c r="D731" s="531"/>
      <c r="E731" s="534"/>
      <c r="F731" s="72">
        <v>5</v>
      </c>
      <c r="G731" s="73" t="s">
        <v>126</v>
      </c>
      <c r="H731" s="74">
        <f t="shared" si="36"/>
        <v>90</v>
      </c>
      <c r="I731" s="69" t="s">
        <v>131</v>
      </c>
    </row>
    <row r="732" spans="1:9" hidden="1" x14ac:dyDescent="0.25">
      <c r="A732" s="69" t="s">
        <v>131</v>
      </c>
      <c r="B732" s="525"/>
      <c r="C732" s="528"/>
      <c r="D732" s="531"/>
      <c r="E732" s="534"/>
      <c r="F732" s="72">
        <v>4</v>
      </c>
      <c r="G732" s="73" t="s">
        <v>126</v>
      </c>
      <c r="H732" s="74">
        <f t="shared" si="36"/>
        <v>85</v>
      </c>
      <c r="I732" s="69" t="s">
        <v>131</v>
      </c>
    </row>
    <row r="733" spans="1:9" ht="15.75" hidden="1" thickBot="1" x14ac:dyDescent="0.3">
      <c r="A733" s="69" t="s">
        <v>131</v>
      </c>
      <c r="B733" s="526"/>
      <c r="C733" s="529"/>
      <c r="D733" s="531"/>
      <c r="E733" s="534"/>
      <c r="F733" s="72">
        <v>3</v>
      </c>
      <c r="G733" s="73" t="s">
        <v>126</v>
      </c>
      <c r="H733" s="74">
        <f t="shared" si="36"/>
        <v>80</v>
      </c>
      <c r="I733" s="69" t="s">
        <v>131</v>
      </c>
    </row>
    <row r="734" spans="1:9" hidden="1" x14ac:dyDescent="0.25">
      <c r="A734" s="69" t="s">
        <v>131</v>
      </c>
      <c r="B734" s="541" t="s">
        <v>128</v>
      </c>
      <c r="C734" s="527"/>
      <c r="D734" s="531"/>
      <c r="E734" s="534"/>
      <c r="F734" s="72">
        <v>2</v>
      </c>
      <c r="G734" s="73" t="s">
        <v>126</v>
      </c>
      <c r="H734" s="74">
        <f t="shared" si="36"/>
        <v>75</v>
      </c>
      <c r="I734" s="69" t="s">
        <v>131</v>
      </c>
    </row>
    <row r="735" spans="1:9" ht="15.75" hidden="1" thickBot="1" x14ac:dyDescent="0.3">
      <c r="A735" s="69" t="s">
        <v>131</v>
      </c>
      <c r="B735" s="542"/>
      <c r="C735" s="529"/>
      <c r="D735" s="532"/>
      <c r="E735" s="535"/>
      <c r="F735" s="75">
        <v>1</v>
      </c>
      <c r="G735" s="76" t="s">
        <v>126</v>
      </c>
      <c r="H735" s="77">
        <f t="shared" si="36"/>
        <v>70</v>
      </c>
      <c r="I735" s="69" t="s">
        <v>131</v>
      </c>
    </row>
    <row r="736" spans="1:9" ht="15.75" hidden="1" thickBot="1" x14ac:dyDescent="0.3">
      <c r="A736" s="69" t="s">
        <v>131</v>
      </c>
      <c r="B736" s="524">
        <v>6</v>
      </c>
      <c r="C736" s="527"/>
      <c r="D736" s="57" t="s">
        <v>125</v>
      </c>
      <c r="E736" s="58"/>
      <c r="F736" s="164">
        <v>10</v>
      </c>
      <c r="G736" s="70" t="s">
        <v>126</v>
      </c>
      <c r="H736" s="71">
        <v>115</v>
      </c>
      <c r="I736" s="69" t="s">
        <v>131</v>
      </c>
    </row>
    <row r="737" spans="1:9" hidden="1" x14ac:dyDescent="0.25">
      <c r="A737" s="69" t="s">
        <v>131</v>
      </c>
      <c r="B737" s="525"/>
      <c r="C737" s="528"/>
      <c r="D737" s="530"/>
      <c r="E737" s="533">
        <f>IF(D737=0,0,VLOOKUP($D737,$F736:$H745,3,FALSE)*$E736)</f>
        <v>0</v>
      </c>
      <c r="F737" s="72">
        <v>9</v>
      </c>
      <c r="G737" s="73" t="s">
        <v>126</v>
      </c>
      <c r="H737" s="74">
        <f>H736-5</f>
        <v>110</v>
      </c>
      <c r="I737" s="69" t="s">
        <v>131</v>
      </c>
    </row>
    <row r="738" spans="1:9" hidden="1" x14ac:dyDescent="0.25">
      <c r="A738" s="69" t="s">
        <v>131</v>
      </c>
      <c r="B738" s="525"/>
      <c r="C738" s="528"/>
      <c r="D738" s="531"/>
      <c r="E738" s="534"/>
      <c r="F738" s="72">
        <v>8</v>
      </c>
      <c r="G738" s="73" t="s">
        <v>126</v>
      </c>
      <c r="H738" s="74">
        <f t="shared" ref="H738:H745" si="37">H737-5</f>
        <v>105</v>
      </c>
      <c r="I738" s="69" t="s">
        <v>131</v>
      </c>
    </row>
    <row r="739" spans="1:9" hidden="1" x14ac:dyDescent="0.25">
      <c r="A739" s="69" t="s">
        <v>131</v>
      </c>
      <c r="B739" s="525"/>
      <c r="C739" s="528"/>
      <c r="D739" s="531"/>
      <c r="E739" s="534"/>
      <c r="F739" s="72">
        <v>7</v>
      </c>
      <c r="G739" s="73" t="s">
        <v>126</v>
      </c>
      <c r="H739" s="74">
        <f t="shared" si="37"/>
        <v>100</v>
      </c>
      <c r="I739" s="69" t="s">
        <v>131</v>
      </c>
    </row>
    <row r="740" spans="1:9" hidden="1" x14ac:dyDescent="0.25">
      <c r="A740" s="69" t="s">
        <v>131</v>
      </c>
      <c r="B740" s="525"/>
      <c r="C740" s="528"/>
      <c r="D740" s="531"/>
      <c r="E740" s="534"/>
      <c r="F740" s="72">
        <v>6</v>
      </c>
      <c r="G740" s="73" t="s">
        <v>126</v>
      </c>
      <c r="H740" s="74">
        <f t="shared" si="37"/>
        <v>95</v>
      </c>
      <c r="I740" s="69" t="s">
        <v>131</v>
      </c>
    </row>
    <row r="741" spans="1:9" hidden="1" x14ac:dyDescent="0.25">
      <c r="A741" s="69" t="s">
        <v>131</v>
      </c>
      <c r="B741" s="525"/>
      <c r="C741" s="528"/>
      <c r="D741" s="531"/>
      <c r="E741" s="534"/>
      <c r="F741" s="72">
        <v>5</v>
      </c>
      <c r="G741" s="73" t="s">
        <v>126</v>
      </c>
      <c r="H741" s="74">
        <f t="shared" si="37"/>
        <v>90</v>
      </c>
      <c r="I741" s="69" t="s">
        <v>131</v>
      </c>
    </row>
    <row r="742" spans="1:9" hidden="1" x14ac:dyDescent="0.25">
      <c r="A742" s="69" t="s">
        <v>131</v>
      </c>
      <c r="B742" s="525"/>
      <c r="C742" s="528"/>
      <c r="D742" s="531"/>
      <c r="E742" s="534"/>
      <c r="F742" s="72">
        <v>4</v>
      </c>
      <c r="G742" s="73" t="s">
        <v>126</v>
      </c>
      <c r="H742" s="74">
        <f t="shared" si="37"/>
        <v>85</v>
      </c>
      <c r="I742" s="69" t="s">
        <v>131</v>
      </c>
    </row>
    <row r="743" spans="1:9" ht="15.75" hidden="1" thickBot="1" x14ac:dyDescent="0.3">
      <c r="A743" s="69" t="s">
        <v>131</v>
      </c>
      <c r="B743" s="526"/>
      <c r="C743" s="529"/>
      <c r="D743" s="531"/>
      <c r="E743" s="534"/>
      <c r="F743" s="72">
        <v>3</v>
      </c>
      <c r="G743" s="73" t="s">
        <v>126</v>
      </c>
      <c r="H743" s="74">
        <f t="shared" si="37"/>
        <v>80</v>
      </c>
      <c r="I743" s="69" t="s">
        <v>131</v>
      </c>
    </row>
    <row r="744" spans="1:9" hidden="1" x14ac:dyDescent="0.25">
      <c r="A744" s="69" t="s">
        <v>131</v>
      </c>
      <c r="B744" s="541" t="s">
        <v>128</v>
      </c>
      <c r="C744" s="527"/>
      <c r="D744" s="531"/>
      <c r="E744" s="534"/>
      <c r="F744" s="72">
        <v>2</v>
      </c>
      <c r="G744" s="73" t="s">
        <v>126</v>
      </c>
      <c r="H744" s="74">
        <f t="shared" si="37"/>
        <v>75</v>
      </c>
      <c r="I744" s="69" t="s">
        <v>131</v>
      </c>
    </row>
    <row r="745" spans="1:9" ht="15.75" hidden="1" thickBot="1" x14ac:dyDescent="0.3">
      <c r="A745" s="69" t="s">
        <v>131</v>
      </c>
      <c r="B745" s="542"/>
      <c r="C745" s="529"/>
      <c r="D745" s="532"/>
      <c r="E745" s="535"/>
      <c r="F745" s="75">
        <v>1</v>
      </c>
      <c r="G745" s="76" t="s">
        <v>126</v>
      </c>
      <c r="H745" s="77">
        <f t="shared" si="37"/>
        <v>70</v>
      </c>
      <c r="I745" s="69" t="s">
        <v>131</v>
      </c>
    </row>
    <row r="746" spans="1:9" ht="15.75" hidden="1" thickBot="1" x14ac:dyDescent="0.3">
      <c r="A746" s="69" t="s">
        <v>131</v>
      </c>
      <c r="B746" s="524">
        <v>7</v>
      </c>
      <c r="C746" s="527"/>
      <c r="D746" s="57" t="s">
        <v>125</v>
      </c>
      <c r="E746" s="58"/>
      <c r="F746" s="164">
        <v>10</v>
      </c>
      <c r="G746" s="70" t="s">
        <v>126</v>
      </c>
      <c r="H746" s="71">
        <v>115</v>
      </c>
      <c r="I746" s="69" t="s">
        <v>131</v>
      </c>
    </row>
    <row r="747" spans="1:9" hidden="1" x14ac:dyDescent="0.25">
      <c r="A747" s="69" t="s">
        <v>131</v>
      </c>
      <c r="B747" s="525"/>
      <c r="C747" s="528"/>
      <c r="D747" s="530"/>
      <c r="E747" s="533">
        <f>IF(D747=0,0,VLOOKUP($D747,$F746:$H755,3,FALSE)*$E746)</f>
        <v>0</v>
      </c>
      <c r="F747" s="72">
        <v>9</v>
      </c>
      <c r="G747" s="73" t="s">
        <v>126</v>
      </c>
      <c r="H747" s="74">
        <f>H746-5</f>
        <v>110</v>
      </c>
      <c r="I747" s="69" t="s">
        <v>131</v>
      </c>
    </row>
    <row r="748" spans="1:9" hidden="1" x14ac:dyDescent="0.25">
      <c r="A748" s="69" t="s">
        <v>131</v>
      </c>
      <c r="B748" s="525"/>
      <c r="C748" s="528"/>
      <c r="D748" s="531"/>
      <c r="E748" s="534"/>
      <c r="F748" s="72">
        <v>8</v>
      </c>
      <c r="G748" s="73" t="s">
        <v>126</v>
      </c>
      <c r="H748" s="74">
        <f t="shared" ref="H748:H755" si="38">H747-5</f>
        <v>105</v>
      </c>
      <c r="I748" s="69" t="s">
        <v>131</v>
      </c>
    </row>
    <row r="749" spans="1:9" hidden="1" x14ac:dyDescent="0.25">
      <c r="A749" s="69" t="s">
        <v>131</v>
      </c>
      <c r="B749" s="525"/>
      <c r="C749" s="528"/>
      <c r="D749" s="531"/>
      <c r="E749" s="534"/>
      <c r="F749" s="72">
        <v>7</v>
      </c>
      <c r="G749" s="73" t="s">
        <v>126</v>
      </c>
      <c r="H749" s="74">
        <f t="shared" si="38"/>
        <v>100</v>
      </c>
      <c r="I749" s="69" t="s">
        <v>131</v>
      </c>
    </row>
    <row r="750" spans="1:9" hidden="1" x14ac:dyDescent="0.25">
      <c r="A750" s="69" t="s">
        <v>131</v>
      </c>
      <c r="B750" s="525"/>
      <c r="C750" s="528"/>
      <c r="D750" s="531"/>
      <c r="E750" s="534"/>
      <c r="F750" s="72">
        <v>6</v>
      </c>
      <c r="G750" s="73" t="s">
        <v>126</v>
      </c>
      <c r="H750" s="74">
        <f t="shared" si="38"/>
        <v>95</v>
      </c>
      <c r="I750" s="69" t="s">
        <v>131</v>
      </c>
    </row>
    <row r="751" spans="1:9" hidden="1" x14ac:dyDescent="0.25">
      <c r="A751" s="69" t="s">
        <v>131</v>
      </c>
      <c r="B751" s="525"/>
      <c r="C751" s="528"/>
      <c r="D751" s="531"/>
      <c r="E751" s="534"/>
      <c r="F751" s="72">
        <v>5</v>
      </c>
      <c r="G751" s="73" t="s">
        <v>126</v>
      </c>
      <c r="H751" s="74">
        <f t="shared" si="38"/>
        <v>90</v>
      </c>
      <c r="I751" s="69" t="s">
        <v>131</v>
      </c>
    </row>
    <row r="752" spans="1:9" hidden="1" x14ac:dyDescent="0.25">
      <c r="A752" s="69" t="s">
        <v>131</v>
      </c>
      <c r="B752" s="525"/>
      <c r="C752" s="528"/>
      <c r="D752" s="531"/>
      <c r="E752" s="534"/>
      <c r="F752" s="72">
        <v>4</v>
      </c>
      <c r="G752" s="73" t="s">
        <v>126</v>
      </c>
      <c r="H752" s="74">
        <f t="shared" si="38"/>
        <v>85</v>
      </c>
      <c r="I752" s="69" t="s">
        <v>131</v>
      </c>
    </row>
    <row r="753" spans="1:9" ht="15.75" hidden="1" thickBot="1" x14ac:dyDescent="0.3">
      <c r="A753" s="69" t="s">
        <v>131</v>
      </c>
      <c r="B753" s="526"/>
      <c r="C753" s="529"/>
      <c r="D753" s="531"/>
      <c r="E753" s="534"/>
      <c r="F753" s="72">
        <v>3</v>
      </c>
      <c r="G753" s="73" t="s">
        <v>126</v>
      </c>
      <c r="H753" s="74">
        <f t="shared" si="38"/>
        <v>80</v>
      </c>
      <c r="I753" s="69" t="s">
        <v>131</v>
      </c>
    </row>
    <row r="754" spans="1:9" hidden="1" x14ac:dyDescent="0.25">
      <c r="A754" s="69" t="s">
        <v>131</v>
      </c>
      <c r="B754" s="541" t="s">
        <v>128</v>
      </c>
      <c r="C754" s="527"/>
      <c r="D754" s="531"/>
      <c r="E754" s="534"/>
      <c r="F754" s="72">
        <v>2</v>
      </c>
      <c r="G754" s="73" t="s">
        <v>126</v>
      </c>
      <c r="H754" s="74">
        <f t="shared" si="38"/>
        <v>75</v>
      </c>
      <c r="I754" s="69" t="s">
        <v>131</v>
      </c>
    </row>
    <row r="755" spans="1:9" ht="15.75" hidden="1" thickBot="1" x14ac:dyDescent="0.3">
      <c r="A755" s="69" t="s">
        <v>131</v>
      </c>
      <c r="B755" s="542"/>
      <c r="C755" s="529"/>
      <c r="D755" s="532"/>
      <c r="E755" s="535"/>
      <c r="F755" s="75">
        <v>1</v>
      </c>
      <c r="G755" s="76" t="s">
        <v>126</v>
      </c>
      <c r="H755" s="77">
        <f t="shared" si="38"/>
        <v>70</v>
      </c>
      <c r="I755" s="69" t="s">
        <v>131</v>
      </c>
    </row>
    <row r="756" spans="1:9" ht="15.75" hidden="1" thickBot="1" x14ac:dyDescent="0.3">
      <c r="A756" s="69" t="s">
        <v>131</v>
      </c>
      <c r="B756" s="524">
        <v>8</v>
      </c>
      <c r="C756" s="527"/>
      <c r="D756" s="57" t="s">
        <v>125</v>
      </c>
      <c r="E756" s="58"/>
      <c r="F756" s="164">
        <v>10</v>
      </c>
      <c r="G756" s="70" t="s">
        <v>126</v>
      </c>
      <c r="H756" s="71">
        <v>115</v>
      </c>
      <c r="I756" s="69" t="s">
        <v>131</v>
      </c>
    </row>
    <row r="757" spans="1:9" hidden="1" x14ac:dyDescent="0.25">
      <c r="A757" s="69" t="s">
        <v>131</v>
      </c>
      <c r="B757" s="525"/>
      <c r="C757" s="528"/>
      <c r="D757" s="530"/>
      <c r="E757" s="533">
        <f>IF(D757=0,0,VLOOKUP($D757,$F756:$H765,3,FALSE)*$E756)</f>
        <v>0</v>
      </c>
      <c r="F757" s="72">
        <v>9</v>
      </c>
      <c r="G757" s="73" t="s">
        <v>126</v>
      </c>
      <c r="H757" s="74">
        <f>H756-5</f>
        <v>110</v>
      </c>
      <c r="I757" s="69" t="s">
        <v>131</v>
      </c>
    </row>
    <row r="758" spans="1:9" hidden="1" x14ac:dyDescent="0.25">
      <c r="A758" s="69" t="s">
        <v>131</v>
      </c>
      <c r="B758" s="525"/>
      <c r="C758" s="528"/>
      <c r="D758" s="531"/>
      <c r="E758" s="534"/>
      <c r="F758" s="72">
        <v>8</v>
      </c>
      <c r="G758" s="73" t="s">
        <v>126</v>
      </c>
      <c r="H758" s="74">
        <f t="shared" ref="H758:H765" si="39">H757-5</f>
        <v>105</v>
      </c>
      <c r="I758" s="69" t="s">
        <v>131</v>
      </c>
    </row>
    <row r="759" spans="1:9" hidden="1" x14ac:dyDescent="0.25">
      <c r="A759" s="69" t="s">
        <v>131</v>
      </c>
      <c r="B759" s="525"/>
      <c r="C759" s="528"/>
      <c r="D759" s="531"/>
      <c r="E759" s="534"/>
      <c r="F759" s="72">
        <v>7</v>
      </c>
      <c r="G759" s="73" t="s">
        <v>126</v>
      </c>
      <c r="H759" s="74">
        <f t="shared" si="39"/>
        <v>100</v>
      </c>
      <c r="I759" s="69" t="s">
        <v>131</v>
      </c>
    </row>
    <row r="760" spans="1:9" hidden="1" x14ac:dyDescent="0.25">
      <c r="A760" s="69" t="s">
        <v>131</v>
      </c>
      <c r="B760" s="525"/>
      <c r="C760" s="528"/>
      <c r="D760" s="531"/>
      <c r="E760" s="534"/>
      <c r="F760" s="72">
        <v>6</v>
      </c>
      <c r="G760" s="73" t="s">
        <v>126</v>
      </c>
      <c r="H760" s="74">
        <f t="shared" si="39"/>
        <v>95</v>
      </c>
      <c r="I760" s="69" t="s">
        <v>131</v>
      </c>
    </row>
    <row r="761" spans="1:9" hidden="1" x14ac:dyDescent="0.25">
      <c r="A761" s="69" t="s">
        <v>131</v>
      </c>
      <c r="B761" s="525"/>
      <c r="C761" s="528"/>
      <c r="D761" s="531"/>
      <c r="E761" s="534"/>
      <c r="F761" s="72">
        <v>5</v>
      </c>
      <c r="G761" s="73" t="s">
        <v>126</v>
      </c>
      <c r="H761" s="74">
        <f t="shared" si="39"/>
        <v>90</v>
      </c>
      <c r="I761" s="69" t="s">
        <v>131</v>
      </c>
    </row>
    <row r="762" spans="1:9" hidden="1" x14ac:dyDescent="0.25">
      <c r="A762" s="69" t="s">
        <v>131</v>
      </c>
      <c r="B762" s="525"/>
      <c r="C762" s="528"/>
      <c r="D762" s="531"/>
      <c r="E762" s="534"/>
      <c r="F762" s="72">
        <v>4</v>
      </c>
      <c r="G762" s="73" t="s">
        <v>126</v>
      </c>
      <c r="H762" s="74">
        <f t="shared" si="39"/>
        <v>85</v>
      </c>
      <c r="I762" s="69" t="s">
        <v>131</v>
      </c>
    </row>
    <row r="763" spans="1:9" ht="15.75" hidden="1" thickBot="1" x14ac:dyDescent="0.3">
      <c r="A763" s="69" t="s">
        <v>131</v>
      </c>
      <c r="B763" s="526"/>
      <c r="C763" s="529"/>
      <c r="D763" s="531"/>
      <c r="E763" s="534"/>
      <c r="F763" s="72">
        <v>3</v>
      </c>
      <c r="G763" s="73" t="s">
        <v>126</v>
      </c>
      <c r="H763" s="74">
        <f t="shared" si="39"/>
        <v>80</v>
      </c>
      <c r="I763" s="69" t="s">
        <v>131</v>
      </c>
    </row>
    <row r="764" spans="1:9" hidden="1" x14ac:dyDescent="0.25">
      <c r="A764" s="69" t="s">
        <v>131</v>
      </c>
      <c r="B764" s="541" t="s">
        <v>128</v>
      </c>
      <c r="C764" s="527"/>
      <c r="D764" s="531"/>
      <c r="E764" s="534"/>
      <c r="F764" s="72">
        <v>2</v>
      </c>
      <c r="G764" s="73" t="s">
        <v>126</v>
      </c>
      <c r="H764" s="74">
        <f t="shared" si="39"/>
        <v>75</v>
      </c>
      <c r="I764" s="69" t="s">
        <v>131</v>
      </c>
    </row>
    <row r="765" spans="1:9" ht="15.75" hidden="1" thickBot="1" x14ac:dyDescent="0.3">
      <c r="A765" s="69" t="s">
        <v>131</v>
      </c>
      <c r="B765" s="542"/>
      <c r="C765" s="529"/>
      <c r="D765" s="532"/>
      <c r="E765" s="535"/>
      <c r="F765" s="75">
        <v>1</v>
      </c>
      <c r="G765" s="76" t="s">
        <v>126</v>
      </c>
      <c r="H765" s="77">
        <f t="shared" si="39"/>
        <v>70</v>
      </c>
      <c r="I765" s="69" t="s">
        <v>131</v>
      </c>
    </row>
    <row r="766" spans="1:9" ht="15.75" hidden="1" thickBot="1" x14ac:dyDescent="0.3">
      <c r="A766" s="69" t="s">
        <v>131</v>
      </c>
      <c r="B766" s="524">
        <v>9</v>
      </c>
      <c r="C766" s="527"/>
      <c r="D766" s="57" t="s">
        <v>125</v>
      </c>
      <c r="E766" s="58"/>
      <c r="F766" s="164">
        <v>10</v>
      </c>
      <c r="G766" s="70" t="s">
        <v>126</v>
      </c>
      <c r="H766" s="71">
        <v>115</v>
      </c>
      <c r="I766" s="69" t="s">
        <v>131</v>
      </c>
    </row>
    <row r="767" spans="1:9" hidden="1" x14ac:dyDescent="0.25">
      <c r="A767" s="69" t="s">
        <v>131</v>
      </c>
      <c r="B767" s="525"/>
      <c r="C767" s="528"/>
      <c r="D767" s="530"/>
      <c r="E767" s="533">
        <f>IF(D767=0,0,VLOOKUP($D767,$F766:$H775,3,FALSE)*$E766)</f>
        <v>0</v>
      </c>
      <c r="F767" s="72">
        <v>9</v>
      </c>
      <c r="G767" s="73" t="s">
        <v>126</v>
      </c>
      <c r="H767" s="74">
        <f>H766-5</f>
        <v>110</v>
      </c>
      <c r="I767" s="69" t="s">
        <v>131</v>
      </c>
    </row>
    <row r="768" spans="1:9" hidden="1" x14ac:dyDescent="0.25">
      <c r="A768" s="69" t="s">
        <v>131</v>
      </c>
      <c r="B768" s="525"/>
      <c r="C768" s="528"/>
      <c r="D768" s="531"/>
      <c r="E768" s="534"/>
      <c r="F768" s="72">
        <v>8</v>
      </c>
      <c r="G768" s="73" t="s">
        <v>126</v>
      </c>
      <c r="H768" s="74">
        <f t="shared" ref="H768:H775" si="40">H767-5</f>
        <v>105</v>
      </c>
      <c r="I768" s="69" t="s">
        <v>131</v>
      </c>
    </row>
    <row r="769" spans="1:9" hidden="1" x14ac:dyDescent="0.25">
      <c r="A769" s="69" t="s">
        <v>131</v>
      </c>
      <c r="B769" s="525"/>
      <c r="C769" s="528"/>
      <c r="D769" s="531"/>
      <c r="E769" s="534"/>
      <c r="F769" s="72">
        <v>7</v>
      </c>
      <c r="G769" s="73" t="s">
        <v>126</v>
      </c>
      <c r="H769" s="74">
        <f t="shared" si="40"/>
        <v>100</v>
      </c>
      <c r="I769" s="69" t="s">
        <v>131</v>
      </c>
    </row>
    <row r="770" spans="1:9" hidden="1" x14ac:dyDescent="0.25">
      <c r="A770" s="69" t="s">
        <v>131</v>
      </c>
      <c r="B770" s="525"/>
      <c r="C770" s="528"/>
      <c r="D770" s="531"/>
      <c r="E770" s="534"/>
      <c r="F770" s="72">
        <v>6</v>
      </c>
      <c r="G770" s="73" t="s">
        <v>126</v>
      </c>
      <c r="H770" s="74">
        <f t="shared" si="40"/>
        <v>95</v>
      </c>
      <c r="I770" s="69" t="s">
        <v>131</v>
      </c>
    </row>
    <row r="771" spans="1:9" hidden="1" x14ac:dyDescent="0.25">
      <c r="A771" s="69" t="s">
        <v>131</v>
      </c>
      <c r="B771" s="525"/>
      <c r="C771" s="528"/>
      <c r="D771" s="531"/>
      <c r="E771" s="534"/>
      <c r="F771" s="72">
        <v>5</v>
      </c>
      <c r="G771" s="73" t="s">
        <v>126</v>
      </c>
      <c r="H771" s="74">
        <f t="shared" si="40"/>
        <v>90</v>
      </c>
      <c r="I771" s="69" t="s">
        <v>131</v>
      </c>
    </row>
    <row r="772" spans="1:9" hidden="1" x14ac:dyDescent="0.25">
      <c r="A772" s="69" t="s">
        <v>131</v>
      </c>
      <c r="B772" s="525"/>
      <c r="C772" s="528"/>
      <c r="D772" s="531"/>
      <c r="E772" s="534"/>
      <c r="F772" s="72">
        <v>4</v>
      </c>
      <c r="G772" s="73" t="s">
        <v>126</v>
      </c>
      <c r="H772" s="74">
        <f t="shared" si="40"/>
        <v>85</v>
      </c>
      <c r="I772" s="69" t="s">
        <v>131</v>
      </c>
    </row>
    <row r="773" spans="1:9" ht="15.75" hidden="1" thickBot="1" x14ac:dyDescent="0.3">
      <c r="A773" s="69" t="s">
        <v>131</v>
      </c>
      <c r="B773" s="526"/>
      <c r="C773" s="529"/>
      <c r="D773" s="531"/>
      <c r="E773" s="534"/>
      <c r="F773" s="72">
        <v>3</v>
      </c>
      <c r="G773" s="73" t="s">
        <v>126</v>
      </c>
      <c r="H773" s="74">
        <f t="shared" si="40"/>
        <v>80</v>
      </c>
      <c r="I773" s="69" t="s">
        <v>131</v>
      </c>
    </row>
    <row r="774" spans="1:9" hidden="1" x14ac:dyDescent="0.25">
      <c r="A774" s="69" t="s">
        <v>131</v>
      </c>
      <c r="B774" s="541" t="s">
        <v>128</v>
      </c>
      <c r="C774" s="527"/>
      <c r="D774" s="531"/>
      <c r="E774" s="534"/>
      <c r="F774" s="72">
        <v>2</v>
      </c>
      <c r="G774" s="73" t="s">
        <v>126</v>
      </c>
      <c r="H774" s="74">
        <f t="shared" si="40"/>
        <v>75</v>
      </c>
      <c r="I774" s="69" t="s">
        <v>131</v>
      </c>
    </row>
    <row r="775" spans="1:9" ht="15.75" hidden="1" thickBot="1" x14ac:dyDescent="0.3">
      <c r="A775" s="69" t="s">
        <v>131</v>
      </c>
      <c r="B775" s="542"/>
      <c r="C775" s="529"/>
      <c r="D775" s="532"/>
      <c r="E775" s="535"/>
      <c r="F775" s="75">
        <v>1</v>
      </c>
      <c r="G775" s="76" t="s">
        <v>126</v>
      </c>
      <c r="H775" s="77">
        <f t="shared" si="40"/>
        <v>70</v>
      </c>
      <c r="I775" s="69" t="s">
        <v>131</v>
      </c>
    </row>
    <row r="776" spans="1:9" ht="15.75" hidden="1" thickBot="1" x14ac:dyDescent="0.3">
      <c r="A776" s="69" t="s">
        <v>131</v>
      </c>
      <c r="B776" s="548">
        <v>10</v>
      </c>
      <c r="C776" s="527"/>
      <c r="D776" s="57" t="s">
        <v>125</v>
      </c>
      <c r="E776" s="58"/>
      <c r="F776" s="78">
        <v>10</v>
      </c>
      <c r="G776" s="79" t="s">
        <v>126</v>
      </c>
      <c r="H776" s="80">
        <v>115</v>
      </c>
      <c r="I776" s="69" t="s">
        <v>131</v>
      </c>
    </row>
    <row r="777" spans="1:9" hidden="1" x14ac:dyDescent="0.25">
      <c r="A777" s="69" t="s">
        <v>131</v>
      </c>
      <c r="B777" s="525"/>
      <c r="C777" s="528"/>
      <c r="D777" s="530"/>
      <c r="E777" s="533">
        <f>IF(D777=0,0,VLOOKUP($D777,$F776:$H785,3,FALSE)*$E776)</f>
        <v>0</v>
      </c>
      <c r="F777" s="72">
        <v>9</v>
      </c>
      <c r="G777" s="73" t="s">
        <v>126</v>
      </c>
      <c r="H777" s="74">
        <f>H776-5</f>
        <v>110</v>
      </c>
      <c r="I777" s="69" t="s">
        <v>131</v>
      </c>
    </row>
    <row r="778" spans="1:9" hidden="1" x14ac:dyDescent="0.25">
      <c r="A778" s="69" t="s">
        <v>131</v>
      </c>
      <c r="B778" s="525"/>
      <c r="C778" s="528"/>
      <c r="D778" s="531"/>
      <c r="E778" s="534"/>
      <c r="F778" s="72">
        <v>8</v>
      </c>
      <c r="G778" s="73" t="s">
        <v>126</v>
      </c>
      <c r="H778" s="74">
        <f t="shared" ref="H778:H785" si="41">H777-5</f>
        <v>105</v>
      </c>
      <c r="I778" s="69" t="s">
        <v>131</v>
      </c>
    </row>
    <row r="779" spans="1:9" hidden="1" x14ac:dyDescent="0.25">
      <c r="A779" s="69" t="s">
        <v>131</v>
      </c>
      <c r="B779" s="525"/>
      <c r="C779" s="528"/>
      <c r="D779" s="531"/>
      <c r="E779" s="534"/>
      <c r="F779" s="72">
        <v>7</v>
      </c>
      <c r="G779" s="73" t="s">
        <v>126</v>
      </c>
      <c r="H779" s="74">
        <f t="shared" si="41"/>
        <v>100</v>
      </c>
      <c r="I779" s="69" t="s">
        <v>131</v>
      </c>
    </row>
    <row r="780" spans="1:9" hidden="1" x14ac:dyDescent="0.25">
      <c r="A780" s="69" t="s">
        <v>131</v>
      </c>
      <c r="B780" s="525"/>
      <c r="C780" s="528"/>
      <c r="D780" s="531"/>
      <c r="E780" s="534"/>
      <c r="F780" s="72">
        <v>6</v>
      </c>
      <c r="G780" s="73" t="s">
        <v>126</v>
      </c>
      <c r="H780" s="74">
        <f t="shared" si="41"/>
        <v>95</v>
      </c>
      <c r="I780" s="69" t="s">
        <v>131</v>
      </c>
    </row>
    <row r="781" spans="1:9" hidden="1" x14ac:dyDescent="0.25">
      <c r="A781" s="69" t="s">
        <v>131</v>
      </c>
      <c r="B781" s="525"/>
      <c r="C781" s="528"/>
      <c r="D781" s="531"/>
      <c r="E781" s="534"/>
      <c r="F781" s="72">
        <v>5</v>
      </c>
      <c r="G781" s="73" t="s">
        <v>126</v>
      </c>
      <c r="H781" s="74">
        <f t="shared" si="41"/>
        <v>90</v>
      </c>
      <c r="I781" s="69" t="s">
        <v>131</v>
      </c>
    </row>
    <row r="782" spans="1:9" hidden="1" x14ac:dyDescent="0.25">
      <c r="A782" s="69" t="s">
        <v>131</v>
      </c>
      <c r="B782" s="525"/>
      <c r="C782" s="528"/>
      <c r="D782" s="531"/>
      <c r="E782" s="534"/>
      <c r="F782" s="72">
        <v>4</v>
      </c>
      <c r="G782" s="73" t="s">
        <v>126</v>
      </c>
      <c r="H782" s="74">
        <f t="shared" si="41"/>
        <v>85</v>
      </c>
      <c r="I782" s="69" t="s">
        <v>131</v>
      </c>
    </row>
    <row r="783" spans="1:9" ht="15.75" hidden="1" thickBot="1" x14ac:dyDescent="0.3">
      <c r="A783" s="69" t="s">
        <v>131</v>
      </c>
      <c r="B783" s="526"/>
      <c r="C783" s="529"/>
      <c r="D783" s="531"/>
      <c r="E783" s="534"/>
      <c r="F783" s="72">
        <v>3</v>
      </c>
      <c r="G783" s="73" t="s">
        <v>126</v>
      </c>
      <c r="H783" s="74">
        <f t="shared" si="41"/>
        <v>80</v>
      </c>
      <c r="I783" s="69" t="s">
        <v>131</v>
      </c>
    </row>
    <row r="784" spans="1:9" hidden="1" x14ac:dyDescent="0.25">
      <c r="A784" s="69" t="s">
        <v>131</v>
      </c>
      <c r="B784" s="541" t="s">
        <v>128</v>
      </c>
      <c r="C784" s="527"/>
      <c r="D784" s="531"/>
      <c r="E784" s="534"/>
      <c r="F784" s="72">
        <v>2</v>
      </c>
      <c r="G784" s="73" t="s">
        <v>126</v>
      </c>
      <c r="H784" s="74">
        <f t="shared" si="41"/>
        <v>75</v>
      </c>
      <c r="I784" s="69" t="s">
        <v>131</v>
      </c>
    </row>
    <row r="785" spans="1:15" ht="15.75" hidden="1" thickBot="1" x14ac:dyDescent="0.3">
      <c r="A785" s="69" t="s">
        <v>131</v>
      </c>
      <c r="B785" s="542"/>
      <c r="C785" s="529"/>
      <c r="D785" s="532"/>
      <c r="E785" s="535"/>
      <c r="F785" s="75">
        <v>1</v>
      </c>
      <c r="G785" s="76" t="s">
        <v>126</v>
      </c>
      <c r="H785" s="77">
        <f t="shared" si="41"/>
        <v>70</v>
      </c>
      <c r="I785" s="69" t="s">
        <v>131</v>
      </c>
    </row>
    <row r="786" spans="1:15" x14ac:dyDescent="0.25">
      <c r="A786" s="69" t="s">
        <v>131</v>
      </c>
      <c r="B786" s="69" t="s">
        <v>131</v>
      </c>
      <c r="C786" s="69" t="s">
        <v>131</v>
      </c>
      <c r="D786" s="69" t="s">
        <v>131</v>
      </c>
      <c r="E786" s="69" t="s">
        <v>131</v>
      </c>
      <c r="F786" s="69" t="s">
        <v>131</v>
      </c>
      <c r="G786" s="69" t="s">
        <v>131</v>
      </c>
      <c r="H786" s="69" t="s">
        <v>131</v>
      </c>
      <c r="I786" s="69" t="s">
        <v>131</v>
      </c>
    </row>
    <row r="787" spans="1:15" ht="46.5" customHeight="1" x14ac:dyDescent="0.25"/>
    <row r="788" spans="1:15" ht="15" hidden="1" customHeight="1" x14ac:dyDescent="0.25">
      <c r="B788" s="93" t="s">
        <v>123</v>
      </c>
      <c r="C788" s="94"/>
      <c r="D788" s="94"/>
      <c r="E788" s="94"/>
      <c r="F788" s="94"/>
      <c r="G788" s="551" t="s">
        <v>17</v>
      </c>
      <c r="H788" s="552"/>
      <c r="I788" s="553"/>
      <c r="O788">
        <v>5</v>
      </c>
    </row>
    <row r="789" spans="1:15" ht="15.75" hidden="1" customHeight="1" thickBot="1" x14ac:dyDescent="0.3">
      <c r="B789" s="95"/>
      <c r="C789" s="96"/>
      <c r="D789" s="96"/>
      <c r="E789" s="96"/>
      <c r="F789" s="96"/>
      <c r="G789" s="554"/>
      <c r="H789" s="555"/>
      <c r="I789" s="556"/>
    </row>
    <row r="790" spans="1:15" hidden="1" x14ac:dyDescent="0.25">
      <c r="A790" s="68" t="s">
        <v>131</v>
      </c>
      <c r="B790" s="64"/>
      <c r="C790" s="64"/>
      <c r="D790" s="64"/>
      <c r="E790" s="64"/>
      <c r="F790" s="64"/>
      <c r="G790" s="64"/>
      <c r="H790" s="64"/>
      <c r="I790" s="65" t="s">
        <v>131</v>
      </c>
    </row>
    <row r="791" spans="1:15" ht="15.75" hidden="1" thickBot="1" x14ac:dyDescent="0.3">
      <c r="A791" s="65" t="s">
        <v>131</v>
      </c>
      <c r="B791" s="56" t="s">
        <v>119</v>
      </c>
      <c r="C791" s="56" t="s">
        <v>118</v>
      </c>
      <c r="D791" s="504" t="s">
        <v>124</v>
      </c>
      <c r="E791" s="505"/>
      <c r="F791" s="506" t="s">
        <v>127</v>
      </c>
      <c r="G791" s="507"/>
      <c r="H791" s="508"/>
      <c r="I791" s="65" t="s">
        <v>131</v>
      </c>
    </row>
    <row r="792" spans="1:15" ht="15.75" hidden="1" thickBot="1" x14ac:dyDescent="0.3">
      <c r="A792" s="65" t="s">
        <v>131</v>
      </c>
      <c r="B792" s="524">
        <v>1</v>
      </c>
      <c r="C792" s="527"/>
      <c r="D792" s="57" t="s">
        <v>125</v>
      </c>
      <c r="E792" s="58">
        <v>1</v>
      </c>
      <c r="F792" s="164">
        <v>1</v>
      </c>
      <c r="G792" s="143"/>
      <c r="H792" s="71">
        <v>115</v>
      </c>
      <c r="I792" s="65" t="s">
        <v>131</v>
      </c>
    </row>
    <row r="793" spans="1:15" hidden="1" x14ac:dyDescent="0.25">
      <c r="A793" s="65" t="s">
        <v>131</v>
      </c>
      <c r="B793" s="525"/>
      <c r="C793" s="528"/>
      <c r="D793" s="530"/>
      <c r="E793" s="533">
        <f>IF(D793=0,0,VLOOKUP($D793,$F792:$H801,3,FALSE)*$E792)</f>
        <v>0</v>
      </c>
      <c r="F793" s="72">
        <v>2</v>
      </c>
      <c r="G793" s="144"/>
      <c r="H793" s="74">
        <f>+H792-1</f>
        <v>114</v>
      </c>
      <c r="I793" s="65" t="s">
        <v>131</v>
      </c>
    </row>
    <row r="794" spans="1:15" hidden="1" x14ac:dyDescent="0.25">
      <c r="A794" s="65" t="s">
        <v>131</v>
      </c>
      <c r="B794" s="525"/>
      <c r="C794" s="528"/>
      <c r="D794" s="531"/>
      <c r="E794" s="534"/>
      <c r="F794" s="72">
        <v>3</v>
      </c>
      <c r="G794" s="144"/>
      <c r="H794" s="74">
        <f t="shared" ref="H794:H799" si="42">+H793-1</f>
        <v>113</v>
      </c>
      <c r="I794" s="65" t="s">
        <v>131</v>
      </c>
    </row>
    <row r="795" spans="1:15" hidden="1" x14ac:dyDescent="0.25">
      <c r="A795" s="65" t="s">
        <v>131</v>
      </c>
      <c r="B795" s="525"/>
      <c r="C795" s="528"/>
      <c r="D795" s="531"/>
      <c r="E795" s="534"/>
      <c r="F795" s="72">
        <v>4</v>
      </c>
      <c r="G795" s="144"/>
      <c r="H795" s="74">
        <f t="shared" si="42"/>
        <v>112</v>
      </c>
      <c r="I795" s="65" t="s">
        <v>131</v>
      </c>
    </row>
    <row r="796" spans="1:15" hidden="1" x14ac:dyDescent="0.25">
      <c r="A796" s="65" t="s">
        <v>131</v>
      </c>
      <c r="B796" s="525"/>
      <c r="C796" s="528"/>
      <c r="D796" s="531"/>
      <c r="E796" s="534"/>
      <c r="F796" s="72">
        <v>5</v>
      </c>
      <c r="G796" s="144"/>
      <c r="H796" s="74">
        <f t="shared" si="42"/>
        <v>111</v>
      </c>
      <c r="I796" s="65" t="s">
        <v>131</v>
      </c>
    </row>
    <row r="797" spans="1:15" hidden="1" x14ac:dyDescent="0.25">
      <c r="A797" s="65" t="s">
        <v>131</v>
      </c>
      <c r="B797" s="525"/>
      <c r="C797" s="528"/>
      <c r="D797" s="531"/>
      <c r="E797" s="534"/>
      <c r="F797" s="72">
        <v>6</v>
      </c>
      <c r="G797" s="144"/>
      <c r="H797" s="74">
        <f t="shared" si="42"/>
        <v>110</v>
      </c>
      <c r="I797" s="65" t="s">
        <v>131</v>
      </c>
    </row>
    <row r="798" spans="1:15" hidden="1" x14ac:dyDescent="0.25">
      <c r="A798" s="65" t="s">
        <v>131</v>
      </c>
      <c r="B798" s="525"/>
      <c r="C798" s="528"/>
      <c r="D798" s="531"/>
      <c r="E798" s="534"/>
      <c r="F798" s="72">
        <v>7</v>
      </c>
      <c r="G798" s="73"/>
      <c r="H798" s="74">
        <f t="shared" si="42"/>
        <v>109</v>
      </c>
      <c r="I798" s="65" t="s">
        <v>131</v>
      </c>
    </row>
    <row r="799" spans="1:15" ht="15.75" hidden="1" thickBot="1" x14ac:dyDescent="0.3">
      <c r="A799" s="65" t="s">
        <v>131</v>
      </c>
      <c r="B799" s="526"/>
      <c r="C799" s="529"/>
      <c r="D799" s="531"/>
      <c r="E799" s="534"/>
      <c r="F799" s="72">
        <v>8</v>
      </c>
      <c r="G799" s="73"/>
      <c r="H799" s="74">
        <f t="shared" si="42"/>
        <v>108</v>
      </c>
      <c r="I799" s="65" t="s">
        <v>131</v>
      </c>
    </row>
    <row r="800" spans="1:15" hidden="1" x14ac:dyDescent="0.25">
      <c r="A800" s="65" t="s">
        <v>131</v>
      </c>
      <c r="B800" s="541" t="s">
        <v>128</v>
      </c>
      <c r="C800" s="549"/>
      <c r="D800" s="531"/>
      <c r="E800" s="534"/>
      <c r="F800" s="72"/>
      <c r="G800" s="73"/>
      <c r="H800" s="74"/>
      <c r="I800" s="65" t="s">
        <v>131</v>
      </c>
    </row>
    <row r="801" spans="1:9" ht="15.75" hidden="1" thickBot="1" x14ac:dyDescent="0.3">
      <c r="A801" s="65" t="s">
        <v>131</v>
      </c>
      <c r="B801" s="542"/>
      <c r="C801" s="550"/>
      <c r="D801" s="532"/>
      <c r="E801" s="535"/>
      <c r="F801" s="75"/>
      <c r="G801" s="76"/>
      <c r="H801" s="77"/>
      <c r="I801" s="65" t="s">
        <v>131</v>
      </c>
    </row>
    <row r="802" spans="1:9" ht="15.75" hidden="1" thickBot="1" x14ac:dyDescent="0.3">
      <c r="A802" s="65" t="s">
        <v>131</v>
      </c>
      <c r="B802" s="524">
        <v>2</v>
      </c>
      <c r="C802" s="527"/>
      <c r="D802" s="57" t="s">
        <v>125</v>
      </c>
      <c r="E802" s="58"/>
      <c r="F802" s="164">
        <v>1</v>
      </c>
      <c r="G802" s="70"/>
      <c r="H802" s="71"/>
      <c r="I802" s="65" t="s">
        <v>131</v>
      </c>
    </row>
    <row r="803" spans="1:9" hidden="1" x14ac:dyDescent="0.25">
      <c r="A803" s="65" t="s">
        <v>131</v>
      </c>
      <c r="B803" s="525"/>
      <c r="C803" s="528"/>
      <c r="D803" s="530"/>
      <c r="E803" s="533">
        <f>IF(D803=0,0,VLOOKUP($D803,$F802:$H811,3,FALSE)*$E802)</f>
        <v>0</v>
      </c>
      <c r="F803" s="72">
        <v>2</v>
      </c>
      <c r="G803" s="73"/>
      <c r="H803" s="74"/>
      <c r="I803" s="65" t="s">
        <v>131</v>
      </c>
    </row>
    <row r="804" spans="1:9" hidden="1" x14ac:dyDescent="0.25">
      <c r="A804" s="65" t="s">
        <v>131</v>
      </c>
      <c r="B804" s="525"/>
      <c r="C804" s="528"/>
      <c r="D804" s="531"/>
      <c r="E804" s="534"/>
      <c r="F804" s="72">
        <v>3</v>
      </c>
      <c r="G804" s="73"/>
      <c r="H804" s="74"/>
      <c r="I804" s="65" t="s">
        <v>131</v>
      </c>
    </row>
    <row r="805" spans="1:9" hidden="1" x14ac:dyDescent="0.25">
      <c r="A805" s="65" t="s">
        <v>131</v>
      </c>
      <c r="B805" s="525"/>
      <c r="C805" s="528"/>
      <c r="D805" s="531"/>
      <c r="E805" s="534"/>
      <c r="F805" s="72">
        <v>4</v>
      </c>
      <c r="G805" s="73"/>
      <c r="H805" s="74"/>
      <c r="I805" s="65" t="s">
        <v>131</v>
      </c>
    </row>
    <row r="806" spans="1:9" hidden="1" x14ac:dyDescent="0.25">
      <c r="A806" s="65" t="s">
        <v>131</v>
      </c>
      <c r="B806" s="525"/>
      <c r="C806" s="528"/>
      <c r="D806" s="531"/>
      <c r="E806" s="534"/>
      <c r="F806" s="72">
        <v>5</v>
      </c>
      <c r="G806" s="73"/>
      <c r="H806" s="74"/>
      <c r="I806" s="65" t="s">
        <v>131</v>
      </c>
    </row>
    <row r="807" spans="1:9" hidden="1" x14ac:dyDescent="0.25">
      <c r="A807" s="65" t="s">
        <v>131</v>
      </c>
      <c r="B807" s="525"/>
      <c r="C807" s="528"/>
      <c r="D807" s="531"/>
      <c r="E807" s="534"/>
      <c r="F807" s="72"/>
      <c r="G807" s="73"/>
      <c r="H807" s="74"/>
      <c r="I807" s="65" t="s">
        <v>131</v>
      </c>
    </row>
    <row r="808" spans="1:9" hidden="1" x14ac:dyDescent="0.25">
      <c r="A808" s="65" t="s">
        <v>131</v>
      </c>
      <c r="B808" s="525"/>
      <c r="C808" s="528"/>
      <c r="D808" s="531"/>
      <c r="E808" s="534"/>
      <c r="F808" s="72"/>
      <c r="G808" s="73"/>
      <c r="H808" s="74"/>
      <c r="I808" s="65" t="s">
        <v>131</v>
      </c>
    </row>
    <row r="809" spans="1:9" ht="15.75" hidden="1" thickBot="1" x14ac:dyDescent="0.3">
      <c r="A809" s="65" t="s">
        <v>131</v>
      </c>
      <c r="B809" s="526"/>
      <c r="C809" s="529"/>
      <c r="D809" s="531"/>
      <c r="E809" s="534"/>
      <c r="F809" s="72"/>
      <c r="G809" s="73"/>
      <c r="H809" s="74"/>
      <c r="I809" s="65" t="s">
        <v>131</v>
      </c>
    </row>
    <row r="810" spans="1:9" hidden="1" x14ac:dyDescent="0.25">
      <c r="A810" s="65" t="s">
        <v>131</v>
      </c>
      <c r="B810" s="541" t="s">
        <v>128</v>
      </c>
      <c r="C810" s="527"/>
      <c r="D810" s="531"/>
      <c r="E810" s="534"/>
      <c r="F810" s="72"/>
      <c r="G810" s="73"/>
      <c r="H810" s="74"/>
      <c r="I810" s="65" t="s">
        <v>131</v>
      </c>
    </row>
    <row r="811" spans="1:9" ht="15.75" hidden="1" thickBot="1" x14ac:dyDescent="0.3">
      <c r="A811" s="65" t="s">
        <v>131</v>
      </c>
      <c r="B811" s="542"/>
      <c r="C811" s="529"/>
      <c r="D811" s="532"/>
      <c r="E811" s="535"/>
      <c r="F811" s="75"/>
      <c r="G811" s="76"/>
      <c r="H811" s="77"/>
      <c r="I811" s="65" t="s">
        <v>131</v>
      </c>
    </row>
    <row r="812" spans="1:9" ht="15.75" hidden="1" thickBot="1" x14ac:dyDescent="0.3">
      <c r="A812" s="65" t="s">
        <v>131</v>
      </c>
      <c r="B812" s="524">
        <v>3</v>
      </c>
      <c r="C812" s="527"/>
      <c r="D812" s="57" t="s">
        <v>125</v>
      </c>
      <c r="E812" s="58"/>
      <c r="F812" s="164">
        <v>1</v>
      </c>
      <c r="G812" s="70"/>
      <c r="H812" s="71"/>
      <c r="I812" s="65" t="s">
        <v>131</v>
      </c>
    </row>
    <row r="813" spans="1:9" hidden="1" x14ac:dyDescent="0.25">
      <c r="A813" s="65" t="s">
        <v>131</v>
      </c>
      <c r="B813" s="525"/>
      <c r="C813" s="528"/>
      <c r="D813" s="530"/>
      <c r="E813" s="533">
        <f>IF(D813=0,0,VLOOKUP($D813,$F812:$H821,3,FALSE)*$E812)</f>
        <v>0</v>
      </c>
      <c r="F813" s="72">
        <v>2</v>
      </c>
      <c r="G813" s="73"/>
      <c r="H813" s="74"/>
      <c r="I813" s="65" t="s">
        <v>131</v>
      </c>
    </row>
    <row r="814" spans="1:9" hidden="1" x14ac:dyDescent="0.25">
      <c r="A814" s="65" t="s">
        <v>131</v>
      </c>
      <c r="B814" s="525"/>
      <c r="C814" s="528"/>
      <c r="D814" s="531"/>
      <c r="E814" s="534"/>
      <c r="F814" s="72">
        <v>3</v>
      </c>
      <c r="G814" s="73"/>
      <c r="H814" s="74"/>
      <c r="I814" s="65" t="s">
        <v>131</v>
      </c>
    </row>
    <row r="815" spans="1:9" hidden="1" x14ac:dyDescent="0.25">
      <c r="A815" s="65" t="s">
        <v>131</v>
      </c>
      <c r="B815" s="525"/>
      <c r="C815" s="528"/>
      <c r="D815" s="531"/>
      <c r="E815" s="534"/>
      <c r="F815" s="72">
        <v>4</v>
      </c>
      <c r="G815" s="73"/>
      <c r="H815" s="74"/>
      <c r="I815" s="65" t="s">
        <v>131</v>
      </c>
    </row>
    <row r="816" spans="1:9" hidden="1" x14ac:dyDescent="0.25">
      <c r="A816" s="65" t="s">
        <v>131</v>
      </c>
      <c r="B816" s="525"/>
      <c r="C816" s="528"/>
      <c r="D816" s="531"/>
      <c r="E816" s="534"/>
      <c r="F816" s="72">
        <v>5</v>
      </c>
      <c r="G816" s="73"/>
      <c r="H816" s="74"/>
      <c r="I816" s="65" t="s">
        <v>131</v>
      </c>
    </row>
    <row r="817" spans="1:9" hidden="1" x14ac:dyDescent="0.25">
      <c r="A817" s="65" t="s">
        <v>131</v>
      </c>
      <c r="B817" s="525"/>
      <c r="C817" s="528"/>
      <c r="D817" s="531"/>
      <c r="E817" s="534"/>
      <c r="F817" s="72"/>
      <c r="G817" s="73"/>
      <c r="H817" s="74"/>
      <c r="I817" s="65" t="s">
        <v>131</v>
      </c>
    </row>
    <row r="818" spans="1:9" hidden="1" x14ac:dyDescent="0.25">
      <c r="A818" s="65" t="s">
        <v>131</v>
      </c>
      <c r="B818" s="525"/>
      <c r="C818" s="528"/>
      <c r="D818" s="531"/>
      <c r="E818" s="534"/>
      <c r="F818" s="72"/>
      <c r="G818" s="73"/>
      <c r="H818" s="74"/>
      <c r="I818" s="65" t="s">
        <v>131</v>
      </c>
    </row>
    <row r="819" spans="1:9" ht="15.75" hidden="1" thickBot="1" x14ac:dyDescent="0.3">
      <c r="A819" s="65" t="s">
        <v>131</v>
      </c>
      <c r="B819" s="526"/>
      <c r="C819" s="529"/>
      <c r="D819" s="531"/>
      <c r="E819" s="534"/>
      <c r="F819" s="72"/>
      <c r="G819" s="73"/>
      <c r="H819" s="74"/>
      <c r="I819" s="65" t="s">
        <v>131</v>
      </c>
    </row>
    <row r="820" spans="1:9" ht="51" hidden="1" customHeight="1" x14ac:dyDescent="0.25">
      <c r="A820" s="65" t="s">
        <v>131</v>
      </c>
      <c r="B820" s="541" t="s">
        <v>128</v>
      </c>
      <c r="C820" s="527"/>
      <c r="D820" s="531"/>
      <c r="E820" s="534"/>
      <c r="F820" s="72"/>
      <c r="G820" s="73"/>
      <c r="H820" s="74"/>
      <c r="I820" s="65" t="s">
        <v>131</v>
      </c>
    </row>
    <row r="821" spans="1:9" ht="51" hidden="1" customHeight="1" thickBot="1" x14ac:dyDescent="0.3">
      <c r="A821" s="65" t="s">
        <v>131</v>
      </c>
      <c r="B821" s="542"/>
      <c r="C821" s="529"/>
      <c r="D821" s="532"/>
      <c r="E821" s="535"/>
      <c r="F821" s="75"/>
      <c r="G821" s="76"/>
      <c r="H821" s="77"/>
      <c r="I821" s="65" t="s">
        <v>131</v>
      </c>
    </row>
    <row r="822" spans="1:9" ht="15.75" hidden="1" thickBot="1" x14ac:dyDescent="0.3">
      <c r="A822" s="65" t="s">
        <v>131</v>
      </c>
      <c r="B822" s="524">
        <v>4</v>
      </c>
      <c r="C822" s="527"/>
      <c r="D822" s="57" t="s">
        <v>125</v>
      </c>
      <c r="E822" s="58"/>
      <c r="F822" s="164">
        <v>10</v>
      </c>
      <c r="G822" s="70" t="s">
        <v>126</v>
      </c>
      <c r="H822" s="71">
        <v>115</v>
      </c>
      <c r="I822" s="65" t="s">
        <v>131</v>
      </c>
    </row>
    <row r="823" spans="1:9" hidden="1" x14ac:dyDescent="0.25">
      <c r="A823" s="65" t="s">
        <v>131</v>
      </c>
      <c r="B823" s="525"/>
      <c r="C823" s="528"/>
      <c r="D823" s="530"/>
      <c r="E823" s="533">
        <f>IF(D823=0,0,VLOOKUP($D823,$F822:$H831,3,FALSE)*$E822)</f>
        <v>0</v>
      </c>
      <c r="F823" s="72">
        <v>9</v>
      </c>
      <c r="G823" s="73" t="s">
        <v>126</v>
      </c>
      <c r="H823" s="74">
        <f>H822-5</f>
        <v>110</v>
      </c>
      <c r="I823" s="65" t="s">
        <v>131</v>
      </c>
    </row>
    <row r="824" spans="1:9" hidden="1" x14ac:dyDescent="0.25">
      <c r="A824" s="65" t="s">
        <v>131</v>
      </c>
      <c r="B824" s="525"/>
      <c r="C824" s="528"/>
      <c r="D824" s="531"/>
      <c r="E824" s="534"/>
      <c r="F824" s="72">
        <v>8</v>
      </c>
      <c r="G824" s="73" t="s">
        <v>126</v>
      </c>
      <c r="H824" s="74">
        <f t="shared" ref="H824:H831" si="43">H823-5</f>
        <v>105</v>
      </c>
      <c r="I824" s="65" t="s">
        <v>131</v>
      </c>
    </row>
    <row r="825" spans="1:9" hidden="1" x14ac:dyDescent="0.25">
      <c r="A825" s="65" t="s">
        <v>131</v>
      </c>
      <c r="B825" s="525"/>
      <c r="C825" s="528"/>
      <c r="D825" s="531"/>
      <c r="E825" s="534"/>
      <c r="F825" s="72">
        <v>7</v>
      </c>
      <c r="G825" s="73" t="s">
        <v>126</v>
      </c>
      <c r="H825" s="74">
        <f t="shared" si="43"/>
        <v>100</v>
      </c>
      <c r="I825" s="65" t="s">
        <v>131</v>
      </c>
    </row>
    <row r="826" spans="1:9" hidden="1" x14ac:dyDescent="0.25">
      <c r="A826" s="65" t="s">
        <v>131</v>
      </c>
      <c r="B826" s="525"/>
      <c r="C826" s="528"/>
      <c r="D826" s="531"/>
      <c r="E826" s="534"/>
      <c r="F826" s="72">
        <v>6</v>
      </c>
      <c r="G826" s="73" t="s">
        <v>126</v>
      </c>
      <c r="H826" s="74">
        <f t="shared" si="43"/>
        <v>95</v>
      </c>
      <c r="I826" s="65" t="s">
        <v>131</v>
      </c>
    </row>
    <row r="827" spans="1:9" hidden="1" x14ac:dyDescent="0.25">
      <c r="A827" s="65" t="s">
        <v>131</v>
      </c>
      <c r="B827" s="525"/>
      <c r="C827" s="528"/>
      <c r="D827" s="531"/>
      <c r="E827" s="534"/>
      <c r="F827" s="72">
        <v>5</v>
      </c>
      <c r="G827" s="73" t="s">
        <v>126</v>
      </c>
      <c r="H827" s="74">
        <f t="shared" si="43"/>
        <v>90</v>
      </c>
      <c r="I827" s="65" t="s">
        <v>131</v>
      </c>
    </row>
    <row r="828" spans="1:9" hidden="1" x14ac:dyDescent="0.25">
      <c r="A828" s="65" t="s">
        <v>131</v>
      </c>
      <c r="B828" s="525"/>
      <c r="C828" s="528"/>
      <c r="D828" s="531"/>
      <c r="E828" s="534"/>
      <c r="F828" s="72">
        <v>4</v>
      </c>
      <c r="G828" s="73" t="s">
        <v>126</v>
      </c>
      <c r="H828" s="74">
        <f t="shared" si="43"/>
        <v>85</v>
      </c>
      <c r="I828" s="65" t="s">
        <v>131</v>
      </c>
    </row>
    <row r="829" spans="1:9" ht="15.75" hidden="1" thickBot="1" x14ac:dyDescent="0.3">
      <c r="A829" s="65" t="s">
        <v>131</v>
      </c>
      <c r="B829" s="526"/>
      <c r="C829" s="529"/>
      <c r="D829" s="531"/>
      <c r="E829" s="534"/>
      <c r="F829" s="72">
        <v>3</v>
      </c>
      <c r="G829" s="73" t="s">
        <v>126</v>
      </c>
      <c r="H829" s="74">
        <f t="shared" si="43"/>
        <v>80</v>
      </c>
      <c r="I829" s="65" t="s">
        <v>131</v>
      </c>
    </row>
    <row r="830" spans="1:9" hidden="1" x14ac:dyDescent="0.25">
      <c r="A830" s="65" t="s">
        <v>131</v>
      </c>
      <c r="B830" s="541" t="s">
        <v>128</v>
      </c>
      <c r="C830" s="527"/>
      <c r="D830" s="531"/>
      <c r="E830" s="534"/>
      <c r="F830" s="72">
        <v>2</v>
      </c>
      <c r="G830" s="73" t="s">
        <v>126</v>
      </c>
      <c r="H830" s="74">
        <f t="shared" si="43"/>
        <v>75</v>
      </c>
      <c r="I830" s="65" t="s">
        <v>131</v>
      </c>
    </row>
    <row r="831" spans="1:9" ht="15.75" hidden="1" thickBot="1" x14ac:dyDescent="0.3">
      <c r="A831" s="65" t="s">
        <v>131</v>
      </c>
      <c r="B831" s="542"/>
      <c r="C831" s="529"/>
      <c r="D831" s="532"/>
      <c r="E831" s="535"/>
      <c r="F831" s="75">
        <v>1</v>
      </c>
      <c r="G831" s="76" t="s">
        <v>126</v>
      </c>
      <c r="H831" s="77">
        <f t="shared" si="43"/>
        <v>70</v>
      </c>
      <c r="I831" s="65" t="s">
        <v>131</v>
      </c>
    </row>
    <row r="832" spans="1:9" ht="15.75" hidden="1" thickBot="1" x14ac:dyDescent="0.3">
      <c r="A832" s="65" t="s">
        <v>131</v>
      </c>
      <c r="B832" s="548">
        <v>5</v>
      </c>
      <c r="C832" s="527"/>
      <c r="D832" s="57" t="s">
        <v>125</v>
      </c>
      <c r="E832" s="58"/>
      <c r="F832" s="78">
        <v>10</v>
      </c>
      <c r="G832" s="79" t="s">
        <v>126</v>
      </c>
      <c r="H832" s="80">
        <v>115</v>
      </c>
      <c r="I832" s="65" t="s">
        <v>131</v>
      </c>
    </row>
    <row r="833" spans="1:13" hidden="1" x14ac:dyDescent="0.25">
      <c r="A833" s="65" t="s">
        <v>131</v>
      </c>
      <c r="B833" s="525"/>
      <c r="C833" s="528"/>
      <c r="D833" s="530"/>
      <c r="E833" s="533">
        <f>IF(D833=0,0,VLOOKUP($D833,$F832:$H841,3,FALSE)*$E832)</f>
        <v>0</v>
      </c>
      <c r="F833" s="72">
        <v>9</v>
      </c>
      <c r="G833" s="73" t="s">
        <v>126</v>
      </c>
      <c r="H833" s="74">
        <f>H832-5</f>
        <v>110</v>
      </c>
      <c r="I833" s="65" t="s">
        <v>131</v>
      </c>
    </row>
    <row r="834" spans="1:13" hidden="1" x14ac:dyDescent="0.25">
      <c r="A834" s="65" t="s">
        <v>131</v>
      </c>
      <c r="B834" s="525"/>
      <c r="C834" s="528"/>
      <c r="D834" s="531"/>
      <c r="E834" s="534"/>
      <c r="F834" s="72">
        <v>8</v>
      </c>
      <c r="G834" s="73" t="s">
        <v>126</v>
      </c>
      <c r="H834" s="74">
        <f t="shared" ref="H834:H841" si="44">H833-5</f>
        <v>105</v>
      </c>
      <c r="I834" s="65" t="s">
        <v>131</v>
      </c>
      <c r="K834" s="172" t="s">
        <v>129</v>
      </c>
      <c r="L834" s="173"/>
      <c r="M834" s="174"/>
    </row>
    <row r="835" spans="1:13" ht="15.75" hidden="1" thickBot="1" x14ac:dyDescent="0.3">
      <c r="A835" s="65" t="s">
        <v>131</v>
      </c>
      <c r="B835" s="525"/>
      <c r="C835" s="528"/>
      <c r="D835" s="531"/>
      <c r="E835" s="534"/>
      <c r="F835" s="72">
        <v>7</v>
      </c>
      <c r="G835" s="73" t="s">
        <v>126</v>
      </c>
      <c r="H835" s="74">
        <f t="shared" si="44"/>
        <v>100</v>
      </c>
      <c r="I835" s="65" t="s">
        <v>131</v>
      </c>
      <c r="K835" s="59" t="s">
        <v>118</v>
      </c>
      <c r="L835" s="60" t="s">
        <v>124</v>
      </c>
      <c r="M835" s="55" t="s">
        <v>128</v>
      </c>
    </row>
    <row r="836" spans="1:13" hidden="1" x14ac:dyDescent="0.25">
      <c r="A836" s="65" t="s">
        <v>131</v>
      </c>
      <c r="B836" s="525"/>
      <c r="C836" s="528"/>
      <c r="D836" s="531"/>
      <c r="E836" s="534"/>
      <c r="F836" s="72">
        <v>6</v>
      </c>
      <c r="G836" s="73" t="s">
        <v>126</v>
      </c>
      <c r="H836" s="74">
        <f t="shared" si="44"/>
        <v>95</v>
      </c>
      <c r="I836" s="65" t="s">
        <v>131</v>
      </c>
      <c r="K836" s="86">
        <v>1</v>
      </c>
      <c r="L836" s="87">
        <f>E793</f>
        <v>0</v>
      </c>
      <c r="M836" s="536">
        <f>SUM(L836:L840)</f>
        <v>0</v>
      </c>
    </row>
    <row r="837" spans="1:13" ht="15" hidden="1" customHeight="1" x14ac:dyDescent="0.25">
      <c r="A837" s="65" t="s">
        <v>131</v>
      </c>
      <c r="B837" s="525"/>
      <c r="C837" s="528"/>
      <c r="D837" s="531"/>
      <c r="E837" s="534"/>
      <c r="F837" s="72">
        <v>5</v>
      </c>
      <c r="G837" s="73" t="s">
        <v>126</v>
      </c>
      <c r="H837" s="74">
        <f t="shared" si="44"/>
        <v>90</v>
      </c>
      <c r="I837" s="65" t="s">
        <v>131</v>
      </c>
      <c r="K837" s="88">
        <v>2</v>
      </c>
      <c r="L837" s="89">
        <f>E803</f>
        <v>0</v>
      </c>
      <c r="M837" s="536"/>
    </row>
    <row r="838" spans="1:13" hidden="1" x14ac:dyDescent="0.25">
      <c r="A838" s="65" t="s">
        <v>131</v>
      </c>
      <c r="B838" s="525"/>
      <c r="C838" s="528"/>
      <c r="D838" s="531"/>
      <c r="E838" s="534"/>
      <c r="F838" s="72">
        <v>4</v>
      </c>
      <c r="G838" s="73" t="s">
        <v>126</v>
      </c>
      <c r="H838" s="74">
        <f t="shared" si="44"/>
        <v>85</v>
      </c>
      <c r="I838" s="65" t="s">
        <v>131</v>
      </c>
      <c r="K838" s="88">
        <v>3</v>
      </c>
      <c r="L838" s="89">
        <f>E813</f>
        <v>0</v>
      </c>
      <c r="M838" s="536"/>
    </row>
    <row r="839" spans="1:13" ht="15.75" hidden="1" thickBot="1" x14ac:dyDescent="0.3">
      <c r="A839" s="65" t="s">
        <v>131</v>
      </c>
      <c r="B839" s="526"/>
      <c r="C839" s="529"/>
      <c r="D839" s="531"/>
      <c r="E839" s="534"/>
      <c r="F839" s="72">
        <v>3</v>
      </c>
      <c r="G839" s="73" t="s">
        <v>126</v>
      </c>
      <c r="H839" s="74">
        <f t="shared" si="44"/>
        <v>80</v>
      </c>
      <c r="I839" s="65" t="s">
        <v>131</v>
      </c>
      <c r="K839" s="88">
        <v>4</v>
      </c>
      <c r="L839" s="89">
        <f>E823</f>
        <v>0</v>
      </c>
      <c r="M839" s="536"/>
    </row>
    <row r="840" spans="1:13" ht="15.75" hidden="1" thickBot="1" x14ac:dyDescent="0.3">
      <c r="A840" s="65" t="s">
        <v>131</v>
      </c>
      <c r="B840" s="541" t="s">
        <v>128</v>
      </c>
      <c r="C840" s="527"/>
      <c r="D840" s="531"/>
      <c r="E840" s="534"/>
      <c r="F840" s="72">
        <v>2</v>
      </c>
      <c r="G840" s="73" t="s">
        <v>126</v>
      </c>
      <c r="H840" s="74">
        <f t="shared" si="44"/>
        <v>75</v>
      </c>
      <c r="I840" s="65" t="s">
        <v>131</v>
      </c>
      <c r="K840" s="90">
        <v>5</v>
      </c>
      <c r="L840" s="91">
        <f>E833</f>
        <v>0</v>
      </c>
      <c r="M840" s="537"/>
    </row>
    <row r="841" spans="1:13" ht="15.75" hidden="1" thickBot="1" x14ac:dyDescent="0.3">
      <c r="A841" s="65" t="s">
        <v>131</v>
      </c>
      <c r="B841" s="542"/>
      <c r="C841" s="529"/>
      <c r="D841" s="532"/>
      <c r="E841" s="535"/>
      <c r="F841" s="75">
        <v>1</v>
      </c>
      <c r="G841" s="76" t="s">
        <v>126</v>
      </c>
      <c r="H841" s="77">
        <f t="shared" si="44"/>
        <v>70</v>
      </c>
      <c r="I841" s="65" t="s">
        <v>131</v>
      </c>
    </row>
    <row r="842" spans="1:13" ht="15.75" hidden="1" thickBot="1" x14ac:dyDescent="0.3">
      <c r="A842" s="65" t="s">
        <v>131</v>
      </c>
      <c r="B842" s="65" t="s">
        <v>131</v>
      </c>
      <c r="C842" s="65" t="s">
        <v>131</v>
      </c>
      <c r="D842" s="65" t="s">
        <v>131</v>
      </c>
      <c r="E842" s="65" t="s">
        <v>131</v>
      </c>
      <c r="F842" s="65" t="s">
        <v>131</v>
      </c>
      <c r="G842" s="65" t="s">
        <v>131</v>
      </c>
      <c r="H842" s="65" t="s">
        <v>131</v>
      </c>
      <c r="I842" s="65" t="s">
        <v>131</v>
      </c>
      <c r="K842" s="169" t="s">
        <v>62</v>
      </c>
      <c r="L842" s="170"/>
      <c r="M842" s="171"/>
    </row>
    <row r="843" spans="1:13" ht="15" hidden="1" customHeight="1" x14ac:dyDescent="0.25">
      <c r="A843" s="69" t="s">
        <v>131</v>
      </c>
      <c r="B843" s="125" t="s">
        <v>135</v>
      </c>
      <c r="C843" s="126"/>
      <c r="D843" s="126"/>
      <c r="E843" s="126"/>
      <c r="F843" s="126"/>
      <c r="G843" s="551" t="s">
        <v>17</v>
      </c>
      <c r="H843" s="552"/>
      <c r="I843" s="553"/>
      <c r="K843" s="61" t="s">
        <v>36</v>
      </c>
      <c r="L843" s="62" t="s">
        <v>124</v>
      </c>
      <c r="M843" s="63" t="s">
        <v>128</v>
      </c>
    </row>
    <row r="844" spans="1:13" ht="15.75" hidden="1" customHeight="1" thickBot="1" x14ac:dyDescent="0.3">
      <c r="A844" s="69" t="s">
        <v>131</v>
      </c>
      <c r="B844" s="127" t="s">
        <v>145</v>
      </c>
      <c r="C844" s="128"/>
      <c r="D844" s="128"/>
      <c r="E844" s="128"/>
      <c r="F844" s="128"/>
      <c r="G844" s="554"/>
      <c r="H844" s="555"/>
      <c r="I844" s="556"/>
      <c r="K844" s="86">
        <v>1</v>
      </c>
      <c r="L844" s="87">
        <f>E847</f>
        <v>0</v>
      </c>
      <c r="M844" s="543">
        <f>SUM(L844:L853)</f>
        <v>0</v>
      </c>
    </row>
    <row r="845" spans="1:13" ht="15.75" hidden="1" customHeight="1" thickBot="1" x14ac:dyDescent="0.3">
      <c r="A845" s="69" t="s">
        <v>131</v>
      </c>
      <c r="B845" s="56" t="s">
        <v>119</v>
      </c>
      <c r="C845" s="56" t="s">
        <v>36</v>
      </c>
      <c r="D845" s="504" t="s">
        <v>124</v>
      </c>
      <c r="E845" s="505"/>
      <c r="F845" s="506" t="s">
        <v>130</v>
      </c>
      <c r="G845" s="507"/>
      <c r="H845" s="508"/>
      <c r="I845" s="69" t="s">
        <v>131</v>
      </c>
      <c r="K845" s="88">
        <v>2</v>
      </c>
      <c r="L845" s="89">
        <f>E857</f>
        <v>0</v>
      </c>
      <c r="M845" s="536"/>
    </row>
    <row r="846" spans="1:13" ht="15.75" hidden="1" thickBot="1" x14ac:dyDescent="0.3">
      <c r="A846" s="69" t="s">
        <v>131</v>
      </c>
      <c r="B846" s="524">
        <v>1</v>
      </c>
      <c r="C846" s="527"/>
      <c r="D846" s="57" t="s">
        <v>125</v>
      </c>
      <c r="E846" s="58">
        <v>0.25</v>
      </c>
      <c r="F846" s="164">
        <v>1</v>
      </c>
      <c r="G846" s="70" t="s">
        <v>151</v>
      </c>
      <c r="H846" s="71">
        <v>115</v>
      </c>
      <c r="I846" s="69" t="s">
        <v>131</v>
      </c>
      <c r="K846" s="88">
        <v>3</v>
      </c>
      <c r="L846" s="89">
        <f>E867</f>
        <v>0</v>
      </c>
      <c r="M846" s="536"/>
    </row>
    <row r="847" spans="1:13" hidden="1" x14ac:dyDescent="0.25">
      <c r="A847" s="69" t="s">
        <v>131</v>
      </c>
      <c r="B847" s="525"/>
      <c r="C847" s="528"/>
      <c r="D847" s="530"/>
      <c r="E847" s="533">
        <f>IF(D847=0,0,VLOOKUP($D847,$F846:$H855,3,FALSE)*$E846)</f>
        <v>0</v>
      </c>
      <c r="F847" s="72">
        <v>2</v>
      </c>
      <c r="G847" s="73" t="s">
        <v>152</v>
      </c>
      <c r="H847" s="74">
        <v>100</v>
      </c>
      <c r="I847" s="69" t="s">
        <v>131</v>
      </c>
      <c r="K847" s="88">
        <v>4</v>
      </c>
      <c r="L847" s="89">
        <f>E877</f>
        <v>0</v>
      </c>
      <c r="M847" s="536"/>
    </row>
    <row r="848" spans="1:13" hidden="1" x14ac:dyDescent="0.25">
      <c r="A848" s="69" t="s">
        <v>131</v>
      </c>
      <c r="B848" s="525"/>
      <c r="C848" s="528"/>
      <c r="D848" s="531"/>
      <c r="E848" s="534"/>
      <c r="F848" s="72">
        <v>3</v>
      </c>
      <c r="G848" s="73" t="s">
        <v>153</v>
      </c>
      <c r="H848" s="74">
        <v>90</v>
      </c>
      <c r="I848" s="69" t="s">
        <v>131</v>
      </c>
      <c r="K848" s="88">
        <v>5</v>
      </c>
      <c r="L848" s="89">
        <f>E887</f>
        <v>0</v>
      </c>
      <c r="M848" s="536"/>
    </row>
    <row r="849" spans="1:13" hidden="1" x14ac:dyDescent="0.25">
      <c r="A849" s="69" t="s">
        <v>131</v>
      </c>
      <c r="B849" s="525"/>
      <c r="C849" s="528"/>
      <c r="D849" s="531"/>
      <c r="E849" s="534"/>
      <c r="F849" s="72">
        <v>4</v>
      </c>
      <c r="G849" s="73" t="s">
        <v>154</v>
      </c>
      <c r="H849" s="74">
        <v>50</v>
      </c>
      <c r="I849" s="69" t="s">
        <v>131</v>
      </c>
      <c r="K849" s="86">
        <v>6</v>
      </c>
      <c r="L849" s="89">
        <f>E897</f>
        <v>0</v>
      </c>
      <c r="M849" s="536"/>
    </row>
    <row r="850" spans="1:13" hidden="1" x14ac:dyDescent="0.25">
      <c r="A850" s="69" t="s">
        <v>131</v>
      </c>
      <c r="B850" s="525"/>
      <c r="C850" s="528"/>
      <c r="D850" s="531"/>
      <c r="E850" s="534"/>
      <c r="F850" s="72"/>
      <c r="G850" s="73"/>
      <c r="H850" s="74"/>
      <c r="I850" s="69" t="s">
        <v>131</v>
      </c>
      <c r="K850" s="88">
        <v>7</v>
      </c>
      <c r="L850" s="89">
        <f>E907</f>
        <v>0</v>
      </c>
      <c r="M850" s="536"/>
    </row>
    <row r="851" spans="1:13" hidden="1" x14ac:dyDescent="0.25">
      <c r="A851" s="69" t="s">
        <v>131</v>
      </c>
      <c r="B851" s="525"/>
      <c r="C851" s="528"/>
      <c r="D851" s="531"/>
      <c r="E851" s="534"/>
      <c r="F851" s="72"/>
      <c r="G851" s="73"/>
      <c r="H851" s="74"/>
      <c r="I851" s="69" t="s">
        <v>131</v>
      </c>
      <c r="K851" s="88">
        <v>8</v>
      </c>
      <c r="L851" s="89">
        <f>E917</f>
        <v>0</v>
      </c>
      <c r="M851" s="536"/>
    </row>
    <row r="852" spans="1:13" hidden="1" x14ac:dyDescent="0.25">
      <c r="A852" s="69" t="s">
        <v>131</v>
      </c>
      <c r="B852" s="525"/>
      <c r="C852" s="528"/>
      <c r="D852" s="531"/>
      <c r="E852" s="534"/>
      <c r="F852" s="72"/>
      <c r="G852" s="73"/>
      <c r="H852" s="74"/>
      <c r="I852" s="69" t="s">
        <v>131</v>
      </c>
      <c r="K852" s="88">
        <v>9</v>
      </c>
      <c r="L852" s="89">
        <f>E927</f>
        <v>0</v>
      </c>
      <c r="M852" s="536"/>
    </row>
    <row r="853" spans="1:13" ht="15.75" hidden="1" thickBot="1" x14ac:dyDescent="0.3">
      <c r="A853" s="69" t="s">
        <v>131</v>
      </c>
      <c r="B853" s="526"/>
      <c r="C853" s="529"/>
      <c r="D853" s="531"/>
      <c r="E853" s="534"/>
      <c r="F853" s="72"/>
      <c r="G853" s="73"/>
      <c r="H853" s="74"/>
      <c r="I853" s="69" t="s">
        <v>131</v>
      </c>
      <c r="K853" s="90">
        <v>10</v>
      </c>
      <c r="L853" s="91">
        <f>E937</f>
        <v>0</v>
      </c>
      <c r="M853" s="537"/>
    </row>
    <row r="854" spans="1:13" hidden="1" x14ac:dyDescent="0.25">
      <c r="A854" s="69" t="s">
        <v>131</v>
      </c>
      <c r="B854" s="541" t="s">
        <v>128</v>
      </c>
      <c r="C854" s="527"/>
      <c r="D854" s="531"/>
      <c r="E854" s="534"/>
      <c r="F854" s="72"/>
      <c r="G854" s="73"/>
      <c r="H854" s="74"/>
      <c r="I854" s="69" t="s">
        <v>131</v>
      </c>
    </row>
    <row r="855" spans="1:13" ht="15.75" hidden="1" thickBot="1" x14ac:dyDescent="0.3">
      <c r="A855" s="69" t="s">
        <v>131</v>
      </c>
      <c r="B855" s="542"/>
      <c r="C855" s="529"/>
      <c r="D855" s="532"/>
      <c r="E855" s="535"/>
      <c r="F855" s="75"/>
      <c r="G855" s="76"/>
      <c r="H855" s="77"/>
      <c r="I855" s="69" t="s">
        <v>131</v>
      </c>
    </row>
    <row r="856" spans="1:13" ht="15.75" hidden="1" thickBot="1" x14ac:dyDescent="0.3">
      <c r="A856" s="69" t="s">
        <v>131</v>
      </c>
      <c r="B856" s="524">
        <v>2</v>
      </c>
      <c r="C856" s="527"/>
      <c r="D856" s="57" t="s">
        <v>125</v>
      </c>
      <c r="E856" s="58"/>
      <c r="F856" s="164">
        <v>1</v>
      </c>
      <c r="G856" s="70" t="s">
        <v>155</v>
      </c>
      <c r="H856" s="71">
        <v>115</v>
      </c>
      <c r="I856" s="69" t="s">
        <v>131</v>
      </c>
    </row>
    <row r="857" spans="1:13" hidden="1" x14ac:dyDescent="0.25">
      <c r="A857" s="69" t="s">
        <v>131</v>
      </c>
      <c r="B857" s="525"/>
      <c r="C857" s="528"/>
      <c r="D857" s="530">
        <v>1</v>
      </c>
      <c r="E857" s="533">
        <f>IF(D857=0,0,VLOOKUP($D857,$F856:$H865,3,FALSE)*$E856)</f>
        <v>0</v>
      </c>
      <c r="F857" s="72">
        <v>2</v>
      </c>
      <c r="G857" s="73" t="s">
        <v>156</v>
      </c>
      <c r="H857" s="74">
        <v>0</v>
      </c>
      <c r="I857" s="69" t="s">
        <v>131</v>
      </c>
    </row>
    <row r="858" spans="1:13" hidden="1" x14ac:dyDescent="0.25">
      <c r="A858" s="69" t="s">
        <v>131</v>
      </c>
      <c r="B858" s="525"/>
      <c r="C858" s="528"/>
      <c r="D858" s="531"/>
      <c r="E858" s="534"/>
      <c r="F858" s="72"/>
      <c r="G858" s="73"/>
      <c r="H858" s="74"/>
      <c r="I858" s="69" t="s">
        <v>131</v>
      </c>
    </row>
    <row r="859" spans="1:13" hidden="1" x14ac:dyDescent="0.25">
      <c r="A859" s="69" t="s">
        <v>131</v>
      </c>
      <c r="B859" s="525"/>
      <c r="C859" s="528"/>
      <c r="D859" s="531"/>
      <c r="E859" s="534"/>
      <c r="F859" s="72"/>
      <c r="G859" s="73"/>
      <c r="H859" s="74"/>
      <c r="I859" s="69" t="s">
        <v>131</v>
      </c>
    </row>
    <row r="860" spans="1:13" hidden="1" x14ac:dyDescent="0.25">
      <c r="A860" s="69" t="s">
        <v>131</v>
      </c>
      <c r="B860" s="525"/>
      <c r="C860" s="528"/>
      <c r="D860" s="531"/>
      <c r="E860" s="534"/>
      <c r="F860" s="72"/>
      <c r="G860" s="73"/>
      <c r="H860" s="74"/>
      <c r="I860" s="69" t="s">
        <v>131</v>
      </c>
    </row>
    <row r="861" spans="1:13" hidden="1" x14ac:dyDescent="0.25">
      <c r="A861" s="69" t="s">
        <v>131</v>
      </c>
      <c r="B861" s="525"/>
      <c r="C861" s="528"/>
      <c r="D861" s="531"/>
      <c r="E861" s="534"/>
      <c r="F861" s="72"/>
      <c r="G861" s="73"/>
      <c r="H861" s="74"/>
      <c r="I861" s="69" t="s">
        <v>131</v>
      </c>
    </row>
    <row r="862" spans="1:13" hidden="1" x14ac:dyDescent="0.25">
      <c r="A862" s="69" t="s">
        <v>131</v>
      </c>
      <c r="B862" s="525"/>
      <c r="C862" s="528"/>
      <c r="D862" s="531"/>
      <c r="E862" s="534"/>
      <c r="F862" s="72"/>
      <c r="G862" s="73"/>
      <c r="H862" s="74"/>
      <c r="I862" s="69" t="s">
        <v>131</v>
      </c>
    </row>
    <row r="863" spans="1:13" ht="15.75" hidden="1" thickBot="1" x14ac:dyDescent="0.3">
      <c r="A863" s="69" t="s">
        <v>131</v>
      </c>
      <c r="B863" s="526"/>
      <c r="C863" s="529"/>
      <c r="D863" s="531"/>
      <c r="E863" s="534"/>
      <c r="F863" s="72"/>
      <c r="G863" s="73"/>
      <c r="H863" s="74"/>
      <c r="I863" s="69" t="s">
        <v>131</v>
      </c>
    </row>
    <row r="864" spans="1:13" hidden="1" x14ac:dyDescent="0.25">
      <c r="A864" s="69" t="s">
        <v>131</v>
      </c>
      <c r="B864" s="541" t="s">
        <v>128</v>
      </c>
      <c r="C864" s="527"/>
      <c r="D864" s="531"/>
      <c r="E864" s="534"/>
      <c r="F864" s="72"/>
      <c r="G864" s="73"/>
      <c r="H864" s="74"/>
      <c r="I864" s="69" t="s">
        <v>131</v>
      </c>
    </row>
    <row r="865" spans="1:9" ht="15.75" hidden="1" thickBot="1" x14ac:dyDescent="0.3">
      <c r="A865" s="69" t="s">
        <v>131</v>
      </c>
      <c r="B865" s="542"/>
      <c r="C865" s="529"/>
      <c r="D865" s="532"/>
      <c r="E865" s="535"/>
      <c r="F865" s="75"/>
      <c r="G865" s="76"/>
      <c r="H865" s="77"/>
      <c r="I865" s="69" t="s">
        <v>131</v>
      </c>
    </row>
    <row r="866" spans="1:9" ht="15.75" hidden="1" thickBot="1" x14ac:dyDescent="0.3">
      <c r="A866" s="69" t="s">
        <v>131</v>
      </c>
      <c r="B866" s="524">
        <v>3</v>
      </c>
      <c r="C866" s="527"/>
      <c r="D866" s="57" t="s">
        <v>125</v>
      </c>
      <c r="E866" s="58"/>
      <c r="F866" s="164">
        <v>1</v>
      </c>
      <c r="G866" s="70" t="s">
        <v>146</v>
      </c>
      <c r="H866" s="71">
        <v>115</v>
      </c>
      <c r="I866" s="69" t="s">
        <v>131</v>
      </c>
    </row>
    <row r="867" spans="1:9" hidden="1" x14ac:dyDescent="0.25">
      <c r="A867" s="69" t="s">
        <v>131</v>
      </c>
      <c r="B867" s="525"/>
      <c r="C867" s="528"/>
      <c r="D867" s="566">
        <v>3</v>
      </c>
      <c r="E867" s="533">
        <f>IF(D867=0,0,VLOOKUP($D867,$F866:$H875,3,FALSE)*$E866)</f>
        <v>0</v>
      </c>
      <c r="F867" s="72">
        <v>2</v>
      </c>
      <c r="G867" s="73" t="s">
        <v>147</v>
      </c>
      <c r="H867" s="74">
        <v>100</v>
      </c>
      <c r="I867" s="69" t="s">
        <v>131</v>
      </c>
    </row>
    <row r="868" spans="1:9" hidden="1" x14ac:dyDescent="0.25">
      <c r="A868" s="69" t="s">
        <v>131</v>
      </c>
      <c r="B868" s="525"/>
      <c r="C868" s="528"/>
      <c r="D868" s="567"/>
      <c r="E868" s="534"/>
      <c r="F868" s="72">
        <v>3</v>
      </c>
      <c r="G868" s="73" t="s">
        <v>148</v>
      </c>
      <c r="H868" s="74">
        <v>90</v>
      </c>
      <c r="I868" s="69" t="s">
        <v>131</v>
      </c>
    </row>
    <row r="869" spans="1:9" hidden="1" x14ac:dyDescent="0.25">
      <c r="A869" s="69" t="s">
        <v>131</v>
      </c>
      <c r="B869" s="525"/>
      <c r="C869" s="528"/>
      <c r="D869" s="567"/>
      <c r="E869" s="534"/>
      <c r="F869" s="72">
        <v>4</v>
      </c>
      <c r="G869" s="73" t="s">
        <v>149</v>
      </c>
      <c r="H869" s="74">
        <v>80</v>
      </c>
      <c r="I869" s="69" t="s">
        <v>131</v>
      </c>
    </row>
    <row r="870" spans="1:9" hidden="1" x14ac:dyDescent="0.25">
      <c r="A870" s="69" t="s">
        <v>131</v>
      </c>
      <c r="B870" s="525"/>
      <c r="C870" s="528"/>
      <c r="D870" s="567"/>
      <c r="E870" s="534"/>
      <c r="F870" s="72">
        <v>5</v>
      </c>
      <c r="G870" s="73" t="s">
        <v>150</v>
      </c>
      <c r="H870" s="74">
        <v>0</v>
      </c>
      <c r="I870" s="69" t="s">
        <v>131</v>
      </c>
    </row>
    <row r="871" spans="1:9" hidden="1" x14ac:dyDescent="0.25">
      <c r="A871" s="69" t="s">
        <v>131</v>
      </c>
      <c r="B871" s="525"/>
      <c r="C871" s="528"/>
      <c r="D871" s="567"/>
      <c r="E871" s="534"/>
      <c r="F871" s="72"/>
      <c r="G871" s="73"/>
      <c r="H871" s="74"/>
      <c r="I871" s="69" t="s">
        <v>131</v>
      </c>
    </row>
    <row r="872" spans="1:9" hidden="1" x14ac:dyDescent="0.25">
      <c r="A872" s="69" t="s">
        <v>131</v>
      </c>
      <c r="B872" s="525"/>
      <c r="C872" s="528"/>
      <c r="D872" s="567"/>
      <c r="E872" s="534"/>
      <c r="F872" s="72"/>
      <c r="G872" s="73"/>
      <c r="H872" s="74"/>
      <c r="I872" s="69" t="s">
        <v>131</v>
      </c>
    </row>
    <row r="873" spans="1:9" ht="15.75" hidden="1" thickBot="1" x14ac:dyDescent="0.3">
      <c r="A873" s="69" t="s">
        <v>131</v>
      </c>
      <c r="B873" s="526"/>
      <c r="C873" s="529"/>
      <c r="D873" s="567"/>
      <c r="E873" s="534"/>
      <c r="F873" s="72"/>
      <c r="G873" s="73"/>
      <c r="H873" s="74"/>
      <c r="I873" s="69" t="s">
        <v>131</v>
      </c>
    </row>
    <row r="874" spans="1:9" hidden="1" x14ac:dyDescent="0.25">
      <c r="A874" s="69" t="s">
        <v>131</v>
      </c>
      <c r="B874" s="541" t="s">
        <v>128</v>
      </c>
      <c r="C874" s="527"/>
      <c r="D874" s="567"/>
      <c r="E874" s="534"/>
      <c r="F874" s="72"/>
      <c r="G874" s="73"/>
      <c r="H874" s="74"/>
      <c r="I874" s="69" t="s">
        <v>131</v>
      </c>
    </row>
    <row r="875" spans="1:9" ht="15.75" hidden="1" thickBot="1" x14ac:dyDescent="0.3">
      <c r="A875" s="69" t="s">
        <v>131</v>
      </c>
      <c r="B875" s="542"/>
      <c r="C875" s="529"/>
      <c r="D875" s="568"/>
      <c r="E875" s="535"/>
      <c r="F875" s="75"/>
      <c r="G875" s="76"/>
      <c r="H875" s="77"/>
      <c r="I875" s="69" t="s">
        <v>131</v>
      </c>
    </row>
    <row r="876" spans="1:9" ht="15.75" hidden="1" thickBot="1" x14ac:dyDescent="0.3">
      <c r="A876" s="69" t="s">
        <v>131</v>
      </c>
      <c r="B876" s="524">
        <v>4</v>
      </c>
      <c r="C876" s="527"/>
      <c r="D876" s="57" t="s">
        <v>125</v>
      </c>
      <c r="E876" s="58"/>
      <c r="F876" s="164">
        <v>1</v>
      </c>
      <c r="G876" s="70" t="s">
        <v>146</v>
      </c>
      <c r="H876" s="71">
        <v>115</v>
      </c>
      <c r="I876" s="69" t="s">
        <v>131</v>
      </c>
    </row>
    <row r="877" spans="1:9" hidden="1" x14ac:dyDescent="0.25">
      <c r="A877" s="69" t="s">
        <v>131</v>
      </c>
      <c r="B877" s="525"/>
      <c r="C877" s="528"/>
      <c r="D877" s="566">
        <v>1</v>
      </c>
      <c r="E877" s="533">
        <f>IF(D877=0,0,VLOOKUP($D877,$F876:$H885,3,FALSE)*$E876)</f>
        <v>0</v>
      </c>
      <c r="F877" s="72">
        <v>2</v>
      </c>
      <c r="G877" s="73" t="s">
        <v>147</v>
      </c>
      <c r="H877" s="74">
        <v>100</v>
      </c>
      <c r="I877" s="69" t="s">
        <v>131</v>
      </c>
    </row>
    <row r="878" spans="1:9" hidden="1" x14ac:dyDescent="0.25">
      <c r="A878" s="69" t="s">
        <v>131</v>
      </c>
      <c r="B878" s="525"/>
      <c r="C878" s="528"/>
      <c r="D878" s="567"/>
      <c r="E878" s="534"/>
      <c r="F878" s="72">
        <v>3</v>
      </c>
      <c r="G878" s="73" t="s">
        <v>148</v>
      </c>
      <c r="H878" s="74">
        <v>90</v>
      </c>
      <c r="I878" s="69" t="s">
        <v>131</v>
      </c>
    </row>
    <row r="879" spans="1:9" hidden="1" x14ac:dyDescent="0.25">
      <c r="A879" s="69" t="s">
        <v>131</v>
      </c>
      <c r="B879" s="525"/>
      <c r="C879" s="528"/>
      <c r="D879" s="567"/>
      <c r="E879" s="534"/>
      <c r="F879" s="72">
        <v>4</v>
      </c>
      <c r="G879" s="73" t="s">
        <v>149</v>
      </c>
      <c r="H879" s="74">
        <v>80</v>
      </c>
      <c r="I879" s="69" t="s">
        <v>131</v>
      </c>
    </row>
    <row r="880" spans="1:9" hidden="1" x14ac:dyDescent="0.25">
      <c r="A880" s="69" t="s">
        <v>131</v>
      </c>
      <c r="B880" s="525"/>
      <c r="C880" s="528"/>
      <c r="D880" s="567"/>
      <c r="E880" s="534"/>
      <c r="F880" s="72">
        <v>5</v>
      </c>
      <c r="G880" s="73" t="s">
        <v>150</v>
      </c>
      <c r="H880" s="74">
        <v>0</v>
      </c>
      <c r="I880" s="69" t="s">
        <v>131</v>
      </c>
    </row>
    <row r="881" spans="1:9" hidden="1" x14ac:dyDescent="0.25">
      <c r="A881" s="69" t="s">
        <v>131</v>
      </c>
      <c r="B881" s="525"/>
      <c r="C881" s="528"/>
      <c r="D881" s="567"/>
      <c r="E881" s="534"/>
      <c r="F881" s="72"/>
      <c r="G881" s="73"/>
      <c r="H881" s="74"/>
      <c r="I881" s="69" t="s">
        <v>131</v>
      </c>
    </row>
    <row r="882" spans="1:9" hidden="1" x14ac:dyDescent="0.25">
      <c r="A882" s="69" t="s">
        <v>131</v>
      </c>
      <c r="B882" s="525"/>
      <c r="C882" s="528"/>
      <c r="D882" s="567"/>
      <c r="E882" s="534"/>
      <c r="F882" s="72"/>
      <c r="G882" s="73"/>
      <c r="H882" s="74"/>
      <c r="I882" s="69" t="s">
        <v>131</v>
      </c>
    </row>
    <row r="883" spans="1:9" ht="15.75" hidden="1" thickBot="1" x14ac:dyDescent="0.3">
      <c r="A883" s="69" t="s">
        <v>131</v>
      </c>
      <c r="B883" s="526"/>
      <c r="C883" s="529"/>
      <c r="D883" s="567"/>
      <c r="E883" s="534"/>
      <c r="F883" s="72"/>
      <c r="G883" s="73"/>
      <c r="H883" s="74"/>
      <c r="I883" s="69" t="s">
        <v>131</v>
      </c>
    </row>
    <row r="884" spans="1:9" hidden="1" x14ac:dyDescent="0.25">
      <c r="A884" s="69" t="s">
        <v>131</v>
      </c>
      <c r="B884" s="541" t="s">
        <v>128</v>
      </c>
      <c r="C884" s="527"/>
      <c r="D884" s="567"/>
      <c r="E884" s="534"/>
      <c r="F884" s="72"/>
      <c r="G884" s="73"/>
      <c r="H884" s="74"/>
      <c r="I884" s="69" t="s">
        <v>131</v>
      </c>
    </row>
    <row r="885" spans="1:9" ht="15.75" hidden="1" thickBot="1" x14ac:dyDescent="0.3">
      <c r="A885" s="69" t="s">
        <v>131</v>
      </c>
      <c r="B885" s="542"/>
      <c r="C885" s="529"/>
      <c r="D885" s="568"/>
      <c r="E885" s="535"/>
      <c r="F885" s="75"/>
      <c r="G885" s="76"/>
      <c r="H885" s="77"/>
      <c r="I885" s="69" t="s">
        <v>131</v>
      </c>
    </row>
    <row r="886" spans="1:9" ht="15.75" hidden="1" thickBot="1" x14ac:dyDescent="0.3">
      <c r="A886" s="69" t="s">
        <v>131</v>
      </c>
      <c r="B886" s="548">
        <v>5</v>
      </c>
      <c r="C886" s="527"/>
      <c r="D886" s="57" t="s">
        <v>125</v>
      </c>
      <c r="E886" s="58"/>
      <c r="F886" s="78">
        <v>10</v>
      </c>
      <c r="G886" s="79" t="s">
        <v>126</v>
      </c>
      <c r="H886" s="80">
        <v>115</v>
      </c>
      <c r="I886" s="69" t="s">
        <v>131</v>
      </c>
    </row>
    <row r="887" spans="1:9" hidden="1" x14ac:dyDescent="0.25">
      <c r="A887" s="69" t="s">
        <v>131</v>
      </c>
      <c r="B887" s="525"/>
      <c r="C887" s="528"/>
      <c r="D887" s="530"/>
      <c r="E887" s="533">
        <f>IF(D887=0,0,VLOOKUP($D887,$F886:$H895,3,FALSE)*$E886)</f>
        <v>0</v>
      </c>
      <c r="F887" s="72">
        <v>9</v>
      </c>
      <c r="G887" s="73" t="s">
        <v>126</v>
      </c>
      <c r="H887" s="74">
        <f>H886-5</f>
        <v>110</v>
      </c>
      <c r="I887" s="69" t="s">
        <v>131</v>
      </c>
    </row>
    <row r="888" spans="1:9" hidden="1" x14ac:dyDescent="0.25">
      <c r="A888" s="69" t="s">
        <v>131</v>
      </c>
      <c r="B888" s="525"/>
      <c r="C888" s="528"/>
      <c r="D888" s="531"/>
      <c r="E888" s="534"/>
      <c r="F888" s="72">
        <v>8</v>
      </c>
      <c r="G888" s="73" t="s">
        <v>126</v>
      </c>
      <c r="H888" s="74">
        <f t="shared" ref="H888:H895" si="45">H887-5</f>
        <v>105</v>
      </c>
      <c r="I888" s="69" t="s">
        <v>131</v>
      </c>
    </row>
    <row r="889" spans="1:9" hidden="1" x14ac:dyDescent="0.25">
      <c r="A889" s="69" t="s">
        <v>131</v>
      </c>
      <c r="B889" s="525"/>
      <c r="C889" s="528"/>
      <c r="D889" s="531"/>
      <c r="E889" s="534"/>
      <c r="F889" s="72">
        <v>7</v>
      </c>
      <c r="G889" s="73" t="s">
        <v>126</v>
      </c>
      <c r="H889" s="74">
        <f t="shared" si="45"/>
        <v>100</v>
      </c>
      <c r="I889" s="69" t="s">
        <v>131</v>
      </c>
    </row>
    <row r="890" spans="1:9" hidden="1" x14ac:dyDescent="0.25">
      <c r="A890" s="69" t="s">
        <v>131</v>
      </c>
      <c r="B890" s="525"/>
      <c r="C890" s="528"/>
      <c r="D890" s="531"/>
      <c r="E890" s="534"/>
      <c r="F890" s="72">
        <v>6</v>
      </c>
      <c r="G890" s="73" t="s">
        <v>126</v>
      </c>
      <c r="H890" s="74">
        <f t="shared" si="45"/>
        <v>95</v>
      </c>
      <c r="I890" s="69" t="s">
        <v>131</v>
      </c>
    </row>
    <row r="891" spans="1:9" hidden="1" x14ac:dyDescent="0.25">
      <c r="A891" s="69" t="s">
        <v>131</v>
      </c>
      <c r="B891" s="525"/>
      <c r="C891" s="528"/>
      <c r="D891" s="531"/>
      <c r="E891" s="534"/>
      <c r="F891" s="72">
        <v>5</v>
      </c>
      <c r="G891" s="73" t="s">
        <v>126</v>
      </c>
      <c r="H891" s="74">
        <f t="shared" si="45"/>
        <v>90</v>
      </c>
      <c r="I891" s="69" t="s">
        <v>131</v>
      </c>
    </row>
    <row r="892" spans="1:9" hidden="1" x14ac:dyDescent="0.25">
      <c r="A892" s="69" t="s">
        <v>131</v>
      </c>
      <c r="B892" s="525"/>
      <c r="C892" s="528"/>
      <c r="D892" s="531"/>
      <c r="E892" s="534"/>
      <c r="F892" s="72">
        <v>4</v>
      </c>
      <c r="G892" s="73" t="s">
        <v>126</v>
      </c>
      <c r="H892" s="74">
        <f t="shared" si="45"/>
        <v>85</v>
      </c>
      <c r="I892" s="69" t="s">
        <v>131</v>
      </c>
    </row>
    <row r="893" spans="1:9" ht="15.75" hidden="1" thickBot="1" x14ac:dyDescent="0.3">
      <c r="A893" s="69" t="s">
        <v>131</v>
      </c>
      <c r="B893" s="526"/>
      <c r="C893" s="529"/>
      <c r="D893" s="531"/>
      <c r="E893" s="534"/>
      <c r="F893" s="72">
        <v>3</v>
      </c>
      <c r="G893" s="73" t="s">
        <v>126</v>
      </c>
      <c r="H893" s="74">
        <f t="shared" si="45"/>
        <v>80</v>
      </c>
      <c r="I893" s="69" t="s">
        <v>131</v>
      </c>
    </row>
    <row r="894" spans="1:9" hidden="1" x14ac:dyDescent="0.25">
      <c r="A894" s="69" t="s">
        <v>131</v>
      </c>
      <c r="B894" s="541" t="s">
        <v>128</v>
      </c>
      <c r="C894" s="527"/>
      <c r="D894" s="531"/>
      <c r="E894" s="534"/>
      <c r="F894" s="72">
        <v>2</v>
      </c>
      <c r="G894" s="73" t="s">
        <v>126</v>
      </c>
      <c r="H894" s="74">
        <f t="shared" si="45"/>
        <v>75</v>
      </c>
      <c r="I894" s="69" t="s">
        <v>131</v>
      </c>
    </row>
    <row r="895" spans="1:9" ht="15.75" hidden="1" thickBot="1" x14ac:dyDescent="0.3">
      <c r="A895" s="69" t="s">
        <v>131</v>
      </c>
      <c r="B895" s="542"/>
      <c r="C895" s="529"/>
      <c r="D895" s="532"/>
      <c r="E895" s="535"/>
      <c r="F895" s="75">
        <v>1</v>
      </c>
      <c r="G895" s="76" t="s">
        <v>126</v>
      </c>
      <c r="H895" s="77">
        <f t="shared" si="45"/>
        <v>70</v>
      </c>
      <c r="I895" s="69" t="s">
        <v>131</v>
      </c>
    </row>
    <row r="896" spans="1:9" ht="15.75" hidden="1" thickBot="1" x14ac:dyDescent="0.3">
      <c r="A896" s="69" t="s">
        <v>131</v>
      </c>
      <c r="B896" s="524">
        <v>6</v>
      </c>
      <c r="C896" s="527"/>
      <c r="D896" s="57" t="s">
        <v>125</v>
      </c>
      <c r="E896" s="58"/>
      <c r="F896" s="164">
        <v>10</v>
      </c>
      <c r="G896" s="70" t="s">
        <v>126</v>
      </c>
      <c r="H896" s="71">
        <v>115</v>
      </c>
      <c r="I896" s="69" t="s">
        <v>131</v>
      </c>
    </row>
    <row r="897" spans="1:9" hidden="1" x14ac:dyDescent="0.25">
      <c r="A897" s="69" t="s">
        <v>131</v>
      </c>
      <c r="B897" s="525"/>
      <c r="C897" s="528"/>
      <c r="D897" s="530"/>
      <c r="E897" s="533">
        <f>IF(D897=0,0,VLOOKUP($D897,$F896:$H905,3,FALSE)*$E896)</f>
        <v>0</v>
      </c>
      <c r="F897" s="72">
        <v>9</v>
      </c>
      <c r="G897" s="73" t="s">
        <v>126</v>
      </c>
      <c r="H897" s="74">
        <f>H896-5</f>
        <v>110</v>
      </c>
      <c r="I897" s="69" t="s">
        <v>131</v>
      </c>
    </row>
    <row r="898" spans="1:9" hidden="1" x14ac:dyDescent="0.25">
      <c r="A898" s="69" t="s">
        <v>131</v>
      </c>
      <c r="B898" s="525"/>
      <c r="C898" s="528"/>
      <c r="D898" s="531"/>
      <c r="E898" s="534"/>
      <c r="F898" s="72">
        <v>8</v>
      </c>
      <c r="G898" s="73" t="s">
        <v>126</v>
      </c>
      <c r="H898" s="74">
        <f t="shared" ref="H898:H905" si="46">H897-5</f>
        <v>105</v>
      </c>
      <c r="I898" s="69" t="s">
        <v>131</v>
      </c>
    </row>
    <row r="899" spans="1:9" hidden="1" x14ac:dyDescent="0.25">
      <c r="A899" s="69" t="s">
        <v>131</v>
      </c>
      <c r="B899" s="525"/>
      <c r="C899" s="528"/>
      <c r="D899" s="531"/>
      <c r="E899" s="534"/>
      <c r="F899" s="72">
        <v>7</v>
      </c>
      <c r="G899" s="73" t="s">
        <v>126</v>
      </c>
      <c r="H899" s="74">
        <f t="shared" si="46"/>
        <v>100</v>
      </c>
      <c r="I899" s="69" t="s">
        <v>131</v>
      </c>
    </row>
    <row r="900" spans="1:9" hidden="1" x14ac:dyDescent="0.25">
      <c r="A900" s="69" t="s">
        <v>131</v>
      </c>
      <c r="B900" s="525"/>
      <c r="C900" s="528"/>
      <c r="D900" s="531"/>
      <c r="E900" s="534"/>
      <c r="F900" s="72">
        <v>6</v>
      </c>
      <c r="G900" s="73" t="s">
        <v>126</v>
      </c>
      <c r="H900" s="74">
        <f t="shared" si="46"/>
        <v>95</v>
      </c>
      <c r="I900" s="69" t="s">
        <v>131</v>
      </c>
    </row>
    <row r="901" spans="1:9" hidden="1" x14ac:dyDescent="0.25">
      <c r="A901" s="69" t="s">
        <v>131</v>
      </c>
      <c r="B901" s="525"/>
      <c r="C901" s="528"/>
      <c r="D901" s="531"/>
      <c r="E901" s="534"/>
      <c r="F901" s="72">
        <v>5</v>
      </c>
      <c r="G901" s="73" t="s">
        <v>126</v>
      </c>
      <c r="H901" s="74">
        <f t="shared" si="46"/>
        <v>90</v>
      </c>
      <c r="I901" s="69" t="s">
        <v>131</v>
      </c>
    </row>
    <row r="902" spans="1:9" hidden="1" x14ac:dyDescent="0.25">
      <c r="A902" s="69" t="s">
        <v>131</v>
      </c>
      <c r="B902" s="525"/>
      <c r="C902" s="528"/>
      <c r="D902" s="531"/>
      <c r="E902" s="534"/>
      <c r="F902" s="72">
        <v>4</v>
      </c>
      <c r="G902" s="73" t="s">
        <v>126</v>
      </c>
      <c r="H902" s="74">
        <f t="shared" si="46"/>
        <v>85</v>
      </c>
      <c r="I902" s="69" t="s">
        <v>131</v>
      </c>
    </row>
    <row r="903" spans="1:9" ht="15.75" hidden="1" thickBot="1" x14ac:dyDescent="0.3">
      <c r="A903" s="69" t="s">
        <v>131</v>
      </c>
      <c r="B903" s="526"/>
      <c r="C903" s="529"/>
      <c r="D903" s="531"/>
      <c r="E903" s="534"/>
      <c r="F903" s="72">
        <v>3</v>
      </c>
      <c r="G903" s="73" t="s">
        <v>126</v>
      </c>
      <c r="H903" s="74">
        <f t="shared" si="46"/>
        <v>80</v>
      </c>
      <c r="I903" s="69" t="s">
        <v>131</v>
      </c>
    </row>
    <row r="904" spans="1:9" hidden="1" x14ac:dyDescent="0.25">
      <c r="A904" s="69" t="s">
        <v>131</v>
      </c>
      <c r="B904" s="541" t="s">
        <v>128</v>
      </c>
      <c r="C904" s="527"/>
      <c r="D904" s="531"/>
      <c r="E904" s="534"/>
      <c r="F904" s="72">
        <v>2</v>
      </c>
      <c r="G904" s="73" t="s">
        <v>126</v>
      </c>
      <c r="H904" s="74">
        <f t="shared" si="46"/>
        <v>75</v>
      </c>
      <c r="I904" s="69" t="s">
        <v>131</v>
      </c>
    </row>
    <row r="905" spans="1:9" ht="15.75" hidden="1" thickBot="1" x14ac:dyDescent="0.3">
      <c r="A905" s="69" t="s">
        <v>131</v>
      </c>
      <c r="B905" s="542"/>
      <c r="C905" s="529"/>
      <c r="D905" s="532"/>
      <c r="E905" s="535"/>
      <c r="F905" s="75">
        <v>1</v>
      </c>
      <c r="G905" s="76" t="s">
        <v>126</v>
      </c>
      <c r="H905" s="77">
        <f t="shared" si="46"/>
        <v>70</v>
      </c>
      <c r="I905" s="69" t="s">
        <v>131</v>
      </c>
    </row>
    <row r="906" spans="1:9" ht="15.75" hidden="1" thickBot="1" x14ac:dyDescent="0.3">
      <c r="A906" s="69" t="s">
        <v>131</v>
      </c>
      <c r="B906" s="524">
        <v>7</v>
      </c>
      <c r="C906" s="527"/>
      <c r="D906" s="57" t="s">
        <v>125</v>
      </c>
      <c r="E906" s="58">
        <v>0.6</v>
      </c>
      <c r="F906" s="164">
        <v>10</v>
      </c>
      <c r="G906" s="70" t="s">
        <v>126</v>
      </c>
      <c r="H906" s="71">
        <v>115</v>
      </c>
      <c r="I906" s="69" t="s">
        <v>131</v>
      </c>
    </row>
    <row r="907" spans="1:9" hidden="1" x14ac:dyDescent="0.25">
      <c r="A907" s="69" t="s">
        <v>131</v>
      </c>
      <c r="B907" s="525"/>
      <c r="C907" s="528"/>
      <c r="D907" s="530"/>
      <c r="E907" s="533">
        <f>IF(D907=0,0,VLOOKUP($D907,$F906:$H915,3,FALSE)*$E906)</f>
        <v>0</v>
      </c>
      <c r="F907" s="72">
        <v>9</v>
      </c>
      <c r="G907" s="73" t="s">
        <v>126</v>
      </c>
      <c r="H907" s="74">
        <f>H906-5</f>
        <v>110</v>
      </c>
      <c r="I907" s="69" t="s">
        <v>131</v>
      </c>
    </row>
    <row r="908" spans="1:9" hidden="1" x14ac:dyDescent="0.25">
      <c r="A908" s="69" t="s">
        <v>131</v>
      </c>
      <c r="B908" s="525"/>
      <c r="C908" s="528"/>
      <c r="D908" s="531"/>
      <c r="E908" s="534"/>
      <c r="F908" s="72">
        <v>8</v>
      </c>
      <c r="G908" s="73" t="s">
        <v>126</v>
      </c>
      <c r="H908" s="74">
        <f t="shared" ref="H908:H915" si="47">H907-5</f>
        <v>105</v>
      </c>
      <c r="I908" s="69" t="s">
        <v>131</v>
      </c>
    </row>
    <row r="909" spans="1:9" hidden="1" x14ac:dyDescent="0.25">
      <c r="A909" s="69" t="s">
        <v>131</v>
      </c>
      <c r="B909" s="525"/>
      <c r="C909" s="528"/>
      <c r="D909" s="531"/>
      <c r="E909" s="534"/>
      <c r="F909" s="72">
        <v>7</v>
      </c>
      <c r="G909" s="73" t="s">
        <v>126</v>
      </c>
      <c r="H909" s="74">
        <f t="shared" si="47"/>
        <v>100</v>
      </c>
      <c r="I909" s="69" t="s">
        <v>131</v>
      </c>
    </row>
    <row r="910" spans="1:9" hidden="1" x14ac:dyDescent="0.25">
      <c r="A910" s="69" t="s">
        <v>131</v>
      </c>
      <c r="B910" s="525"/>
      <c r="C910" s="528"/>
      <c r="D910" s="531"/>
      <c r="E910" s="534"/>
      <c r="F910" s="72">
        <v>6</v>
      </c>
      <c r="G910" s="73" t="s">
        <v>126</v>
      </c>
      <c r="H910" s="74">
        <f t="shared" si="47"/>
        <v>95</v>
      </c>
      <c r="I910" s="69" t="s">
        <v>131</v>
      </c>
    </row>
    <row r="911" spans="1:9" hidden="1" x14ac:dyDescent="0.25">
      <c r="A911" s="69" t="s">
        <v>131</v>
      </c>
      <c r="B911" s="525"/>
      <c r="C911" s="528"/>
      <c r="D911" s="531"/>
      <c r="E911" s="534"/>
      <c r="F911" s="72">
        <v>5</v>
      </c>
      <c r="G911" s="73" t="s">
        <v>126</v>
      </c>
      <c r="H911" s="74">
        <f t="shared" si="47"/>
        <v>90</v>
      </c>
      <c r="I911" s="69" t="s">
        <v>131</v>
      </c>
    </row>
    <row r="912" spans="1:9" hidden="1" x14ac:dyDescent="0.25">
      <c r="A912" s="69" t="s">
        <v>131</v>
      </c>
      <c r="B912" s="525"/>
      <c r="C912" s="528"/>
      <c r="D912" s="531"/>
      <c r="E912" s="534"/>
      <c r="F912" s="72">
        <v>4</v>
      </c>
      <c r="G912" s="73" t="s">
        <v>126</v>
      </c>
      <c r="H912" s="74">
        <f t="shared" si="47"/>
        <v>85</v>
      </c>
      <c r="I912" s="69" t="s">
        <v>131</v>
      </c>
    </row>
    <row r="913" spans="1:9" ht="15.75" hidden="1" thickBot="1" x14ac:dyDescent="0.3">
      <c r="A913" s="69" t="s">
        <v>131</v>
      </c>
      <c r="B913" s="526"/>
      <c r="C913" s="529"/>
      <c r="D913" s="531"/>
      <c r="E913" s="534"/>
      <c r="F913" s="72">
        <v>3</v>
      </c>
      <c r="G913" s="73" t="s">
        <v>126</v>
      </c>
      <c r="H913" s="74">
        <f t="shared" si="47"/>
        <v>80</v>
      </c>
      <c r="I913" s="69" t="s">
        <v>131</v>
      </c>
    </row>
    <row r="914" spans="1:9" hidden="1" x14ac:dyDescent="0.25">
      <c r="A914" s="69" t="s">
        <v>131</v>
      </c>
      <c r="B914" s="541" t="s">
        <v>128</v>
      </c>
      <c r="C914" s="527"/>
      <c r="D914" s="531"/>
      <c r="E914" s="534"/>
      <c r="F914" s="72">
        <v>2</v>
      </c>
      <c r="G914" s="73" t="s">
        <v>126</v>
      </c>
      <c r="H914" s="74">
        <f t="shared" si="47"/>
        <v>75</v>
      </c>
      <c r="I914" s="69" t="s">
        <v>131</v>
      </c>
    </row>
    <row r="915" spans="1:9" ht="15.75" hidden="1" thickBot="1" x14ac:dyDescent="0.3">
      <c r="A915" s="69" t="s">
        <v>131</v>
      </c>
      <c r="B915" s="542"/>
      <c r="C915" s="529"/>
      <c r="D915" s="532"/>
      <c r="E915" s="535"/>
      <c r="F915" s="75">
        <v>1</v>
      </c>
      <c r="G915" s="76" t="s">
        <v>126</v>
      </c>
      <c r="H915" s="77">
        <f t="shared" si="47"/>
        <v>70</v>
      </c>
      <c r="I915" s="69" t="s">
        <v>131</v>
      </c>
    </row>
    <row r="916" spans="1:9" ht="15.75" hidden="1" thickBot="1" x14ac:dyDescent="0.3">
      <c r="A916" s="69" t="s">
        <v>131</v>
      </c>
      <c r="B916" s="524">
        <v>8</v>
      </c>
      <c r="C916" s="527"/>
      <c r="D916" s="57" t="s">
        <v>125</v>
      </c>
      <c r="E916" s="58">
        <v>0.6</v>
      </c>
      <c r="F916" s="164">
        <v>10</v>
      </c>
      <c r="G916" s="70" t="s">
        <v>126</v>
      </c>
      <c r="H916" s="71">
        <v>115</v>
      </c>
      <c r="I916" s="69" t="s">
        <v>131</v>
      </c>
    </row>
    <row r="917" spans="1:9" hidden="1" x14ac:dyDescent="0.25">
      <c r="A917" s="69" t="s">
        <v>131</v>
      </c>
      <c r="B917" s="525"/>
      <c r="C917" s="528"/>
      <c r="D917" s="530"/>
      <c r="E917" s="533">
        <f>IF(D917=0,0,VLOOKUP($D917,$F916:$H925,3,FALSE)*$E916)</f>
        <v>0</v>
      </c>
      <c r="F917" s="72">
        <v>9</v>
      </c>
      <c r="G917" s="73" t="s">
        <v>126</v>
      </c>
      <c r="H917" s="74">
        <f>H916-5</f>
        <v>110</v>
      </c>
      <c r="I917" s="69" t="s">
        <v>131</v>
      </c>
    </row>
    <row r="918" spans="1:9" hidden="1" x14ac:dyDescent="0.25">
      <c r="A918" s="69" t="s">
        <v>131</v>
      </c>
      <c r="B918" s="525"/>
      <c r="C918" s="528"/>
      <c r="D918" s="531"/>
      <c r="E918" s="534"/>
      <c r="F918" s="72">
        <v>8</v>
      </c>
      <c r="G918" s="73" t="s">
        <v>126</v>
      </c>
      <c r="H918" s="74">
        <f t="shared" ref="H918:H925" si="48">H917-5</f>
        <v>105</v>
      </c>
      <c r="I918" s="69" t="s">
        <v>131</v>
      </c>
    </row>
    <row r="919" spans="1:9" hidden="1" x14ac:dyDescent="0.25">
      <c r="A919" s="69" t="s">
        <v>131</v>
      </c>
      <c r="B919" s="525"/>
      <c r="C919" s="528"/>
      <c r="D919" s="531"/>
      <c r="E919" s="534"/>
      <c r="F919" s="72">
        <v>7</v>
      </c>
      <c r="G919" s="73" t="s">
        <v>126</v>
      </c>
      <c r="H919" s="74">
        <f t="shared" si="48"/>
        <v>100</v>
      </c>
      <c r="I919" s="69" t="s">
        <v>131</v>
      </c>
    </row>
    <row r="920" spans="1:9" hidden="1" x14ac:dyDescent="0.25">
      <c r="A920" s="69" t="s">
        <v>131</v>
      </c>
      <c r="B920" s="525"/>
      <c r="C920" s="528"/>
      <c r="D920" s="531"/>
      <c r="E920" s="534"/>
      <c r="F920" s="72">
        <v>6</v>
      </c>
      <c r="G920" s="73" t="s">
        <v>126</v>
      </c>
      <c r="H920" s="74">
        <f t="shared" si="48"/>
        <v>95</v>
      </c>
      <c r="I920" s="69" t="s">
        <v>131</v>
      </c>
    </row>
    <row r="921" spans="1:9" hidden="1" x14ac:dyDescent="0.25">
      <c r="A921" s="69" t="s">
        <v>131</v>
      </c>
      <c r="B921" s="525"/>
      <c r="C921" s="528"/>
      <c r="D921" s="531"/>
      <c r="E921" s="534"/>
      <c r="F921" s="72">
        <v>5</v>
      </c>
      <c r="G921" s="73" t="s">
        <v>126</v>
      </c>
      <c r="H921" s="74">
        <f t="shared" si="48"/>
        <v>90</v>
      </c>
      <c r="I921" s="69" t="s">
        <v>131</v>
      </c>
    </row>
    <row r="922" spans="1:9" hidden="1" x14ac:dyDescent="0.25">
      <c r="A922" s="69" t="s">
        <v>131</v>
      </c>
      <c r="B922" s="525"/>
      <c r="C922" s="528"/>
      <c r="D922" s="531"/>
      <c r="E922" s="534"/>
      <c r="F922" s="72">
        <v>4</v>
      </c>
      <c r="G922" s="73" t="s">
        <v>126</v>
      </c>
      <c r="H922" s="74">
        <f t="shared" si="48"/>
        <v>85</v>
      </c>
      <c r="I922" s="69" t="s">
        <v>131</v>
      </c>
    </row>
    <row r="923" spans="1:9" ht="15.75" hidden="1" thickBot="1" x14ac:dyDescent="0.3">
      <c r="A923" s="69" t="s">
        <v>131</v>
      </c>
      <c r="B923" s="526"/>
      <c r="C923" s="529"/>
      <c r="D923" s="531"/>
      <c r="E923" s="534"/>
      <c r="F923" s="72">
        <v>3</v>
      </c>
      <c r="G923" s="73" t="s">
        <v>126</v>
      </c>
      <c r="H923" s="74">
        <f t="shared" si="48"/>
        <v>80</v>
      </c>
      <c r="I923" s="69" t="s">
        <v>131</v>
      </c>
    </row>
    <row r="924" spans="1:9" hidden="1" x14ac:dyDescent="0.25">
      <c r="A924" s="69" t="s">
        <v>131</v>
      </c>
      <c r="B924" s="541" t="s">
        <v>128</v>
      </c>
      <c r="C924" s="527"/>
      <c r="D924" s="531"/>
      <c r="E924" s="534"/>
      <c r="F924" s="72">
        <v>2</v>
      </c>
      <c r="G924" s="73" t="s">
        <v>126</v>
      </c>
      <c r="H924" s="74">
        <f t="shared" si="48"/>
        <v>75</v>
      </c>
      <c r="I924" s="69" t="s">
        <v>131</v>
      </c>
    </row>
    <row r="925" spans="1:9" ht="15.75" hidden="1" thickBot="1" x14ac:dyDescent="0.3">
      <c r="A925" s="69" t="s">
        <v>131</v>
      </c>
      <c r="B925" s="542"/>
      <c r="C925" s="529"/>
      <c r="D925" s="532"/>
      <c r="E925" s="535"/>
      <c r="F925" s="75">
        <v>1</v>
      </c>
      <c r="G925" s="76" t="s">
        <v>126</v>
      </c>
      <c r="H925" s="77">
        <f t="shared" si="48"/>
        <v>70</v>
      </c>
      <c r="I925" s="69" t="s">
        <v>131</v>
      </c>
    </row>
    <row r="926" spans="1:9" ht="15.75" hidden="1" thickBot="1" x14ac:dyDescent="0.3">
      <c r="A926" s="69" t="s">
        <v>131</v>
      </c>
      <c r="B926" s="524">
        <v>9</v>
      </c>
      <c r="C926" s="527"/>
      <c r="D926" s="57" t="s">
        <v>125</v>
      </c>
      <c r="E926" s="58">
        <v>0.6</v>
      </c>
      <c r="F926" s="164">
        <v>10</v>
      </c>
      <c r="G926" s="70" t="s">
        <v>126</v>
      </c>
      <c r="H926" s="71">
        <v>115</v>
      </c>
      <c r="I926" s="69" t="s">
        <v>131</v>
      </c>
    </row>
    <row r="927" spans="1:9" hidden="1" x14ac:dyDescent="0.25">
      <c r="A927" s="69" t="s">
        <v>131</v>
      </c>
      <c r="B927" s="525"/>
      <c r="C927" s="528"/>
      <c r="D927" s="530"/>
      <c r="E927" s="533">
        <f>IF(D927=0,0,VLOOKUP($D927,$F926:$H935,3,FALSE)*$E926)</f>
        <v>0</v>
      </c>
      <c r="F927" s="72">
        <v>9</v>
      </c>
      <c r="G927" s="73" t="s">
        <v>126</v>
      </c>
      <c r="H927" s="74">
        <f>H926-5</f>
        <v>110</v>
      </c>
      <c r="I927" s="69" t="s">
        <v>131</v>
      </c>
    </row>
    <row r="928" spans="1:9" hidden="1" x14ac:dyDescent="0.25">
      <c r="A928" s="69" t="s">
        <v>131</v>
      </c>
      <c r="B928" s="525"/>
      <c r="C928" s="528"/>
      <c r="D928" s="531"/>
      <c r="E928" s="534"/>
      <c r="F928" s="72">
        <v>8</v>
      </c>
      <c r="G928" s="73" t="s">
        <v>126</v>
      </c>
      <c r="H928" s="74">
        <f t="shared" ref="H928:H935" si="49">H927-5</f>
        <v>105</v>
      </c>
      <c r="I928" s="69" t="s">
        <v>131</v>
      </c>
    </row>
    <row r="929" spans="1:9" hidden="1" x14ac:dyDescent="0.25">
      <c r="A929" s="69" t="s">
        <v>131</v>
      </c>
      <c r="B929" s="525"/>
      <c r="C929" s="528"/>
      <c r="D929" s="531"/>
      <c r="E929" s="534"/>
      <c r="F929" s="72">
        <v>7</v>
      </c>
      <c r="G929" s="73" t="s">
        <v>126</v>
      </c>
      <c r="H929" s="74">
        <f t="shared" si="49"/>
        <v>100</v>
      </c>
      <c r="I929" s="69" t="s">
        <v>131</v>
      </c>
    </row>
    <row r="930" spans="1:9" hidden="1" x14ac:dyDescent="0.25">
      <c r="A930" s="69" t="s">
        <v>131</v>
      </c>
      <c r="B930" s="525"/>
      <c r="C930" s="528"/>
      <c r="D930" s="531"/>
      <c r="E930" s="534"/>
      <c r="F930" s="72">
        <v>6</v>
      </c>
      <c r="G930" s="73" t="s">
        <v>126</v>
      </c>
      <c r="H930" s="74">
        <f t="shared" si="49"/>
        <v>95</v>
      </c>
      <c r="I930" s="69" t="s">
        <v>131</v>
      </c>
    </row>
    <row r="931" spans="1:9" hidden="1" x14ac:dyDescent="0.25">
      <c r="A931" s="69" t="s">
        <v>131</v>
      </c>
      <c r="B931" s="525"/>
      <c r="C931" s="528"/>
      <c r="D931" s="531"/>
      <c r="E931" s="534"/>
      <c r="F931" s="72">
        <v>5</v>
      </c>
      <c r="G931" s="73" t="s">
        <v>126</v>
      </c>
      <c r="H931" s="74">
        <f t="shared" si="49"/>
        <v>90</v>
      </c>
      <c r="I931" s="69" t="s">
        <v>131</v>
      </c>
    </row>
    <row r="932" spans="1:9" hidden="1" x14ac:dyDescent="0.25">
      <c r="A932" s="69" t="s">
        <v>131</v>
      </c>
      <c r="B932" s="525"/>
      <c r="C932" s="528"/>
      <c r="D932" s="531"/>
      <c r="E932" s="534"/>
      <c r="F932" s="72">
        <v>4</v>
      </c>
      <c r="G932" s="73" t="s">
        <v>126</v>
      </c>
      <c r="H932" s="74">
        <f t="shared" si="49"/>
        <v>85</v>
      </c>
      <c r="I932" s="69" t="s">
        <v>131</v>
      </c>
    </row>
    <row r="933" spans="1:9" ht="15.75" hidden="1" thickBot="1" x14ac:dyDescent="0.3">
      <c r="A933" s="69" t="s">
        <v>131</v>
      </c>
      <c r="B933" s="526"/>
      <c r="C933" s="529"/>
      <c r="D933" s="531"/>
      <c r="E933" s="534"/>
      <c r="F933" s="72">
        <v>3</v>
      </c>
      <c r="G933" s="73" t="s">
        <v>126</v>
      </c>
      <c r="H933" s="74">
        <f t="shared" si="49"/>
        <v>80</v>
      </c>
      <c r="I933" s="69" t="s">
        <v>131</v>
      </c>
    </row>
    <row r="934" spans="1:9" hidden="1" x14ac:dyDescent="0.25">
      <c r="A934" s="69" t="s">
        <v>131</v>
      </c>
      <c r="B934" s="541" t="s">
        <v>128</v>
      </c>
      <c r="C934" s="527"/>
      <c r="D934" s="531"/>
      <c r="E934" s="534"/>
      <c r="F934" s="72">
        <v>2</v>
      </c>
      <c r="G934" s="73" t="s">
        <v>126</v>
      </c>
      <c r="H934" s="74">
        <f t="shared" si="49"/>
        <v>75</v>
      </c>
      <c r="I934" s="69" t="s">
        <v>131</v>
      </c>
    </row>
    <row r="935" spans="1:9" ht="15.75" hidden="1" thickBot="1" x14ac:dyDescent="0.3">
      <c r="A935" s="69" t="s">
        <v>131</v>
      </c>
      <c r="B935" s="542"/>
      <c r="C935" s="529"/>
      <c r="D935" s="532"/>
      <c r="E935" s="535"/>
      <c r="F935" s="75">
        <v>1</v>
      </c>
      <c r="G935" s="76" t="s">
        <v>126</v>
      </c>
      <c r="H935" s="77">
        <f t="shared" si="49"/>
        <v>70</v>
      </c>
      <c r="I935" s="69" t="s">
        <v>131</v>
      </c>
    </row>
    <row r="936" spans="1:9" ht="15.75" hidden="1" thickBot="1" x14ac:dyDescent="0.3">
      <c r="A936" s="69" t="s">
        <v>131</v>
      </c>
      <c r="B936" s="548">
        <v>10</v>
      </c>
      <c r="C936" s="527"/>
      <c r="D936" s="57" t="s">
        <v>125</v>
      </c>
      <c r="E936" s="58">
        <v>0.6</v>
      </c>
      <c r="F936" s="78">
        <v>10</v>
      </c>
      <c r="G936" s="79" t="s">
        <v>126</v>
      </c>
      <c r="H936" s="80">
        <v>115</v>
      </c>
      <c r="I936" s="69" t="s">
        <v>131</v>
      </c>
    </row>
    <row r="937" spans="1:9" hidden="1" x14ac:dyDescent="0.25">
      <c r="A937" s="69" t="s">
        <v>131</v>
      </c>
      <c r="B937" s="525"/>
      <c r="C937" s="528"/>
      <c r="D937" s="530"/>
      <c r="E937" s="533">
        <f>IF(D937=0,0,VLOOKUP($D937,$F936:$H945,3,FALSE)*$E936)</f>
        <v>0</v>
      </c>
      <c r="F937" s="72">
        <v>9</v>
      </c>
      <c r="G937" s="73" t="s">
        <v>126</v>
      </c>
      <c r="H937" s="74">
        <f>H936-5</f>
        <v>110</v>
      </c>
      <c r="I937" s="69" t="s">
        <v>131</v>
      </c>
    </row>
    <row r="938" spans="1:9" hidden="1" x14ac:dyDescent="0.25">
      <c r="A938" s="69" t="s">
        <v>131</v>
      </c>
      <c r="B938" s="525"/>
      <c r="C938" s="528"/>
      <c r="D938" s="531"/>
      <c r="E938" s="534"/>
      <c r="F938" s="72">
        <v>8</v>
      </c>
      <c r="G938" s="73" t="s">
        <v>126</v>
      </c>
      <c r="H938" s="74">
        <f t="shared" ref="H938:H945" si="50">H937-5</f>
        <v>105</v>
      </c>
      <c r="I938" s="69" t="s">
        <v>131</v>
      </c>
    </row>
    <row r="939" spans="1:9" hidden="1" x14ac:dyDescent="0.25">
      <c r="A939" s="69" t="s">
        <v>131</v>
      </c>
      <c r="B939" s="525"/>
      <c r="C939" s="528"/>
      <c r="D939" s="531"/>
      <c r="E939" s="534"/>
      <c r="F939" s="72">
        <v>7</v>
      </c>
      <c r="G939" s="73" t="s">
        <v>126</v>
      </c>
      <c r="H939" s="74">
        <f t="shared" si="50"/>
        <v>100</v>
      </c>
      <c r="I939" s="69" t="s">
        <v>131</v>
      </c>
    </row>
    <row r="940" spans="1:9" hidden="1" x14ac:dyDescent="0.25">
      <c r="A940" s="69" t="s">
        <v>131</v>
      </c>
      <c r="B940" s="525"/>
      <c r="C940" s="528"/>
      <c r="D940" s="531"/>
      <c r="E940" s="534"/>
      <c r="F940" s="72">
        <v>6</v>
      </c>
      <c r="G940" s="73" t="s">
        <v>126</v>
      </c>
      <c r="H940" s="74">
        <f t="shared" si="50"/>
        <v>95</v>
      </c>
      <c r="I940" s="69" t="s">
        <v>131</v>
      </c>
    </row>
    <row r="941" spans="1:9" hidden="1" x14ac:dyDescent="0.25">
      <c r="A941" s="69" t="s">
        <v>131</v>
      </c>
      <c r="B941" s="525"/>
      <c r="C941" s="528"/>
      <c r="D941" s="531"/>
      <c r="E941" s="534"/>
      <c r="F941" s="72">
        <v>5</v>
      </c>
      <c r="G941" s="73" t="s">
        <v>126</v>
      </c>
      <c r="H941" s="74">
        <f t="shared" si="50"/>
        <v>90</v>
      </c>
      <c r="I941" s="69" t="s">
        <v>131</v>
      </c>
    </row>
    <row r="942" spans="1:9" hidden="1" x14ac:dyDescent="0.25">
      <c r="A942" s="69" t="s">
        <v>131</v>
      </c>
      <c r="B942" s="525"/>
      <c r="C942" s="528"/>
      <c r="D942" s="531"/>
      <c r="E942" s="534"/>
      <c r="F942" s="72">
        <v>4</v>
      </c>
      <c r="G942" s="73" t="s">
        <v>126</v>
      </c>
      <c r="H942" s="74">
        <f t="shared" si="50"/>
        <v>85</v>
      </c>
      <c r="I942" s="69" t="s">
        <v>131</v>
      </c>
    </row>
    <row r="943" spans="1:9" ht="15.75" hidden="1" thickBot="1" x14ac:dyDescent="0.3">
      <c r="A943" s="69" t="s">
        <v>131</v>
      </c>
      <c r="B943" s="526"/>
      <c r="C943" s="529"/>
      <c r="D943" s="531"/>
      <c r="E943" s="534"/>
      <c r="F943" s="72">
        <v>3</v>
      </c>
      <c r="G943" s="73" t="s">
        <v>126</v>
      </c>
      <c r="H943" s="74">
        <f t="shared" si="50"/>
        <v>80</v>
      </c>
      <c r="I943" s="69" t="s">
        <v>131</v>
      </c>
    </row>
    <row r="944" spans="1:9" hidden="1" x14ac:dyDescent="0.25">
      <c r="A944" s="69" t="s">
        <v>131</v>
      </c>
      <c r="B944" s="541" t="s">
        <v>128</v>
      </c>
      <c r="C944" s="527"/>
      <c r="D944" s="531"/>
      <c r="E944" s="534"/>
      <c r="F944" s="72">
        <v>2</v>
      </c>
      <c r="G944" s="73" t="s">
        <v>126</v>
      </c>
      <c r="H944" s="74">
        <f t="shared" si="50"/>
        <v>75</v>
      </c>
      <c r="I944" s="69" t="s">
        <v>131</v>
      </c>
    </row>
    <row r="945" spans="1:10" ht="15.75" hidden="1" thickBot="1" x14ac:dyDescent="0.3">
      <c r="A945" s="69" t="s">
        <v>131</v>
      </c>
      <c r="B945" s="542"/>
      <c r="C945" s="529"/>
      <c r="D945" s="532"/>
      <c r="E945" s="535"/>
      <c r="F945" s="75">
        <v>1</v>
      </c>
      <c r="G945" s="76" t="s">
        <v>126</v>
      </c>
      <c r="H945" s="77">
        <f t="shared" si="50"/>
        <v>70</v>
      </c>
      <c r="I945" s="69" t="s">
        <v>131</v>
      </c>
    </row>
    <row r="946" spans="1:10" x14ac:dyDescent="0.25">
      <c r="A946" s="69" t="s">
        <v>131</v>
      </c>
      <c r="B946" s="69" t="s">
        <v>131</v>
      </c>
      <c r="C946" s="69" t="s">
        <v>131</v>
      </c>
      <c r="D946" s="69" t="s">
        <v>131</v>
      </c>
      <c r="E946" s="69" t="s">
        <v>131</v>
      </c>
      <c r="F946" s="69" t="s">
        <v>131</v>
      </c>
      <c r="G946" s="69" t="s">
        <v>131</v>
      </c>
      <c r="H946" s="69" t="s">
        <v>131</v>
      </c>
      <c r="I946" s="69" t="s">
        <v>131</v>
      </c>
    </row>
    <row r="947" spans="1:10" ht="41.25" customHeight="1" x14ac:dyDescent="0.25">
      <c r="B947" s="366" t="s">
        <v>105</v>
      </c>
      <c r="C947" s="366"/>
      <c r="D947" s="366"/>
      <c r="E947" s="366"/>
      <c r="F947" s="366"/>
      <c r="G947" s="366"/>
      <c r="H947" s="366"/>
      <c r="I947" s="129"/>
      <c r="J947" s="129"/>
    </row>
    <row r="954" spans="1:10" ht="30.75" customHeight="1" x14ac:dyDescent="0.25">
      <c r="B954" s="366" t="s">
        <v>106</v>
      </c>
      <c r="C954" s="366"/>
      <c r="D954" s="366"/>
      <c r="E954" s="366"/>
      <c r="F954" s="366"/>
      <c r="G954" s="366"/>
      <c r="H954" s="366"/>
      <c r="I954" s="129"/>
      <c r="J954" s="129"/>
    </row>
    <row r="961" spans="2:23" x14ac:dyDescent="0.25">
      <c r="V961" t="s">
        <v>137</v>
      </c>
      <c r="W961" t="str">
        <f>$V$961&amp;$V$962</f>
        <v>Karyawan : Dewi Sundari</v>
      </c>
    </row>
    <row r="962" spans="2:23" x14ac:dyDescent="0.25">
      <c r="B962" s="46" t="s">
        <v>107</v>
      </c>
      <c r="V962" t="str">
        <f>W21</f>
        <v>Dewi Sundari</v>
      </c>
    </row>
    <row r="963" spans="2:23" x14ac:dyDescent="0.25">
      <c r="V963" t="str">
        <f>$V$964&amp;$W$964</f>
        <v>Level Manager berikutnya : Vita Ari Puspita</v>
      </c>
    </row>
    <row r="964" spans="2:23" x14ac:dyDescent="0.25">
      <c r="B964" t="s">
        <v>108</v>
      </c>
      <c r="C964" s="130" t="s">
        <v>109</v>
      </c>
      <c r="D964" s="131" t="s">
        <v>110</v>
      </c>
      <c r="G964" s="25" t="s">
        <v>111</v>
      </c>
      <c r="V964" t="s">
        <v>138</v>
      </c>
      <c r="W964" t="str">
        <f>D9</f>
        <v>Vita Ari Puspita</v>
      </c>
    </row>
    <row r="965" spans="2:23" x14ac:dyDescent="0.25">
      <c r="V965" t="str">
        <f>$V$966&amp;$W$965&amp;$V$967&amp;$W$965&amp;$W$966</f>
        <v>Atasan langsung : Ahmad Syaiti</v>
      </c>
      <c r="W965" s="132" t="s">
        <v>89</v>
      </c>
    </row>
    <row r="966" spans="2:23" x14ac:dyDescent="0.25">
      <c r="B966" t="s">
        <v>47</v>
      </c>
      <c r="C966" s="130" t="s">
        <v>109</v>
      </c>
      <c r="D966" s="131" t="s">
        <v>110</v>
      </c>
      <c r="G966" s="25" t="s">
        <v>111</v>
      </c>
      <c r="V966" t="str">
        <f>B8</f>
        <v>Atasan langsung</v>
      </c>
      <c r="W966" t="str">
        <f>D8</f>
        <v>Ahmad Syaiti</v>
      </c>
    </row>
    <row r="967" spans="2:23" x14ac:dyDescent="0.25">
      <c r="V967" t="s">
        <v>136</v>
      </c>
    </row>
    <row r="968" spans="2:23" x14ac:dyDescent="0.25">
      <c r="B968" t="s">
        <v>112</v>
      </c>
    </row>
    <row r="969" spans="2:23" ht="28.5" customHeight="1" x14ac:dyDescent="0.25"/>
    <row r="990" spans="11:12" x14ac:dyDescent="0.25">
      <c r="K990" s="129"/>
      <c r="L990" s="129"/>
    </row>
    <row r="997" spans="11:12" x14ac:dyDescent="0.25">
      <c r="K997" s="129"/>
      <c r="L997" s="129"/>
    </row>
  </sheetData>
  <mergeCells count="604">
    <mergeCell ref="G524:I524"/>
    <mergeCell ref="G523:I523"/>
    <mergeCell ref="M190:M19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266:B273"/>
    <mergeCell ref="C266:C273"/>
    <mergeCell ref="D267:D275"/>
    <mergeCell ref="E267:E275"/>
    <mergeCell ref="B274:B275"/>
    <mergeCell ref="C274:C275"/>
    <mergeCell ref="B276:B283"/>
    <mergeCell ref="D277:D285"/>
    <mergeCell ref="E277:E285"/>
    <mergeCell ref="B284:B285"/>
    <mergeCell ref="C284:C285"/>
    <mergeCell ref="B246:B253"/>
    <mergeCell ref="C246:C253"/>
    <mergeCell ref="D247:D255"/>
    <mergeCell ref="E247:E255"/>
    <mergeCell ref="B254:B255"/>
    <mergeCell ref="C254:C255"/>
    <mergeCell ref="B256:B263"/>
    <mergeCell ref="C256:C263"/>
    <mergeCell ref="D257:D265"/>
    <mergeCell ref="E257:E265"/>
    <mergeCell ref="B264:B265"/>
    <mergeCell ref="C264:C265"/>
    <mergeCell ref="C276:C283"/>
    <mergeCell ref="G233:I233"/>
    <mergeCell ref="G234:I234"/>
    <mergeCell ref="D235:E235"/>
    <mergeCell ref="F235:H235"/>
    <mergeCell ref="B236:B243"/>
    <mergeCell ref="C236:C243"/>
    <mergeCell ref="D237:D245"/>
    <mergeCell ref="E237:E245"/>
    <mergeCell ref="B244:B245"/>
    <mergeCell ref="C244:C245"/>
    <mergeCell ref="B212:B219"/>
    <mergeCell ref="C212:C219"/>
    <mergeCell ref="D213:D221"/>
    <mergeCell ref="E213:E221"/>
    <mergeCell ref="B220:B221"/>
    <mergeCell ref="C220:C221"/>
    <mergeCell ref="B222:B229"/>
    <mergeCell ref="C222:C229"/>
    <mergeCell ref="D223:D231"/>
    <mergeCell ref="E223:E231"/>
    <mergeCell ref="B230:B231"/>
    <mergeCell ref="C230:C231"/>
    <mergeCell ref="K180:M180"/>
    <mergeCell ref="B181:B188"/>
    <mergeCell ref="C181:C188"/>
    <mergeCell ref="D182:D190"/>
    <mergeCell ref="E182:E190"/>
    <mergeCell ref="M182:M186"/>
    <mergeCell ref="K188:M188"/>
    <mergeCell ref="B189:B190"/>
    <mergeCell ref="C189:C190"/>
    <mergeCell ref="D191:E191"/>
    <mergeCell ref="F191:H191"/>
    <mergeCell ref="B192:B199"/>
    <mergeCell ref="C192:C199"/>
    <mergeCell ref="D193:D201"/>
    <mergeCell ref="E193:E201"/>
    <mergeCell ref="B200:B201"/>
    <mergeCell ref="C200:C201"/>
    <mergeCell ref="B947:H947"/>
    <mergeCell ref="B916:B923"/>
    <mergeCell ref="C916:C923"/>
    <mergeCell ref="D917:D925"/>
    <mergeCell ref="E917:E925"/>
    <mergeCell ref="B924:B925"/>
    <mergeCell ref="C924:C925"/>
    <mergeCell ref="B906:B913"/>
    <mergeCell ref="C906:C913"/>
    <mergeCell ref="D907:D915"/>
    <mergeCell ref="E907:E915"/>
    <mergeCell ref="B914:B915"/>
    <mergeCell ref="C914:C915"/>
    <mergeCell ref="B896:B903"/>
    <mergeCell ref="C896:C903"/>
    <mergeCell ref="D897:D905"/>
    <mergeCell ref="B954:H954"/>
    <mergeCell ref="B936:B943"/>
    <mergeCell ref="C936:C943"/>
    <mergeCell ref="D937:D945"/>
    <mergeCell ref="E937:E945"/>
    <mergeCell ref="B944:B945"/>
    <mergeCell ref="C944:C945"/>
    <mergeCell ref="B926:B933"/>
    <mergeCell ref="C926:C933"/>
    <mergeCell ref="D927:D935"/>
    <mergeCell ref="E927:E935"/>
    <mergeCell ref="B934:B935"/>
    <mergeCell ref="C934:C935"/>
    <mergeCell ref="E897:E905"/>
    <mergeCell ref="B904:B905"/>
    <mergeCell ref="C904:C905"/>
    <mergeCell ref="B886:B893"/>
    <mergeCell ref="C886:C893"/>
    <mergeCell ref="D887:D895"/>
    <mergeCell ref="E887:E895"/>
    <mergeCell ref="B894:B895"/>
    <mergeCell ref="C894:C895"/>
    <mergeCell ref="B876:B883"/>
    <mergeCell ref="C876:C883"/>
    <mergeCell ref="D877:D885"/>
    <mergeCell ref="E877:E885"/>
    <mergeCell ref="B884:B885"/>
    <mergeCell ref="C884:C885"/>
    <mergeCell ref="B866:B873"/>
    <mergeCell ref="C866:C873"/>
    <mergeCell ref="D867:D875"/>
    <mergeCell ref="E867:E875"/>
    <mergeCell ref="B874:B875"/>
    <mergeCell ref="C874:C875"/>
    <mergeCell ref="B856:B863"/>
    <mergeCell ref="C856:C863"/>
    <mergeCell ref="D857:D865"/>
    <mergeCell ref="E857:E865"/>
    <mergeCell ref="B864:B865"/>
    <mergeCell ref="C864:C865"/>
    <mergeCell ref="D845:E845"/>
    <mergeCell ref="F845:H845"/>
    <mergeCell ref="B846:B853"/>
    <mergeCell ref="C846:C853"/>
    <mergeCell ref="D847:D855"/>
    <mergeCell ref="E847:E855"/>
    <mergeCell ref="B854:B855"/>
    <mergeCell ref="C854:C855"/>
    <mergeCell ref="M844:M853"/>
    <mergeCell ref="B802:B809"/>
    <mergeCell ref="C802:C809"/>
    <mergeCell ref="D803:D811"/>
    <mergeCell ref="E803:E811"/>
    <mergeCell ref="B810:B811"/>
    <mergeCell ref="C810:C811"/>
    <mergeCell ref="B832:B839"/>
    <mergeCell ref="C832:C839"/>
    <mergeCell ref="D833:D841"/>
    <mergeCell ref="E833:E841"/>
    <mergeCell ref="B840:B841"/>
    <mergeCell ref="C840:C841"/>
    <mergeCell ref="B822:B829"/>
    <mergeCell ref="C822:C829"/>
    <mergeCell ref="D823:D831"/>
    <mergeCell ref="E823:E831"/>
    <mergeCell ref="B830:B831"/>
    <mergeCell ref="C830:C831"/>
    <mergeCell ref="G844:I844"/>
    <mergeCell ref="G843:I843"/>
    <mergeCell ref="G788:I788"/>
    <mergeCell ref="G789:I789"/>
    <mergeCell ref="D791:E791"/>
    <mergeCell ref="F791:H791"/>
    <mergeCell ref="B792:B799"/>
    <mergeCell ref="C792:C799"/>
    <mergeCell ref="D793:D801"/>
    <mergeCell ref="E793:E801"/>
    <mergeCell ref="M836:M840"/>
    <mergeCell ref="B812:B819"/>
    <mergeCell ref="C812:C819"/>
    <mergeCell ref="D813:D821"/>
    <mergeCell ref="E813:E821"/>
    <mergeCell ref="B820:B821"/>
    <mergeCell ref="C820:C821"/>
    <mergeCell ref="B800:B801"/>
    <mergeCell ref="C800:C801"/>
    <mergeCell ref="B776:B783"/>
    <mergeCell ref="C776:C783"/>
    <mergeCell ref="D777:D785"/>
    <mergeCell ref="E777:E785"/>
    <mergeCell ref="B784:B785"/>
    <mergeCell ref="C784:C785"/>
    <mergeCell ref="B766:B773"/>
    <mergeCell ref="C766:C773"/>
    <mergeCell ref="D767:D775"/>
    <mergeCell ref="E767:E775"/>
    <mergeCell ref="B774:B775"/>
    <mergeCell ref="C774:C775"/>
    <mergeCell ref="B756:B763"/>
    <mergeCell ref="C756:C763"/>
    <mergeCell ref="D757:D765"/>
    <mergeCell ref="E757:E765"/>
    <mergeCell ref="B764:B765"/>
    <mergeCell ref="C764:C765"/>
    <mergeCell ref="B746:B753"/>
    <mergeCell ref="C746:C753"/>
    <mergeCell ref="D747:D755"/>
    <mergeCell ref="E747:E755"/>
    <mergeCell ref="B754:B755"/>
    <mergeCell ref="C754:C755"/>
    <mergeCell ref="B736:B743"/>
    <mergeCell ref="C736:C743"/>
    <mergeCell ref="D737:D745"/>
    <mergeCell ref="E737:E745"/>
    <mergeCell ref="B744:B745"/>
    <mergeCell ref="C744:C745"/>
    <mergeCell ref="B726:B733"/>
    <mergeCell ref="C726:C733"/>
    <mergeCell ref="D727:D735"/>
    <mergeCell ref="E727:E735"/>
    <mergeCell ref="B734:B735"/>
    <mergeCell ref="C734:C735"/>
    <mergeCell ref="B716:B723"/>
    <mergeCell ref="C716:C723"/>
    <mergeCell ref="D717:D725"/>
    <mergeCell ref="E717:E725"/>
    <mergeCell ref="B724:B725"/>
    <mergeCell ref="C724:C725"/>
    <mergeCell ref="B706:B713"/>
    <mergeCell ref="C706:C713"/>
    <mergeCell ref="D707:D715"/>
    <mergeCell ref="E707:E715"/>
    <mergeCell ref="B714:B715"/>
    <mergeCell ref="C714:C715"/>
    <mergeCell ref="B696:B703"/>
    <mergeCell ref="C696:C703"/>
    <mergeCell ref="D697:D705"/>
    <mergeCell ref="E697:E705"/>
    <mergeCell ref="B704:B705"/>
    <mergeCell ref="C704:C705"/>
    <mergeCell ref="D685:E685"/>
    <mergeCell ref="F685:H685"/>
    <mergeCell ref="B686:B693"/>
    <mergeCell ref="C686:C693"/>
    <mergeCell ref="D687:D695"/>
    <mergeCell ref="E687:E695"/>
    <mergeCell ref="B694:B695"/>
    <mergeCell ref="C694:C695"/>
    <mergeCell ref="M684:M693"/>
    <mergeCell ref="B642:B649"/>
    <mergeCell ref="C642:C649"/>
    <mergeCell ref="D643:D651"/>
    <mergeCell ref="E643:E651"/>
    <mergeCell ref="B650:B651"/>
    <mergeCell ref="C650:C651"/>
    <mergeCell ref="B672:B679"/>
    <mergeCell ref="C672:C679"/>
    <mergeCell ref="D673:D681"/>
    <mergeCell ref="E673:E681"/>
    <mergeCell ref="B680:B681"/>
    <mergeCell ref="C680:C681"/>
    <mergeCell ref="B662:B669"/>
    <mergeCell ref="C662:C669"/>
    <mergeCell ref="D663:D671"/>
    <mergeCell ref="E663:E671"/>
    <mergeCell ref="B670:B671"/>
    <mergeCell ref="C670:C671"/>
    <mergeCell ref="G684:I684"/>
    <mergeCell ref="G683:I683"/>
    <mergeCell ref="G628:I628"/>
    <mergeCell ref="G629:I629"/>
    <mergeCell ref="D631:E631"/>
    <mergeCell ref="F631:H631"/>
    <mergeCell ref="B632:B639"/>
    <mergeCell ref="C632:C639"/>
    <mergeCell ref="D633:D641"/>
    <mergeCell ref="E633:E641"/>
    <mergeCell ref="M676:M680"/>
    <mergeCell ref="B652:B659"/>
    <mergeCell ref="C652:C659"/>
    <mergeCell ref="D653:D661"/>
    <mergeCell ref="E653:E661"/>
    <mergeCell ref="B660:B661"/>
    <mergeCell ref="C660:C661"/>
    <mergeCell ref="B640:B641"/>
    <mergeCell ref="C640:C641"/>
    <mergeCell ref="B616:B623"/>
    <mergeCell ref="C616:C623"/>
    <mergeCell ref="D617:D625"/>
    <mergeCell ref="E617:E625"/>
    <mergeCell ref="B624:B625"/>
    <mergeCell ref="C624:C625"/>
    <mergeCell ref="B606:B613"/>
    <mergeCell ref="C606:C613"/>
    <mergeCell ref="D607:D615"/>
    <mergeCell ref="E607:E615"/>
    <mergeCell ref="B614:B615"/>
    <mergeCell ref="C614:C615"/>
    <mergeCell ref="B596:B603"/>
    <mergeCell ref="C596:C603"/>
    <mergeCell ref="D597:D605"/>
    <mergeCell ref="E597:E605"/>
    <mergeCell ref="B604:B605"/>
    <mergeCell ref="C604:C605"/>
    <mergeCell ref="B586:B593"/>
    <mergeCell ref="C586:C593"/>
    <mergeCell ref="D587:D595"/>
    <mergeCell ref="E587:E595"/>
    <mergeCell ref="B594:B595"/>
    <mergeCell ref="C594:C595"/>
    <mergeCell ref="B576:B583"/>
    <mergeCell ref="C576:C583"/>
    <mergeCell ref="D577:D585"/>
    <mergeCell ref="E577:E585"/>
    <mergeCell ref="B584:B585"/>
    <mergeCell ref="C584:C585"/>
    <mergeCell ref="B566:B573"/>
    <mergeCell ref="C566:C573"/>
    <mergeCell ref="D567:D575"/>
    <mergeCell ref="E567:E575"/>
    <mergeCell ref="B574:B575"/>
    <mergeCell ref="C574:C575"/>
    <mergeCell ref="F525:H525"/>
    <mergeCell ref="B526:B533"/>
    <mergeCell ref="C526:C533"/>
    <mergeCell ref="D527:D535"/>
    <mergeCell ref="E527:E535"/>
    <mergeCell ref="B534:B535"/>
    <mergeCell ref="C534:C535"/>
    <mergeCell ref="B556:B563"/>
    <mergeCell ref="C556:C563"/>
    <mergeCell ref="D557:D565"/>
    <mergeCell ref="E557:E565"/>
    <mergeCell ref="B564:B565"/>
    <mergeCell ref="C564:C565"/>
    <mergeCell ref="B546:B553"/>
    <mergeCell ref="C546:C553"/>
    <mergeCell ref="D547:D555"/>
    <mergeCell ref="E547:E555"/>
    <mergeCell ref="B554:B555"/>
    <mergeCell ref="C554:C555"/>
    <mergeCell ref="C520:C521"/>
    <mergeCell ref="B502:B509"/>
    <mergeCell ref="C502:C509"/>
    <mergeCell ref="D503:D511"/>
    <mergeCell ref="E503:E511"/>
    <mergeCell ref="B510:B511"/>
    <mergeCell ref="C510:C511"/>
    <mergeCell ref="B536:B543"/>
    <mergeCell ref="C536:C543"/>
    <mergeCell ref="D537:D545"/>
    <mergeCell ref="E537:E545"/>
    <mergeCell ref="B544:B545"/>
    <mergeCell ref="C544:C545"/>
    <mergeCell ref="D525:E525"/>
    <mergeCell ref="M523:M532"/>
    <mergeCell ref="D481:E481"/>
    <mergeCell ref="F481:H481"/>
    <mergeCell ref="B482:B489"/>
    <mergeCell ref="C482:C489"/>
    <mergeCell ref="D483:D491"/>
    <mergeCell ref="E483:E491"/>
    <mergeCell ref="C471:C478"/>
    <mergeCell ref="B471:B478"/>
    <mergeCell ref="B490:B491"/>
    <mergeCell ref="C490:C491"/>
    <mergeCell ref="B492:B499"/>
    <mergeCell ref="C492:C499"/>
    <mergeCell ref="D493:D501"/>
    <mergeCell ref="E493:E501"/>
    <mergeCell ref="B500:B501"/>
    <mergeCell ref="C500:C501"/>
    <mergeCell ref="B479:B480"/>
    <mergeCell ref="C479:C480"/>
    <mergeCell ref="B512:B519"/>
    <mergeCell ref="C512:C519"/>
    <mergeCell ref="D513:D521"/>
    <mergeCell ref="E513:E521"/>
    <mergeCell ref="B520:B521"/>
    <mergeCell ref="G467:I467"/>
    <mergeCell ref="G468:I468"/>
    <mergeCell ref="D470:E470"/>
    <mergeCell ref="F470:H470"/>
    <mergeCell ref="D472:D480"/>
    <mergeCell ref="E472:E480"/>
    <mergeCell ref="M469:M473"/>
    <mergeCell ref="B455:B462"/>
    <mergeCell ref="C455:C462"/>
    <mergeCell ref="D456:D464"/>
    <mergeCell ref="E456:E464"/>
    <mergeCell ref="B463:B464"/>
    <mergeCell ref="C463:C464"/>
    <mergeCell ref="B445:B452"/>
    <mergeCell ref="C445:C452"/>
    <mergeCell ref="D446:D454"/>
    <mergeCell ref="E446:E454"/>
    <mergeCell ref="B453:B454"/>
    <mergeCell ref="C453:C454"/>
    <mergeCell ref="B435:B442"/>
    <mergeCell ref="C435:C442"/>
    <mergeCell ref="D436:D444"/>
    <mergeCell ref="E436:E444"/>
    <mergeCell ref="B443:B444"/>
    <mergeCell ref="C443:C444"/>
    <mergeCell ref="B425:B432"/>
    <mergeCell ref="C425:C432"/>
    <mergeCell ref="D426:D434"/>
    <mergeCell ref="E426:E434"/>
    <mergeCell ref="B433:B434"/>
    <mergeCell ref="C433:C434"/>
    <mergeCell ref="B415:B422"/>
    <mergeCell ref="C415:C422"/>
    <mergeCell ref="D416:D424"/>
    <mergeCell ref="E416:E424"/>
    <mergeCell ref="B423:B424"/>
    <mergeCell ref="C423:C424"/>
    <mergeCell ref="B405:B412"/>
    <mergeCell ref="C405:C412"/>
    <mergeCell ref="D406:D414"/>
    <mergeCell ref="E406:E414"/>
    <mergeCell ref="B413:B414"/>
    <mergeCell ref="C413:C414"/>
    <mergeCell ref="B395:B402"/>
    <mergeCell ref="C395:C402"/>
    <mergeCell ref="D396:D404"/>
    <mergeCell ref="E396:E404"/>
    <mergeCell ref="B403:B404"/>
    <mergeCell ref="C403:C404"/>
    <mergeCell ref="B385:B392"/>
    <mergeCell ref="C385:C392"/>
    <mergeCell ref="D386:D394"/>
    <mergeCell ref="E386:E394"/>
    <mergeCell ref="B393:B394"/>
    <mergeCell ref="C393:C394"/>
    <mergeCell ref="B375:B382"/>
    <mergeCell ref="C375:C382"/>
    <mergeCell ref="D376:D384"/>
    <mergeCell ref="E376:E384"/>
    <mergeCell ref="B383:B384"/>
    <mergeCell ref="C383:C384"/>
    <mergeCell ref="G362:I362"/>
    <mergeCell ref="G363:I363"/>
    <mergeCell ref="D364:E364"/>
    <mergeCell ref="F364:H364"/>
    <mergeCell ref="B365:B372"/>
    <mergeCell ref="C365:C372"/>
    <mergeCell ref="D366:D374"/>
    <mergeCell ref="E366:E374"/>
    <mergeCell ref="B373:B374"/>
    <mergeCell ref="C373:C374"/>
    <mergeCell ref="B331:B338"/>
    <mergeCell ref="C331:C338"/>
    <mergeCell ref="D332:D340"/>
    <mergeCell ref="E332:E340"/>
    <mergeCell ref="B339:B340"/>
    <mergeCell ref="C339:C340"/>
    <mergeCell ref="B351:B358"/>
    <mergeCell ref="C351:C358"/>
    <mergeCell ref="D352:D360"/>
    <mergeCell ref="E352:E360"/>
    <mergeCell ref="B359:B360"/>
    <mergeCell ref="C359:C360"/>
    <mergeCell ref="B341:B348"/>
    <mergeCell ref="C341:C348"/>
    <mergeCell ref="D342:D350"/>
    <mergeCell ref="E342:E350"/>
    <mergeCell ref="B349:B350"/>
    <mergeCell ref="C349:C350"/>
    <mergeCell ref="M308:M312"/>
    <mergeCell ref="D312:D320"/>
    <mergeCell ref="E312:E320"/>
    <mergeCell ref="B319:B320"/>
    <mergeCell ref="C319:C320"/>
    <mergeCell ref="M316:M325"/>
    <mergeCell ref="B321:B328"/>
    <mergeCell ref="C321:C328"/>
    <mergeCell ref="D322:D330"/>
    <mergeCell ref="E322:E330"/>
    <mergeCell ref="B329:B330"/>
    <mergeCell ref="C329:C330"/>
    <mergeCell ref="G307:I307"/>
    <mergeCell ref="G308:I308"/>
    <mergeCell ref="D310:E310"/>
    <mergeCell ref="F310:H310"/>
    <mergeCell ref="B311:B318"/>
    <mergeCell ref="C311:C318"/>
    <mergeCell ref="D164:E164"/>
    <mergeCell ref="F164:H164"/>
    <mergeCell ref="B165:B172"/>
    <mergeCell ref="C165:C172"/>
    <mergeCell ref="D166:D174"/>
    <mergeCell ref="E166:E174"/>
    <mergeCell ref="B173:B174"/>
    <mergeCell ref="C173:C174"/>
    <mergeCell ref="G177:I177"/>
    <mergeCell ref="G178:I178"/>
    <mergeCell ref="D180:E180"/>
    <mergeCell ref="F180:H180"/>
    <mergeCell ref="B202:B209"/>
    <mergeCell ref="C202:C209"/>
    <mergeCell ref="D203:D211"/>
    <mergeCell ref="E203:E211"/>
    <mergeCell ref="B210:B211"/>
    <mergeCell ref="C210:C211"/>
    <mergeCell ref="D153:E153"/>
    <mergeCell ref="F153:H153"/>
    <mergeCell ref="B154:B161"/>
    <mergeCell ref="C154:C161"/>
    <mergeCell ref="D155:D163"/>
    <mergeCell ref="E155:E163"/>
    <mergeCell ref="B162:B163"/>
    <mergeCell ref="C162:C163"/>
    <mergeCell ref="B143:B150"/>
    <mergeCell ref="C143:C150"/>
    <mergeCell ref="D144:D152"/>
    <mergeCell ref="E144:E152"/>
    <mergeCell ref="B151:B152"/>
    <mergeCell ref="C151:C152"/>
    <mergeCell ref="B133:B140"/>
    <mergeCell ref="C133:C140"/>
    <mergeCell ref="D134:D142"/>
    <mergeCell ref="E134:E142"/>
    <mergeCell ref="B141:B142"/>
    <mergeCell ref="C141:C142"/>
    <mergeCell ref="B123:B130"/>
    <mergeCell ref="C123:C130"/>
    <mergeCell ref="D124:D132"/>
    <mergeCell ref="E124:E132"/>
    <mergeCell ref="B131:B132"/>
    <mergeCell ref="C131:C132"/>
    <mergeCell ref="B113:B120"/>
    <mergeCell ref="C113:C120"/>
    <mergeCell ref="D114:D122"/>
    <mergeCell ref="E114:E122"/>
    <mergeCell ref="B121:B122"/>
    <mergeCell ref="C121:C122"/>
    <mergeCell ref="B103:B110"/>
    <mergeCell ref="C103:C110"/>
    <mergeCell ref="D104:D112"/>
    <mergeCell ref="E104:E112"/>
    <mergeCell ref="B111:B112"/>
    <mergeCell ref="C111:C112"/>
    <mergeCell ref="B93:B100"/>
    <mergeCell ref="D94:D102"/>
    <mergeCell ref="E94:E102"/>
    <mergeCell ref="B101:B102"/>
    <mergeCell ref="C101:C102"/>
    <mergeCell ref="B83:B90"/>
    <mergeCell ref="C93:C100"/>
    <mergeCell ref="D84:D92"/>
    <mergeCell ref="E84:E92"/>
    <mergeCell ref="B91:B92"/>
    <mergeCell ref="C91:C92"/>
    <mergeCell ref="C83:C90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C81:C82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C36:C37"/>
    <mergeCell ref="K17:M17"/>
    <mergeCell ref="B18:B25"/>
    <mergeCell ref="C18:C25"/>
    <mergeCell ref="D19:D27"/>
    <mergeCell ref="E19:E27"/>
    <mergeCell ref="M19:M23"/>
    <mergeCell ref="K25:M25"/>
    <mergeCell ref="B26:B27"/>
    <mergeCell ref="C26:C27"/>
    <mergeCell ref="M27:M36"/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0" verticalDpi="0" r:id="rId1"/>
  <headerFooter>
    <oddHeader>&amp;L&amp;G&amp;R&amp;G</oddHeader>
    <oddFooter>&amp;L&amp;G</oddFooter>
  </headerFooter>
  <rowBreaks count="8" manualBreakCount="8">
    <brk id="361" max="8" man="1"/>
    <brk id="464" max="8" man="1"/>
    <brk id="521" max="8" man="1"/>
    <brk id="625" max="8" man="1"/>
    <brk id="681" max="8" man="1"/>
    <brk id="786" max="8" man="1"/>
    <brk id="841" max="8" man="1"/>
    <brk id="945" max="8" man="1"/>
  </rowBreaks>
  <colBreaks count="1" manualBreakCount="1">
    <brk id="14" max="1048575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A200"/>
  </sheetPr>
  <dimension ref="A1:N84"/>
  <sheetViews>
    <sheetView workbookViewId="0">
      <pane xSplit="8" ySplit="1" topLeftCell="I14" activePane="bottomRight" state="frozen"/>
      <selection pane="topRight" activeCell="I1" sqref="I1"/>
      <selection pane="bottomLeft" activeCell="A2" sqref="A2"/>
      <selection pane="bottomRight" activeCell="G4" sqref="G4"/>
    </sheetView>
  </sheetViews>
  <sheetFormatPr defaultColWidth="11.42578125" defaultRowHeight="14.25" x14ac:dyDescent="0.25"/>
  <cols>
    <col min="1" max="1" width="9.7109375" style="313" bestFit="1" customWidth="1"/>
    <col min="2" max="2" width="32.7109375" style="209" bestFit="1" customWidth="1"/>
    <col min="3" max="3" width="9.5703125" style="248" customWidth="1"/>
    <col min="4" max="4" width="7.5703125" style="209" customWidth="1"/>
    <col min="5" max="5" width="8.85546875" style="209" customWidth="1"/>
    <col min="6" max="6" width="10" style="209" customWidth="1"/>
    <col min="7" max="7" width="9.7109375" style="209" bestFit="1" customWidth="1"/>
    <col min="8" max="8" width="13.85546875" style="209" customWidth="1"/>
    <col min="9" max="9" width="6.5703125" style="209" customWidth="1"/>
    <col min="10" max="10" width="12" style="253" bestFit="1" customWidth="1"/>
    <col min="11" max="11" width="12.5703125" style="248" bestFit="1" customWidth="1"/>
    <col min="12" max="12" width="15.140625" style="248" bestFit="1" customWidth="1"/>
    <col min="13" max="13" width="9.7109375" style="248" bestFit="1" customWidth="1"/>
    <col min="14" max="14" width="4.85546875" style="209" customWidth="1"/>
    <col min="15" max="16384" width="11.42578125" style="209"/>
  </cols>
  <sheetData>
    <row r="1" spans="1:14" s="326" customFormat="1" ht="36" x14ac:dyDescent="0.25">
      <c r="A1" s="324" t="s">
        <v>116</v>
      </c>
      <c r="B1" s="325" t="s">
        <v>215</v>
      </c>
      <c r="C1" s="325" t="s">
        <v>216</v>
      </c>
      <c r="D1" s="325" t="s">
        <v>217</v>
      </c>
      <c r="E1" s="325" t="s">
        <v>218</v>
      </c>
      <c r="F1" s="325" t="s">
        <v>219</v>
      </c>
      <c r="G1" s="325" t="s">
        <v>233</v>
      </c>
      <c r="H1" s="325" t="s">
        <v>220</v>
      </c>
      <c r="J1" s="327" t="s">
        <v>116</v>
      </c>
      <c r="K1" s="328" t="s">
        <v>221</v>
      </c>
      <c r="L1" s="327" t="s">
        <v>222</v>
      </c>
      <c r="M1" s="327" t="s">
        <v>233</v>
      </c>
      <c r="N1" s="300"/>
    </row>
    <row r="2" spans="1:14" s="299" customFormat="1" ht="12.95" customHeight="1" x14ac:dyDescent="0.25">
      <c r="A2" s="312">
        <v>46024</v>
      </c>
      <c r="B2" s="307" t="s">
        <v>373</v>
      </c>
      <c r="C2" s="308">
        <v>3</v>
      </c>
      <c r="D2" s="319">
        <v>10.48</v>
      </c>
      <c r="E2" s="307">
        <v>11.02</v>
      </c>
      <c r="F2" s="307">
        <v>5</v>
      </c>
      <c r="G2" s="307">
        <v>1</v>
      </c>
      <c r="H2" s="307"/>
      <c r="J2" s="312">
        <v>46024</v>
      </c>
      <c r="K2" s="301" t="s">
        <v>223</v>
      </c>
      <c r="L2" s="302">
        <v>14.58</v>
      </c>
      <c r="M2" s="306">
        <v>1</v>
      </c>
      <c r="N2" s="303"/>
    </row>
    <row r="3" spans="1:14" s="299" customFormat="1" ht="12.95" customHeight="1" x14ac:dyDescent="0.25">
      <c r="A3" s="312">
        <v>46028</v>
      </c>
      <c r="B3" s="310" t="s">
        <v>374</v>
      </c>
      <c r="C3" s="302">
        <v>1</v>
      </c>
      <c r="D3" s="319">
        <v>8.3000000000000007</v>
      </c>
      <c r="E3" s="585">
        <v>8.35</v>
      </c>
      <c r="F3" s="307">
        <v>5</v>
      </c>
      <c r="G3" s="307">
        <v>1</v>
      </c>
      <c r="H3" s="309" t="s">
        <v>375</v>
      </c>
      <c r="J3" s="312">
        <v>46025</v>
      </c>
      <c r="K3" s="301" t="s">
        <v>223</v>
      </c>
      <c r="L3" s="302">
        <v>14.33</v>
      </c>
      <c r="M3" s="306">
        <v>1</v>
      </c>
      <c r="N3" s="300"/>
    </row>
    <row r="4" spans="1:14" s="299" customFormat="1" ht="12.95" customHeight="1" x14ac:dyDescent="0.25">
      <c r="A4" s="312">
        <v>46029</v>
      </c>
      <c r="B4" s="307" t="s">
        <v>376</v>
      </c>
      <c r="C4" s="308">
        <v>3</v>
      </c>
      <c r="D4" s="307">
        <v>14.44</v>
      </c>
      <c r="E4" s="307">
        <v>14.49</v>
      </c>
      <c r="F4" s="307">
        <v>2</v>
      </c>
      <c r="G4" s="307">
        <v>1</v>
      </c>
      <c r="H4" s="307" t="s">
        <v>331</v>
      </c>
      <c r="J4" s="312">
        <v>46027</v>
      </c>
      <c r="K4" s="301" t="s">
        <v>223</v>
      </c>
      <c r="L4" s="302">
        <v>14.52</v>
      </c>
      <c r="M4" s="306">
        <v>1</v>
      </c>
      <c r="N4" s="300"/>
    </row>
    <row r="5" spans="1:14" s="299" customFormat="1" ht="12.95" customHeight="1" x14ac:dyDescent="0.25">
      <c r="A5" s="312">
        <v>46029</v>
      </c>
      <c r="B5" s="310" t="s">
        <v>377</v>
      </c>
      <c r="C5" s="302">
        <v>1</v>
      </c>
      <c r="D5" s="309">
        <v>15.1</v>
      </c>
      <c r="E5" s="309">
        <v>15.12</v>
      </c>
      <c r="F5" s="309">
        <v>2</v>
      </c>
      <c r="G5" s="307">
        <v>1</v>
      </c>
      <c r="H5" s="309" t="s">
        <v>378</v>
      </c>
      <c r="J5" s="312">
        <v>46028</v>
      </c>
      <c r="K5" s="301" t="s">
        <v>223</v>
      </c>
      <c r="L5" s="302">
        <v>14.57</v>
      </c>
      <c r="M5" s="306">
        <v>1</v>
      </c>
      <c r="N5" s="300"/>
    </row>
    <row r="6" spans="1:14" s="299" customFormat="1" ht="12.95" customHeight="1" x14ac:dyDescent="0.25">
      <c r="A6" s="312">
        <v>46029</v>
      </c>
      <c r="B6" s="307" t="s">
        <v>379</v>
      </c>
      <c r="C6" s="308">
        <v>3</v>
      </c>
      <c r="D6" s="307">
        <v>12.54</v>
      </c>
      <c r="E6" s="307">
        <v>13.03</v>
      </c>
      <c r="F6" s="307">
        <v>3</v>
      </c>
      <c r="G6" s="307">
        <v>1</v>
      </c>
      <c r="H6" s="307"/>
      <c r="I6" s="585"/>
      <c r="J6" s="312">
        <v>46029</v>
      </c>
      <c r="K6" s="301" t="s">
        <v>223</v>
      </c>
      <c r="L6" s="304">
        <v>14.58</v>
      </c>
      <c r="M6" s="306">
        <v>1</v>
      </c>
      <c r="N6" s="300"/>
    </row>
    <row r="7" spans="1:14" s="299" customFormat="1" ht="12.95" customHeight="1" x14ac:dyDescent="0.25">
      <c r="A7" s="312">
        <v>46029</v>
      </c>
      <c r="B7" s="310" t="s">
        <v>380</v>
      </c>
      <c r="C7" s="302">
        <v>2</v>
      </c>
      <c r="D7" s="309">
        <v>15.2</v>
      </c>
      <c r="E7" s="309">
        <v>15.27</v>
      </c>
      <c r="F7" s="309">
        <v>3</v>
      </c>
      <c r="G7" s="307">
        <v>1</v>
      </c>
      <c r="H7" s="309"/>
      <c r="I7" s="585"/>
      <c r="J7" s="312">
        <v>46030</v>
      </c>
      <c r="K7" s="301" t="s">
        <v>223</v>
      </c>
      <c r="L7" s="304">
        <v>15.3</v>
      </c>
      <c r="M7" s="306">
        <v>2</v>
      </c>
      <c r="N7" s="300"/>
    </row>
    <row r="8" spans="1:14" s="299" customFormat="1" ht="12.95" customHeight="1" x14ac:dyDescent="0.25">
      <c r="A8" s="312">
        <v>46030</v>
      </c>
      <c r="B8" s="307" t="s">
        <v>381</v>
      </c>
      <c r="C8" s="308">
        <v>1</v>
      </c>
      <c r="D8" s="307">
        <v>8.0500000000000007</v>
      </c>
      <c r="E8" s="307">
        <v>8.09</v>
      </c>
      <c r="F8" s="307">
        <v>4</v>
      </c>
      <c r="G8" s="307">
        <v>1</v>
      </c>
      <c r="H8" s="307"/>
      <c r="I8" s="307">
        <v>19.25</v>
      </c>
      <c r="J8" s="312">
        <v>46031</v>
      </c>
      <c r="K8" s="301" t="s">
        <v>223</v>
      </c>
      <c r="L8" s="304">
        <v>14.58</v>
      </c>
      <c r="M8" s="306">
        <v>1</v>
      </c>
      <c r="N8" s="300"/>
    </row>
    <row r="9" spans="1:14" s="299" customFormat="1" ht="12.95" customHeight="1" x14ac:dyDescent="0.25">
      <c r="A9" s="312">
        <v>46030</v>
      </c>
      <c r="B9" s="307" t="s">
        <v>382</v>
      </c>
      <c r="C9" s="308">
        <v>1</v>
      </c>
      <c r="D9" s="307">
        <v>8.0500000000000007</v>
      </c>
      <c r="E9" s="307">
        <v>8.23</v>
      </c>
      <c r="F9" s="307">
        <v>4</v>
      </c>
      <c r="G9" s="307">
        <v>1</v>
      </c>
      <c r="H9" s="307"/>
      <c r="I9" s="307">
        <v>19.25</v>
      </c>
      <c r="J9" s="312">
        <v>46032</v>
      </c>
      <c r="K9" s="301" t="s">
        <v>223</v>
      </c>
      <c r="L9" s="304">
        <v>14.51</v>
      </c>
      <c r="M9" s="306">
        <v>1</v>
      </c>
      <c r="N9" s="303"/>
    </row>
    <row r="10" spans="1:14" s="299" customFormat="1" ht="12.95" customHeight="1" x14ac:dyDescent="0.25">
      <c r="A10" s="312">
        <v>46030</v>
      </c>
      <c r="B10" s="307" t="s">
        <v>383</v>
      </c>
      <c r="C10" s="308">
        <v>2</v>
      </c>
      <c r="D10" s="307">
        <v>8.0500000000000007</v>
      </c>
      <c r="E10" s="307">
        <v>8.19</v>
      </c>
      <c r="F10" s="307">
        <v>5</v>
      </c>
      <c r="G10" s="307">
        <v>1</v>
      </c>
      <c r="H10" s="307" t="s">
        <v>384</v>
      </c>
      <c r="I10" s="307">
        <v>19.25</v>
      </c>
      <c r="J10" s="312">
        <v>46034</v>
      </c>
      <c r="K10" s="301" t="s">
        <v>223</v>
      </c>
      <c r="L10" s="304">
        <v>15.17</v>
      </c>
      <c r="M10" s="306">
        <v>2</v>
      </c>
      <c r="N10" s="300"/>
    </row>
    <row r="11" spans="1:14" s="299" customFormat="1" ht="12.95" customHeight="1" x14ac:dyDescent="0.25">
      <c r="A11" s="312">
        <v>46031</v>
      </c>
      <c r="B11" s="307" t="s">
        <v>385</v>
      </c>
      <c r="C11" s="308">
        <v>3</v>
      </c>
      <c r="D11" s="307">
        <v>9.3000000000000007</v>
      </c>
      <c r="E11" s="307">
        <v>9.42</v>
      </c>
      <c r="F11" s="307">
        <v>4</v>
      </c>
      <c r="G11" s="307">
        <v>1</v>
      </c>
      <c r="H11" s="307"/>
      <c r="I11" s="307"/>
      <c r="J11" s="312">
        <v>46035</v>
      </c>
      <c r="K11" s="301" t="s">
        <v>223</v>
      </c>
      <c r="L11" s="302">
        <v>14.43</v>
      </c>
      <c r="M11" s="306">
        <v>1</v>
      </c>
      <c r="N11" s="300"/>
    </row>
    <row r="12" spans="1:14" s="299" customFormat="1" ht="12.95" customHeight="1" x14ac:dyDescent="0.25">
      <c r="A12" s="312">
        <v>46031</v>
      </c>
      <c r="B12" s="323" t="s">
        <v>340</v>
      </c>
      <c r="C12" s="308">
        <v>3</v>
      </c>
      <c r="D12" s="307">
        <v>9.3000000000000007</v>
      </c>
      <c r="E12" s="307">
        <v>9.48</v>
      </c>
      <c r="F12" s="307">
        <v>5</v>
      </c>
      <c r="G12" s="307">
        <v>1</v>
      </c>
      <c r="H12" s="307"/>
      <c r="I12" s="307"/>
      <c r="J12" s="312">
        <v>46036</v>
      </c>
      <c r="K12" s="301" t="s">
        <v>223</v>
      </c>
      <c r="L12" s="302">
        <v>15.31</v>
      </c>
      <c r="M12" s="306">
        <v>2</v>
      </c>
      <c r="N12" s="300"/>
    </row>
    <row r="13" spans="1:14" s="299" customFormat="1" ht="12.95" customHeight="1" x14ac:dyDescent="0.25">
      <c r="A13" s="312">
        <v>46031</v>
      </c>
      <c r="B13" s="307" t="s">
        <v>339</v>
      </c>
      <c r="C13" s="308">
        <v>3</v>
      </c>
      <c r="D13" s="307">
        <v>9.3000000000000007</v>
      </c>
      <c r="E13" s="307">
        <v>9.4499999999999993</v>
      </c>
      <c r="F13" s="307">
        <v>5</v>
      </c>
      <c r="G13" s="307">
        <v>1</v>
      </c>
      <c r="H13" s="307"/>
      <c r="J13" s="312">
        <v>46037</v>
      </c>
      <c r="K13" s="301" t="s">
        <v>223</v>
      </c>
      <c r="L13" s="302">
        <v>14.59</v>
      </c>
      <c r="M13" s="306">
        <v>1</v>
      </c>
      <c r="N13" s="303"/>
    </row>
    <row r="14" spans="1:14" s="299" customFormat="1" ht="12.95" customHeight="1" x14ac:dyDescent="0.2">
      <c r="A14" s="312">
        <v>46034</v>
      </c>
      <c r="B14" s="323" t="s">
        <v>386</v>
      </c>
      <c r="C14" s="302">
        <v>3</v>
      </c>
      <c r="D14" s="311">
        <v>14.27</v>
      </c>
      <c r="E14" s="309">
        <v>14.36</v>
      </c>
      <c r="F14" s="307">
        <v>3</v>
      </c>
      <c r="G14" s="307">
        <v>1</v>
      </c>
      <c r="H14" s="307"/>
      <c r="I14" s="585"/>
      <c r="J14" s="312">
        <v>46039</v>
      </c>
      <c r="K14" s="301" t="s">
        <v>223</v>
      </c>
      <c r="L14" s="302">
        <v>14.46</v>
      </c>
      <c r="M14" s="306">
        <v>1</v>
      </c>
      <c r="N14" s="303"/>
    </row>
    <row r="15" spans="1:14" s="299" customFormat="1" ht="12.95" customHeight="1" x14ac:dyDescent="0.2">
      <c r="A15" s="312">
        <v>46036</v>
      </c>
      <c r="B15" s="307" t="s">
        <v>387</v>
      </c>
      <c r="C15" s="302">
        <v>1</v>
      </c>
      <c r="D15" s="311">
        <v>11.51</v>
      </c>
      <c r="E15" s="309">
        <v>11.55</v>
      </c>
      <c r="F15" s="309">
        <v>4</v>
      </c>
      <c r="G15" s="307">
        <v>1</v>
      </c>
      <c r="H15" s="309"/>
      <c r="J15" s="312">
        <v>46041</v>
      </c>
      <c r="K15" s="301" t="s">
        <v>223</v>
      </c>
      <c r="L15" s="302">
        <v>15.35</v>
      </c>
      <c r="M15" s="302">
        <v>3</v>
      </c>
      <c r="N15" s="303"/>
    </row>
    <row r="16" spans="1:14" s="299" customFormat="1" ht="12.95" customHeight="1" x14ac:dyDescent="0.2">
      <c r="A16" s="312">
        <v>46036</v>
      </c>
      <c r="B16" s="307" t="s">
        <v>388</v>
      </c>
      <c r="C16" s="302">
        <v>1</v>
      </c>
      <c r="D16" s="311">
        <v>10.59</v>
      </c>
      <c r="E16" s="309">
        <v>11.03</v>
      </c>
      <c r="F16" s="307">
        <v>4</v>
      </c>
      <c r="G16" s="307">
        <v>1</v>
      </c>
      <c r="H16" s="307" t="s">
        <v>384</v>
      </c>
      <c r="J16" s="312">
        <v>46042</v>
      </c>
      <c r="K16" s="301" t="s">
        <v>223</v>
      </c>
      <c r="L16" s="302">
        <v>15.13</v>
      </c>
      <c r="M16" s="306">
        <v>2</v>
      </c>
      <c r="N16" s="303"/>
    </row>
    <row r="17" spans="1:14" s="299" customFormat="1" ht="12.95" customHeight="1" x14ac:dyDescent="0.2">
      <c r="A17" s="312">
        <v>46036</v>
      </c>
      <c r="B17" s="323" t="s">
        <v>389</v>
      </c>
      <c r="C17" s="302">
        <v>1</v>
      </c>
      <c r="D17" s="311">
        <v>10.119999999999999</v>
      </c>
      <c r="E17" s="309">
        <v>10.17</v>
      </c>
      <c r="F17" s="307">
        <v>5</v>
      </c>
      <c r="G17" s="307">
        <v>1</v>
      </c>
      <c r="H17" s="307" t="s">
        <v>384</v>
      </c>
      <c r="J17" s="312">
        <v>46043</v>
      </c>
      <c r="K17" s="301" t="s">
        <v>223</v>
      </c>
      <c r="L17" s="302">
        <v>15.05</v>
      </c>
      <c r="M17" s="306">
        <v>2</v>
      </c>
      <c r="N17" s="303"/>
    </row>
    <row r="18" spans="1:14" s="299" customFormat="1" ht="12.95" customHeight="1" x14ac:dyDescent="0.25">
      <c r="A18" s="312">
        <v>46041</v>
      </c>
      <c r="B18" s="309" t="s">
        <v>390</v>
      </c>
      <c r="C18" s="302">
        <v>1</v>
      </c>
      <c r="D18" s="309">
        <v>19.28</v>
      </c>
      <c r="E18" s="309">
        <v>8.2100000000000009</v>
      </c>
      <c r="F18" s="309">
        <v>3</v>
      </c>
      <c r="G18" s="307">
        <v>1</v>
      </c>
      <c r="H18" s="309"/>
      <c r="J18" s="312">
        <v>46044</v>
      </c>
      <c r="K18" s="301" t="s">
        <v>223</v>
      </c>
      <c r="L18" s="302">
        <v>14.56</v>
      </c>
      <c r="M18" s="306">
        <v>1</v>
      </c>
      <c r="N18" s="300"/>
    </row>
    <row r="19" spans="1:14" s="299" customFormat="1" ht="12.95" customHeight="1" x14ac:dyDescent="0.2">
      <c r="A19" s="312">
        <v>46042</v>
      </c>
      <c r="B19" s="323" t="s">
        <v>391</v>
      </c>
      <c r="C19" s="302">
        <v>1</v>
      </c>
      <c r="D19" s="311">
        <v>13.16</v>
      </c>
      <c r="E19" s="309">
        <v>13.2</v>
      </c>
      <c r="F19" s="307">
        <v>4</v>
      </c>
      <c r="G19" s="307">
        <v>1</v>
      </c>
      <c r="H19" s="307"/>
      <c r="J19" s="312">
        <v>46045</v>
      </c>
      <c r="K19" s="301" t="s">
        <v>223</v>
      </c>
      <c r="L19" s="302">
        <v>15.02</v>
      </c>
      <c r="M19" s="306">
        <v>2</v>
      </c>
      <c r="N19" s="300"/>
    </row>
    <row r="20" spans="1:14" s="299" customFormat="1" ht="12.95" customHeight="1" x14ac:dyDescent="0.25">
      <c r="A20" s="312">
        <v>46045</v>
      </c>
      <c r="B20" s="310" t="s">
        <v>392</v>
      </c>
      <c r="C20" s="302">
        <v>2</v>
      </c>
      <c r="D20" s="319">
        <v>14.5</v>
      </c>
      <c r="E20" s="307">
        <v>14.56</v>
      </c>
      <c r="F20" s="309">
        <v>3</v>
      </c>
      <c r="G20" s="307">
        <v>1</v>
      </c>
      <c r="H20" s="307"/>
      <c r="J20" s="312">
        <v>46046</v>
      </c>
      <c r="K20" s="301" t="s">
        <v>223</v>
      </c>
      <c r="L20" s="302">
        <v>14.3</v>
      </c>
      <c r="M20" s="306">
        <v>1</v>
      </c>
      <c r="N20" s="300"/>
    </row>
    <row r="21" spans="1:14" s="299" customFormat="1" ht="12.95" customHeight="1" x14ac:dyDescent="0.25">
      <c r="A21" s="312">
        <v>46049</v>
      </c>
      <c r="B21" s="310" t="s">
        <v>393</v>
      </c>
      <c r="C21" s="308">
        <v>4</v>
      </c>
      <c r="D21" s="307">
        <v>14.24</v>
      </c>
      <c r="E21" s="307">
        <v>14.44</v>
      </c>
      <c r="F21" s="307">
        <v>5</v>
      </c>
      <c r="G21" s="307">
        <v>1</v>
      </c>
      <c r="H21" s="309"/>
      <c r="J21" s="312">
        <v>46048</v>
      </c>
      <c r="K21" s="301" t="s">
        <v>223</v>
      </c>
      <c r="L21" s="302">
        <v>15.31</v>
      </c>
      <c r="M21" s="306">
        <v>2</v>
      </c>
      <c r="N21" s="300"/>
    </row>
    <row r="22" spans="1:14" s="299" customFormat="1" ht="12.95" customHeight="1" x14ac:dyDescent="0.25">
      <c r="A22" s="312">
        <v>46050</v>
      </c>
      <c r="B22" s="310" t="s">
        <v>394</v>
      </c>
      <c r="C22" s="302">
        <v>1</v>
      </c>
      <c r="D22" s="309">
        <v>8.3800000000000008</v>
      </c>
      <c r="E22" s="309">
        <v>8.44</v>
      </c>
      <c r="F22" s="309">
        <v>3</v>
      </c>
      <c r="G22" s="307">
        <v>1</v>
      </c>
      <c r="H22" s="309"/>
      <c r="J22" s="312">
        <v>46049</v>
      </c>
      <c r="K22" s="301" t="s">
        <v>223</v>
      </c>
      <c r="L22" s="302">
        <v>15.31</v>
      </c>
      <c r="M22" s="306">
        <v>2</v>
      </c>
      <c r="N22" s="300"/>
    </row>
    <row r="23" spans="1:14" s="299" customFormat="1" ht="12.95" customHeight="1" x14ac:dyDescent="0.25">
      <c r="A23" s="312">
        <v>46050</v>
      </c>
      <c r="B23" s="310" t="s">
        <v>395</v>
      </c>
      <c r="C23" s="302">
        <v>1</v>
      </c>
      <c r="D23" s="309">
        <v>13.58</v>
      </c>
      <c r="E23" s="309">
        <v>14</v>
      </c>
      <c r="F23" s="309">
        <v>2</v>
      </c>
      <c r="G23" s="307">
        <v>1</v>
      </c>
      <c r="H23" s="307"/>
      <c r="I23" s="585"/>
      <c r="J23" s="312">
        <v>46050</v>
      </c>
      <c r="K23" s="301" t="s">
        <v>223</v>
      </c>
      <c r="L23" s="302">
        <v>15.41</v>
      </c>
      <c r="M23" s="306">
        <v>3</v>
      </c>
      <c r="N23" s="300"/>
    </row>
    <row r="24" spans="1:14" s="299" customFormat="1" ht="12.95" customHeight="1" x14ac:dyDescent="0.25">
      <c r="A24" s="312">
        <v>46050</v>
      </c>
      <c r="B24" s="310" t="s">
        <v>396</v>
      </c>
      <c r="C24" s="302">
        <v>1</v>
      </c>
      <c r="D24" s="309">
        <v>8.3800000000000008</v>
      </c>
      <c r="E24" s="309">
        <v>8.41</v>
      </c>
      <c r="F24" s="309">
        <v>3</v>
      </c>
      <c r="G24" s="307">
        <v>1</v>
      </c>
      <c r="H24" s="309"/>
      <c r="J24" s="312">
        <v>46051</v>
      </c>
      <c r="K24" s="301" t="s">
        <v>223</v>
      </c>
      <c r="L24" s="302">
        <v>15.14</v>
      </c>
      <c r="M24" s="306">
        <v>2</v>
      </c>
      <c r="N24" s="300"/>
    </row>
    <row r="25" spans="1:14" s="299" customFormat="1" ht="12.95" customHeight="1" x14ac:dyDescent="0.25">
      <c r="A25" s="312">
        <v>46050</v>
      </c>
      <c r="B25" s="309" t="s">
        <v>397</v>
      </c>
      <c r="C25" s="302">
        <v>1</v>
      </c>
      <c r="D25" s="309">
        <v>12.56</v>
      </c>
      <c r="E25" s="309">
        <v>12.59</v>
      </c>
      <c r="F25" s="309">
        <v>3</v>
      </c>
      <c r="G25" s="307">
        <v>1</v>
      </c>
      <c r="H25" s="307"/>
      <c r="J25" s="312">
        <v>46052</v>
      </c>
      <c r="K25" s="301" t="s">
        <v>223</v>
      </c>
      <c r="L25" s="302">
        <v>15.19</v>
      </c>
      <c r="M25" s="306">
        <v>2</v>
      </c>
      <c r="N25" s="300"/>
    </row>
    <row r="26" spans="1:14" s="299" customFormat="1" ht="12.95" customHeight="1" x14ac:dyDescent="0.25">
      <c r="A26" s="312">
        <v>46050</v>
      </c>
      <c r="B26" s="310" t="s">
        <v>398</v>
      </c>
      <c r="C26" s="302">
        <v>1</v>
      </c>
      <c r="D26" s="309">
        <v>14.19</v>
      </c>
      <c r="E26" s="309">
        <v>14.23</v>
      </c>
      <c r="F26" s="309">
        <v>4</v>
      </c>
      <c r="G26" s="307">
        <v>1</v>
      </c>
      <c r="H26" s="307"/>
      <c r="J26" s="312">
        <v>46053</v>
      </c>
      <c r="K26" s="301" t="s">
        <v>223</v>
      </c>
      <c r="L26" s="302">
        <v>14.44</v>
      </c>
      <c r="M26" s="306">
        <v>1</v>
      </c>
      <c r="N26" s="300"/>
    </row>
    <row r="27" spans="1:14" s="299" customFormat="1" ht="12.95" customHeight="1" x14ac:dyDescent="0.2">
      <c r="A27" s="312">
        <v>46052</v>
      </c>
      <c r="B27" s="310" t="s">
        <v>399</v>
      </c>
      <c r="C27" s="308">
        <v>1</v>
      </c>
      <c r="D27" s="311">
        <v>12.34</v>
      </c>
      <c r="E27" s="309">
        <v>12.39</v>
      </c>
      <c r="F27" s="309">
        <v>5</v>
      </c>
      <c r="G27" s="307">
        <v>1</v>
      </c>
      <c r="H27" s="307"/>
      <c r="I27" s="585"/>
      <c r="J27" s="251"/>
      <c r="K27" s="249"/>
      <c r="L27" s="252" t="s">
        <v>291</v>
      </c>
      <c r="M27" s="250">
        <f>AVERAGE(M2:M26)</f>
        <v>1.56</v>
      </c>
      <c r="N27" s="300"/>
    </row>
    <row r="28" spans="1:14" s="299" customFormat="1" ht="12.95" customHeight="1" x14ac:dyDescent="0.2">
      <c r="A28" s="312">
        <v>46052</v>
      </c>
      <c r="B28" s="310" t="s">
        <v>400</v>
      </c>
      <c r="C28" s="308">
        <v>1</v>
      </c>
      <c r="D28" s="311">
        <v>12.34</v>
      </c>
      <c r="E28" s="307">
        <v>0</v>
      </c>
      <c r="F28" s="309">
        <v>3</v>
      </c>
      <c r="G28" s="307">
        <v>1</v>
      </c>
      <c r="H28" s="307"/>
      <c r="N28" s="300"/>
    </row>
    <row r="29" spans="1:14" s="299" customFormat="1" ht="12.95" customHeight="1" x14ac:dyDescent="0.2">
      <c r="A29" s="312">
        <v>46052</v>
      </c>
      <c r="B29" s="310" t="s">
        <v>401</v>
      </c>
      <c r="C29" s="308">
        <v>1</v>
      </c>
      <c r="D29" s="311">
        <v>12.34</v>
      </c>
      <c r="E29" s="307">
        <v>0</v>
      </c>
      <c r="F29" s="309">
        <v>3</v>
      </c>
      <c r="G29" s="307">
        <v>1</v>
      </c>
      <c r="H29" s="307"/>
    </row>
    <row r="30" spans="1:14" s="299" customFormat="1" ht="12.95" customHeight="1" x14ac:dyDescent="0.2">
      <c r="A30" s="312">
        <v>46052</v>
      </c>
      <c r="B30" s="310" t="s">
        <v>402</v>
      </c>
      <c r="C30" s="308">
        <v>1</v>
      </c>
      <c r="D30" s="311">
        <v>12.34</v>
      </c>
      <c r="E30" s="307">
        <v>0</v>
      </c>
      <c r="F30" s="309">
        <v>3</v>
      </c>
      <c r="G30" s="307">
        <v>1</v>
      </c>
      <c r="H30" s="307"/>
    </row>
    <row r="31" spans="1:14" s="299" customFormat="1" ht="12.95" customHeight="1" x14ac:dyDescent="0.2">
      <c r="A31" s="312">
        <v>46052</v>
      </c>
      <c r="B31" s="310" t="s">
        <v>403</v>
      </c>
      <c r="C31" s="308">
        <v>1</v>
      </c>
      <c r="D31" s="311">
        <v>12.34</v>
      </c>
      <c r="E31" s="307">
        <v>0</v>
      </c>
      <c r="F31" s="309">
        <v>3</v>
      </c>
      <c r="G31" s="307">
        <v>1</v>
      </c>
      <c r="H31" s="307"/>
    </row>
    <row r="32" spans="1:14" s="299" customFormat="1" ht="12.95" customHeight="1" x14ac:dyDescent="0.2">
      <c r="A32" s="312">
        <v>46052</v>
      </c>
      <c r="B32" s="310" t="s">
        <v>404</v>
      </c>
      <c r="C32" s="308">
        <v>1</v>
      </c>
      <c r="D32" s="311">
        <v>12.34</v>
      </c>
      <c r="E32" s="311">
        <v>12.51</v>
      </c>
      <c r="F32" s="309">
        <v>3</v>
      </c>
      <c r="G32" s="307">
        <v>1</v>
      </c>
      <c r="H32" s="307"/>
    </row>
    <row r="33" spans="1:14" s="332" customFormat="1" ht="15" x14ac:dyDescent="0.25">
      <c r="A33" s="329"/>
      <c r="B33" s="330" t="s">
        <v>332</v>
      </c>
      <c r="C33" s="331"/>
      <c r="D33" s="330"/>
      <c r="E33" s="330"/>
      <c r="F33" s="330" t="s">
        <v>405</v>
      </c>
      <c r="G33" s="334">
        <f>AVERAGE(G2:G32)</f>
        <v>1</v>
      </c>
      <c r="H33" s="330"/>
      <c r="J33" s="247"/>
      <c r="K33" s="247"/>
      <c r="L33" s="247"/>
      <c r="M33" s="247"/>
      <c r="N33" s="333"/>
    </row>
    <row r="34" spans="1:14" s="247" customFormat="1" ht="15" x14ac:dyDescent="0.25">
      <c r="A34" s="586"/>
      <c r="B34" s="587"/>
      <c r="C34" s="588"/>
      <c r="D34" s="587"/>
      <c r="E34" s="587"/>
      <c r="F34" s="587"/>
      <c r="G34" s="587"/>
      <c r="H34" s="587"/>
      <c r="J34" s="209"/>
      <c r="K34" s="209"/>
      <c r="L34" s="209"/>
      <c r="M34" s="209"/>
    </row>
    <row r="35" spans="1:14" x14ac:dyDescent="0.25">
      <c r="A35" s="320"/>
      <c r="B35" s="321"/>
      <c r="C35" s="322"/>
      <c r="D35" s="321"/>
      <c r="E35" s="321"/>
      <c r="F35" s="321"/>
      <c r="G35" s="321"/>
      <c r="H35" s="321"/>
    </row>
    <row r="36" spans="1:14" x14ac:dyDescent="0.25">
      <c r="A36" s="320"/>
      <c r="B36" s="321"/>
      <c r="C36" s="322"/>
      <c r="D36" s="321"/>
      <c r="E36" s="321"/>
      <c r="F36" s="321"/>
      <c r="G36" s="321"/>
      <c r="H36" s="321"/>
    </row>
    <row r="37" spans="1:14" x14ac:dyDescent="0.25">
      <c r="A37" s="320"/>
      <c r="B37" s="321"/>
      <c r="C37" s="322"/>
      <c r="D37" s="321"/>
      <c r="E37" s="321"/>
      <c r="F37" s="321"/>
      <c r="G37" s="321"/>
      <c r="H37" s="321"/>
    </row>
    <row r="38" spans="1:14" x14ac:dyDescent="0.25">
      <c r="A38" s="320"/>
      <c r="B38" s="321"/>
      <c r="C38" s="322"/>
      <c r="D38" s="321"/>
      <c r="E38" s="321"/>
      <c r="F38" s="321"/>
      <c r="G38" s="321"/>
      <c r="H38" s="321"/>
    </row>
    <row r="39" spans="1:14" x14ac:dyDescent="0.25">
      <c r="A39" s="320"/>
      <c r="B39" s="321"/>
      <c r="C39" s="322"/>
      <c r="D39" s="321"/>
      <c r="E39" s="321"/>
      <c r="F39" s="321"/>
      <c r="G39" s="321"/>
      <c r="H39" s="321"/>
    </row>
    <row r="40" spans="1:14" x14ac:dyDescent="0.25">
      <c r="A40" s="320"/>
      <c r="B40" s="321"/>
      <c r="C40" s="322"/>
      <c r="D40" s="321"/>
      <c r="E40" s="321"/>
      <c r="F40" s="321"/>
      <c r="G40" s="321"/>
      <c r="H40" s="321"/>
    </row>
    <row r="41" spans="1:14" x14ac:dyDescent="0.25">
      <c r="A41" s="320"/>
      <c r="B41" s="321"/>
      <c r="C41" s="322"/>
      <c r="D41" s="321"/>
      <c r="E41" s="321"/>
      <c r="F41" s="321"/>
      <c r="G41" s="321"/>
      <c r="H41" s="321"/>
    </row>
    <row r="42" spans="1:14" x14ac:dyDescent="0.25">
      <c r="A42" s="320"/>
      <c r="B42" s="321"/>
      <c r="C42" s="322"/>
      <c r="D42" s="321"/>
      <c r="E42" s="321"/>
      <c r="F42" s="321"/>
      <c r="G42" s="321"/>
      <c r="H42" s="321"/>
    </row>
    <row r="43" spans="1:14" x14ac:dyDescent="0.25">
      <c r="A43" s="320"/>
      <c r="B43" s="321"/>
      <c r="C43" s="322"/>
      <c r="D43" s="321"/>
      <c r="E43" s="321"/>
      <c r="F43" s="321"/>
      <c r="G43" s="321"/>
      <c r="H43" s="321"/>
    </row>
    <row r="44" spans="1:14" x14ac:dyDescent="0.25">
      <c r="A44" s="320"/>
      <c r="B44" s="321"/>
      <c r="C44" s="322"/>
      <c r="D44" s="321"/>
      <c r="E44" s="321"/>
      <c r="F44" s="321"/>
      <c r="G44" s="321"/>
      <c r="H44" s="321"/>
    </row>
    <row r="45" spans="1:14" x14ac:dyDescent="0.25">
      <c r="A45" s="320"/>
      <c r="B45" s="321"/>
      <c r="C45" s="322"/>
      <c r="D45" s="321"/>
      <c r="E45" s="321"/>
      <c r="F45" s="321"/>
      <c r="G45" s="321"/>
      <c r="H45" s="321"/>
    </row>
    <row r="46" spans="1:14" x14ac:dyDescent="0.25">
      <c r="A46" s="320"/>
      <c r="B46" s="321"/>
      <c r="C46" s="322"/>
      <c r="D46" s="321"/>
      <c r="E46" s="321"/>
      <c r="F46" s="321"/>
      <c r="G46" s="321"/>
      <c r="H46" s="321"/>
    </row>
    <row r="47" spans="1:14" x14ac:dyDescent="0.25">
      <c r="A47" s="320"/>
      <c r="B47" s="321"/>
      <c r="C47" s="322"/>
      <c r="D47" s="321"/>
      <c r="E47" s="321"/>
      <c r="F47" s="321"/>
      <c r="G47" s="321"/>
      <c r="H47" s="321"/>
    </row>
    <row r="48" spans="1:14" x14ac:dyDescent="0.25">
      <c r="A48" s="320"/>
      <c r="B48" s="321"/>
      <c r="C48" s="322"/>
      <c r="D48" s="321"/>
      <c r="E48" s="321"/>
      <c r="F48" s="321"/>
      <c r="G48" s="321"/>
      <c r="H48" s="321"/>
    </row>
    <row r="49" spans="1:8" x14ac:dyDescent="0.25">
      <c r="A49" s="320"/>
      <c r="B49" s="321"/>
      <c r="C49" s="322"/>
      <c r="D49" s="321"/>
      <c r="E49" s="321"/>
      <c r="F49" s="321"/>
      <c r="G49" s="321"/>
      <c r="H49" s="321"/>
    </row>
    <row r="50" spans="1:8" x14ac:dyDescent="0.25">
      <c r="A50" s="320"/>
      <c r="B50" s="321"/>
      <c r="C50" s="322"/>
      <c r="D50" s="321"/>
      <c r="E50" s="321"/>
      <c r="F50" s="321"/>
      <c r="G50" s="321"/>
      <c r="H50" s="321"/>
    </row>
    <row r="51" spans="1:8" x14ac:dyDescent="0.25">
      <c r="A51" s="320"/>
      <c r="B51" s="321"/>
      <c r="C51" s="322"/>
      <c r="D51" s="321"/>
      <c r="E51" s="321"/>
      <c r="F51" s="321"/>
      <c r="G51" s="321"/>
      <c r="H51" s="321"/>
    </row>
    <row r="52" spans="1:8" x14ac:dyDescent="0.25">
      <c r="A52" s="320"/>
      <c r="B52" s="321"/>
      <c r="C52" s="322"/>
      <c r="D52" s="321"/>
      <c r="E52" s="321"/>
      <c r="F52" s="321"/>
      <c r="G52" s="321"/>
      <c r="H52" s="321"/>
    </row>
    <row r="53" spans="1:8" x14ac:dyDescent="0.25">
      <c r="A53" s="320"/>
      <c r="B53" s="321"/>
      <c r="C53" s="322"/>
      <c r="D53" s="321"/>
      <c r="E53" s="321"/>
      <c r="F53" s="321"/>
      <c r="G53" s="321"/>
      <c r="H53" s="321"/>
    </row>
    <row r="54" spans="1:8" x14ac:dyDescent="0.25">
      <c r="A54" s="320"/>
      <c r="B54" s="321"/>
      <c r="C54" s="322"/>
      <c r="D54" s="321"/>
      <c r="E54" s="321"/>
      <c r="F54" s="321"/>
      <c r="G54" s="321"/>
      <c r="H54" s="321"/>
    </row>
    <row r="55" spans="1:8" x14ac:dyDescent="0.25">
      <c r="A55" s="320"/>
      <c r="B55" s="321"/>
      <c r="C55" s="322"/>
      <c r="D55" s="321"/>
      <c r="E55" s="321"/>
      <c r="F55" s="321"/>
      <c r="G55" s="321"/>
      <c r="H55" s="321"/>
    </row>
    <row r="56" spans="1:8" x14ac:dyDescent="0.25">
      <c r="A56" s="320"/>
      <c r="B56" s="321"/>
      <c r="C56" s="322"/>
      <c r="D56" s="321"/>
      <c r="E56" s="321"/>
      <c r="F56" s="321"/>
      <c r="G56" s="321"/>
      <c r="H56" s="321"/>
    </row>
    <row r="57" spans="1:8" x14ac:dyDescent="0.25">
      <c r="A57" s="320"/>
      <c r="B57" s="321"/>
      <c r="C57" s="322"/>
      <c r="D57" s="321"/>
      <c r="E57" s="321"/>
      <c r="F57" s="321"/>
      <c r="G57" s="321"/>
      <c r="H57" s="321"/>
    </row>
    <row r="58" spans="1:8" x14ac:dyDescent="0.25">
      <c r="A58" s="320"/>
      <c r="B58" s="321"/>
      <c r="C58" s="322"/>
      <c r="D58" s="321"/>
      <c r="E58" s="321"/>
      <c r="F58" s="321"/>
      <c r="G58" s="321"/>
      <c r="H58" s="321"/>
    </row>
    <row r="59" spans="1:8" x14ac:dyDescent="0.25">
      <c r="A59" s="320"/>
      <c r="B59" s="321"/>
      <c r="C59" s="322"/>
      <c r="D59" s="321"/>
      <c r="E59" s="321"/>
      <c r="F59" s="321"/>
      <c r="G59" s="321"/>
      <c r="H59" s="321"/>
    </row>
    <row r="60" spans="1:8" x14ac:dyDescent="0.25">
      <c r="A60" s="320"/>
      <c r="B60" s="321"/>
      <c r="C60" s="322"/>
      <c r="D60" s="321"/>
      <c r="E60" s="321"/>
      <c r="F60" s="321"/>
      <c r="G60" s="321"/>
      <c r="H60" s="321"/>
    </row>
    <row r="61" spans="1:8" x14ac:dyDescent="0.25">
      <c r="A61" s="320"/>
      <c r="B61" s="321"/>
      <c r="C61" s="322"/>
      <c r="D61" s="321"/>
      <c r="E61" s="321"/>
      <c r="F61" s="321"/>
      <c r="G61" s="321"/>
      <c r="H61" s="321"/>
    </row>
    <row r="62" spans="1:8" x14ac:dyDescent="0.25">
      <c r="A62" s="320"/>
      <c r="B62" s="321"/>
      <c r="C62" s="322"/>
      <c r="D62" s="321"/>
      <c r="E62" s="321"/>
      <c r="F62" s="321"/>
      <c r="G62" s="321"/>
      <c r="H62" s="321"/>
    </row>
    <row r="63" spans="1:8" x14ac:dyDescent="0.25">
      <c r="A63" s="320"/>
      <c r="B63" s="321"/>
      <c r="C63" s="322"/>
      <c r="D63" s="321"/>
      <c r="E63" s="321"/>
      <c r="F63" s="321"/>
      <c r="G63" s="321"/>
      <c r="H63" s="321"/>
    </row>
    <row r="64" spans="1:8" x14ac:dyDescent="0.25">
      <c r="A64" s="320"/>
      <c r="B64" s="321"/>
      <c r="C64" s="322"/>
      <c r="D64" s="321"/>
      <c r="E64" s="321"/>
      <c r="F64" s="321"/>
      <c r="G64" s="321"/>
      <c r="H64" s="321"/>
    </row>
    <row r="65" spans="1:8" x14ac:dyDescent="0.25">
      <c r="A65" s="320"/>
      <c r="B65" s="321"/>
      <c r="C65" s="322"/>
      <c r="D65" s="321"/>
      <c r="E65" s="321"/>
      <c r="F65" s="321"/>
      <c r="G65" s="321"/>
      <c r="H65" s="321"/>
    </row>
    <row r="66" spans="1:8" x14ac:dyDescent="0.25">
      <c r="A66" s="320"/>
      <c r="B66" s="321"/>
      <c r="C66" s="322"/>
      <c r="D66" s="321"/>
      <c r="E66" s="321"/>
      <c r="F66" s="321"/>
      <c r="G66" s="321"/>
      <c r="H66" s="321"/>
    </row>
    <row r="67" spans="1:8" x14ac:dyDescent="0.25">
      <c r="A67" s="320"/>
      <c r="B67" s="321"/>
      <c r="C67" s="322"/>
      <c r="D67" s="321"/>
      <c r="E67" s="321"/>
      <c r="F67" s="321"/>
      <c r="G67" s="321"/>
      <c r="H67" s="321"/>
    </row>
    <row r="68" spans="1:8" x14ac:dyDescent="0.25">
      <c r="A68" s="320"/>
      <c r="B68" s="321"/>
      <c r="C68" s="322"/>
      <c r="D68" s="321"/>
      <c r="E68" s="321"/>
      <c r="F68" s="321"/>
      <c r="G68" s="321"/>
      <c r="H68" s="321"/>
    </row>
    <row r="69" spans="1:8" x14ac:dyDescent="0.25">
      <c r="A69" s="320"/>
      <c r="B69" s="321"/>
      <c r="C69" s="322"/>
      <c r="D69" s="321"/>
      <c r="E69" s="321"/>
      <c r="F69" s="321"/>
      <c r="G69" s="321"/>
      <c r="H69" s="321"/>
    </row>
    <row r="70" spans="1:8" x14ac:dyDescent="0.25">
      <c r="A70" s="320"/>
      <c r="B70" s="321"/>
      <c r="C70" s="322"/>
      <c r="D70" s="321"/>
      <c r="E70" s="321"/>
      <c r="F70" s="321"/>
      <c r="G70" s="321"/>
      <c r="H70" s="321"/>
    </row>
    <row r="71" spans="1:8" x14ac:dyDescent="0.25">
      <c r="A71" s="320"/>
      <c r="B71" s="321"/>
      <c r="C71" s="322"/>
      <c r="D71" s="321"/>
      <c r="E71" s="321"/>
      <c r="F71" s="321"/>
      <c r="G71" s="321"/>
      <c r="H71" s="321"/>
    </row>
    <row r="72" spans="1:8" x14ac:dyDescent="0.25">
      <c r="A72" s="320"/>
      <c r="B72" s="321"/>
      <c r="C72" s="322"/>
      <c r="D72" s="321"/>
      <c r="E72" s="321"/>
      <c r="F72" s="321"/>
      <c r="G72" s="321"/>
      <c r="H72" s="321"/>
    </row>
    <row r="73" spans="1:8" x14ac:dyDescent="0.25">
      <c r="G73" s="321"/>
      <c r="H73" s="321"/>
    </row>
    <row r="74" spans="1:8" x14ac:dyDescent="0.25">
      <c r="G74" s="321"/>
      <c r="H74" s="321"/>
    </row>
    <row r="75" spans="1:8" x14ac:dyDescent="0.25">
      <c r="G75" s="321"/>
      <c r="H75" s="321"/>
    </row>
    <row r="76" spans="1:8" x14ac:dyDescent="0.25">
      <c r="G76" s="321"/>
      <c r="H76" s="321"/>
    </row>
    <row r="77" spans="1:8" x14ac:dyDescent="0.25">
      <c r="G77" s="321"/>
      <c r="H77" s="321"/>
    </row>
    <row r="78" spans="1:8" x14ac:dyDescent="0.25">
      <c r="G78" s="321"/>
      <c r="H78" s="321"/>
    </row>
    <row r="79" spans="1:8" x14ac:dyDescent="0.25">
      <c r="G79" s="321"/>
      <c r="H79" s="321"/>
    </row>
    <row r="80" spans="1:8" x14ac:dyDescent="0.25">
      <c r="G80" s="321"/>
      <c r="H80" s="321"/>
    </row>
    <row r="81" spans="7:8" x14ac:dyDescent="0.25">
      <c r="G81" s="321"/>
      <c r="H81" s="321"/>
    </row>
    <row r="82" spans="7:8" x14ac:dyDescent="0.25">
      <c r="G82" s="321"/>
      <c r="H82" s="321"/>
    </row>
    <row r="83" spans="7:8" x14ac:dyDescent="0.25">
      <c r="G83" s="321"/>
      <c r="H83" s="321"/>
    </row>
    <row r="84" spans="7:8" x14ac:dyDescent="0.25">
      <c r="G84" s="321"/>
      <c r="H84" s="321"/>
    </row>
  </sheetData>
  <autoFilter ref="A1:N19"/>
  <pageMargins left="0.7" right="0.7" top="0.75" bottom="0.75" header="0.3" footer="0.3"/>
  <pageSetup orientation="portrait" horizontalDpi="120" verticalDpi="7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E75BC2"/>
  </sheetPr>
  <dimension ref="A1:AL15"/>
  <sheetViews>
    <sheetView workbookViewId="0">
      <pane xSplit="17" ySplit="3" topLeftCell="R4" activePane="bottomRight" state="frozen"/>
      <selection pane="topRight" activeCell="R1" sqref="R1"/>
      <selection pane="bottomLeft" activeCell="A4" sqref="A4"/>
      <selection pane="bottomRight" activeCell="AA18" sqref="AA18"/>
    </sheetView>
  </sheetViews>
  <sheetFormatPr defaultRowHeight="12.75" x14ac:dyDescent="0.2"/>
  <cols>
    <col min="1" max="1" width="4.85546875" style="590" bestFit="1" customWidth="1"/>
    <col min="2" max="2" width="28.5703125" style="591" customWidth="1"/>
    <col min="3" max="4" width="7.5703125" style="610" hidden="1" customWidth="1"/>
    <col min="5" max="5" width="7" style="610" hidden="1" customWidth="1"/>
    <col min="6" max="7" width="5.7109375" style="610" hidden="1" customWidth="1"/>
    <col min="8" max="17" width="6.7109375" style="610" hidden="1" customWidth="1"/>
    <col min="18" max="18" width="6.7109375" style="610" customWidth="1"/>
    <col min="19" max="20" width="5.85546875" style="610" customWidth="1"/>
    <col min="21" max="24" width="5.85546875" style="590" customWidth="1"/>
    <col min="25" max="29" width="5.85546875" style="591" customWidth="1"/>
    <col min="30" max="30" width="6.140625" style="591" bestFit="1" customWidth="1"/>
    <col min="31" max="37" width="6.140625" style="591" customWidth="1"/>
    <col min="38" max="16384" width="9.140625" style="591"/>
  </cols>
  <sheetData>
    <row r="1" spans="1:38" ht="18.75" x14ac:dyDescent="0.3">
      <c r="A1" s="589" t="s">
        <v>406</v>
      </c>
      <c r="B1" s="589"/>
      <c r="C1" s="589"/>
      <c r="D1" s="589"/>
      <c r="E1" s="589"/>
      <c r="F1" s="589"/>
      <c r="G1" s="589"/>
      <c r="H1" s="589"/>
      <c r="I1" s="590"/>
      <c r="J1" s="590"/>
      <c r="K1" s="590"/>
      <c r="L1" s="590"/>
      <c r="M1" s="590"/>
      <c r="N1" s="590"/>
      <c r="O1" s="590"/>
      <c r="P1" s="590"/>
      <c r="Q1" s="590"/>
      <c r="R1" s="590"/>
      <c r="S1" s="590"/>
      <c r="T1" s="590"/>
    </row>
    <row r="2" spans="1:38" ht="15" customHeight="1" x14ac:dyDescent="0.2">
      <c r="A2" s="592" t="s">
        <v>275</v>
      </c>
      <c r="B2" s="592" t="s">
        <v>276</v>
      </c>
      <c r="C2" s="593">
        <v>2025</v>
      </c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  <c r="P2" s="594"/>
      <c r="Q2" s="594"/>
      <c r="R2" s="594"/>
      <c r="S2" s="594"/>
      <c r="T2" s="594"/>
      <c r="U2" s="594"/>
      <c r="V2" s="594"/>
      <c r="W2" s="594"/>
      <c r="X2" s="594"/>
      <c r="Y2" s="594"/>
      <c r="Z2" s="594"/>
      <c r="AA2" s="594"/>
      <c r="AB2" s="594"/>
      <c r="AC2" s="594"/>
      <c r="AD2" s="594"/>
      <c r="AE2" s="595"/>
      <c r="AF2" s="595"/>
      <c r="AG2" s="595"/>
      <c r="AH2" s="595"/>
      <c r="AI2" s="595"/>
      <c r="AJ2" s="595"/>
      <c r="AK2" s="595"/>
    </row>
    <row r="3" spans="1:38" s="599" customFormat="1" ht="15" customHeight="1" x14ac:dyDescent="0.2">
      <c r="A3" s="592"/>
      <c r="B3" s="592"/>
      <c r="C3" s="596">
        <v>45696</v>
      </c>
      <c r="D3" s="597">
        <v>45699</v>
      </c>
      <c r="E3" s="597">
        <v>45700</v>
      </c>
      <c r="F3" s="597">
        <v>45701</v>
      </c>
      <c r="G3" s="597">
        <v>45702</v>
      </c>
      <c r="H3" s="597">
        <v>45703</v>
      </c>
      <c r="I3" s="597">
        <v>45705</v>
      </c>
      <c r="J3" s="597">
        <v>45706</v>
      </c>
      <c r="K3" s="597">
        <v>45707</v>
      </c>
      <c r="L3" s="597">
        <v>45708</v>
      </c>
      <c r="M3" s="597">
        <v>45709</v>
      </c>
      <c r="N3" s="597">
        <v>45710</v>
      </c>
      <c r="O3" s="597">
        <v>45712</v>
      </c>
      <c r="P3" s="597">
        <v>45713</v>
      </c>
      <c r="Q3" s="597">
        <v>45714</v>
      </c>
      <c r="R3" s="597">
        <v>46024</v>
      </c>
      <c r="S3" s="598">
        <v>46025</v>
      </c>
      <c r="T3" s="598">
        <v>46027</v>
      </c>
      <c r="U3" s="598">
        <v>46028</v>
      </c>
      <c r="V3" s="598">
        <v>46029</v>
      </c>
      <c r="W3" s="598">
        <v>46030</v>
      </c>
      <c r="X3" s="598">
        <v>46032</v>
      </c>
      <c r="Y3" s="598">
        <v>46035</v>
      </c>
      <c r="Z3" s="598">
        <v>46037</v>
      </c>
      <c r="AA3" s="598">
        <v>46039</v>
      </c>
      <c r="AB3" s="598">
        <v>46041</v>
      </c>
      <c r="AC3" s="598">
        <v>46042</v>
      </c>
      <c r="AD3" s="598">
        <v>46044</v>
      </c>
      <c r="AE3" s="598">
        <v>46046</v>
      </c>
      <c r="AF3" s="598">
        <v>46048</v>
      </c>
      <c r="AG3" s="598">
        <v>46049</v>
      </c>
      <c r="AH3" s="598">
        <v>46050</v>
      </c>
      <c r="AI3" s="598">
        <v>46052</v>
      </c>
      <c r="AJ3" s="598">
        <v>46053</v>
      </c>
      <c r="AK3" s="598"/>
    </row>
    <row r="4" spans="1:38" s="604" customFormat="1" ht="15" customHeight="1" x14ac:dyDescent="0.25">
      <c r="A4" s="600">
        <v>1</v>
      </c>
      <c r="B4" s="601" t="s">
        <v>277</v>
      </c>
      <c r="C4" s="602" t="s">
        <v>278</v>
      </c>
      <c r="D4" s="602"/>
      <c r="E4" s="602"/>
      <c r="F4" s="602" t="s">
        <v>278</v>
      </c>
      <c r="G4" s="602"/>
      <c r="H4" s="602"/>
      <c r="I4" s="602" t="s">
        <v>278</v>
      </c>
      <c r="J4" s="602"/>
      <c r="K4" s="602"/>
      <c r="L4" s="602"/>
      <c r="M4" s="602"/>
      <c r="N4" s="602"/>
      <c r="O4" s="602"/>
      <c r="P4" s="602"/>
      <c r="Q4" s="602"/>
      <c r="R4" s="602"/>
      <c r="S4" s="602" t="s">
        <v>278</v>
      </c>
      <c r="T4" s="602"/>
      <c r="U4" s="602" t="s">
        <v>278</v>
      </c>
      <c r="V4" s="602" t="s">
        <v>278</v>
      </c>
      <c r="W4" s="602" t="s">
        <v>278</v>
      </c>
      <c r="X4" s="602"/>
      <c r="Y4" s="602"/>
      <c r="Z4" s="602"/>
      <c r="AA4" s="602"/>
      <c r="AB4" s="602" t="s">
        <v>278</v>
      </c>
      <c r="AC4" s="602" t="s">
        <v>278</v>
      </c>
      <c r="AD4" s="602"/>
      <c r="AE4" s="602"/>
      <c r="AF4" s="602" t="s">
        <v>278</v>
      </c>
      <c r="AG4" s="602" t="s">
        <v>278</v>
      </c>
      <c r="AH4" s="602"/>
      <c r="AI4" s="602"/>
      <c r="AJ4" s="602"/>
      <c r="AK4" s="602"/>
      <c r="AL4" s="603"/>
    </row>
    <row r="5" spans="1:38" s="604" customFormat="1" ht="15" customHeight="1" x14ac:dyDescent="0.25">
      <c r="A5" s="600">
        <v>2</v>
      </c>
      <c r="B5" s="601" t="s">
        <v>279</v>
      </c>
      <c r="C5" s="602" t="s">
        <v>278</v>
      </c>
      <c r="D5" s="602" t="s">
        <v>278</v>
      </c>
      <c r="E5" s="602"/>
      <c r="F5" s="602"/>
      <c r="G5" s="602"/>
      <c r="H5" s="602" t="s">
        <v>278</v>
      </c>
      <c r="I5" s="602"/>
      <c r="J5" s="602" t="s">
        <v>278</v>
      </c>
      <c r="K5" s="602"/>
      <c r="L5" s="602"/>
      <c r="M5" s="602"/>
      <c r="N5" s="602"/>
      <c r="O5" s="602"/>
      <c r="P5" s="602"/>
      <c r="Q5" s="602"/>
      <c r="R5" s="602"/>
      <c r="S5" s="602"/>
      <c r="T5" s="602"/>
      <c r="U5" s="602"/>
      <c r="V5" s="602"/>
      <c r="W5" s="602"/>
      <c r="X5" s="602" t="s">
        <v>278</v>
      </c>
      <c r="Y5" s="602"/>
      <c r="Z5" s="602"/>
      <c r="AA5" s="602"/>
      <c r="AB5" s="602"/>
      <c r="AC5" s="602"/>
      <c r="AD5" s="602"/>
      <c r="AE5" s="602"/>
      <c r="AF5" s="602" t="s">
        <v>278</v>
      </c>
      <c r="AG5" s="602"/>
      <c r="AH5" s="602"/>
      <c r="AI5" s="602"/>
      <c r="AJ5" s="602"/>
      <c r="AK5" s="602"/>
      <c r="AL5" s="603"/>
    </row>
    <row r="6" spans="1:38" s="604" customFormat="1" ht="15" customHeight="1" x14ac:dyDescent="0.25">
      <c r="A6" s="600">
        <v>3</v>
      </c>
      <c r="B6" s="601" t="s">
        <v>280</v>
      </c>
      <c r="C6" s="602" t="s">
        <v>278</v>
      </c>
      <c r="D6" s="602"/>
      <c r="E6" s="602"/>
      <c r="F6" s="602"/>
      <c r="G6" s="602"/>
      <c r="H6" s="602"/>
      <c r="I6" s="602"/>
      <c r="J6" s="602"/>
      <c r="K6" s="602"/>
      <c r="L6" s="602"/>
      <c r="M6" s="602"/>
      <c r="N6" s="602"/>
      <c r="O6" s="602"/>
      <c r="P6" s="602"/>
      <c r="Q6" s="602"/>
      <c r="R6" s="602"/>
      <c r="S6" s="602"/>
      <c r="T6" s="602"/>
      <c r="U6" s="602"/>
      <c r="V6" s="602"/>
      <c r="W6" s="602"/>
      <c r="X6" s="602"/>
      <c r="Y6" s="602"/>
      <c r="Z6" s="602"/>
      <c r="AA6" s="602"/>
      <c r="AB6" s="602"/>
      <c r="AC6" s="602"/>
      <c r="AD6" s="602"/>
      <c r="AE6" s="602"/>
      <c r="AF6" s="602"/>
      <c r="AG6" s="602"/>
      <c r="AH6" s="602"/>
      <c r="AI6" s="602" t="s">
        <v>278</v>
      </c>
      <c r="AJ6" s="602"/>
      <c r="AK6" s="602"/>
      <c r="AL6" s="603"/>
    </row>
    <row r="7" spans="1:38" s="604" customFormat="1" ht="15" customHeight="1" x14ac:dyDescent="0.25">
      <c r="A7" s="600">
        <v>4</v>
      </c>
      <c r="B7" s="601" t="s">
        <v>281</v>
      </c>
      <c r="C7" s="602" t="s">
        <v>278</v>
      </c>
      <c r="D7" s="602" t="s">
        <v>278</v>
      </c>
      <c r="E7" s="602" t="s">
        <v>278</v>
      </c>
      <c r="F7" s="602"/>
      <c r="G7" s="602"/>
      <c r="H7" s="602"/>
      <c r="I7" s="602"/>
      <c r="J7" s="602"/>
      <c r="K7" s="602" t="s">
        <v>278</v>
      </c>
      <c r="L7" s="602"/>
      <c r="M7" s="602"/>
      <c r="N7" s="602"/>
      <c r="O7" s="602"/>
      <c r="P7" s="602"/>
      <c r="Q7" s="602"/>
      <c r="R7" s="602"/>
      <c r="S7" s="602" t="s">
        <v>278</v>
      </c>
      <c r="T7" s="602" t="s">
        <v>278</v>
      </c>
      <c r="U7" s="602" t="s">
        <v>278</v>
      </c>
      <c r="V7" s="602" t="s">
        <v>278</v>
      </c>
      <c r="W7" s="602" t="s">
        <v>278</v>
      </c>
      <c r="X7" s="602" t="s">
        <v>278</v>
      </c>
      <c r="Y7" s="602" t="s">
        <v>278</v>
      </c>
      <c r="Z7" s="602" t="s">
        <v>278</v>
      </c>
      <c r="AA7" s="602"/>
      <c r="AB7" s="602"/>
      <c r="AC7" s="602" t="s">
        <v>278</v>
      </c>
      <c r="AD7" s="602"/>
      <c r="AE7" s="602"/>
      <c r="AF7" s="602"/>
      <c r="AG7" s="602"/>
      <c r="AH7" s="602"/>
      <c r="AI7" s="602"/>
      <c r="AJ7" s="602"/>
      <c r="AK7" s="602"/>
      <c r="AL7" s="603"/>
    </row>
    <row r="8" spans="1:38" s="604" customFormat="1" ht="15" customHeight="1" x14ac:dyDescent="0.25">
      <c r="A8" s="600">
        <v>5</v>
      </c>
      <c r="B8" s="601" t="s">
        <v>235</v>
      </c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2" t="s">
        <v>278</v>
      </c>
      <c r="T8" s="602" t="s">
        <v>278</v>
      </c>
      <c r="U8" s="602" t="s">
        <v>278</v>
      </c>
      <c r="V8" s="602"/>
      <c r="W8" s="602"/>
      <c r="X8" s="602" t="s">
        <v>278</v>
      </c>
      <c r="Y8" s="602" t="s">
        <v>278</v>
      </c>
      <c r="Z8" s="602"/>
      <c r="AA8" s="602" t="s">
        <v>278</v>
      </c>
      <c r="AB8" s="602"/>
      <c r="AC8" s="602"/>
      <c r="AD8" s="602" t="s">
        <v>278</v>
      </c>
      <c r="AE8" s="602" t="s">
        <v>278</v>
      </c>
      <c r="AF8" s="602"/>
      <c r="AG8" s="602"/>
      <c r="AH8" s="602"/>
      <c r="AI8" s="602"/>
      <c r="AJ8" s="602" t="s">
        <v>278</v>
      </c>
      <c r="AK8" s="602"/>
      <c r="AL8" s="603"/>
    </row>
    <row r="9" spans="1:38" s="604" customFormat="1" ht="15" customHeight="1" x14ac:dyDescent="0.25">
      <c r="A9" s="600">
        <v>6</v>
      </c>
      <c r="B9" s="601" t="s">
        <v>282</v>
      </c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2" t="s">
        <v>278</v>
      </c>
      <c r="T9" s="602" t="s">
        <v>278</v>
      </c>
      <c r="U9" s="602"/>
      <c r="V9" s="602" t="s">
        <v>278</v>
      </c>
      <c r="W9" s="602"/>
      <c r="X9" s="602"/>
      <c r="Y9" s="602"/>
      <c r="Z9" s="602"/>
      <c r="AA9" s="602" t="s">
        <v>278</v>
      </c>
      <c r="AB9" s="602"/>
      <c r="AC9" s="602"/>
      <c r="AD9" s="602" t="s">
        <v>278</v>
      </c>
      <c r="AE9" s="602" t="s">
        <v>278</v>
      </c>
      <c r="AF9" s="602"/>
      <c r="AG9" s="602" t="s">
        <v>278</v>
      </c>
      <c r="AH9" s="602"/>
      <c r="AI9" s="602"/>
      <c r="AJ9" s="602" t="s">
        <v>278</v>
      </c>
      <c r="AK9" s="602"/>
      <c r="AL9" s="603"/>
    </row>
    <row r="10" spans="1:38" s="604" customFormat="1" ht="15" customHeight="1" x14ac:dyDescent="0.25">
      <c r="A10" s="600">
        <v>7</v>
      </c>
      <c r="B10" s="601" t="s">
        <v>283</v>
      </c>
      <c r="C10" s="605"/>
      <c r="D10" s="605"/>
      <c r="E10" s="605"/>
      <c r="F10" s="605"/>
      <c r="G10" s="605"/>
      <c r="H10" s="605"/>
      <c r="I10" s="605"/>
      <c r="J10" s="605"/>
      <c r="K10" s="605"/>
      <c r="L10" s="605"/>
      <c r="M10" s="605"/>
      <c r="N10" s="605"/>
      <c r="O10" s="605"/>
      <c r="P10" s="605"/>
      <c r="Q10" s="605"/>
      <c r="R10" s="602" t="s">
        <v>278</v>
      </c>
      <c r="S10" s="602" t="s">
        <v>278</v>
      </c>
      <c r="T10" s="602" t="s">
        <v>278</v>
      </c>
      <c r="U10" s="602"/>
      <c r="V10" s="602" t="s">
        <v>278</v>
      </c>
      <c r="W10" s="602"/>
      <c r="X10" s="602"/>
      <c r="Y10" s="602"/>
      <c r="Z10" s="602"/>
      <c r="AA10" s="602" t="s">
        <v>278</v>
      </c>
      <c r="AB10" s="602"/>
      <c r="AC10" s="602"/>
      <c r="AD10" s="602" t="s">
        <v>278</v>
      </c>
      <c r="AE10" s="602" t="s">
        <v>278</v>
      </c>
      <c r="AF10" s="602"/>
      <c r="AG10" s="602" t="s">
        <v>278</v>
      </c>
      <c r="AH10" s="602"/>
      <c r="AI10" s="602"/>
      <c r="AJ10" s="602" t="s">
        <v>278</v>
      </c>
      <c r="AK10" s="602"/>
      <c r="AL10" s="603"/>
    </row>
    <row r="11" spans="1:38" s="604" customFormat="1" ht="15" customHeight="1" x14ac:dyDescent="0.25">
      <c r="A11" s="600">
        <v>8</v>
      </c>
      <c r="B11" s="601" t="s">
        <v>284</v>
      </c>
      <c r="C11" s="605"/>
      <c r="D11" s="605"/>
      <c r="E11" s="605"/>
      <c r="F11" s="605"/>
      <c r="G11" s="605"/>
      <c r="H11" s="605"/>
      <c r="I11" s="605"/>
      <c r="J11" s="605"/>
      <c r="K11" s="605"/>
      <c r="L11" s="605"/>
      <c r="M11" s="605"/>
      <c r="N11" s="605"/>
      <c r="O11" s="605"/>
      <c r="P11" s="605"/>
      <c r="Q11" s="605"/>
      <c r="R11" s="605"/>
      <c r="S11" s="602"/>
      <c r="T11" s="602"/>
      <c r="U11" s="602"/>
      <c r="V11" s="602"/>
      <c r="W11" s="602"/>
      <c r="X11" s="602"/>
      <c r="Y11" s="602"/>
      <c r="Z11" s="602"/>
      <c r="AA11" s="602"/>
      <c r="AB11" s="602"/>
      <c r="AC11" s="602"/>
      <c r="AD11" s="602"/>
      <c r="AE11" s="602"/>
      <c r="AF11" s="602"/>
      <c r="AG11" s="602"/>
      <c r="AH11" s="602"/>
      <c r="AI11" s="602"/>
      <c r="AJ11" s="602"/>
      <c r="AK11" s="602"/>
      <c r="AL11" s="603"/>
    </row>
    <row r="12" spans="1:38" s="604" customFormat="1" ht="15" customHeight="1" x14ac:dyDescent="0.25">
      <c r="A12" s="600">
        <v>9</v>
      </c>
      <c r="B12" s="601" t="s">
        <v>285</v>
      </c>
      <c r="C12" s="605"/>
      <c r="D12" s="605"/>
      <c r="E12" s="605"/>
      <c r="F12" s="605"/>
      <c r="G12" s="605"/>
      <c r="H12" s="605"/>
      <c r="I12" s="605"/>
      <c r="J12" s="605"/>
      <c r="K12" s="605"/>
      <c r="L12" s="605"/>
      <c r="M12" s="605"/>
      <c r="N12" s="605"/>
      <c r="O12" s="605"/>
      <c r="P12" s="605"/>
      <c r="Q12" s="605"/>
      <c r="R12" s="602"/>
      <c r="S12" s="602" t="s">
        <v>278</v>
      </c>
      <c r="T12" s="602"/>
      <c r="U12" s="602" t="s">
        <v>278</v>
      </c>
      <c r="V12" s="602"/>
      <c r="W12" s="602"/>
      <c r="X12" s="602" t="s">
        <v>278</v>
      </c>
      <c r="Y12" s="602"/>
      <c r="Z12" s="602"/>
      <c r="AA12" s="602"/>
      <c r="AB12" s="602"/>
      <c r="AC12" s="602" t="s">
        <v>278</v>
      </c>
      <c r="AD12" s="602"/>
      <c r="AE12" s="602" t="s">
        <v>278</v>
      </c>
      <c r="AF12" s="602"/>
      <c r="AG12" s="602"/>
      <c r="AH12" s="602" t="s">
        <v>278</v>
      </c>
      <c r="AI12" s="602"/>
      <c r="AJ12" s="602" t="s">
        <v>278</v>
      </c>
      <c r="AK12" s="602"/>
      <c r="AL12" s="603"/>
    </row>
    <row r="13" spans="1:38" s="604" customFormat="1" ht="15" customHeight="1" x14ac:dyDescent="0.25">
      <c r="A13" s="600">
        <v>10</v>
      </c>
      <c r="B13" s="601" t="s">
        <v>286</v>
      </c>
      <c r="C13" s="605"/>
      <c r="D13" s="605"/>
      <c r="E13" s="605"/>
      <c r="F13" s="605"/>
      <c r="G13" s="605"/>
      <c r="H13" s="605"/>
      <c r="I13" s="605"/>
      <c r="J13" s="605"/>
      <c r="K13" s="605"/>
      <c r="L13" s="605"/>
      <c r="M13" s="605"/>
      <c r="N13" s="605"/>
      <c r="O13" s="605"/>
      <c r="P13" s="605"/>
      <c r="Q13" s="605"/>
      <c r="R13" s="602" t="s">
        <v>278</v>
      </c>
      <c r="S13" s="602" t="s">
        <v>278</v>
      </c>
      <c r="T13" s="602" t="s">
        <v>278</v>
      </c>
      <c r="U13" s="602"/>
      <c r="V13" s="602" t="s">
        <v>278</v>
      </c>
      <c r="W13" s="602"/>
      <c r="X13" s="602"/>
      <c r="Y13" s="602"/>
      <c r="Z13" s="602"/>
      <c r="AA13" s="602" t="s">
        <v>278</v>
      </c>
      <c r="AB13" s="602"/>
      <c r="AC13" s="602"/>
      <c r="AD13" s="602" t="s">
        <v>278</v>
      </c>
      <c r="AE13" s="602"/>
      <c r="AF13" s="602" t="s">
        <v>278</v>
      </c>
      <c r="AG13" s="602"/>
      <c r="AH13" s="602" t="s">
        <v>278</v>
      </c>
      <c r="AI13" s="602"/>
      <c r="AJ13" s="602" t="s">
        <v>278</v>
      </c>
      <c r="AK13" s="602"/>
      <c r="AL13" s="603"/>
    </row>
    <row r="14" spans="1:38" s="604" customFormat="1" ht="15" customHeight="1" x14ac:dyDescent="0.25">
      <c r="A14" s="600">
        <v>11</v>
      </c>
      <c r="B14" s="601" t="s">
        <v>287</v>
      </c>
      <c r="C14" s="605"/>
      <c r="D14" s="605"/>
      <c r="E14" s="605"/>
      <c r="F14" s="605"/>
      <c r="G14" s="605"/>
      <c r="H14" s="605"/>
      <c r="I14" s="605"/>
      <c r="J14" s="605"/>
      <c r="K14" s="605"/>
      <c r="L14" s="605"/>
      <c r="M14" s="605"/>
      <c r="N14" s="605"/>
      <c r="O14" s="605"/>
      <c r="P14" s="605"/>
      <c r="Q14" s="605"/>
      <c r="R14" s="602" t="s">
        <v>278</v>
      </c>
      <c r="S14" s="602" t="s">
        <v>278</v>
      </c>
      <c r="T14" s="602" t="s">
        <v>278</v>
      </c>
      <c r="U14" s="602"/>
      <c r="V14" s="602" t="s">
        <v>278</v>
      </c>
      <c r="W14" s="602"/>
      <c r="X14" s="602"/>
      <c r="Y14" s="602"/>
      <c r="Z14" s="602"/>
      <c r="AA14" s="602" t="s">
        <v>278</v>
      </c>
      <c r="AB14" s="602"/>
      <c r="AC14" s="602"/>
      <c r="AD14" s="602" t="s">
        <v>278</v>
      </c>
      <c r="AE14" s="602"/>
      <c r="AF14" s="602" t="s">
        <v>278</v>
      </c>
      <c r="AG14" s="602" t="s">
        <v>278</v>
      </c>
      <c r="AH14" s="602"/>
      <c r="AI14" s="602"/>
      <c r="AJ14" s="602" t="s">
        <v>278</v>
      </c>
      <c r="AK14" s="602"/>
      <c r="AL14" s="603"/>
    </row>
    <row r="15" spans="1:38" ht="15" customHeight="1" x14ac:dyDescent="0.2">
      <c r="A15" s="606">
        <v>12</v>
      </c>
      <c r="B15" s="601" t="s">
        <v>333</v>
      </c>
      <c r="C15" s="607"/>
      <c r="D15" s="607"/>
      <c r="E15" s="607"/>
      <c r="F15" s="607"/>
      <c r="G15" s="607"/>
      <c r="H15" s="607"/>
      <c r="I15" s="607"/>
      <c r="J15" s="607"/>
      <c r="K15" s="607"/>
      <c r="L15" s="607"/>
      <c r="M15" s="607"/>
      <c r="N15" s="607"/>
      <c r="O15" s="607"/>
      <c r="P15" s="607"/>
      <c r="Q15" s="607"/>
      <c r="R15" s="607"/>
      <c r="S15" s="608"/>
      <c r="T15" s="608"/>
      <c r="U15" s="608" t="s">
        <v>278</v>
      </c>
      <c r="V15" s="608"/>
      <c r="W15" s="608"/>
      <c r="X15" s="608"/>
      <c r="Y15" s="608"/>
      <c r="Z15" s="608"/>
      <c r="AA15" s="608"/>
      <c r="AB15" s="608"/>
      <c r="AC15" s="602"/>
      <c r="AD15" s="602"/>
      <c r="AE15" s="602"/>
      <c r="AF15" s="602"/>
      <c r="AG15" s="602"/>
      <c r="AH15" s="602"/>
      <c r="AI15" s="602"/>
      <c r="AJ15" s="602"/>
      <c r="AK15" s="602"/>
      <c r="AL15" s="609"/>
    </row>
  </sheetData>
  <mergeCells count="3">
    <mergeCell ref="A2:A3"/>
    <mergeCell ref="B2:B3"/>
    <mergeCell ref="C2:AD2"/>
  </mergeCells>
  <pageMargins left="0.7" right="0.7" top="0.75" bottom="0.75" header="0.3" footer="0.3"/>
  <pageSetup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O89"/>
  <sheetViews>
    <sheetView topLeftCell="A2" zoomScaleNormal="100" workbookViewId="0">
      <pane xSplit="3" ySplit="2" topLeftCell="H25" activePane="bottomRight" state="frozen"/>
      <selection activeCell="A2" sqref="A2"/>
      <selection pane="topRight" activeCell="L2" sqref="L2"/>
      <selection pane="bottomLeft" activeCell="A6" sqref="A6"/>
      <selection pane="bottomRight" activeCell="I38" sqref="I38"/>
    </sheetView>
  </sheetViews>
  <sheetFormatPr defaultRowHeight="20.100000000000001" customHeight="1" x14ac:dyDescent="0.25"/>
  <cols>
    <col min="1" max="1" width="3.7109375" style="175" customWidth="1"/>
    <col min="2" max="2" width="9.140625" style="175" customWidth="1"/>
    <col min="3" max="3" width="20.28515625" style="175" hidden="1" customWidth="1"/>
    <col min="4" max="4" width="9.140625" style="175" hidden="1" customWidth="1"/>
    <col min="5" max="5" width="13.85546875" style="175" hidden="1" customWidth="1"/>
    <col min="6" max="6" width="10.42578125" style="175" hidden="1" customWidth="1"/>
    <col min="7" max="7" width="20.85546875" style="175" hidden="1" customWidth="1"/>
    <col min="8" max="8" width="35.7109375" style="175" customWidth="1"/>
    <col min="9" max="9" width="9.85546875" style="175" customWidth="1"/>
    <col min="10" max="10" width="13.140625" style="341" customWidth="1"/>
    <col min="11" max="11" width="9.140625" style="175"/>
    <col min="12" max="12" width="14.42578125" style="175" customWidth="1"/>
    <col min="13" max="14" width="9.140625" style="653"/>
    <col min="15" max="16384" width="9.140625" style="175"/>
  </cols>
  <sheetData>
    <row r="1" spans="1:41" s="99" customFormat="1" ht="20.100000000000001" customHeight="1" x14ac:dyDescent="0.25">
      <c r="A1" s="335"/>
      <c r="B1" s="335"/>
      <c r="C1" s="574"/>
      <c r="D1" s="574"/>
      <c r="E1" s="574"/>
      <c r="F1" s="335"/>
      <c r="G1" s="335"/>
      <c r="H1" s="335"/>
      <c r="I1" s="335"/>
      <c r="M1" s="613"/>
      <c r="N1" s="613"/>
    </row>
    <row r="2" spans="1:41" s="99" customFormat="1" ht="20.100000000000001" customHeight="1" x14ac:dyDescent="0.25">
      <c r="A2" s="335"/>
      <c r="B2" s="335"/>
      <c r="C2" s="335"/>
      <c r="D2" s="336"/>
      <c r="E2" s="337"/>
      <c r="F2" s="335"/>
      <c r="G2" s="335"/>
      <c r="H2" s="338"/>
      <c r="I2" s="335"/>
      <c r="M2" s="613"/>
      <c r="N2" s="613"/>
    </row>
    <row r="3" spans="1:41" s="340" customFormat="1" ht="15" x14ac:dyDescent="0.25">
      <c r="A3" s="210" t="s">
        <v>229</v>
      </c>
      <c r="B3" s="210" t="s">
        <v>116</v>
      </c>
      <c r="C3" s="210" t="s">
        <v>334</v>
      </c>
      <c r="D3" s="210" t="s">
        <v>234</v>
      </c>
      <c r="E3" s="339" t="s">
        <v>335</v>
      </c>
      <c r="F3" s="210" t="s">
        <v>336</v>
      </c>
      <c r="G3" s="210" t="s">
        <v>230</v>
      </c>
      <c r="H3" s="210" t="s">
        <v>288</v>
      </c>
      <c r="I3" s="210" t="s">
        <v>337</v>
      </c>
      <c r="J3" s="210" t="s">
        <v>231</v>
      </c>
      <c r="K3" s="210" t="s">
        <v>289</v>
      </c>
      <c r="M3" s="614"/>
      <c r="N3" s="614"/>
    </row>
    <row r="4" spans="1:41" s="625" customFormat="1" ht="20.100000000000001" customHeight="1" x14ac:dyDescent="0.25">
      <c r="A4" s="615">
        <v>1</v>
      </c>
      <c r="B4" s="616">
        <v>46024</v>
      </c>
      <c r="C4" s="617" t="s">
        <v>411</v>
      </c>
      <c r="D4" s="617" t="s">
        <v>412</v>
      </c>
      <c r="E4" s="618">
        <v>46010</v>
      </c>
      <c r="F4" s="619" t="s">
        <v>413</v>
      </c>
      <c r="G4" s="620" t="s">
        <v>344</v>
      </c>
      <c r="H4" s="620" t="s">
        <v>414</v>
      </c>
      <c r="I4" s="621" t="s">
        <v>348</v>
      </c>
      <c r="J4" s="616">
        <v>46021</v>
      </c>
      <c r="K4" s="362">
        <v>0</v>
      </c>
      <c r="L4" s="622"/>
      <c r="M4" s="623"/>
      <c r="N4" s="624"/>
    </row>
    <row r="5" spans="1:41" s="627" customFormat="1" ht="20.100000000000001" customHeight="1" x14ac:dyDescent="0.25">
      <c r="A5" s="615">
        <v>3</v>
      </c>
      <c r="B5" s="616">
        <v>46024</v>
      </c>
      <c r="C5" s="617" t="s">
        <v>415</v>
      </c>
      <c r="D5" s="617" t="s">
        <v>416</v>
      </c>
      <c r="E5" s="618">
        <v>45369</v>
      </c>
      <c r="F5" s="619" t="s">
        <v>417</v>
      </c>
      <c r="G5" s="620" t="s">
        <v>418</v>
      </c>
      <c r="H5" s="620" t="s">
        <v>419</v>
      </c>
      <c r="I5" s="621" t="s">
        <v>348</v>
      </c>
      <c r="J5" s="616">
        <v>46021</v>
      </c>
      <c r="K5" s="362">
        <v>0</v>
      </c>
      <c r="L5" s="622"/>
      <c r="M5" s="623"/>
      <c r="N5" s="624"/>
      <c r="O5" s="626"/>
      <c r="P5" s="626"/>
      <c r="Q5" s="626"/>
      <c r="R5" s="626"/>
      <c r="S5" s="626"/>
      <c r="T5" s="626"/>
      <c r="U5" s="626"/>
      <c r="V5" s="626"/>
      <c r="W5" s="626"/>
      <c r="X5" s="626"/>
      <c r="Y5" s="626"/>
      <c r="Z5" s="626"/>
      <c r="AA5" s="626"/>
      <c r="AB5" s="626"/>
      <c r="AC5" s="626"/>
      <c r="AD5" s="626"/>
      <c r="AE5" s="626"/>
      <c r="AF5" s="626"/>
      <c r="AG5" s="626"/>
      <c r="AH5" s="626"/>
      <c r="AI5" s="626"/>
      <c r="AJ5" s="626"/>
      <c r="AK5" s="626"/>
      <c r="AL5" s="626"/>
      <c r="AM5" s="626"/>
      <c r="AN5" s="626"/>
      <c r="AO5" s="626"/>
    </row>
    <row r="6" spans="1:41" s="626" customFormat="1" ht="20.100000000000001" customHeight="1" x14ac:dyDescent="0.25">
      <c r="A6" s="615">
        <v>8</v>
      </c>
      <c r="B6" s="628">
        <v>46024</v>
      </c>
      <c r="C6" s="629" t="s">
        <v>420</v>
      </c>
      <c r="D6" s="629" t="s">
        <v>421</v>
      </c>
      <c r="E6" s="630">
        <v>45960</v>
      </c>
      <c r="F6" s="631" t="s">
        <v>422</v>
      </c>
      <c r="G6" s="632" t="s">
        <v>423</v>
      </c>
      <c r="H6" s="632" t="s">
        <v>424</v>
      </c>
      <c r="I6" s="633" t="s">
        <v>235</v>
      </c>
      <c r="J6" s="628">
        <v>46022</v>
      </c>
      <c r="K6" s="362">
        <v>0</v>
      </c>
      <c r="L6" s="634"/>
      <c r="M6" s="623"/>
      <c r="N6" s="624"/>
      <c r="O6" s="625"/>
      <c r="P6" s="625"/>
      <c r="Q6" s="625"/>
      <c r="R6" s="625"/>
      <c r="S6" s="625"/>
      <c r="T6" s="625"/>
      <c r="U6" s="625"/>
      <c r="V6" s="625"/>
      <c r="W6" s="625"/>
      <c r="X6" s="625"/>
      <c r="Y6" s="625"/>
      <c r="Z6" s="625"/>
      <c r="AA6" s="625"/>
      <c r="AB6" s="625"/>
      <c r="AC6" s="625"/>
      <c r="AD6" s="625"/>
      <c r="AE6" s="625"/>
      <c r="AF6" s="625"/>
      <c r="AG6" s="625"/>
      <c r="AH6" s="625"/>
      <c r="AI6" s="625"/>
      <c r="AJ6" s="625"/>
      <c r="AK6" s="625"/>
      <c r="AL6" s="625"/>
      <c r="AM6" s="625"/>
      <c r="AN6" s="625"/>
      <c r="AO6" s="625"/>
    </row>
    <row r="7" spans="1:41" s="626" customFormat="1" ht="20.100000000000001" customHeight="1" x14ac:dyDescent="0.25">
      <c r="A7" s="615">
        <v>10</v>
      </c>
      <c r="B7" s="635">
        <v>46024</v>
      </c>
      <c r="C7" s="636" t="s">
        <v>425</v>
      </c>
      <c r="D7" s="636" t="s">
        <v>426</v>
      </c>
      <c r="E7" s="637">
        <v>45784</v>
      </c>
      <c r="F7" s="638" t="s">
        <v>427</v>
      </c>
      <c r="G7" s="639" t="s">
        <v>310</v>
      </c>
      <c r="H7" s="640" t="s">
        <v>428</v>
      </c>
      <c r="I7" s="641" t="s">
        <v>349</v>
      </c>
      <c r="J7" s="635">
        <v>46024</v>
      </c>
      <c r="K7" s="362">
        <v>0</v>
      </c>
      <c r="L7" s="634" t="s">
        <v>429</v>
      </c>
      <c r="M7" s="642">
        <f>+J7-N7</f>
        <v>0</v>
      </c>
      <c r="N7" s="643">
        <v>46024</v>
      </c>
      <c r="O7" s="625"/>
      <c r="P7" s="625"/>
      <c r="Q7" s="625"/>
      <c r="R7" s="625"/>
      <c r="S7" s="625"/>
      <c r="T7" s="625"/>
      <c r="U7" s="625"/>
      <c r="V7" s="625"/>
      <c r="W7" s="625"/>
      <c r="X7" s="625"/>
      <c r="Y7" s="625"/>
      <c r="Z7" s="625"/>
      <c r="AA7" s="625"/>
      <c r="AB7" s="625"/>
      <c r="AC7" s="625"/>
      <c r="AD7" s="625"/>
      <c r="AE7" s="625"/>
      <c r="AF7" s="625"/>
      <c r="AG7" s="625"/>
      <c r="AH7" s="625"/>
      <c r="AI7" s="625"/>
      <c r="AJ7" s="625"/>
      <c r="AK7" s="625"/>
      <c r="AL7" s="625"/>
      <c r="AM7" s="625"/>
      <c r="AN7" s="625"/>
      <c r="AO7" s="625"/>
    </row>
    <row r="8" spans="1:41" s="627" customFormat="1" ht="20.100000000000001" customHeight="1" x14ac:dyDescent="0.25">
      <c r="A8" s="615">
        <v>11</v>
      </c>
      <c r="B8" s="635">
        <v>46024</v>
      </c>
      <c r="C8" s="636" t="s">
        <v>430</v>
      </c>
      <c r="D8" s="636" t="s">
        <v>431</v>
      </c>
      <c r="E8" s="637">
        <v>45187</v>
      </c>
      <c r="F8" s="638" t="s">
        <v>343</v>
      </c>
      <c r="G8" s="639" t="s">
        <v>310</v>
      </c>
      <c r="H8" s="640" t="s">
        <v>428</v>
      </c>
      <c r="I8" s="641" t="s">
        <v>349</v>
      </c>
      <c r="J8" s="635">
        <v>46024</v>
      </c>
      <c r="K8" s="362">
        <v>0</v>
      </c>
      <c r="L8" s="634" t="s">
        <v>429</v>
      </c>
      <c r="M8" s="642">
        <f t="shared" ref="M8:M37" si="0">+J8-N8</f>
        <v>0</v>
      </c>
      <c r="N8" s="643">
        <v>46024</v>
      </c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5"/>
      <c r="AK8" s="625"/>
      <c r="AL8" s="625"/>
      <c r="AM8" s="625"/>
      <c r="AN8" s="625"/>
      <c r="AO8" s="625"/>
    </row>
    <row r="9" spans="1:41" s="625" customFormat="1" ht="20.100000000000001" customHeight="1" x14ac:dyDescent="0.25">
      <c r="A9" s="615">
        <v>12</v>
      </c>
      <c r="B9" s="616">
        <v>46024</v>
      </c>
      <c r="C9" s="617" t="s">
        <v>432</v>
      </c>
      <c r="D9" s="617" t="s">
        <v>433</v>
      </c>
      <c r="E9" s="618">
        <v>45994</v>
      </c>
      <c r="F9" s="619" t="s">
        <v>434</v>
      </c>
      <c r="G9" s="644" t="s">
        <v>310</v>
      </c>
      <c r="H9" s="620" t="s">
        <v>428</v>
      </c>
      <c r="I9" s="621" t="s">
        <v>348</v>
      </c>
      <c r="J9" s="616">
        <v>46024</v>
      </c>
      <c r="K9" s="362">
        <v>0</v>
      </c>
      <c r="L9" s="634" t="s">
        <v>429</v>
      </c>
      <c r="M9" s="642">
        <f t="shared" si="0"/>
        <v>0</v>
      </c>
      <c r="N9" s="643">
        <v>46024</v>
      </c>
    </row>
    <row r="10" spans="1:41" s="626" customFormat="1" ht="20.100000000000001" customHeight="1" x14ac:dyDescent="0.25">
      <c r="A10" s="615">
        <v>13</v>
      </c>
      <c r="B10" s="628">
        <v>46024</v>
      </c>
      <c r="C10" s="629" t="s">
        <v>435</v>
      </c>
      <c r="D10" s="629" t="s">
        <v>436</v>
      </c>
      <c r="E10" s="630">
        <v>45864</v>
      </c>
      <c r="F10" s="631" t="s">
        <v>342</v>
      </c>
      <c r="G10" s="632" t="s">
        <v>346</v>
      </c>
      <c r="H10" s="632" t="s">
        <v>437</v>
      </c>
      <c r="I10" s="633" t="s">
        <v>235</v>
      </c>
      <c r="J10" s="628">
        <v>46024</v>
      </c>
      <c r="K10" s="362">
        <v>0</v>
      </c>
      <c r="L10" s="634" t="s">
        <v>429</v>
      </c>
      <c r="M10" s="642">
        <f t="shared" si="0"/>
        <v>0</v>
      </c>
      <c r="N10" s="643">
        <v>46024</v>
      </c>
      <c r="O10" s="625"/>
      <c r="P10" s="625"/>
      <c r="Q10" s="625"/>
      <c r="R10" s="625"/>
      <c r="S10" s="625"/>
      <c r="T10" s="625"/>
      <c r="U10" s="625"/>
      <c r="V10" s="625"/>
      <c r="W10" s="625"/>
      <c r="X10" s="625"/>
      <c r="Y10" s="625"/>
      <c r="Z10" s="625"/>
      <c r="AA10" s="625"/>
      <c r="AB10" s="625"/>
      <c r="AC10" s="625"/>
      <c r="AD10" s="625"/>
      <c r="AE10" s="625"/>
      <c r="AF10" s="625"/>
      <c r="AG10" s="625"/>
      <c r="AH10" s="625"/>
      <c r="AI10" s="625"/>
      <c r="AJ10" s="625"/>
      <c r="AK10" s="625"/>
      <c r="AL10" s="625"/>
      <c r="AM10" s="625"/>
      <c r="AN10" s="625"/>
      <c r="AO10" s="625"/>
    </row>
    <row r="11" spans="1:41" s="626" customFormat="1" ht="20.100000000000001" customHeight="1" x14ac:dyDescent="0.25">
      <c r="A11" s="615">
        <v>14</v>
      </c>
      <c r="B11" s="616">
        <v>46027</v>
      </c>
      <c r="C11" s="617" t="s">
        <v>438</v>
      </c>
      <c r="D11" s="617" t="s">
        <v>439</v>
      </c>
      <c r="E11" s="618">
        <v>46025</v>
      </c>
      <c r="F11" s="619" t="s">
        <v>440</v>
      </c>
      <c r="G11" s="620" t="s">
        <v>441</v>
      </c>
      <c r="H11" s="620" t="s">
        <v>442</v>
      </c>
      <c r="I11" s="621" t="s">
        <v>348</v>
      </c>
      <c r="J11" s="616">
        <v>46028</v>
      </c>
      <c r="K11" s="362">
        <v>1</v>
      </c>
      <c r="L11" s="622"/>
      <c r="M11" s="642">
        <f t="shared" si="0"/>
        <v>1</v>
      </c>
      <c r="N11" s="643">
        <v>46027</v>
      </c>
    </row>
    <row r="12" spans="1:41" s="626" customFormat="1" ht="20.100000000000001" customHeight="1" x14ac:dyDescent="0.25">
      <c r="A12" s="615">
        <v>15</v>
      </c>
      <c r="B12" s="616">
        <v>46028</v>
      </c>
      <c r="C12" s="617" t="s">
        <v>443</v>
      </c>
      <c r="D12" s="617" t="s">
        <v>444</v>
      </c>
      <c r="E12" s="618">
        <v>46013</v>
      </c>
      <c r="F12" s="619" t="s">
        <v>445</v>
      </c>
      <c r="G12" s="620" t="s">
        <v>344</v>
      </c>
      <c r="H12" s="620" t="s">
        <v>446</v>
      </c>
      <c r="I12" s="621" t="s">
        <v>348</v>
      </c>
      <c r="J12" s="616">
        <v>46028</v>
      </c>
      <c r="K12" s="362">
        <v>0</v>
      </c>
      <c r="L12" s="622"/>
      <c r="M12" s="642">
        <f t="shared" si="0"/>
        <v>0</v>
      </c>
      <c r="N12" s="643">
        <v>46028</v>
      </c>
    </row>
    <row r="13" spans="1:41" s="626" customFormat="1" ht="20.100000000000001" customHeight="1" x14ac:dyDescent="0.25">
      <c r="A13" s="615">
        <v>16</v>
      </c>
      <c r="B13" s="616">
        <v>46029</v>
      </c>
      <c r="C13" s="617" t="s">
        <v>447</v>
      </c>
      <c r="D13" s="617" t="s">
        <v>448</v>
      </c>
      <c r="E13" s="618">
        <v>45787</v>
      </c>
      <c r="F13" s="619" t="s">
        <v>449</v>
      </c>
      <c r="G13" s="620" t="s">
        <v>450</v>
      </c>
      <c r="H13" s="620" t="s">
        <v>451</v>
      </c>
      <c r="I13" s="621" t="s">
        <v>348</v>
      </c>
      <c r="J13" s="616">
        <v>46030</v>
      </c>
      <c r="K13" s="362">
        <v>1</v>
      </c>
      <c r="L13" s="622"/>
      <c r="M13" s="642">
        <f t="shared" si="0"/>
        <v>1</v>
      </c>
      <c r="N13" s="643">
        <v>46029</v>
      </c>
      <c r="O13" s="627"/>
      <c r="P13" s="627"/>
      <c r="Q13" s="627"/>
      <c r="R13" s="627"/>
      <c r="S13" s="627"/>
      <c r="T13" s="627"/>
      <c r="U13" s="627"/>
      <c r="V13" s="627"/>
      <c r="W13" s="627"/>
      <c r="X13" s="627"/>
      <c r="Y13" s="627"/>
      <c r="Z13" s="627"/>
      <c r="AA13" s="627"/>
      <c r="AB13" s="627"/>
      <c r="AC13" s="627"/>
      <c r="AD13" s="627"/>
      <c r="AE13" s="627"/>
      <c r="AF13" s="627"/>
      <c r="AG13" s="627"/>
      <c r="AH13" s="627"/>
      <c r="AI13" s="627"/>
      <c r="AJ13" s="627"/>
      <c r="AK13" s="627"/>
      <c r="AL13" s="627"/>
      <c r="AM13" s="627"/>
      <c r="AN13" s="627"/>
      <c r="AO13" s="627"/>
    </row>
    <row r="14" spans="1:41" s="626" customFormat="1" ht="20.100000000000001" customHeight="1" x14ac:dyDescent="0.25">
      <c r="A14" s="615">
        <v>17</v>
      </c>
      <c r="B14" s="616">
        <v>46030</v>
      </c>
      <c r="C14" s="617" t="s">
        <v>452</v>
      </c>
      <c r="D14" s="617" t="s">
        <v>453</v>
      </c>
      <c r="E14" s="618">
        <v>45938</v>
      </c>
      <c r="F14" s="619" t="s">
        <v>454</v>
      </c>
      <c r="G14" s="620" t="s">
        <v>347</v>
      </c>
      <c r="H14" s="620" t="s">
        <v>455</v>
      </c>
      <c r="I14" s="621" t="s">
        <v>350</v>
      </c>
      <c r="J14" s="616">
        <v>46032</v>
      </c>
      <c r="K14" s="362">
        <v>1</v>
      </c>
      <c r="L14" s="622"/>
      <c r="M14" s="642">
        <f t="shared" si="0"/>
        <v>1</v>
      </c>
      <c r="N14" s="643">
        <v>46031</v>
      </c>
      <c r="O14" s="625"/>
      <c r="P14" s="625"/>
      <c r="Q14" s="625"/>
      <c r="R14" s="625"/>
      <c r="S14" s="625"/>
      <c r="T14" s="625"/>
      <c r="U14" s="625"/>
      <c r="V14" s="625"/>
      <c r="W14" s="625"/>
      <c r="X14" s="625"/>
      <c r="Y14" s="625"/>
      <c r="Z14" s="625"/>
      <c r="AA14" s="625"/>
      <c r="AB14" s="625"/>
      <c r="AC14" s="625"/>
      <c r="AD14" s="625"/>
      <c r="AE14" s="625"/>
      <c r="AF14" s="625"/>
      <c r="AG14" s="625"/>
      <c r="AH14" s="625"/>
      <c r="AI14" s="625"/>
      <c r="AJ14" s="625"/>
      <c r="AK14" s="625"/>
      <c r="AL14" s="625"/>
      <c r="AM14" s="625"/>
      <c r="AN14" s="625"/>
      <c r="AO14" s="625"/>
    </row>
    <row r="15" spans="1:41" s="626" customFormat="1" ht="20.100000000000001" customHeight="1" x14ac:dyDescent="0.25">
      <c r="A15" s="615">
        <v>38</v>
      </c>
      <c r="B15" s="616">
        <v>46030</v>
      </c>
      <c r="C15" s="617" t="s">
        <v>456</v>
      </c>
      <c r="D15" s="617" t="s">
        <v>457</v>
      </c>
      <c r="E15" s="618">
        <v>45939</v>
      </c>
      <c r="F15" s="619" t="s">
        <v>458</v>
      </c>
      <c r="G15" s="620" t="s">
        <v>347</v>
      </c>
      <c r="H15" s="620" t="s">
        <v>455</v>
      </c>
      <c r="I15" s="621" t="s">
        <v>350</v>
      </c>
      <c r="J15" s="616">
        <v>46032</v>
      </c>
      <c r="K15" s="362">
        <v>1</v>
      </c>
      <c r="L15" s="622"/>
      <c r="M15" s="642">
        <f t="shared" si="0"/>
        <v>1</v>
      </c>
      <c r="N15" s="643">
        <v>46031</v>
      </c>
      <c r="O15" s="625"/>
      <c r="P15" s="625"/>
      <c r="Q15" s="625"/>
      <c r="R15" s="625"/>
      <c r="S15" s="625"/>
      <c r="T15" s="625"/>
      <c r="U15" s="625"/>
      <c r="V15" s="625"/>
      <c r="W15" s="625"/>
      <c r="X15" s="625"/>
      <c r="Y15" s="625"/>
      <c r="Z15" s="625"/>
      <c r="AA15" s="625"/>
      <c r="AB15" s="625"/>
      <c r="AC15" s="625"/>
      <c r="AD15" s="625"/>
      <c r="AE15" s="625"/>
      <c r="AF15" s="625"/>
      <c r="AG15" s="625"/>
      <c r="AH15" s="625"/>
      <c r="AI15" s="625"/>
      <c r="AJ15" s="625"/>
      <c r="AK15" s="625"/>
      <c r="AL15" s="625"/>
      <c r="AM15" s="625"/>
      <c r="AN15" s="625"/>
      <c r="AO15" s="625"/>
    </row>
    <row r="16" spans="1:41" s="626" customFormat="1" ht="20.100000000000001" customHeight="1" x14ac:dyDescent="0.25">
      <c r="A16" s="615">
        <v>40</v>
      </c>
      <c r="B16" s="616">
        <v>46031</v>
      </c>
      <c r="C16" s="617" t="s">
        <v>459</v>
      </c>
      <c r="D16" s="617" t="s">
        <v>460</v>
      </c>
      <c r="E16" s="618">
        <v>46029</v>
      </c>
      <c r="F16" s="619" t="s">
        <v>461</v>
      </c>
      <c r="G16" s="620" t="s">
        <v>462</v>
      </c>
      <c r="H16" s="620" t="s">
        <v>463</v>
      </c>
      <c r="I16" s="621" t="s">
        <v>348</v>
      </c>
      <c r="J16" s="616">
        <v>46032</v>
      </c>
      <c r="K16" s="362">
        <v>0</v>
      </c>
      <c r="L16" s="622"/>
      <c r="M16" s="642">
        <f t="shared" si="0"/>
        <v>0</v>
      </c>
      <c r="N16" s="643">
        <v>46032</v>
      </c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</row>
    <row r="17" spans="1:41" s="626" customFormat="1" ht="20.100000000000001" customHeight="1" x14ac:dyDescent="0.25">
      <c r="A17" s="615">
        <v>41</v>
      </c>
      <c r="B17" s="616">
        <v>46035</v>
      </c>
      <c r="C17" s="617" t="s">
        <v>464</v>
      </c>
      <c r="D17" s="617" t="s">
        <v>465</v>
      </c>
      <c r="E17" s="618">
        <v>45719</v>
      </c>
      <c r="F17" s="619" t="s">
        <v>466</v>
      </c>
      <c r="G17" s="620" t="s">
        <v>467</v>
      </c>
      <c r="H17" s="620" t="s">
        <v>468</v>
      </c>
      <c r="I17" s="621" t="s">
        <v>348</v>
      </c>
      <c r="J17" s="616">
        <v>46035</v>
      </c>
      <c r="K17" s="361">
        <v>0</v>
      </c>
      <c r="L17" s="622"/>
      <c r="M17" s="642">
        <f t="shared" si="0"/>
        <v>0</v>
      </c>
      <c r="N17" s="643">
        <v>46035</v>
      </c>
      <c r="O17" s="360"/>
      <c r="P17" s="360"/>
      <c r="Q17" s="360"/>
      <c r="R17" s="360"/>
      <c r="S17" s="360"/>
      <c r="T17" s="360"/>
      <c r="U17" s="360"/>
      <c r="V17" s="360"/>
      <c r="W17" s="360"/>
      <c r="X17" s="360"/>
      <c r="Y17" s="360"/>
      <c r="Z17" s="360"/>
      <c r="AA17" s="360"/>
      <c r="AB17" s="360"/>
      <c r="AC17" s="360"/>
      <c r="AD17" s="360"/>
      <c r="AE17" s="360"/>
      <c r="AF17" s="360"/>
      <c r="AG17" s="360"/>
      <c r="AH17" s="360"/>
      <c r="AI17" s="360"/>
      <c r="AJ17" s="360"/>
      <c r="AK17" s="360"/>
      <c r="AL17" s="360"/>
      <c r="AM17" s="360"/>
      <c r="AN17" s="360"/>
      <c r="AO17" s="360"/>
    </row>
    <row r="18" spans="1:41" s="626" customFormat="1" ht="20.100000000000001" customHeight="1" x14ac:dyDescent="0.25">
      <c r="A18" s="615">
        <v>43</v>
      </c>
      <c r="B18" s="616">
        <v>46036</v>
      </c>
      <c r="C18" s="617" t="s">
        <v>469</v>
      </c>
      <c r="D18" s="617" t="s">
        <v>470</v>
      </c>
      <c r="E18" s="618">
        <v>46024</v>
      </c>
      <c r="F18" s="619" t="s">
        <v>471</v>
      </c>
      <c r="G18" s="620" t="s">
        <v>462</v>
      </c>
      <c r="H18" s="620" t="s">
        <v>472</v>
      </c>
      <c r="I18" s="621" t="s">
        <v>348</v>
      </c>
      <c r="J18" s="616">
        <v>46039</v>
      </c>
      <c r="K18" s="361">
        <v>2</v>
      </c>
      <c r="L18" s="622" t="s">
        <v>473</v>
      </c>
      <c r="M18" s="642">
        <f t="shared" si="0"/>
        <v>3</v>
      </c>
      <c r="N18" s="643">
        <v>46036</v>
      </c>
      <c r="O18" s="360"/>
      <c r="P18" s="360"/>
      <c r="Q18" s="360"/>
      <c r="R18" s="360"/>
      <c r="S18" s="360"/>
      <c r="T18" s="360"/>
      <c r="U18" s="360"/>
      <c r="V18" s="360"/>
      <c r="W18" s="360"/>
      <c r="X18" s="360"/>
      <c r="Y18" s="360"/>
      <c r="Z18" s="360"/>
      <c r="AA18" s="360"/>
      <c r="AB18" s="360"/>
      <c r="AC18" s="360"/>
      <c r="AD18" s="360"/>
      <c r="AE18" s="360"/>
      <c r="AF18" s="360"/>
      <c r="AG18" s="360"/>
      <c r="AH18" s="360"/>
      <c r="AI18" s="360"/>
      <c r="AJ18" s="360"/>
      <c r="AK18" s="360"/>
      <c r="AL18" s="360"/>
      <c r="AM18" s="360"/>
      <c r="AN18" s="360"/>
      <c r="AO18" s="360"/>
    </row>
    <row r="19" spans="1:41" s="626" customFormat="1" ht="20.100000000000001" customHeight="1" x14ac:dyDescent="0.25">
      <c r="A19" s="615">
        <v>44</v>
      </c>
      <c r="B19" s="616">
        <v>46039</v>
      </c>
      <c r="C19" s="617" t="s">
        <v>474</v>
      </c>
      <c r="D19" s="617" t="s">
        <v>475</v>
      </c>
      <c r="E19" s="348">
        <v>45899</v>
      </c>
      <c r="F19" s="351" t="s">
        <v>476</v>
      </c>
      <c r="G19" s="354" t="s">
        <v>477</v>
      </c>
      <c r="H19" s="620" t="s">
        <v>478</v>
      </c>
      <c r="I19" s="621" t="s">
        <v>348</v>
      </c>
      <c r="J19" s="342">
        <v>46039</v>
      </c>
      <c r="K19" s="361">
        <v>0</v>
      </c>
      <c r="L19" s="645"/>
      <c r="M19" s="642">
        <f t="shared" si="0"/>
        <v>0</v>
      </c>
      <c r="N19" s="643">
        <v>46039</v>
      </c>
      <c r="O19" s="360"/>
      <c r="P19" s="360"/>
      <c r="Q19" s="360"/>
      <c r="R19" s="360"/>
      <c r="S19" s="360"/>
      <c r="T19" s="360"/>
      <c r="U19" s="360"/>
      <c r="V19" s="360"/>
      <c r="W19" s="360"/>
      <c r="X19" s="360"/>
      <c r="Y19" s="360"/>
      <c r="Z19" s="360"/>
      <c r="AA19" s="360"/>
      <c r="AB19" s="360"/>
      <c r="AC19" s="360"/>
      <c r="AD19" s="360"/>
      <c r="AE19" s="360"/>
      <c r="AF19" s="360"/>
      <c r="AG19" s="360"/>
      <c r="AH19" s="360"/>
      <c r="AI19" s="360"/>
      <c r="AJ19" s="360"/>
      <c r="AK19" s="360"/>
      <c r="AL19" s="360"/>
      <c r="AM19" s="360"/>
      <c r="AN19" s="360"/>
      <c r="AO19" s="360"/>
    </row>
    <row r="20" spans="1:41" s="626" customFormat="1" ht="20.100000000000001" customHeight="1" x14ac:dyDescent="0.25">
      <c r="A20" s="615">
        <v>46</v>
      </c>
      <c r="B20" s="344">
        <v>46042</v>
      </c>
      <c r="C20" s="347" t="s">
        <v>479</v>
      </c>
      <c r="D20" s="629" t="s">
        <v>480</v>
      </c>
      <c r="E20" s="350">
        <v>45906</v>
      </c>
      <c r="F20" s="353" t="s">
        <v>341</v>
      </c>
      <c r="G20" s="356" t="s">
        <v>345</v>
      </c>
      <c r="H20" s="632" t="s">
        <v>481</v>
      </c>
      <c r="I20" s="633" t="s">
        <v>235</v>
      </c>
      <c r="J20" s="344">
        <v>46042</v>
      </c>
      <c r="K20" s="361">
        <v>0</v>
      </c>
      <c r="L20" s="360"/>
      <c r="M20" s="642">
        <f t="shared" si="0"/>
        <v>0</v>
      </c>
      <c r="N20" s="643">
        <v>46042</v>
      </c>
      <c r="O20" s="360"/>
      <c r="P20" s="360"/>
      <c r="Q20" s="360"/>
      <c r="R20" s="360"/>
      <c r="S20" s="360"/>
      <c r="T20" s="360"/>
      <c r="U20" s="360"/>
      <c r="V20" s="360"/>
      <c r="W20" s="360"/>
      <c r="X20" s="360"/>
      <c r="Y20" s="360"/>
      <c r="Z20" s="360"/>
      <c r="AA20" s="360"/>
      <c r="AB20" s="360"/>
      <c r="AC20" s="360"/>
      <c r="AD20" s="360"/>
      <c r="AE20" s="360"/>
      <c r="AF20" s="360"/>
      <c r="AG20" s="360"/>
      <c r="AH20" s="360"/>
      <c r="AI20" s="360"/>
      <c r="AJ20" s="360"/>
      <c r="AK20" s="360"/>
      <c r="AL20" s="360"/>
      <c r="AM20" s="360"/>
      <c r="AN20" s="360"/>
      <c r="AO20" s="360"/>
    </row>
    <row r="21" spans="1:41" s="626" customFormat="1" ht="20.100000000000001" customHeight="1" x14ac:dyDescent="0.25">
      <c r="A21" s="615">
        <v>47</v>
      </c>
      <c r="B21" s="343">
        <v>46043</v>
      </c>
      <c r="C21" s="346" t="s">
        <v>482</v>
      </c>
      <c r="D21" s="346" t="s">
        <v>483</v>
      </c>
      <c r="E21" s="349">
        <v>45978</v>
      </c>
      <c r="F21" s="352" t="s">
        <v>484</v>
      </c>
      <c r="G21" s="355" t="s">
        <v>485</v>
      </c>
      <c r="H21" s="355" t="s">
        <v>486</v>
      </c>
      <c r="I21" s="358" t="s">
        <v>349</v>
      </c>
      <c r="J21" s="343">
        <v>46044</v>
      </c>
      <c r="K21" s="361">
        <v>0</v>
      </c>
      <c r="L21" s="646"/>
      <c r="M21" s="642">
        <f t="shared" si="0"/>
        <v>0</v>
      </c>
      <c r="N21" s="643">
        <v>46044</v>
      </c>
      <c r="O21" s="360"/>
      <c r="P21" s="360"/>
      <c r="Q21" s="360"/>
      <c r="R21" s="360"/>
      <c r="S21" s="360"/>
      <c r="T21" s="360"/>
      <c r="U21" s="360"/>
      <c r="V21" s="360"/>
      <c r="W21" s="360"/>
      <c r="X21" s="360"/>
      <c r="Y21" s="360"/>
      <c r="Z21" s="360"/>
      <c r="AA21" s="360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  <c r="AL21" s="360"/>
      <c r="AM21" s="360"/>
      <c r="AN21" s="360"/>
      <c r="AO21" s="360"/>
    </row>
    <row r="22" spans="1:41" s="626" customFormat="1" ht="20.100000000000001" customHeight="1" x14ac:dyDescent="0.25">
      <c r="A22" s="615">
        <v>48</v>
      </c>
      <c r="B22" s="343">
        <v>46044</v>
      </c>
      <c r="C22" s="346" t="s">
        <v>487</v>
      </c>
      <c r="D22" s="346" t="s">
        <v>488</v>
      </c>
      <c r="E22" s="349">
        <v>45587</v>
      </c>
      <c r="F22" s="352" t="s">
        <v>489</v>
      </c>
      <c r="G22" s="355" t="s">
        <v>236</v>
      </c>
      <c r="H22" s="355" t="s">
        <v>490</v>
      </c>
      <c r="I22" s="358" t="s">
        <v>349</v>
      </c>
      <c r="J22" s="343">
        <v>46044</v>
      </c>
      <c r="K22" s="361">
        <v>0</v>
      </c>
      <c r="L22" s="646"/>
      <c r="M22" s="642">
        <f t="shared" si="0"/>
        <v>0</v>
      </c>
      <c r="N22" s="643">
        <v>46044</v>
      </c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360"/>
      <c r="AF22" s="360"/>
      <c r="AG22" s="360"/>
      <c r="AH22" s="360"/>
      <c r="AI22" s="360"/>
      <c r="AJ22" s="360"/>
      <c r="AK22" s="360"/>
      <c r="AL22" s="360"/>
      <c r="AM22" s="360"/>
      <c r="AN22" s="360"/>
      <c r="AO22" s="360"/>
    </row>
    <row r="23" spans="1:41" s="626" customFormat="1" ht="20.100000000000001" customHeight="1" x14ac:dyDescent="0.25">
      <c r="A23" s="615">
        <v>50</v>
      </c>
      <c r="B23" s="342">
        <v>46044</v>
      </c>
      <c r="C23" s="617" t="s">
        <v>491</v>
      </c>
      <c r="D23" s="345" t="s">
        <v>492</v>
      </c>
      <c r="E23" s="348">
        <v>46018</v>
      </c>
      <c r="F23" s="351" t="s">
        <v>493</v>
      </c>
      <c r="G23" s="354" t="s">
        <v>347</v>
      </c>
      <c r="H23" s="354" t="s">
        <v>494</v>
      </c>
      <c r="I23" s="621" t="s">
        <v>348</v>
      </c>
      <c r="J23" s="342">
        <v>46045</v>
      </c>
      <c r="K23" s="361">
        <v>0</v>
      </c>
      <c r="L23" s="645"/>
      <c r="M23" s="642">
        <f t="shared" si="0"/>
        <v>0</v>
      </c>
      <c r="N23" s="643">
        <v>46045</v>
      </c>
      <c r="O23" s="360"/>
      <c r="P23" s="360"/>
      <c r="Q23" s="360"/>
      <c r="R23" s="360"/>
      <c r="S23" s="360"/>
      <c r="T23" s="360"/>
      <c r="U23" s="360"/>
      <c r="V23" s="360"/>
      <c r="W23" s="360"/>
      <c r="X23" s="360"/>
      <c r="Y23" s="360"/>
      <c r="Z23" s="360"/>
      <c r="AA23" s="360"/>
      <c r="AB23" s="360"/>
      <c r="AC23" s="360"/>
      <c r="AD23" s="360"/>
      <c r="AE23" s="360"/>
      <c r="AF23" s="360"/>
      <c r="AG23" s="360"/>
      <c r="AH23" s="360"/>
      <c r="AI23" s="360"/>
      <c r="AJ23" s="360"/>
      <c r="AK23" s="360"/>
      <c r="AL23" s="360"/>
      <c r="AM23" s="360"/>
      <c r="AN23" s="360"/>
      <c r="AO23" s="360"/>
    </row>
    <row r="24" spans="1:41" s="626" customFormat="1" ht="20.100000000000001" customHeight="1" x14ac:dyDescent="0.25">
      <c r="A24" s="615">
        <v>51</v>
      </c>
      <c r="B24" s="342">
        <v>46045</v>
      </c>
      <c r="C24" s="345" t="s">
        <v>495</v>
      </c>
      <c r="D24" s="345" t="s">
        <v>496</v>
      </c>
      <c r="E24" s="348">
        <v>46042</v>
      </c>
      <c r="F24" s="351" t="s">
        <v>497</v>
      </c>
      <c r="G24" s="354" t="s">
        <v>498</v>
      </c>
      <c r="H24" s="354" t="s">
        <v>499</v>
      </c>
      <c r="I24" s="621" t="s">
        <v>348</v>
      </c>
      <c r="J24" s="342">
        <v>46046</v>
      </c>
      <c r="K24" s="361">
        <v>0</v>
      </c>
      <c r="L24" s="645"/>
      <c r="M24" s="642">
        <f t="shared" si="0"/>
        <v>0</v>
      </c>
      <c r="N24" s="643">
        <v>46046</v>
      </c>
      <c r="O24" s="360"/>
      <c r="P24" s="360"/>
      <c r="Q24" s="360"/>
      <c r="R24" s="360"/>
      <c r="S24" s="360"/>
      <c r="T24" s="360"/>
      <c r="U24" s="360"/>
      <c r="V24" s="360"/>
      <c r="W24" s="360"/>
      <c r="X24" s="360"/>
      <c r="Y24" s="360"/>
      <c r="Z24" s="360"/>
      <c r="AA24" s="360"/>
      <c r="AB24" s="360"/>
      <c r="AC24" s="360"/>
      <c r="AD24" s="360"/>
      <c r="AE24" s="360"/>
      <c r="AF24" s="360"/>
      <c r="AG24" s="360"/>
      <c r="AH24" s="360"/>
      <c r="AI24" s="360"/>
      <c r="AJ24" s="360"/>
      <c r="AK24" s="360"/>
      <c r="AL24" s="360"/>
      <c r="AM24" s="360"/>
      <c r="AN24" s="360"/>
      <c r="AO24" s="360"/>
    </row>
    <row r="25" spans="1:41" s="626" customFormat="1" ht="20.100000000000001" customHeight="1" x14ac:dyDescent="0.25">
      <c r="A25" s="615">
        <v>54</v>
      </c>
      <c r="B25" s="342">
        <v>46049</v>
      </c>
      <c r="C25" s="617" t="s">
        <v>500</v>
      </c>
      <c r="D25" s="345" t="s">
        <v>501</v>
      </c>
      <c r="E25" s="348">
        <v>45947</v>
      </c>
      <c r="F25" s="351" t="s">
        <v>502</v>
      </c>
      <c r="G25" s="354" t="s">
        <v>503</v>
      </c>
      <c r="H25" s="354" t="s">
        <v>504</v>
      </c>
      <c r="I25" s="621" t="s">
        <v>348</v>
      </c>
      <c r="J25" s="342">
        <v>46050</v>
      </c>
      <c r="K25" s="361">
        <v>1</v>
      </c>
      <c r="L25" s="645"/>
      <c r="M25" s="642">
        <f t="shared" si="0"/>
        <v>1</v>
      </c>
      <c r="N25" s="643">
        <v>46049</v>
      </c>
      <c r="O25" s="360"/>
      <c r="P25" s="360"/>
      <c r="Q25" s="360"/>
      <c r="R25" s="360"/>
      <c r="S25" s="360"/>
      <c r="T25" s="360"/>
      <c r="U25" s="360"/>
      <c r="V25" s="360"/>
      <c r="W25" s="360"/>
      <c r="X25" s="360"/>
      <c r="Y25" s="360"/>
      <c r="Z25" s="360"/>
      <c r="AA25" s="360"/>
      <c r="AB25" s="360"/>
      <c r="AC25" s="360"/>
      <c r="AD25" s="360"/>
      <c r="AE25" s="360"/>
      <c r="AF25" s="360"/>
      <c r="AG25" s="360"/>
      <c r="AH25" s="360"/>
      <c r="AI25" s="360"/>
      <c r="AJ25" s="360"/>
      <c r="AK25" s="360"/>
      <c r="AL25" s="360"/>
      <c r="AM25" s="360"/>
      <c r="AN25" s="360"/>
      <c r="AO25" s="360"/>
    </row>
    <row r="26" spans="1:41" s="626" customFormat="1" ht="20.100000000000001" customHeight="1" x14ac:dyDescent="0.25">
      <c r="A26" s="615">
        <v>55</v>
      </c>
      <c r="B26" s="342">
        <v>46049</v>
      </c>
      <c r="C26" s="617" t="s">
        <v>505</v>
      </c>
      <c r="D26" s="345" t="s">
        <v>506</v>
      </c>
      <c r="E26" s="348">
        <v>45885</v>
      </c>
      <c r="F26" s="351" t="s">
        <v>507</v>
      </c>
      <c r="G26" s="354" t="s">
        <v>508</v>
      </c>
      <c r="H26" s="354" t="s">
        <v>509</v>
      </c>
      <c r="I26" s="621" t="s">
        <v>348</v>
      </c>
      <c r="J26" s="342">
        <v>46050</v>
      </c>
      <c r="K26" s="361">
        <v>1</v>
      </c>
      <c r="L26" s="645"/>
      <c r="M26" s="642">
        <f t="shared" si="0"/>
        <v>1</v>
      </c>
      <c r="N26" s="643">
        <v>46049</v>
      </c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360"/>
      <c r="AF26" s="360"/>
      <c r="AG26" s="360"/>
      <c r="AH26" s="360"/>
      <c r="AI26" s="360"/>
      <c r="AJ26" s="360"/>
      <c r="AK26" s="360"/>
      <c r="AL26" s="360"/>
      <c r="AM26" s="360"/>
      <c r="AN26" s="360"/>
      <c r="AO26" s="360"/>
    </row>
    <row r="27" spans="1:41" s="626" customFormat="1" ht="20.100000000000001" customHeight="1" x14ac:dyDescent="0.25">
      <c r="A27" s="615">
        <v>56</v>
      </c>
      <c r="B27" s="344">
        <v>46049</v>
      </c>
      <c r="C27" s="347" t="s">
        <v>510</v>
      </c>
      <c r="D27" s="347" t="s">
        <v>511</v>
      </c>
      <c r="E27" s="350">
        <v>45920</v>
      </c>
      <c r="F27" s="353" t="s">
        <v>512</v>
      </c>
      <c r="G27" s="356" t="s">
        <v>513</v>
      </c>
      <c r="H27" s="356" t="s">
        <v>514</v>
      </c>
      <c r="I27" s="359" t="s">
        <v>235</v>
      </c>
      <c r="J27" s="344">
        <v>46050</v>
      </c>
      <c r="K27" s="361">
        <v>1</v>
      </c>
      <c r="L27" s="360"/>
      <c r="M27" s="642">
        <f t="shared" si="0"/>
        <v>1</v>
      </c>
      <c r="N27" s="643">
        <v>46049</v>
      </c>
      <c r="O27" s="360"/>
      <c r="P27" s="360"/>
      <c r="Q27" s="360"/>
      <c r="R27" s="360"/>
      <c r="S27" s="360"/>
      <c r="T27" s="360"/>
      <c r="U27" s="360"/>
      <c r="V27" s="360"/>
      <c r="W27" s="360"/>
      <c r="X27" s="360"/>
      <c r="Y27" s="360"/>
      <c r="Z27" s="360"/>
      <c r="AA27" s="360"/>
      <c r="AB27" s="360"/>
      <c r="AC27" s="360"/>
      <c r="AD27" s="360"/>
      <c r="AE27" s="360"/>
      <c r="AF27" s="360"/>
      <c r="AG27" s="360"/>
      <c r="AH27" s="360"/>
      <c r="AI27" s="360"/>
      <c r="AJ27" s="360"/>
      <c r="AK27" s="360"/>
      <c r="AL27" s="360"/>
      <c r="AM27" s="360"/>
      <c r="AN27" s="360"/>
      <c r="AO27" s="360"/>
    </row>
    <row r="28" spans="1:41" s="626" customFormat="1" ht="20.100000000000001" customHeight="1" x14ac:dyDescent="0.25">
      <c r="A28" s="615">
        <v>57</v>
      </c>
      <c r="B28" s="342">
        <v>46050</v>
      </c>
      <c r="C28" s="345" t="s">
        <v>515</v>
      </c>
      <c r="D28" s="345" t="s">
        <v>516</v>
      </c>
      <c r="E28" s="348">
        <v>45954</v>
      </c>
      <c r="F28" s="351" t="s">
        <v>517</v>
      </c>
      <c r="G28" s="354" t="s">
        <v>518</v>
      </c>
      <c r="H28" s="354" t="s">
        <v>519</v>
      </c>
      <c r="I28" s="621" t="s">
        <v>348</v>
      </c>
      <c r="J28" s="342">
        <v>46050</v>
      </c>
      <c r="K28" s="361">
        <v>0</v>
      </c>
      <c r="L28" s="645"/>
      <c r="M28" s="642">
        <f t="shared" si="0"/>
        <v>0</v>
      </c>
      <c r="N28" s="643">
        <v>46050</v>
      </c>
      <c r="O28" s="360"/>
      <c r="P28" s="360"/>
      <c r="Q28" s="360"/>
      <c r="R28" s="360"/>
      <c r="S28" s="360"/>
      <c r="T28" s="360"/>
      <c r="U28" s="360"/>
      <c r="V28" s="360"/>
      <c r="W28" s="360"/>
      <c r="X28" s="360"/>
      <c r="Y28" s="360"/>
      <c r="Z28" s="360"/>
      <c r="AA28" s="360"/>
      <c r="AB28" s="360"/>
      <c r="AC28" s="360"/>
      <c r="AD28" s="360"/>
      <c r="AE28" s="360"/>
      <c r="AF28" s="360"/>
      <c r="AG28" s="360"/>
      <c r="AH28" s="360"/>
      <c r="AI28" s="360"/>
      <c r="AJ28" s="360"/>
      <c r="AK28" s="360"/>
      <c r="AL28" s="360"/>
      <c r="AM28" s="360"/>
      <c r="AN28" s="360"/>
      <c r="AO28" s="360"/>
    </row>
    <row r="29" spans="1:41" s="626" customFormat="1" ht="20.100000000000001" customHeight="1" x14ac:dyDescent="0.25">
      <c r="A29" s="615">
        <v>59</v>
      </c>
      <c r="B29" s="342">
        <v>46050</v>
      </c>
      <c r="C29" s="345" t="s">
        <v>520</v>
      </c>
      <c r="D29" s="345" t="s">
        <v>521</v>
      </c>
      <c r="E29" s="348">
        <v>45972</v>
      </c>
      <c r="F29" s="351" t="s">
        <v>522</v>
      </c>
      <c r="G29" s="354" t="s">
        <v>236</v>
      </c>
      <c r="H29" s="354" t="s">
        <v>523</v>
      </c>
      <c r="I29" s="621" t="s">
        <v>348</v>
      </c>
      <c r="J29" s="342">
        <v>46050</v>
      </c>
      <c r="K29" s="361">
        <v>0</v>
      </c>
      <c r="L29" s="645"/>
      <c r="M29" s="642">
        <f t="shared" si="0"/>
        <v>0</v>
      </c>
      <c r="N29" s="643">
        <v>46050</v>
      </c>
      <c r="O29" s="360"/>
      <c r="P29" s="360"/>
      <c r="Q29" s="360"/>
      <c r="R29" s="360"/>
      <c r="S29" s="360"/>
      <c r="T29" s="360"/>
      <c r="U29" s="360"/>
      <c r="V29" s="360"/>
      <c r="W29" s="360"/>
      <c r="X29" s="360"/>
      <c r="Y29" s="360"/>
      <c r="Z29" s="360"/>
      <c r="AA29" s="360"/>
      <c r="AB29" s="360"/>
      <c r="AC29" s="360"/>
      <c r="AD29" s="360"/>
      <c r="AE29" s="360"/>
      <c r="AF29" s="360"/>
      <c r="AG29" s="360"/>
      <c r="AH29" s="360"/>
      <c r="AI29" s="360"/>
      <c r="AJ29" s="360"/>
      <c r="AK29" s="360"/>
      <c r="AL29" s="360"/>
      <c r="AM29" s="360"/>
      <c r="AN29" s="360"/>
      <c r="AO29" s="360"/>
    </row>
    <row r="30" spans="1:41" s="626" customFormat="1" ht="20.100000000000001" customHeight="1" x14ac:dyDescent="0.25">
      <c r="A30" s="615">
        <v>60</v>
      </c>
      <c r="B30" s="342">
        <v>46050</v>
      </c>
      <c r="C30" s="345" t="s">
        <v>524</v>
      </c>
      <c r="D30" s="345" t="s">
        <v>525</v>
      </c>
      <c r="E30" s="348">
        <v>46045</v>
      </c>
      <c r="F30" s="351" t="s">
        <v>526</v>
      </c>
      <c r="G30" s="354" t="s">
        <v>344</v>
      </c>
      <c r="H30" s="354" t="s">
        <v>527</v>
      </c>
      <c r="I30" s="621" t="s">
        <v>348</v>
      </c>
      <c r="J30" s="342">
        <v>46050</v>
      </c>
      <c r="K30" s="361">
        <v>0</v>
      </c>
      <c r="L30" s="645"/>
      <c r="M30" s="642">
        <f t="shared" si="0"/>
        <v>0</v>
      </c>
      <c r="N30" s="643">
        <v>46050</v>
      </c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</row>
    <row r="31" spans="1:41" s="626" customFormat="1" ht="20.100000000000001" customHeight="1" x14ac:dyDescent="0.25">
      <c r="A31" s="615">
        <v>61</v>
      </c>
      <c r="B31" s="342">
        <v>46051</v>
      </c>
      <c r="C31" s="345" t="s">
        <v>528</v>
      </c>
      <c r="D31" s="345" t="s">
        <v>529</v>
      </c>
      <c r="E31" s="348">
        <v>46046</v>
      </c>
      <c r="F31" s="351" t="s">
        <v>530</v>
      </c>
      <c r="G31" s="354" t="s">
        <v>344</v>
      </c>
      <c r="H31" s="354" t="s">
        <v>531</v>
      </c>
      <c r="I31" s="621" t="s">
        <v>348</v>
      </c>
      <c r="J31" s="342">
        <v>46051</v>
      </c>
      <c r="K31" s="361">
        <v>0</v>
      </c>
      <c r="L31" s="645"/>
      <c r="M31" s="642">
        <f t="shared" si="0"/>
        <v>0</v>
      </c>
      <c r="N31" s="643">
        <v>46051</v>
      </c>
      <c r="O31" s="360"/>
      <c r="P31" s="360"/>
      <c r="Q31" s="360"/>
      <c r="R31" s="360"/>
      <c r="S31" s="360"/>
      <c r="T31" s="360"/>
      <c r="U31" s="360"/>
      <c r="V31" s="360"/>
      <c r="W31" s="360"/>
      <c r="X31" s="360"/>
      <c r="Y31" s="360"/>
      <c r="Z31" s="360"/>
      <c r="AA31" s="360"/>
      <c r="AB31" s="360"/>
      <c r="AC31" s="360"/>
      <c r="AD31" s="360"/>
      <c r="AE31" s="360"/>
      <c r="AF31" s="360"/>
      <c r="AG31" s="360"/>
      <c r="AH31" s="360"/>
      <c r="AI31" s="360"/>
      <c r="AJ31" s="360"/>
      <c r="AK31" s="360"/>
      <c r="AL31" s="360"/>
      <c r="AM31" s="360"/>
      <c r="AN31" s="360"/>
      <c r="AO31" s="360"/>
    </row>
    <row r="32" spans="1:41" s="626" customFormat="1" ht="20.100000000000001" customHeight="1" x14ac:dyDescent="0.25">
      <c r="A32" s="615">
        <v>62</v>
      </c>
      <c r="B32" s="342">
        <v>46052</v>
      </c>
      <c r="C32" s="345" t="s">
        <v>532</v>
      </c>
      <c r="D32" s="345" t="s">
        <v>533</v>
      </c>
      <c r="E32" s="348">
        <v>45920</v>
      </c>
      <c r="F32" s="351" t="s">
        <v>534</v>
      </c>
      <c r="G32" s="354" t="s">
        <v>535</v>
      </c>
      <c r="H32" s="354" t="s">
        <v>536</v>
      </c>
      <c r="I32" s="357" t="s">
        <v>348</v>
      </c>
      <c r="J32" s="342">
        <v>46053</v>
      </c>
      <c r="K32" s="361">
        <v>0</v>
      </c>
      <c r="L32" s="622" t="s">
        <v>537</v>
      </c>
      <c r="M32" s="642">
        <f t="shared" si="0"/>
        <v>1</v>
      </c>
      <c r="N32" s="643">
        <v>46052</v>
      </c>
      <c r="O32" s="360"/>
      <c r="P32" s="360"/>
      <c r="Q32" s="360"/>
      <c r="R32" s="360"/>
      <c r="S32" s="360"/>
      <c r="T32" s="360"/>
      <c r="U32" s="360"/>
      <c r="V32" s="360"/>
      <c r="W32" s="360"/>
      <c r="X32" s="360"/>
      <c r="Y32" s="360"/>
      <c r="Z32" s="360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0"/>
      <c r="AL32" s="360"/>
      <c r="AM32" s="360"/>
      <c r="AN32" s="360"/>
      <c r="AO32" s="360"/>
    </row>
    <row r="33" spans="1:41" s="626" customFormat="1" ht="20.100000000000001" customHeight="1" x14ac:dyDescent="0.25">
      <c r="A33" s="615">
        <v>64</v>
      </c>
      <c r="B33" s="342">
        <v>46052</v>
      </c>
      <c r="C33" s="345" t="s">
        <v>538</v>
      </c>
      <c r="D33" s="345" t="s">
        <v>539</v>
      </c>
      <c r="E33" s="618">
        <v>46049</v>
      </c>
      <c r="F33" s="619" t="s">
        <v>420</v>
      </c>
      <c r="G33" s="620" t="s">
        <v>347</v>
      </c>
      <c r="H33" s="354" t="s">
        <v>540</v>
      </c>
      <c r="I33" s="357" t="s">
        <v>350</v>
      </c>
      <c r="J33" s="342">
        <v>46053</v>
      </c>
      <c r="K33" s="361">
        <v>1</v>
      </c>
      <c r="L33" s="622"/>
      <c r="M33" s="642">
        <f t="shared" si="0"/>
        <v>1</v>
      </c>
      <c r="N33" s="643">
        <v>46052</v>
      </c>
      <c r="O33" s="360"/>
      <c r="P33" s="360"/>
      <c r="Q33" s="360"/>
      <c r="R33" s="360"/>
      <c r="S33" s="360"/>
      <c r="T33" s="360"/>
      <c r="U33" s="360"/>
      <c r="V33" s="360"/>
      <c r="W33" s="360"/>
      <c r="X33" s="360"/>
      <c r="Y33" s="360"/>
      <c r="Z33" s="360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  <c r="AL33" s="360"/>
      <c r="AM33" s="360"/>
      <c r="AN33" s="360"/>
      <c r="AO33" s="360"/>
    </row>
    <row r="34" spans="1:41" s="626" customFormat="1" ht="20.100000000000001" customHeight="1" x14ac:dyDescent="0.25">
      <c r="A34" s="615">
        <v>81</v>
      </c>
      <c r="B34" s="343">
        <v>46053</v>
      </c>
      <c r="C34" s="346" t="s">
        <v>541</v>
      </c>
      <c r="D34" s="346" t="s">
        <v>542</v>
      </c>
      <c r="E34" s="637">
        <v>45948</v>
      </c>
      <c r="F34" s="640" t="s">
        <v>543</v>
      </c>
      <c r="G34" s="640" t="s">
        <v>544</v>
      </c>
      <c r="H34" s="355" t="s">
        <v>545</v>
      </c>
      <c r="I34" s="358" t="s">
        <v>546</v>
      </c>
      <c r="J34" s="343">
        <v>46055</v>
      </c>
      <c r="K34" s="361">
        <v>0</v>
      </c>
      <c r="L34" s="647" t="s">
        <v>547</v>
      </c>
      <c r="M34" s="642">
        <f t="shared" si="0"/>
        <v>0</v>
      </c>
      <c r="N34" s="643">
        <v>46055</v>
      </c>
      <c r="O34" s="360"/>
      <c r="P34" s="360"/>
      <c r="Q34" s="360"/>
      <c r="R34" s="360"/>
      <c r="S34" s="360"/>
      <c r="T34" s="360"/>
      <c r="U34" s="360"/>
      <c r="V34" s="360"/>
      <c r="W34" s="360"/>
      <c r="X34" s="360"/>
      <c r="Y34" s="360"/>
      <c r="Z34" s="360"/>
      <c r="AA34" s="360"/>
      <c r="AB34" s="360"/>
      <c r="AC34" s="360"/>
      <c r="AD34" s="360"/>
      <c r="AE34" s="360"/>
      <c r="AF34" s="360"/>
      <c r="AG34" s="360"/>
      <c r="AH34" s="360"/>
      <c r="AI34" s="360"/>
      <c r="AJ34" s="360"/>
      <c r="AK34" s="360"/>
      <c r="AL34" s="360"/>
      <c r="AM34" s="360"/>
      <c r="AN34" s="360"/>
      <c r="AO34" s="360"/>
    </row>
    <row r="35" spans="1:41" s="626" customFormat="1" ht="20.100000000000001" customHeight="1" x14ac:dyDescent="0.25">
      <c r="A35" s="615">
        <v>82</v>
      </c>
      <c r="B35" s="344">
        <v>46053</v>
      </c>
      <c r="C35" s="347" t="s">
        <v>548</v>
      </c>
      <c r="D35" s="347" t="s">
        <v>549</v>
      </c>
      <c r="E35" s="630">
        <v>45932</v>
      </c>
      <c r="F35" s="632" t="s">
        <v>550</v>
      </c>
      <c r="G35" s="632" t="s">
        <v>551</v>
      </c>
      <c r="H35" s="356" t="s">
        <v>552</v>
      </c>
      <c r="I35" s="359" t="s">
        <v>235</v>
      </c>
      <c r="J35" s="344">
        <v>46055</v>
      </c>
      <c r="K35" s="361">
        <v>0</v>
      </c>
      <c r="L35" s="647" t="s">
        <v>547</v>
      </c>
      <c r="M35" s="642">
        <f t="shared" si="0"/>
        <v>0</v>
      </c>
      <c r="N35" s="643">
        <v>46055</v>
      </c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  <c r="AL35" s="360"/>
      <c r="AM35" s="360"/>
      <c r="AN35" s="360"/>
      <c r="AO35" s="360"/>
    </row>
    <row r="36" spans="1:41" s="626" customFormat="1" ht="20.100000000000001" customHeight="1" x14ac:dyDescent="0.25">
      <c r="A36" s="615">
        <v>84</v>
      </c>
      <c r="B36" s="342">
        <v>46053</v>
      </c>
      <c r="C36" s="345" t="s">
        <v>553</v>
      </c>
      <c r="D36" s="345" t="s">
        <v>554</v>
      </c>
      <c r="E36" s="618">
        <v>45922</v>
      </c>
      <c r="F36" s="620" t="s">
        <v>555</v>
      </c>
      <c r="G36" s="620" t="s">
        <v>551</v>
      </c>
      <c r="H36" s="354" t="s">
        <v>556</v>
      </c>
      <c r="I36" s="357" t="s">
        <v>348</v>
      </c>
      <c r="J36" s="342">
        <v>46055</v>
      </c>
      <c r="K36" s="361">
        <v>0</v>
      </c>
      <c r="L36" s="647" t="s">
        <v>547</v>
      </c>
      <c r="M36" s="642">
        <f t="shared" si="0"/>
        <v>0</v>
      </c>
      <c r="N36" s="643">
        <v>46055</v>
      </c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360"/>
      <c r="AF36" s="360"/>
      <c r="AG36" s="360"/>
      <c r="AH36" s="360"/>
      <c r="AI36" s="360"/>
      <c r="AJ36" s="360"/>
      <c r="AK36" s="360"/>
      <c r="AL36" s="360"/>
      <c r="AM36" s="360"/>
      <c r="AN36" s="360"/>
      <c r="AO36" s="360"/>
    </row>
    <row r="37" spans="1:41" s="626" customFormat="1" ht="20.100000000000001" customHeight="1" x14ac:dyDescent="0.25">
      <c r="A37" s="615">
        <v>85</v>
      </c>
      <c r="B37" s="342">
        <v>46053</v>
      </c>
      <c r="C37" s="345" t="s">
        <v>557</v>
      </c>
      <c r="D37" s="345" t="s">
        <v>558</v>
      </c>
      <c r="E37" s="618">
        <v>45932</v>
      </c>
      <c r="F37" s="620" t="s">
        <v>559</v>
      </c>
      <c r="G37" s="620" t="s">
        <v>551</v>
      </c>
      <c r="H37" s="354" t="s">
        <v>560</v>
      </c>
      <c r="I37" s="357" t="s">
        <v>348</v>
      </c>
      <c r="J37" s="342">
        <v>46055</v>
      </c>
      <c r="K37" s="361">
        <v>0</v>
      </c>
      <c r="L37" s="647" t="s">
        <v>547</v>
      </c>
      <c r="M37" s="642">
        <f t="shared" si="0"/>
        <v>0</v>
      </c>
      <c r="N37" s="643">
        <v>46055</v>
      </c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0"/>
      <c r="AI37" s="360"/>
      <c r="AJ37" s="360"/>
      <c r="AK37" s="360"/>
      <c r="AL37" s="360"/>
      <c r="AM37" s="360"/>
      <c r="AN37" s="360"/>
      <c r="AO37" s="360"/>
    </row>
    <row r="38" spans="1:41" s="626" customFormat="1" ht="20.100000000000001" customHeight="1" x14ac:dyDescent="0.25">
      <c r="A38" s="648"/>
      <c r="B38" s="648"/>
      <c r="C38" s="648"/>
      <c r="D38" s="648"/>
      <c r="E38" s="648"/>
      <c r="F38" s="648"/>
      <c r="G38" s="648"/>
      <c r="H38" s="648"/>
      <c r="I38" s="648"/>
      <c r="J38" s="649" t="s">
        <v>351</v>
      </c>
      <c r="K38" s="650">
        <f>AVERAGE(K4:K37)</f>
        <v>0.29411764705882354</v>
      </c>
      <c r="L38" s="9"/>
      <c r="M38" s="651"/>
      <c r="N38" s="624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</row>
    <row r="39" spans="1:41" s="626" customFormat="1" ht="20.100000000000001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 s="652"/>
      <c r="N39" s="624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</row>
    <row r="40" spans="1:41" s="626" customFormat="1" ht="20.100000000000001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 s="653"/>
      <c r="N40" s="653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</row>
    <row r="41" spans="1:41" s="626" customFormat="1" ht="20.100000000000001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 s="653"/>
      <c r="N41" s="653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</row>
    <row r="42" spans="1:41" s="626" customFormat="1" ht="20.100000000000001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 s="653"/>
      <c r="N42" s="653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</row>
    <row r="43" spans="1:41" s="654" customFormat="1" ht="20.100000000000001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 s="653"/>
      <c r="N43" s="65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</row>
    <row r="44" spans="1:41" ht="20.100000000000001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</row>
    <row r="45" spans="1:41" ht="20.100000000000001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</row>
    <row r="46" spans="1:41" ht="20.100000000000001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</row>
    <row r="47" spans="1:41" ht="20.100000000000001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</row>
    <row r="48" spans="1:41" ht="20.100000000000001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</row>
    <row r="49" spans="1:41" ht="20.100000000000001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</row>
    <row r="50" spans="1:41" ht="20.100000000000001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</row>
    <row r="51" spans="1:41" ht="20.100000000000001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20.100000000000001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20.100000000000001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20.100000000000001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20.100000000000001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20.100000000000001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20.100000000000001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20.100000000000001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20.100000000000001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20.100000000000001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20.100000000000001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20.100000000000001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20.100000000000001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20.100000000000001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ht="20.100000000000001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ht="20.100000000000001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ht="20.100000000000001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ht="20.100000000000001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ht="20.100000000000001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ht="20.100000000000001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ht="20.100000000000001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ht="20.100000000000001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ht="20.100000000000001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ht="20.100000000000001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</row>
    <row r="75" spans="1:41" ht="20.100000000000001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</row>
    <row r="76" spans="1:41" ht="20.100000000000001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</row>
    <row r="77" spans="1:41" ht="20.100000000000001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</row>
    <row r="78" spans="1:41" ht="20.100000000000001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</row>
    <row r="79" spans="1:41" ht="20.100000000000001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</row>
    <row r="80" spans="1:41" ht="20.100000000000001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</row>
    <row r="81" spans="1:41" ht="20.100000000000001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</row>
    <row r="82" spans="1:41" ht="20.100000000000001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</row>
    <row r="83" spans="1:41" ht="20.100000000000001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</row>
    <row r="84" spans="1:41" ht="20.100000000000001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</row>
    <row r="85" spans="1:41" ht="20.100000000000001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</row>
    <row r="86" spans="1:41" ht="20.100000000000001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</row>
    <row r="87" spans="1:41" ht="20.100000000000001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</row>
    <row r="88" spans="1:41" ht="20.100000000000001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</row>
    <row r="89" spans="1:41" ht="20.100000000000001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</row>
  </sheetData>
  <mergeCells count="1">
    <mergeCell ref="C1:E1"/>
  </mergeCells>
  <pageMargins left="0.7" right="0.7" top="0.75" bottom="0.75" header="0.3" footer="0.3"/>
  <pageSetup orientation="portrait" horizontalDpi="120" verticalDpi="7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26"/>
  <sheetViews>
    <sheetView topLeftCell="A3" workbookViewId="0">
      <selection activeCell="C21" sqref="C21"/>
    </sheetView>
  </sheetViews>
  <sheetFormatPr defaultColWidth="11.42578125" defaultRowHeight="15" x14ac:dyDescent="0.25"/>
  <cols>
    <col min="1" max="1" width="14.42578125" style="254" bestFit="1" customWidth="1"/>
    <col min="2" max="2" width="15.28515625" style="254" bestFit="1" customWidth="1"/>
    <col min="3" max="3" width="22" style="254" bestFit="1" customWidth="1"/>
    <col min="4" max="4" width="14.5703125" style="256" bestFit="1" customWidth="1"/>
    <col min="5" max="16384" width="11.42578125" style="254"/>
  </cols>
  <sheetData>
    <row r="1" spans="1:5" x14ac:dyDescent="0.25">
      <c r="A1" s="575" t="s">
        <v>224</v>
      </c>
      <c r="B1" s="575"/>
      <c r="C1" s="575"/>
      <c r="D1" s="575"/>
    </row>
    <row r="2" spans="1:5" x14ac:dyDescent="0.25">
      <c r="A2" s="255"/>
      <c r="C2" s="255"/>
    </row>
    <row r="3" spans="1:5" ht="15" customHeight="1" x14ac:dyDescent="0.25">
      <c r="A3" s="314" t="s">
        <v>225</v>
      </c>
      <c r="B3" s="314" t="s">
        <v>226</v>
      </c>
      <c r="C3" s="314" t="s">
        <v>227</v>
      </c>
      <c r="D3" s="315" t="s">
        <v>228</v>
      </c>
    </row>
    <row r="4" spans="1:5" s="299" customFormat="1" ht="15" customHeight="1" x14ac:dyDescent="0.25">
      <c r="A4" s="317">
        <v>46025</v>
      </c>
      <c r="B4" s="308">
        <v>1</v>
      </c>
      <c r="C4" s="317">
        <v>46025</v>
      </c>
      <c r="D4" s="318">
        <v>0</v>
      </c>
      <c r="E4" s="299" t="s">
        <v>407</v>
      </c>
    </row>
    <row r="5" spans="1:5" s="299" customFormat="1" ht="15" customHeight="1" x14ac:dyDescent="0.25">
      <c r="A5" s="317">
        <v>46027</v>
      </c>
      <c r="B5" s="308">
        <v>1</v>
      </c>
      <c r="C5" s="317">
        <v>46028</v>
      </c>
      <c r="D5" s="318">
        <v>1</v>
      </c>
    </row>
    <row r="6" spans="1:5" s="299" customFormat="1" ht="15" customHeight="1" x14ac:dyDescent="0.25">
      <c r="A6" s="317">
        <v>46028</v>
      </c>
      <c r="B6" s="308">
        <v>1</v>
      </c>
      <c r="C6" s="317">
        <v>46028</v>
      </c>
      <c r="D6" s="318">
        <v>0</v>
      </c>
    </row>
    <row r="7" spans="1:5" s="299" customFormat="1" ht="15" customHeight="1" x14ac:dyDescent="0.25">
      <c r="A7" s="317">
        <v>46029</v>
      </c>
      <c r="B7" s="308">
        <v>2</v>
      </c>
      <c r="C7" s="317">
        <v>46029</v>
      </c>
      <c r="D7" s="318">
        <v>0</v>
      </c>
    </row>
    <row r="8" spans="1:5" s="299" customFormat="1" ht="15" customHeight="1" x14ac:dyDescent="0.25">
      <c r="A8" s="317">
        <v>46032</v>
      </c>
      <c r="B8" s="308">
        <v>1</v>
      </c>
      <c r="C8" s="317">
        <v>46034</v>
      </c>
      <c r="D8" s="318">
        <v>1</v>
      </c>
      <c r="E8" s="299" t="s">
        <v>408</v>
      </c>
    </row>
    <row r="9" spans="1:5" s="299" customFormat="1" ht="15" customHeight="1" x14ac:dyDescent="0.25">
      <c r="A9" s="317">
        <v>46034</v>
      </c>
      <c r="B9" s="308">
        <v>2</v>
      </c>
      <c r="C9" s="317">
        <v>46034</v>
      </c>
      <c r="D9" s="318">
        <v>0</v>
      </c>
    </row>
    <row r="10" spans="1:5" s="299" customFormat="1" ht="15" customHeight="1" x14ac:dyDescent="0.25">
      <c r="A10" s="317">
        <v>46035</v>
      </c>
      <c r="B10" s="308">
        <v>4</v>
      </c>
      <c r="C10" s="317">
        <v>46035</v>
      </c>
      <c r="D10" s="318">
        <v>0</v>
      </c>
    </row>
    <row r="11" spans="1:5" s="299" customFormat="1" ht="15" customHeight="1" x14ac:dyDescent="0.25">
      <c r="A11" s="317">
        <v>46039</v>
      </c>
      <c r="B11" s="308">
        <v>3</v>
      </c>
      <c r="C11" s="317">
        <v>46039</v>
      </c>
      <c r="D11" s="318">
        <v>0</v>
      </c>
    </row>
    <row r="12" spans="1:5" s="299" customFormat="1" ht="15" customHeight="1" x14ac:dyDescent="0.25">
      <c r="A12" s="317">
        <v>46041</v>
      </c>
      <c r="B12" s="308">
        <v>2</v>
      </c>
      <c r="C12" s="317">
        <v>46041</v>
      </c>
      <c r="D12" s="318">
        <v>0</v>
      </c>
    </row>
    <row r="13" spans="1:5" s="299" customFormat="1" ht="15" customHeight="1" x14ac:dyDescent="0.25">
      <c r="A13" s="317">
        <v>46042</v>
      </c>
      <c r="B13" s="308">
        <v>11</v>
      </c>
      <c r="C13" s="317">
        <v>46042</v>
      </c>
      <c r="D13" s="318">
        <v>0</v>
      </c>
    </row>
    <row r="14" spans="1:5" s="299" customFormat="1" ht="15" customHeight="1" x14ac:dyDescent="0.25">
      <c r="A14" s="317">
        <v>46043</v>
      </c>
      <c r="B14" s="308">
        <v>12</v>
      </c>
      <c r="C14" s="317">
        <v>46043</v>
      </c>
      <c r="D14" s="318">
        <v>0</v>
      </c>
      <c r="E14" s="299" t="s">
        <v>409</v>
      </c>
    </row>
    <row r="15" spans="1:5" s="299" customFormat="1" ht="15" customHeight="1" x14ac:dyDescent="0.25">
      <c r="A15" s="317">
        <v>46044</v>
      </c>
      <c r="B15" s="308">
        <v>13</v>
      </c>
      <c r="C15" s="317">
        <v>46044</v>
      </c>
      <c r="D15" s="318">
        <v>0</v>
      </c>
      <c r="E15" s="299" t="s">
        <v>410</v>
      </c>
    </row>
    <row r="16" spans="1:5" s="299" customFormat="1" ht="15" customHeight="1" x14ac:dyDescent="0.25">
      <c r="A16" s="317">
        <v>46045</v>
      </c>
      <c r="B16" s="308">
        <v>13</v>
      </c>
      <c r="C16" s="317">
        <v>46045</v>
      </c>
      <c r="D16" s="318">
        <v>0</v>
      </c>
    </row>
    <row r="17" spans="1:5" s="299" customFormat="1" ht="15" customHeight="1" x14ac:dyDescent="0.25">
      <c r="A17" s="317">
        <v>46046</v>
      </c>
      <c r="B17" s="308">
        <v>16</v>
      </c>
      <c r="C17" s="317">
        <v>46046</v>
      </c>
      <c r="D17" s="318">
        <v>0</v>
      </c>
    </row>
    <row r="18" spans="1:5" s="299" customFormat="1" ht="15" customHeight="1" x14ac:dyDescent="0.25">
      <c r="A18" s="317">
        <v>46048</v>
      </c>
      <c r="B18" s="308">
        <v>2</v>
      </c>
      <c r="C18" s="317">
        <v>46048</v>
      </c>
      <c r="D18" s="318">
        <v>0</v>
      </c>
      <c r="E18" s="299" t="s">
        <v>409</v>
      </c>
    </row>
    <row r="19" spans="1:5" s="299" customFormat="1" ht="15" customHeight="1" x14ac:dyDescent="0.25">
      <c r="A19" s="317">
        <v>46053</v>
      </c>
      <c r="B19" s="308">
        <v>9</v>
      </c>
      <c r="C19" s="317">
        <v>46053</v>
      </c>
      <c r="D19" s="318">
        <v>0</v>
      </c>
    </row>
    <row r="20" spans="1:5" s="299" customFormat="1" ht="15" customHeight="1" x14ac:dyDescent="0.25">
      <c r="A20" s="316"/>
      <c r="B20" s="307"/>
      <c r="C20" s="611" t="s">
        <v>290</v>
      </c>
      <c r="D20" s="612">
        <f>AVERAGE(D4:D19)</f>
        <v>0.125</v>
      </c>
    </row>
    <row r="21" spans="1:5" x14ac:dyDescent="0.25">
      <c r="A21" s="257"/>
    </row>
    <row r="22" spans="1:5" x14ac:dyDescent="0.25">
      <c r="A22" s="257"/>
    </row>
    <row r="23" spans="1:5" x14ac:dyDescent="0.25">
      <c r="A23" s="257"/>
      <c r="D23" s="254"/>
    </row>
    <row r="24" spans="1:5" x14ac:dyDescent="0.25">
      <c r="A24" s="257"/>
      <c r="D24" s="254"/>
    </row>
    <row r="25" spans="1:5" x14ac:dyDescent="0.25">
      <c r="A25" s="257"/>
      <c r="D25" s="254"/>
    </row>
    <row r="26" spans="1:5" x14ac:dyDescent="0.25">
      <c r="A26" s="257"/>
      <c r="D26" s="254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H37"/>
  <sheetViews>
    <sheetView workbookViewId="0">
      <selection activeCell="B13" sqref="B13"/>
    </sheetView>
  </sheetViews>
  <sheetFormatPr defaultRowHeight="15" x14ac:dyDescent="0.25"/>
  <cols>
    <col min="1" max="1" width="5" customWidth="1"/>
    <col min="2" max="2" width="7" bestFit="1" customWidth="1"/>
    <col min="3" max="3" width="14.140625" customWidth="1"/>
    <col min="4" max="4" width="13.42578125" customWidth="1"/>
    <col min="5" max="5" width="13.42578125" style="220" customWidth="1"/>
    <col min="6" max="6" width="7.7109375" customWidth="1"/>
    <col min="7" max="7" width="3.7109375" bestFit="1" customWidth="1"/>
    <col min="8" max="8" width="21.5703125" bestFit="1" customWidth="1"/>
  </cols>
  <sheetData>
    <row r="2" spans="2:8" x14ac:dyDescent="0.25">
      <c r="B2" t="s">
        <v>263</v>
      </c>
      <c r="C2" s="229" t="s">
        <v>264</v>
      </c>
      <c r="D2" s="229"/>
      <c r="E2" s="230"/>
      <c r="F2" s="229"/>
      <c r="G2" s="229"/>
    </row>
    <row r="3" spans="2:8" ht="15.75" thickBot="1" x14ac:dyDescent="0.3">
      <c r="B3" s="576" t="s">
        <v>265</v>
      </c>
      <c r="C3" s="577"/>
      <c r="D3" s="577"/>
      <c r="E3" s="577"/>
      <c r="F3" s="577"/>
      <c r="G3" s="577"/>
    </row>
    <row r="4" spans="2:8" ht="15.75" thickBot="1" x14ac:dyDescent="0.3">
      <c r="B4" s="578" t="s">
        <v>266</v>
      </c>
      <c r="C4" s="580" t="s">
        <v>267</v>
      </c>
      <c r="D4" s="581"/>
      <c r="E4" s="581"/>
      <c r="F4" s="581"/>
      <c r="G4" s="581"/>
    </row>
    <row r="5" spans="2:8" ht="48.75" thickBot="1" x14ac:dyDescent="0.3">
      <c r="B5" s="579"/>
      <c r="C5" s="259" t="s">
        <v>269</v>
      </c>
      <c r="D5" s="260" t="s">
        <v>293</v>
      </c>
      <c r="E5" s="261" t="s">
        <v>271</v>
      </c>
      <c r="F5" s="259" t="s">
        <v>292</v>
      </c>
      <c r="G5" s="259" t="s">
        <v>272</v>
      </c>
    </row>
    <row r="6" spans="2:8" ht="15.75" thickBot="1" x14ac:dyDescent="0.3">
      <c r="B6" s="236"/>
      <c r="C6" s="231"/>
      <c r="D6" s="231"/>
      <c r="E6" s="237"/>
      <c r="F6" s="238"/>
      <c r="G6" s="231"/>
    </row>
    <row r="7" spans="2:8" ht="15.75" thickBot="1" x14ac:dyDescent="0.3">
      <c r="B7" s="232">
        <v>2025</v>
      </c>
      <c r="C7" s="233"/>
      <c r="D7" s="233"/>
      <c r="E7" s="234"/>
      <c r="F7" s="235"/>
      <c r="G7" s="233"/>
    </row>
    <row r="8" spans="2:8" s="258" customFormat="1" ht="15" customHeight="1" thickBot="1" x14ac:dyDescent="0.25">
      <c r="B8" s="236">
        <v>10</v>
      </c>
      <c r="C8" s="231">
        <v>45933</v>
      </c>
      <c r="D8" s="231">
        <v>45938</v>
      </c>
      <c r="E8" s="231">
        <v>45938</v>
      </c>
      <c r="F8" s="238">
        <v>7</v>
      </c>
      <c r="G8" s="231"/>
      <c r="H8" s="258" t="s">
        <v>294</v>
      </c>
    </row>
    <row r="9" spans="2:8" s="258" customFormat="1" ht="15" customHeight="1" thickBot="1" x14ac:dyDescent="0.25">
      <c r="B9" s="239">
        <v>11</v>
      </c>
      <c r="C9" s="233">
        <v>45964</v>
      </c>
      <c r="D9" s="233">
        <v>45972</v>
      </c>
      <c r="E9" s="233">
        <v>45972</v>
      </c>
      <c r="F9" s="235">
        <v>9</v>
      </c>
      <c r="G9" s="233"/>
      <c r="H9" s="258" t="s">
        <v>338</v>
      </c>
    </row>
    <row r="10" spans="2:8" s="258" customFormat="1" ht="15" customHeight="1" thickBot="1" x14ac:dyDescent="0.25">
      <c r="B10" s="236">
        <v>12</v>
      </c>
      <c r="C10" s="231">
        <v>45994</v>
      </c>
      <c r="D10" s="231">
        <v>46002</v>
      </c>
      <c r="E10" s="231">
        <v>46002</v>
      </c>
      <c r="F10" s="238">
        <v>10</v>
      </c>
      <c r="G10" s="231"/>
      <c r="H10" s="258" t="s">
        <v>352</v>
      </c>
    </row>
    <row r="11" spans="2:8" s="258" customFormat="1" ht="15" customHeight="1" thickBot="1" x14ac:dyDescent="0.25">
      <c r="B11" s="232">
        <v>2026</v>
      </c>
      <c r="C11" s="233"/>
      <c r="D11" s="233"/>
      <c r="E11" s="233"/>
      <c r="F11" s="242"/>
      <c r="G11" s="233"/>
    </row>
    <row r="12" spans="2:8" s="258" customFormat="1" ht="15" customHeight="1" thickBot="1" x14ac:dyDescent="0.25">
      <c r="B12" s="236">
        <v>1</v>
      </c>
      <c r="C12" s="231">
        <v>46025</v>
      </c>
      <c r="D12" s="231">
        <v>46032</v>
      </c>
      <c r="E12" s="231">
        <v>46032</v>
      </c>
      <c r="F12" s="241">
        <v>8</v>
      </c>
      <c r="G12" s="231"/>
      <c r="H12" s="258" t="s">
        <v>561</v>
      </c>
    </row>
    <row r="13" spans="2:8" s="258" customFormat="1" ht="15" customHeight="1" thickBot="1" x14ac:dyDescent="0.25">
      <c r="B13" s="239">
        <v>2</v>
      </c>
      <c r="C13" s="233"/>
      <c r="D13" s="233"/>
      <c r="E13" s="233"/>
      <c r="F13" s="235"/>
      <c r="G13" s="233"/>
    </row>
    <row r="14" spans="2:8" s="258" customFormat="1" ht="15" customHeight="1" thickBot="1" x14ac:dyDescent="0.25">
      <c r="B14" s="236"/>
      <c r="C14" s="231"/>
      <c r="D14" s="231"/>
      <c r="E14" s="231"/>
      <c r="F14" s="241"/>
      <c r="G14" s="231"/>
    </row>
    <row r="15" spans="2:8" s="258" customFormat="1" ht="15" customHeight="1" thickBot="1" x14ac:dyDescent="0.25">
      <c r="B15" s="239"/>
      <c r="C15" s="233"/>
      <c r="D15" s="233"/>
      <c r="E15" s="233"/>
      <c r="F15" s="242"/>
      <c r="G15" s="233"/>
    </row>
    <row r="16" spans="2:8" s="258" customFormat="1" ht="15" customHeight="1" thickBot="1" x14ac:dyDescent="0.25">
      <c r="B16" s="236"/>
      <c r="C16" s="231"/>
      <c r="D16" s="231"/>
      <c r="E16" s="231"/>
      <c r="F16" s="238"/>
      <c r="G16" s="231"/>
    </row>
    <row r="17" spans="2:7" s="258" customFormat="1" ht="15" customHeight="1" thickBot="1" x14ac:dyDescent="0.25">
      <c r="B17" s="239"/>
      <c r="C17" s="233"/>
      <c r="D17" s="233"/>
      <c r="E17" s="240"/>
      <c r="F17" s="235"/>
      <c r="G17" s="233"/>
    </row>
    <row r="18" spans="2:7" s="258" customFormat="1" ht="15" customHeight="1" thickBot="1" x14ac:dyDescent="0.25">
      <c r="B18" s="236"/>
      <c r="C18" s="231"/>
      <c r="D18" s="231"/>
      <c r="E18" s="237"/>
      <c r="F18" s="238"/>
      <c r="G18" s="231"/>
    </row>
    <row r="19" spans="2:7" s="258" customFormat="1" ht="15" customHeight="1" thickBot="1" x14ac:dyDescent="0.25">
      <c r="B19" s="239"/>
      <c r="C19" s="233"/>
      <c r="D19" s="233"/>
      <c r="E19" s="240"/>
      <c r="F19" s="235"/>
      <c r="G19" s="233"/>
    </row>
    <row r="20" spans="2:7" ht="15.75" thickBot="1" x14ac:dyDescent="0.3">
      <c r="B20" s="243" t="s">
        <v>232</v>
      </c>
      <c r="C20" s="244" t="s">
        <v>273</v>
      </c>
      <c r="D20" s="244"/>
      <c r="E20" s="245"/>
      <c r="F20" s="246">
        <f>AVERAGE(F8:F19)</f>
        <v>8.5</v>
      </c>
      <c r="G20" s="244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</sheetData>
  <mergeCells count="3">
    <mergeCell ref="B3:G3"/>
    <mergeCell ref="B4:B5"/>
    <mergeCell ref="C4:G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98"/>
  <sheetViews>
    <sheetView workbookViewId="0">
      <pane xSplit="3" ySplit="5" topLeftCell="D27" activePane="bottomRight" state="frozen"/>
      <selection pane="topRight" activeCell="E1" sqref="E1"/>
      <selection pane="bottomLeft" activeCell="A6" sqref="A6"/>
      <selection pane="bottomRight" activeCell="D41" sqref="D41"/>
    </sheetView>
  </sheetViews>
  <sheetFormatPr defaultRowHeight="15" x14ac:dyDescent="0.25"/>
  <cols>
    <col min="1" max="1" width="5.85546875" customWidth="1"/>
    <col min="2" max="2" width="10.5703125" customWidth="1"/>
    <col min="3" max="3" width="26.5703125" customWidth="1"/>
    <col min="4" max="4" width="51.85546875" bestFit="1" customWidth="1"/>
    <col min="5" max="5" width="30.28515625" customWidth="1"/>
    <col min="6" max="6" width="13.7109375" customWidth="1"/>
    <col min="7" max="7" width="32.42578125" bestFit="1" customWidth="1"/>
  </cols>
  <sheetData>
    <row r="1" spans="1:7" ht="15" customHeight="1" x14ac:dyDescent="0.25"/>
    <row r="2" spans="1:7" ht="15" customHeight="1" x14ac:dyDescent="0.25">
      <c r="B2" t="s">
        <v>263</v>
      </c>
      <c r="C2" s="298" t="s">
        <v>295</v>
      </c>
      <c r="D2" s="229"/>
    </row>
    <row r="3" spans="1:7" ht="15" customHeight="1" x14ac:dyDescent="0.25">
      <c r="C3" s="229"/>
      <c r="D3" s="229"/>
    </row>
    <row r="4" spans="1:7" ht="15" customHeight="1" thickBot="1" x14ac:dyDescent="0.3">
      <c r="A4" s="582" t="s">
        <v>265</v>
      </c>
      <c r="B4" s="582"/>
      <c r="C4" s="582"/>
      <c r="D4" s="582"/>
      <c r="E4" s="582"/>
      <c r="F4" s="582"/>
      <c r="G4" s="582"/>
    </row>
    <row r="5" spans="1:7" s="264" customFormat="1" ht="15" customHeight="1" thickBot="1" x14ac:dyDescent="0.3">
      <c r="A5" s="262" t="s">
        <v>296</v>
      </c>
      <c r="B5" s="262" t="s">
        <v>266</v>
      </c>
      <c r="C5" s="262" t="s">
        <v>297</v>
      </c>
      <c r="D5" s="263" t="s">
        <v>329</v>
      </c>
      <c r="E5" s="263" t="s">
        <v>298</v>
      </c>
      <c r="F5" s="263" t="s">
        <v>270</v>
      </c>
      <c r="G5" s="263" t="s">
        <v>268</v>
      </c>
    </row>
    <row r="6" spans="1:7" s="99" customFormat="1" ht="15" customHeight="1" thickBot="1" x14ac:dyDescent="0.3">
      <c r="A6" s="265">
        <v>1</v>
      </c>
      <c r="B6" s="265" t="s">
        <v>299</v>
      </c>
      <c r="C6" s="266" t="s">
        <v>300</v>
      </c>
      <c r="D6" s="267">
        <v>45658</v>
      </c>
      <c r="E6" s="267">
        <v>45658</v>
      </c>
      <c r="F6" s="268">
        <v>0</v>
      </c>
      <c r="G6" s="269"/>
    </row>
    <row r="7" spans="1:7" s="99" customFormat="1" ht="15" customHeight="1" thickBot="1" x14ac:dyDescent="0.3">
      <c r="A7" s="265"/>
      <c r="B7" s="265"/>
      <c r="C7" s="266" t="s">
        <v>301</v>
      </c>
      <c r="D7" s="267">
        <v>45688</v>
      </c>
      <c r="E7" s="267">
        <v>45688</v>
      </c>
      <c r="F7" s="270">
        <v>0</v>
      </c>
      <c r="G7" s="265"/>
    </row>
    <row r="8" spans="1:7" s="99" customFormat="1" ht="15" customHeight="1" thickBot="1" x14ac:dyDescent="0.3">
      <c r="A8" s="265"/>
      <c r="B8" s="265"/>
      <c r="C8" s="266" t="s">
        <v>301</v>
      </c>
      <c r="D8" s="267">
        <v>45688</v>
      </c>
      <c r="E8" s="267">
        <v>45688</v>
      </c>
      <c r="F8" s="268">
        <v>0</v>
      </c>
      <c r="G8" s="269"/>
    </row>
    <row r="9" spans="1:7" s="99" customFormat="1" ht="15" customHeight="1" thickBot="1" x14ac:dyDescent="0.3">
      <c r="A9" s="265"/>
      <c r="B9" s="265"/>
      <c r="C9" s="266" t="s">
        <v>302</v>
      </c>
      <c r="D9" s="267">
        <v>45660</v>
      </c>
      <c r="E9" s="267">
        <v>45660</v>
      </c>
      <c r="F9" s="268">
        <v>0</v>
      </c>
      <c r="G9" s="271"/>
    </row>
    <row r="10" spans="1:7" s="99" customFormat="1" ht="15" customHeight="1" thickBot="1" x14ac:dyDescent="0.3">
      <c r="A10" s="272"/>
      <c r="B10" s="272"/>
      <c r="C10" s="273"/>
      <c r="D10" s="274"/>
      <c r="E10" s="274"/>
      <c r="F10" s="275"/>
      <c r="G10" s="272"/>
    </row>
    <row r="11" spans="1:7" s="99" customFormat="1" ht="15" customHeight="1" thickBot="1" x14ac:dyDescent="0.3">
      <c r="A11" s="265">
        <v>2</v>
      </c>
      <c r="B11" s="265" t="s">
        <v>303</v>
      </c>
      <c r="C11" s="266" t="s">
        <v>304</v>
      </c>
      <c r="D11" s="276">
        <v>45693</v>
      </c>
      <c r="E11" s="276">
        <v>45693</v>
      </c>
      <c r="F11" s="268">
        <v>0</v>
      </c>
      <c r="G11" s="269"/>
    </row>
    <row r="12" spans="1:7" s="99" customFormat="1" ht="15" customHeight="1" thickBot="1" x14ac:dyDescent="0.3">
      <c r="A12" s="272"/>
      <c r="B12" s="272"/>
      <c r="C12" s="273"/>
      <c r="D12" s="274"/>
      <c r="E12" s="274"/>
      <c r="F12" s="275"/>
      <c r="G12" s="277"/>
    </row>
    <row r="13" spans="1:7" s="99" customFormat="1" ht="15" customHeight="1" thickBot="1" x14ac:dyDescent="0.3">
      <c r="B13" s="272"/>
      <c r="C13" s="273"/>
      <c r="D13" s="274"/>
      <c r="E13" s="274"/>
      <c r="F13" s="275"/>
      <c r="G13" s="278"/>
    </row>
    <row r="14" spans="1:7" s="99" customFormat="1" ht="15" customHeight="1" thickBot="1" x14ac:dyDescent="0.3">
      <c r="A14" s="272">
        <v>3</v>
      </c>
      <c r="B14" s="272" t="s">
        <v>305</v>
      </c>
      <c r="C14" s="273" t="s">
        <v>306</v>
      </c>
      <c r="D14" s="276">
        <v>45717</v>
      </c>
      <c r="E14" s="276">
        <v>45717</v>
      </c>
      <c r="F14" s="268">
        <v>0</v>
      </c>
      <c r="G14" s="279"/>
    </row>
    <row r="15" spans="1:7" s="99" customFormat="1" ht="15" customHeight="1" thickBot="1" x14ac:dyDescent="0.3">
      <c r="A15" s="272"/>
      <c r="B15" s="272"/>
      <c r="C15" s="273" t="s">
        <v>307</v>
      </c>
      <c r="D15" s="276">
        <v>45717</v>
      </c>
      <c r="E15" s="276">
        <v>45717</v>
      </c>
      <c r="F15" s="268">
        <v>0</v>
      </c>
      <c r="G15" s="272"/>
    </row>
    <row r="16" spans="1:7" s="99" customFormat="1" ht="15" customHeight="1" thickBot="1" x14ac:dyDescent="0.3">
      <c r="A16" s="272"/>
      <c r="B16" s="272"/>
      <c r="C16" s="273" t="s">
        <v>308</v>
      </c>
      <c r="D16" s="276">
        <v>45717</v>
      </c>
      <c r="E16" s="276">
        <v>45717</v>
      </c>
      <c r="F16" s="268">
        <v>0</v>
      </c>
      <c r="G16" s="272"/>
    </row>
    <row r="17" spans="1:7" s="99" customFormat="1" ht="15" customHeight="1" thickBot="1" x14ac:dyDescent="0.3">
      <c r="A17" s="272"/>
      <c r="B17" s="272"/>
      <c r="C17" s="273" t="s">
        <v>309</v>
      </c>
      <c r="D17" s="276">
        <v>45717</v>
      </c>
      <c r="E17" s="276">
        <v>45717</v>
      </c>
      <c r="F17" s="268">
        <v>0</v>
      </c>
      <c r="G17" s="272"/>
    </row>
    <row r="18" spans="1:7" s="99" customFormat="1" ht="15" customHeight="1" thickBot="1" x14ac:dyDescent="0.3">
      <c r="A18" s="272"/>
      <c r="B18" s="272"/>
      <c r="C18" s="273" t="s">
        <v>310</v>
      </c>
      <c r="D18" s="276">
        <v>45717</v>
      </c>
      <c r="E18" s="276">
        <v>45717</v>
      </c>
      <c r="F18" s="268">
        <v>0</v>
      </c>
      <c r="G18" s="272"/>
    </row>
    <row r="19" spans="1:7" s="99" customFormat="1" ht="15" customHeight="1" thickBot="1" x14ac:dyDescent="0.3">
      <c r="A19" s="272"/>
      <c r="B19" s="272"/>
      <c r="C19" s="273" t="s">
        <v>311</v>
      </c>
      <c r="D19" s="276">
        <v>45717</v>
      </c>
      <c r="E19" s="276">
        <v>45717</v>
      </c>
      <c r="F19" s="268">
        <v>0</v>
      </c>
      <c r="G19" s="278"/>
    </row>
    <row r="20" spans="1:7" s="99" customFormat="1" ht="15" customHeight="1" thickBot="1" x14ac:dyDescent="0.3">
      <c r="A20" s="272"/>
      <c r="B20" s="272"/>
      <c r="C20" s="273" t="s">
        <v>312</v>
      </c>
      <c r="D20" s="276">
        <v>45717</v>
      </c>
      <c r="E20" s="276">
        <v>45717</v>
      </c>
      <c r="F20" s="268">
        <v>0</v>
      </c>
      <c r="G20" s="278"/>
    </row>
    <row r="21" spans="1:7" s="99" customFormat="1" ht="15" customHeight="1" thickBot="1" x14ac:dyDescent="0.3">
      <c r="A21" s="272"/>
      <c r="B21" s="272"/>
      <c r="C21" s="273" t="s">
        <v>236</v>
      </c>
      <c r="D21" s="276">
        <v>45717</v>
      </c>
      <c r="E21" s="276">
        <v>45717</v>
      </c>
      <c r="F21" s="268">
        <v>0</v>
      </c>
      <c r="G21" s="278"/>
    </row>
    <row r="22" spans="1:7" s="99" customFormat="1" ht="15" customHeight="1" thickBot="1" x14ac:dyDescent="0.3">
      <c r="A22" s="272"/>
      <c r="B22" s="272"/>
      <c r="C22" s="273" t="s">
        <v>313</v>
      </c>
      <c r="D22" s="276">
        <v>45717</v>
      </c>
      <c r="E22" s="276">
        <v>45717</v>
      </c>
      <c r="F22" s="268">
        <v>0</v>
      </c>
      <c r="G22" s="278"/>
    </row>
    <row r="23" spans="1:7" s="99" customFormat="1" ht="15" customHeight="1" thickBot="1" x14ac:dyDescent="0.3">
      <c r="A23" s="272"/>
      <c r="B23" s="272"/>
      <c r="C23" s="273" t="s">
        <v>314</v>
      </c>
      <c r="D23" s="276">
        <v>45717</v>
      </c>
      <c r="E23" s="276">
        <v>45717</v>
      </c>
      <c r="F23" s="268">
        <v>0</v>
      </c>
      <c r="G23" s="278"/>
    </row>
    <row r="24" spans="1:7" s="99" customFormat="1" ht="15" customHeight="1" thickBot="1" x14ac:dyDescent="0.3">
      <c r="A24" s="272"/>
      <c r="B24" s="272"/>
      <c r="C24" s="273" t="s">
        <v>315</v>
      </c>
      <c r="D24" s="276">
        <v>45717</v>
      </c>
      <c r="E24" s="276">
        <v>45717</v>
      </c>
      <c r="F24" s="268">
        <v>0</v>
      </c>
      <c r="G24" s="278"/>
    </row>
    <row r="25" spans="1:7" s="99" customFormat="1" ht="15" customHeight="1" thickBot="1" x14ac:dyDescent="0.3">
      <c r="A25" s="272"/>
      <c r="B25" s="272"/>
      <c r="C25" s="273"/>
      <c r="D25" s="274"/>
      <c r="E25" s="274"/>
      <c r="F25" s="275"/>
      <c r="G25" s="278"/>
    </row>
    <row r="26" spans="1:7" s="99" customFormat="1" ht="15" customHeight="1" thickBot="1" x14ac:dyDescent="0.3">
      <c r="A26" s="272">
        <v>4</v>
      </c>
      <c r="B26" s="272" t="s">
        <v>316</v>
      </c>
      <c r="C26" s="273" t="s">
        <v>301</v>
      </c>
      <c r="D26" s="276">
        <v>45777</v>
      </c>
      <c r="E26" s="276">
        <v>45777</v>
      </c>
      <c r="F26" s="268">
        <v>0</v>
      </c>
      <c r="G26" s="278"/>
    </row>
    <row r="27" spans="1:7" s="99" customFormat="1" ht="15" customHeight="1" thickBot="1" x14ac:dyDescent="0.3">
      <c r="A27" s="272"/>
      <c r="B27" s="272"/>
      <c r="C27" s="273" t="s">
        <v>301</v>
      </c>
      <c r="D27" s="276">
        <v>45777</v>
      </c>
      <c r="E27" s="276">
        <v>45777</v>
      </c>
      <c r="F27" s="268">
        <v>0</v>
      </c>
      <c r="G27" s="278"/>
    </row>
    <row r="28" spans="1:7" s="99" customFormat="1" ht="15" customHeight="1" thickBot="1" x14ac:dyDescent="0.3">
      <c r="A28" s="272"/>
      <c r="B28" s="272"/>
      <c r="C28" s="273"/>
      <c r="D28" s="274"/>
      <c r="E28" s="274"/>
      <c r="F28" s="275"/>
      <c r="G28" s="278"/>
    </row>
    <row r="29" spans="1:7" s="99" customFormat="1" ht="15" customHeight="1" thickBot="1" x14ac:dyDescent="0.3">
      <c r="A29" s="265">
        <v>5</v>
      </c>
      <c r="B29" s="265" t="s">
        <v>317</v>
      </c>
      <c r="C29" s="266" t="s">
        <v>318</v>
      </c>
      <c r="D29" s="276">
        <v>45824</v>
      </c>
      <c r="E29" s="276">
        <v>45824</v>
      </c>
      <c r="F29" s="268">
        <v>0</v>
      </c>
      <c r="G29" s="269"/>
    </row>
    <row r="30" spans="1:7" s="99" customFormat="1" ht="15" customHeight="1" thickBot="1" x14ac:dyDescent="0.3">
      <c r="A30" s="272"/>
      <c r="B30" s="272"/>
      <c r="C30" s="273"/>
      <c r="D30" s="274"/>
      <c r="E30" s="274"/>
      <c r="F30" s="275"/>
      <c r="G30" s="278"/>
    </row>
    <row r="31" spans="1:7" s="99" customFormat="1" ht="15" customHeight="1" thickBot="1" x14ac:dyDescent="0.3">
      <c r="A31" s="265">
        <v>6</v>
      </c>
      <c r="B31" s="265" t="s">
        <v>319</v>
      </c>
      <c r="C31" s="295" t="s">
        <v>322</v>
      </c>
      <c r="D31" s="276">
        <v>45909</v>
      </c>
      <c r="E31" s="276">
        <v>45909</v>
      </c>
      <c r="F31" s="268">
        <v>0</v>
      </c>
      <c r="G31" s="297" t="s">
        <v>323</v>
      </c>
    </row>
    <row r="32" spans="1:7" s="99" customFormat="1" ht="15" customHeight="1" thickBot="1" x14ac:dyDescent="0.3">
      <c r="A32" s="272"/>
      <c r="B32" s="272"/>
      <c r="C32" s="295" t="s">
        <v>320</v>
      </c>
      <c r="D32" s="276">
        <v>45919</v>
      </c>
      <c r="E32" s="276">
        <v>45919</v>
      </c>
      <c r="F32" s="268">
        <v>0</v>
      </c>
      <c r="G32" s="296" t="s">
        <v>324</v>
      </c>
    </row>
    <row r="33" spans="1:8" s="99" customFormat="1" ht="15" customHeight="1" thickBot="1" x14ac:dyDescent="0.3">
      <c r="A33" s="265"/>
      <c r="B33" s="265"/>
      <c r="C33" s="295" t="s">
        <v>320</v>
      </c>
      <c r="D33" s="276">
        <v>45919</v>
      </c>
      <c r="E33" s="276">
        <v>45919</v>
      </c>
      <c r="F33" s="268">
        <v>0</v>
      </c>
      <c r="G33" s="296" t="s">
        <v>324</v>
      </c>
    </row>
    <row r="34" spans="1:8" s="99" customFormat="1" ht="15" customHeight="1" thickBot="1" x14ac:dyDescent="0.3">
      <c r="A34" s="265"/>
      <c r="B34" s="265"/>
      <c r="C34" s="295" t="s">
        <v>321</v>
      </c>
      <c r="D34" s="276">
        <v>45930</v>
      </c>
      <c r="E34" s="276">
        <v>45930</v>
      </c>
      <c r="F34" s="268">
        <v>0</v>
      </c>
      <c r="G34" s="296" t="s">
        <v>324</v>
      </c>
    </row>
    <row r="35" spans="1:8" s="99" customFormat="1" ht="15" customHeight="1" thickBot="1" x14ac:dyDescent="0.3">
      <c r="A35" s="265"/>
      <c r="B35" s="265"/>
    </row>
    <row r="36" spans="1:8" s="99" customFormat="1" ht="15" customHeight="1" thickBot="1" x14ac:dyDescent="0.3">
      <c r="A36" s="265">
        <v>7</v>
      </c>
      <c r="B36" s="265" t="s">
        <v>325</v>
      </c>
      <c r="C36" s="295" t="s">
        <v>326</v>
      </c>
      <c r="D36" s="276">
        <v>45957</v>
      </c>
      <c r="E36" s="276">
        <v>45957</v>
      </c>
      <c r="F36" s="268">
        <v>0</v>
      </c>
      <c r="G36" s="271" t="s">
        <v>328</v>
      </c>
      <c r="H36" s="305" t="s">
        <v>330</v>
      </c>
    </row>
    <row r="37" spans="1:8" s="99" customFormat="1" ht="15" customHeight="1" thickBot="1" x14ac:dyDescent="0.3">
      <c r="A37" s="265"/>
      <c r="B37" s="265"/>
      <c r="C37" s="295" t="s">
        <v>327</v>
      </c>
      <c r="D37" s="276">
        <v>45957</v>
      </c>
      <c r="E37" s="276">
        <v>45957</v>
      </c>
      <c r="F37" s="268">
        <v>0</v>
      </c>
      <c r="G37" s="271" t="s">
        <v>328</v>
      </c>
    </row>
    <row r="38" spans="1:8" s="99" customFormat="1" ht="15" customHeight="1" thickBot="1" x14ac:dyDescent="0.3">
      <c r="A38" s="265"/>
      <c r="B38" s="265"/>
      <c r="C38" s="295" t="s">
        <v>313</v>
      </c>
      <c r="D38" s="276">
        <v>45957</v>
      </c>
      <c r="E38" s="276">
        <v>45957</v>
      </c>
      <c r="F38" s="268">
        <v>0</v>
      </c>
      <c r="G38" s="271" t="s">
        <v>328</v>
      </c>
    </row>
    <row r="39" spans="1:8" s="99" customFormat="1" ht="15" customHeight="1" thickBot="1" x14ac:dyDescent="0.3">
      <c r="A39" s="272"/>
      <c r="B39" s="272"/>
      <c r="C39" s="277"/>
      <c r="D39" s="280"/>
      <c r="E39" s="280"/>
      <c r="F39" s="275"/>
      <c r="G39" s="279"/>
    </row>
    <row r="40" spans="1:8" s="99" customFormat="1" ht="15" customHeight="1" thickBot="1" x14ac:dyDescent="0.3">
      <c r="A40" s="272">
        <v>8</v>
      </c>
      <c r="B40" s="272" t="s">
        <v>569</v>
      </c>
      <c r="C40" s="277" t="s">
        <v>568</v>
      </c>
      <c r="D40" s="280" t="s">
        <v>567</v>
      </c>
      <c r="E40" s="280"/>
      <c r="F40" s="275"/>
      <c r="G40" s="271" t="s">
        <v>566</v>
      </c>
    </row>
    <row r="41" spans="1:8" s="99" customFormat="1" ht="15" customHeight="1" thickBot="1" x14ac:dyDescent="0.3">
      <c r="A41" s="272"/>
      <c r="B41" s="272"/>
      <c r="C41" s="277" t="s">
        <v>565</v>
      </c>
      <c r="D41" s="280"/>
      <c r="E41" s="280"/>
      <c r="F41" s="268">
        <v>0</v>
      </c>
      <c r="G41" s="271" t="s">
        <v>564</v>
      </c>
    </row>
    <row r="42" spans="1:8" s="99" customFormat="1" ht="15" customHeight="1" thickBot="1" x14ac:dyDescent="0.3">
      <c r="A42" s="272"/>
      <c r="B42" s="272"/>
      <c r="C42" s="277" t="s">
        <v>563</v>
      </c>
      <c r="D42" s="280"/>
      <c r="E42" s="280"/>
      <c r="F42" s="268">
        <v>0</v>
      </c>
      <c r="G42" s="271" t="s">
        <v>562</v>
      </c>
    </row>
    <row r="43" spans="1:8" s="99" customFormat="1" ht="15" customHeight="1" thickBot="1" x14ac:dyDescent="0.3">
      <c r="A43" s="272"/>
      <c r="B43" s="272"/>
      <c r="C43" s="277"/>
      <c r="D43" s="280"/>
      <c r="E43" s="280"/>
      <c r="F43" s="275"/>
      <c r="G43" s="279"/>
    </row>
    <row r="44" spans="1:8" s="99" customFormat="1" ht="15" customHeight="1" thickBot="1" x14ac:dyDescent="0.3">
      <c r="A44" s="272"/>
      <c r="B44" s="272"/>
      <c r="C44" s="272"/>
      <c r="D44" s="280"/>
      <c r="E44" s="281"/>
      <c r="F44" s="282"/>
      <c r="G44" s="279"/>
    </row>
    <row r="45" spans="1:8" s="99" customFormat="1" ht="15" customHeight="1" thickBot="1" x14ac:dyDescent="0.3">
      <c r="A45" s="272"/>
      <c r="B45" s="272"/>
      <c r="C45" s="277"/>
      <c r="D45" s="280"/>
      <c r="E45" s="280"/>
      <c r="F45" s="282"/>
      <c r="G45" s="279"/>
    </row>
    <row r="46" spans="1:8" s="99" customFormat="1" ht="15" customHeight="1" thickBot="1" x14ac:dyDescent="0.3">
      <c r="A46" s="272"/>
      <c r="B46" s="272"/>
      <c r="C46" s="272"/>
      <c r="D46" s="280"/>
      <c r="E46" s="281"/>
      <c r="F46" s="282"/>
      <c r="G46" s="279"/>
    </row>
    <row r="47" spans="1:8" s="99" customFormat="1" ht="15" customHeight="1" thickBot="1" x14ac:dyDescent="0.3">
      <c r="A47" s="272"/>
      <c r="B47" s="272"/>
      <c r="C47" s="272"/>
      <c r="D47" s="280"/>
      <c r="E47" s="281"/>
      <c r="F47" s="282"/>
      <c r="G47" s="279"/>
    </row>
    <row r="48" spans="1:8" s="99" customFormat="1" ht="15" customHeight="1" thickBot="1" x14ac:dyDescent="0.3">
      <c r="A48" s="272"/>
      <c r="B48" s="272"/>
      <c r="C48" s="272"/>
      <c r="D48" s="280"/>
      <c r="E48" s="281"/>
      <c r="F48" s="282"/>
      <c r="G48" s="279"/>
    </row>
    <row r="49" spans="1:7" s="99" customFormat="1" ht="15" customHeight="1" thickBot="1" x14ac:dyDescent="0.3">
      <c r="A49" s="272"/>
      <c r="B49" s="272"/>
      <c r="C49" s="272"/>
      <c r="D49" s="280"/>
      <c r="E49" s="281"/>
      <c r="F49" s="282"/>
      <c r="G49" s="279"/>
    </row>
    <row r="50" spans="1:7" s="99" customFormat="1" ht="15" customHeight="1" thickBot="1" x14ac:dyDescent="0.3">
      <c r="A50" s="272"/>
      <c r="B50" s="272"/>
      <c r="C50" s="272"/>
      <c r="D50" s="280"/>
      <c r="E50" s="281"/>
      <c r="F50" s="282"/>
      <c r="G50" s="279"/>
    </row>
    <row r="51" spans="1:7" s="99" customFormat="1" ht="15" customHeight="1" thickBot="1" x14ac:dyDescent="0.3">
      <c r="A51" s="272"/>
      <c r="B51" s="272"/>
      <c r="C51" s="272"/>
      <c r="D51" s="280"/>
      <c r="E51" s="281"/>
      <c r="F51" s="282"/>
      <c r="G51" s="279"/>
    </row>
    <row r="52" spans="1:7" s="99" customFormat="1" ht="15" customHeight="1" thickBot="1" x14ac:dyDescent="0.3">
      <c r="A52" s="272"/>
      <c r="B52" s="272"/>
      <c r="C52" s="272"/>
      <c r="D52" s="280"/>
      <c r="E52" s="281"/>
      <c r="F52" s="282"/>
      <c r="G52" s="279"/>
    </row>
    <row r="53" spans="1:7" s="99" customFormat="1" ht="15" customHeight="1" thickBot="1" x14ac:dyDescent="0.3">
      <c r="A53" s="272"/>
      <c r="B53" s="272"/>
      <c r="C53" s="272"/>
      <c r="D53" s="280"/>
      <c r="E53" s="281"/>
      <c r="F53" s="282"/>
      <c r="G53" s="279"/>
    </row>
    <row r="54" spans="1:7" s="99" customFormat="1" ht="15" customHeight="1" thickBot="1" x14ac:dyDescent="0.3">
      <c r="A54" s="272"/>
      <c r="B54" s="272"/>
      <c r="C54" s="272"/>
      <c r="D54" s="280"/>
      <c r="E54" s="281"/>
      <c r="F54" s="282"/>
      <c r="G54" s="279"/>
    </row>
    <row r="55" spans="1:7" s="99" customFormat="1" ht="15" customHeight="1" thickBot="1" x14ac:dyDescent="0.3">
      <c r="A55" s="272"/>
      <c r="B55" s="272"/>
      <c r="C55" s="272"/>
      <c r="D55" s="280"/>
      <c r="E55" s="281"/>
      <c r="F55" s="282"/>
      <c r="G55" s="279"/>
    </row>
    <row r="56" spans="1:7" s="99" customFormat="1" ht="15" customHeight="1" thickBot="1" x14ac:dyDescent="0.3">
      <c r="A56" s="272"/>
      <c r="B56" s="272"/>
      <c r="C56" s="272"/>
      <c r="D56" s="280"/>
      <c r="E56" s="281"/>
      <c r="F56" s="282"/>
      <c r="G56" s="279"/>
    </row>
    <row r="57" spans="1:7" s="99" customFormat="1" ht="15" customHeight="1" thickBot="1" x14ac:dyDescent="0.3">
      <c r="A57" s="272"/>
      <c r="B57" s="272"/>
      <c r="C57" s="272"/>
      <c r="D57" s="280"/>
      <c r="E57" s="281"/>
      <c r="F57" s="282"/>
      <c r="G57" s="279"/>
    </row>
    <row r="58" spans="1:7" s="99" customFormat="1" ht="15" customHeight="1" thickBot="1" x14ac:dyDescent="0.3">
      <c r="A58" s="272"/>
      <c r="B58" s="272"/>
      <c r="C58" s="272"/>
      <c r="D58" s="280"/>
      <c r="E58" s="281"/>
      <c r="F58" s="282"/>
      <c r="G58" s="279"/>
    </row>
    <row r="59" spans="1:7" s="99" customFormat="1" ht="15" customHeight="1" thickBot="1" x14ac:dyDescent="0.3">
      <c r="A59" s="272"/>
      <c r="B59" s="272"/>
      <c r="C59" s="272"/>
      <c r="D59" s="280"/>
      <c r="E59" s="281"/>
      <c r="F59" s="282"/>
      <c r="G59" s="279"/>
    </row>
    <row r="60" spans="1:7" s="99" customFormat="1" ht="15" customHeight="1" thickBot="1" x14ac:dyDescent="0.3">
      <c r="A60" s="272"/>
      <c r="B60" s="272"/>
      <c r="C60" s="272"/>
      <c r="D60" s="280"/>
      <c r="E60" s="281"/>
      <c r="F60" s="282"/>
      <c r="G60" s="279"/>
    </row>
    <row r="61" spans="1:7" s="99" customFormat="1" ht="15" customHeight="1" thickBot="1" x14ac:dyDescent="0.3">
      <c r="A61" s="272"/>
      <c r="B61" s="272"/>
      <c r="C61" s="272"/>
      <c r="D61" s="280"/>
      <c r="E61" s="281"/>
      <c r="F61" s="282"/>
      <c r="G61" s="279"/>
    </row>
    <row r="62" spans="1:7" s="99" customFormat="1" ht="15" customHeight="1" thickBot="1" x14ac:dyDescent="0.3">
      <c r="A62" s="272"/>
      <c r="B62" s="272"/>
      <c r="C62" s="272"/>
      <c r="D62" s="280"/>
      <c r="E62" s="281"/>
      <c r="F62" s="282"/>
      <c r="G62" s="279"/>
    </row>
    <row r="63" spans="1:7" s="99" customFormat="1" ht="15" customHeight="1" thickBot="1" x14ac:dyDescent="0.3">
      <c r="A63" s="272"/>
      <c r="B63" s="272"/>
      <c r="C63" s="272"/>
      <c r="D63" s="280"/>
      <c r="E63" s="281"/>
      <c r="F63" s="282"/>
      <c r="G63" s="279"/>
    </row>
    <row r="64" spans="1:7" s="99" customFormat="1" ht="15" customHeight="1" thickBot="1" x14ac:dyDescent="0.3">
      <c r="A64" s="272"/>
      <c r="B64" s="272"/>
      <c r="C64" s="272"/>
      <c r="D64" s="280"/>
      <c r="E64" s="281"/>
      <c r="F64" s="282"/>
      <c r="G64" s="279"/>
    </row>
    <row r="65" spans="1:7" s="99" customFormat="1" ht="15" customHeight="1" thickBot="1" x14ac:dyDescent="0.3">
      <c r="A65" s="272"/>
      <c r="B65" s="272"/>
      <c r="C65" s="272"/>
      <c r="D65" s="280"/>
      <c r="E65" s="281"/>
      <c r="F65" s="282"/>
      <c r="G65" s="279"/>
    </row>
    <row r="66" spans="1:7" s="99" customFormat="1" ht="15" customHeight="1" thickBot="1" x14ac:dyDescent="0.3">
      <c r="A66" s="272"/>
      <c r="B66" s="272"/>
      <c r="C66" s="272"/>
      <c r="D66" s="280"/>
      <c r="E66" s="281"/>
      <c r="F66" s="282"/>
      <c r="G66" s="279"/>
    </row>
    <row r="67" spans="1:7" s="99" customFormat="1" ht="15" customHeight="1" thickBot="1" x14ac:dyDescent="0.3">
      <c r="A67" s="272"/>
      <c r="B67" s="272"/>
      <c r="C67" s="277"/>
      <c r="D67" s="272"/>
      <c r="E67" s="272"/>
      <c r="F67" s="283"/>
      <c r="G67" s="272"/>
    </row>
    <row r="68" spans="1:7" s="99" customFormat="1" ht="15" customHeight="1" thickBot="1" x14ac:dyDescent="0.3">
      <c r="A68" s="284"/>
      <c r="B68" s="284"/>
      <c r="C68" s="285"/>
      <c r="D68" s="286"/>
      <c r="E68" s="287"/>
      <c r="F68" s="288"/>
      <c r="G68" s="289"/>
    </row>
    <row r="69" spans="1:7" s="99" customFormat="1" ht="15" customHeight="1" thickBot="1" x14ac:dyDescent="0.3">
      <c r="A69" s="290"/>
      <c r="B69" s="583"/>
      <c r="C69" s="584"/>
      <c r="D69" s="290"/>
      <c r="E69" s="291"/>
      <c r="F69" s="292"/>
      <c r="G69" s="291"/>
    </row>
    <row r="70" spans="1:7" s="99" customFormat="1" ht="15" customHeight="1" x14ac:dyDescent="0.25">
      <c r="D70" s="293"/>
    </row>
    <row r="71" spans="1:7" s="99" customFormat="1" ht="15" customHeight="1" x14ac:dyDescent="0.25">
      <c r="D71" s="293"/>
    </row>
    <row r="72" spans="1:7" s="99" customFormat="1" ht="15" customHeight="1" x14ac:dyDescent="0.25">
      <c r="D72" s="293"/>
    </row>
    <row r="73" spans="1:7" s="99" customFormat="1" ht="15" customHeight="1" x14ac:dyDescent="0.25">
      <c r="D73" s="293"/>
    </row>
    <row r="74" spans="1:7" s="99" customFormat="1" ht="15" customHeight="1" x14ac:dyDescent="0.25">
      <c r="A74"/>
      <c r="B74"/>
      <c r="C74"/>
      <c r="D74" s="294"/>
      <c r="E74"/>
      <c r="F74"/>
      <c r="G74"/>
    </row>
    <row r="75" spans="1:7" ht="15" customHeight="1" x14ac:dyDescent="0.25"/>
    <row r="76" spans="1:7" ht="15" customHeight="1" x14ac:dyDescent="0.25"/>
    <row r="77" spans="1:7" ht="15" customHeight="1" x14ac:dyDescent="0.25"/>
    <row r="78" spans="1:7" ht="15" customHeight="1" x14ac:dyDescent="0.25"/>
    <row r="79" spans="1:7" ht="15" customHeight="1" x14ac:dyDescent="0.25"/>
    <row r="80" spans="1:7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</sheetData>
  <mergeCells count="2">
    <mergeCell ref="A4:G4"/>
    <mergeCell ref="B69:C69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KPI</vt:lpstr>
      <vt:lpstr>Dashboard</vt:lpstr>
      <vt:lpstr>Detail</vt:lpstr>
      <vt:lpstr>PL</vt:lpstr>
      <vt:lpstr>BACK UP</vt:lpstr>
      <vt:lpstr>Retur</vt:lpstr>
      <vt:lpstr>Program</vt:lpstr>
      <vt:lpstr>Olah Data Penjualan</vt:lpstr>
      <vt:lpstr>BONUS</vt:lpstr>
      <vt:lpstr>Detail!Print_Area</vt:lpstr>
      <vt:lpstr>Detail!WAHYUARIFPRASETYO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Putri Qutisyah Sari</cp:lastModifiedBy>
  <cp:lastPrinted>2021-06-10T08:57:10Z</cp:lastPrinted>
  <dcterms:created xsi:type="dcterms:W3CDTF">2021-06-05T03:16:25Z</dcterms:created>
  <dcterms:modified xsi:type="dcterms:W3CDTF">2026-02-13T03:56:35Z</dcterms:modified>
</cp:coreProperties>
</file>